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260DD12-3512-451D-8D1A-94C4ECC0DFF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3" i="1" l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CL10" i="1"/>
  <c r="AE23" i="1"/>
  <c r="AD23" i="1"/>
  <c r="AC23" i="1"/>
  <c r="AB23" i="1"/>
  <c r="AA23" i="1"/>
  <c r="Z23" i="1"/>
  <c r="Y23" i="1"/>
  <c r="X23" i="1"/>
  <c r="W23" i="1"/>
  <c r="V23" i="1"/>
  <c r="U23" i="1"/>
  <c r="AE22" i="1"/>
  <c r="AD22" i="1"/>
  <c r="AC22" i="1"/>
  <c r="AB22" i="1"/>
  <c r="AA22" i="1"/>
  <c r="Z22" i="1"/>
  <c r="Y22" i="1"/>
  <c r="X22" i="1"/>
  <c r="W22" i="1"/>
  <c r="V22" i="1"/>
  <c r="U22" i="1"/>
  <c r="AE21" i="1"/>
  <c r="AD21" i="1"/>
  <c r="AC21" i="1"/>
  <c r="AB21" i="1"/>
  <c r="AA21" i="1"/>
  <c r="Z21" i="1"/>
  <c r="Y21" i="1"/>
  <c r="X21" i="1"/>
  <c r="W21" i="1"/>
  <c r="V21" i="1"/>
  <c r="U21" i="1"/>
  <c r="AE20" i="1"/>
  <c r="AD20" i="1"/>
  <c r="AC20" i="1"/>
  <c r="AB20" i="1"/>
  <c r="AA20" i="1"/>
  <c r="Z20" i="1"/>
  <c r="Y20" i="1"/>
  <c r="X20" i="1"/>
  <c r="W20" i="1"/>
  <c r="V20" i="1"/>
  <c r="U20" i="1"/>
  <c r="AE19" i="1"/>
  <c r="AD19" i="1"/>
  <c r="AC19" i="1"/>
  <c r="AB19" i="1"/>
  <c r="AA19" i="1"/>
  <c r="Z19" i="1"/>
  <c r="Y19" i="1"/>
  <c r="X19" i="1"/>
  <c r="W19" i="1"/>
  <c r="V19" i="1"/>
  <c r="U19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CL28" i="1"/>
  <c r="CL27" i="1"/>
  <c r="CD24" i="1"/>
  <c r="CK24" i="1"/>
  <c r="CJ24" i="1"/>
  <c r="CI24" i="1"/>
  <c r="CH24" i="1"/>
  <c r="CG24" i="1"/>
  <c r="CF24" i="1"/>
  <c r="CE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CL24" i="1"/>
  <c r="CR13" i="1"/>
  <c r="CS13" i="1" s="1"/>
  <c r="CT13" i="1" s="1"/>
  <c r="CN14" i="1"/>
  <c r="CO14" i="1" s="1"/>
  <c r="CP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CN15" i="1"/>
  <c r="CO15" i="1" s="1"/>
  <c r="CP15" i="1" s="1"/>
  <c r="CR15" i="1"/>
  <c r="CS15" i="1"/>
  <c r="CV15" i="1"/>
  <c r="CN13" i="1"/>
  <c r="CO13" i="1" s="1"/>
  <c r="CP13" i="1" s="1"/>
  <c r="CL13" i="1"/>
  <c r="CL15" i="1"/>
  <c r="CL14" i="1"/>
  <c r="CL263" i="1"/>
  <c r="CK14" i="1"/>
  <c r="CK15" i="1"/>
  <c r="CK13" i="1"/>
  <c r="U6" i="1"/>
  <c r="V6" i="1"/>
  <c r="V14" i="1" s="1"/>
  <c r="W6" i="1"/>
  <c r="X6" i="1"/>
  <c r="Y6" i="1"/>
  <c r="Z6" i="1"/>
  <c r="U7" i="1"/>
  <c r="V7" i="1"/>
  <c r="W7" i="1"/>
  <c r="X7" i="1"/>
  <c r="Y7" i="1"/>
  <c r="Z7" i="1"/>
  <c r="U5" i="1"/>
  <c r="V5" i="1"/>
  <c r="W5" i="1"/>
  <c r="X5" i="1"/>
  <c r="Y5" i="1"/>
  <c r="Z5" i="1"/>
  <c r="U9" i="1"/>
  <c r="V9" i="1"/>
  <c r="W9" i="1"/>
  <c r="X9" i="1"/>
  <c r="Y9" i="1"/>
  <c r="Z9" i="1"/>
  <c r="AE8" i="1"/>
  <c r="AD8" i="1"/>
  <c r="AC8" i="1"/>
  <c r="AB8" i="1"/>
  <c r="AA8" i="1"/>
  <c r="Z8" i="1"/>
  <c r="Y8" i="1"/>
  <c r="X8" i="1"/>
  <c r="W8" i="1"/>
  <c r="V8" i="1"/>
  <c r="U8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T16" i="1"/>
  <c r="BS16" i="1"/>
  <c r="BR16" i="1"/>
  <c r="BQ16" i="1"/>
  <c r="BP16" i="1"/>
  <c r="BO16" i="1"/>
  <c r="CJ13" i="1"/>
  <c r="CJ15" i="1"/>
  <c r="CJ14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0" i="1"/>
  <c r="AB33" i="1"/>
  <c r="AC33" i="1"/>
  <c r="AD33" i="1"/>
  <c r="AE33" i="1"/>
  <c r="AB46" i="1"/>
  <c r="AC46" i="1"/>
  <c r="AD46" i="1"/>
  <c r="AE46" i="1"/>
  <c r="AE45" i="1"/>
  <c r="AD45" i="1"/>
  <c r="AC45" i="1"/>
  <c r="AB45" i="1"/>
  <c r="AJ233" i="1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C62" i="2"/>
  <c r="AC86" i="2"/>
  <c r="AC66" i="2"/>
  <c r="AF21" i="2"/>
  <c r="AF40" i="2"/>
  <c r="AF56" i="2"/>
  <c r="AC40" i="2"/>
  <c r="AF28" i="2"/>
  <c r="AB77" i="2"/>
  <c r="AC93" i="2"/>
  <c r="AF53" i="2"/>
  <c r="AC61" i="2"/>
  <c r="AE106" i="2"/>
  <c r="AF64" i="2"/>
  <c r="AB68" i="2"/>
  <c r="AC88" i="2"/>
  <c r="AB74" i="2"/>
  <c r="AE69" i="2"/>
  <c r="AD14" i="2"/>
  <c r="AD30" i="2"/>
  <c r="AD41" i="2"/>
  <c r="AD57" i="2"/>
  <c r="AE26" i="2"/>
  <c r="AD13" i="2"/>
  <c r="AD48" i="2"/>
  <c r="AF77" i="2"/>
  <c r="AB20" i="2"/>
  <c r="AC41" i="2"/>
  <c r="AE62" i="2"/>
  <c r="AE74" i="2"/>
  <c r="AE91" i="2"/>
  <c r="AF92" i="2"/>
  <c r="AC70" i="2"/>
  <c r="AC15" i="2"/>
  <c r="AD62" i="2"/>
  <c r="AD94" i="2"/>
  <c r="AE17" i="2"/>
  <c r="AC75" i="2"/>
  <c r="AF41" i="2"/>
  <c r="AD87" i="2"/>
  <c r="AD77" i="2"/>
  <c r="AE97" i="2"/>
  <c r="AE63" i="2"/>
  <c r="AC78" i="2"/>
  <c r="AF52" i="2"/>
  <c r="AF36" i="2"/>
  <c r="AB73" i="2"/>
  <c r="AB97" i="2"/>
  <c r="AF34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5" i="2"/>
  <c r="AE89" i="2"/>
  <c r="AB13" i="2"/>
  <c r="AB48" i="2"/>
  <c r="AE12" i="2"/>
  <c r="AE36" i="2"/>
  <c r="AB10" i="2"/>
  <c r="AD60" i="2"/>
  <c r="AD84" i="2"/>
  <c r="AD104" i="2"/>
  <c r="AD50" i="2"/>
  <c r="AC34" i="2"/>
  <c r="AE60" i="2"/>
  <c r="AE84" i="2"/>
  <c r="AC99" i="2"/>
  <c r="AB62" i="2"/>
  <c r="AD89" i="2"/>
  <c r="AC90" i="2"/>
  <c r="AF29" i="2"/>
  <c r="AF48" i="2"/>
  <c r="AC25" i="2"/>
  <c r="AF12" i="2"/>
  <c r="AB61" i="2"/>
  <c r="AB69" i="2"/>
  <c r="AB93" i="2"/>
  <c r="AB105" i="2"/>
  <c r="AE13" i="2"/>
  <c r="AC73" i="2"/>
  <c r="AB84" i="2"/>
  <c r="AE61" i="2"/>
  <c r="AC36" i="2"/>
  <c r="AB90" i="2"/>
  <c r="AB110" i="2"/>
  <c r="AE93" i="2"/>
  <c r="AB5" i="2"/>
  <c r="AB21" i="2"/>
  <c r="AB29" i="2"/>
  <c r="AB40" i="2"/>
  <c r="AB56" i="2"/>
  <c r="AE24" i="2"/>
  <c r="AE51" i="2"/>
  <c r="AB26" i="2"/>
  <c r="AB45" i="2"/>
  <c r="AD68" i="2"/>
  <c r="AD76" i="2"/>
  <c r="AD92" i="2"/>
  <c r="AD15" i="2"/>
  <c r="AC10" i="2"/>
  <c r="AE72" i="2"/>
  <c r="AF30" i="2"/>
  <c r="AD67" i="2"/>
  <c r="AD83" i="2"/>
  <c r="AD99" i="2"/>
  <c r="AE54" i="2"/>
  <c r="AE87" i="2"/>
  <c r="AE23" i="2"/>
  <c r="AD73" i="2"/>
  <c r="AD109" i="2"/>
  <c r="AF13" i="2"/>
  <c r="AC13" i="2"/>
  <c r="AC52" i="2"/>
  <c r="AF47" i="2"/>
  <c r="AB85" i="2"/>
  <c r="AF18" i="2"/>
  <c r="AE40" i="2"/>
  <c r="AC85" i="2"/>
  <c r="AB32" i="2"/>
  <c r="AD49" i="2"/>
  <c r="AE53" i="2"/>
  <c r="AF61" i="2"/>
  <c r="AF85" i="2"/>
  <c r="AF93" i="2"/>
  <c r="AE96" i="2"/>
  <c r="AC14" i="2"/>
  <c r="AE86" i="2"/>
  <c r="AD35" i="2"/>
  <c r="AF70" i="2"/>
  <c r="AF86" i="2"/>
  <c r="AE67" i="2"/>
  <c r="AB58" i="2"/>
  <c r="AB14" i="2"/>
  <c r="AB49" i="2"/>
  <c r="AD86" i="2"/>
  <c r="AC97" i="2"/>
  <c r="AD58" i="2"/>
  <c r="AC63" i="2"/>
  <c r="AC12" i="2"/>
  <c r="AD107" i="2"/>
  <c r="AC55" i="2"/>
  <c r="AE73" i="2"/>
  <c r="AD75" i="2"/>
  <c r="AD81" i="2"/>
  <c r="AF17" i="2"/>
  <c r="AC31" i="2"/>
  <c r="AB81" i="2"/>
  <c r="AF5" i="2"/>
  <c r="AB104" i="2"/>
  <c r="AD22" i="2"/>
  <c r="AE14" i="2"/>
  <c r="AE41" i="2"/>
  <c r="AD29" i="2"/>
  <c r="AF69" i="2"/>
  <c r="AF105" i="2"/>
  <c r="AB55" i="2"/>
  <c r="AC107" i="2"/>
  <c r="AD65" i="2"/>
  <c r="AF106" i="2"/>
  <c r="AE42" i="2"/>
  <c r="AF76" i="2"/>
  <c r="AF112" i="2"/>
  <c r="AC94" i="2"/>
  <c r="AC42" i="2"/>
  <c r="AD78" i="2"/>
  <c r="AD106" i="2"/>
  <c r="AD23" i="2"/>
  <c r="AE44" i="2"/>
  <c r="AC87" i="2"/>
  <c r="AD71" i="2"/>
  <c r="AD93" i="2"/>
  <c r="AF25" i="2"/>
  <c r="AC19" i="2"/>
  <c r="AC58" i="2"/>
  <c r="AB109" i="2"/>
  <c r="AE25" i="2"/>
  <c r="AD6" i="2"/>
  <c r="AB7" i="2"/>
  <c r="AB15" i="2"/>
  <c r="AB23" i="2"/>
  <c r="AB31" i="2"/>
  <c r="AB42" i="2"/>
  <c r="AB50" i="2"/>
  <c r="AC27" i="2"/>
  <c r="AC54" i="2"/>
  <c r="AB30" i="2"/>
  <c r="AD70" i="2"/>
  <c r="AE110" i="2"/>
  <c r="AC68" i="2"/>
  <c r="AC92" i="2"/>
  <c r="AE99" i="2"/>
  <c r="AD97" i="2"/>
  <c r="AC106" i="2"/>
  <c r="AF33" i="2"/>
  <c r="AC7" i="2"/>
  <c r="AC46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C8" i="2"/>
  <c r="AC74" i="2"/>
  <c r="AC9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11" i="2"/>
  <c r="AE77" i="2"/>
  <c r="AE105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D31" i="2"/>
  <c r="AF62" i="2"/>
  <c r="AC22" i="2"/>
  <c r="AC49" i="2"/>
  <c r="AE66" i="2"/>
  <c r="AE78" i="2"/>
  <c r="AE90" i="2"/>
  <c r="AF14" i="2"/>
  <c r="AF49" i="2"/>
  <c r="AE31" i="2"/>
  <c r="AD91" i="2"/>
  <c r="AE75" i="2"/>
  <c r="AC24" i="2"/>
  <c r="AF44" i="2"/>
  <c r="AF20" i="2"/>
  <c r="AF55" i="2"/>
  <c r="AB65" i="2"/>
  <c r="AB89" i="2"/>
  <c r="AC109" i="2"/>
  <c r="AD63" i="2"/>
  <c r="AD8" i="2"/>
  <c r="AB9" i="2"/>
  <c r="AF9" i="2"/>
  <c r="AD10" i="2"/>
  <c r="AE8" i="2"/>
  <c r="AD40" i="2"/>
  <c r="AF97" i="2"/>
  <c r="AE52" i="2"/>
  <c r="AB16" i="2"/>
  <c r="AB92" i="2"/>
  <c r="AB66" i="2"/>
  <c r="AE81" i="2"/>
  <c r="AC82" i="2"/>
  <c r="AC21" i="2"/>
  <c r="AC67" i="2"/>
  <c r="AE109" i="2"/>
  <c r="AE32" i="2"/>
  <c r="AE68" i="2"/>
  <c r="AF84" i="2"/>
  <c r="AB27" i="2"/>
  <c r="AD7" i="2"/>
  <c r="AB36" i="2"/>
  <c r="AC47" i="2"/>
  <c r="AD74" i="2"/>
  <c r="AE79" i="2"/>
  <c r="AF81" i="2"/>
  <c r="AB64" i="2"/>
  <c r="AD105" i="2"/>
  <c r="AF89" i="2"/>
  <c r="AB22" i="2"/>
  <c r="AC108" i="2"/>
  <c r="AB11" i="2"/>
  <c r="AC9" i="2"/>
  <c r="AB41" i="2"/>
  <c r="AD98" i="2"/>
  <c r="AC53" i="2"/>
  <c r="AD19" i="2"/>
  <c r="AF94" i="2"/>
  <c r="AF68" i="2"/>
  <c r="AB19" i="2"/>
  <c r="AB51" i="2"/>
  <c r="AD26" i="2"/>
  <c r="AF6" i="2"/>
  <c r="AD54" i="2"/>
  <c r="AC110" i="2"/>
  <c r="AC33" i="2"/>
  <c r="AC69" i="2"/>
  <c r="AF57" i="2"/>
  <c r="AD85" i="2"/>
  <c r="AE47" i="2"/>
  <c r="AC76" i="2"/>
  <c r="AC48" i="2"/>
  <c r="AE80" i="2"/>
  <c r="AE50" i="2"/>
  <c r="AF104" i="2"/>
  <c r="AD5" i="2"/>
  <c r="AD113" i="2" s="1"/>
  <c r="AE59" i="2"/>
  <c r="AD21" i="2"/>
  <c r="AE92" i="2"/>
  <c r="AC43" i="2"/>
  <c r="AE29" i="2"/>
  <c r="AD18" i="2"/>
  <c r="AE20" i="2"/>
  <c r="AD56" i="2"/>
  <c r="AF109" i="2"/>
  <c r="AE56" i="2"/>
  <c r="AF22" i="2"/>
  <c r="AD95" i="2"/>
  <c r="AD69" i="2"/>
  <c r="AE85" i="2"/>
  <c r="AB57" i="2"/>
  <c r="AD110" i="2"/>
  <c r="AC16" i="2"/>
  <c r="AB82" i="2"/>
  <c r="AF65" i="2"/>
  <c r="AE19" i="2"/>
  <c r="AD66" i="2"/>
  <c r="AC32" i="2"/>
  <c r="AD34" i="2"/>
  <c r="AF73" i="2"/>
  <c r="AC79" i="2"/>
  <c r="AB98" i="2"/>
  <c r="AB35" i="2"/>
  <c r="AD42" i="2"/>
  <c r="AD45" i="2"/>
  <c r="AC80" i="2"/>
  <c r="AC26" i="2"/>
  <c r="AF78" i="2"/>
  <c r="AE107" i="2"/>
  <c r="AB54" i="2"/>
  <c r="AE46" i="2"/>
  <c r="AD79" i="2"/>
  <c r="AD53" i="2"/>
  <c r="AE94" i="2"/>
  <c r="AC81" i="2"/>
  <c r="AD90" i="2"/>
  <c r="AB46" i="2"/>
  <c r="AB6" i="2"/>
  <c r="AD82" i="2"/>
  <c r="AE5" i="2"/>
  <c r="AC91" i="2"/>
  <c r="AB76" i="2"/>
  <c r="AC104" i="2"/>
  <c r="AE27" i="2"/>
  <c r="Z10" i="1" l="1"/>
  <c r="X10" i="1"/>
  <c r="V10" i="1"/>
  <c r="Y28" i="1"/>
  <c r="V28" i="1"/>
  <c r="Y27" i="1"/>
  <c r="W27" i="1"/>
  <c r="U27" i="1"/>
  <c r="CW15" i="1"/>
  <c r="Y10" i="1"/>
  <c r="W10" i="1"/>
  <c r="U10" i="1"/>
  <c r="Z28" i="1"/>
  <c r="X28" i="1"/>
  <c r="W28" i="1"/>
  <c r="U28" i="1"/>
  <c r="Z27" i="1"/>
  <c r="X27" i="1"/>
  <c r="V27" i="1"/>
  <c r="AA196" i="1"/>
  <c r="AA195" i="1"/>
  <c r="AA194" i="1"/>
  <c r="AA188" i="1"/>
  <c r="AA187" i="1"/>
  <c r="AA184" i="1"/>
  <c r="AA183" i="1"/>
  <c r="AA179" i="1"/>
  <c r="AA177" i="1"/>
  <c r="AA175" i="1"/>
  <c r="AA174" i="1"/>
  <c r="AA173" i="1"/>
  <c r="AA171" i="1"/>
  <c r="AA170" i="1"/>
  <c r="AA169" i="1"/>
  <c r="AA168" i="1"/>
  <c r="AA167" i="1"/>
  <c r="AA166" i="1"/>
  <c r="AA164" i="1"/>
  <c r="AA161" i="1"/>
  <c r="AA160" i="1"/>
  <c r="AA159" i="1"/>
  <c r="AA157" i="1"/>
  <c r="AA156" i="1"/>
  <c r="AA155" i="1"/>
  <c r="AA151" i="1"/>
  <c r="AA150" i="1"/>
  <c r="AA149" i="1"/>
  <c r="AA148" i="1"/>
  <c r="AA146" i="1"/>
  <c r="AA143" i="1"/>
  <c r="AA142" i="1"/>
  <c r="AA141" i="1"/>
  <c r="AA103" i="1"/>
  <c r="AA102" i="1"/>
  <c r="AA101" i="1"/>
  <c r="AA91" i="1"/>
  <c r="AA75" i="1"/>
  <c r="AA71" i="1"/>
  <c r="AA70" i="1"/>
  <c r="AA69" i="1"/>
  <c r="AA63" i="1"/>
  <c r="AA60" i="1"/>
  <c r="AA59" i="1"/>
  <c r="AA56" i="1"/>
  <c r="AA49" i="1"/>
  <c r="AA48" i="1"/>
  <c r="AA47" i="1"/>
  <c r="AA46" i="1"/>
  <c r="AA45" i="1"/>
  <c r="AA44" i="1"/>
  <c r="AA39" i="1"/>
  <c r="AA37" i="1"/>
  <c r="AA33" i="1"/>
  <c r="AA32" i="1"/>
  <c r="AA178" i="1"/>
  <c r="AA180" i="1" s="1"/>
  <c r="AA158" i="1"/>
  <c r="AA162" i="1" s="1"/>
  <c r="AA50" i="1"/>
  <c r="AA57" i="1"/>
  <c r="AA152" i="1"/>
  <c r="AA34" i="1"/>
  <c r="AA277" i="1"/>
  <c r="AA276" i="1"/>
  <c r="AA255" i="1"/>
  <c r="AA218" i="1"/>
  <c r="AA207" i="1"/>
  <c r="AA204" i="1"/>
  <c r="AA203" i="1"/>
  <c r="AA197" i="1"/>
  <c r="AA185" i="1"/>
  <c r="AA172" i="1"/>
  <c r="AA144" i="1"/>
  <c r="AB113" i="2"/>
  <c r="AA98" i="1" s="1"/>
  <c r="AB112" i="2"/>
  <c r="AA97" i="1" s="1"/>
  <c r="AB111" i="2"/>
  <c r="AF113" i="2"/>
  <c r="AE24" i="1"/>
  <c r="AD24" i="1"/>
  <c r="AC24" i="1"/>
  <c r="AB24" i="1"/>
  <c r="AA24" i="1"/>
  <c r="Z24" i="1"/>
  <c r="Y24" i="1"/>
  <c r="X24" i="1"/>
  <c r="W24" i="1"/>
  <c r="V24" i="1"/>
  <c r="U24" i="1"/>
  <c r="CT15" i="1"/>
  <c r="CX15" i="1"/>
  <c r="CY15" i="1" s="1"/>
  <c r="CZ15" i="1" s="1"/>
  <c r="DA15" i="1" s="1"/>
  <c r="DB15" i="1" s="1"/>
  <c r="V13" i="1"/>
  <c r="CV13" i="1"/>
  <c r="CW13" i="1" s="1"/>
  <c r="CX13" i="1" s="1"/>
  <c r="CY13" i="1" s="1"/>
  <c r="CZ13" i="1" s="1"/>
  <c r="DA13" i="1" s="1"/>
  <c r="DB13" i="1" s="1"/>
  <c r="W14" i="1"/>
  <c r="W13" i="1"/>
  <c r="Z13" i="1"/>
  <c r="Z14" i="1"/>
  <c r="Y15" i="1"/>
  <c r="X15" i="1"/>
  <c r="Y14" i="1"/>
  <c r="W15" i="1"/>
  <c r="X13" i="1"/>
  <c r="Z15" i="1"/>
  <c r="V15" i="1"/>
  <c r="X14" i="1"/>
  <c r="Y13" i="1"/>
  <c r="AE16" i="1"/>
  <c r="AD16" i="1"/>
  <c r="AA16" i="1"/>
  <c r="AA7" i="1"/>
  <c r="AA15" i="1" s="1"/>
  <c r="AC16" i="1"/>
  <c r="AB16" i="1"/>
  <c r="Z16" i="1"/>
  <c r="Y16" i="1"/>
  <c r="X16" i="1"/>
  <c r="W16" i="1"/>
  <c r="V16" i="1"/>
  <c r="B1" i="9"/>
  <c r="AE111" i="2"/>
  <c r="AC112" i="2"/>
  <c r="AC113" i="2"/>
  <c r="AC111" i="2"/>
  <c r="AE113" i="2"/>
  <c r="AF111" i="2"/>
  <c r="AE112" i="2"/>
  <c r="AD112" i="2"/>
  <c r="A1" i="9"/>
  <c r="L1" i="9"/>
  <c r="AD111" i="2"/>
  <c r="AA209" i="1" l="1"/>
  <c r="AA208" i="1" s="1"/>
  <c r="AA153" i="1"/>
  <c r="AA192" i="1"/>
  <c r="AA133" i="1" s="1"/>
  <c r="AA40" i="1"/>
  <c r="AA122" i="1"/>
  <c r="AA268" i="1"/>
  <c r="AA270" i="1"/>
  <c r="AA272" i="1"/>
  <c r="AA206" i="1"/>
  <c r="AA181" i="1"/>
  <c r="AA189" i="1"/>
  <c r="AA190" i="1" s="1"/>
  <c r="AA51" i="1"/>
  <c r="AA61" i="1"/>
  <c r="AA199" i="1"/>
  <c r="CM7" i="1"/>
  <c r="CM9" i="1"/>
  <c r="AA9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CO263" i="1"/>
  <c r="CN263" i="1"/>
  <c r="CM263" i="1"/>
  <c r="CK263" i="1"/>
  <c r="CK160" i="1"/>
  <c r="CM160" i="1" s="1"/>
  <c r="CN160" i="1" s="1"/>
  <c r="CO160" i="1" s="1"/>
  <c r="CP160" i="1" s="1"/>
  <c r="CQ160" i="1" s="1"/>
  <c r="CR160" i="1" s="1"/>
  <c r="CS160" i="1" s="1"/>
  <c r="CT160" i="1" s="1"/>
  <c r="CU160" i="1" s="1"/>
  <c r="CV160" i="1" s="1"/>
  <c r="CW160" i="1" s="1"/>
  <c r="CX160" i="1" s="1"/>
  <c r="CY160" i="1" s="1"/>
  <c r="CZ160" i="1" s="1"/>
  <c r="DA160" i="1" s="1"/>
  <c r="DB160" i="1" s="1"/>
  <c r="CH176" i="1"/>
  <c r="CJ263" i="1"/>
  <c r="Z263" i="1"/>
  <c r="CN9" i="1" l="1"/>
  <c r="AA41" i="1"/>
  <c r="AA52" i="1"/>
  <c r="AA210" i="1"/>
  <c r="AA205" i="1"/>
  <c r="CN7" i="1"/>
  <c r="CP7" i="1"/>
  <c r="CM5" i="1"/>
  <c r="AA5" i="1"/>
  <c r="CO7" i="1"/>
  <c r="CM6" i="1"/>
  <c r="CI263" i="1"/>
  <c r="CG160" i="1"/>
  <c r="CG263" i="1"/>
  <c r="CH263" i="1"/>
  <c r="AB37" i="1"/>
  <c r="AC37" i="1"/>
  <c r="AD37" i="1"/>
  <c r="AE37" i="1"/>
  <c r="AB38" i="1"/>
  <c r="AC38" i="1"/>
  <c r="AD38" i="1"/>
  <c r="AE38" i="1"/>
  <c r="AB48" i="1"/>
  <c r="AC48" i="1"/>
  <c r="AD48" i="1"/>
  <c r="AE48" i="1"/>
  <c r="AB49" i="1"/>
  <c r="AC49" i="1"/>
  <c r="AD49" i="1"/>
  <c r="AE49" i="1"/>
  <c r="AB71" i="1"/>
  <c r="AC71" i="1"/>
  <c r="AD71" i="1"/>
  <c r="AE71" i="1"/>
  <c r="AB183" i="1"/>
  <c r="AC183" i="1"/>
  <c r="AD183" i="1"/>
  <c r="AE183" i="1"/>
  <c r="AB197" i="1"/>
  <c r="AC197" i="1"/>
  <c r="AD197" i="1"/>
  <c r="AE197" i="1"/>
  <c r="CE160" i="1"/>
  <c r="CE263" i="1"/>
  <c r="CF263" i="1"/>
  <c r="AI221" i="1"/>
  <c r="AI226" i="1"/>
  <c r="AI230" i="1"/>
  <c r="AI233" i="1"/>
  <c r="AI263" i="1"/>
  <c r="Y263" i="1"/>
  <c r="AM160" i="1"/>
  <c r="AO160" i="1"/>
  <c r="AQ160" i="1"/>
  <c r="AS160" i="1"/>
  <c r="AU160" i="1"/>
  <c r="AW160" i="1"/>
  <c r="AY160" i="1"/>
  <c r="BA160" i="1"/>
  <c r="BC160" i="1"/>
  <c r="BE160" i="1"/>
  <c r="BG160" i="1"/>
  <c r="BI160" i="1"/>
  <c r="BK160" i="1"/>
  <c r="BM160" i="1"/>
  <c r="BO160" i="1"/>
  <c r="BQ160" i="1"/>
  <c r="BS160" i="1"/>
  <c r="BU160" i="1"/>
  <c r="BW160" i="1"/>
  <c r="BY160" i="1"/>
  <c r="CA160" i="1"/>
  <c r="CC160" i="1"/>
  <c r="CD263" i="1"/>
  <c r="CC263" i="1"/>
  <c r="AJ263" i="1"/>
  <c r="AK263" i="1"/>
  <c r="AL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CO9" i="1" l="1"/>
  <c r="CP9" i="1" s="1"/>
  <c r="CM10" i="1"/>
  <c r="AA13" i="1"/>
  <c r="AA27" i="1"/>
  <c r="AA10" i="1"/>
  <c r="AA136" i="1"/>
  <c r="AA53" i="1"/>
  <c r="AA58" i="1"/>
  <c r="AA256" i="1"/>
  <c r="AA257" i="1" s="1"/>
  <c r="AA6" i="1"/>
  <c r="AA28" i="1" s="1"/>
  <c r="AB7" i="1"/>
  <c r="AB15" i="1" s="1"/>
  <c r="CQ7" i="1"/>
  <c r="CN5" i="1"/>
  <c r="CQ5" i="1"/>
  <c r="CN6" i="1"/>
  <c r="CO6" i="1"/>
  <c r="Y1" i="1"/>
  <c r="Z1" i="1" s="1"/>
  <c r="CQ9" i="1" l="1"/>
  <c r="AB9" i="1"/>
  <c r="CM32" i="1"/>
  <c r="CN10" i="1"/>
  <c r="AA62" i="1"/>
  <c r="AA79" i="1"/>
  <c r="AA14" i="1"/>
  <c r="CN32" i="1"/>
  <c r="CR5" i="1"/>
  <c r="CP5" i="1"/>
  <c r="CP10" i="1" s="1"/>
  <c r="CO5" i="1"/>
  <c r="CO10" i="1" s="1"/>
  <c r="CR7" i="1"/>
  <c r="CS7" i="1"/>
  <c r="CP6" i="1"/>
  <c r="AA1" i="1"/>
  <c r="AB1" i="1" s="1"/>
  <c r="AC1" i="1" s="1"/>
  <c r="AD1" i="1" s="1"/>
  <c r="AE1" i="1" s="1"/>
  <c r="CR9" i="1" l="1"/>
  <c r="AA64" i="1"/>
  <c r="AA65" i="1"/>
  <c r="AB6" i="1"/>
  <c r="CP32" i="1"/>
  <c r="CT5" i="1"/>
  <c r="AB5" i="1"/>
  <c r="CT7" i="1"/>
  <c r="AC7" i="1" s="1"/>
  <c r="AC15" i="1" s="1"/>
  <c r="CQ6" i="1"/>
  <c r="CQ10" i="1" s="1"/>
  <c r="A1" i="3"/>
  <c r="CS9" i="1" l="1"/>
  <c r="AB14" i="1"/>
  <c r="AB28" i="1"/>
  <c r="AB27" i="1"/>
  <c r="AB10" i="1"/>
  <c r="AA258" i="1"/>
  <c r="AA72" i="1"/>
  <c r="AA66" i="1"/>
  <c r="AA269" i="1" s="1"/>
  <c r="CU5" i="1"/>
  <c r="CS5" i="1"/>
  <c r="CO32" i="1"/>
  <c r="AB13" i="1"/>
  <c r="CU7" i="1"/>
  <c r="CQ32" i="1"/>
  <c r="CR6" i="1"/>
  <c r="CR10" i="1" s="1"/>
  <c r="CT9" i="1"/>
  <c r="A1" i="6"/>
  <c r="A1" i="4"/>
  <c r="BU6" i="3"/>
  <c r="BU12" i="3"/>
  <c r="BU18" i="3"/>
  <c r="BU24" i="3"/>
  <c r="BU30" i="3"/>
  <c r="BU36" i="3"/>
  <c r="BU42" i="3"/>
  <c r="BV8" i="3"/>
  <c r="BS36" i="3"/>
  <c r="BT23" i="3"/>
  <c r="BP38" i="3"/>
  <c r="BK42" i="3"/>
  <c r="BL22" i="3"/>
  <c r="BN41" i="3"/>
  <c r="BI24" i="3"/>
  <c r="BF10" i="3"/>
  <c r="CL37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G32" i="3"/>
  <c r="BL8" i="3"/>
  <c r="BF25" i="3"/>
  <c r="CL60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BK5" i="3"/>
  <c r="Z107" i="2"/>
  <c r="BQ7" i="3"/>
  <c r="BQ13" i="3"/>
  <c r="BQ19" i="3"/>
  <c r="BQ25" i="3"/>
  <c r="BQ31" i="3"/>
  <c r="BQ37" i="3"/>
  <c r="BQ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59" i="1" s="1"/>
  <c r="BG5" i="3"/>
  <c r="BK25" i="3"/>
  <c r="BF18" i="3"/>
  <c r="CL49" i="1" s="1"/>
  <c r="BT12" i="3"/>
  <c r="BP33" i="3"/>
  <c r="BP13" i="3"/>
  <c r="BG8" i="3"/>
  <c r="BE13" i="3"/>
  <c r="BM17" i="3"/>
  <c r="BK22" i="3"/>
  <c r="BK36" i="3"/>
  <c r="BF15" i="3"/>
  <c r="CL48" i="1" s="1"/>
  <c r="BH34" i="3"/>
  <c r="BM14" i="3"/>
  <c r="BG35" i="3"/>
  <c r="BH15" i="3"/>
  <c r="BF14" i="3"/>
  <c r="CL47" i="1" s="1"/>
  <c r="BH33" i="3"/>
  <c r="BL25" i="3"/>
  <c r="BF24" i="3"/>
  <c r="BT9" i="3"/>
  <c r="BP14" i="3"/>
  <c r="BI33" i="3"/>
  <c r="BN9" i="3"/>
  <c r="BH26" i="3"/>
  <c r="BF45" i="3"/>
  <c r="CL87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EY7" i="4" a="1"/>
  <c r="FE9" i="4" a="1"/>
  <c r="FA13" i="4" a="1"/>
  <c r="FE16" i="4" a="1"/>
  <c r="BE45" i="3"/>
  <c r="BI13" i="3"/>
  <c r="BE23" i="3"/>
  <c r="BG38" i="3"/>
  <c r="BM36" i="3"/>
  <c r="BN34" i="3"/>
  <c r="BK34" i="3"/>
  <c r="BH45" i="3"/>
  <c r="Y23" i="2"/>
  <c r="BC18" i="3"/>
  <c r="BC27" i="3"/>
  <c r="BU7" i="3"/>
  <c r="BU13" i="3"/>
  <c r="BU19" i="3"/>
  <c r="BU25" i="3"/>
  <c r="BU31" i="3"/>
  <c r="BU37" i="3"/>
  <c r="BU45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F27" i="3"/>
  <c r="BF26" i="3"/>
  <c r="CL71" i="1" s="1"/>
  <c r="BP41" i="3"/>
  <c r="BG18" i="3"/>
  <c r="BI16" i="3"/>
  <c r="BL15" i="3"/>
  <c r="BF32" i="3"/>
  <c r="BG37" i="3"/>
  <c r="AA17" i="2"/>
  <c r="Z64" i="2"/>
  <c r="BB15" i="3"/>
  <c r="BQ8" i="3"/>
  <c r="BQ14" i="3"/>
  <c r="BQ20" i="3"/>
  <c r="BQ26" i="3"/>
  <c r="BQ32" i="3"/>
  <c r="BQ38" i="3"/>
  <c r="BQ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63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J38" i="3"/>
  <c r="BU8" i="3"/>
  <c r="BU14" i="3"/>
  <c r="BU20" i="3"/>
  <c r="BU26" i="3"/>
  <c r="BU32" i="3"/>
  <c r="BU38" i="3"/>
  <c r="BU46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44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Q9" i="3"/>
  <c r="BQ15" i="3"/>
  <c r="BQ21" i="3"/>
  <c r="BQ27" i="3"/>
  <c r="BQ33" i="3"/>
  <c r="BQ39" i="3"/>
  <c r="BR5" i="3"/>
  <c r="BR11" i="3"/>
  <c r="BS41" i="3"/>
  <c r="BT14" i="3"/>
  <c r="BM31" i="3"/>
  <c r="BL10" i="3"/>
  <c r="BH30" i="3"/>
  <c r="BE12" i="3"/>
  <c r="BM32" i="3"/>
  <c r="BF46" i="3"/>
  <c r="CL88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K38" i="3"/>
  <c r="BJ15" i="3"/>
  <c r="BH32" i="3"/>
  <c r="BU9" i="3"/>
  <c r="BU15" i="3"/>
  <c r="BU21" i="3"/>
  <c r="BU27" i="3"/>
  <c r="BU33" i="3"/>
  <c r="BU39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Q10" i="3"/>
  <c r="BQ16" i="3"/>
  <c r="BQ22" i="3"/>
  <c r="BQ28" i="3"/>
  <c r="BQ34" i="3"/>
  <c r="BQ40" i="3"/>
  <c r="BR6" i="3"/>
  <c r="BR12" i="3"/>
  <c r="BO45" i="3"/>
  <c r="BT34" i="3"/>
  <c r="BM33" i="3"/>
  <c r="BL14" i="3"/>
  <c r="BJ33" i="3"/>
  <c r="BG15" i="3"/>
  <c r="BI36" i="3"/>
  <c r="BF20" i="3"/>
  <c r="CL33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38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M25" i="3"/>
  <c r="BI41" i="3"/>
  <c r="BL18" i="3"/>
  <c r="BF35" i="3"/>
  <c r="CL70" i="1" s="1"/>
  <c r="BG11" i="3"/>
  <c r="BE28" i="3"/>
  <c r="BJ8" i="3"/>
  <c r="BF28" i="3"/>
  <c r="CL56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BU10" i="3"/>
  <c r="BU16" i="3"/>
  <c r="BU22" i="3"/>
  <c r="BU28" i="3"/>
  <c r="BU34" i="3"/>
  <c r="BU40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32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EZ14" i="4" a="1"/>
  <c r="FB9" i="4" a="1"/>
  <c r="EZ15" i="4" a="1"/>
  <c r="FA12" i="4" a="1"/>
  <c r="EZ7" i="4" a="1"/>
  <c r="EY8" i="4" a="1"/>
  <c r="FE13" i="4" a="1"/>
  <c r="BM6" i="3"/>
  <c r="BK8" i="3"/>
  <c r="BN35" i="3"/>
  <c r="BL21" i="3"/>
  <c r="BT13" i="3"/>
  <c r="BJ11" i="3"/>
  <c r="BG21" i="3"/>
  <c r="BQ5" i="3"/>
  <c r="BQ11" i="3"/>
  <c r="BQ17" i="3"/>
  <c r="BQ23" i="3"/>
  <c r="BQ29" i="3"/>
  <c r="BQ35" i="3"/>
  <c r="BQ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FD12" i="4" a="1"/>
  <c r="FD13" i="4" a="1"/>
  <c r="FC11" i="4" a="1"/>
  <c r="FD9" i="4" a="1"/>
  <c r="EZ12" i="4" a="1"/>
  <c r="FB14" i="4" a="1"/>
  <c r="EZ5" i="4" a="1"/>
  <c r="BT16" i="3"/>
  <c r="BN36" i="3"/>
  <c r="BJ27" i="3"/>
  <c r="AB39" i="3"/>
  <c r="AA9" i="2"/>
  <c r="BU5" i="3"/>
  <c r="BU11" i="3"/>
  <c r="BU17" i="3"/>
  <c r="BU23" i="3"/>
  <c r="BU29" i="3"/>
  <c r="BU35" i="3"/>
  <c r="BU41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69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FA5" i="4" a="1"/>
  <c r="BL16" i="3"/>
  <c r="BP20" i="3"/>
  <c r="Y46" i="2"/>
  <c r="BQ6" i="3"/>
  <c r="BQ12" i="3"/>
  <c r="BQ18" i="3"/>
  <c r="BQ24" i="3"/>
  <c r="BQ30" i="3"/>
  <c r="BQ36" i="3"/>
  <c r="BQ42" i="3"/>
  <c r="BR8" i="3"/>
  <c r="BS35" i="3"/>
  <c r="BT15" i="3"/>
  <c r="BP30" i="3"/>
  <c r="BM41" i="3"/>
  <c r="BF21" i="3"/>
  <c r="CL46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7" i="3" s="1"/>
  <c r="BP22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7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BK84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EX11" i="4" a="1"/>
  <c r="FB8" i="4" a="1"/>
  <c r="FB7" i="4" a="1"/>
  <c r="FE6" i="4" a="1"/>
  <c r="EX7" i="4" a="1"/>
  <c r="FE7" i="4" a="1"/>
  <c r="EX12" i="4" a="1"/>
  <c r="EY6" i="4" a="1"/>
  <c r="FE5" i="4" a="1"/>
  <c r="FC8" i="4" a="1"/>
  <c r="FA11" i="4" a="1"/>
  <c r="FA9" i="4" a="1"/>
  <c r="EZ9" i="4" a="1"/>
  <c r="BP42" i="3"/>
  <c r="BK27" i="3"/>
  <c r="BP29" i="3"/>
  <c r="AA61" i="2"/>
  <c r="AA105" i="2"/>
  <c r="BD22" i="3"/>
  <c r="BS13" i="3"/>
  <c r="BT32" i="3"/>
  <c r="BG66" i="3"/>
  <c r="BF13" i="3"/>
  <c r="BI42" i="3"/>
  <c r="Z48" i="2"/>
  <c r="AA47" i="2"/>
  <c r="BB37" i="3"/>
  <c r="Z49" i="2"/>
  <c r="Z29" i="2"/>
  <c r="BD35" i="3"/>
  <c r="Z85" i="2"/>
  <c r="Y34" i="2"/>
  <c r="BC23" i="3"/>
  <c r="BA34" i="3"/>
  <c r="BB23" i="3"/>
  <c r="Y63" i="2"/>
  <c r="FC14" i="4" a="1"/>
  <c r="EX13" i="4" a="1"/>
  <c r="EX9" i="4" a="1"/>
  <c r="FC15" i="4" a="1"/>
  <c r="BB28" i="3"/>
  <c r="FD7" i="4" a="1"/>
  <c r="FC6" i="4" a="1"/>
  <c r="Y20" i="2"/>
  <c r="Y27" i="2"/>
  <c r="AA59" i="2"/>
  <c r="EY16" i="4" a="1"/>
  <c r="AA49" i="2"/>
  <c r="BG25" i="3"/>
  <c r="Z93" i="2"/>
  <c r="BA24" i="3"/>
  <c r="FC7" i="4" a="1"/>
  <c r="BS19" i="3"/>
  <c r="BP31" i="3"/>
  <c r="BF22" i="3"/>
  <c r="BF17" i="3"/>
  <c r="CL45" i="1" s="1"/>
  <c r="BH7" i="3"/>
  <c r="Y51" i="2"/>
  <c r="Z72" i="2"/>
  <c r="BB38" i="3"/>
  <c r="AA86" i="2"/>
  <c r="BC28" i="3"/>
  <c r="BB46" i="3"/>
  <c r="AA98" i="2"/>
  <c r="Z105" i="2"/>
  <c r="Z65" i="2"/>
  <c r="Z27" i="2"/>
  <c r="BD15" i="3"/>
  <c r="Z17" i="2"/>
  <c r="FC12" i="4" a="1"/>
  <c r="EX5" i="4" a="1"/>
  <c r="FE14" i="4" a="1"/>
  <c r="EX14" i="4" a="1"/>
  <c r="FA15" i="4" a="1"/>
  <c r="FB12" i="4" a="1"/>
  <c r="EY11" i="4" a="1"/>
  <c r="FE11" i="4" a="1"/>
  <c r="BI6" i="3"/>
  <c r="Z73" i="2"/>
  <c r="Z58" i="2"/>
  <c r="BD24" i="3"/>
  <c r="Z69" i="2"/>
  <c r="FF12" i="4" a="1"/>
  <c r="BA20" i="3"/>
  <c r="Y96" i="2"/>
  <c r="EY14" i="4" a="1"/>
  <c r="BD46" i="3"/>
  <c r="Z33" i="2"/>
  <c r="FB6" i="4" a="1"/>
  <c r="BS25" i="3"/>
  <c r="BI5" i="3"/>
  <c r="BH41" i="3"/>
  <c r="BL28" i="3"/>
  <c r="BN16" i="3"/>
  <c r="Y36" i="2"/>
  <c r="BC38" i="3"/>
  <c r="BC15" i="3"/>
  <c r="AA50" i="2"/>
  <c r="BC13" i="3"/>
  <c r="AA88" i="2"/>
  <c r="Z94" i="2"/>
  <c r="AA82" i="2"/>
  <c r="Z83" i="2"/>
  <c r="BC5" i="3"/>
  <c r="BC40" i="3"/>
  <c r="Y29" i="2"/>
  <c r="FA8" i="4" a="1"/>
  <c r="FC13" i="4" a="1"/>
  <c r="EY12" i="4" a="1"/>
  <c r="BL9" i="3"/>
  <c r="AA80" i="2"/>
  <c r="Z77" i="2"/>
  <c r="BA6" i="3"/>
  <c r="Y74" i="2"/>
  <c r="AA46" i="2"/>
  <c r="BA8" i="3"/>
  <c r="BS31" i="3"/>
  <c r="BG10" i="3"/>
  <c r="BJ14" i="3"/>
  <c r="BN33" i="3"/>
  <c r="BH23" i="3"/>
  <c r="AA14" i="2"/>
  <c r="BC37" i="3"/>
  <c r="Z20" i="2"/>
  <c r="AA35" i="2"/>
  <c r="BC17" i="3"/>
  <c r="AA28" i="2"/>
  <c r="Y31" i="2"/>
  <c r="AA33" i="2"/>
  <c r="Z88" i="2"/>
  <c r="BD17" i="3"/>
  <c r="BD5" i="3"/>
  <c r="Z42" i="2"/>
  <c r="EY13" i="4" a="1"/>
  <c r="BA17" i="3"/>
  <c r="Y17" i="2"/>
  <c r="AA12" i="2"/>
  <c r="FF14" i="4" a="1"/>
  <c r="AA63" i="2"/>
  <c r="BD16" i="3"/>
  <c r="FF11" i="4" a="1"/>
  <c r="FF5" i="4" a="1"/>
  <c r="Y105" i="2"/>
  <c r="EZ8" i="4" a="1"/>
  <c r="FF8" i="4" a="1"/>
  <c r="FB15" i="4" a="1"/>
  <c r="BJ23" i="3"/>
  <c r="BC16" i="3"/>
  <c r="Z95" i="2"/>
  <c r="FE8" i="4" a="1"/>
  <c r="BA25" i="3"/>
  <c r="FA16" i="4" a="1"/>
  <c r="BO40" i="3"/>
  <c r="BE15" i="3"/>
  <c r="BT10" i="3"/>
  <c r="BM19" i="3"/>
  <c r="BN28" i="3"/>
  <c r="BG9" i="3"/>
  <c r="Z36" i="2"/>
  <c r="BC7" i="3"/>
  <c r="Y18" i="2"/>
  <c r="FF6" i="4" a="1"/>
  <c r="BD25" i="3"/>
  <c r="AA15" i="2"/>
  <c r="BP26" i="3"/>
  <c r="Y85" i="2"/>
  <c r="BC39" i="3"/>
  <c r="Y57" i="2"/>
  <c r="BA11" i="3"/>
  <c r="EZ11" i="4" a="1"/>
  <c r="Y54" i="2"/>
  <c r="BI29" i="3"/>
  <c r="BK24" i="3"/>
  <c r="BT19" i="3"/>
  <c r="BM10" i="3"/>
  <c r="AA40" i="2"/>
  <c r="Z108" i="2"/>
  <c r="BB32" i="3"/>
  <c r="Y19" i="2"/>
  <c r="Z70" i="2"/>
  <c r="BA36" i="3"/>
  <c r="AA20" i="2"/>
  <c r="AA13" i="2"/>
  <c r="AV10" i="3"/>
  <c r="BC33" i="3"/>
  <c r="Y52" i="2"/>
  <c r="AA75" i="2"/>
  <c r="Y53" i="2"/>
  <c r="FA7" i="4" a="1"/>
  <c r="FC16" i="4" a="1"/>
  <c r="EY15" i="4" a="1"/>
  <c r="BL34" i="3"/>
  <c r="Z22" i="2"/>
  <c r="Y109" i="2"/>
  <c r="Y97" i="2"/>
  <c r="FF7" i="4" a="1"/>
  <c r="AA92" i="2"/>
  <c r="FA14" i="4" a="1"/>
  <c r="BF11" i="3"/>
  <c r="CL39" i="1" s="1"/>
  <c r="BK46" i="3"/>
  <c r="BT37" i="3"/>
  <c r="BE22" i="3"/>
  <c r="AA109" i="2"/>
  <c r="AA7" i="2"/>
  <c r="BC41" i="3"/>
  <c r="Y108" i="2"/>
  <c r="AA76" i="2"/>
  <c r="BB19" i="3"/>
  <c r="Z59" i="2"/>
  <c r="AA65" i="2"/>
  <c r="FD6" i="4" a="1"/>
  <c r="Y58" i="2"/>
  <c r="BA7" i="3"/>
  <c r="BE14" i="3"/>
  <c r="BL42" i="3"/>
  <c r="BP40" i="3"/>
  <c r="BI26" i="3"/>
  <c r="Y94" i="2"/>
  <c r="AA78" i="2"/>
  <c r="BD39" i="3"/>
  <c r="AA79" i="2"/>
  <c r="Y71" i="2"/>
  <c r="BC29" i="3"/>
  <c r="Y8" i="2"/>
  <c r="Y90" i="2"/>
  <c r="BA33" i="3"/>
  <c r="BD38" i="3"/>
  <c r="Y79" i="2"/>
  <c r="Z43" i="2"/>
  <c r="AA45" i="2"/>
  <c r="FF15" i="4" a="1"/>
  <c r="FB13" i="4" a="1"/>
  <c r="EX6" i="4" a="1"/>
  <c r="FD5" i="4" a="1"/>
  <c r="BC42" i="3"/>
  <c r="BA10" i="3"/>
  <c r="FF9" i="4" a="1"/>
  <c r="FD16" i="4" a="1"/>
  <c r="BD37" i="3"/>
  <c r="Z21" i="2"/>
  <c r="AA85" i="2"/>
  <c r="BA23" i="3"/>
  <c r="BC46" i="3"/>
  <c r="FB11" i="4" a="1"/>
  <c r="BM34" i="3"/>
  <c r="BG23" i="3"/>
  <c r="BM35" i="3"/>
  <c r="BI38" i="3"/>
  <c r="Y22" i="2"/>
  <c r="Z50" i="2"/>
  <c r="BA29" i="3"/>
  <c r="Z5" i="2"/>
  <c r="Y61" i="2"/>
  <c r="Y47" i="2"/>
  <c r="AA32" i="2"/>
  <c r="BC36" i="3"/>
  <c r="Z8" i="2"/>
  <c r="Z82" i="2"/>
  <c r="Y87" i="2"/>
  <c r="EX16" i="4" a="1"/>
  <c r="FE15" i="4" a="1"/>
  <c r="BM40" i="3"/>
  <c r="Z67" i="2"/>
  <c r="Y12" i="2"/>
  <c r="Y33" i="2"/>
  <c r="BA5" i="3"/>
  <c r="BL5" i="3"/>
  <c r="BN6" i="3"/>
  <c r="BG40" i="3"/>
  <c r="AC5" i="1" l="1"/>
  <c r="AC9" i="1"/>
  <c r="AA76" i="1"/>
  <c r="AA78" i="1"/>
  <c r="AA217" i="1"/>
  <c r="AA219" i="1" s="1"/>
  <c r="CL276" i="1"/>
  <c r="CL277" i="1"/>
  <c r="CL218" i="1"/>
  <c r="CL255" i="1"/>
  <c r="CL34" i="1"/>
  <c r="CL89" i="1"/>
  <c r="CL50" i="1"/>
  <c r="CL51" i="1" s="1"/>
  <c r="CK47" i="1"/>
  <c r="CK48" i="1"/>
  <c r="CK45" i="1"/>
  <c r="CK37" i="1"/>
  <c r="CK63" i="1"/>
  <c r="CK46" i="1"/>
  <c r="CK32" i="1"/>
  <c r="CK39" i="1"/>
  <c r="CK56" i="1"/>
  <c r="CK60" i="1"/>
  <c r="CK44" i="1"/>
  <c r="CK69" i="1"/>
  <c r="CK75" i="1"/>
  <c r="CK38" i="1"/>
  <c r="CK88" i="1"/>
  <c r="CK33" i="1"/>
  <c r="CK59" i="1"/>
  <c r="CK87" i="1"/>
  <c r="CK89" i="1" s="1"/>
  <c r="CK71" i="1"/>
  <c r="CK49" i="1"/>
  <c r="CK70" i="1"/>
  <c r="CW5" i="1"/>
  <c r="CV5" i="1"/>
  <c r="CX5" i="1"/>
  <c r="CV7" i="1"/>
  <c r="CW7" i="1"/>
  <c r="CX7" i="1"/>
  <c r="CR32" i="1"/>
  <c r="CS6" i="1"/>
  <c r="CU9" i="1"/>
  <c r="Z71" i="1"/>
  <c r="CH69" i="1"/>
  <c r="CH39" i="1"/>
  <c r="X150" i="1"/>
  <c r="X178" i="1" s="1"/>
  <c r="Z146" i="1"/>
  <c r="CH146" i="1" s="1"/>
  <c r="CI146" i="1" s="1"/>
  <c r="Z47" i="1"/>
  <c r="Z179" i="1"/>
  <c r="CH179" i="1" s="1"/>
  <c r="CH63" i="1"/>
  <c r="CJ69" i="1"/>
  <c r="CJ33" i="1"/>
  <c r="X91" i="1"/>
  <c r="Y142" i="1"/>
  <c r="X71" i="1"/>
  <c r="Y45" i="1"/>
  <c r="X156" i="1"/>
  <c r="X141" i="1"/>
  <c r="Y141" i="1"/>
  <c r="Y33" i="1"/>
  <c r="Z195" i="1"/>
  <c r="Z102" i="1"/>
  <c r="Y174" i="1"/>
  <c r="Y156" i="1"/>
  <c r="X177" i="1"/>
  <c r="Y143" i="1"/>
  <c r="Y196" i="1"/>
  <c r="CI70" i="1"/>
  <c r="Y184" i="1"/>
  <c r="Z183" i="1"/>
  <c r="X49" i="1"/>
  <c r="CH56" i="1"/>
  <c r="CH218" i="1" s="1"/>
  <c r="CJ47" i="1"/>
  <c r="CI71" i="1"/>
  <c r="CJ48" i="1"/>
  <c r="CH59" i="1"/>
  <c r="CG60" i="1"/>
  <c r="X170" i="1"/>
  <c r="Y151" i="1"/>
  <c r="X102" i="1"/>
  <c r="Z60" i="1"/>
  <c r="Z188" i="1"/>
  <c r="CH188" i="1" s="1"/>
  <c r="CI188" i="1" s="1"/>
  <c r="X195" i="1"/>
  <c r="Y70" i="1"/>
  <c r="Z187" i="1"/>
  <c r="CH187" i="1" s="1"/>
  <c r="CI187" i="1" s="1"/>
  <c r="Y175" i="1"/>
  <c r="X175" i="1"/>
  <c r="X56" i="1"/>
  <c r="Z161" i="1"/>
  <c r="CH161" i="1" s="1"/>
  <c r="CI161" i="1" s="1"/>
  <c r="CH37" i="1"/>
  <c r="CG49" i="1"/>
  <c r="CJ45" i="1"/>
  <c r="Y56" i="1"/>
  <c r="Y164" i="1"/>
  <c r="Z143" i="1"/>
  <c r="CH143" i="1" s="1"/>
  <c r="CJ38" i="1"/>
  <c r="CG69" i="1"/>
  <c r="CG59" i="1"/>
  <c r="CI32" i="1"/>
  <c r="CG37" i="1"/>
  <c r="CG46" i="1"/>
  <c r="CH70" i="1"/>
  <c r="CH32" i="1"/>
  <c r="CH75" i="1"/>
  <c r="CG39" i="1"/>
  <c r="CJ60" i="1"/>
  <c r="CI69" i="1"/>
  <c r="CJ44" i="1"/>
  <c r="CN44" i="1" s="1"/>
  <c r="CR44" i="1" s="1"/>
  <c r="CV44" i="1" s="1"/>
  <c r="CZ44" i="1" s="1"/>
  <c r="X159" i="1"/>
  <c r="X155" i="1" s="1"/>
  <c r="Y150" i="1"/>
  <c r="Y178" i="1" s="1"/>
  <c r="Z59" i="1"/>
  <c r="Y69" i="1"/>
  <c r="X161" i="1"/>
  <c r="Y188" i="1"/>
  <c r="X33" i="1"/>
  <c r="X196" i="1"/>
  <c r="Z56" i="1"/>
  <c r="Z218" i="1" s="1"/>
  <c r="X151" i="1"/>
  <c r="X149" i="1"/>
  <c r="CI59" i="1"/>
  <c r="CH38" i="1"/>
  <c r="CI46" i="1"/>
  <c r="CH71" i="1"/>
  <c r="CJ88" i="1"/>
  <c r="CI88" i="1" s="1"/>
  <c r="CH88" i="1" s="1"/>
  <c r="CG88" i="1" s="1"/>
  <c r="CF88" i="1" s="1"/>
  <c r="CE88" i="1" s="1"/>
  <c r="CD88" i="1" s="1"/>
  <c r="CC88" i="1" s="1"/>
  <c r="CB88" i="1" s="1"/>
  <c r="CA88" i="1" s="1"/>
  <c r="BZ88" i="1" s="1"/>
  <c r="BY88" i="1" s="1"/>
  <c r="BX88" i="1" s="1"/>
  <c r="BW88" i="1" s="1"/>
  <c r="BV88" i="1" s="1"/>
  <c r="BU88" i="1" s="1"/>
  <c r="BT88" i="1" s="1"/>
  <c r="BS88" i="1" s="1"/>
  <c r="BR88" i="1" s="1"/>
  <c r="BQ88" i="1" s="1"/>
  <c r="BP88" i="1" s="1"/>
  <c r="BO88" i="1" s="1"/>
  <c r="BN88" i="1" s="1"/>
  <c r="BM88" i="1" s="1"/>
  <c r="BL88" i="1" s="1"/>
  <c r="BK88" i="1" s="1"/>
  <c r="BJ88" i="1" s="1"/>
  <c r="BI88" i="1" s="1"/>
  <c r="BH88" i="1" s="1"/>
  <c r="BG88" i="1" s="1"/>
  <c r="BF88" i="1" s="1"/>
  <c r="BE88" i="1" s="1"/>
  <c r="BD88" i="1" s="1"/>
  <c r="BC88" i="1" s="1"/>
  <c r="BB88" i="1" s="1"/>
  <c r="BA88" i="1" s="1"/>
  <c r="AZ88" i="1" s="1"/>
  <c r="AY88" i="1" s="1"/>
  <c r="AX88" i="1" s="1"/>
  <c r="AW88" i="1" s="1"/>
  <c r="AV88" i="1" s="1"/>
  <c r="AU88" i="1" s="1"/>
  <c r="AT88" i="1" s="1"/>
  <c r="AS88" i="1" s="1"/>
  <c r="AR88" i="1" s="1"/>
  <c r="AQ88" i="1" s="1"/>
  <c r="AP88" i="1" s="1"/>
  <c r="AO88" i="1" s="1"/>
  <c r="AN88" i="1" s="1"/>
  <c r="AM88" i="1" s="1"/>
  <c r="AL88" i="1" s="1"/>
  <c r="AK88" i="1" s="1"/>
  <c r="AJ88" i="1" s="1"/>
  <c r="AI88" i="1" s="1"/>
  <c r="CG47" i="1"/>
  <c r="CJ56" i="1"/>
  <c r="CG38" i="1"/>
  <c r="Z70" i="1"/>
  <c r="Z175" i="1"/>
  <c r="CH175" i="1" s="1"/>
  <c r="X63" i="1"/>
  <c r="Z69" i="1"/>
  <c r="X169" i="1"/>
  <c r="Y146" i="1"/>
  <c r="X179" i="1"/>
  <c r="Z48" i="1"/>
  <c r="X146" i="1"/>
  <c r="Z157" i="1"/>
  <c r="CH157" i="1" s="1"/>
  <c r="CI157" i="1" s="1"/>
  <c r="Z164" i="1"/>
  <c r="Z39" i="1"/>
  <c r="X37" i="1"/>
  <c r="Y101" i="1"/>
  <c r="Y194" i="1"/>
  <c r="Z194" i="1"/>
  <c r="X148" i="1"/>
  <c r="Y75" i="1"/>
  <c r="Y49" i="1"/>
  <c r="Y183" i="1"/>
  <c r="Z142" i="1"/>
  <c r="CH142" i="1" s="1"/>
  <c r="CI142" i="1" s="1"/>
  <c r="Y59" i="1"/>
  <c r="Y179" i="1"/>
  <c r="Z103" i="1"/>
  <c r="Z167" i="1"/>
  <c r="CH167" i="1" s="1"/>
  <c r="Z151" i="1"/>
  <c r="CH151" i="1" s="1"/>
  <c r="CI151" i="1" s="1"/>
  <c r="Y167" i="1"/>
  <c r="Y32" i="1"/>
  <c r="CG70" i="1"/>
  <c r="CJ87" i="1"/>
  <c r="CI87" i="1" s="1"/>
  <c r="CH87" i="1" s="1"/>
  <c r="CG87" i="1" s="1"/>
  <c r="CF87" i="1" s="1"/>
  <c r="CE87" i="1" s="1"/>
  <c r="CD87" i="1" s="1"/>
  <c r="CC87" i="1" s="1"/>
  <c r="CB87" i="1" s="1"/>
  <c r="CA87" i="1" s="1"/>
  <c r="BZ87" i="1" s="1"/>
  <c r="BY87" i="1" s="1"/>
  <c r="BX87" i="1" s="1"/>
  <c r="BW87" i="1" s="1"/>
  <c r="BV87" i="1" s="1"/>
  <c r="BU87" i="1" s="1"/>
  <c r="BT87" i="1" s="1"/>
  <c r="BS87" i="1" s="1"/>
  <c r="BR87" i="1" s="1"/>
  <c r="BQ87" i="1" s="1"/>
  <c r="BP87" i="1" s="1"/>
  <c r="BO87" i="1" s="1"/>
  <c r="BN87" i="1" s="1"/>
  <c r="BM87" i="1" s="1"/>
  <c r="BL87" i="1" s="1"/>
  <c r="BK87" i="1" s="1"/>
  <c r="BJ87" i="1" s="1"/>
  <c r="BI87" i="1" s="1"/>
  <c r="BH87" i="1" s="1"/>
  <c r="BG87" i="1" s="1"/>
  <c r="BF87" i="1" s="1"/>
  <c r="BE87" i="1" s="1"/>
  <c r="BD87" i="1" s="1"/>
  <c r="BC87" i="1" s="1"/>
  <c r="BB87" i="1" s="1"/>
  <c r="BA87" i="1" s="1"/>
  <c r="AZ87" i="1" s="1"/>
  <c r="AY87" i="1" s="1"/>
  <c r="AX87" i="1" s="1"/>
  <c r="AW87" i="1" s="1"/>
  <c r="AV87" i="1" s="1"/>
  <c r="AU87" i="1" s="1"/>
  <c r="AT87" i="1" s="1"/>
  <c r="AS87" i="1" s="1"/>
  <c r="AR87" i="1" s="1"/>
  <c r="AQ87" i="1" s="1"/>
  <c r="AP87" i="1" s="1"/>
  <c r="AO87" i="1" s="1"/>
  <c r="AN87" i="1" s="1"/>
  <c r="AM87" i="1" s="1"/>
  <c r="AL87" i="1" s="1"/>
  <c r="AK87" i="1" s="1"/>
  <c r="AJ87" i="1" s="1"/>
  <c r="AI87" i="1" s="1"/>
  <c r="CH49" i="1"/>
  <c r="CH46" i="1"/>
  <c r="CJ70" i="1"/>
  <c r="CG56" i="1"/>
  <c r="CI75" i="1"/>
  <c r="CI63" i="1"/>
  <c r="CG75" i="1"/>
  <c r="CH47" i="1"/>
  <c r="CJ32" i="1"/>
  <c r="CI47" i="1"/>
  <c r="CJ39" i="1"/>
  <c r="CJ37" i="1"/>
  <c r="CG32" i="1"/>
  <c r="CG255" i="1" s="1"/>
  <c r="CI45" i="1"/>
  <c r="CH44" i="1"/>
  <c r="CP44" i="1" s="1"/>
  <c r="CT44" i="1" s="1"/>
  <c r="CX44" i="1" s="1"/>
  <c r="DB44" i="1" s="1"/>
  <c r="CI56" i="1"/>
  <c r="CI218" i="1" s="1"/>
  <c r="CG48" i="1"/>
  <c r="X184" i="1"/>
  <c r="Y160" i="1"/>
  <c r="Y47" i="1"/>
  <c r="Z141" i="1"/>
  <c r="X60" i="1"/>
  <c r="Y159" i="1"/>
  <c r="Y155" i="1" s="1"/>
  <c r="Y71" i="1"/>
  <c r="Y39" i="1"/>
  <c r="X164" i="1"/>
  <c r="Y46" i="1"/>
  <c r="X47" i="1"/>
  <c r="X173" i="1"/>
  <c r="X101" i="1"/>
  <c r="Y171" i="1"/>
  <c r="Y195" i="1"/>
  <c r="Z168" i="1"/>
  <c r="Z156" i="1"/>
  <c r="CH156" i="1" s="1"/>
  <c r="Y170" i="1"/>
  <c r="Z37" i="1"/>
  <c r="Z32" i="1"/>
  <c r="Y169" i="1"/>
  <c r="Z75" i="1"/>
  <c r="Z173" i="1"/>
  <c r="CH173" i="1" s="1"/>
  <c r="Z159" i="1"/>
  <c r="Y37" i="1"/>
  <c r="Y187" i="1"/>
  <c r="X70" i="1"/>
  <c r="X171" i="1"/>
  <c r="Z170" i="1"/>
  <c r="CH170" i="1" s="1"/>
  <c r="Z63" i="1"/>
  <c r="Y44" i="1"/>
  <c r="X187" i="1"/>
  <c r="Z149" i="1"/>
  <c r="CH149" i="1" s="1"/>
  <c r="CI149" i="1" s="1"/>
  <c r="X103" i="1"/>
  <c r="X46" i="1"/>
  <c r="X142" i="1"/>
  <c r="Y91" i="1"/>
  <c r="Z101" i="1"/>
  <c r="X45" i="1"/>
  <c r="X143" i="1"/>
  <c r="Y102" i="1"/>
  <c r="Z150" i="1"/>
  <c r="CH150" i="1" s="1"/>
  <c r="CI150" i="1" s="1"/>
  <c r="Y60" i="1"/>
  <c r="Y148" i="1"/>
  <c r="X32" i="1"/>
  <c r="X255" i="1" s="1"/>
  <c r="CI48" i="1"/>
  <c r="CJ63" i="1"/>
  <c r="CH48" i="1"/>
  <c r="CI38" i="1"/>
  <c r="CJ59" i="1"/>
  <c r="CI39" i="1"/>
  <c r="CI37" i="1"/>
  <c r="CG63" i="1"/>
  <c r="CG44" i="1"/>
  <c r="CH60" i="1"/>
  <c r="CI60" i="1"/>
  <c r="CI44" i="1"/>
  <c r="CM44" i="1" s="1"/>
  <c r="CQ44" i="1" s="1"/>
  <c r="CU44" i="1" s="1"/>
  <c r="CY44" i="1" s="1"/>
  <c r="CJ46" i="1"/>
  <c r="CJ49" i="1"/>
  <c r="CH45" i="1"/>
  <c r="CE63" i="1"/>
  <c r="CG71" i="1"/>
  <c r="CJ71" i="1"/>
  <c r="CG33" i="1"/>
  <c r="CG45" i="1"/>
  <c r="CI49" i="1"/>
  <c r="CJ75" i="1"/>
  <c r="CH33" i="1"/>
  <c r="CI33" i="1"/>
  <c r="Y166" i="1"/>
  <c r="X75" i="1"/>
  <c r="Z148" i="1"/>
  <c r="CH148" i="1" s="1"/>
  <c r="CI148" i="1" s="1"/>
  <c r="Y157" i="1"/>
  <c r="Y48" i="1"/>
  <c r="X69" i="1"/>
  <c r="Z196" i="1"/>
  <c r="X39" i="1"/>
  <c r="Y173" i="1"/>
  <c r="Z184" i="1"/>
  <c r="CH184" i="1" s="1"/>
  <c r="X166" i="1"/>
  <c r="Y177" i="1"/>
  <c r="Y63" i="1"/>
  <c r="Z33" i="1"/>
  <c r="Z174" i="1"/>
  <c r="CH174" i="1" s="1"/>
  <c r="Y103" i="1"/>
  <c r="X59" i="1"/>
  <c r="X160" i="1"/>
  <c r="Z160" i="1"/>
  <c r="CH160" i="1" s="1"/>
  <c r="CI160" i="1" s="1"/>
  <c r="Z171" i="1"/>
  <c r="CH171" i="1" s="1"/>
  <c r="X157" i="1"/>
  <c r="Z44" i="1"/>
  <c r="Z169" i="1"/>
  <c r="CH169" i="1" s="1"/>
  <c r="Z166" i="1"/>
  <c r="CH166" i="1" s="1"/>
  <c r="X183" i="1"/>
  <c r="X174" i="1"/>
  <c r="Y149" i="1"/>
  <c r="Z45" i="1"/>
  <c r="Z46" i="1"/>
  <c r="Z91" i="1"/>
  <c r="Z49" i="1"/>
  <c r="X168" i="1"/>
  <c r="Y161" i="1"/>
  <c r="Y168" i="1"/>
  <c r="X188" i="1"/>
  <c r="X48" i="1"/>
  <c r="X44" i="1"/>
  <c r="Z177" i="1"/>
  <c r="CH177" i="1" s="1"/>
  <c r="X167" i="1"/>
  <c r="X194" i="1"/>
  <c r="JP9" i="4" s="1"/>
  <c r="JP16" i="4" s="1"/>
  <c r="JO16" i="4" s="1"/>
  <c r="JO9" i="4" s="1"/>
  <c r="JN9" i="4" s="1"/>
  <c r="JN16" i="4" s="1"/>
  <c r="BP50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84" i="1" s="1"/>
  <c r="BB65" i="3"/>
  <c r="BB74" i="3"/>
  <c r="BB78" i="3"/>
  <c r="BG77" i="3"/>
  <c r="BH68" i="3"/>
  <c r="BF88" i="3"/>
  <c r="CL151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9" i="1" s="1"/>
  <c r="BB92" i="3"/>
  <c r="BB85" i="3"/>
  <c r="BB89" i="3"/>
  <c r="BG93" i="3"/>
  <c r="BH76" i="3"/>
  <c r="BF90" i="3"/>
  <c r="CL150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9" i="1" s="1"/>
  <c r="BF85" i="3"/>
  <c r="CL171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V4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46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73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BH59" i="3"/>
  <c r="BQ62" i="3"/>
  <c r="BK70" i="3"/>
  <c r="BF87" i="3"/>
  <c r="CL176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88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4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BE85" i="3"/>
  <c r="BQ56" i="3"/>
  <c r="BP67" i="3"/>
  <c r="BF79" i="3"/>
  <c r="CL167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78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42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BU5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87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BU66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66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T4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97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57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FV16" i="4" a="1"/>
  <c r="GT16" i="4" a="1"/>
  <c r="FN14" i="4" a="1"/>
  <c r="GJ11" i="4" a="1"/>
  <c r="GL14" i="4" a="1"/>
  <c r="GC13" i="4" a="1"/>
  <c r="BG79" i="3"/>
  <c r="BP48" i="3"/>
  <c r="BJ86" i="3"/>
  <c r="BA59" i="3"/>
  <c r="BA85" i="3"/>
  <c r="BQ85" i="3"/>
  <c r="BH81" i="3"/>
  <c r="BG5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77" i="1" s="1"/>
  <c r="CL207" i="1" s="1"/>
  <c r="BF66" i="3"/>
  <c r="CL175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98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BP60" i="3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P92" i="3"/>
  <c r="BA69" i="3"/>
  <c r="BG67" i="3"/>
  <c r="BB59" i="3"/>
  <c r="BM96" i="3"/>
  <c r="BI88" i="3"/>
  <c r="BQ48" i="3"/>
  <c r="BL70" i="3"/>
  <c r="BI58" i="3"/>
  <c r="BQ66" i="3"/>
  <c r="BT93" i="3"/>
  <c r="BS63" i="3"/>
  <c r="BU96" i="3"/>
  <c r="BR68" i="3"/>
  <c r="BT71" i="3"/>
  <c r="BT89" i="3"/>
  <c r="BN66" i="3"/>
  <c r="BF69" i="3"/>
  <c r="BS76" i="3"/>
  <c r="BL95" i="3"/>
  <c r="BI77" i="3"/>
  <c r="BF72" i="3"/>
  <c r="CL159" i="1" s="1"/>
  <c r="BJ91" i="3"/>
  <c r="BK81" i="3"/>
  <c r="BK56" i="3"/>
  <c r="GQ5" i="4" a="1"/>
  <c r="GH6" i="4" a="1"/>
  <c r="FR15" i="4" a="1"/>
  <c r="HC8" i="4" a="1"/>
  <c r="FX9" i="4" a="1"/>
  <c r="GU7" i="4" a="1"/>
  <c r="GN8" i="4" a="1"/>
  <c r="FO15" i="4" a="1"/>
  <c r="HD7" i="4" a="1"/>
  <c r="HF9" i="4" a="1"/>
  <c r="FN5" i="4" a="1"/>
  <c r="GU5" i="4" a="1"/>
  <c r="FY12" i="4" a="1"/>
  <c r="FU6" i="4" a="1"/>
  <c r="GW6" i="4" a="1"/>
  <c r="FL12" i="4" a="1"/>
  <c r="FW11" i="4" a="1"/>
  <c r="GE12" i="4" a="1"/>
  <c r="GR13" i="4" a="1"/>
  <c r="GY11" i="4" a="1"/>
  <c r="HD12" i="4" a="1"/>
  <c r="FQ14" i="4" a="1"/>
  <c r="FQ9" i="4" a="1"/>
  <c r="FZ14" i="4" a="1"/>
  <c r="GV15" i="4" a="1"/>
  <c r="FX16" i="4" a="1"/>
  <c r="GZ16" i="4" a="1"/>
  <c r="GJ7" i="4" a="1"/>
  <c r="GS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FV8" i="4" a="1"/>
  <c r="HH13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GP8" i="4" a="1"/>
  <c r="FX11" i="4" a="1"/>
  <c r="FT9" i="4" a="1"/>
  <c r="GB14" i="4" a="1"/>
  <c r="HC9" i="4" a="1"/>
  <c r="HB15" i="4" a="1"/>
  <c r="GB16" i="4" a="1"/>
  <c r="HB8" i="4" a="1"/>
  <c r="FM11" i="4" a="1"/>
  <c r="GW11" i="4" a="1"/>
  <c r="FK16" i="4" a="1"/>
  <c r="GI16" i="4" a="1"/>
  <c r="HG16" i="4" a="1"/>
  <c r="BC90" i="3"/>
  <c r="BD74" i="3"/>
  <c r="BA84" i="3"/>
  <c r="BG89" i="3"/>
  <c r="BB56" i="3"/>
  <c r="BM92" i="3"/>
  <c r="BI86" i="3"/>
  <c r="BQ54" i="3"/>
  <c r="BL74" i="3"/>
  <c r="BI94" i="3"/>
  <c r="BQ80" i="3"/>
  <c r="BT75" i="3"/>
  <c r="BS84" i="3"/>
  <c r="BU85" i="3"/>
  <c r="BV62" i="3"/>
  <c r="BT63" i="3"/>
  <c r="BN82" i="3"/>
  <c r="BN68" i="3"/>
  <c r="BF55" i="3"/>
  <c r="BS81" i="3"/>
  <c r="BL73" i="3"/>
  <c r="BI87" i="3"/>
  <c r="BF56" i="3"/>
  <c r="CL141" i="1" s="1"/>
  <c r="BJ48" i="3"/>
  <c r="BK82" i="3"/>
  <c r="BK91" i="3"/>
  <c r="FX6" i="4" a="1"/>
  <c r="HH7" i="4" a="1"/>
  <c r="GH8" i="4" a="1"/>
  <c r="FY6" i="4" a="1"/>
  <c r="GU11" i="4" a="1"/>
  <c r="GO5" i="4" a="1"/>
  <c r="GK9" i="4" a="1"/>
  <c r="FI7" i="4" a="1"/>
  <c r="GG8" i="4" a="1"/>
  <c r="FP11" i="4" a="1"/>
  <c r="GJ5" i="4" a="1"/>
  <c r="FT6" i="4" a="1"/>
  <c r="GZ12" i="4" a="1"/>
  <c r="GS6" i="4" a="1"/>
  <c r="HB7" i="4" a="1"/>
  <c r="GR12" i="4" a="1"/>
  <c r="GA11" i="4" a="1"/>
  <c r="GH12" i="4" a="1"/>
  <c r="GW13" i="4" a="1"/>
  <c r="HB11" i="4" a="1"/>
  <c r="FG13" i="4" a="1"/>
  <c r="FT14" i="4" a="1"/>
  <c r="GL9" i="4" a="1"/>
  <c r="GE14" i="4" a="1"/>
  <c r="GX15" i="4" a="1"/>
  <c r="FZ16" i="4" a="1"/>
  <c r="HB16" i="4" a="1"/>
  <c r="GD15" i="4" a="1"/>
  <c r="FM6" i="4" a="1"/>
  <c r="FR7" i="4" a="1"/>
  <c r="GE11" i="4" a="1"/>
  <c r="HE6" i="4" a="1"/>
  <c r="HG11" i="4" a="1"/>
  <c r="GP14" i="4" a="1"/>
  <c r="GO15" i="4" a="1"/>
  <c r="BC88" i="3"/>
  <c r="BD96" i="3"/>
  <c r="GA16" i="4" a="1"/>
  <c r="BD57" i="3"/>
  <c r="BG70" i="3"/>
  <c r="FG6" i="4" a="1"/>
  <c r="HF13" i="4" a="1"/>
  <c r="FT16" i="4" a="1"/>
  <c r="GP6" i="4" a="1"/>
  <c r="FX15" i="4" a="1"/>
  <c r="BC84" i="3"/>
  <c r="BQ58" i="3"/>
  <c r="BG54" i="3"/>
  <c r="BB69" i="3"/>
  <c r="BF86" i="3"/>
  <c r="BI74" i="3"/>
  <c r="BQ55" i="3"/>
  <c r="BL80" i="3"/>
  <c r="BI47" i="3"/>
  <c r="BQ81" i="3"/>
  <c r="BT80" i="3"/>
  <c r="BS85" i="3"/>
  <c r="BU89" i="3"/>
  <c r="BV50" i="3"/>
  <c r="BT58" i="3"/>
  <c r="BN79" i="3"/>
  <c r="BN70" i="3"/>
  <c r="Y111" i="2"/>
  <c r="BS89" i="3"/>
  <c r="BE49" i="3"/>
  <c r="BI61" i="3"/>
  <c r="BJ49" i="3"/>
  <c r="BJ62" i="3"/>
  <c r="BK55" i="3"/>
  <c r="BK49" i="3"/>
  <c r="FJ7" i="4" a="1"/>
  <c r="GZ8" i="4" a="1"/>
  <c r="HA9" i="4" a="1"/>
  <c r="GG6" i="4" a="1"/>
  <c r="HG13" i="4" a="1"/>
  <c r="FK6" i="4" a="1"/>
  <c r="GZ9" i="4" a="1"/>
  <c r="GS8" i="4" a="1"/>
  <c r="GR6" i="4" a="1"/>
  <c r="GT13" i="4" a="1"/>
  <c r="GL13" i="4" a="1"/>
  <c r="GM12" i="4" a="1"/>
  <c r="FJ13" i="4" a="1"/>
  <c r="HD16" i="4" a="1"/>
  <c r="FK14" i="4" a="1"/>
  <c r="GH14" i="4" a="1"/>
  <c r="BC93" i="3"/>
  <c r="GG15" i="4" a="1"/>
  <c r="BQ72" i="3"/>
  <c r="BU62" i="3"/>
  <c r="GY5" i="4" a="1"/>
  <c r="FG14" i="4" a="1"/>
  <c r="GC16" i="4" a="1"/>
  <c r="BC55" i="3"/>
  <c r="BH72" i="3"/>
  <c r="BE74" i="3"/>
  <c r="BB88" i="3"/>
  <c r="BD75" i="3"/>
  <c r="BB61" i="3"/>
  <c r="BH57" i="3"/>
  <c r="BL65" i="3"/>
  <c r="BI67" i="3"/>
  <c r="BU78" i="3"/>
  <c r="BN76" i="3"/>
  <c r="BS60" i="3"/>
  <c r="BU84" i="3"/>
  <c r="BV79" i="3"/>
  <c r="BT59" i="3"/>
  <c r="BN89" i="3"/>
  <c r="BN72" i="3"/>
  <c r="BO48" i="3"/>
  <c r="BS49" i="3"/>
  <c r="BE47" i="3"/>
  <c r="BI50" i="3"/>
  <c r="BJ74" i="3"/>
  <c r="BJ64" i="3"/>
  <c r="BK88" i="3"/>
  <c r="BK65" i="3"/>
  <c r="GH7" i="4" a="1"/>
  <c r="FR9" i="4" a="1"/>
  <c r="FO5" i="4" a="1"/>
  <c r="GA7" i="4" a="1"/>
  <c r="HD14" i="4" a="1"/>
  <c r="GI6" i="4" a="1"/>
  <c r="FJ11" i="4" a="1"/>
  <c r="GI5" i="4" a="1"/>
  <c r="GP5" i="4" a="1"/>
  <c r="GM11" i="4" a="1"/>
  <c r="GK6" i="4" a="1"/>
  <c r="GG7" i="4" a="1"/>
  <c r="FP14" i="4" a="1"/>
  <c r="GM7" i="4" a="1"/>
  <c r="FK8" i="4" a="1"/>
  <c r="FM14" i="4" a="1"/>
  <c r="GK11" i="4" a="1"/>
  <c r="GX12" i="4" a="1"/>
  <c r="FN7" i="4" a="1"/>
  <c r="FH12" i="4" a="1"/>
  <c r="FW13" i="4" a="1"/>
  <c r="GG14" i="4" a="1"/>
  <c r="FQ11" i="4" a="1"/>
  <c r="FL15" i="4" a="1"/>
  <c r="HD15" i="4" a="1"/>
  <c r="GD16" i="4" a="1"/>
  <c r="HF16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GJ16" i="4" a="1"/>
  <c r="GQ16" i="4" a="1"/>
  <c r="GC11" i="4" a="1"/>
  <c r="BD56" i="3"/>
  <c r="BJ72" i="3"/>
  <c r="BK61" i="3"/>
  <c r="GX7" i="4" a="1"/>
  <c r="BC66" i="3"/>
  <c r="GU16" i="4" a="1"/>
  <c r="GY12" i="4" a="1"/>
  <c r="BC80" i="3"/>
  <c r="FV15" i="4" a="1"/>
  <c r="BL64" i="3"/>
  <c r="GU9" i="4" a="1"/>
  <c r="BC69" i="3"/>
  <c r="BD95" i="3"/>
  <c r="BL97" i="3"/>
  <c r="BM68" i="3"/>
  <c r="BB90" i="3"/>
  <c r="BD88" i="3"/>
  <c r="BB80" i="3"/>
  <c r="BH79" i="3"/>
  <c r="BL56" i="3"/>
  <c r="BF71" i="3"/>
  <c r="BU74" i="3"/>
  <c r="BO49" i="3"/>
  <c r="BS78" i="3"/>
  <c r="BU88" i="3"/>
  <c r="BV91" i="3"/>
  <c r="BT70" i="3"/>
  <c r="BN67" i="3"/>
  <c r="BN87" i="3"/>
  <c r="BO69" i="3"/>
  <c r="BS54" i="3"/>
  <c r="BE79" i="3"/>
  <c r="BM69" i="3"/>
  <c r="BJ82" i="3"/>
  <c r="BJ92" i="3"/>
  <c r="BK83" i="3"/>
  <c r="BK97" i="3"/>
  <c r="HF7" i="4" a="1"/>
  <c r="GH9" i="4" a="1"/>
  <c r="GA5" i="4" a="1"/>
  <c r="FL9" i="4" a="1"/>
  <c r="FW15" i="4" a="1"/>
  <c r="GC8" i="4" a="1"/>
  <c r="FV11" i="4" a="1"/>
  <c r="FT5" i="4" a="1"/>
  <c r="FL6" i="4" a="1"/>
  <c r="FI12" i="4" a="1"/>
  <c r="FG7" i="4" a="1"/>
  <c r="FX8" i="4" a="1"/>
  <c r="GN14" i="4" a="1"/>
  <c r="FL8" i="4" a="1"/>
  <c r="GJ8" i="4" a="1"/>
  <c r="GK14" i="4" a="1"/>
  <c r="GN11" i="4" a="1"/>
  <c r="HC12" i="4" a="1"/>
  <c r="GI7" i="4" a="1"/>
  <c r="FM12" i="4" a="1"/>
  <c r="FZ13" i="4" a="1"/>
  <c r="GJ14" i="4" a="1"/>
  <c r="GG11" i="4" a="1"/>
  <c r="FP15" i="4" a="1"/>
  <c r="HF15" i="4" a="1"/>
  <c r="GF16" i="4" a="1"/>
  <c r="HH16" i="4" a="1"/>
  <c r="HG9" i="4" a="1"/>
  <c r="GA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GL12" i="4" a="1"/>
  <c r="FQ16" i="4" a="1"/>
  <c r="GO16" i="4" a="1"/>
  <c r="BD97" i="3"/>
  <c r="BC48" i="3"/>
  <c r="FS12" i="4" a="1"/>
  <c r="BC92" i="3"/>
  <c r="BD77" i="3"/>
  <c r="Y113" i="2"/>
  <c r="BK66" i="3"/>
  <c r="GS9" i="4" a="1"/>
  <c r="GV6" i="4" a="1"/>
  <c r="FM7" i="4" a="1"/>
  <c r="GP13" i="4" a="1"/>
  <c r="GH15" i="4" a="1"/>
  <c r="GN16" i="4" a="1"/>
  <c r="FN12" i="4" a="1"/>
  <c r="FY15" i="4" a="1"/>
  <c r="GS16" i="4" a="1"/>
  <c r="BC62" i="3"/>
  <c r="BD80" i="3"/>
  <c r="FU15" i="4" a="1"/>
  <c r="FW16" i="4" a="1"/>
  <c r="HC13" i="4" a="1"/>
  <c r="FM13" i="4" a="1"/>
  <c r="BA81" i="3"/>
  <c r="BO79" i="3"/>
  <c r="GY7" i="4" a="1"/>
  <c r="BK50" i="3"/>
  <c r="BM49" i="3"/>
  <c r="BB87" i="3"/>
  <c r="BD70" i="3"/>
  <c r="BB82" i="3"/>
  <c r="BH71" i="3"/>
  <c r="BL87" i="3"/>
  <c r="BF65" i="3"/>
  <c r="CL174" i="1" s="1"/>
  <c r="BU75" i="3"/>
  <c r="BO55" i="3"/>
  <c r="BS47" i="3"/>
  <c r="BU64" i="3"/>
  <c r="BV88" i="3"/>
  <c r="BT47" i="3"/>
  <c r="BN95" i="3"/>
  <c r="BN97" i="3"/>
  <c r="BO54" i="3"/>
  <c r="BS94" i="3"/>
  <c r="BE54" i="3"/>
  <c r="BM75" i="3"/>
  <c r="BJ84" i="3"/>
  <c r="BJ94" i="3"/>
  <c r="BK75" i="3"/>
  <c r="BK47" i="3"/>
  <c r="GR5" i="4" a="1"/>
  <c r="GX9" i="4" a="1"/>
  <c r="FH5" i="4" a="1"/>
  <c r="GJ9" i="4" a="1"/>
  <c r="GO7" i="4" a="1"/>
  <c r="GY8" i="4" a="1"/>
  <c r="GS5" i="4" a="1"/>
  <c r="GT5" i="4" a="1"/>
  <c r="FR6" i="4" a="1"/>
  <c r="HH12" i="4" a="1"/>
  <c r="FZ7" i="4" a="1"/>
  <c r="FU9" i="4" a="1"/>
  <c r="FJ15" i="4" a="1"/>
  <c r="HH5" i="4" a="1"/>
  <c r="GC9" i="4" a="1"/>
  <c r="FG15" i="4" a="1"/>
  <c r="GS11" i="4" a="1"/>
  <c r="FI13" i="4" a="1"/>
  <c r="GT7" i="4" a="1"/>
  <c r="FP12" i="4" a="1"/>
  <c r="GH13" i="4" a="1"/>
  <c r="GO14" i="4" a="1"/>
  <c r="GR11" i="4" a="1"/>
  <c r="GC15" i="4" a="1"/>
  <c r="HH15" i="4" a="1"/>
  <c r="GH16" i="4" a="1"/>
  <c r="GO11" i="4" a="1"/>
  <c r="FU11" i="4" a="1"/>
  <c r="GQ14" i="4" a="1"/>
  <c r="GI14" i="4" a="1"/>
  <c r="HC14" i="4" a="1"/>
  <c r="GU15" i="4" a="1"/>
  <c r="GY9" i="4" a="1"/>
  <c r="BC95" i="3"/>
  <c r="BC61" i="3"/>
  <c r="BC76" i="3"/>
  <c r="BD66" i="3"/>
  <c r="HE11" i="4" a="1"/>
  <c r="FN15" i="4" a="1"/>
  <c r="BC97" i="3"/>
  <c r="BJ69" i="3"/>
  <c r="FY8" i="4" a="1"/>
  <c r="GI9" i="4" a="1"/>
  <c r="FZ8" i="4" a="1"/>
  <c r="FQ13" i="4" a="1"/>
  <c r="GF12" i="4" a="1"/>
  <c r="HB12" i="4" a="1"/>
  <c r="GZ11" i="4" a="1"/>
  <c r="BD65" i="3"/>
  <c r="BC73" i="3"/>
  <c r="GL11" i="4" a="1"/>
  <c r="FJ14" i="4" a="1"/>
  <c r="GV16" i="4" a="1"/>
  <c r="HH8" i="4" a="1"/>
  <c r="HE15" i="4" a="1"/>
  <c r="BD48" i="3"/>
  <c r="BD81" i="3"/>
  <c r="BB55" i="3"/>
  <c r="BF73" i="3"/>
  <c r="BF58" i="3"/>
  <c r="CL143" i="1" s="1"/>
  <c r="BJ79" i="3"/>
  <c r="HG15" i="4" a="1"/>
  <c r="BU50" i="3"/>
  <c r="BM94" i="3"/>
  <c r="BG58" i="3"/>
  <c r="BD54" i="3"/>
  <c r="BA94" i="3"/>
  <c r="BH74" i="3"/>
  <c r="BE95" i="3"/>
  <c r="BF54" i="3"/>
  <c r="BR91" i="3"/>
  <c r="BO81" i="3"/>
  <c r="BS72" i="3"/>
  <c r="BR55" i="3"/>
  <c r="BV84" i="3"/>
  <c r="BT56" i="3"/>
  <c r="BN64" i="3"/>
  <c r="BP54" i="3"/>
  <c r="BO85" i="3"/>
  <c r="BG82" i="3"/>
  <c r="BE59" i="3"/>
  <c r="BM58" i="3"/>
  <c r="BJ68" i="3"/>
  <c r="BJ65" i="3"/>
  <c r="BK85" i="3"/>
  <c r="BK89" i="3"/>
  <c r="GS7" i="4" a="1"/>
  <c r="FZ6" i="4" a="1"/>
  <c r="HD6" i="4" a="1"/>
  <c r="GX6" i="4" a="1"/>
  <c r="GX8" i="4" a="1"/>
  <c r="GX5" i="4" a="1"/>
  <c r="GK5" i="4" a="1"/>
  <c r="FP6" i="4" a="1"/>
  <c r="FK7" i="4" a="1"/>
  <c r="GD13" i="4" a="1"/>
  <c r="HC7" i="4" a="1"/>
  <c r="GR9" i="4" a="1"/>
  <c r="GE6" i="4" a="1"/>
  <c r="GN7" i="4" a="1"/>
  <c r="GV9" i="4" a="1"/>
  <c r="GV5" i="4" a="1"/>
  <c r="HD11" i="4" a="1"/>
  <c r="FL13" i="4" a="1"/>
  <c r="FM8" i="4" a="1"/>
  <c r="GC12" i="4" a="1"/>
  <c r="GM13" i="4" a="1"/>
  <c r="GR14" i="4" a="1"/>
  <c r="GQ12" i="4" a="1"/>
  <c r="GF15" i="4" a="1"/>
  <c r="FH16" i="4" a="1"/>
  <c r="HB14" i="4" a="1"/>
  <c r="FH15" i="4" a="1"/>
  <c r="HG12" i="4" a="1"/>
  <c r="GW15" i="4" a="1"/>
  <c r="FS16" i="4" a="1"/>
  <c r="BC59" i="3"/>
  <c r="BM63" i="3"/>
  <c r="FQ6" i="4" a="1"/>
  <c r="HD9" i="4" a="1"/>
  <c r="FJ8" i="4" a="1"/>
  <c r="FG12" i="4" a="1"/>
  <c r="GW14" i="4" a="1"/>
  <c r="HG14" i="4" a="1"/>
  <c r="FQ15" i="4" a="1"/>
  <c r="GY15" i="4" a="1"/>
  <c r="BC75" i="3"/>
  <c r="BB93" i="3"/>
  <c r="BD64" i="3"/>
  <c r="BA65" i="3"/>
  <c r="FY7" i="4" a="1"/>
  <c r="BC79" i="3"/>
  <c r="BC57" i="3"/>
  <c r="BT62" i="3"/>
  <c r="BI65" i="3"/>
  <c r="GA13" i="4" a="1"/>
  <c r="GK7" i="4" a="1"/>
  <c r="GE5" i="4" a="1"/>
  <c r="FS7" i="4" a="1"/>
  <c r="GG13" i="4" a="1"/>
  <c r="HA12" i="4" a="1"/>
  <c r="GX16" i="4" a="1"/>
  <c r="BR71" i="3"/>
  <c r="BM76" i="3"/>
  <c r="BG72" i="3"/>
  <c r="BU47" i="3"/>
  <c r="BA77" i="3"/>
  <c r="BH90" i="3"/>
  <c r="BE78" i="3"/>
  <c r="BF80" i="3"/>
  <c r="CL183" i="1" s="1"/>
  <c r="BR58" i="3"/>
  <c r="BO88" i="3"/>
  <c r="BS64" i="3"/>
  <c r="BR74" i="3"/>
  <c r="BV80" i="3"/>
  <c r="BT55" i="3"/>
  <c r="BN55" i="3"/>
  <c r="BP69" i="3"/>
  <c r="BO83" i="3"/>
  <c r="BG48" i="3"/>
  <c r="BE69" i="3"/>
  <c r="GP9" i="4" a="1"/>
  <c r="GB12" i="4" a="1"/>
  <c r="HC6" i="4" a="1"/>
  <c r="HB13" i="4" a="1"/>
  <c r="FH11" i="4" a="1"/>
  <c r="FR8" i="4" a="1"/>
  <c r="FK9" i="4" a="1"/>
  <c r="FJ16" i="4" a="1"/>
  <c r="FH13" i="4" a="1"/>
  <c r="FP13" i="4" a="1"/>
  <c r="FU16" i="4" a="1"/>
  <c r="HA15" i="4" a="1"/>
  <c r="BC89" i="3"/>
  <c r="FR16" i="4" a="1"/>
  <c r="FS14" i="4" a="1"/>
  <c r="BI69" i="3"/>
  <c r="BV63" i="3"/>
  <c r="BN47" i="3"/>
  <c r="FO14" i="4" a="1"/>
  <c r="BH61" i="3"/>
  <c r="BM65" i="3"/>
  <c r="BF84" i="3"/>
  <c r="CL170" i="1" s="1"/>
  <c r="BG94" i="3"/>
  <c r="BU48" i="3"/>
  <c r="BA78" i="3"/>
  <c r="BH80" i="3"/>
  <c r="BE72" i="3"/>
  <c r="BF82" i="3"/>
  <c r="CL169" i="1" s="1"/>
  <c r="CL204" i="1" s="1"/>
  <c r="BR63" i="3"/>
  <c r="BO89" i="3"/>
  <c r="BS61" i="3"/>
  <c r="BR72" i="3"/>
  <c r="BV89" i="3"/>
  <c r="BT86" i="3"/>
  <c r="BN90" i="3"/>
  <c r="BP95" i="3"/>
  <c r="BO91" i="3"/>
  <c r="BG47" i="3"/>
  <c r="BE77" i="3"/>
  <c r="BM55" i="3"/>
  <c r="BJ78" i="3"/>
  <c r="BJ73" i="3"/>
  <c r="BK87" i="3"/>
  <c r="FK15" i="4" a="1"/>
  <c r="GU8" i="4" a="1"/>
  <c r="FT12" i="4" a="1"/>
  <c r="FS6" i="4" a="1"/>
  <c r="FL11" i="4" a="1"/>
  <c r="FG5" i="4" a="1"/>
  <c r="GB6" i="4" a="1"/>
  <c r="GW12" i="4" a="1"/>
  <c r="FO7" i="4" a="1"/>
  <c r="GW7" i="4" a="1"/>
  <c r="FX14" i="4" a="1"/>
  <c r="GF7" i="4" a="1"/>
  <c r="FN11" i="4" a="1"/>
  <c r="GD9" i="4" a="1"/>
  <c r="GO8" i="4" a="1"/>
  <c r="FT11" i="4" a="1"/>
  <c r="FN9" i="4" a="1"/>
  <c r="FO12" i="4" a="1"/>
  <c r="FT13" i="4" a="1"/>
  <c r="FP9" i="4" a="1"/>
  <c r="GN12" i="4" a="1"/>
  <c r="GU13" i="4" a="1"/>
  <c r="GZ14" i="4" a="1"/>
  <c r="GF13" i="4" a="1"/>
  <c r="GJ15" i="4" a="1"/>
  <c r="FL16" i="4" a="1"/>
  <c r="GP16" i="4" a="1"/>
  <c r="GD14" i="4" a="1"/>
  <c r="GI12" i="4" a="1"/>
  <c r="FI15" i="4" a="1"/>
  <c r="HF6" i="4" a="1"/>
  <c r="GK13" i="4" a="1"/>
  <c r="BD69" i="3"/>
  <c r="HD13" i="4" a="1"/>
  <c r="BE70" i="3"/>
  <c r="BR69" i="3"/>
  <c r="BH97" i="3"/>
  <c r="BK86" i="3"/>
  <c r="GS14" i="4" a="1"/>
  <c r="GN5" i="4" a="1"/>
  <c r="BM77" i="3"/>
  <c r="BB96" i="3"/>
  <c r="BH77" i="3"/>
  <c r="BP68" i="3"/>
  <c r="BA88" i="3"/>
  <c r="BL49" i="3"/>
  <c r="BE71" i="3"/>
  <c r="BQ84" i="3"/>
  <c r="BV49" i="3"/>
  <c r="BO72" i="3"/>
  <c r="BU57" i="3"/>
  <c r="BR82" i="3"/>
  <c r="BV94" i="3"/>
  <c r="BT54" i="3"/>
  <c r="BN48" i="3"/>
  <c r="BF81" i="3"/>
  <c r="CL168" i="1" s="1"/>
  <c r="CL203" i="1" s="1"/>
  <c r="CM203" i="1" s="1"/>
  <c r="CN203" i="1" s="1"/>
  <c r="BO93" i="3"/>
  <c r="BG84" i="3"/>
  <c r="BE81" i="3"/>
  <c r="BF68" i="3"/>
  <c r="CL158" i="1" s="1"/>
  <c r="BJ80" i="3"/>
  <c r="BJ75" i="3"/>
  <c r="BK62" i="3"/>
  <c r="GE15" i="4" a="1"/>
  <c r="GM5" i="4" a="1"/>
  <c r="GJ12" i="4" a="1"/>
  <c r="GQ6" i="4" a="1"/>
  <c r="GB11" i="4" a="1"/>
  <c r="FH6" i="4" a="1"/>
  <c r="FV7" i="4" a="1"/>
  <c r="GY13" i="4" a="1"/>
  <c r="GP7" i="4" a="1"/>
  <c r="HD8" i="4" a="1"/>
  <c r="GV14" i="4" a="1"/>
  <c r="FW8" i="4" a="1"/>
  <c r="GF11" i="4" a="1"/>
  <c r="FJ5" i="4" a="1"/>
  <c r="HA8" i="4" a="1"/>
  <c r="GD11" i="4" a="1"/>
  <c r="FG11" i="4" a="1"/>
  <c r="FR12" i="4" a="1"/>
  <c r="FY13" i="4" a="1"/>
  <c r="GI11" i="4" a="1"/>
  <c r="GS12" i="4" a="1"/>
  <c r="GX13" i="4" a="1"/>
  <c r="FO6" i="4" a="1"/>
  <c r="HA13" i="4" a="1"/>
  <c r="GL15" i="4" a="1"/>
  <c r="FP16" i="4" a="1"/>
  <c r="GR16" i="4" a="1"/>
  <c r="GY14" i="4" a="1"/>
  <c r="GT12" i="4" a="1"/>
  <c r="FM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Z112" i="2"/>
  <c r="FW12" i="4" a="1"/>
  <c r="GN15" i="4" a="1"/>
  <c r="FT15" i="4" a="1"/>
  <c r="GY16" i="4" a="1"/>
  <c r="BC64" i="3"/>
  <c r="BH64" i="3"/>
  <c r="BS62" i="3"/>
  <c r="FS5" i="4" a="1"/>
  <c r="GD7" i="4" a="1"/>
  <c r="FW7" i="4" a="1"/>
  <c r="GT9" i="4" a="1"/>
  <c r="GW8" i="4" a="1"/>
  <c r="FS11" i="4" a="1"/>
  <c r="GT11" i="4" a="1"/>
  <c r="GP15" i="4" a="1"/>
  <c r="FX13" i="4" a="1"/>
  <c r="GI15" i="4" a="1"/>
  <c r="HA16" i="4" a="1"/>
  <c r="BD58" i="3"/>
  <c r="BP83" i="3"/>
  <c r="BP84" i="3"/>
  <c r="BB79" i="3"/>
  <c r="BH54" i="3"/>
  <c r="BI49" i="3"/>
  <c r="BC85" i="3"/>
  <c r="BL71" i="3"/>
  <c r="BE48" i="3"/>
  <c r="BQ76" i="3"/>
  <c r="BV65" i="3"/>
  <c r="BO77" i="3"/>
  <c r="BU60" i="3"/>
  <c r="BR77" i="3"/>
  <c r="BV96" i="3"/>
  <c r="BT60" i="3"/>
  <c r="BN58" i="3"/>
  <c r="BF77" i="3"/>
  <c r="CL164" i="1" s="1"/>
  <c r="BO96" i="3"/>
  <c r="BG90" i="3"/>
  <c r="BI63" i="3"/>
  <c r="BF74" i="3"/>
  <c r="CL161" i="1" s="1"/>
  <c r="BJ96" i="3"/>
  <c r="BJ77" i="3"/>
  <c r="BK76" i="3"/>
  <c r="FM5" i="4" a="1"/>
  <c r="FI6" i="4" a="1"/>
  <c r="HE12" i="4" a="1"/>
  <c r="HG6" i="4" a="1"/>
  <c r="GJ6" i="4" a="1"/>
  <c r="HA6" i="4" a="1"/>
  <c r="HF8" i="4" a="1"/>
  <c r="FU14" i="4" a="1"/>
  <c r="FI8" i="4" a="1"/>
  <c r="FZ9" i="4" a="1"/>
  <c r="FZ15" i="4" a="1"/>
  <c r="GI8" i="4" a="1"/>
  <c r="GZ6" i="4" a="1"/>
  <c r="FR5" i="4" a="1"/>
  <c r="HF5" i="4" a="1"/>
  <c r="GO6" i="4" a="1"/>
  <c r="FK11" i="4" a="1"/>
  <c r="GB13" i="4" a="1"/>
  <c r="GV12" i="4" a="1"/>
  <c r="BV81" i="3"/>
  <c r="BJ95" i="3"/>
  <c r="GC7" i="4" a="1"/>
  <c r="FP8" i="4" a="1"/>
  <c r="FZ12" i="4" a="1"/>
  <c r="GT8" i="4" a="1"/>
  <c r="BD84" i="3"/>
  <c r="AC27" i="1" l="1"/>
  <c r="AC13" i="1"/>
  <c r="CL152" i="1"/>
  <c r="CS10" i="1"/>
  <c r="CH164" i="1"/>
  <c r="CI164" i="1" s="1"/>
  <c r="AA226" i="1"/>
  <c r="CL172" i="1"/>
  <c r="CL144" i="1"/>
  <c r="CL122" i="1"/>
  <c r="CL123" i="1" s="1"/>
  <c r="CL40" i="1"/>
  <c r="CL153" i="1"/>
  <c r="CL206" i="1"/>
  <c r="CL116" i="1"/>
  <c r="CL185" i="1"/>
  <c r="CL192" i="1" s="1"/>
  <c r="CL133" i="1" s="1"/>
  <c r="CL162" i="1"/>
  <c r="CL180" i="1"/>
  <c r="CK34" i="1"/>
  <c r="CK50" i="1"/>
  <c r="CK51" i="1" s="1"/>
  <c r="CO44" i="1"/>
  <c r="CS44" i="1" s="1"/>
  <c r="CW44" i="1" s="1"/>
  <c r="DA44" i="1" s="1"/>
  <c r="CJ170" i="1"/>
  <c r="CJ143" i="1"/>
  <c r="KE16" i="4" s="1"/>
  <c r="CJ158" i="1"/>
  <c r="CK57" i="1" s="1"/>
  <c r="CJ178" i="1"/>
  <c r="KB16" i="4" s="1"/>
  <c r="JR16" i="4" s="1"/>
  <c r="CJ173" i="1"/>
  <c r="KD9" i="4" s="1"/>
  <c r="CJ168" i="1"/>
  <c r="CJ203" i="1" s="1"/>
  <c r="CK203" i="1" s="1"/>
  <c r="KD16" i="4" s="1"/>
  <c r="KD21" i="4" s="1"/>
  <c r="CJ174" i="1"/>
  <c r="CJ175" i="1"/>
  <c r="KE9" i="4" s="1"/>
  <c r="JU9" i="4" s="1"/>
  <c r="JZ9" i="4" s="1"/>
  <c r="CJ157" i="1"/>
  <c r="CK157" i="1" s="1"/>
  <c r="CM157" i="1" s="1"/>
  <c r="CN157" i="1" s="1"/>
  <c r="CO157" i="1" s="1"/>
  <c r="CP157" i="1" s="1"/>
  <c r="CJ183" i="1"/>
  <c r="KC16" i="4" s="1"/>
  <c r="KC9" i="4" s="1"/>
  <c r="CJ164" i="1"/>
  <c r="CJ226" i="1" s="1"/>
  <c r="CJ167" i="1"/>
  <c r="JY9" i="4" s="1"/>
  <c r="KA16" i="4" s="1"/>
  <c r="JS16" i="4" s="1"/>
  <c r="KH16" i="4" s="1"/>
  <c r="KH15" i="4" s="1"/>
  <c r="JR9" i="4" s="1"/>
  <c r="CJ151" i="1"/>
  <c r="CK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J188" i="1"/>
  <c r="CK188" i="1" s="1"/>
  <c r="CM188" i="1" s="1"/>
  <c r="CN188" i="1" s="1"/>
  <c r="CO188" i="1" s="1"/>
  <c r="CP188" i="1" s="1"/>
  <c r="CQ188" i="1" s="1"/>
  <c r="CR188" i="1" s="1"/>
  <c r="CS188" i="1" s="1"/>
  <c r="CT188" i="1" s="1"/>
  <c r="CU188" i="1" s="1"/>
  <c r="CV188" i="1" s="1"/>
  <c r="CW188" i="1" s="1"/>
  <c r="CX188" i="1" s="1"/>
  <c r="CY188" i="1" s="1"/>
  <c r="CZ188" i="1" s="1"/>
  <c r="DA188" i="1" s="1"/>
  <c r="DB188" i="1" s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JZ16" i="4" s="1"/>
  <c r="CJ176" i="1"/>
  <c r="JX16" i="4" s="1"/>
  <c r="JS14" i="4" s="1"/>
  <c r="JT9" i="4" s="1"/>
  <c r="CK97" i="1"/>
  <c r="JV15" i="4" s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JW16" i="4" s="1"/>
  <c r="CJ187" i="1"/>
  <c r="CK187" i="1" s="1"/>
  <c r="CM187" i="1" s="1"/>
  <c r="CN187" i="1" s="1"/>
  <c r="CO187" i="1" s="1"/>
  <c r="CP187" i="1" s="1"/>
  <c r="CQ187" i="1" s="1"/>
  <c r="CR187" i="1" s="1"/>
  <c r="CS187" i="1" s="1"/>
  <c r="CT187" i="1" s="1"/>
  <c r="CU187" i="1" s="1"/>
  <c r="CV187" i="1" s="1"/>
  <c r="CW187" i="1" s="1"/>
  <c r="KF16" i="4" s="1"/>
  <c r="CJ161" i="1"/>
  <c r="CK161" i="1" s="1"/>
  <c r="CM161" i="1" s="1"/>
  <c r="CN161" i="1" s="1"/>
  <c r="CO161" i="1" s="1"/>
  <c r="CP161" i="1" s="1"/>
  <c r="CQ161" i="1" s="1"/>
  <c r="CR161" i="1" s="1"/>
  <c r="CS161" i="1" s="1"/>
  <c r="CT161" i="1" s="1"/>
  <c r="CU161" i="1" s="1"/>
  <c r="CV161" i="1" s="1"/>
  <c r="CW161" i="1" s="1"/>
  <c r="CX161" i="1" s="1"/>
  <c r="CY161" i="1" s="1"/>
  <c r="CZ161" i="1" s="1"/>
  <c r="DA161" i="1" s="1"/>
  <c r="DB161" i="1" s="1"/>
  <c r="CJ149" i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KG16" i="4" s="1"/>
  <c r="JY16" i="4" s="1"/>
  <c r="CJ150" i="1"/>
  <c r="CK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J159" i="1"/>
  <c r="CK159" i="1" s="1"/>
  <c r="CM159" i="1" s="1"/>
  <c r="CN159" i="1" s="1"/>
  <c r="CO159" i="1" s="1"/>
  <c r="CP159" i="1" s="1"/>
  <c r="CQ159" i="1" s="1"/>
  <c r="CR159" i="1" s="1"/>
  <c r="CS159" i="1" s="1"/>
  <c r="CT159" i="1" s="1"/>
  <c r="CU159" i="1" s="1"/>
  <c r="CV159" i="1" s="1"/>
  <c r="CW159" i="1" s="1"/>
  <c r="CX159" i="1" s="1"/>
  <c r="CY159" i="1" s="1"/>
  <c r="CZ159" i="1" s="1"/>
  <c r="DA159" i="1" s="1"/>
  <c r="DB159" i="1" s="1"/>
  <c r="JV16" i="4" s="1"/>
  <c r="KB8" i="4" s="1"/>
  <c r="JV9" i="4" s="1"/>
  <c r="CI97" i="1"/>
  <c r="CJ169" i="1"/>
  <c r="CJ204" i="1" s="1"/>
  <c r="CK204" i="1" s="1"/>
  <c r="CH98" i="1"/>
  <c r="KF15" i="4" s="1"/>
  <c r="KF9" i="4" s="1"/>
  <c r="X97" i="1"/>
  <c r="Z98" i="1"/>
  <c r="CJ177" i="1"/>
  <c r="CJ207" i="1" s="1"/>
  <c r="CK207" i="1" s="1"/>
  <c r="CJ171" i="1"/>
  <c r="Y98" i="1"/>
  <c r="CI98" i="1"/>
  <c r="KG9" i="4" s="1"/>
  <c r="JY8" i="4" s="1"/>
  <c r="Z97" i="1"/>
  <c r="CJ184" i="1"/>
  <c r="JW9" i="4" s="1"/>
  <c r="JW21" i="4" s="1"/>
  <c r="KA9" i="4" s="1"/>
  <c r="JS9" i="4" s="1"/>
  <c r="JQ9" i="4" s="1"/>
  <c r="CK98" i="1"/>
  <c r="CJ166" i="1"/>
  <c r="CH97" i="1"/>
  <c r="KH9" i="4" s="1"/>
  <c r="CJ98" i="1"/>
  <c r="CJ179" i="1"/>
  <c r="CJ148" i="1"/>
  <c r="CK148" i="1" s="1"/>
  <c r="CM148" i="1" s="1"/>
  <c r="CG97" i="1"/>
  <c r="CJ97" i="1"/>
  <c r="CG98" i="1"/>
  <c r="X203" i="1"/>
  <c r="Z178" i="1"/>
  <c r="CH178" i="1" s="1"/>
  <c r="CH180" i="1" s="1"/>
  <c r="CH209" i="1" s="1"/>
  <c r="Y172" i="1"/>
  <c r="Y206" i="1" s="1"/>
  <c r="X172" i="1"/>
  <c r="X206" i="1" s="1"/>
  <c r="Z172" i="1"/>
  <c r="X34" i="1"/>
  <c r="X122" i="1" s="1"/>
  <c r="X204" i="1"/>
  <c r="AD5" i="1"/>
  <c r="CY5" i="1"/>
  <c r="CK122" i="1"/>
  <c r="CK123" i="1" s="1"/>
  <c r="CZ5" i="1"/>
  <c r="AD7" i="1"/>
  <c r="AD15" i="1" s="1"/>
  <c r="CY7" i="1"/>
  <c r="CT6" i="1"/>
  <c r="CT10" i="1" s="1"/>
  <c r="CV9" i="1"/>
  <c r="X276" i="1"/>
  <c r="Y158" i="1"/>
  <c r="X207" i="1"/>
  <c r="Z276" i="1"/>
  <c r="Y197" i="1"/>
  <c r="Y185" i="1"/>
  <c r="Z233" i="1" s="1"/>
  <c r="Y50" i="1"/>
  <c r="Y203" i="1"/>
  <c r="X197" i="1"/>
  <c r="CH183" i="1"/>
  <c r="CH185" i="1" s="1"/>
  <c r="CI233" i="1" s="1"/>
  <c r="Z185" i="1"/>
  <c r="AA233" i="1" s="1"/>
  <c r="X218" i="1"/>
  <c r="X277" i="1"/>
  <c r="Y218" i="1"/>
  <c r="Y277" i="1"/>
  <c r="Y276" i="1"/>
  <c r="Y34" i="1"/>
  <c r="Y255" i="1"/>
  <c r="Y207" i="1"/>
  <c r="CH141" i="1"/>
  <c r="Z144" i="1"/>
  <c r="CH168" i="1"/>
  <c r="Z203" i="1"/>
  <c r="Z255" i="1"/>
  <c r="Z204" i="1"/>
  <c r="Z277" i="1"/>
  <c r="Z207" i="1"/>
  <c r="CH159" i="1"/>
  <c r="CI159" i="1" s="1"/>
  <c r="Z155" i="1"/>
  <c r="CG218" i="1"/>
  <c r="CG277" i="1"/>
  <c r="Y180" i="1"/>
  <c r="CH277" i="1"/>
  <c r="CG276" i="1"/>
  <c r="X158" i="1"/>
  <c r="CI255" i="1"/>
  <c r="CI34" i="1"/>
  <c r="CJ122" i="1"/>
  <c r="Y226" i="1"/>
  <c r="Y204" i="1"/>
  <c r="CG34" i="1"/>
  <c r="Z197" i="1"/>
  <c r="Z34" i="1"/>
  <c r="X180" i="1"/>
  <c r="Y144" i="1"/>
  <c r="X152" i="1"/>
  <c r="X185" i="1"/>
  <c r="X144" i="1"/>
  <c r="X199" i="1" s="1"/>
  <c r="Y152" i="1"/>
  <c r="Z50" i="1"/>
  <c r="X50" i="1"/>
  <c r="CI156" i="1"/>
  <c r="CJ156" i="1" s="1"/>
  <c r="CH276" i="1"/>
  <c r="CJ50" i="1"/>
  <c r="CI152" i="1"/>
  <c r="CG50" i="1"/>
  <c r="CH34" i="1"/>
  <c r="CL35" i="1" s="1"/>
  <c r="CH50" i="1"/>
  <c r="CI276" i="1"/>
  <c r="CJ277" i="1"/>
  <c r="CH255" i="1"/>
  <c r="CJ255" i="1"/>
  <c r="CI277" i="1"/>
  <c r="CH204" i="1"/>
  <c r="CI204" i="1" s="1"/>
  <c r="CH207" i="1"/>
  <c r="CI207" i="1" s="1"/>
  <c r="CJ276" i="1"/>
  <c r="CJ34" i="1"/>
  <c r="Y97" i="1"/>
  <c r="X98" i="1"/>
  <c r="Z226" i="1"/>
  <c r="CI50" i="1"/>
  <c r="CI89" i="1"/>
  <c r="CJ218" i="1"/>
  <c r="Z152" i="1"/>
  <c r="CH89" i="1"/>
  <c r="CG89" i="1"/>
  <c r="CJ89" i="1"/>
  <c r="CH152" i="1"/>
  <c r="JP15" i="4"/>
  <c r="JP14" i="4"/>
  <c r="JP8" i="4"/>
  <c r="JP7" i="4"/>
  <c r="JP21" i="4"/>
  <c r="CJ101" i="1" s="1"/>
  <c r="JO21" i="4"/>
  <c r="CI101" i="1" s="1"/>
  <c r="JO7" i="4"/>
  <c r="JO15" i="4"/>
  <c r="JO14" i="4"/>
  <c r="JO8" i="4"/>
  <c r="JN21" i="4"/>
  <c r="CH101" i="1" s="1"/>
  <c r="JN15" i="4"/>
  <c r="JN14" i="4"/>
  <c r="JN7" i="4"/>
  <c r="JN8" i="4"/>
  <c r="CB37" i="1"/>
  <c r="CS32" i="1" l="1"/>
  <c r="CI226" i="1"/>
  <c r="AD13" i="1"/>
  <c r="AD27" i="1"/>
  <c r="Z206" i="1"/>
  <c r="AA220" i="1"/>
  <c r="Z199" i="1"/>
  <c r="AA231" i="1"/>
  <c r="AA212" i="1"/>
  <c r="AA35" i="1"/>
  <c r="AA230" i="1"/>
  <c r="AA273" i="1"/>
  <c r="JR21" i="4"/>
  <c r="CL101" i="1" s="1"/>
  <c r="JX9" i="4" s="1"/>
  <c r="JT16" i="4" s="1"/>
  <c r="JU16" i="4" s="1"/>
  <c r="KB9" i="4" s="1"/>
  <c r="JZ21" i="4"/>
  <c r="JY21" i="4"/>
  <c r="JQ16" i="4" s="1"/>
  <c r="CL268" i="1"/>
  <c r="KE8" i="4"/>
  <c r="KE21" i="4"/>
  <c r="KB15" i="4"/>
  <c r="KB20" i="4" s="1"/>
  <c r="JV8" i="4"/>
  <c r="JV20" i="4" s="1"/>
  <c r="KE7" i="4"/>
  <c r="JU14" i="4"/>
  <c r="JU21" i="4"/>
  <c r="KA14" i="4"/>
  <c r="JX8" i="4"/>
  <c r="KA8" i="4"/>
  <c r="JT7" i="4"/>
  <c r="CL41" i="1"/>
  <c r="CL52" i="1"/>
  <c r="CL205" i="1"/>
  <c r="CL270" i="1"/>
  <c r="CL272" i="1"/>
  <c r="KD8" i="4"/>
  <c r="JW7" i="4"/>
  <c r="KE15" i="4"/>
  <c r="KE20" i="4" s="1"/>
  <c r="JS8" i="4"/>
  <c r="KB7" i="4"/>
  <c r="JR14" i="4"/>
  <c r="JR19" i="4" s="1"/>
  <c r="CL102" i="1" s="1"/>
  <c r="JQ15" i="4"/>
  <c r="JQ20" i="4" s="1"/>
  <c r="CK103" i="1" s="1"/>
  <c r="CJ185" i="1"/>
  <c r="CK233" i="1" s="1"/>
  <c r="KC21" i="4"/>
  <c r="JW15" i="4"/>
  <c r="KH21" i="4"/>
  <c r="KG15" i="4"/>
  <c r="KA7" i="4"/>
  <c r="KF8" i="4"/>
  <c r="KF20" i="4" s="1"/>
  <c r="KG21" i="4"/>
  <c r="JV21" i="4"/>
  <c r="KD15" i="4"/>
  <c r="JW14" i="4"/>
  <c r="CK35" i="1"/>
  <c r="CK36" i="1"/>
  <c r="KF14" i="4"/>
  <c r="JQ8" i="4"/>
  <c r="KC7" i="4"/>
  <c r="CL209" i="1"/>
  <c r="CL181" i="1"/>
  <c r="CL189" i="1" s="1"/>
  <c r="CL190" i="1" s="1"/>
  <c r="CK40" i="1"/>
  <c r="CL43" i="1" s="1"/>
  <c r="CL212" i="1"/>
  <c r="CL36" i="1"/>
  <c r="CI40" i="1"/>
  <c r="CL249" i="1"/>
  <c r="CK52" i="1"/>
  <c r="CK41" i="1"/>
  <c r="CJ152" i="1"/>
  <c r="CJ162" i="1"/>
  <c r="KF7" i="4"/>
  <c r="CK164" i="1"/>
  <c r="KG14" i="4"/>
  <c r="JT8" i="4"/>
  <c r="KG8" i="4"/>
  <c r="KG20" i="4" s="1"/>
  <c r="JX14" i="4"/>
  <c r="JZ14" i="4"/>
  <c r="JS21" i="4"/>
  <c r="JS15" i="4"/>
  <c r="JR7" i="4"/>
  <c r="JR8" i="4"/>
  <c r="CJ172" i="1"/>
  <c r="CJ206" i="1" s="1"/>
  <c r="JV7" i="4"/>
  <c r="KD14" i="4"/>
  <c r="JZ8" i="4"/>
  <c r="KF21" i="4"/>
  <c r="JQ14" i="4"/>
  <c r="JQ7" i="4"/>
  <c r="KA21" i="4"/>
  <c r="JZ15" i="4"/>
  <c r="JZ20" i="4" s="1"/>
  <c r="JR15" i="4"/>
  <c r="JR20" i="4" s="1"/>
  <c r="CL103" i="1" s="1"/>
  <c r="JW8" i="4"/>
  <c r="KC14" i="4"/>
  <c r="KC19" i="4" s="1"/>
  <c r="JX15" i="4"/>
  <c r="JX7" i="4"/>
  <c r="CK149" i="1"/>
  <c r="CK152" i="1" s="1"/>
  <c r="JY14" i="4"/>
  <c r="KD7" i="4"/>
  <c r="JV14" i="4"/>
  <c r="JV19" i="4" s="1"/>
  <c r="KC8" i="4"/>
  <c r="JY7" i="4"/>
  <c r="JT15" i="4"/>
  <c r="KG7" i="4"/>
  <c r="KE14" i="4"/>
  <c r="JS7" i="4"/>
  <c r="JS19" i="4" s="1"/>
  <c r="JU8" i="4"/>
  <c r="Z180" i="1"/>
  <c r="AA221" i="1" s="1"/>
  <c r="CJ155" i="1"/>
  <c r="CK155" i="1" s="1"/>
  <c r="KC15" i="4"/>
  <c r="JU7" i="4"/>
  <c r="JU19" i="4" s="1"/>
  <c r="KH8" i="4"/>
  <c r="KH20" i="4" s="1"/>
  <c r="JU15" i="4"/>
  <c r="KA15" i="4"/>
  <c r="KA20" i="4" s="1"/>
  <c r="JZ7" i="4"/>
  <c r="JT14" i="4"/>
  <c r="JT19" i="4" s="1"/>
  <c r="CJ180" i="1"/>
  <c r="CJ209" i="1" s="1"/>
  <c r="CJ208" i="1" s="1"/>
  <c r="CK208" i="1" s="1"/>
  <c r="KH7" i="4"/>
  <c r="KB14" i="4"/>
  <c r="KB19" i="4" s="1"/>
  <c r="JY15" i="4"/>
  <c r="JY20" i="4" s="1"/>
  <c r="KH14" i="4"/>
  <c r="KH19" i="4" s="1"/>
  <c r="KB21" i="4"/>
  <c r="JT21" i="4"/>
  <c r="CJ144" i="1"/>
  <c r="Y220" i="1"/>
  <c r="Z220" i="1"/>
  <c r="X181" i="1"/>
  <c r="X40" i="1"/>
  <c r="X52" i="1" s="1"/>
  <c r="Y35" i="1"/>
  <c r="X51" i="1"/>
  <c r="Y162" i="1"/>
  <c r="Y57" i="1"/>
  <c r="Z158" i="1"/>
  <c r="CH155" i="1"/>
  <c r="AB157" i="1"/>
  <c r="CQ157" i="1"/>
  <c r="CR157" i="1" s="1"/>
  <c r="CS157" i="1" s="1"/>
  <c r="CT157" i="1" s="1"/>
  <c r="DB5" i="1"/>
  <c r="DA5" i="1"/>
  <c r="CZ7" i="1"/>
  <c r="DA7" i="1"/>
  <c r="CU6" i="1"/>
  <c r="CU10" i="1" s="1"/>
  <c r="AC6" i="1"/>
  <c r="CW9" i="1"/>
  <c r="Z272" i="1"/>
  <c r="CH172" i="1"/>
  <c r="CH203" i="1"/>
  <c r="CI203" i="1" s="1"/>
  <c r="Z51" i="1"/>
  <c r="Y122" i="1"/>
  <c r="Y212" i="1"/>
  <c r="Y51" i="1"/>
  <c r="Y40" i="1"/>
  <c r="CI141" i="1"/>
  <c r="CH144" i="1"/>
  <c r="CH116" i="1" s="1"/>
  <c r="CH118" i="1" s="1"/>
  <c r="CG51" i="1"/>
  <c r="CG40" i="1"/>
  <c r="X153" i="1"/>
  <c r="CI51" i="1"/>
  <c r="Y205" i="1"/>
  <c r="Y209" i="1"/>
  <c r="Y181" i="1"/>
  <c r="X162" i="1"/>
  <c r="X270" i="1" s="1"/>
  <c r="X57" i="1"/>
  <c r="CH208" i="1"/>
  <c r="CI208" i="1" s="1"/>
  <c r="X272" i="1"/>
  <c r="Y233" i="1"/>
  <c r="Z212" i="1"/>
  <c r="Z35" i="1"/>
  <c r="Z40" i="1"/>
  <c r="AA42" i="1" s="1"/>
  <c r="Z122" i="1"/>
  <c r="Y199" i="1"/>
  <c r="Y272" i="1"/>
  <c r="X61" i="1"/>
  <c r="X192" i="1"/>
  <c r="X133" i="1" s="1"/>
  <c r="CI230" i="1"/>
  <c r="X209" i="1"/>
  <c r="Y221" i="1"/>
  <c r="Y273" i="1"/>
  <c r="Y230" i="1"/>
  <c r="Y192" i="1"/>
  <c r="Y133" i="1" s="1"/>
  <c r="Y61" i="1"/>
  <c r="Y153" i="1"/>
  <c r="Z192" i="1"/>
  <c r="Z133" i="1" s="1"/>
  <c r="Z230" i="1"/>
  <c r="CI36" i="1"/>
  <c r="CJ40" i="1"/>
  <c r="CJ123" i="1"/>
  <c r="CJ126" i="1" s="1"/>
  <c r="CH51" i="1"/>
  <c r="CJ249" i="1"/>
  <c r="CJ36" i="1"/>
  <c r="CJ51" i="1"/>
  <c r="CH40" i="1"/>
  <c r="CL42" i="1" s="1"/>
  <c r="CH36" i="1"/>
  <c r="Z153" i="1"/>
  <c r="Z61" i="1"/>
  <c r="Z273" i="1"/>
  <c r="CH192" i="1"/>
  <c r="CI273" i="1"/>
  <c r="X205" i="1"/>
  <c r="CN148" i="1"/>
  <c r="CM204" i="1"/>
  <c r="CM207" i="1"/>
  <c r="CX187" i="1"/>
  <c r="CX141" i="1"/>
  <c r="JP20" i="4"/>
  <c r="CJ103" i="1" s="1"/>
  <c r="JP19" i="4"/>
  <c r="CJ102" i="1" s="1"/>
  <c r="JO19" i="4"/>
  <c r="CI102" i="1" s="1"/>
  <c r="JO20" i="4"/>
  <c r="CI103" i="1" s="1"/>
  <c r="JN20" i="4"/>
  <c r="CH103" i="1" s="1"/>
  <c r="JN19" i="4"/>
  <c r="CH102" i="1" s="1"/>
  <c r="JT20" i="4" l="1"/>
  <c r="KG19" i="4"/>
  <c r="AA222" i="1"/>
  <c r="AA223" i="1" s="1"/>
  <c r="Z205" i="1"/>
  <c r="AC28" i="1"/>
  <c r="AC10" i="1"/>
  <c r="AA229" i="1"/>
  <c r="KC20" i="4"/>
  <c r="JU20" i="4"/>
  <c r="JX21" i="4"/>
  <c r="KA19" i="4"/>
  <c r="JQ21" i="4"/>
  <c r="CK101" i="1" s="1"/>
  <c r="CK126" i="1" s="1"/>
  <c r="KD20" i="4"/>
  <c r="JW19" i="4"/>
  <c r="CL118" i="1"/>
  <c r="CL126" i="1"/>
  <c r="JX19" i="4"/>
  <c r="JS20" i="4"/>
  <c r="KD19" i="4"/>
  <c r="JQ19" i="4"/>
  <c r="CK102" i="1" s="1"/>
  <c r="JX20" i="4"/>
  <c r="JY19" i="4"/>
  <c r="KE19" i="4"/>
  <c r="CK58" i="1"/>
  <c r="CK62" i="1" s="1"/>
  <c r="CK25" i="1" s="1"/>
  <c r="CK42" i="1"/>
  <c r="CM51" i="1"/>
  <c r="JW20" i="4"/>
  <c r="JZ19" i="4"/>
  <c r="CK43" i="1"/>
  <c r="KF19" i="4"/>
  <c r="CL208" i="1"/>
  <c r="CM208" i="1" s="1"/>
  <c r="CL210" i="1"/>
  <c r="CI41" i="1"/>
  <c r="CI52" i="1"/>
  <c r="CL256" i="1"/>
  <c r="CL257" i="1" s="1"/>
  <c r="CL274" i="1"/>
  <c r="CL58" i="1"/>
  <c r="CL62" i="1" s="1"/>
  <c r="CL25" i="1" s="1"/>
  <c r="CL53" i="1"/>
  <c r="CJ268" i="1"/>
  <c r="CL131" i="1"/>
  <c r="CL134" i="1" s="1"/>
  <c r="CL119" i="1"/>
  <c r="CL127" i="1"/>
  <c r="CK53" i="1"/>
  <c r="CL55" i="1"/>
  <c r="CJ273" i="1"/>
  <c r="CJ230" i="1"/>
  <c r="CK226" i="1"/>
  <c r="CL226" i="1"/>
  <c r="CL120" i="1"/>
  <c r="CL128" i="1"/>
  <c r="CL132" i="1"/>
  <c r="CL135" i="1" s="1"/>
  <c r="CL230" i="1"/>
  <c r="CL273" i="1"/>
  <c r="Z209" i="1"/>
  <c r="Z221" i="1"/>
  <c r="Z181" i="1"/>
  <c r="CJ153" i="1"/>
  <c r="CJ272" i="1"/>
  <c r="CJ270" i="1"/>
  <c r="CJ116" i="1"/>
  <c r="CJ118" i="1" s="1"/>
  <c r="CJ181" i="1"/>
  <c r="CJ189" i="1" s="1"/>
  <c r="Z222" i="1"/>
  <c r="Y222" i="1"/>
  <c r="X41" i="1"/>
  <c r="DB7" i="1"/>
  <c r="AE7" i="1" s="1"/>
  <c r="AE15" i="1" s="1"/>
  <c r="AE5" i="1"/>
  <c r="Y189" i="1"/>
  <c r="Y190" i="1" s="1"/>
  <c r="CK128" i="1"/>
  <c r="CK132" i="1"/>
  <c r="Y268" i="1"/>
  <c r="Y270" i="1"/>
  <c r="Z162" i="1"/>
  <c r="AA227" i="1" s="1"/>
  <c r="AA225" i="1" s="1"/>
  <c r="Z57" i="1"/>
  <c r="CI155" i="1"/>
  <c r="CI158" i="1" s="1"/>
  <c r="CH158" i="1"/>
  <c r="CU157" i="1"/>
  <c r="CV157" i="1" s="1"/>
  <c r="CW157" i="1" s="1"/>
  <c r="CX157" i="1" s="1"/>
  <c r="AC157" i="1"/>
  <c r="CH206" i="1"/>
  <c r="CH181" i="1"/>
  <c r="Y41" i="1"/>
  <c r="Y52" i="1"/>
  <c r="Y42" i="1"/>
  <c r="CH272" i="1"/>
  <c r="CH153" i="1"/>
  <c r="CU32" i="1"/>
  <c r="CV6" i="1"/>
  <c r="CV10" i="1" s="1"/>
  <c r="CT32" i="1"/>
  <c r="AC14" i="1"/>
  <c r="CX9" i="1"/>
  <c r="X268" i="1"/>
  <c r="X189" i="1"/>
  <c r="X190" i="1" s="1"/>
  <c r="Y227" i="1"/>
  <c r="Y225" i="1" s="1"/>
  <c r="Z42" i="1"/>
  <c r="Z41" i="1"/>
  <c r="Z52" i="1"/>
  <c r="CH120" i="1"/>
  <c r="CG52" i="1"/>
  <c r="CK54" i="1" s="1"/>
  <c r="CG41" i="1"/>
  <c r="CK209" i="1"/>
  <c r="Y208" i="1"/>
  <c r="Y210" i="1"/>
  <c r="CI209" i="1"/>
  <c r="CI176" i="1"/>
  <c r="CM164" i="1"/>
  <c r="CJ205" i="1"/>
  <c r="CK205" i="1" s="1"/>
  <c r="CJ210" i="1"/>
  <c r="CH119" i="1"/>
  <c r="CI43" i="1"/>
  <c r="CH41" i="1"/>
  <c r="X208" i="1"/>
  <c r="X210" i="1"/>
  <c r="CM149" i="1"/>
  <c r="CJ43" i="1"/>
  <c r="CJ52" i="1"/>
  <c r="CJ41" i="1"/>
  <c r="CK230" i="1"/>
  <c r="CK273" i="1"/>
  <c r="CH52" i="1"/>
  <c r="CH43" i="1"/>
  <c r="CI61" i="1"/>
  <c r="CH133" i="1"/>
  <c r="X256" i="1"/>
  <c r="X257" i="1" s="1"/>
  <c r="X58" i="1"/>
  <c r="X136" i="1"/>
  <c r="X53" i="1"/>
  <c r="CJ132" i="1"/>
  <c r="CJ128" i="1"/>
  <c r="CH132" i="1"/>
  <c r="CI131" i="1"/>
  <c r="CH131" i="1"/>
  <c r="CI132" i="1"/>
  <c r="CJ131" i="1"/>
  <c r="CJ127" i="1"/>
  <c r="CN204" i="1"/>
  <c r="CO148" i="1"/>
  <c r="CN207" i="1"/>
  <c r="CY141" i="1"/>
  <c r="CY187" i="1"/>
  <c r="AE13" i="1" l="1"/>
  <c r="AE27" i="1"/>
  <c r="AD9" i="1"/>
  <c r="AA234" i="1"/>
  <c r="AA235" i="1" s="1"/>
  <c r="AA237" i="1"/>
  <c r="AA54" i="1"/>
  <c r="AA274" i="1"/>
  <c r="AA275" i="1" s="1"/>
  <c r="CK64" i="1"/>
  <c r="CK65" i="1"/>
  <c r="CK127" i="1"/>
  <c r="CK131" i="1"/>
  <c r="CL250" i="1"/>
  <c r="Z210" i="1"/>
  <c r="AA213" i="1" s="1"/>
  <c r="AA214" i="1" s="1"/>
  <c r="Z208" i="1"/>
  <c r="CI58" i="1"/>
  <c r="CI256" i="1"/>
  <c r="CI257" i="1" s="1"/>
  <c r="CI53" i="1"/>
  <c r="CJ190" i="1"/>
  <c r="CN51" i="1"/>
  <c r="CL64" i="1"/>
  <c r="CL65" i="1"/>
  <c r="CL275" i="1"/>
  <c r="CK55" i="1"/>
  <c r="CL136" i="1"/>
  <c r="CK136" i="1"/>
  <c r="CL54" i="1"/>
  <c r="CJ119" i="1"/>
  <c r="CJ120" i="1"/>
  <c r="CV32" i="1"/>
  <c r="CK72" i="1"/>
  <c r="CK66" i="1"/>
  <c r="Z227" i="1"/>
  <c r="Z225" i="1" s="1"/>
  <c r="Z189" i="1"/>
  <c r="Z190" i="1" s="1"/>
  <c r="Z270" i="1"/>
  <c r="Z268" i="1"/>
  <c r="CJ57" i="1"/>
  <c r="CI162" i="1"/>
  <c r="CJ227" i="1" s="1"/>
  <c r="CJ225" i="1" s="1"/>
  <c r="CI57" i="1"/>
  <c r="CH162" i="1"/>
  <c r="CY157" i="1"/>
  <c r="CZ157" i="1" s="1"/>
  <c r="DA157" i="1" s="1"/>
  <c r="DB157" i="1" s="1"/>
  <c r="AE157" i="1" s="1"/>
  <c r="AD157" i="1"/>
  <c r="Y274" i="1"/>
  <c r="Y275" i="1" s="1"/>
  <c r="Y54" i="1"/>
  <c r="Y136" i="1"/>
  <c r="Y58" i="1"/>
  <c r="Y53" i="1"/>
  <c r="Y256" i="1"/>
  <c r="Y257" i="1" s="1"/>
  <c r="CH205" i="1"/>
  <c r="CI205" i="1" s="1"/>
  <c r="CH210" i="1"/>
  <c r="CL213" i="1" s="1"/>
  <c r="CI274" i="1"/>
  <c r="CI275" i="1" s="1"/>
  <c r="CW6" i="1"/>
  <c r="CW10" i="1" s="1"/>
  <c r="CY9" i="1"/>
  <c r="Y213" i="1"/>
  <c r="Y214" i="1" s="1"/>
  <c r="Z274" i="1"/>
  <c r="Z275" i="1" s="1"/>
  <c r="Z256" i="1"/>
  <c r="Z257" i="1" s="1"/>
  <c r="Z53" i="1"/>
  <c r="Z58" i="1"/>
  <c r="Z136" i="1"/>
  <c r="Z54" i="1"/>
  <c r="CG58" i="1"/>
  <c r="CG62" i="1" s="1"/>
  <c r="CG25" i="1" s="1"/>
  <c r="CG256" i="1"/>
  <c r="CG257" i="1" s="1"/>
  <c r="CG53" i="1"/>
  <c r="CM226" i="1"/>
  <c r="CN164" i="1"/>
  <c r="CK206" i="1"/>
  <c r="CK210" i="1" s="1"/>
  <c r="CJ55" i="1"/>
  <c r="CJ274" i="1"/>
  <c r="CJ275" i="1" s="1"/>
  <c r="CJ256" i="1"/>
  <c r="CJ257" i="1" s="1"/>
  <c r="CH53" i="1"/>
  <c r="CH58" i="1"/>
  <c r="CH62" i="1" s="1"/>
  <c r="CH25" i="1" s="1"/>
  <c r="CH55" i="1"/>
  <c r="CH274" i="1"/>
  <c r="CI55" i="1"/>
  <c r="CH256" i="1"/>
  <c r="CH257" i="1" s="1"/>
  <c r="CJ250" i="1"/>
  <c r="CJ136" i="1"/>
  <c r="CJ53" i="1"/>
  <c r="CJ58" i="1"/>
  <c r="CN149" i="1"/>
  <c r="CM152" i="1"/>
  <c r="CM273" i="1" s="1"/>
  <c r="CH134" i="1"/>
  <c r="CH135" i="1"/>
  <c r="CK218" i="1"/>
  <c r="CK156" i="1"/>
  <c r="X62" i="1"/>
  <c r="X25" i="1" s="1"/>
  <c r="X79" i="1"/>
  <c r="CP148" i="1"/>
  <c r="CO203" i="1"/>
  <c r="CO204" i="1"/>
  <c r="CO207" i="1"/>
  <c r="CZ187" i="1"/>
  <c r="CZ141" i="1"/>
  <c r="CM69" i="1"/>
  <c r="CN69" i="1" s="1"/>
  <c r="CO69" i="1" s="1"/>
  <c r="CP69" i="1" s="1"/>
  <c r="CQ69" i="1" s="1"/>
  <c r="CR69" i="1" s="1"/>
  <c r="CS69" i="1" s="1"/>
  <c r="CT69" i="1" s="1"/>
  <c r="CU69" i="1" s="1"/>
  <c r="CM70" i="1"/>
  <c r="CI62" i="1" l="1"/>
  <c r="CI25" i="1" s="1"/>
  <c r="CI227" i="1"/>
  <c r="CI225" i="1" s="1"/>
  <c r="Z213" i="1"/>
  <c r="Z214" i="1" s="1"/>
  <c r="CI65" i="1"/>
  <c r="CI64" i="1"/>
  <c r="CO51" i="1"/>
  <c r="CJ62" i="1"/>
  <c r="CJ25" i="1" s="1"/>
  <c r="CL79" i="1"/>
  <c r="CL68" i="1"/>
  <c r="CL66" i="1"/>
  <c r="CL269" i="1" s="1"/>
  <c r="CL258" i="1"/>
  <c r="CL72" i="1"/>
  <c r="CL138" i="1"/>
  <c r="CL137" i="1"/>
  <c r="Y79" i="1"/>
  <c r="Y62" i="1"/>
  <c r="Y25" i="1" s="1"/>
  <c r="CK158" i="1"/>
  <c r="CL156" i="1"/>
  <c r="CL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CN226" i="1"/>
  <c r="CO164" i="1"/>
  <c r="CK76" i="1"/>
  <c r="CK90" i="1"/>
  <c r="CH270" i="1"/>
  <c r="CH189" i="1"/>
  <c r="CH190" i="1" s="1"/>
  <c r="Z62" i="1"/>
  <c r="Z25" i="1" s="1"/>
  <c r="Z79" i="1"/>
  <c r="CM41" i="1"/>
  <c r="CN41" i="1" s="1"/>
  <c r="CO41" i="1" s="1"/>
  <c r="CI206" i="1"/>
  <c r="CI170" i="1"/>
  <c r="CW32" i="1"/>
  <c r="CZ6" i="1"/>
  <c r="CX6" i="1"/>
  <c r="CX10" i="1" s="1"/>
  <c r="CZ9" i="1"/>
  <c r="CZ10" i="1" s="1"/>
  <c r="CG65" i="1"/>
  <c r="CK67" i="1" s="1"/>
  <c r="CG64" i="1"/>
  <c r="CH65" i="1"/>
  <c r="CL67" i="1" s="1"/>
  <c r="CH64" i="1"/>
  <c r="CN208" i="1"/>
  <c r="CM209" i="1"/>
  <c r="CM205" i="1"/>
  <c r="CO149" i="1"/>
  <c r="CN152" i="1"/>
  <c r="CN273" i="1" s="1"/>
  <c r="CM230" i="1"/>
  <c r="X64" i="1"/>
  <c r="X65" i="1"/>
  <c r="CP207" i="1"/>
  <c r="CP204" i="1"/>
  <c r="CP203" i="1"/>
  <c r="CQ148" i="1"/>
  <c r="DA141" i="1"/>
  <c r="DA187" i="1"/>
  <c r="CE89" i="1"/>
  <c r="AB69" i="1"/>
  <c r="AC69" i="1"/>
  <c r="CV69" i="1"/>
  <c r="CW69" i="1" s="1"/>
  <c r="CX69" i="1" s="1"/>
  <c r="CY69" i="1" s="1"/>
  <c r="AB59" i="1"/>
  <c r="CN70" i="1"/>
  <c r="CO70" i="1" s="1"/>
  <c r="CP70" i="1" s="1"/>
  <c r="CQ70" i="1" s="1"/>
  <c r="CJ65" i="1" l="1"/>
  <c r="CJ64" i="1"/>
  <c r="Y64" i="1"/>
  <c r="Y65" i="1"/>
  <c r="CI66" i="1"/>
  <c r="CI269" i="1" s="1"/>
  <c r="CI258" i="1"/>
  <c r="CI72" i="1"/>
  <c r="CP51" i="1"/>
  <c r="CQ51" i="1" s="1"/>
  <c r="CM64" i="1"/>
  <c r="CL57" i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CK162" i="1"/>
  <c r="CL217" i="1"/>
  <c r="CL219" i="1" s="1"/>
  <c r="CL90" i="1"/>
  <c r="CL76" i="1"/>
  <c r="CK68" i="1"/>
  <c r="CL251" i="1"/>
  <c r="CK227" i="1"/>
  <c r="CK225" i="1" s="1"/>
  <c r="CL227" i="1"/>
  <c r="CL225" i="1" s="1"/>
  <c r="CI143" i="1"/>
  <c r="CP164" i="1"/>
  <c r="CP226" i="1" s="1"/>
  <c r="CO226" i="1"/>
  <c r="Z65" i="1"/>
  <c r="Z64" i="1"/>
  <c r="CP41" i="1"/>
  <c r="CJ68" i="1"/>
  <c r="CJ66" i="1"/>
  <c r="CJ269" i="1" s="1"/>
  <c r="CJ258" i="1"/>
  <c r="CJ72" i="1"/>
  <c r="CL78" i="1" s="1"/>
  <c r="CY6" i="1"/>
  <c r="CY10" i="1" s="1"/>
  <c r="AD6" i="1"/>
  <c r="DA9" i="1"/>
  <c r="CG66" i="1"/>
  <c r="CG269" i="1" s="1"/>
  <c r="CG258" i="1"/>
  <c r="CG72" i="1"/>
  <c r="CH68" i="1"/>
  <c r="CJ251" i="1"/>
  <c r="CI68" i="1"/>
  <c r="CH66" i="1"/>
  <c r="CH269" i="1" s="1"/>
  <c r="CH72" i="1"/>
  <c r="CH258" i="1"/>
  <c r="CO208" i="1"/>
  <c r="CN209" i="1"/>
  <c r="CM206" i="1"/>
  <c r="CM210" i="1" s="1"/>
  <c r="CN205" i="1"/>
  <c r="CP149" i="1"/>
  <c r="CO152" i="1"/>
  <c r="CO273" i="1" s="1"/>
  <c r="CN230" i="1"/>
  <c r="X258" i="1"/>
  <c r="X66" i="1"/>
  <c r="X269" i="1" s="1"/>
  <c r="Y67" i="1"/>
  <c r="X72" i="1"/>
  <c r="Y258" i="1"/>
  <c r="Y66" i="1"/>
  <c r="Y269" i="1" s="1"/>
  <c r="Y72" i="1"/>
  <c r="CB89" i="1"/>
  <c r="BL89" i="1"/>
  <c r="CR148" i="1"/>
  <c r="CQ203" i="1"/>
  <c r="CQ207" i="1"/>
  <c r="CC89" i="1"/>
  <c r="CQ204" i="1"/>
  <c r="CQ164" i="1"/>
  <c r="CQ226" i="1" s="1"/>
  <c r="DB141" i="1"/>
  <c r="DB187" i="1"/>
  <c r="AL89" i="1"/>
  <c r="CF89" i="1"/>
  <c r="CD89" i="1"/>
  <c r="BY89" i="1"/>
  <c r="BZ89" i="1"/>
  <c r="CA89" i="1"/>
  <c r="CI144" i="1"/>
  <c r="CI76" i="1"/>
  <c r="CI90" i="1"/>
  <c r="CI217" i="1"/>
  <c r="CI219" i="1" s="1"/>
  <c r="AD69" i="1"/>
  <c r="AB70" i="1"/>
  <c r="CZ69" i="1"/>
  <c r="DA69" i="1" s="1"/>
  <c r="DB69" i="1" s="1"/>
  <c r="AE69" i="1" s="1"/>
  <c r="AC59" i="1"/>
  <c r="CR70" i="1"/>
  <c r="CS70" i="1" s="1"/>
  <c r="CT70" i="1" s="1"/>
  <c r="CU70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Y36" i="3"/>
  <c r="AW36" i="3"/>
  <c r="AU6" i="3"/>
  <c r="AV36" i="3"/>
  <c r="AT11" i="3"/>
  <c r="AW8" i="3"/>
  <c r="AX8" i="3"/>
  <c r="AH6" i="6" a="1"/>
  <c r="AU8" i="3"/>
  <c r="AZ29" i="3"/>
  <c r="AF13" i="3"/>
  <c r="AW9" i="3"/>
  <c r="ET16" i="4" a="1"/>
  <c r="EP9" i="4" a="1"/>
  <c r="ES6" i="4" a="1"/>
  <c r="ES14" i="4" a="1"/>
  <c r="ET5" i="4" a="1"/>
  <c r="EP7" i="4" a="1"/>
  <c r="AB5" i="3"/>
  <c r="AU24" i="3"/>
  <c r="AW22" i="3"/>
  <c r="AV37" i="3"/>
  <c r="AU33" i="3"/>
  <c r="AS14" i="3"/>
  <c r="AU32" i="3"/>
  <c r="AS6" i="6" a="1"/>
  <c r="AW26" i="3"/>
  <c r="EU8" i="4" a="1"/>
  <c r="EL16" i="4" a="1"/>
  <c r="EW13" i="4" a="1"/>
  <c r="EV8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T45" i="3"/>
  <c r="AS32" i="3"/>
  <c r="AV16" i="3"/>
  <c r="AW25" i="3"/>
  <c r="AS27" i="3"/>
  <c r="EM15" i="4" a="1"/>
  <c r="EL11" i="4" a="1"/>
  <c r="EV6" i="4" a="1"/>
  <c r="EP14" i="4" a="1"/>
  <c r="AX10" i="3"/>
  <c r="AV24" i="3"/>
  <c r="AT46" i="3"/>
  <c r="AU11" i="3"/>
  <c r="AF8" i="3"/>
  <c r="AT41" i="3"/>
  <c r="AT15" i="3"/>
  <c r="AX15" i="3"/>
  <c r="V6" i="6" a="1"/>
  <c r="EQ13" i="4" a="1"/>
  <c r="EN8" i="4" a="1"/>
  <c r="EL15" i="4" a="1"/>
  <c r="AJ6" i="6" a="1"/>
  <c r="AY38" i="3"/>
  <c r="AV21" i="3"/>
  <c r="R5" i="6" a="1"/>
  <c r="AT13" i="3"/>
  <c r="AW6" i="6" a="1"/>
  <c r="AS15" i="3"/>
  <c r="EU9" i="4" a="1"/>
  <c r="EM16" i="4" a="1"/>
  <c r="AF22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K5" i="6" a="1"/>
  <c r="AZ37" i="3"/>
  <c r="AY23" i="3"/>
  <c r="AS41" i="3"/>
  <c r="AW10" i="3"/>
  <c r="AF34" i="3"/>
  <c r="AS13" i="3"/>
  <c r="AU40" i="3"/>
  <c r="AD6" i="6" a="1"/>
  <c r="AT6" i="6" a="1"/>
  <c r="AB5" i="6" a="1"/>
  <c r="AV27" i="3"/>
  <c r="AV13" i="3"/>
  <c r="AV12" i="3"/>
  <c r="AP7" i="3"/>
  <c r="AF5" i="6" a="1"/>
  <c r="EM8" i="4" a="1"/>
  <c r="AV45" i="3"/>
  <c r="D6" i="6" a="1"/>
  <c r="AF39" i="3"/>
  <c r="EV15" i="4" a="1"/>
  <c r="ET11" i="4" a="1"/>
  <c r="ER12" i="4" a="1"/>
  <c r="AZ40" i="3"/>
  <c r="AS10" i="3"/>
  <c r="EL9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AS6" i="3"/>
  <c r="AS22" i="3"/>
  <c r="AU26" i="3"/>
  <c r="AZ34" i="3"/>
  <c r="EP15" i="4" a="1"/>
  <c r="EU14" i="4" a="1"/>
  <c r="EO9" i="4" a="1"/>
  <c r="EO7" i="4" a="1"/>
  <c r="EN16" i="4" a="1"/>
  <c r="EV7" i="4" a="1"/>
  <c r="EU6" i="4" a="1"/>
  <c r="EU5" i="4" a="1"/>
  <c r="EN9" i="4" a="1"/>
  <c r="EN12" i="4" a="1"/>
  <c r="AX45" i="3"/>
  <c r="EM7" i="4" a="1"/>
  <c r="EV16" i="4" a="1"/>
  <c r="AU31" i="3"/>
  <c r="EO5" i="4" a="1"/>
  <c r="AS26" i="3"/>
  <c r="AV31" i="3"/>
  <c r="AV6" i="6" a="1"/>
  <c r="ER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M6" i="4" a="1"/>
  <c r="EV11" i="4" a="1"/>
  <c r="AY35" i="3"/>
  <c r="AS25" i="3"/>
  <c r="AZ33" i="3"/>
  <c r="AZ19" i="3"/>
  <c r="EM9" i="4" a="1"/>
  <c r="ES8" i="4" a="1"/>
  <c r="EP16" i="4" a="1"/>
  <c r="EL14" i="4" a="1"/>
  <c r="U5" i="6" a="1"/>
  <c r="AK6" i="6" a="1"/>
  <c r="AV17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AY13" i="3"/>
  <c r="AV20" i="3"/>
  <c r="AS34" i="3"/>
  <c r="AV23" i="3"/>
  <c r="AY8" i="3"/>
  <c r="AF16" i="3"/>
  <c r="AF31" i="3"/>
  <c r="EO16" i="4" a="1"/>
  <c r="EW5" i="4" a="1"/>
  <c r="ET14" i="4" a="1"/>
  <c r="ET9" i="4" a="1"/>
  <c r="EV9" i="4" a="1"/>
  <c r="EQ11" i="4" a="1"/>
  <c r="EP8" i="4" a="1"/>
  <c r="AV5" i="3"/>
  <c r="AF6" i="3"/>
  <c r="AS30" i="3"/>
  <c r="AW32" i="3"/>
  <c r="AT36" i="3"/>
  <c r="EQ15" i="4" a="1"/>
  <c r="EM12" i="4" a="1"/>
  <c r="ER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Z23" i="3"/>
  <c r="AX27" i="3"/>
  <c r="AU37" i="3"/>
  <c r="ET7" i="4" a="1"/>
  <c r="AZ45" i="3"/>
  <c r="AF7" i="3"/>
  <c r="AW19" i="3"/>
  <c r="AC5" i="6" a="1"/>
  <c r="EP13" i="4" a="1"/>
  <c r="ER8" i="4" a="1"/>
  <c r="EN11" i="4" a="1"/>
  <c r="EV12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AQ5" i="6" a="1"/>
  <c r="EN15" i="4" a="1"/>
  <c r="EW15" i="4" a="1"/>
  <c r="AD28" i="1" l="1"/>
  <c r="AD10" i="1"/>
  <c r="Z72" i="1"/>
  <c r="AA67" i="1"/>
  <c r="CR51" i="1"/>
  <c r="CS51" i="1" s="1"/>
  <c r="CN64" i="1"/>
  <c r="AB155" i="1"/>
  <c r="Z258" i="1"/>
  <c r="Z66" i="1"/>
  <c r="Z269" i="1" s="1"/>
  <c r="Z67" i="1"/>
  <c r="CY32" i="1"/>
  <c r="CQ41" i="1"/>
  <c r="CR41" i="1" s="1"/>
  <c r="CS41" i="1" s="1"/>
  <c r="CT41" i="1" s="1"/>
  <c r="CJ90" i="1"/>
  <c r="CL93" i="1" s="1"/>
  <c r="CJ217" i="1"/>
  <c r="CJ219" i="1" s="1"/>
  <c r="CJ76" i="1"/>
  <c r="CX32" i="1"/>
  <c r="AD14" i="1"/>
  <c r="DA6" i="1"/>
  <c r="DA10" i="1" s="1"/>
  <c r="DB6" i="1"/>
  <c r="CZ32" i="1"/>
  <c r="DB9" i="1"/>
  <c r="CG217" i="1"/>
  <c r="CG219" i="1" s="1"/>
  <c r="CG76" i="1"/>
  <c r="CG90" i="1"/>
  <c r="CJ78" i="1"/>
  <c r="CH217" i="1"/>
  <c r="CH219" i="1" s="1"/>
  <c r="CH90" i="1"/>
  <c r="CH76" i="1"/>
  <c r="CO209" i="1"/>
  <c r="CP208" i="1"/>
  <c r="CN206" i="1"/>
  <c r="CN210" i="1" s="1"/>
  <c r="CO205" i="1"/>
  <c r="CQ149" i="1"/>
  <c r="CP152" i="1"/>
  <c r="CP273" i="1" s="1"/>
  <c r="CO230" i="1"/>
  <c r="BY46" i="1"/>
  <c r="CA33" i="1"/>
  <c r="CE46" i="1"/>
  <c r="CA46" i="1"/>
  <c r="CF46" i="1"/>
  <c r="CD46" i="1"/>
  <c r="BZ46" i="1"/>
  <c r="BL46" i="1"/>
  <c r="CC46" i="1"/>
  <c r="CB46" i="1"/>
  <c r="CF33" i="1"/>
  <c r="CD33" i="1"/>
  <c r="BY33" i="1"/>
  <c r="CE33" i="1"/>
  <c r="BZ33" i="1"/>
  <c r="CC33" i="1"/>
  <c r="CB33" i="1"/>
  <c r="BL33" i="1"/>
  <c r="Y217" i="1"/>
  <c r="Y219" i="1" s="1"/>
  <c r="Y223" i="1" s="1"/>
  <c r="Y237" i="1" s="1"/>
  <c r="Y231" i="1"/>
  <c r="Y229" i="1" s="1"/>
  <c r="Y78" i="1"/>
  <c r="Y76" i="1"/>
  <c r="X217" i="1"/>
  <c r="X219" i="1" s="1"/>
  <c r="X76" i="1"/>
  <c r="X78" i="1"/>
  <c r="Z217" i="1"/>
  <c r="Z219" i="1" s="1"/>
  <c r="Z223" i="1" s="1"/>
  <c r="Z237" i="1" s="1"/>
  <c r="Z231" i="1"/>
  <c r="Z229" i="1" s="1"/>
  <c r="Z78" i="1"/>
  <c r="Z76" i="1"/>
  <c r="CD49" i="1"/>
  <c r="CC69" i="1"/>
  <c r="CA32" i="1"/>
  <c r="CA255" i="1" s="1"/>
  <c r="CD63" i="1"/>
  <c r="AH7" i="6" s="1"/>
  <c r="CD59" i="1"/>
  <c r="CF60" i="1"/>
  <c r="BY69" i="1"/>
  <c r="BL69" i="1"/>
  <c r="CD70" i="1"/>
  <c r="AV7" i="6" s="1"/>
  <c r="CB44" i="1"/>
  <c r="R7" i="6" s="1"/>
  <c r="X7" i="6" s="1"/>
  <c r="CD69" i="1"/>
  <c r="CD39" i="1"/>
  <c r="V7" i="6" s="1"/>
  <c r="BY39" i="1"/>
  <c r="CB32" i="1"/>
  <c r="CB255" i="1" s="1"/>
  <c r="BY75" i="1"/>
  <c r="BL32" i="1"/>
  <c r="AW7" i="6" s="1"/>
  <c r="BY45" i="1"/>
  <c r="CA37" i="1"/>
  <c r="CB47" i="1"/>
  <c r="BZ60" i="1"/>
  <c r="O7" i="6" s="1"/>
  <c r="BL71" i="1"/>
  <c r="AQ7" i="6" s="1"/>
  <c r="CF32" i="1"/>
  <c r="JJ9" i="4" s="1"/>
  <c r="BY70" i="1"/>
  <c r="AM7" i="6" s="1"/>
  <c r="JM16" i="4" s="1"/>
  <c r="CF71" i="1"/>
  <c r="CA48" i="1"/>
  <c r="BL47" i="1"/>
  <c r="BL70" i="1"/>
  <c r="CF59" i="1"/>
  <c r="BL60" i="1"/>
  <c r="BZ69" i="1"/>
  <c r="CC49" i="1"/>
  <c r="CC45" i="1"/>
  <c r="JM9" i="4" s="1"/>
  <c r="CA45" i="1"/>
  <c r="JL16" i="4" s="1"/>
  <c r="BZ48" i="1"/>
  <c r="CB45" i="1"/>
  <c r="CC37" i="1"/>
  <c r="JK16" i="4" s="1"/>
  <c r="CA75" i="1"/>
  <c r="BZ38" i="1"/>
  <c r="CE39" i="1"/>
  <c r="CC38" i="1"/>
  <c r="C7" i="6" s="1"/>
  <c r="T7" i="6" s="1"/>
  <c r="BY48" i="1"/>
  <c r="CC70" i="1"/>
  <c r="CC32" i="1"/>
  <c r="CC255" i="1" s="1"/>
  <c r="CB59" i="1"/>
  <c r="JL9" i="4" s="1"/>
  <c r="CF63" i="1"/>
  <c r="AL7" i="6" s="1"/>
  <c r="BZ56" i="1"/>
  <c r="BZ218" i="1" s="1"/>
  <c r="BZ59" i="1"/>
  <c r="J7" i="6" s="1"/>
  <c r="BY71" i="1"/>
  <c r="Z7" i="6" s="1"/>
  <c r="BL44" i="1"/>
  <c r="CF37" i="1"/>
  <c r="CF47" i="1"/>
  <c r="BZ37" i="1"/>
  <c r="CA39" i="1"/>
  <c r="CD38" i="1"/>
  <c r="BL45" i="1"/>
  <c r="BY38" i="1"/>
  <c r="CE56" i="1"/>
  <c r="CE218" i="1" s="1"/>
  <c r="AD7" i="6" s="1"/>
  <c r="CF49" i="1"/>
  <c r="CE44" i="1"/>
  <c r="CA71" i="1"/>
  <c r="CD60" i="1"/>
  <c r="CB48" i="1"/>
  <c r="CD71" i="1"/>
  <c r="AP7" i="6" s="1"/>
  <c r="Y7" i="6" s="1"/>
  <c r="CA49" i="1"/>
  <c r="AA7" i="6" s="1"/>
  <c r="AJ7" i="6" s="1"/>
  <c r="BY32" i="1"/>
  <c r="BY47" i="1"/>
  <c r="CB63" i="1"/>
  <c r="CE49" i="1"/>
  <c r="I7" i="6" s="1"/>
  <c r="AK7" i="6" s="1"/>
  <c r="CE38" i="1"/>
  <c r="K7" i="6" s="1"/>
  <c r="F7" i="6" s="1"/>
  <c r="CB69" i="1"/>
  <c r="CF48" i="1"/>
  <c r="AC7" i="6" s="1"/>
  <c r="AE7" i="6" s="1"/>
  <c r="M7" i="6" s="1"/>
  <c r="Q7" i="6" s="1"/>
  <c r="CA70" i="1"/>
  <c r="BZ70" i="1"/>
  <c r="CA60" i="1"/>
  <c r="CF70" i="1"/>
  <c r="AU7" i="6" s="1"/>
  <c r="BL39" i="1"/>
  <c r="CE48" i="1"/>
  <c r="CB56" i="1"/>
  <c r="CB218" i="1" s="1"/>
  <c r="CC71" i="1"/>
  <c r="CC75" i="1"/>
  <c r="AX7" i="6" s="1"/>
  <c r="BZ47" i="1"/>
  <c r="AT7" i="6" s="1"/>
  <c r="S7" i="6" s="1"/>
  <c r="BY37" i="1"/>
  <c r="CE59" i="1"/>
  <c r="CA69" i="1"/>
  <c r="CB71" i="1"/>
  <c r="CA59" i="1"/>
  <c r="CF75" i="1"/>
  <c r="CF45" i="1"/>
  <c r="CA44" i="1"/>
  <c r="AN7" i="6" s="1"/>
  <c r="CE70" i="1"/>
  <c r="CC39" i="1"/>
  <c r="CE75" i="1"/>
  <c r="CF39" i="1"/>
  <c r="G7" i="6" s="1"/>
  <c r="BL56" i="1"/>
  <c r="AF7" i="6" s="1"/>
  <c r="CC44" i="1"/>
  <c r="CD44" i="1"/>
  <c r="JJ16" i="4" s="1"/>
  <c r="BY49" i="1"/>
  <c r="CB70" i="1"/>
  <c r="CE32" i="1"/>
  <c r="AB7" i="6" s="1"/>
  <c r="BL38" i="1"/>
  <c r="CD75" i="1"/>
  <c r="BY44" i="1"/>
  <c r="BZ39" i="1"/>
  <c r="CD45" i="1"/>
  <c r="L7" i="6" s="1"/>
  <c r="BL63" i="1"/>
  <c r="BZ32" i="1"/>
  <c r="BZ255" i="1" s="1"/>
  <c r="CA56" i="1"/>
  <c r="BZ63" i="1"/>
  <c r="BY56" i="1"/>
  <c r="BY218" i="1" s="1"/>
  <c r="AI7" i="6" s="1"/>
  <c r="CC63" i="1"/>
  <c r="D7" i="6" s="1"/>
  <c r="BZ45" i="1"/>
  <c r="AG7" i="6" s="1"/>
  <c r="BZ44" i="1"/>
  <c r="BL75" i="1"/>
  <c r="W7" i="6" s="1"/>
  <c r="CB75" i="1"/>
  <c r="CE71" i="1"/>
  <c r="CF44" i="1"/>
  <c r="CC47" i="1"/>
  <c r="CD47" i="1"/>
  <c r="CE37" i="1"/>
  <c r="BY59" i="1"/>
  <c r="CC59" i="1"/>
  <c r="BZ75" i="1"/>
  <c r="AS7" i="6" s="1"/>
  <c r="BZ71" i="1"/>
  <c r="CE60" i="1"/>
  <c r="CD37" i="1"/>
  <c r="BL59" i="1"/>
  <c r="CB38" i="1"/>
  <c r="CC56" i="1"/>
  <c r="CC218" i="1" s="1"/>
  <c r="BY63" i="1"/>
  <c r="H7" i="6" s="1"/>
  <c r="CA47" i="1"/>
  <c r="BZ49" i="1"/>
  <c r="CD32" i="1"/>
  <c r="CD255" i="1" s="1"/>
  <c r="AR7" i="6" s="1"/>
  <c r="CF38" i="1"/>
  <c r="BL37" i="1"/>
  <c r="BL48" i="1"/>
  <c r="JK9" i="4" s="1"/>
  <c r="AO7" i="6" s="1"/>
  <c r="CA63" i="1"/>
  <c r="BL49" i="1"/>
  <c r="CA38" i="1"/>
  <c r="CE69" i="1"/>
  <c r="CD48" i="1"/>
  <c r="P7" i="6" s="1"/>
  <c r="E7" i="6" s="1"/>
  <c r="U7" i="6" s="1"/>
  <c r="CC48" i="1"/>
  <c r="AY7" i="6" s="1"/>
  <c r="CD56" i="1"/>
  <c r="CB39" i="1"/>
  <c r="CC60" i="1"/>
  <c r="CB60" i="1"/>
  <c r="CE47" i="1"/>
  <c r="CE45" i="1"/>
  <c r="CF56" i="1"/>
  <c r="CF218" i="1" s="1"/>
  <c r="CB49" i="1"/>
  <c r="BY60" i="1"/>
  <c r="CF69" i="1"/>
  <c r="N7" i="6" s="1"/>
  <c r="CI153" i="1"/>
  <c r="CI116" i="1"/>
  <c r="CS148" i="1"/>
  <c r="CR164" i="1"/>
  <c r="CR226" i="1" s="1"/>
  <c r="CR204" i="1"/>
  <c r="CR207" i="1"/>
  <c r="CR203" i="1"/>
  <c r="CJ231" i="1"/>
  <c r="CJ229" i="1" s="1"/>
  <c r="CJ79" i="1"/>
  <c r="CI231" i="1"/>
  <c r="CI229" i="1" s="1"/>
  <c r="AC70" i="1"/>
  <c r="CV70" i="1"/>
  <c r="CW70" i="1" s="1"/>
  <c r="CX70" i="1" s="1"/>
  <c r="CY70" i="1" s="1"/>
  <c r="AD59" i="1"/>
  <c r="AY87" i="3"/>
  <c r="C70" i="3"/>
  <c r="AZ61" i="3"/>
  <c r="AX69" i="3"/>
  <c r="AW69" i="3"/>
  <c r="C56" i="3"/>
  <c r="AV55" i="3"/>
  <c r="AU47" i="3"/>
  <c r="AF69" i="3"/>
  <c r="AT84" i="3"/>
  <c r="AU86" i="3"/>
  <c r="AT48" i="3"/>
  <c r="AF87" i="3"/>
  <c r="AV73" i="3"/>
  <c r="AW85" i="3"/>
  <c r="AU9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S57" i="3"/>
  <c r="AY70" i="3"/>
  <c r="AZ86" i="3"/>
  <c r="AW91" i="3"/>
  <c r="AX80" i="3"/>
  <c r="AU59" i="3"/>
  <c r="AS6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F73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49" i="3"/>
  <c r="AV90" i="3"/>
  <c r="AV96" i="3"/>
  <c r="AZ60" i="3"/>
  <c r="AF89" i="3"/>
  <c r="AW71" i="3"/>
  <c r="AS80" i="3"/>
  <c r="C96" i="3"/>
  <c r="AV61" i="3"/>
  <c r="AT88" i="3"/>
  <c r="AS64" i="3"/>
  <c r="AT55" i="3"/>
  <c r="C78" i="3"/>
  <c r="AX90" i="3"/>
  <c r="AU97" i="3"/>
  <c r="AY97" i="3"/>
  <c r="AS87" i="3"/>
  <c r="AV93" i="3"/>
  <c r="AS54" i="3"/>
  <c r="AZ72" i="3"/>
  <c r="C75" i="3"/>
  <c r="AV68" i="3"/>
  <c r="AU55" i="3"/>
  <c r="AF67" i="3"/>
  <c r="AT90" i="3"/>
  <c r="AY95" i="3"/>
  <c r="AU78" i="3"/>
  <c r="C73" i="3"/>
  <c r="AZ77" i="3"/>
  <c r="AF63" i="3"/>
  <c r="C80" i="3"/>
  <c r="AU75" i="3"/>
  <c r="AT61" i="3"/>
  <c r="AY54" i="3"/>
  <c r="AF62" i="3"/>
  <c r="AW95" i="3"/>
  <c r="AT54" i="3"/>
  <c r="AU50" i="3"/>
  <c r="AF90" i="3"/>
  <c r="AY57" i="3"/>
  <c r="AU62" i="3"/>
  <c r="C92" i="3"/>
  <c r="AV50" i="3"/>
  <c r="AV60" i="3"/>
  <c r="AV54" i="3"/>
  <c r="AS91" i="3"/>
  <c r="AY79" i="3"/>
  <c r="AT58" i="3"/>
  <c r="AV78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Y59" i="3"/>
  <c r="AX64" i="3"/>
  <c r="AS88" i="3"/>
  <c r="AS71" i="3"/>
  <c r="AY90" i="3"/>
  <c r="AV56" i="3"/>
  <c r="AW84" i="3"/>
  <c r="AZ56" i="3"/>
  <c r="AX86" i="3"/>
  <c r="AS81" i="3"/>
  <c r="AU64" i="3"/>
  <c r="C87" i="3"/>
  <c r="AX59" i="3"/>
  <c r="AU49" i="3"/>
  <c r="AW66" i="3"/>
  <c r="AT60" i="3"/>
  <c r="C81" i="3"/>
  <c r="AU65" i="3"/>
  <c r="AS82" i="3"/>
  <c r="AZ80" i="3"/>
  <c r="C82" i="3"/>
  <c r="AX91" i="3"/>
  <c r="AY65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C76" i="3"/>
  <c r="AU74" i="3"/>
  <c r="AY80" i="3"/>
  <c r="AT81" i="3"/>
  <c r="AW79" i="3"/>
  <c r="AU67" i="3"/>
  <c r="AV62" i="3"/>
  <c r="AZ48" i="3"/>
  <c r="AT85" i="3"/>
  <c r="AY77" i="3"/>
  <c r="AY91" i="3"/>
  <c r="AW80" i="3"/>
  <c r="AY63" i="3"/>
  <c r="AU79" i="3"/>
  <c r="AZ59" i="3"/>
  <c r="AV86" i="3"/>
  <c r="AX65" i="3"/>
  <c r="AS60" i="3"/>
  <c r="AS95" i="3"/>
  <c r="AV79" i="3"/>
  <c r="AF70" i="3"/>
  <c r="AX87" i="3"/>
  <c r="AY60" i="3"/>
  <c r="AS61" i="3"/>
  <c r="AX78" i="3"/>
  <c r="C63" i="3"/>
  <c r="AY86" i="3"/>
  <c r="AZ95" i="3"/>
  <c r="AT95" i="3"/>
  <c r="C58" i="3"/>
  <c r="AU83" i="3"/>
  <c r="AY58" i="3"/>
  <c r="AZ87" i="3"/>
  <c r="AV76" i="3"/>
  <c r="AT56" i="3"/>
  <c r="AS59" i="3"/>
  <c r="AV80" i="3"/>
  <c r="AW56" i="3"/>
  <c r="AX77" i="3"/>
  <c r="C64" i="3"/>
  <c r="AS97" i="3"/>
  <c r="AX47" i="3"/>
  <c r="AS69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W70" i="3"/>
  <c r="AW58" i="3"/>
  <c r="AY62" i="3"/>
  <c r="AZ54" i="3"/>
  <c r="AX63" i="3"/>
  <c r="AY68" i="3"/>
  <c r="AS86" i="3"/>
  <c r="AV77" i="3"/>
  <c r="AS67" i="3"/>
  <c r="AW75" i="3"/>
  <c r="AY76" i="3"/>
  <c r="AW76" i="3"/>
  <c r="AU95" i="3"/>
  <c r="AS83" i="3"/>
  <c r="AT96" i="3"/>
  <c r="AW96" i="3"/>
  <c r="AX66" i="3"/>
  <c r="AW63" i="3"/>
  <c r="AY55" i="3"/>
  <c r="AS73" i="3"/>
  <c r="AZ84" i="3"/>
  <c r="AU72" i="3"/>
  <c r="AY71" i="3"/>
  <c r="AT71" i="3"/>
  <c r="AW89" i="3"/>
  <c r="AF49" i="3"/>
  <c r="AU88" i="3"/>
  <c r="C72" i="3"/>
  <c r="AU85" i="3"/>
  <c r="C55" i="3"/>
  <c r="AW62" i="3"/>
  <c r="AU63" i="3"/>
  <c r="AT86" i="3"/>
  <c r="AX62" i="3"/>
  <c r="AY75" i="3"/>
  <c r="AX83" i="3"/>
  <c r="AX61" i="3"/>
  <c r="AY74" i="3"/>
  <c r="AU87" i="3"/>
  <c r="AF80" i="3"/>
  <c r="AX81" i="3"/>
  <c r="AS58" i="3"/>
  <c r="AU80" i="3"/>
  <c r="AT87" i="3"/>
  <c r="C93" i="3"/>
  <c r="AX49" i="3"/>
  <c r="AX84" i="3"/>
  <c r="AY94" i="3"/>
  <c r="AT59" i="3"/>
  <c r="AX74" i="3"/>
  <c r="AF86" i="3"/>
  <c r="AX89" i="3"/>
  <c r="AX85" i="3"/>
  <c r="AX96" i="3"/>
  <c r="AT68" i="3"/>
  <c r="AV82" i="3"/>
  <c r="AY50" i="3"/>
  <c r="AZ97" i="3"/>
  <c r="AV71" i="3"/>
  <c r="AS93" i="3"/>
  <c r="AW87" i="3"/>
  <c r="AF60" i="3"/>
  <c r="AV87" i="3"/>
  <c r="AT63" i="3"/>
  <c r="AF47" i="3"/>
  <c r="AY67" i="3"/>
  <c r="C65" i="3"/>
  <c r="AZ83" i="3"/>
  <c r="AY64" i="3"/>
  <c r="AY83" i="3"/>
  <c r="AT74" i="3"/>
  <c r="AS72" i="3"/>
  <c r="AS79" i="3"/>
  <c r="AW57" i="3"/>
  <c r="AT97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W64" i="3"/>
  <c r="AW47" i="3"/>
  <c r="AS78" i="3"/>
  <c r="AZ89" i="3"/>
  <c r="CT51" i="1" l="1"/>
  <c r="CU51" i="1"/>
  <c r="AE9" i="1"/>
  <c r="DB10" i="1"/>
  <c r="CV51" i="1"/>
  <c r="CW51" i="1"/>
  <c r="CX51" i="1" s="1"/>
  <c r="CO64" i="1"/>
  <c r="AC155" i="1"/>
  <c r="CL109" i="1"/>
  <c r="CL110" i="1"/>
  <c r="CL111" i="1"/>
  <c r="AE6" i="1"/>
  <c r="AE28" i="1" s="1"/>
  <c r="CJ93" i="1"/>
  <c r="CK93" i="1"/>
  <c r="DA32" i="1"/>
  <c r="CQ208" i="1"/>
  <c r="CP209" i="1"/>
  <c r="CO206" i="1"/>
  <c r="CO210" i="1" s="1"/>
  <c r="CP205" i="1"/>
  <c r="CR149" i="1"/>
  <c r="CQ152" i="1"/>
  <c r="CQ273" i="1" s="1"/>
  <c r="CP230" i="1"/>
  <c r="BZ149" i="1"/>
  <c r="CA149" i="1" s="1"/>
  <c r="BL97" i="1"/>
  <c r="CF98" i="1"/>
  <c r="CB170" i="1"/>
  <c r="CC170" i="1" s="1"/>
  <c r="CD177" i="1"/>
  <c r="CD207" i="1" s="1"/>
  <c r="CE207" i="1" s="1"/>
  <c r="CB188" i="1"/>
  <c r="CC188" i="1" s="1"/>
  <c r="BL148" i="1"/>
  <c r="BM148" i="1" s="1"/>
  <c r="CD157" i="1"/>
  <c r="CD148" i="1"/>
  <c r="CE148" i="1" s="1"/>
  <c r="CF151" i="1"/>
  <c r="CG151" i="1" s="1"/>
  <c r="CB151" i="1"/>
  <c r="CC151" i="1" s="1"/>
  <c r="CB176" i="1"/>
  <c r="CC176" i="1" s="1"/>
  <c r="CB168" i="1"/>
  <c r="CB203" i="1" s="1"/>
  <c r="CC203" i="1" s="1"/>
  <c r="BZ177" i="1"/>
  <c r="BZ207" i="1" s="1"/>
  <c r="CA207" i="1" s="1"/>
  <c r="BZ188" i="1"/>
  <c r="CA188" i="1" s="1"/>
  <c r="BZ178" i="1"/>
  <c r="CA178" i="1" s="1"/>
  <c r="BZ184" i="1"/>
  <c r="BZ174" i="1"/>
  <c r="CA174" i="1" s="1"/>
  <c r="BZ156" i="1"/>
  <c r="BL169" i="1"/>
  <c r="BL204" i="1" s="1"/>
  <c r="BM204" i="1" s="1"/>
  <c r="BL177" i="1"/>
  <c r="BL207" i="1" s="1"/>
  <c r="BM207" i="1" s="1"/>
  <c r="BL146" i="1"/>
  <c r="BM146" i="1" s="1"/>
  <c r="CA97" i="1"/>
  <c r="CF97" i="1"/>
  <c r="CF170" i="1"/>
  <c r="CG170" i="1" s="1"/>
  <c r="CF157" i="1"/>
  <c r="CB98" i="1"/>
  <c r="CF168" i="1"/>
  <c r="CF203" i="1" s="1"/>
  <c r="CG203" i="1" s="1"/>
  <c r="CG168" i="1" s="1"/>
  <c r="CF146" i="1"/>
  <c r="CG146" i="1" s="1"/>
  <c r="CB173" i="1"/>
  <c r="CC173" i="1" s="1"/>
  <c r="CF188" i="1"/>
  <c r="CG188" i="1" s="1"/>
  <c r="CB149" i="1"/>
  <c r="CC149" i="1" s="1"/>
  <c r="CB187" i="1"/>
  <c r="CC187" i="1" s="1"/>
  <c r="CD98" i="1"/>
  <c r="CB183" i="1"/>
  <c r="CD169" i="1"/>
  <c r="CD204" i="1" s="1"/>
  <c r="CE204" i="1" s="1"/>
  <c r="CD146" i="1"/>
  <c r="CE146" i="1" s="1"/>
  <c r="BL149" i="1"/>
  <c r="CD155" i="1"/>
  <c r="CD175" i="1"/>
  <c r="CE175" i="1" s="1"/>
  <c r="CD183" i="1"/>
  <c r="CD166" i="1"/>
  <c r="CE166" i="1" s="1"/>
  <c r="CF164" i="1"/>
  <c r="CF150" i="1"/>
  <c r="CG150" i="1" s="1"/>
  <c r="CB166" i="1"/>
  <c r="CC166" i="1" s="1"/>
  <c r="BL178" i="1"/>
  <c r="BM178" i="1" s="1"/>
  <c r="BL187" i="1"/>
  <c r="BM187" i="1" s="1"/>
  <c r="BL188" i="1"/>
  <c r="CB150" i="1"/>
  <c r="CC150" i="1" s="1"/>
  <c r="CE98" i="1"/>
  <c r="BZ183" i="1"/>
  <c r="BZ187" i="1"/>
  <c r="CA187" i="1" s="1"/>
  <c r="BZ143" i="1"/>
  <c r="BZ151" i="1"/>
  <c r="CA151" i="1" s="1"/>
  <c r="CF169" i="1"/>
  <c r="CF204" i="1" s="1"/>
  <c r="CG204" i="1" s="1"/>
  <c r="CG169" i="1" s="1"/>
  <c r="CF156" i="1"/>
  <c r="CF173" i="1"/>
  <c r="CB143" i="1"/>
  <c r="CB169" i="1"/>
  <c r="CB204" i="1" s="1"/>
  <c r="CC204" i="1" s="1"/>
  <c r="CD184" i="1"/>
  <c r="CD176" i="1"/>
  <c r="CE176" i="1" s="1"/>
  <c r="CB97" i="1"/>
  <c r="BZ179" i="1"/>
  <c r="CA179" i="1" s="1"/>
  <c r="BZ157" i="1"/>
  <c r="BZ141" i="1"/>
  <c r="BZ171" i="1"/>
  <c r="CA171" i="1" s="1"/>
  <c r="BZ98" i="1"/>
  <c r="BZ148" i="1"/>
  <c r="CA148" i="1" s="1"/>
  <c r="BZ150" i="1"/>
  <c r="CA150" i="1" s="1"/>
  <c r="BZ166" i="1"/>
  <c r="CA166" i="1" s="1"/>
  <c r="BZ155" i="1"/>
  <c r="BL157" i="1"/>
  <c r="BL173" i="1"/>
  <c r="BM173" i="1" s="1"/>
  <c r="CF148" i="1"/>
  <c r="CF177" i="1"/>
  <c r="CF207" i="1" s="1"/>
  <c r="CG207" i="1" s="1"/>
  <c r="CG177" i="1" s="1"/>
  <c r="CD178" i="1"/>
  <c r="CE178" i="1" s="1"/>
  <c r="CF178" i="1"/>
  <c r="CG178" i="1" s="1"/>
  <c r="CB155" i="1"/>
  <c r="CB178" i="1"/>
  <c r="CC178" i="1" s="1"/>
  <c r="BY98" i="1"/>
  <c r="CD187" i="1"/>
  <c r="CE187" i="1" s="1"/>
  <c r="CD159" i="1"/>
  <c r="CE159" i="1" s="1"/>
  <c r="BL184" i="1"/>
  <c r="CB177" i="1"/>
  <c r="CB207" i="1" s="1"/>
  <c r="CC207" i="1" s="1"/>
  <c r="CB142" i="1"/>
  <c r="CC142" i="1" s="1"/>
  <c r="BL174" i="1"/>
  <c r="BM174" i="1" s="1"/>
  <c r="CD151" i="1"/>
  <c r="CE151" i="1" s="1"/>
  <c r="CD171" i="1"/>
  <c r="CE171" i="1" s="1"/>
  <c r="CD143" i="1"/>
  <c r="CD170" i="1"/>
  <c r="CE170" i="1" s="1"/>
  <c r="CD179" i="1"/>
  <c r="CE179" i="1" s="1"/>
  <c r="CD164" i="1"/>
  <c r="CE164" i="1" s="1"/>
  <c r="CF141" i="1"/>
  <c r="CF142" i="1"/>
  <c r="CG142" i="1" s="1"/>
  <c r="CF175" i="1"/>
  <c r="CG175" i="1" s="1"/>
  <c r="CF187" i="1"/>
  <c r="CG187" i="1" s="1"/>
  <c r="CB184" i="1"/>
  <c r="CB164" i="1"/>
  <c r="AI98" i="1"/>
  <c r="BL171" i="1"/>
  <c r="BM171" i="1" s="1"/>
  <c r="BL159" i="1"/>
  <c r="BM159" i="1" s="1"/>
  <c r="BL150" i="1"/>
  <c r="BM150" i="1" s="1"/>
  <c r="CB148" i="1"/>
  <c r="CC148" i="1" s="1"/>
  <c r="BL170" i="1"/>
  <c r="BM170" i="1" s="1"/>
  <c r="BZ159" i="1"/>
  <c r="CA159" i="1" s="1"/>
  <c r="BZ97" i="1"/>
  <c r="BL176" i="1"/>
  <c r="BM176" i="1" s="1"/>
  <c r="CB156" i="1"/>
  <c r="CF171" i="1"/>
  <c r="CG171" i="1" s="1"/>
  <c r="CB171" i="1"/>
  <c r="CC171" i="1" s="1"/>
  <c r="CD97" i="1"/>
  <c r="CC98" i="1"/>
  <c r="CD142" i="1"/>
  <c r="CE142" i="1" s="1"/>
  <c r="BL143" i="1"/>
  <c r="CD149" i="1"/>
  <c r="CE149" i="1" s="1"/>
  <c r="CF183" i="1"/>
  <c r="CF176" i="1"/>
  <c r="CG176" i="1" s="1"/>
  <c r="CE97" i="1"/>
  <c r="BZ169" i="1"/>
  <c r="BZ204" i="1" s="1"/>
  <c r="CA204" i="1" s="1"/>
  <c r="BZ146" i="1"/>
  <c r="CA146" i="1" s="1"/>
  <c r="BZ168" i="1"/>
  <c r="BZ203" i="1" s="1"/>
  <c r="CA203" i="1" s="1"/>
  <c r="BZ142" i="1"/>
  <c r="CA142" i="1" s="1"/>
  <c r="BZ173" i="1"/>
  <c r="BZ175" i="1"/>
  <c r="CA175" i="1" s="1"/>
  <c r="BZ170" i="1"/>
  <c r="CA170" i="1" s="1"/>
  <c r="BZ164" i="1"/>
  <c r="CA164" i="1" s="1"/>
  <c r="BZ176" i="1"/>
  <c r="CA176" i="1" s="1"/>
  <c r="BL179" i="1"/>
  <c r="BM179" i="1" s="1"/>
  <c r="BL168" i="1"/>
  <c r="BL203" i="1" s="1"/>
  <c r="BM203" i="1" s="1"/>
  <c r="BL155" i="1"/>
  <c r="BL156" i="1"/>
  <c r="CA98" i="1"/>
  <c r="CF179" i="1"/>
  <c r="CG179" i="1" s="1"/>
  <c r="CF174" i="1"/>
  <c r="CG174" i="1" s="1"/>
  <c r="CF184" i="1"/>
  <c r="CB141" i="1"/>
  <c r="CC141" i="1" s="1"/>
  <c r="CF155" i="1"/>
  <c r="CF143" i="1"/>
  <c r="CG143" i="1" s="1"/>
  <c r="CF149" i="1"/>
  <c r="CG149" i="1" s="1"/>
  <c r="CD150" i="1"/>
  <c r="CE150" i="1" s="1"/>
  <c r="CB179" i="1"/>
  <c r="CC179" i="1" s="1"/>
  <c r="CB159" i="1"/>
  <c r="CC159" i="1" s="1"/>
  <c r="CB175" i="1"/>
  <c r="CC175" i="1" s="1"/>
  <c r="CD141" i="1"/>
  <c r="BL164" i="1"/>
  <c r="CB157" i="1"/>
  <c r="BL151" i="1"/>
  <c r="BM151" i="1" s="1"/>
  <c r="CD156" i="1"/>
  <c r="CD168" i="1"/>
  <c r="CD203" i="1" s="1"/>
  <c r="CE203" i="1" s="1"/>
  <c r="CD174" i="1"/>
  <c r="CE174" i="1" s="1"/>
  <c r="CD173" i="1"/>
  <c r="CE173" i="1" s="1"/>
  <c r="CD188" i="1"/>
  <c r="CE188" i="1" s="1"/>
  <c r="CF159" i="1"/>
  <c r="CG159" i="1" s="1"/>
  <c r="CF166" i="1"/>
  <c r="CG166" i="1" s="1"/>
  <c r="CC97" i="1"/>
  <c r="CB174" i="1"/>
  <c r="CC174" i="1" s="1"/>
  <c r="CB146" i="1"/>
  <c r="CC146" i="1" s="1"/>
  <c r="BL183" i="1"/>
  <c r="BL141" i="1"/>
  <c r="BM141" i="1" s="1"/>
  <c r="BL175" i="1"/>
  <c r="BM175" i="1" s="1"/>
  <c r="BL166" i="1"/>
  <c r="BM166" i="1" s="1"/>
  <c r="BL142" i="1"/>
  <c r="BM142" i="1" s="1"/>
  <c r="BL277" i="1"/>
  <c r="CH122" i="1"/>
  <c r="CH123" i="1" s="1"/>
  <c r="CB161" i="1"/>
  <c r="CC161" i="1" s="1"/>
  <c r="CF161" i="1"/>
  <c r="CG161" i="1" s="1"/>
  <c r="CD161" i="1"/>
  <c r="CE161" i="1" s="1"/>
  <c r="BL161" i="1"/>
  <c r="BM161" i="1" s="1"/>
  <c r="BZ161" i="1"/>
  <c r="CA161" i="1" s="1"/>
  <c r="BL167" i="1"/>
  <c r="CD167" i="1"/>
  <c r="CB167" i="1"/>
  <c r="CF167" i="1"/>
  <c r="BZ167" i="1"/>
  <c r="CA276" i="1"/>
  <c r="JJ21" i="4"/>
  <c r="CD101" i="1" s="1"/>
  <c r="CA34" i="1"/>
  <c r="CA40" i="1" s="1"/>
  <c r="CA41" i="1" s="1"/>
  <c r="JK14" i="4"/>
  <c r="BL34" i="1"/>
  <c r="BL40" i="1" s="1"/>
  <c r="BY34" i="1"/>
  <c r="BY40" i="1" s="1"/>
  <c r="BL218" i="1"/>
  <c r="CF34" i="1"/>
  <c r="AA82" i="1" s="1"/>
  <c r="CF276" i="1"/>
  <c r="JL21" i="4"/>
  <c r="CF101" i="1" s="1"/>
  <c r="Y234" i="1"/>
  <c r="Y235" i="1" s="1"/>
  <c r="CF122" i="1"/>
  <c r="CF123" i="1" s="1"/>
  <c r="CB50" i="1"/>
  <c r="CE255" i="1"/>
  <c r="CC277" i="1"/>
  <c r="CA50" i="1"/>
  <c r="CE276" i="1"/>
  <c r="CC276" i="1"/>
  <c r="JM7" i="4"/>
  <c r="CA277" i="1"/>
  <c r="JJ8" i="4"/>
  <c r="Z234" i="1"/>
  <c r="Z235" i="1" s="1"/>
  <c r="CF50" i="1"/>
  <c r="BZ276" i="1"/>
  <c r="BZ34" i="1"/>
  <c r="CA218" i="1"/>
  <c r="CD277" i="1"/>
  <c r="CB122" i="1"/>
  <c r="CB123" i="1" s="1"/>
  <c r="JK21" i="4"/>
  <c r="CE101" i="1" s="1"/>
  <c r="JK15" i="4"/>
  <c r="CD276" i="1"/>
  <c r="JL14" i="4"/>
  <c r="CC50" i="1"/>
  <c r="BY50" i="1"/>
  <c r="CI122" i="1"/>
  <c r="CI123" i="1" s="1"/>
  <c r="CI126" i="1" s="1"/>
  <c r="CF255" i="1"/>
  <c r="BY277" i="1"/>
  <c r="JL8" i="4"/>
  <c r="CE50" i="1"/>
  <c r="BL276" i="1"/>
  <c r="CE122" i="1"/>
  <c r="CE123" i="1" s="1"/>
  <c r="CD34" i="1"/>
  <c r="CD40" i="1" s="1"/>
  <c r="CH42" i="1" s="1"/>
  <c r="CC34" i="1"/>
  <c r="CD218" i="1"/>
  <c r="CE34" i="1"/>
  <c r="CG122" i="1"/>
  <c r="CG123" i="1" s="1"/>
  <c r="CD122" i="1"/>
  <c r="CD123" i="1" s="1"/>
  <c r="CB34" i="1"/>
  <c r="CB40" i="1" s="1"/>
  <c r="CB276" i="1"/>
  <c r="CC122" i="1"/>
  <c r="CC123" i="1" s="1"/>
  <c r="JJ15" i="4"/>
  <c r="CB277" i="1"/>
  <c r="BY276" i="1"/>
  <c r="CD50" i="1"/>
  <c r="JM8" i="4"/>
  <c r="JL7" i="4"/>
  <c r="CF277" i="1"/>
  <c r="JJ7" i="4"/>
  <c r="JK8" i="4"/>
  <c r="JM21" i="4"/>
  <c r="CG101" i="1" s="1"/>
  <c r="BZ277" i="1"/>
  <c r="CE277" i="1"/>
  <c r="JK7" i="4"/>
  <c r="BL50" i="1"/>
  <c r="JL15" i="4"/>
  <c r="BZ50" i="1"/>
  <c r="JM14" i="4"/>
  <c r="JM15" i="4"/>
  <c r="JJ14" i="4"/>
  <c r="CI118" i="1"/>
  <c r="CI120" i="1"/>
  <c r="CI119" i="1"/>
  <c r="CS204" i="1"/>
  <c r="CS207" i="1"/>
  <c r="CS164" i="1"/>
  <c r="CS226" i="1" s="1"/>
  <c r="CS203" i="1"/>
  <c r="CT148" i="1"/>
  <c r="AD70" i="1"/>
  <c r="CZ70" i="1"/>
  <c r="DA70" i="1" s="1"/>
  <c r="DB70" i="1" s="1"/>
  <c r="AE59" i="1"/>
  <c r="U32" i="1"/>
  <c r="V32" i="1"/>
  <c r="W32" i="1"/>
  <c r="AE10" i="1" l="1"/>
  <c r="CP64" i="1"/>
  <c r="AE14" i="1"/>
  <c r="AD155" i="1"/>
  <c r="AE155" i="1"/>
  <c r="CJ109" i="1"/>
  <c r="CJ110" i="1"/>
  <c r="CJ111" i="1"/>
  <c r="CK109" i="1"/>
  <c r="CK111" i="1"/>
  <c r="CK110" i="1"/>
  <c r="DB32" i="1"/>
  <c r="CR208" i="1"/>
  <c r="CQ209" i="1"/>
  <c r="CP206" i="1"/>
  <c r="CP210" i="1" s="1"/>
  <c r="CQ205" i="1"/>
  <c r="CS149" i="1"/>
  <c r="CR152" i="1"/>
  <c r="CR273" i="1" s="1"/>
  <c r="CQ230" i="1"/>
  <c r="BZ185" i="1"/>
  <c r="BL185" i="1"/>
  <c r="CB226" i="1"/>
  <c r="CA141" i="1"/>
  <c r="BZ144" i="1"/>
  <c r="BZ116" i="1" s="1"/>
  <c r="BL144" i="1"/>
  <c r="BL116" i="1" s="1"/>
  <c r="CB185" i="1"/>
  <c r="CC233" i="1" s="1"/>
  <c r="CG148" i="1"/>
  <c r="CG152" i="1" s="1"/>
  <c r="CF152" i="1"/>
  <c r="CD158" i="1"/>
  <c r="CE57" i="1" s="1"/>
  <c r="CC164" i="1"/>
  <c r="CD226" i="1" s="1"/>
  <c r="CE141" i="1"/>
  <c r="CD144" i="1"/>
  <c r="CD116" i="1" s="1"/>
  <c r="CD118" i="1" s="1"/>
  <c r="BM164" i="1"/>
  <c r="BM226" i="1" s="1"/>
  <c r="CD185" i="1"/>
  <c r="CF226" i="1"/>
  <c r="CE152" i="1"/>
  <c r="BM149" i="1"/>
  <c r="BM152" i="1" s="1"/>
  <c r="BL152" i="1"/>
  <c r="CG164" i="1"/>
  <c r="CG173" i="1"/>
  <c r="CG180" i="1" s="1"/>
  <c r="CF180" i="1"/>
  <c r="CF209" i="1" s="1"/>
  <c r="CF208" i="1" s="1"/>
  <c r="CG141" i="1"/>
  <c r="CG144" i="1" s="1"/>
  <c r="CF144" i="1"/>
  <c r="CF116" i="1" s="1"/>
  <c r="CF118" i="1" s="1"/>
  <c r="CA173" i="1"/>
  <c r="BZ180" i="1"/>
  <c r="BZ209" i="1" s="1"/>
  <c r="BZ208" i="1" s="1"/>
  <c r="BZ158" i="1"/>
  <c r="BZ162" i="1" s="1"/>
  <c r="CA152" i="1"/>
  <c r="CB158" i="1"/>
  <c r="CF185" i="1"/>
  <c r="BL158" i="1"/>
  <c r="CF158" i="1"/>
  <c r="CF162" i="1" s="1"/>
  <c r="CC152" i="1"/>
  <c r="CB152" i="1"/>
  <c r="CE226" i="1"/>
  <c r="BZ152" i="1"/>
  <c r="CB180" i="1"/>
  <c r="CB209" i="1" s="1"/>
  <c r="CB208" i="1" s="1"/>
  <c r="BL180" i="1"/>
  <c r="BL209" i="1" s="1"/>
  <c r="BL208" i="1" s="1"/>
  <c r="CD180" i="1"/>
  <c r="CD209" i="1" s="1"/>
  <c r="CD208" i="1" s="1"/>
  <c r="CB144" i="1"/>
  <c r="CD152" i="1"/>
  <c r="CH126" i="1"/>
  <c r="CH127" i="1"/>
  <c r="CH128" i="1"/>
  <c r="BM167" i="1"/>
  <c r="BL172" i="1"/>
  <c r="CE167" i="1"/>
  <c r="CD172" i="1"/>
  <c r="CC167" i="1"/>
  <c r="CB172" i="1"/>
  <c r="CG167" i="1"/>
  <c r="CG172" i="1" s="1"/>
  <c r="CG206" i="1" s="1"/>
  <c r="CG205" i="1" s="1"/>
  <c r="CF172" i="1"/>
  <c r="CA167" i="1"/>
  <c r="BZ172" i="1"/>
  <c r="CD126" i="1"/>
  <c r="CA51" i="1"/>
  <c r="CA36" i="1"/>
  <c r="JK19" i="4"/>
  <c r="CE102" i="1" s="1"/>
  <c r="BL51" i="1"/>
  <c r="CC35" i="1"/>
  <c r="CC51" i="1"/>
  <c r="CI249" i="1"/>
  <c r="CF40" i="1"/>
  <c r="CG36" i="1"/>
  <c r="CJ35" i="1"/>
  <c r="BY51" i="1"/>
  <c r="JL20" i="4"/>
  <c r="CF103" i="1" s="1"/>
  <c r="CF128" i="1" s="1"/>
  <c r="BZ40" i="1"/>
  <c r="CD42" i="1" s="1"/>
  <c r="CF51" i="1"/>
  <c r="Y82" i="1"/>
  <c r="JJ19" i="4"/>
  <c r="CD102" i="1" s="1"/>
  <c r="CD131" i="1" s="1"/>
  <c r="JM20" i="4"/>
  <c r="CG103" i="1" s="1"/>
  <c r="CD51" i="1"/>
  <c r="JM19" i="4"/>
  <c r="CG102" i="1" s="1"/>
  <c r="CE177" i="1"/>
  <c r="CE180" i="1" s="1"/>
  <c r="CE209" i="1" s="1"/>
  <c r="CE208" i="1" s="1"/>
  <c r="CF126" i="1"/>
  <c r="JJ20" i="4"/>
  <c r="CD103" i="1" s="1"/>
  <c r="CD132" i="1" s="1"/>
  <c r="JL19" i="4"/>
  <c r="CF102" i="1" s="1"/>
  <c r="JK20" i="4"/>
  <c r="CE103" i="1" s="1"/>
  <c r="CE132" i="1" s="1"/>
  <c r="CA52" i="1"/>
  <c r="CA256" i="1" s="1"/>
  <c r="CA257" i="1" s="1"/>
  <c r="CD212" i="1"/>
  <c r="CD35" i="1"/>
  <c r="BZ36" i="1"/>
  <c r="CD249" i="1"/>
  <c r="BZ51" i="1"/>
  <c r="CE168" i="1"/>
  <c r="CE212" i="1"/>
  <c r="CG212" i="1"/>
  <c r="CF35" i="1"/>
  <c r="CH249" i="1"/>
  <c r="CJ212" i="1"/>
  <c r="CE51" i="1"/>
  <c r="CC40" i="1"/>
  <c r="CC43" i="1" s="1"/>
  <c r="CF249" i="1"/>
  <c r="CB36" i="1"/>
  <c r="CH268" i="1"/>
  <c r="Z82" i="1"/>
  <c r="CE35" i="1"/>
  <c r="CG126" i="1"/>
  <c r="CE126" i="1"/>
  <c r="CG249" i="1"/>
  <c r="CF36" i="1"/>
  <c r="CF212" i="1"/>
  <c r="CE249" i="1"/>
  <c r="CC36" i="1"/>
  <c r="CC249" i="1"/>
  <c r="CE169" i="1"/>
  <c r="CB51" i="1"/>
  <c r="CB41" i="1"/>
  <c r="CB52" i="1"/>
  <c r="CB43" i="1"/>
  <c r="CD52" i="1"/>
  <c r="CH54" i="1" s="1"/>
  <c r="CD36" i="1"/>
  <c r="CH35" i="1"/>
  <c r="CI212" i="1"/>
  <c r="CI127" i="1"/>
  <c r="CE40" i="1"/>
  <c r="CE43" i="1" s="1"/>
  <c r="CI35" i="1"/>
  <c r="CD41" i="1"/>
  <c r="CI128" i="1"/>
  <c r="CG35" i="1"/>
  <c r="CE36" i="1"/>
  <c r="CH212" i="1"/>
  <c r="CA226" i="1"/>
  <c r="BL41" i="1"/>
  <c r="BL52" i="1"/>
  <c r="BY41" i="1"/>
  <c r="BY52" i="1"/>
  <c r="CU41" i="1"/>
  <c r="CT164" i="1"/>
  <c r="CT226" i="1" s="1"/>
  <c r="CT203" i="1"/>
  <c r="CT207" i="1"/>
  <c r="CU148" i="1"/>
  <c r="CT204" i="1"/>
  <c r="AE70" i="1"/>
  <c r="V255" i="1"/>
  <c r="W255" i="1"/>
  <c r="U255" i="1"/>
  <c r="CF52" i="1" l="1"/>
  <c r="AA84" i="1" s="1"/>
  <c r="AA83" i="1"/>
  <c r="CQ64" i="1"/>
  <c r="CR64" i="1"/>
  <c r="CS64" i="1" s="1"/>
  <c r="CT64" i="1" s="1"/>
  <c r="CC226" i="1"/>
  <c r="CG273" i="1"/>
  <c r="CS208" i="1"/>
  <c r="CR209" i="1"/>
  <c r="CQ206" i="1"/>
  <c r="CQ210" i="1" s="1"/>
  <c r="CR205" i="1"/>
  <c r="CH226" i="1"/>
  <c r="CG226" i="1"/>
  <c r="CA233" i="1"/>
  <c r="BZ272" i="1"/>
  <c r="CT149" i="1"/>
  <c r="CS152" i="1"/>
  <c r="CS273" i="1" s="1"/>
  <c r="CD230" i="1"/>
  <c r="CF273" i="1"/>
  <c r="BM233" i="1"/>
  <c r="BL272" i="1"/>
  <c r="CF230" i="1"/>
  <c r="CF153" i="1"/>
  <c r="CR230" i="1"/>
  <c r="BL153" i="1"/>
  <c r="BL192" i="1"/>
  <c r="BL133" i="1" s="1"/>
  <c r="CA57" i="1"/>
  <c r="CA158" i="1"/>
  <c r="CB162" i="1"/>
  <c r="CC57" i="1"/>
  <c r="CC158" i="1"/>
  <c r="BZ192" i="1"/>
  <c r="BZ153" i="1"/>
  <c r="CF119" i="1"/>
  <c r="CD162" i="1"/>
  <c r="CE158" i="1"/>
  <c r="CE233" i="1"/>
  <c r="CD272" i="1"/>
  <c r="CA273" i="1"/>
  <c r="CA230" i="1"/>
  <c r="BM230" i="1"/>
  <c r="BM273" i="1"/>
  <c r="CH231" i="1"/>
  <c r="CG116" i="1"/>
  <c r="CG119" i="1" s="1"/>
  <c r="CG231" i="1"/>
  <c r="CG233" i="1"/>
  <c r="CF192" i="1"/>
  <c r="CF272" i="1"/>
  <c r="BM158" i="1"/>
  <c r="BM162" i="1" s="1"/>
  <c r="BL162" i="1"/>
  <c r="BL270" i="1" s="1"/>
  <c r="CG57" i="1"/>
  <c r="CG158" i="1"/>
  <c r="CH273" i="1"/>
  <c r="CH275" i="1" s="1"/>
  <c r="CH230" i="1"/>
  <c r="CG153" i="1"/>
  <c r="CG230" i="1"/>
  <c r="CB273" i="1"/>
  <c r="CB153" i="1"/>
  <c r="CB192" i="1"/>
  <c r="CB230" i="1"/>
  <c r="CB116" i="1"/>
  <c r="CB272" i="1"/>
  <c r="CC273" i="1"/>
  <c r="CC230" i="1"/>
  <c r="CE230" i="1"/>
  <c r="CD273" i="1"/>
  <c r="CD153" i="1"/>
  <c r="CD192" i="1"/>
  <c r="CE273" i="1"/>
  <c r="BL206" i="1"/>
  <c r="BL181" i="1"/>
  <c r="CD206" i="1"/>
  <c r="CD181" i="1"/>
  <c r="CB206" i="1"/>
  <c r="CB181" i="1"/>
  <c r="CF206" i="1"/>
  <c r="CF181" i="1"/>
  <c r="CF189" i="1" s="1"/>
  <c r="BZ206" i="1"/>
  <c r="BZ181" i="1"/>
  <c r="BZ189" i="1" s="1"/>
  <c r="CE127" i="1"/>
  <c r="CE131" i="1"/>
  <c r="BZ43" i="1"/>
  <c r="BZ52" i="1"/>
  <c r="BZ41" i="1"/>
  <c r="CA43" i="1"/>
  <c r="CG209" i="1"/>
  <c r="CH221" i="1"/>
  <c r="CG221" i="1"/>
  <c r="CJ42" i="1"/>
  <c r="CF41" i="1"/>
  <c r="CG43" i="1"/>
  <c r="CF42" i="1"/>
  <c r="BZ270" i="1"/>
  <c r="CF270" i="1"/>
  <c r="CF268" i="1"/>
  <c r="CF132" i="1"/>
  <c r="CF120" i="1"/>
  <c r="CG132" i="1"/>
  <c r="CG128" i="1"/>
  <c r="CG131" i="1"/>
  <c r="CG127" i="1"/>
  <c r="CF131" i="1"/>
  <c r="CF127" i="1"/>
  <c r="CG55" i="1"/>
  <c r="CI136" i="1"/>
  <c r="CG42" i="1"/>
  <c r="CC41" i="1"/>
  <c r="Y83" i="1"/>
  <c r="CC52" i="1"/>
  <c r="CC58" i="1" s="1"/>
  <c r="CC62" i="1" s="1"/>
  <c r="CC25" i="1" s="1"/>
  <c r="CD43" i="1"/>
  <c r="CC42" i="1"/>
  <c r="CD120" i="1"/>
  <c r="CD127" i="1"/>
  <c r="CE172" i="1"/>
  <c r="CD119" i="1"/>
  <c r="CE221" i="1"/>
  <c r="CG220" i="1"/>
  <c r="CD128" i="1"/>
  <c r="CF221" i="1"/>
  <c r="CA58" i="1"/>
  <c r="CA62" i="1" s="1"/>
  <c r="CI250" i="1"/>
  <c r="CA53" i="1"/>
  <c r="CG274" i="1"/>
  <c r="CE128" i="1"/>
  <c r="CF53" i="1"/>
  <c r="CF256" i="1"/>
  <c r="CF257" i="1" s="1"/>
  <c r="CJ54" i="1"/>
  <c r="CF58" i="1"/>
  <c r="CG181" i="1"/>
  <c r="CH220" i="1"/>
  <c r="CD53" i="1"/>
  <c r="CB53" i="1"/>
  <c r="CB256" i="1"/>
  <c r="CB257" i="1" s="1"/>
  <c r="CB58" i="1"/>
  <c r="CB62" i="1" s="1"/>
  <c r="CB25" i="1" s="1"/>
  <c r="CB55" i="1"/>
  <c r="CB274" i="1"/>
  <c r="CD256" i="1"/>
  <c r="CD257" i="1" s="1"/>
  <c r="CD58" i="1"/>
  <c r="CD62" i="1" s="1"/>
  <c r="CF43" i="1"/>
  <c r="CE42" i="1"/>
  <c r="CI42" i="1"/>
  <c r="Z83" i="1"/>
  <c r="CE52" i="1"/>
  <c r="CG250" i="1" s="1"/>
  <c r="CE41" i="1"/>
  <c r="BY58" i="1"/>
  <c r="BY62" i="1" s="1"/>
  <c r="BY25" i="1" s="1"/>
  <c r="BY53" i="1"/>
  <c r="BL58" i="1"/>
  <c r="BL62" i="1" s="1"/>
  <c r="BL25" i="1" s="1"/>
  <c r="BL53" i="1"/>
  <c r="CV41" i="1"/>
  <c r="CY51" i="1"/>
  <c r="CZ51" i="1" s="1"/>
  <c r="CU203" i="1"/>
  <c r="CV148" i="1"/>
  <c r="CU204" i="1"/>
  <c r="CU207" i="1"/>
  <c r="CU164" i="1"/>
  <c r="AB174" i="1"/>
  <c r="A1" i="1"/>
  <c r="CF54" i="1" l="1"/>
  <c r="CA65" i="1"/>
  <c r="CA72" i="1" s="1"/>
  <c r="CA217" i="1" s="1"/>
  <c r="CA219" i="1" s="1"/>
  <c r="CA25" i="1"/>
  <c r="CD65" i="1"/>
  <c r="CD258" i="1" s="1"/>
  <c r="CD25" i="1"/>
  <c r="CG275" i="1"/>
  <c r="CT208" i="1"/>
  <c r="CS209" i="1"/>
  <c r="CF190" i="1"/>
  <c r="CR206" i="1"/>
  <c r="CR210" i="1" s="1"/>
  <c r="CS205" i="1"/>
  <c r="CA162" i="1"/>
  <c r="CB57" i="1"/>
  <c r="CB189" i="1"/>
  <c r="CB190" i="1" s="1"/>
  <c r="CD189" i="1"/>
  <c r="CD190" i="1" s="1"/>
  <c r="CU149" i="1"/>
  <c r="CT152" i="1"/>
  <c r="CT273" i="1" s="1"/>
  <c r="CB270" i="1"/>
  <c r="CB268" i="1"/>
  <c r="CE162" i="1"/>
  <c r="CF57" i="1"/>
  <c r="CS230" i="1"/>
  <c r="CB275" i="1"/>
  <c r="CG229" i="1"/>
  <c r="BZ190" i="1"/>
  <c r="CD57" i="1"/>
  <c r="CC162" i="1"/>
  <c r="BZ133" i="1"/>
  <c r="CA61" i="1"/>
  <c r="CD268" i="1"/>
  <c r="CD270" i="1"/>
  <c r="CH229" i="1"/>
  <c r="CG118" i="1"/>
  <c r="CG120" i="1"/>
  <c r="CF133" i="1"/>
  <c r="CG61" i="1"/>
  <c r="CH57" i="1"/>
  <c r="CG162" i="1"/>
  <c r="CB133" i="1"/>
  <c r="CC61" i="1"/>
  <c r="CD133" i="1"/>
  <c r="CE61" i="1"/>
  <c r="CF205" i="1"/>
  <c r="CF210" i="1"/>
  <c r="CJ213" i="1" s="1"/>
  <c r="BL210" i="1"/>
  <c r="BL205" i="1"/>
  <c r="CD210" i="1"/>
  <c r="CD205" i="1"/>
  <c r="CB210" i="1"/>
  <c r="CB205" i="1"/>
  <c r="BZ205" i="1"/>
  <c r="BZ210" i="1"/>
  <c r="CG222" i="1"/>
  <c r="CG223" i="1" s="1"/>
  <c r="BZ53" i="1"/>
  <c r="BZ58" i="1"/>
  <c r="CA274" i="1"/>
  <c r="CA275" i="1" s="1"/>
  <c r="CA55" i="1"/>
  <c r="BZ256" i="1"/>
  <c r="BZ257" i="1" s="1"/>
  <c r="CD54" i="1"/>
  <c r="BZ55" i="1"/>
  <c r="BZ274" i="1"/>
  <c r="CB136" i="1"/>
  <c r="CH222" i="1"/>
  <c r="CH223" i="1" s="1"/>
  <c r="CD136" i="1"/>
  <c r="CC274" i="1"/>
  <c r="CC275" i="1" s="1"/>
  <c r="CE220" i="1"/>
  <c r="CE222" i="1" s="1"/>
  <c r="CE181" i="1"/>
  <c r="CG208" i="1"/>
  <c r="CG210" i="1"/>
  <c r="CC256" i="1"/>
  <c r="CC257" i="1" s="1"/>
  <c r="CG54" i="1"/>
  <c r="Y84" i="1"/>
  <c r="CC53" i="1"/>
  <c r="CC250" i="1"/>
  <c r="CD274" i="1"/>
  <c r="CD275" i="1" s="1"/>
  <c r="CC136" i="1"/>
  <c r="CD250" i="1"/>
  <c r="CC55" i="1"/>
  <c r="CD55" i="1"/>
  <c r="CC54" i="1"/>
  <c r="CC65" i="1"/>
  <c r="CC64" i="1"/>
  <c r="CF62" i="1"/>
  <c r="CF25" i="1" s="1"/>
  <c r="CI79" i="1"/>
  <c r="CE206" i="1"/>
  <c r="CF220" i="1"/>
  <c r="CF222" i="1" s="1"/>
  <c r="CA64" i="1"/>
  <c r="CA90" i="1"/>
  <c r="CD64" i="1"/>
  <c r="CA76" i="1"/>
  <c r="CA258" i="1"/>
  <c r="CA66" i="1"/>
  <c r="CA269" i="1" s="1"/>
  <c r="CD66" i="1"/>
  <c r="CD269" i="1" s="1"/>
  <c r="CF136" i="1"/>
  <c r="CD79" i="1"/>
  <c r="CD72" i="1"/>
  <c r="CD76" i="1" s="1"/>
  <c r="CE55" i="1"/>
  <c r="CE136" i="1"/>
  <c r="CE250" i="1"/>
  <c r="CB64" i="1"/>
  <c r="CB65" i="1"/>
  <c r="CE274" i="1"/>
  <c r="CE275" i="1" s="1"/>
  <c r="CF274" i="1"/>
  <c r="CF275" i="1" s="1"/>
  <c r="CE256" i="1"/>
  <c r="CE257" i="1" s="1"/>
  <c r="Z84" i="1"/>
  <c r="CE54" i="1"/>
  <c r="CH136" i="1"/>
  <c r="CE53" i="1"/>
  <c r="CG136" i="1"/>
  <c r="CE58" i="1"/>
  <c r="CH250" i="1"/>
  <c r="CF55" i="1"/>
  <c r="CI54" i="1"/>
  <c r="CF250" i="1"/>
  <c r="BL65" i="1"/>
  <c r="BL64" i="1"/>
  <c r="BY64" i="1"/>
  <c r="BY65" i="1"/>
  <c r="CU64" i="1"/>
  <c r="CV64" i="1" s="1"/>
  <c r="DA51" i="1"/>
  <c r="DB51" i="1" s="1"/>
  <c r="CW41" i="1"/>
  <c r="CX41" i="1" s="1"/>
  <c r="CV164" i="1"/>
  <c r="CW148" i="1"/>
  <c r="CV203" i="1"/>
  <c r="CV207" i="1"/>
  <c r="CU226" i="1"/>
  <c r="CV204" i="1"/>
  <c r="AC174" i="1"/>
  <c r="CA143" i="1" l="1"/>
  <c r="CA144" i="1" s="1"/>
  <c r="CA116" i="1" s="1"/>
  <c r="CH67" i="1"/>
  <c r="CT209" i="1"/>
  <c r="CU208" i="1"/>
  <c r="CD135" i="1"/>
  <c r="CD138" i="1" s="1"/>
  <c r="CD134" i="1"/>
  <c r="CD137" i="1" s="1"/>
  <c r="CS206" i="1"/>
  <c r="CS210" i="1" s="1"/>
  <c r="CT205" i="1"/>
  <c r="CA227" i="1"/>
  <c r="CA225" i="1" s="1"/>
  <c r="CB227" i="1"/>
  <c r="CB225" i="1" s="1"/>
  <c r="CE227" i="1"/>
  <c r="CE225" i="1" s="1"/>
  <c r="CF227" i="1"/>
  <c r="CF225" i="1" s="1"/>
  <c r="CH227" i="1"/>
  <c r="CH225" i="1" s="1"/>
  <c r="CH237" i="1" s="1"/>
  <c r="CG227" i="1"/>
  <c r="CG225" i="1" s="1"/>
  <c r="CV149" i="1"/>
  <c r="CU152" i="1"/>
  <c r="CU273" i="1" s="1"/>
  <c r="CT230" i="1"/>
  <c r="CD227" i="1"/>
  <c r="CD225" i="1" s="1"/>
  <c r="CC227" i="1"/>
  <c r="CC225" i="1" s="1"/>
  <c r="CF213" i="1"/>
  <c r="CF134" i="1"/>
  <c r="CF137" i="1" s="1"/>
  <c r="CF135" i="1"/>
  <c r="CF138" i="1" s="1"/>
  <c r="CD213" i="1"/>
  <c r="CH213" i="1"/>
  <c r="BZ62" i="1"/>
  <c r="BZ25" i="1" s="1"/>
  <c r="CB79" i="1"/>
  <c r="CD251" i="1"/>
  <c r="CF65" i="1"/>
  <c r="CF64" i="1"/>
  <c r="CC67" i="1"/>
  <c r="CG67" i="1"/>
  <c r="CC258" i="1"/>
  <c r="CC72" i="1"/>
  <c r="CC66" i="1"/>
  <c r="CC269" i="1" s="1"/>
  <c r="CD68" i="1"/>
  <c r="CE205" i="1"/>
  <c r="CE210" i="1"/>
  <c r="CA231" i="1"/>
  <c r="CA229" i="1" s="1"/>
  <c r="CA153" i="1"/>
  <c r="CC68" i="1"/>
  <c r="CD217" i="1"/>
  <c r="CD219" i="1" s="1"/>
  <c r="Y85" i="1"/>
  <c r="CD90" i="1"/>
  <c r="CH137" i="1"/>
  <c r="CH138" i="1"/>
  <c r="CF79" i="1"/>
  <c r="CH79" i="1"/>
  <c r="CG79" i="1"/>
  <c r="CE62" i="1"/>
  <c r="CE25" i="1" s="1"/>
  <c r="CB72" i="1"/>
  <c r="CB68" i="1"/>
  <c r="CB258" i="1"/>
  <c r="CB66" i="1"/>
  <c r="CB269" i="1" s="1"/>
  <c r="BL72" i="1"/>
  <c r="BL66" i="1"/>
  <c r="BL269" i="1" s="1"/>
  <c r="CM88" i="1"/>
  <c r="CN88" i="1" s="1"/>
  <c r="CO88" i="1" s="1"/>
  <c r="CP88" i="1" s="1"/>
  <c r="BY66" i="1"/>
  <c r="BY269" i="1" s="1"/>
  <c r="BY72" i="1"/>
  <c r="CW64" i="1"/>
  <c r="CX64" i="1" s="1"/>
  <c r="CY41" i="1"/>
  <c r="CZ41" i="1" s="1"/>
  <c r="CX148" i="1"/>
  <c r="CW204" i="1"/>
  <c r="CW203" i="1"/>
  <c r="CW164" i="1"/>
  <c r="CW207" i="1"/>
  <c r="CV226" i="1"/>
  <c r="AE174" i="1"/>
  <c r="AD174" i="1"/>
  <c r="CF258" i="1" l="1"/>
  <c r="AA85" i="1"/>
  <c r="CQ88" i="1"/>
  <c r="CR88" i="1" s="1"/>
  <c r="CS88" i="1" s="1"/>
  <c r="CT88" i="1" s="1"/>
  <c r="AB88" i="1"/>
  <c r="AA88" i="1" s="1"/>
  <c r="Z88" i="1" s="1"/>
  <c r="Y88" i="1" s="1"/>
  <c r="X88" i="1" s="1"/>
  <c r="W88" i="1" s="1"/>
  <c r="V88" i="1" s="1"/>
  <c r="U88" i="1" s="1"/>
  <c r="T88" i="1" s="1"/>
  <c r="S88" i="1" s="1"/>
  <c r="R88" i="1" s="1"/>
  <c r="Q88" i="1" s="1"/>
  <c r="P88" i="1" s="1"/>
  <c r="O88" i="1" s="1"/>
  <c r="N88" i="1" s="1"/>
  <c r="M88" i="1" s="1"/>
  <c r="L88" i="1" s="1"/>
  <c r="K88" i="1" s="1"/>
  <c r="J88" i="1" s="1"/>
  <c r="I88" i="1" s="1"/>
  <c r="H88" i="1" s="1"/>
  <c r="G88" i="1" s="1"/>
  <c r="F88" i="1" s="1"/>
  <c r="E88" i="1" s="1"/>
  <c r="CV208" i="1"/>
  <c r="CU209" i="1"/>
  <c r="CG237" i="1"/>
  <c r="CG234" i="1"/>
  <c r="CG184" i="1" s="1"/>
  <c r="CG185" i="1" s="1"/>
  <c r="CG235" i="1" s="1"/>
  <c r="CT206" i="1"/>
  <c r="CT210" i="1" s="1"/>
  <c r="CU205" i="1"/>
  <c r="CW149" i="1"/>
  <c r="CV152" i="1"/>
  <c r="CV273" i="1" s="1"/>
  <c r="CU230" i="1"/>
  <c r="CF67" i="1"/>
  <c r="CF66" i="1"/>
  <c r="CF269" i="1" s="1"/>
  <c r="BZ65" i="1"/>
  <c r="BZ64" i="1"/>
  <c r="CJ67" i="1"/>
  <c r="CG68" i="1"/>
  <c r="CI251" i="1"/>
  <c r="CF72" i="1"/>
  <c r="CD78" i="1"/>
  <c r="CC76" i="1"/>
  <c r="CC143" i="1"/>
  <c r="CC144" i="1" s="1"/>
  <c r="CC90" i="1"/>
  <c r="CC217" i="1"/>
  <c r="CC219" i="1" s="1"/>
  <c r="CB90" i="1"/>
  <c r="CB76" i="1"/>
  <c r="CB217" i="1"/>
  <c r="CB219" i="1" s="1"/>
  <c r="CB231" i="1"/>
  <c r="CB229" i="1" s="1"/>
  <c r="CE65" i="1"/>
  <c r="CE64" i="1"/>
  <c r="BY217" i="1"/>
  <c r="BY219" i="1" s="1"/>
  <c r="BY76" i="1"/>
  <c r="BY90" i="1"/>
  <c r="BL217" i="1"/>
  <c r="BL219" i="1" s="1"/>
  <c r="BL90" i="1"/>
  <c r="BL76" i="1"/>
  <c r="CY64" i="1"/>
  <c r="CZ64" i="1" s="1"/>
  <c r="DA41" i="1"/>
  <c r="DB41" i="1" s="1"/>
  <c r="CX207" i="1"/>
  <c r="CX204" i="1"/>
  <c r="CX203" i="1"/>
  <c r="CX164" i="1"/>
  <c r="CY148" i="1"/>
  <c r="CW226" i="1"/>
  <c r="AB150" i="1"/>
  <c r="AB160" i="1"/>
  <c r="AB159" i="1"/>
  <c r="AB151" i="1"/>
  <c r="AB146" i="1"/>
  <c r="AB175" i="1"/>
  <c r="AB167" i="1"/>
  <c r="AB142" i="1"/>
  <c r="AC88" i="1" l="1"/>
  <c r="CU88" i="1"/>
  <c r="CV88" i="1" s="1"/>
  <c r="CW88" i="1" s="1"/>
  <c r="CX88" i="1" s="1"/>
  <c r="CW208" i="1"/>
  <c r="CV209" i="1"/>
  <c r="CU206" i="1"/>
  <c r="CU210" i="1" s="1"/>
  <c r="CV205" i="1"/>
  <c r="CX149" i="1"/>
  <c r="CW152" i="1"/>
  <c r="CW273" i="1" s="1"/>
  <c r="CV230" i="1"/>
  <c r="CD93" i="1"/>
  <c r="CD110" i="1" s="1"/>
  <c r="BZ66" i="1"/>
  <c r="BZ269" i="1" s="1"/>
  <c r="BZ68" i="1"/>
  <c r="CC251" i="1"/>
  <c r="BZ72" i="1"/>
  <c r="CC78" i="1" s="1"/>
  <c r="BZ258" i="1"/>
  <c r="CD67" i="1"/>
  <c r="CA68" i="1"/>
  <c r="CG272" i="1"/>
  <c r="CH233" i="1"/>
  <c r="CH234" i="1" s="1"/>
  <c r="CH235" i="1" s="1"/>
  <c r="CG268" i="1"/>
  <c r="CG270" i="1"/>
  <c r="CG189" i="1"/>
  <c r="CG190" i="1" s="1"/>
  <c r="CG192" i="1"/>
  <c r="CF217" i="1"/>
  <c r="CF219" i="1" s="1"/>
  <c r="CF223" i="1" s="1"/>
  <c r="CF237" i="1" s="1"/>
  <c r="CF76" i="1"/>
  <c r="CF90" i="1"/>
  <c r="CI93" i="1" s="1"/>
  <c r="CI78" i="1"/>
  <c r="CC116" i="1"/>
  <c r="CC153" i="1"/>
  <c r="CC79" i="1" s="1"/>
  <c r="CC231" i="1"/>
  <c r="CC229" i="1" s="1"/>
  <c r="CD231" i="1"/>
  <c r="CD229" i="1" s="1"/>
  <c r="CG251" i="1"/>
  <c r="CI67" i="1"/>
  <c r="CH251" i="1"/>
  <c r="CE68" i="1"/>
  <c r="CE66" i="1"/>
  <c r="CE269" i="1" s="1"/>
  <c r="CE67" i="1"/>
  <c r="CF68" i="1"/>
  <c r="CE72" i="1"/>
  <c r="CF251" i="1"/>
  <c r="CE251" i="1"/>
  <c r="Z85" i="1"/>
  <c r="CE258" i="1"/>
  <c r="DA64" i="1"/>
  <c r="DB64" i="1" s="1"/>
  <c r="CY204" i="1"/>
  <c r="CZ148" i="1"/>
  <c r="CY203" i="1"/>
  <c r="CY164" i="1"/>
  <c r="CY226" i="1" s="1"/>
  <c r="CX226" i="1"/>
  <c r="CY207" i="1"/>
  <c r="AC160" i="1"/>
  <c r="AC150" i="1"/>
  <c r="AB188" i="1"/>
  <c r="AC146" i="1"/>
  <c r="AC175" i="1"/>
  <c r="AB171" i="1"/>
  <c r="AB178" i="1"/>
  <c r="AC167" i="1"/>
  <c r="AC151" i="1"/>
  <c r="AB179" i="1"/>
  <c r="AC142" i="1"/>
  <c r="AC159" i="1"/>
  <c r="AD88" i="1" l="1"/>
  <c r="CY88" i="1"/>
  <c r="CZ88" i="1" s="1"/>
  <c r="DA88" i="1" s="1"/>
  <c r="DB88" i="1" s="1"/>
  <c r="AE88" i="1" s="1"/>
  <c r="CX208" i="1"/>
  <c r="CW209" i="1"/>
  <c r="CV206" i="1"/>
  <c r="CV210" i="1" s="1"/>
  <c r="CW205" i="1"/>
  <c r="CY149" i="1"/>
  <c r="CX152" i="1"/>
  <c r="CX273" i="1" s="1"/>
  <c r="CW230" i="1"/>
  <c r="CD109" i="1"/>
  <c r="CD111" i="1"/>
  <c r="CB78" i="1"/>
  <c r="BZ90" i="1"/>
  <c r="BZ76" i="1"/>
  <c r="BZ217" i="1"/>
  <c r="BZ219" i="1" s="1"/>
  <c r="CH61" i="1"/>
  <c r="CG133" i="1"/>
  <c r="CI111" i="1"/>
  <c r="CI109" i="1"/>
  <c r="CI110" i="1"/>
  <c r="CL114" i="1" s="1"/>
  <c r="CE76" i="1"/>
  <c r="CE143" i="1"/>
  <c r="CE144" i="1" s="1"/>
  <c r="CE78" i="1" s="1"/>
  <c r="CE217" i="1"/>
  <c r="CE219" i="1" s="1"/>
  <c r="CE223" i="1" s="1"/>
  <c r="CE237" i="1" s="1"/>
  <c r="CE90" i="1"/>
  <c r="CF78" i="1"/>
  <c r="CG78" i="1"/>
  <c r="CH78" i="1"/>
  <c r="DA148" i="1"/>
  <c r="CZ164" i="1"/>
  <c r="CZ226" i="1" s="1"/>
  <c r="CZ207" i="1"/>
  <c r="CZ204" i="1"/>
  <c r="CZ203" i="1"/>
  <c r="AE160" i="1"/>
  <c r="AD160" i="1"/>
  <c r="AE150" i="1"/>
  <c r="AD150" i="1"/>
  <c r="AC188" i="1"/>
  <c r="AE175" i="1"/>
  <c r="AD175" i="1"/>
  <c r="AE167" i="1"/>
  <c r="AD167" i="1"/>
  <c r="AD142" i="1"/>
  <c r="AE142" i="1"/>
  <c r="AC178" i="1"/>
  <c r="AE151" i="1"/>
  <c r="AD151" i="1"/>
  <c r="AE159" i="1"/>
  <c r="AD159" i="1"/>
  <c r="AC179" i="1"/>
  <c r="AC171" i="1"/>
  <c r="AE146" i="1"/>
  <c r="AD146" i="1"/>
  <c r="CY208" i="1" l="1"/>
  <c r="CX209" i="1"/>
  <c r="CW206" i="1"/>
  <c r="CW210" i="1" s="1"/>
  <c r="CX205" i="1"/>
  <c r="CZ149" i="1"/>
  <c r="CY152" i="1"/>
  <c r="CX230" i="1"/>
  <c r="CC93" i="1"/>
  <c r="CB93" i="1"/>
  <c r="CG135" i="1"/>
  <c r="CG138" i="1" s="1"/>
  <c r="CG134" i="1"/>
  <c r="CG137" i="1" s="1"/>
  <c r="CF93" i="1"/>
  <c r="CH93" i="1"/>
  <c r="CL94" i="1" s="1"/>
  <c r="CG93" i="1"/>
  <c r="CK94" i="1" s="1"/>
  <c r="CE93" i="1"/>
  <c r="CE116" i="1"/>
  <c r="CF231" i="1"/>
  <c r="CF229" i="1" s="1"/>
  <c r="CE153" i="1"/>
  <c r="CE79" i="1" s="1"/>
  <c r="CE231" i="1"/>
  <c r="CE229" i="1" s="1"/>
  <c r="CE234" i="1" s="1"/>
  <c r="CE184" i="1" s="1"/>
  <c r="CE185" i="1" s="1"/>
  <c r="CE189" i="1" s="1"/>
  <c r="DA203" i="1"/>
  <c r="DA204" i="1"/>
  <c r="DA164" i="1"/>
  <c r="DB164" i="1" s="1"/>
  <c r="DB226" i="1" s="1"/>
  <c r="DA207" i="1"/>
  <c r="DB148" i="1"/>
  <c r="AE188" i="1"/>
  <c r="AD188" i="1"/>
  <c r="AE178" i="1"/>
  <c r="AD178" i="1"/>
  <c r="AE179" i="1"/>
  <c r="AD179" i="1"/>
  <c r="AE171" i="1"/>
  <c r="AD171" i="1"/>
  <c r="BY255" i="1"/>
  <c r="CY209" i="1" l="1"/>
  <c r="CZ208" i="1"/>
  <c r="DA149" i="1"/>
  <c r="CZ152" i="1"/>
  <c r="CY273" i="1"/>
  <c r="CX206" i="1"/>
  <c r="CX210" i="1" s="1"/>
  <c r="CY205" i="1"/>
  <c r="CY230" i="1"/>
  <c r="CE118" i="1"/>
  <c r="CE119" i="1"/>
  <c r="CE120" i="1"/>
  <c r="CE268" i="1"/>
  <c r="CE109" i="1"/>
  <c r="CE110" i="1"/>
  <c r="CI94" i="1"/>
  <c r="CE111" i="1"/>
  <c r="CE272" i="1"/>
  <c r="CG94" i="1"/>
  <c r="CG109" i="1"/>
  <c r="CG111" i="1"/>
  <c r="CG110" i="1"/>
  <c r="CE192" i="1"/>
  <c r="CE133" i="1" s="1"/>
  <c r="CE135" i="1" s="1"/>
  <c r="CE138" i="1" s="1"/>
  <c r="CF233" i="1"/>
  <c r="CF234" i="1" s="1"/>
  <c r="CF235" i="1" s="1"/>
  <c r="CE270" i="1"/>
  <c r="CH94" i="1"/>
  <c r="CH110" i="1"/>
  <c r="CK114" i="1" s="1"/>
  <c r="CH109" i="1"/>
  <c r="CH111" i="1"/>
  <c r="CE235" i="1"/>
  <c r="CF94" i="1"/>
  <c r="CJ94" i="1"/>
  <c r="CF111" i="1"/>
  <c r="CF109" i="1"/>
  <c r="CF110" i="1"/>
  <c r="DA226" i="1"/>
  <c r="DB204" i="1"/>
  <c r="DB203" i="1"/>
  <c r="DB207" i="1"/>
  <c r="CE190" i="1"/>
  <c r="AB44" i="1"/>
  <c r="DA208" i="1" l="1"/>
  <c r="CZ209" i="1"/>
  <c r="CZ273" i="1"/>
  <c r="CZ230" i="1"/>
  <c r="DA152" i="1"/>
  <c r="DB149" i="1"/>
  <c r="DB152" i="1" s="1"/>
  <c r="CY206" i="1"/>
  <c r="CY210" i="1" s="1"/>
  <c r="CZ205" i="1"/>
  <c r="CJ114" i="1"/>
  <c r="CH114" i="1"/>
  <c r="CF61" i="1"/>
  <c r="CI114" i="1"/>
  <c r="CG114" i="1"/>
  <c r="CE134" i="1"/>
  <c r="CE137" i="1" s="1"/>
  <c r="AC44" i="1"/>
  <c r="BY256" i="1"/>
  <c r="BY257" i="1" s="1"/>
  <c r="DA209" i="1" l="1"/>
  <c r="DB208" i="1"/>
  <c r="DB209" i="1" s="1"/>
  <c r="DA230" i="1"/>
  <c r="DB230" i="1"/>
  <c r="DB273" i="1"/>
  <c r="DA273" i="1"/>
  <c r="CZ206" i="1"/>
  <c r="CZ210" i="1" s="1"/>
  <c r="DA205" i="1"/>
  <c r="AD44" i="1"/>
  <c r="BY258" i="1"/>
  <c r="DA206" i="1" l="1"/>
  <c r="DA210" i="1" s="1"/>
  <c r="DB205" i="1"/>
  <c r="DB206" i="1" s="1"/>
  <c r="DB210" i="1" s="1"/>
  <c r="AE44" i="1"/>
  <c r="BI89" i="1" l="1"/>
  <c r="AT89" i="1"/>
  <c r="BT89" i="1"/>
  <c r="AV89" i="1"/>
  <c r="AX89" i="1"/>
  <c r="AR89" i="1"/>
  <c r="AO89" i="1" l="1"/>
  <c r="BK89" i="1"/>
  <c r="AN89" i="1"/>
  <c r="AW89" i="1"/>
  <c r="BB89" i="1"/>
  <c r="BM89" i="1"/>
  <c r="BQ89" i="1"/>
  <c r="AJ89" i="1"/>
  <c r="BS89" i="1"/>
  <c r="BR89" i="1"/>
  <c r="BO89" i="1"/>
  <c r="AM89" i="1"/>
  <c r="AI89" i="1"/>
  <c r="AP89" i="1"/>
  <c r="AZ89" i="1"/>
  <c r="AS89" i="1"/>
  <c r="BN89" i="1"/>
  <c r="BU89" i="1"/>
  <c r="BA89" i="1"/>
  <c r="BC89" i="1"/>
  <c r="AU89" i="1"/>
  <c r="BW89" i="1"/>
  <c r="BP89" i="1"/>
  <c r="BJ89" i="1"/>
  <c r="BH89" i="1"/>
  <c r="BX89" i="1"/>
  <c r="BG89" i="1"/>
  <c r="AQ89" i="1"/>
  <c r="AY89" i="1"/>
  <c r="AK89" i="1"/>
  <c r="BE89" i="1"/>
  <c r="BD89" i="1"/>
  <c r="BV89" i="1"/>
  <c r="BF89" i="1"/>
  <c r="BL255" i="1" l="1"/>
  <c r="AB164" i="1" l="1"/>
  <c r="CN101" i="1" l="1"/>
  <c r="AB226" i="1"/>
  <c r="CO101" i="1" l="1"/>
  <c r="CM87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T35" i="2"/>
  <c r="F6" i="2"/>
  <c r="N14" i="2"/>
  <c r="H27" i="2"/>
  <c r="G11" i="2"/>
  <c r="T11" i="2"/>
  <c r="C65" i="2"/>
  <c r="I21" i="2"/>
  <c r="G27" i="3"/>
  <c r="I46" i="3"/>
  <c r="V46" i="3"/>
  <c r="F34" i="3"/>
  <c r="E46" i="3"/>
  <c r="D28" i="3"/>
  <c r="DA11" i="4" a="1"/>
  <c r="BV14" i="4" a="1"/>
  <c r="EG12" i="4" a="1"/>
  <c r="AD8" i="4" a="1"/>
  <c r="DP14" i="4" a="1"/>
  <c r="EI14" i="4" a="1"/>
  <c r="DM12" i="4" a="1"/>
  <c r="BZ5" i="4" a="1"/>
  <c r="Q14" i="4" a="1"/>
  <c r="X7" i="4" a="1"/>
  <c r="BS7" i="4" a="1"/>
  <c r="DL6" i="4" a="1"/>
  <c r="AO5" i="4" a="1"/>
  <c r="CC8" i="4" a="1"/>
  <c r="X5" i="4" a="1"/>
  <c r="DQ9" i="4" a="1"/>
  <c r="AK6" i="4" a="1"/>
  <c r="CF14" i="4" a="1"/>
  <c r="CM6" i="4" a="1"/>
  <c r="AP16" i="4" a="1"/>
  <c r="G12" i="4" a="1"/>
  <c r="AZ8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X19" i="2"/>
  <c r="I31" i="2"/>
  <c r="C22" i="2"/>
  <c r="L21" i="2"/>
  <c r="W7" i="2"/>
  <c r="AR71" i="3"/>
  <c r="D5" i="2"/>
  <c r="M6" i="2"/>
  <c r="E25" i="3"/>
  <c r="L46" i="3"/>
  <c r="E42" i="3"/>
  <c r="D22" i="3"/>
  <c r="AR28" i="3"/>
  <c r="R45" i="3"/>
  <c r="CY15" i="4" a="1"/>
  <c r="BJ12" i="4" a="1"/>
  <c r="AS6" i="4" a="1"/>
  <c r="BO8" i="4" a="1"/>
  <c r="DV7" i="4" a="1"/>
  <c r="CN16" i="4" a="1"/>
  <c r="AK14" i="4" a="1"/>
  <c r="BA5" i="4" a="1"/>
  <c r="BE12" i="4" a="1"/>
  <c r="CX6" i="4" a="1"/>
  <c r="DO12" i="4" a="1"/>
  <c r="DI8" i="4" a="1"/>
  <c r="CJ9" i="4" a="1"/>
  <c r="CA8" i="4" a="1"/>
  <c r="DI16" i="4" a="1"/>
  <c r="CU8" i="4" a="1"/>
  <c r="CP14" i="4" a="1"/>
  <c r="T5" i="2"/>
  <c r="T12" i="2"/>
  <c r="O22" i="2"/>
  <c r="D33" i="2"/>
  <c r="L6" i="2"/>
  <c r="AR55" i="3"/>
  <c r="E20" i="2"/>
  <c r="C30" i="2"/>
  <c r="E11" i="3"/>
  <c r="E10" i="3"/>
  <c r="AD45" i="3"/>
  <c r="AN46" i="3"/>
  <c r="G29" i="3"/>
  <c r="F35" i="3"/>
  <c r="DZ14" i="4" a="1"/>
  <c r="J9" i="4" a="1"/>
  <c r="AH13" i="4" a="1"/>
  <c r="BU7" i="4" a="1"/>
  <c r="D6" i="4" a="1"/>
  <c r="DC9" i="4" a="1"/>
  <c r="DI14" i="4" a="1"/>
  <c r="BY13" i="4" a="1"/>
  <c r="M7" i="4" a="1"/>
  <c r="W5" i="4" a="1"/>
  <c r="DU8" i="4" a="1"/>
  <c r="DC7" i="4" a="1"/>
  <c r="CD8" i="4" a="1"/>
  <c r="DQ8" i="4" a="1"/>
  <c r="CB9" i="4" a="1"/>
  <c r="W13" i="4" a="1"/>
  <c r="BR13" i="4" a="1"/>
  <c r="BE7" i="4" a="1"/>
  <c r="DB16" i="4" a="1"/>
  <c r="BE6" i="4" a="1"/>
  <c r="AH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D19" i="2"/>
  <c r="U25" i="2"/>
  <c r="J7" i="2"/>
  <c r="Q29" i="2"/>
  <c r="I7" i="2"/>
  <c r="X24" i="2"/>
  <c r="AR87" i="3"/>
  <c r="C12" i="2"/>
  <c r="AR41" i="3"/>
  <c r="D12" i="3"/>
  <c r="AG46" i="3"/>
  <c r="F37" i="3"/>
  <c r="Y46" i="3"/>
  <c r="G25" i="3"/>
  <c r="CK15" i="4" a="1"/>
  <c r="AT14" i="4" a="1"/>
  <c r="DV5" i="4" a="1"/>
  <c r="AN8" i="4" a="1"/>
  <c r="DY11" i="4" a="1"/>
  <c r="EG14" i="4" a="1"/>
  <c r="CG12" i="4" a="1"/>
  <c r="EE14" i="4" a="1"/>
  <c r="CY16" i="4" a="1"/>
  <c r="BK6" i="4" a="1"/>
  <c r="AA12" i="4" a="1"/>
  <c r="K14" i="4" a="1"/>
  <c r="CH7" i="4" a="1"/>
  <c r="O7" i="4" a="1"/>
  <c r="AC12" i="4" a="1"/>
  <c r="AX6" i="4" a="1"/>
  <c r="DD9" i="4" a="1"/>
  <c r="BD5" i="4" a="1"/>
  <c r="BC5" i="4" a="1"/>
  <c r="AK5" i="4" a="1"/>
  <c r="U9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G17" i="2"/>
  <c r="U11" i="2"/>
  <c r="S15" i="2"/>
  <c r="F19" i="2"/>
  <c r="E23" i="2"/>
  <c r="M24" i="2"/>
  <c r="AR95" i="3"/>
  <c r="AR86" i="3"/>
  <c r="AR36" i="3"/>
  <c r="W46" i="3"/>
  <c r="AR38" i="3"/>
  <c r="D6" i="3"/>
  <c r="F7" i="3"/>
  <c r="EH5" i="4" a="1"/>
  <c r="BN7" i="4" a="1"/>
  <c r="CT11" i="4" a="1"/>
  <c r="S11" i="4" a="1"/>
  <c r="DF15" i="4" a="1"/>
  <c r="C9" i="4" a="1"/>
  <c r="DQ16" i="4" a="1"/>
  <c r="EK5" i="4" a="1"/>
  <c r="CA15" i="4" a="1"/>
  <c r="AK13" i="4" a="1"/>
  <c r="CN8" i="4" a="1"/>
  <c r="CS8" i="4" a="1"/>
  <c r="BP11" i="4" a="1"/>
  <c r="AQ15" i="4" a="1"/>
  <c r="BE8" i="4" a="1"/>
  <c r="J7" i="4" a="1"/>
  <c r="AD5" i="4" a="1"/>
  <c r="CU9" i="4" a="1"/>
  <c r="EC11" i="4" a="1"/>
  <c r="AU11" i="4" a="1"/>
  <c r="EI6" i="4" a="1"/>
  <c r="EE12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N11" i="2"/>
  <c r="U34" i="2"/>
  <c r="V10" i="2"/>
  <c r="V13" i="2"/>
  <c r="M17" i="2"/>
  <c r="O21" i="2"/>
  <c r="E27" i="2"/>
  <c r="G18" i="2"/>
  <c r="S45" i="3"/>
  <c r="F14" i="3"/>
  <c r="AK46" i="3"/>
  <c r="G28" i="3"/>
  <c r="Y45" i="3"/>
  <c r="BO14" i="4" a="1"/>
  <c r="Y5" i="4" a="1"/>
  <c r="DK7" i="4" a="1"/>
  <c r="DU7" i="4" a="1"/>
  <c r="DR16" i="4" a="1"/>
  <c r="CX14" i="4" a="1"/>
  <c r="BB13" i="4" a="1"/>
  <c r="BN11" i="4" a="1"/>
  <c r="CQ13" i="4" a="1"/>
  <c r="J5" i="4" a="1"/>
  <c r="BL12" i="4" a="1"/>
  <c r="DY16" i="4" a="1"/>
  <c r="P14" i="4" a="1"/>
  <c r="CN14" i="4" a="1"/>
  <c r="CK14" i="4" a="1"/>
  <c r="X15" i="4" a="1"/>
  <c r="DL13" i="4" a="1"/>
  <c r="C7" i="4" a="1"/>
  <c r="DZ12" i="4" a="1"/>
  <c r="DF13" i="4" a="1"/>
  <c r="T8" i="4" a="1"/>
  <c r="Q5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N9" i="2"/>
  <c r="P23" i="2"/>
  <c r="D10" i="2"/>
  <c r="H11" i="2"/>
  <c r="C14" i="2"/>
  <c r="V20" i="2"/>
  <c r="X26" i="2"/>
  <c r="I26" i="2"/>
  <c r="D16" i="3"/>
  <c r="AR11" i="3"/>
  <c r="D9" i="3"/>
  <c r="AO6" i="3"/>
  <c r="G8" i="3"/>
  <c r="AZ15" i="4" a="1"/>
  <c r="BF13" i="4" a="1"/>
  <c r="AI14" i="4" a="1"/>
  <c r="DT12" i="4" a="1"/>
  <c r="C15" i="4" a="1"/>
  <c r="Q12" i="4" a="1"/>
  <c r="CT14" i="4" a="1"/>
  <c r="AP9" i="4" a="1"/>
  <c r="DN9" i="4" a="1"/>
  <c r="U16" i="4" a="1"/>
  <c r="BX16" i="4" a="1"/>
  <c r="DZ16" i="4" a="1"/>
  <c r="AE7" i="4" a="1"/>
  <c r="DY8" i="4" a="1"/>
  <c r="AG9" i="4" a="1"/>
  <c r="C8" i="4" a="1"/>
  <c r="AL5" i="4" a="1"/>
  <c r="BF12" i="4" a="1"/>
  <c r="ED9" i="4" a="1"/>
  <c r="CP13" i="4" a="1"/>
  <c r="DF11" i="4" a="1"/>
  <c r="AI8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DM9" i="4" a="1"/>
  <c r="AM14" i="4" a="1"/>
  <c r="EH11" i="4" a="1"/>
  <c r="BA12" i="4" a="1"/>
  <c r="D32" i="2"/>
  <c r="K17" i="2"/>
  <c r="X63" i="2"/>
  <c r="F36" i="2"/>
  <c r="Q7" i="2"/>
  <c r="E18" i="2"/>
  <c r="S10" i="2"/>
  <c r="AM46" i="3"/>
  <c r="E26" i="3"/>
  <c r="D15" i="3"/>
  <c r="AD46" i="3"/>
  <c r="AO46" i="3"/>
  <c r="D35" i="3"/>
  <c r="BB8" i="4" a="1"/>
  <c r="AJ12" i="4" a="1"/>
  <c r="CM16" i="4" a="1"/>
  <c r="DK5" i="4" a="1"/>
  <c r="L9" i="4" a="1"/>
  <c r="DF5" i="4" a="1"/>
  <c r="CB13" i="4" a="1"/>
  <c r="EK15" i="4" a="1"/>
  <c r="AB11" i="4" a="1"/>
  <c r="R14" i="4" a="1"/>
  <c r="AC14" i="4" a="1"/>
  <c r="AQ13" i="4" a="1"/>
  <c r="CV6" i="4" a="1"/>
  <c r="CV12" i="4" a="1"/>
  <c r="M14" i="4" a="1"/>
  <c r="BO12" i="4" a="1"/>
  <c r="DP16" i="4" a="1"/>
  <c r="EF13" i="4" a="1"/>
  <c r="DP11" i="4" a="1"/>
  <c r="AH5" i="4" a="1"/>
  <c r="DK13" i="4" a="1"/>
  <c r="DP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D7" i="4" a="1"/>
  <c r="J11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Q16" i="2"/>
  <c r="I19" i="2"/>
  <c r="U13" i="2"/>
  <c r="P32" i="2"/>
  <c r="P25" i="2"/>
  <c r="R26" i="2"/>
  <c r="M9" i="2"/>
  <c r="AJ46" i="3"/>
  <c r="AQ46" i="3"/>
  <c r="E17" i="3"/>
  <c r="D42" i="3"/>
  <c r="G16" i="3"/>
  <c r="E19" i="3"/>
  <c r="DT7" i="4" a="1"/>
  <c r="CC11" i="4" a="1"/>
  <c r="AX11" i="4" a="1"/>
  <c r="DL14" i="4" a="1"/>
  <c r="W11" i="4" a="1"/>
  <c r="AM7" i="4" a="1"/>
  <c r="T7" i="4" a="1"/>
  <c r="DG15" i="4" a="1"/>
  <c r="AR11" i="4" a="1"/>
  <c r="DH8" i="4" a="1"/>
  <c r="DQ13" i="4" a="1"/>
  <c r="DC12" i="4" a="1"/>
  <c r="DA7" i="4" a="1"/>
  <c r="CU6" i="4" a="1"/>
  <c r="BY5" i="4" a="1"/>
  <c r="CW7" i="4" a="1"/>
  <c r="AD7" i="4" a="1"/>
  <c r="DW6" i="4" a="1"/>
  <c r="AB9" i="4" a="1"/>
  <c r="BO5" i="4" a="1"/>
  <c r="DG5" i="4" a="1"/>
  <c r="CF12" i="4" a="1"/>
  <c r="CG8" i="4" a="1"/>
  <c r="BP8" i="4" a="1"/>
  <c r="BG11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Q56" i="2"/>
  <c r="W12" i="2"/>
  <c r="I24" i="2"/>
  <c r="U16" i="2"/>
  <c r="E34" i="2"/>
  <c r="K33" i="2"/>
  <c r="D28" i="2"/>
  <c r="G24" i="2"/>
  <c r="Q20" i="2"/>
  <c r="R36" i="2"/>
  <c r="C26" i="2"/>
  <c r="X29" i="2"/>
  <c r="H45" i="3"/>
  <c r="E20" i="3"/>
  <c r="AR32" i="3"/>
  <c r="P45" i="3"/>
  <c r="E29" i="3"/>
  <c r="F26" i="3"/>
  <c r="AL12" i="4" a="1"/>
  <c r="AI9" i="4" a="1"/>
  <c r="D14" i="4" a="1"/>
  <c r="CZ12" i="4" a="1"/>
  <c r="DS12" i="4" a="1"/>
  <c r="DP9" i="4" a="1"/>
  <c r="R33" i="2"/>
  <c r="N35" i="2"/>
  <c r="G25" i="2"/>
  <c r="D18" i="2"/>
  <c r="L5" i="2"/>
  <c r="F8" i="2"/>
  <c r="N22" i="2"/>
  <c r="F10" i="3"/>
  <c r="G26" i="3"/>
  <c r="AR30" i="3"/>
  <c r="H46" i="3"/>
  <c r="G19" i="3"/>
  <c r="L45" i="3"/>
  <c r="AX8" i="4" a="1"/>
  <c r="AM11" i="4" a="1"/>
  <c r="E14" i="4" a="1"/>
  <c r="DG8" i="4" a="1"/>
  <c r="AJ14" i="4" a="1"/>
  <c r="BW15" i="4" a="1"/>
  <c r="S15" i="4" a="1"/>
  <c r="K15" i="4" a="1"/>
  <c r="AQ12" i="4" a="1"/>
  <c r="AE6" i="4" a="1"/>
  <c r="AE16" i="4" a="1"/>
  <c r="V14" i="4" a="1"/>
  <c r="P16" i="4" a="1"/>
  <c r="AI13" i="4" a="1"/>
  <c r="AY7" i="4" a="1"/>
  <c r="AF9" i="4" a="1"/>
  <c r="F16" i="4" a="1"/>
  <c r="BL8" i="4" a="1"/>
  <c r="EA13" i="4" a="1"/>
  <c r="DR11" i="4" a="1"/>
  <c r="AP15" i="4" a="1"/>
  <c r="DQ14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R16" i="2"/>
  <c r="BZ8" i="4" a="1"/>
  <c r="AO11" i="4" a="1"/>
  <c r="X8" i="4" a="1"/>
  <c r="CE5" i="4" a="1"/>
  <c r="CT12" i="4" a="1"/>
  <c r="CS7" i="4" a="1"/>
  <c r="CL12" i="4" a="1"/>
  <c r="O11" i="4" a="1"/>
  <c r="CI16" i="4" a="1"/>
  <c r="F9" i="4" a="1"/>
  <c r="DB12" i="4" a="1"/>
  <c r="BP15" i="4" a="1"/>
  <c r="DO8" i="4" a="1"/>
  <c r="DH13" i="4" a="1"/>
  <c r="V9" i="4" a="1"/>
  <c r="DT13" i="4" a="1"/>
  <c r="AA8" i="4" a="1"/>
  <c r="EA14" i="4" a="1"/>
  <c r="P5" i="4" a="1"/>
  <c r="N6" i="4" a="1"/>
  <c r="DQ6" i="4" a="1"/>
  <c r="BL14" i="4" a="1"/>
  <c r="BY16" i="4" a="1"/>
  <c r="AR15" i="4" a="1"/>
  <c r="CL5" i="4" a="1"/>
  <c r="AW11" i="4" a="1"/>
  <c r="AF12" i="4" a="1"/>
  <c r="BM12" i="4" a="1"/>
  <c r="CL13" i="4" a="1"/>
  <c r="S14" i="4" a="1"/>
  <c r="BA11" i="4" a="1"/>
  <c r="CK7" i="4" a="1"/>
  <c r="CZ13" i="4" a="1"/>
  <c r="CV16" i="4" a="1"/>
  <c r="CU7" i="4" a="1"/>
  <c r="L15" i="4" a="1"/>
  <c r="BU16" i="4" a="1"/>
  <c r="AO6" i="4" a="1"/>
  <c r="EI13" i="4" a="1"/>
  <c r="AN14" i="4" a="1"/>
  <c r="AS7" i="4" a="1"/>
  <c r="AO15" i="4" a="1"/>
  <c r="BU15" i="4" a="1"/>
  <c r="AG6" i="4" a="1"/>
  <c r="CM5" i="4" a="1"/>
  <c r="Z11" i="4" a="1"/>
  <c r="U13" i="4" a="1"/>
  <c r="DE9" i="4" a="1"/>
  <c r="DV13" i="4" a="1"/>
  <c r="O13" i="4" a="1"/>
  <c r="CR5" i="4" a="1"/>
  <c r="DS5" i="4" a="1"/>
  <c r="N12" i="4" a="1"/>
  <c r="DN6" i="4" a="1"/>
  <c r="AV5" i="4" a="1"/>
  <c r="DR14" i="4" a="1"/>
  <c r="DC8" i="4" a="1"/>
  <c r="AS14" i="4" a="1"/>
  <c r="AP5" i="4" a="1"/>
  <c r="X16" i="4" a="1"/>
  <c r="C14" i="4" a="1"/>
  <c r="BG16" i="4" a="1"/>
  <c r="AS16" i="4" a="1"/>
  <c r="G15" i="4" a="1"/>
  <c r="CY7" i="4" a="1"/>
  <c r="ED12" i="4" a="1"/>
  <c r="BN14" i="4" a="1"/>
  <c r="Q16" i="4" a="1"/>
  <c r="BF8" i="4" a="1"/>
  <c r="T11" i="4" a="1"/>
  <c r="O6" i="4" a="1"/>
  <c r="L5" i="4" a="1"/>
  <c r="CJ8" i="4" a="1"/>
  <c r="EB6" i="4" a="1"/>
  <c r="DG7" i="4" a="1"/>
  <c r="CM11" i="4" a="1"/>
  <c r="AK16" i="4" a="1"/>
  <c r="DW11" i="4" a="1"/>
  <c r="ED13" i="4" a="1"/>
  <c r="CL8" i="4" a="1"/>
  <c r="AN6" i="4" a="1"/>
  <c r="CP11" i="4" a="1"/>
  <c r="BT11" i="4" a="1"/>
  <c r="AQ6" i="4" a="1"/>
  <c r="F14" i="2"/>
  <c r="BG5" i="4" a="1"/>
  <c r="CO9" i="4" a="1"/>
  <c r="DL11" i="4" a="1"/>
  <c r="BG12" i="4" a="1"/>
  <c r="DL5" i="4" a="1"/>
  <c r="G11" i="4" a="1"/>
  <c r="V8" i="4" a="1"/>
  <c r="AE15" i="4" a="1"/>
  <c r="C16" i="4" a="1"/>
  <c r="BT14" i="4" a="1"/>
  <c r="CI5" i="4" a="1"/>
  <c r="AH6" i="4" a="1"/>
  <c r="DR9" i="4" a="1"/>
  <c r="DM14" i="4" a="1"/>
  <c r="DH7" i="4" a="1"/>
  <c r="AB7" i="4" a="1"/>
  <c r="BB7" i="4" a="1"/>
  <c r="EE9" i="4" a="1"/>
  <c r="S8" i="4" a="1"/>
  <c r="DY9" i="4" a="1"/>
  <c r="L8" i="4" a="1"/>
  <c r="DU15" i="4" a="1"/>
  <c r="EF12" i="4" a="1"/>
  <c r="BG14" i="4" a="1"/>
  <c r="CE16" i="4" a="1"/>
  <c r="DJ12" i="4" a="1"/>
  <c r="AL14" i="4" a="1"/>
  <c r="DA16" i="4" a="1"/>
  <c r="BW5" i="4" a="1"/>
  <c r="AV13" i="4" a="1"/>
  <c r="DU5" i="4" a="1"/>
  <c r="I5" i="4" a="1"/>
  <c r="AN13" i="4" a="1"/>
  <c r="AX15" i="4" a="1"/>
  <c r="BJ7" i="4" a="1"/>
  <c r="BT5" i="4" a="1"/>
  <c r="AE11" i="4" a="1"/>
  <c r="W15" i="4" a="1"/>
  <c r="CY9" i="4" a="1"/>
  <c r="Q8" i="4" a="1"/>
  <c r="C11" i="4" a="1"/>
  <c r="CD7" i="4" a="1"/>
  <c r="G8" i="4" a="1"/>
  <c r="BH8" i="4" a="1"/>
  <c r="R9" i="4" a="1"/>
  <c r="CB8" i="4" a="1"/>
  <c r="CZ11" i="4" a="1"/>
  <c r="EK7" i="4" a="1"/>
  <c r="BH15" i="4" a="1"/>
  <c r="DQ12" i="4" a="1"/>
  <c r="F5" i="4" a="1"/>
  <c r="AM13" i="4" a="1"/>
  <c r="DE6" i="4" a="1"/>
  <c r="BR16" i="4" a="1"/>
  <c r="EK6" i="4" a="1"/>
  <c r="BI12" i="4" a="1"/>
  <c r="DJ15" i="4" a="1"/>
  <c r="BF6" i="4" a="1"/>
  <c r="DI6" i="4" a="1"/>
  <c r="E11" i="4" a="1"/>
  <c r="D33" i="3"/>
  <c r="T16" i="4" a="1"/>
  <c r="AC15" i="4" a="1"/>
  <c r="E39" i="3"/>
  <c r="V15" i="4" a="1"/>
  <c r="CZ15" i="4" a="1"/>
  <c r="AF8" i="4" a="1"/>
  <c r="BU13" i="4" a="1"/>
  <c r="AI5" i="4" a="1"/>
  <c r="EE16" i="4" a="1"/>
  <c r="CW9" i="4" a="1"/>
  <c r="DE8" i="4" a="1"/>
  <c r="CB14" i="4" a="1"/>
  <c r="BP12" i="4" a="1"/>
  <c r="DM11" i="4" a="1"/>
  <c r="BA15" i="4" a="1"/>
  <c r="AI15" i="4" a="1"/>
  <c r="T15" i="4" a="1"/>
  <c r="BM6" i="4" a="1"/>
  <c r="CT9" i="4" a="1"/>
  <c r="BR15" i="4" a="1"/>
  <c r="CG5" i="4" a="1"/>
  <c r="CU14" i="4" a="1"/>
  <c r="CV15" i="4" a="1"/>
  <c r="S7" i="4" a="1"/>
  <c r="U7" i="4" a="1"/>
  <c r="CY12" i="4" a="1"/>
  <c r="CH16" i="4" a="1"/>
  <c r="AO13" i="4" a="1"/>
  <c r="Z6" i="4" a="1"/>
  <c r="DH9" i="4" a="1"/>
  <c r="EI8" i="4" a="1"/>
  <c r="CG11" i="4" a="1"/>
  <c r="R12" i="4" a="1"/>
  <c r="AZ11" i="4" a="1"/>
  <c r="CU12" i="4" a="1"/>
  <c r="O5" i="4" a="1"/>
  <c r="DI11" i="4" a="1"/>
  <c r="BA8" i="4" a="1"/>
  <c r="DD14" i="4" a="1"/>
  <c r="DV9" i="4" a="1"/>
  <c r="DI12" i="4" a="1"/>
  <c r="T14" i="4" a="1"/>
  <c r="K5" i="4" a="1"/>
  <c r="CZ6" i="4" a="1"/>
  <c r="CU11" i="4" a="1"/>
  <c r="DW8" i="4" a="1"/>
  <c r="AM15" i="4" a="1"/>
  <c r="AI12" i="4" a="1"/>
  <c r="BU5" i="4" a="1"/>
  <c r="C12" i="4" a="1"/>
  <c r="BH11" i="4" a="1"/>
  <c r="BA16" i="4" a="1"/>
  <c r="CQ9" i="4" a="1"/>
  <c r="BK16" i="4" a="1"/>
  <c r="BK7" i="4" a="1"/>
  <c r="CO12" i="4" a="1"/>
  <c r="DP13" i="4" a="1"/>
  <c r="DB9" i="4" a="1"/>
  <c r="AU14" i="4" a="1"/>
  <c r="AH16" i="4" a="1"/>
  <c r="DK12" i="4" a="1"/>
  <c r="CQ16" i="4" a="1"/>
  <c r="AC7" i="4" a="1"/>
  <c r="DA5" i="4" a="1"/>
  <c r="EH12" i="4" a="1"/>
  <c r="AH14" i="4" a="1"/>
  <c r="EJ12" i="4" a="1"/>
  <c r="BW12" i="4" a="1"/>
  <c r="D12" i="4" a="1"/>
  <c r="CL6" i="4" a="1"/>
  <c r="CI11" i="4" a="1"/>
  <c r="CR12" i="4" a="1"/>
  <c r="EG8" i="4" a="1"/>
  <c r="AC13" i="4" a="1"/>
  <c r="EG11" i="4" a="1"/>
  <c r="D39" i="3"/>
  <c r="EG5" i="4" a="1"/>
  <c r="AV16" i="4" a="1"/>
  <c r="EK8" i="4" a="1"/>
  <c r="AU13" i="4" a="1"/>
  <c r="D7" i="4" a="1"/>
  <c r="BP5" i="4" a="1"/>
  <c r="EI12" i="4" a="1"/>
  <c r="I7" i="4" a="1"/>
  <c r="DB7" i="4" a="1"/>
  <c r="CE13" i="4" a="1"/>
  <c r="BG15" i="4" a="1"/>
  <c r="T9" i="4" a="1"/>
  <c r="CV13" i="4" a="1"/>
  <c r="E12" i="4" a="1"/>
  <c r="DC16" i="4" a="1"/>
  <c r="DO11" i="4" a="1"/>
  <c r="CJ14" i="4" a="1"/>
  <c r="CO16" i="4" a="1"/>
  <c r="AD6" i="4" a="1"/>
  <c r="W7" i="4" a="1"/>
  <c r="W9" i="4" a="1"/>
  <c r="CH5" i="4" a="1"/>
  <c r="CV11" i="4" a="1"/>
  <c r="BN15" i="4" a="1"/>
  <c r="L14" i="4" a="1"/>
  <c r="AT9" i="4" a="1"/>
  <c r="BN12" i="4" a="1"/>
  <c r="EC16" i="4" a="1"/>
  <c r="DK15" i="4" a="1"/>
  <c r="BR9" i="4" a="1"/>
  <c r="BO7" i="4" a="1"/>
  <c r="BL15" i="4" a="1"/>
  <c r="BQ13" i="4" a="1"/>
  <c r="DY12" i="4" a="1"/>
  <c r="DS15" i="4" a="1"/>
  <c r="Y15" i="4" a="1"/>
  <c r="DB11" i="4" a="1"/>
  <c r="DB5" i="4" a="1"/>
  <c r="AN16" i="4" a="1"/>
  <c r="CB11" i="4" a="1"/>
  <c r="EJ9" i="4" a="1"/>
  <c r="AA5" i="4" a="1"/>
  <c r="DR13" i="4" a="1"/>
  <c r="DL8" i="4" a="1"/>
  <c r="BL6" i="4" a="1"/>
  <c r="BH13" i="4" a="1"/>
  <c r="CC15" i="4" a="1"/>
  <c r="BD8" i="4" a="1"/>
  <c r="EE5" i="4" a="1"/>
  <c r="K11" i="4" a="1"/>
  <c r="AV7" i="4" a="1"/>
  <c r="BP13" i="4" a="1"/>
  <c r="Y8" i="4" a="1"/>
  <c r="DA8" i="4" a="1"/>
  <c r="BJ6" i="4" a="1"/>
  <c r="DX12" i="4" a="1"/>
  <c r="AX9" i="4" a="1"/>
  <c r="AH7" i="4" a="1"/>
  <c r="EK14" i="4" a="1"/>
  <c r="AR7" i="4" a="1"/>
  <c r="EH6" i="4" a="1"/>
  <c r="DI9" i="4" a="1"/>
  <c r="BX7" i="4" a="1"/>
  <c r="AU9" i="4" a="1"/>
  <c r="AQ14" i="4" a="1"/>
  <c r="CW12" i="4" a="1"/>
  <c r="O15" i="4" a="1"/>
  <c r="EJ15" i="4" a="1"/>
  <c r="J6" i="4" a="1"/>
  <c r="EJ11" i="4" a="1"/>
  <c r="EB9" i="4" a="1"/>
  <c r="CP8" i="4" a="1"/>
  <c r="W6" i="4" a="1"/>
  <c r="CD16" i="4" a="1"/>
  <c r="AT5" i="4" a="1"/>
  <c r="E8" i="4" a="1"/>
  <c r="DJ8" i="4" a="1"/>
  <c r="CS13" i="4" a="1"/>
  <c r="DN7" i="4" a="1"/>
  <c r="ED8" i="4" a="1"/>
  <c r="AA15" i="4" a="1"/>
  <c r="AF5" i="4" a="1"/>
  <c r="CF5" i="4" a="1"/>
  <c r="BE16" i="4" a="1"/>
  <c r="AT12" i="4" a="1"/>
  <c r="EK13" i="4" a="1"/>
  <c r="CK12" i="4" a="1"/>
  <c r="DC6" i="4" a="1"/>
  <c r="BI11" i="4" a="1"/>
  <c r="Q11" i="4" a="1"/>
  <c r="W14" i="4" a="1"/>
  <c r="BJ13" i="4" a="1"/>
  <c r="BA13" i="4" a="1"/>
  <c r="EB13" i="4" a="1"/>
  <c r="DN13" i="4" a="1"/>
  <c r="BF5" i="4" a="1"/>
  <c r="BN5" i="4" a="1"/>
  <c r="H9" i="4" a="1"/>
  <c r="DW12" i="4" a="1"/>
  <c r="AW6" i="4" a="1"/>
  <c r="CS9" i="4" a="1"/>
  <c r="M46" i="3"/>
  <c r="BN16" i="4" a="1"/>
  <c r="DG11" i="4" a="1"/>
  <c r="BK12" i="4" a="1"/>
  <c r="DI13" i="4" a="1"/>
  <c r="BO13" i="4" a="1"/>
  <c r="CH6" i="4" a="1"/>
  <c r="BM16" i="4" a="1"/>
  <c r="BV11" i="4" a="1"/>
  <c r="CS5" i="4" a="1"/>
  <c r="EB16" i="4" a="1"/>
  <c r="F13" i="4" a="1"/>
  <c r="AB6" i="4" a="1"/>
  <c r="R5" i="4" a="1"/>
  <c r="CE11" i="4" a="1"/>
  <c r="BR7" i="4" a="1"/>
  <c r="K6" i="4" a="1"/>
  <c r="AB14" i="4" a="1"/>
  <c r="CV7" i="4" a="1"/>
  <c r="CZ5" i="4" a="1"/>
  <c r="CX16" i="4" a="1"/>
  <c r="DL7" i="4" a="1"/>
  <c r="J15" i="4" a="1"/>
  <c r="CD13" i="4" a="1"/>
  <c r="CA16" i="4" a="1"/>
  <c r="AI6" i="4" a="1"/>
  <c r="EG9" i="4" a="1"/>
  <c r="DO13" i="4" a="1"/>
  <c r="AV6" i="4" a="1"/>
  <c r="ED15" i="4" a="1"/>
  <c r="O14" i="4" a="1"/>
  <c r="CY11" i="4" a="1"/>
  <c r="CI9" i="4" a="1"/>
  <c r="CO11" i="4" a="1"/>
  <c r="DQ11" i="4" a="1"/>
  <c r="DP7" i="4" a="1"/>
  <c r="Y12" i="4" a="1"/>
  <c r="AC9" i="4" a="1"/>
  <c r="CP7" i="4" a="1"/>
  <c r="E13" i="4" a="1"/>
  <c r="AY13" i="4" a="1"/>
  <c r="EA11" i="4" a="1"/>
  <c r="CX8" i="4" a="1"/>
  <c r="EK9" i="4" a="1"/>
  <c r="CH11" i="4" a="1"/>
  <c r="CY5" i="4" a="1"/>
  <c r="AU6" i="4" a="1"/>
  <c r="CU15" i="4" a="1"/>
  <c r="AQ11" i="4" a="1"/>
  <c r="AL16" i="4" a="1"/>
  <c r="DY13" i="4" a="1"/>
  <c r="DS14" i="4" a="1"/>
  <c r="DN12" i="4" a="1"/>
  <c r="AZ6" i="4" a="1"/>
  <c r="DK14" i="4" a="1"/>
  <c r="AG16" i="4" a="1"/>
  <c r="CN13" i="4" a="1"/>
  <c r="EF11" i="4" a="1"/>
  <c r="AW13" i="4" a="1"/>
  <c r="AW9" i="4" a="1"/>
  <c r="CG9" i="4" a="1"/>
  <c r="DJ11" i="4" a="1"/>
  <c r="CR7" i="4" a="1"/>
  <c r="BU9" i="4" a="1"/>
  <c r="AL9" i="4" a="1"/>
  <c r="DN5" i="4" a="1"/>
  <c r="AT11" i="4" a="1"/>
  <c r="CL14" i="4" a="1"/>
  <c r="E7" i="4" a="1"/>
  <c r="I6" i="4" a="1"/>
  <c r="N5" i="4" a="1"/>
  <c r="BO6" i="4" a="1"/>
  <c r="EG15" i="4" a="1"/>
  <c r="CA13" i="4" a="1"/>
  <c r="DA6" i="4" a="1"/>
  <c r="D5" i="4" a="1"/>
  <c r="DK8" i="4" a="1"/>
  <c r="CC9" i="4" a="1"/>
  <c r="EG13" i="4" a="1"/>
  <c r="DG6" i="4" a="1"/>
  <c r="BV12" i="4" a="1"/>
  <c r="DY7" i="4" a="1"/>
  <c r="BM11" i="4" a="1"/>
  <c r="BW14" i="4" a="1"/>
  <c r="G5" i="4" a="1"/>
  <c r="DL12" i="4" a="1"/>
  <c r="CW6" i="4" a="1"/>
  <c r="DU12" i="4" a="1"/>
  <c r="EI15" i="4" a="1"/>
  <c r="F16" i="3"/>
  <c r="EA5" i="4" a="1"/>
  <c r="DE7" i="4" a="1"/>
  <c r="BO11" i="4" a="1"/>
  <c r="AL11" i="4" a="1"/>
  <c r="Q9" i="4" a="1"/>
  <c r="DF8" i="4" a="1"/>
  <c r="BB16" i="4" a="1"/>
  <c r="BH16" i="4" a="1"/>
  <c r="BJ8" i="4" a="1"/>
  <c r="DS13" i="4" a="1"/>
  <c r="K8" i="4" a="1"/>
  <c r="AW15" i="4" a="1"/>
  <c r="EA12" i="4" a="1"/>
  <c r="Y13" i="4" a="1"/>
  <c r="DV14" i="4" a="1"/>
  <c r="CA5" i="4" a="1"/>
  <c r="EE7" i="4" a="1"/>
  <c r="DT15" i="4" a="1"/>
  <c r="D46" i="3"/>
  <c r="DM15" i="4" a="1"/>
  <c r="AM5" i="4" a="1"/>
  <c r="EJ14" i="4" a="1"/>
  <c r="R6" i="4" a="1"/>
  <c r="DX6" i="4" a="1"/>
  <c r="X6" i="4" a="1"/>
  <c r="BK15" i="4" a="1"/>
  <c r="AU7" i="4" a="1"/>
  <c r="BJ16" i="4" a="1"/>
  <c r="DI7" i="4" a="1"/>
  <c r="BP16" i="4" a="1"/>
  <c r="AN15" i="4" a="1"/>
  <c r="CP9" i="4" a="1"/>
  <c r="CF11" i="4" a="1"/>
  <c r="EI5" i="4" a="1"/>
  <c r="C13" i="4" a="1"/>
  <c r="CO15" i="4" a="1"/>
  <c r="BE9" i="4" a="1"/>
  <c r="J13" i="4" a="1"/>
  <c r="CW13" i="4" a="1"/>
  <c r="DX14" i="4" a="1"/>
  <c r="EE8" i="4" a="1"/>
  <c r="M12" i="4" a="1"/>
  <c r="CE8" i="4" a="1"/>
  <c r="AA14" i="4" a="1"/>
  <c r="CH12" i="4" a="1"/>
  <c r="Y14" i="4" a="1"/>
  <c r="CP6" i="4" a="1"/>
  <c r="BT12" i="4" a="1"/>
  <c r="AY8" i="4" a="1"/>
  <c r="AD13" i="4" a="1"/>
  <c r="EI11" i="4" a="1"/>
  <c r="CP5" i="4" a="1"/>
  <c r="X12" i="4" a="1"/>
  <c r="CB6" i="4" a="1"/>
  <c r="CZ7" i="4" a="1"/>
  <c r="H11" i="4" a="1"/>
  <c r="H7" i="4" a="1"/>
  <c r="BX15" i="4" a="1"/>
  <c r="CV8" i="4" a="1"/>
  <c r="BE14" i="4" a="1"/>
  <c r="DH11" i="4" a="1"/>
  <c r="BM7" i="4" a="1"/>
  <c r="DW16" i="4" a="1"/>
  <c r="CR15" i="4" a="1"/>
  <c r="CW15" i="4" a="1"/>
  <c r="AE8" i="4" a="1"/>
  <c r="AT7" i="4" a="1"/>
  <c r="V13" i="4" a="1"/>
  <c r="Q15" i="4" a="1"/>
  <c r="CX13" i="4" a="1"/>
  <c r="Q6" i="4" a="1"/>
  <c r="EH14" i="4" a="1"/>
  <c r="DK11" i="4" a="1"/>
  <c r="EJ5" i="4" a="1"/>
  <c r="AD11" i="4" a="1"/>
  <c r="AK7" i="4" a="1"/>
  <c r="EE11" i="4" a="1"/>
  <c r="CE6" i="4" a="1"/>
  <c r="CC13" i="4" a="1"/>
  <c r="AV8" i="4" a="1"/>
  <c r="BQ11" i="4" a="1"/>
  <c r="BD11" i="4" a="1"/>
  <c r="AL6" i="4" a="1"/>
  <c r="CQ11" i="4" a="1"/>
  <c r="EE6" i="4" a="1"/>
  <c r="CC14" i="4" a="1"/>
  <c r="AU15" i="4" a="1"/>
  <c r="AL7" i="4" a="1"/>
  <c r="AF11" i="4" a="1"/>
  <c r="CO7" i="4" a="1"/>
  <c r="H12" i="4" a="1"/>
  <c r="DR8" i="4" a="1"/>
  <c r="AY14" i="4" a="1"/>
  <c r="DD5" i="4" a="1"/>
  <c r="BE13" i="4" a="1"/>
  <c r="EC5" i="4" a="1"/>
  <c r="BZ12" i="4" a="1"/>
  <c r="T13" i="4" a="1"/>
  <c r="N15" i="4" a="1"/>
  <c r="AX12" i="4" a="1"/>
  <c r="CN6" i="4" a="1"/>
  <c r="BG13" i="4" a="1"/>
  <c r="DS9" i="4" a="1"/>
  <c r="CX9" i="4" a="1"/>
  <c r="AP6" i="4" a="1"/>
  <c r="AY15" i="4" a="1"/>
  <c r="CB16" i="4" a="1"/>
  <c r="DZ15" i="4" a="1"/>
  <c r="AO16" i="4" a="1"/>
  <c r="BP6" i="4" a="1"/>
  <c r="EB7" i="4" a="1"/>
  <c r="CX11" i="4" a="1"/>
  <c r="BC6" i="4" a="1"/>
  <c r="BX11" i="4" a="1"/>
  <c r="DE5" i="4" a="1"/>
  <c r="BD7" i="4" a="1"/>
  <c r="S13" i="4" a="1"/>
  <c r="AP12" i="4" a="1"/>
  <c r="BY12" i="4" a="1"/>
  <c r="CI6" i="4" a="1"/>
  <c r="CH9" i="4" a="1"/>
  <c r="AX5" i="4" a="1"/>
  <c r="CN5" i="4" a="1"/>
  <c r="AX14" i="4" a="1"/>
  <c r="DR7" i="4" a="1"/>
  <c r="I9" i="4" a="1"/>
  <c r="U15" i="4" a="1"/>
  <c r="DX15" i="4" a="1"/>
  <c r="S5" i="4" a="1"/>
  <c r="F14" i="4" a="1"/>
  <c r="CE14" i="4" a="1"/>
  <c r="M8" i="4" a="1"/>
  <c r="DS11" i="4" a="1"/>
  <c r="AW8" i="4" a="1"/>
  <c r="DR15" i="4" a="1"/>
  <c r="CG13" i="4" a="1"/>
  <c r="BK14" i="4" a="1"/>
  <c r="BW11" i="4" a="1"/>
  <c r="AG15" i="4" a="1"/>
  <c r="DX13" i="4" a="1"/>
  <c r="EJ7" i="4" a="1"/>
  <c r="EG6" i="4" a="1"/>
  <c r="AW14" i="4" a="1"/>
  <c r="D9" i="4" a="1"/>
  <c r="BS14" i="4" a="1"/>
  <c r="E9" i="4" a="1"/>
  <c r="DN15" i="4" a="1"/>
  <c r="AO7" i="4" a="1"/>
  <c r="BN9" i="4" a="1"/>
  <c r="AZ5" i="4" a="1"/>
  <c r="H14" i="4" a="1"/>
  <c r="BX13" i="4" a="1"/>
  <c r="DU6" i="4" a="1"/>
  <c r="BD9" i="4" a="1"/>
  <c r="AG13" i="4" a="1"/>
  <c r="CT16" i="4" a="1"/>
  <c r="BW8" i="4" a="1"/>
  <c r="DU14" i="4" a="1"/>
  <c r="CO8" i="4" a="1"/>
  <c r="BI8" i="4" a="1"/>
  <c r="EJ8" i="4" a="1"/>
  <c r="N8" i="4" a="1"/>
  <c r="M11" i="4" a="1"/>
  <c r="R7" i="4" a="1"/>
  <c r="DS7" i="4" a="1"/>
  <c r="AJ6" i="4" a="1"/>
  <c r="CG15" i="4" a="1"/>
  <c r="AG12" i="4" a="1"/>
  <c r="CV9" i="4" a="1"/>
  <c r="BI16" i="4" a="1"/>
  <c r="BY15" i="4" a="1"/>
  <c r="CS12" i="4" a="1"/>
  <c r="DW15" i="4" a="1"/>
  <c r="CT15" i="4" a="1"/>
  <c r="DT16" i="4" a="1"/>
  <c r="AJ13" i="4" a="1"/>
  <c r="AN9" i="4" a="1"/>
  <c r="E6" i="4" a="1"/>
  <c r="L7" i="4" a="1"/>
  <c r="CL11" i="4" a="1"/>
  <c r="CT13" i="4" a="1"/>
  <c r="EC12" i="4" a="1"/>
  <c r="DN14" i="4" a="1"/>
  <c r="BB9" i="4" a="1"/>
  <c r="AV14" i="4" a="1"/>
  <c r="BZ14" i="4" a="1"/>
  <c r="AR6" i="4" a="1"/>
  <c r="BS8" i="4" a="1"/>
  <c r="BG9" i="4" a="1"/>
  <c r="AP8" i="4" a="1"/>
  <c r="E64" i="3"/>
  <c r="D85" i="3"/>
  <c r="AD60" i="3"/>
  <c r="AD67" i="3"/>
  <c r="F83" i="3"/>
  <c r="G71" i="3"/>
  <c r="E83" i="3"/>
  <c r="D84" i="3"/>
  <c r="AD87" i="3"/>
  <c r="E96" i="3"/>
  <c r="G87" i="3"/>
  <c r="D78" i="3"/>
  <c r="G74" i="3"/>
  <c r="E77" i="3"/>
  <c r="D55" i="3"/>
  <c r="AD80" i="3"/>
  <c r="AD71" i="3"/>
  <c r="G88" i="3"/>
  <c r="D62" i="3"/>
  <c r="F94" i="3"/>
  <c r="E57" i="3"/>
  <c r="G77" i="3"/>
  <c r="D83" i="3"/>
  <c r="F74" i="3"/>
  <c r="F64" i="3"/>
  <c r="G66" i="3"/>
  <c r="E73" i="3"/>
  <c r="AD81" i="3"/>
  <c r="F63" i="3"/>
  <c r="E63" i="3"/>
  <c r="F61" i="3"/>
  <c r="AD58" i="3"/>
  <c r="F76" i="3"/>
  <c r="D86" i="3"/>
  <c r="F65" i="3"/>
  <c r="E74" i="3"/>
  <c r="F88" i="3"/>
  <c r="G95" i="3"/>
  <c r="E80" i="3"/>
  <c r="F77" i="3"/>
  <c r="AD66" i="3"/>
  <c r="F69" i="3"/>
  <c r="G58" i="3"/>
  <c r="E69" i="3"/>
  <c r="D58" i="3"/>
  <c r="AD77" i="3"/>
  <c r="AD90" i="3"/>
  <c r="G67" i="3"/>
  <c r="D87" i="3"/>
  <c r="G78" i="3"/>
  <c r="E76" i="3"/>
  <c r="D97" i="3"/>
  <c r="F58" i="3"/>
  <c r="F82" i="3"/>
  <c r="E91" i="3"/>
  <c r="AD76" i="3"/>
  <c r="G83" i="3"/>
  <c r="D73" i="3"/>
  <c r="F62" i="3"/>
  <c r="E81" i="3"/>
  <c r="F86" i="3"/>
  <c r="G72" i="3"/>
  <c r="AD95" i="3"/>
  <c r="G69" i="3"/>
  <c r="D59" i="3"/>
  <c r="G96" i="3"/>
  <c r="AD91" i="3"/>
  <c r="G73" i="3"/>
  <c r="D57" i="3"/>
  <c r="G79" i="3"/>
  <c r="F81" i="3"/>
  <c r="E92" i="3"/>
  <c r="AD82" i="3"/>
  <c r="D71" i="3"/>
  <c r="G60" i="3"/>
  <c r="G94" i="3"/>
  <c r="F49" i="3"/>
  <c r="G76" i="3"/>
  <c r="E93" i="3"/>
  <c r="E55" i="3"/>
  <c r="G54" i="3"/>
  <c r="E82" i="3"/>
  <c r="G81" i="3"/>
  <c r="AD55" i="3"/>
  <c r="AD70" i="3"/>
  <c r="AD54" i="3"/>
  <c r="G82" i="3"/>
  <c r="D75" i="3"/>
  <c r="D89" i="3"/>
  <c r="G89" i="3"/>
  <c r="D64" i="3"/>
  <c r="F95" i="3"/>
  <c r="E66" i="3"/>
  <c r="E71" i="3"/>
  <c r="E58" i="3"/>
  <c r="D74" i="3"/>
  <c r="G91" i="3"/>
  <c r="AD75" i="3"/>
  <c r="D67" i="3"/>
  <c r="F67" i="3"/>
  <c r="D93" i="3"/>
  <c r="AD79" i="3"/>
  <c r="G63" i="3"/>
  <c r="G86" i="3"/>
  <c r="D79" i="3"/>
  <c r="E75" i="3"/>
  <c r="E87" i="3"/>
  <c r="D77" i="3"/>
  <c r="AD65" i="3"/>
  <c r="E89" i="3"/>
  <c r="G56" i="3"/>
  <c r="F59" i="3"/>
  <c r="D82" i="3"/>
  <c r="F55" i="3"/>
  <c r="F60" i="3"/>
  <c r="E97" i="3"/>
  <c r="AD86" i="3"/>
  <c r="E86" i="3"/>
  <c r="G70" i="3"/>
  <c r="D65" i="3"/>
  <c r="G80" i="3"/>
  <c r="G68" i="3"/>
  <c r="F79" i="3"/>
  <c r="E84" i="3"/>
  <c r="AD73" i="3"/>
  <c r="E65" i="3"/>
  <c r="E95" i="3"/>
  <c r="D94" i="3"/>
  <c r="AD89" i="3"/>
  <c r="AD97" i="3"/>
  <c r="G64" i="3"/>
  <c r="D56" i="3"/>
  <c r="D81" i="3"/>
  <c r="F80" i="3"/>
  <c r="G57" i="3"/>
  <c r="E59" i="3"/>
  <c r="AD68" i="3"/>
  <c r="AD62" i="3"/>
  <c r="AD59" i="3"/>
  <c r="AD64" i="3"/>
  <c r="F54" i="3"/>
  <c r="G97" i="3"/>
  <c r="E88" i="3"/>
  <c r="AD96" i="3"/>
  <c r="G61" i="3"/>
  <c r="D92" i="3"/>
  <c r="AD57" i="3"/>
  <c r="F73" i="3"/>
  <c r="F48" i="3"/>
  <c r="D60" i="3"/>
  <c r="G59" i="3"/>
  <c r="F85" i="3"/>
  <c r="G55" i="3"/>
  <c r="F66" i="3"/>
  <c r="E62" i="3"/>
  <c r="E61" i="3"/>
  <c r="E56" i="3"/>
  <c r="D91" i="3"/>
  <c r="E78" i="3"/>
  <c r="E70" i="3"/>
  <c r="G93" i="3"/>
  <c r="D54" i="3"/>
  <c r="D70" i="3"/>
  <c r="F87" i="3"/>
  <c r="G85" i="3"/>
  <c r="E72" i="3"/>
  <c r="F96" i="3"/>
  <c r="E79" i="3"/>
  <c r="AD92" i="3"/>
  <c r="AD94" i="3"/>
  <c r="G84" i="3"/>
  <c r="F50" i="3"/>
  <c r="D69" i="3"/>
  <c r="F57" i="3"/>
  <c r="F90" i="3"/>
  <c r="AD84" i="3"/>
  <c r="F84" i="3"/>
  <c r="G75" i="3"/>
  <c r="E68" i="3"/>
  <c r="AD85" i="3"/>
  <c r="G62" i="3"/>
  <c r="F92" i="3"/>
  <c r="D61" i="3"/>
  <c r="E60" i="3"/>
  <c r="F78" i="3"/>
  <c r="F97" i="3"/>
  <c r="AD63" i="3"/>
  <c r="AD72" i="3"/>
  <c r="AD93" i="3"/>
  <c r="E90" i="3"/>
  <c r="AD69" i="3"/>
  <c r="F47" i="3"/>
  <c r="E94" i="3"/>
  <c r="F72" i="3"/>
  <c r="F68" i="3"/>
  <c r="AD88" i="3"/>
  <c r="G90" i="3"/>
  <c r="F70" i="3"/>
  <c r="F75" i="3"/>
  <c r="G92" i="3"/>
  <c r="D72" i="3"/>
  <c r="E67" i="3"/>
  <c r="AD74" i="3"/>
  <c r="D95" i="3"/>
  <c r="F89" i="3"/>
  <c r="D66" i="3"/>
  <c r="D88" i="3"/>
  <c r="AD56" i="3"/>
  <c r="D63" i="3"/>
  <c r="D96" i="3"/>
  <c r="E54" i="3"/>
  <c r="D90" i="3"/>
  <c r="F93" i="3"/>
  <c r="G65" i="3"/>
  <c r="E85" i="3"/>
  <c r="F56" i="3"/>
  <c r="AD78" i="3"/>
  <c r="F71" i="3"/>
  <c r="AD83" i="3"/>
  <c r="D80" i="3"/>
  <c r="F91" i="3"/>
  <c r="D76" i="3"/>
  <c r="D68" i="3"/>
  <c r="AD61" i="3"/>
  <c r="IF9" i="4" s="1"/>
  <c r="IJ9" i="4" s="1"/>
  <c r="HQ9" i="4" s="1"/>
  <c r="IV9" i="4" s="1"/>
  <c r="JC9" i="4" s="1"/>
  <c r="IG9" i="4" s="1"/>
  <c r="IH16" i="4" s="1"/>
  <c r="IF16" i="4" s="1"/>
  <c r="CP101" i="1"/>
  <c r="AL44" i="1" l="1"/>
  <c r="IO9" i="4" s="1"/>
  <c r="HY16" i="4" s="1"/>
  <c r="JI9" i="4" s="1"/>
  <c r="IQ9" i="4" s="1"/>
  <c r="IV16" i="4" s="1"/>
  <c r="E44" i="1"/>
  <c r="IC16" i="4" s="1"/>
  <c r="AL37" i="1"/>
  <c r="C49" i="1"/>
  <c r="F60" i="1"/>
  <c r="M75" i="1"/>
  <c r="Q70" i="1"/>
  <c r="JB9" i="4" s="1"/>
  <c r="AL71" i="1"/>
  <c r="AK63" i="1"/>
  <c r="AK33" i="1"/>
  <c r="W71" i="1"/>
  <c r="J70" i="1"/>
  <c r="V39" i="1"/>
  <c r="P151" i="1"/>
  <c r="IW9" i="4" s="1"/>
  <c r="JA16" i="4" s="1"/>
  <c r="AM44" i="1"/>
  <c r="AJ75" i="1"/>
  <c r="AK45" i="1"/>
  <c r="O60" i="1"/>
  <c r="O69" i="1"/>
  <c r="T48" i="1"/>
  <c r="H46" i="1"/>
  <c r="HY15" i="4" s="1"/>
  <c r="HT15" i="4" s="1"/>
  <c r="IA16" i="4" s="1"/>
  <c r="IG7" i="4" s="1"/>
  <c r="IH9" i="4" s="1"/>
  <c r="IH21" i="4" s="1"/>
  <c r="BB101" i="1" s="1"/>
  <c r="JH9" i="4" s="1"/>
  <c r="IF15" i="4" s="1"/>
  <c r="ID15" i="4" s="1"/>
  <c r="IM16" i="4" s="1"/>
  <c r="AJ70" i="1"/>
  <c r="AJ48" i="1"/>
  <c r="AK71" i="1"/>
  <c r="D49" i="1"/>
  <c r="P33" i="1"/>
  <c r="W156" i="1"/>
  <c r="J45" i="1"/>
  <c r="C69" i="1"/>
  <c r="JA9" i="4" s="1"/>
  <c r="IX16" i="4" s="1"/>
  <c r="BX39" i="1"/>
  <c r="AJ44" i="1"/>
  <c r="B44" i="1"/>
  <c r="G37" i="1"/>
  <c r="O59" i="1"/>
  <c r="II9" i="4" s="1"/>
  <c r="IY9" i="4" s="1"/>
  <c r="IT16" i="4" s="1"/>
  <c r="HW16" i="4" s="1"/>
  <c r="AM56" i="1"/>
  <c r="AM218" i="1" s="1"/>
  <c r="AL47" i="1"/>
  <c r="F49" i="1"/>
  <c r="D56" i="1"/>
  <c r="D218" i="1" s="1"/>
  <c r="L45" i="1"/>
  <c r="U48" i="1"/>
  <c r="M37" i="1"/>
  <c r="IA9" i="4" s="1"/>
  <c r="HS16" i="4" s="1"/>
  <c r="AJ32" i="1"/>
  <c r="AJ255" i="1" s="1"/>
  <c r="BX188" i="1"/>
  <c r="BY188" i="1" s="1"/>
  <c r="D59" i="1"/>
  <c r="E46" i="1"/>
  <c r="R47" i="1"/>
  <c r="T37" i="1"/>
  <c r="F45" i="1"/>
  <c r="IK16" i="4" s="1"/>
  <c r="AM60" i="1"/>
  <c r="AJ38" i="1"/>
  <c r="B39" i="1"/>
  <c r="BX176" i="1"/>
  <c r="BY176" i="1" s="1"/>
  <c r="H33" i="1"/>
  <c r="P71" i="1"/>
  <c r="I33" i="1"/>
  <c r="T60" i="1"/>
  <c r="C46" i="1"/>
  <c r="JE15" i="4" s="1"/>
  <c r="IM9" i="4" s="1"/>
  <c r="JC16" i="4" s="1"/>
  <c r="AL70" i="1"/>
  <c r="AM63" i="1"/>
  <c r="AK37" i="1"/>
  <c r="AK39" i="1"/>
  <c r="B63" i="1"/>
  <c r="K32" i="1"/>
  <c r="C70" i="1"/>
  <c r="S39" i="1"/>
  <c r="BX56" i="1"/>
  <c r="BX218" i="1" s="1"/>
  <c r="AK75" i="1"/>
  <c r="AK60" i="1"/>
  <c r="L32" i="1"/>
  <c r="V33" i="1"/>
  <c r="V34" i="1" s="1"/>
  <c r="W46" i="1"/>
  <c r="HS9" i="4" s="1"/>
  <c r="IZ9" i="4" s="1"/>
  <c r="HR16" i="4" s="1"/>
  <c r="AJ56" i="1"/>
  <c r="AL69" i="1"/>
  <c r="S37" i="1"/>
  <c r="F37" i="1"/>
  <c r="G56" i="1"/>
  <c r="M44" i="1"/>
  <c r="E32" i="1"/>
  <c r="E255" i="1" s="1"/>
  <c r="S75" i="1"/>
  <c r="AL56" i="1"/>
  <c r="AL218" i="1" s="1"/>
  <c r="BX59" i="1"/>
  <c r="AM33" i="1"/>
  <c r="AL48" i="1"/>
  <c r="AK38" i="1"/>
  <c r="BX47" i="1"/>
  <c r="AM37" i="1"/>
  <c r="AL39" i="1"/>
  <c r="AM49" i="1"/>
  <c r="AL32" i="1"/>
  <c r="BJ49" i="1"/>
  <c r="AJ71" i="1"/>
  <c r="AM39" i="1"/>
  <c r="D146" i="1"/>
  <c r="BX178" i="1"/>
  <c r="BY178" i="1" s="1"/>
  <c r="Q33" i="1"/>
  <c r="B59" i="1"/>
  <c r="I59" i="1"/>
  <c r="C37" i="1"/>
  <c r="BX97" i="1"/>
  <c r="I45" i="1"/>
  <c r="S32" i="1"/>
  <c r="S255" i="1" s="1"/>
  <c r="B49" i="1"/>
  <c r="V47" i="1"/>
  <c r="M32" i="1"/>
  <c r="M255" i="1" s="1"/>
  <c r="S44" i="1"/>
  <c r="M33" i="1"/>
  <c r="W56" i="1"/>
  <c r="W277" i="1" s="1"/>
  <c r="N37" i="1"/>
  <c r="O32" i="1"/>
  <c r="G32" i="1"/>
  <c r="G255" i="1" s="1"/>
  <c r="K69" i="1"/>
  <c r="I60" i="1"/>
  <c r="S63" i="1"/>
  <c r="I47" i="1"/>
  <c r="E75" i="1"/>
  <c r="J59" i="1"/>
  <c r="F70" i="1"/>
  <c r="P63" i="1"/>
  <c r="K39" i="1"/>
  <c r="R60" i="1"/>
  <c r="L49" i="1"/>
  <c r="T39" i="1"/>
  <c r="IJ8" i="4" s="1"/>
  <c r="JD16" i="4" s="1"/>
  <c r="BX70" i="1"/>
  <c r="BX37" i="1"/>
  <c r="AM59" i="1"/>
  <c r="AM46" i="1"/>
  <c r="BX48" i="1"/>
  <c r="AM47" i="1"/>
  <c r="AL38" i="1"/>
  <c r="AL60" i="1"/>
  <c r="BJ37" i="1"/>
  <c r="BX69" i="1"/>
  <c r="M47" i="1"/>
  <c r="W39" i="1"/>
  <c r="C60" i="1"/>
  <c r="P177" i="1"/>
  <c r="G70" i="1"/>
  <c r="V46" i="1"/>
  <c r="BX183" i="1"/>
  <c r="P179" i="1"/>
  <c r="J49" i="1"/>
  <c r="D33" i="1"/>
  <c r="BY97" i="1"/>
  <c r="D45" i="1"/>
  <c r="L37" i="1"/>
  <c r="L33" i="1"/>
  <c r="O48" i="1"/>
  <c r="F44" i="1"/>
  <c r="G59" i="1"/>
  <c r="S71" i="1"/>
  <c r="V63" i="1"/>
  <c r="M70" i="1"/>
  <c r="Q48" i="1"/>
  <c r="N60" i="1"/>
  <c r="S47" i="1"/>
  <c r="M56" i="1"/>
  <c r="M218" i="1" s="1"/>
  <c r="N46" i="1"/>
  <c r="V45" i="1"/>
  <c r="U75" i="1"/>
  <c r="N32" i="1"/>
  <c r="N255" i="1" s="1"/>
  <c r="N33" i="1"/>
  <c r="J37" i="1"/>
  <c r="P49" i="1"/>
  <c r="T46" i="1"/>
  <c r="E48" i="1"/>
  <c r="IT14" i="4" s="1"/>
  <c r="II8" i="4" s="1"/>
  <c r="IV7" i="4" s="1"/>
  <c r="BJ39" i="1"/>
  <c r="BX63" i="1"/>
  <c r="AK69" i="1"/>
  <c r="BX49" i="1"/>
  <c r="BJ38" i="1"/>
  <c r="AK70" i="1"/>
  <c r="AK59" i="1"/>
  <c r="AJ63" i="1"/>
  <c r="BX38" i="1"/>
  <c r="N44" i="1"/>
  <c r="K56" i="1"/>
  <c r="K218" i="1" s="1"/>
  <c r="G75" i="1"/>
  <c r="H37" i="1"/>
  <c r="U46" i="1"/>
  <c r="L63" i="1"/>
  <c r="Q37" i="1"/>
  <c r="BX156" i="1"/>
  <c r="Q45" i="1"/>
  <c r="I69" i="1"/>
  <c r="H60" i="1"/>
  <c r="G47" i="1"/>
  <c r="O75" i="1"/>
  <c r="L69" i="1"/>
  <c r="S46" i="1"/>
  <c r="K49" i="1"/>
  <c r="F56" i="1"/>
  <c r="U49" i="1"/>
  <c r="M46" i="1"/>
  <c r="I46" i="1"/>
  <c r="F69" i="1"/>
  <c r="Q59" i="1"/>
  <c r="C33" i="1"/>
  <c r="N39" i="1"/>
  <c r="Q71" i="1"/>
  <c r="N47" i="1"/>
  <c r="J69" i="1"/>
  <c r="N45" i="1"/>
  <c r="O33" i="1"/>
  <c r="K45" i="1"/>
  <c r="E183" i="1"/>
  <c r="H44" i="1"/>
  <c r="P32" i="1"/>
  <c r="P255" i="1" s="1"/>
  <c r="F59" i="1"/>
  <c r="L44" i="1"/>
  <c r="IK9" i="4" s="1"/>
  <c r="IL9" i="4" s="1"/>
  <c r="IP9" i="4" s="1"/>
  <c r="BX44" i="1"/>
  <c r="BJ44" i="1"/>
  <c r="AJ33" i="1"/>
  <c r="AM48" i="1"/>
  <c r="BJ48" i="1"/>
  <c r="AL33" i="1"/>
  <c r="U47" i="1"/>
  <c r="J47" i="1"/>
  <c r="C44" i="1"/>
  <c r="J56" i="1"/>
  <c r="J218" i="1" s="1"/>
  <c r="J44" i="1"/>
  <c r="E69" i="1"/>
  <c r="Q46" i="1"/>
  <c r="T70" i="1"/>
  <c r="I37" i="1"/>
  <c r="BX146" i="1"/>
  <c r="BY146" i="1" s="1"/>
  <c r="U37" i="1"/>
  <c r="Q56" i="1"/>
  <c r="N59" i="1"/>
  <c r="D39" i="1"/>
  <c r="W63" i="1"/>
  <c r="E71" i="1"/>
  <c r="L48" i="1"/>
  <c r="Q44" i="1"/>
  <c r="F75" i="1"/>
  <c r="H45" i="1"/>
  <c r="H75" i="1"/>
  <c r="P56" i="1"/>
  <c r="R46" i="1"/>
  <c r="J33" i="1"/>
  <c r="K46" i="1"/>
  <c r="U59" i="1"/>
  <c r="V75" i="1"/>
  <c r="R45" i="1"/>
  <c r="P44" i="1"/>
  <c r="C71" i="1"/>
  <c r="K70" i="1"/>
  <c r="J48" i="1"/>
  <c r="D46" i="1"/>
  <c r="T63" i="1"/>
  <c r="R39" i="1"/>
  <c r="B32" i="1"/>
  <c r="W37" i="1"/>
  <c r="K59" i="1"/>
  <c r="P184" i="1"/>
  <c r="N69" i="1"/>
  <c r="T71" i="1"/>
  <c r="T56" i="1"/>
  <c r="T218" i="1" s="1"/>
  <c r="E59" i="1"/>
  <c r="H63" i="1"/>
  <c r="R32" i="1"/>
  <c r="R255" i="1" s="1"/>
  <c r="S49" i="1"/>
  <c r="F63" i="1"/>
  <c r="C75" i="1"/>
  <c r="M45" i="1"/>
  <c r="C47" i="1"/>
  <c r="V69" i="1"/>
  <c r="O44" i="1"/>
  <c r="G187" i="1"/>
  <c r="T75" i="1"/>
  <c r="O47" i="1"/>
  <c r="V48" i="1"/>
  <c r="N75" i="1"/>
  <c r="F46" i="1"/>
  <c r="T47" i="1"/>
  <c r="F32" i="1"/>
  <c r="F255" i="1" s="1"/>
  <c r="D70" i="1"/>
  <c r="W33" i="1"/>
  <c r="W34" i="1" s="1"/>
  <c r="AJ60" i="1"/>
  <c r="BJ47" i="1"/>
  <c r="AJ39" i="1"/>
  <c r="AK49" i="1"/>
  <c r="BJ45" i="1"/>
  <c r="BX168" i="1"/>
  <c r="G60" i="1"/>
  <c r="B37" i="1"/>
  <c r="O39" i="1"/>
  <c r="BX184" i="1"/>
  <c r="J46" i="1"/>
  <c r="G44" i="1"/>
  <c r="U45" i="1"/>
  <c r="O49" i="1"/>
  <c r="BX142" i="1"/>
  <c r="BY142" i="1" s="1"/>
  <c r="B33" i="1"/>
  <c r="P69" i="1"/>
  <c r="V44" i="1"/>
  <c r="C48" i="1"/>
  <c r="D47" i="1"/>
  <c r="L47" i="1"/>
  <c r="R33" i="1"/>
  <c r="O63" i="1"/>
  <c r="G49" i="1"/>
  <c r="G33" i="1"/>
  <c r="S48" i="1"/>
  <c r="O70" i="1"/>
  <c r="V71" i="1"/>
  <c r="V37" i="1"/>
  <c r="T33" i="1"/>
  <c r="G177" i="1"/>
  <c r="C39" i="1"/>
  <c r="G48" i="1"/>
  <c r="H47" i="1"/>
  <c r="P39" i="1"/>
  <c r="R48" i="1"/>
  <c r="E45" i="1"/>
  <c r="P70" i="1"/>
  <c r="T49" i="1"/>
  <c r="I70" i="1"/>
  <c r="F71" i="1"/>
  <c r="M49" i="1"/>
  <c r="T59" i="1"/>
  <c r="T44" i="1"/>
  <c r="P46" i="1"/>
  <c r="H59" i="1"/>
  <c r="U71" i="1"/>
  <c r="ID9" i="4" s="1"/>
  <c r="AK48" i="1"/>
  <c r="BX32" i="1"/>
  <c r="CA122" i="1" s="1"/>
  <c r="CA123" i="1" s="1"/>
  <c r="BX60" i="1"/>
  <c r="AJ46" i="1"/>
  <c r="AK47" i="1"/>
  <c r="AL63" i="1"/>
  <c r="BX187" i="1"/>
  <c r="BY187" i="1" s="1"/>
  <c r="U60" i="1"/>
  <c r="U276" i="1" s="1"/>
  <c r="S45" i="1"/>
  <c r="B47" i="1"/>
  <c r="BX170" i="1"/>
  <c r="BY170" i="1" s="1"/>
  <c r="W69" i="1"/>
  <c r="BX155" i="1"/>
  <c r="BX98" i="1"/>
  <c r="BX150" i="1"/>
  <c r="BY150" i="1" s="1"/>
  <c r="K37" i="1"/>
  <c r="BX177" i="1"/>
  <c r="BX207" i="1" s="1"/>
  <c r="BY207" i="1" s="1"/>
  <c r="B60" i="1"/>
  <c r="B75" i="1"/>
  <c r="V70" i="1"/>
  <c r="L39" i="1"/>
  <c r="K47" i="1"/>
  <c r="I39" i="1"/>
  <c r="D71" i="1"/>
  <c r="S33" i="1"/>
  <c r="N63" i="1"/>
  <c r="C45" i="1"/>
  <c r="D44" i="1"/>
  <c r="J71" i="1"/>
  <c r="B45" i="1"/>
  <c r="Q177" i="1"/>
  <c r="W59" i="1"/>
  <c r="C148" i="1"/>
  <c r="U39" i="1"/>
  <c r="T32" i="1"/>
  <c r="T255" i="1" s="1"/>
  <c r="W141" i="1"/>
  <c r="R75" i="1"/>
  <c r="IG15" i="4" s="1"/>
  <c r="HR8" i="4" s="1"/>
  <c r="JG15" i="4" s="1"/>
  <c r="AJ47" i="1"/>
  <c r="AJ49" i="1"/>
  <c r="BX71" i="1"/>
  <c r="BX45" i="1"/>
  <c r="BX75" i="1"/>
  <c r="AJ69" i="1"/>
  <c r="AK56" i="1"/>
  <c r="AK218" i="1" s="1"/>
  <c r="AL45" i="1"/>
  <c r="BX166" i="1"/>
  <c r="BY166" i="1" s="1"/>
  <c r="BX164" i="1"/>
  <c r="BY164" i="1" s="1"/>
  <c r="BZ226" i="1" s="1"/>
  <c r="I63" i="1"/>
  <c r="E47" i="1"/>
  <c r="B48" i="1"/>
  <c r="BX174" i="1"/>
  <c r="BY174" i="1" s="1"/>
  <c r="I44" i="1"/>
  <c r="S69" i="1"/>
  <c r="BX159" i="1"/>
  <c r="BY159" i="1" s="1"/>
  <c r="BX151" i="1"/>
  <c r="BY151" i="1" s="1"/>
  <c r="BX141" i="1"/>
  <c r="BY141" i="1" s="1"/>
  <c r="G69" i="1"/>
  <c r="K63" i="1"/>
  <c r="J32" i="1"/>
  <c r="B69" i="1"/>
  <c r="E70" i="1"/>
  <c r="L71" i="1"/>
  <c r="Q47" i="1"/>
  <c r="S56" i="1"/>
  <c r="S218" i="1" s="1"/>
  <c r="E60" i="1"/>
  <c r="W47" i="1"/>
  <c r="I32" i="1"/>
  <c r="I255" i="1" s="1"/>
  <c r="E37" i="1"/>
  <c r="H69" i="1"/>
  <c r="U70" i="1"/>
  <c r="Q32" i="1"/>
  <c r="Q255" i="1" s="1"/>
  <c r="Q49" i="1"/>
  <c r="J39" i="1"/>
  <c r="E56" i="1"/>
  <c r="E218" i="1" s="1"/>
  <c r="O56" i="1"/>
  <c r="O218" i="1" s="1"/>
  <c r="U33" i="1"/>
  <c r="U34" i="1" s="1"/>
  <c r="U122" i="1" s="1"/>
  <c r="G71" i="1"/>
  <c r="W44" i="1"/>
  <c r="R56" i="1"/>
  <c r="R218" i="1" s="1"/>
  <c r="I49" i="1"/>
  <c r="H56" i="1"/>
  <c r="H218" i="1" s="1"/>
  <c r="W70" i="1"/>
  <c r="JH16" i="4" s="1"/>
  <c r="JH21" i="4" s="1"/>
  <c r="CB101" i="1" s="1"/>
  <c r="IS8" i="4" s="1"/>
  <c r="IN8" i="4" s="1"/>
  <c r="HX9" i="4" s="1"/>
  <c r="BJ32" i="1"/>
  <c r="BJ255" i="1" s="1"/>
  <c r="AL59" i="1"/>
  <c r="BX33" i="1"/>
  <c r="AJ59" i="1"/>
  <c r="AK32" i="1"/>
  <c r="AJ45" i="1"/>
  <c r="BX46" i="1"/>
  <c r="AL49" i="1"/>
  <c r="BX175" i="1"/>
  <c r="BY175" i="1" s="1"/>
  <c r="R37" i="1"/>
  <c r="U56" i="1"/>
  <c r="U277" i="1" s="1"/>
  <c r="B70" i="1"/>
  <c r="F39" i="1"/>
  <c r="C63" i="1"/>
  <c r="BX171" i="1"/>
  <c r="BY171" i="1" s="1"/>
  <c r="S60" i="1"/>
  <c r="BX179" i="1"/>
  <c r="BY179" i="1" s="1"/>
  <c r="BX173" i="1"/>
  <c r="BY173" i="1" s="1"/>
  <c r="L59" i="1"/>
  <c r="K60" i="1"/>
  <c r="K44" i="1"/>
  <c r="D32" i="1"/>
  <c r="J143" i="1"/>
  <c r="D37" i="1"/>
  <c r="P59" i="1"/>
  <c r="V56" i="1"/>
  <c r="E39" i="1"/>
  <c r="W49" i="1"/>
  <c r="W60" i="1"/>
  <c r="W276" i="1" s="1"/>
  <c r="E33" i="1"/>
  <c r="H71" i="1"/>
  <c r="R63" i="1"/>
  <c r="L56" i="1"/>
  <c r="V49" i="1"/>
  <c r="L60" i="1"/>
  <c r="D63" i="1"/>
  <c r="Q69" i="1"/>
  <c r="G46" i="1"/>
  <c r="V59" i="1"/>
  <c r="L46" i="1"/>
  <c r="W48" i="1"/>
  <c r="K75" i="1"/>
  <c r="Q39" i="1"/>
  <c r="Q60" i="1"/>
  <c r="R70" i="1"/>
  <c r="Q75" i="1"/>
  <c r="F47" i="1"/>
  <c r="T45" i="1"/>
  <c r="F33" i="1"/>
  <c r="R69" i="1"/>
  <c r="U69" i="1"/>
  <c r="AL46" i="1"/>
  <c r="AM38" i="1"/>
  <c r="AK44" i="1"/>
  <c r="AM32" i="1"/>
  <c r="AM255" i="1" s="1"/>
  <c r="AJ37" i="1"/>
  <c r="AK46" i="1"/>
  <c r="AL75" i="1"/>
  <c r="AM45" i="1"/>
  <c r="F48" i="1"/>
  <c r="BX169" i="1"/>
  <c r="T69" i="1"/>
  <c r="H48" i="1"/>
  <c r="M69" i="1"/>
  <c r="W75" i="1"/>
  <c r="BX167" i="1"/>
  <c r="BY167" i="1" s="1"/>
  <c r="BX143" i="1"/>
  <c r="BY143" i="1" s="1"/>
  <c r="BX161" i="1"/>
  <c r="BY161" i="1" s="1"/>
  <c r="H32" i="1"/>
  <c r="H255" i="1" s="1"/>
  <c r="M48" i="1"/>
  <c r="BL98" i="1"/>
  <c r="BX157" i="1"/>
  <c r="R49" i="1"/>
  <c r="P60" i="1"/>
  <c r="I75" i="1"/>
  <c r="C56" i="1"/>
  <c r="P48" i="1"/>
  <c r="M63" i="1"/>
  <c r="D60" i="1"/>
  <c r="D276" i="1" s="1"/>
  <c r="O37" i="1"/>
  <c r="L75" i="1"/>
  <c r="O46" i="1"/>
  <c r="C59" i="1"/>
  <c r="J75" i="1"/>
  <c r="N49" i="1"/>
  <c r="B56" i="1"/>
  <c r="B46" i="1"/>
  <c r="L70" i="1"/>
  <c r="P45" i="1"/>
  <c r="N70" i="1"/>
  <c r="H49" i="1"/>
  <c r="G63" i="1"/>
  <c r="K33" i="1"/>
  <c r="P75" i="1"/>
  <c r="I48" i="1"/>
  <c r="D69" i="1"/>
  <c r="K71" i="1"/>
  <c r="N48" i="1"/>
  <c r="G45" i="1"/>
  <c r="E49" i="1"/>
  <c r="E63" i="1"/>
  <c r="Q63" i="1"/>
  <c r="D48" i="1"/>
  <c r="BX149" i="1"/>
  <c r="BY149" i="1" s="1"/>
  <c r="R71" i="1"/>
  <c r="R44" i="1"/>
  <c r="U63" i="1"/>
  <c r="M39" i="1"/>
  <c r="I71" i="1"/>
  <c r="BX148" i="1"/>
  <c r="BY148" i="1" s="1"/>
  <c r="S59" i="1"/>
  <c r="M59" i="1"/>
  <c r="B71" i="1"/>
  <c r="W45" i="1"/>
  <c r="H70" i="1"/>
  <c r="O71" i="1"/>
  <c r="P47" i="1"/>
  <c r="N71" i="1"/>
  <c r="J63" i="1"/>
  <c r="O45" i="1"/>
  <c r="J60" i="1"/>
  <c r="D75" i="1"/>
  <c r="R59" i="1"/>
  <c r="U44" i="1"/>
  <c r="H39" i="1"/>
  <c r="S70" i="1"/>
  <c r="P37" i="1"/>
  <c r="M60" i="1"/>
  <c r="M71" i="1"/>
  <c r="N56" i="1"/>
  <c r="N218" i="1" s="1"/>
  <c r="K48" i="1"/>
  <c r="I56" i="1"/>
  <c r="I218" i="1" s="1"/>
  <c r="G39" i="1"/>
  <c r="C32" i="1"/>
  <c r="C255" i="1" s="1"/>
  <c r="V60" i="1"/>
  <c r="V276" i="1" s="1"/>
  <c r="AL179" i="1"/>
  <c r="AM179" i="1" s="1"/>
  <c r="AL98" i="1"/>
  <c r="BJ187" i="1"/>
  <c r="BK187" i="1" s="1"/>
  <c r="BJ178" i="1"/>
  <c r="BK178" i="1" s="1"/>
  <c r="BJ168" i="1"/>
  <c r="AJ148" i="1"/>
  <c r="AK148" i="1" s="1"/>
  <c r="AJ187" i="1"/>
  <c r="AK187" i="1" s="1"/>
  <c r="AJ151" i="1"/>
  <c r="AK151" i="1" s="1"/>
  <c r="AJ183" i="1"/>
  <c r="BJ151" i="1"/>
  <c r="BK151" i="1" s="1"/>
  <c r="AJ146" i="1"/>
  <c r="AK146" i="1" s="1"/>
  <c r="AL169" i="1"/>
  <c r="AL174" i="1"/>
  <c r="AM174" i="1" s="1"/>
  <c r="AL166" i="1"/>
  <c r="AM166" i="1" s="1"/>
  <c r="AL155" i="1"/>
  <c r="AL149" i="1"/>
  <c r="AM149" i="1" s="1"/>
  <c r="AL188" i="1"/>
  <c r="AM188" i="1" s="1"/>
  <c r="AL173" i="1"/>
  <c r="AM173" i="1" s="1"/>
  <c r="AL143" i="1"/>
  <c r="BJ183" i="1"/>
  <c r="BJ184" i="1"/>
  <c r="BJ171" i="1"/>
  <c r="BK171" i="1" s="1"/>
  <c r="BJ173" i="1"/>
  <c r="AJ174" i="1"/>
  <c r="AK174" i="1" s="1"/>
  <c r="AJ177" i="1"/>
  <c r="AJ175" i="1"/>
  <c r="AK175" i="1" s="1"/>
  <c r="AL159" i="1"/>
  <c r="AM159" i="1" s="1"/>
  <c r="BJ179" i="1"/>
  <c r="BK179" i="1" s="1"/>
  <c r="AJ173" i="1"/>
  <c r="AK173" i="1" s="1"/>
  <c r="BJ148" i="1"/>
  <c r="BK148" i="1" s="1"/>
  <c r="AL157" i="1"/>
  <c r="AL187" i="1"/>
  <c r="AM187" i="1" s="1"/>
  <c r="BJ155" i="1"/>
  <c r="BJ169" i="1"/>
  <c r="BJ188" i="1"/>
  <c r="AJ176" i="1"/>
  <c r="AK176" i="1" s="1"/>
  <c r="AJ166" i="1"/>
  <c r="AK166" i="1" s="1"/>
  <c r="AJ178" i="1"/>
  <c r="AK178" i="1" s="1"/>
  <c r="AL175" i="1"/>
  <c r="AM175" i="1" s="1"/>
  <c r="BJ143" i="1"/>
  <c r="AL146" i="1"/>
  <c r="AM146" i="1" s="1"/>
  <c r="BJ150" i="1"/>
  <c r="BK150" i="1" s="1"/>
  <c r="AL177" i="1"/>
  <c r="AL170" i="1"/>
  <c r="AM170" i="1" s="1"/>
  <c r="AL176" i="1"/>
  <c r="AM176" i="1" s="1"/>
  <c r="AL183" i="1"/>
  <c r="AL168" i="1"/>
  <c r="BJ164" i="1"/>
  <c r="BK164" i="1" s="1"/>
  <c r="BL226" i="1" s="1"/>
  <c r="BJ176" i="1"/>
  <c r="BK176" i="1" s="1"/>
  <c r="BJ159" i="1"/>
  <c r="BK159" i="1" s="1"/>
  <c r="BJ149" i="1"/>
  <c r="BK149" i="1" s="1"/>
  <c r="BJ166" i="1"/>
  <c r="BK166" i="1" s="1"/>
  <c r="BJ156" i="1"/>
  <c r="AJ157" i="1"/>
  <c r="AJ168" i="1"/>
  <c r="AJ169" i="1"/>
  <c r="AJ184" i="1"/>
  <c r="AJ143" i="1"/>
  <c r="AJ170" i="1"/>
  <c r="AK170" i="1" s="1"/>
  <c r="AJ149" i="1"/>
  <c r="AK149" i="1" s="1"/>
  <c r="AL178" i="1"/>
  <c r="AM178" i="1" s="1"/>
  <c r="AL141" i="1"/>
  <c r="AM141" i="1" s="1"/>
  <c r="BJ170" i="1"/>
  <c r="BK170" i="1" s="1"/>
  <c r="AJ141" i="1"/>
  <c r="AK141" i="1" s="1"/>
  <c r="AL150" i="1"/>
  <c r="AM150" i="1" s="1"/>
  <c r="AL142" i="1"/>
  <c r="AM142" i="1" s="1"/>
  <c r="AL148" i="1"/>
  <c r="AM148" i="1" s="1"/>
  <c r="AL156" i="1"/>
  <c r="AL184" i="1"/>
  <c r="AL151" i="1"/>
  <c r="AM151" i="1" s="1"/>
  <c r="AL97" i="1"/>
  <c r="AL171" i="1"/>
  <c r="AM171" i="1" s="1"/>
  <c r="BJ142" i="1"/>
  <c r="BK142" i="1" s="1"/>
  <c r="BJ177" i="1"/>
  <c r="BJ174" i="1"/>
  <c r="BK174" i="1" s="1"/>
  <c r="BJ157" i="1"/>
  <c r="BJ175" i="1"/>
  <c r="BK175" i="1" s="1"/>
  <c r="AJ188" i="1"/>
  <c r="AK188" i="1" s="1"/>
  <c r="AJ150" i="1"/>
  <c r="AK150" i="1" s="1"/>
  <c r="AJ156" i="1"/>
  <c r="AJ179" i="1"/>
  <c r="AK179" i="1" s="1"/>
  <c r="AJ142" i="1"/>
  <c r="AK142" i="1" s="1"/>
  <c r="AJ164" i="1"/>
  <c r="AK164" i="1" s="1"/>
  <c r="AL164" i="1"/>
  <c r="AM164" i="1" s="1"/>
  <c r="AM226" i="1" s="1"/>
  <c r="BJ146" i="1"/>
  <c r="BK146" i="1" s="1"/>
  <c r="BJ141" i="1"/>
  <c r="AJ155" i="1"/>
  <c r="AJ159" i="1"/>
  <c r="AK159" i="1" s="1"/>
  <c r="AJ171" i="1"/>
  <c r="AK171" i="1" s="1"/>
  <c r="AJ167" i="1"/>
  <c r="AK167" i="1" s="1"/>
  <c r="AJ161" i="1"/>
  <c r="AK161" i="1" s="1"/>
  <c r="AL161" i="1"/>
  <c r="AM161" i="1" s="1"/>
  <c r="BJ161" i="1"/>
  <c r="BK161" i="1" s="1"/>
  <c r="BJ167" i="1"/>
  <c r="AL167" i="1"/>
  <c r="IL15" i="4"/>
  <c r="IC14" i="4"/>
  <c r="IF14" i="4"/>
  <c r="HQ8" i="4"/>
  <c r="JC7" i="4"/>
  <c r="JC8" i="4"/>
  <c r="HP14" i="4"/>
  <c r="HP15" i="4"/>
  <c r="JH7" i="4"/>
  <c r="IF21" i="4"/>
  <c r="AZ101" i="1" s="1"/>
  <c r="JD7" i="4"/>
  <c r="IZ7" i="4"/>
  <c r="IV14" i="4"/>
  <c r="IW14" i="4"/>
  <c r="IU15" i="4"/>
  <c r="HP8" i="4"/>
  <c r="IU8" i="4"/>
  <c r="IA14" i="4"/>
  <c r="II15" i="4"/>
  <c r="ID8" i="4"/>
  <c r="HY7" i="4"/>
  <c r="IQ8" i="4"/>
  <c r="HU8" i="4"/>
  <c r="IW7" i="4"/>
  <c r="IB15" i="4"/>
  <c r="JE14" i="4"/>
  <c r="IB7" i="4"/>
  <c r="JA14" i="4"/>
  <c r="HX14" i="4"/>
  <c r="JF7" i="4"/>
  <c r="HX8" i="4"/>
  <c r="HQ14" i="4"/>
  <c r="IU14" i="4"/>
  <c r="JI8" i="4"/>
  <c r="JD14" i="4"/>
  <c r="JE8" i="4"/>
  <c r="IN14" i="4"/>
  <c r="IZ14" i="4"/>
  <c r="IA8" i="4"/>
  <c r="IO7" i="4"/>
  <c r="IZ15" i="4"/>
  <c r="IY14" i="4"/>
  <c r="JG7" i="4"/>
  <c r="HW8" i="4"/>
  <c r="IH8" i="4"/>
  <c r="HU7" i="4"/>
  <c r="JE7" i="4"/>
  <c r="IC8" i="4"/>
  <c r="II14" i="4"/>
  <c r="IJ14" i="4"/>
  <c r="IA7" i="4"/>
  <c r="IB8" i="4"/>
  <c r="HP7" i="4"/>
  <c r="ID7" i="4"/>
  <c r="HQ15" i="4"/>
  <c r="JA15" i="4"/>
  <c r="HW14" i="4"/>
  <c r="HU15" i="4"/>
  <c r="IT7" i="4"/>
  <c r="IQ7" i="4"/>
  <c r="IH7" i="4"/>
  <c r="JF14" i="4"/>
  <c r="IF8" i="4"/>
  <c r="JH14" i="4"/>
  <c r="CN87" i="1"/>
  <c r="CM89" i="1"/>
  <c r="JD15" i="4"/>
  <c r="HU14" i="4"/>
  <c r="JG14" i="4"/>
  <c r="HW15" i="4"/>
  <c r="HR7" i="4"/>
  <c r="IN15" i="4"/>
  <c r="IQ15" i="4"/>
  <c r="IQ20" i="4" s="1"/>
  <c r="BK103" i="1" s="1"/>
  <c r="BK132" i="1" s="1"/>
  <c r="IE14" i="4"/>
  <c r="IE8" i="4"/>
  <c r="HS8" i="4"/>
  <c r="IP14" i="4"/>
  <c r="HS15" i="4"/>
  <c r="HY8" i="4"/>
  <c r="IJ7" i="4"/>
  <c r="IG14" i="4"/>
  <c r="IV8" i="4"/>
  <c r="JC14" i="4"/>
  <c r="JC19" i="4" s="1"/>
  <c r="BW102" i="1" s="1"/>
  <c r="BW131" i="1" s="1"/>
  <c r="IL7" i="4"/>
  <c r="JG8" i="4"/>
  <c r="IC7" i="4"/>
  <c r="JI14" i="4"/>
  <c r="HZ7" i="4"/>
  <c r="JA8" i="4"/>
  <c r="HV7" i="4"/>
  <c r="HX7" i="4"/>
  <c r="IY15" i="4"/>
  <c r="HY14" i="4"/>
  <c r="IA15" i="4"/>
  <c r="IV15" i="4"/>
  <c r="IV20" i="4" s="1"/>
  <c r="BP103" i="1" s="1"/>
  <c r="BP132" i="1" s="1"/>
  <c r="IY8" i="4"/>
  <c r="HX15" i="4"/>
  <c r="JI7" i="4"/>
  <c r="HV15" i="4"/>
  <c r="IE15" i="4"/>
  <c r="IE20" i="4" s="1"/>
  <c r="AY103" i="1" s="1"/>
  <c r="AY132" i="1" s="1"/>
  <c r="IL14" i="4"/>
  <c r="HR15" i="4"/>
  <c r="IU7" i="4"/>
  <c r="IK15" i="4"/>
  <c r="IF7" i="4"/>
  <c r="JF15" i="4"/>
  <c r="IW8" i="4"/>
  <c r="IP15" i="4"/>
  <c r="IK8" i="4"/>
  <c r="JA7" i="4"/>
  <c r="JB7" i="4"/>
  <c r="IE7" i="4"/>
  <c r="JD8" i="4"/>
  <c r="IG8" i="4"/>
  <c r="HZ8" i="4"/>
  <c r="HZ14" i="4"/>
  <c r="IN7" i="4"/>
  <c r="IT15" i="4"/>
  <c r="HT14" i="4"/>
  <c r="IK14" i="4"/>
  <c r="HT7" i="4"/>
  <c r="IH15" i="4"/>
  <c r="IL8" i="4"/>
  <c r="IL20" i="4" s="1"/>
  <c r="BF103" i="1" s="1"/>
  <c r="BF132" i="1" s="1"/>
  <c r="IR8" i="4"/>
  <c r="HS14" i="4"/>
  <c r="IB14" i="4"/>
  <c r="IB19" i="4" s="1"/>
  <c r="AV102" i="1" s="1"/>
  <c r="AV131" i="1" s="1"/>
  <c r="HW7" i="4"/>
  <c r="IT8" i="4"/>
  <c r="HS7" i="4"/>
  <c r="HT8" i="4"/>
  <c r="HT20" i="4" s="1"/>
  <c r="AN103" i="1" s="1"/>
  <c r="AN132" i="1" s="1"/>
  <c r="JB14" i="4"/>
  <c r="JF8" i="4"/>
  <c r="II7" i="4"/>
  <c r="IY7" i="4"/>
  <c r="IS7" i="4"/>
  <c r="IK7" i="4"/>
  <c r="IX14" i="4"/>
  <c r="IS15" i="4"/>
  <c r="IQ14" i="4"/>
  <c r="IS14" i="4"/>
  <c r="IO14" i="4"/>
  <c r="IO19" i="4" s="1"/>
  <c r="BI102" i="1" s="1"/>
  <c r="BI131" i="1" s="1"/>
  <c r="HR14" i="4"/>
  <c r="JB8" i="4"/>
  <c r="IA21" i="4"/>
  <c r="AU101" i="1" s="1"/>
  <c r="IW15" i="4"/>
  <c r="IW20" i="4" s="1"/>
  <c r="BQ103" i="1" s="1"/>
  <c r="BQ132" i="1" s="1"/>
  <c r="IX7" i="4"/>
  <c r="JH15" i="4"/>
  <c r="IC15" i="4"/>
  <c r="IC20" i="4" s="1"/>
  <c r="AW103" i="1" s="1"/>
  <c r="AW132" i="1" s="1"/>
  <c r="JB15" i="4"/>
  <c r="JB20" i="4" s="1"/>
  <c r="BV103" i="1" s="1"/>
  <c r="BV132" i="1" s="1"/>
  <c r="HV14" i="4"/>
  <c r="IO8" i="4"/>
  <c r="IJ15" i="4"/>
  <c r="CM56" i="1"/>
  <c r="AB101" i="1"/>
  <c r="CQ101" i="1"/>
  <c r="AC164" i="1"/>
  <c r="AJ207" i="1" l="1"/>
  <c r="BJ207" i="1"/>
  <c r="BK207" i="1" s="1"/>
  <c r="AL276" i="1"/>
  <c r="G276" i="1"/>
  <c r="BX34" i="1"/>
  <c r="S276" i="1"/>
  <c r="K276" i="1"/>
  <c r="J276" i="1"/>
  <c r="BJ204" i="1"/>
  <c r="BK204" i="1" s="1"/>
  <c r="C276" i="1"/>
  <c r="P34" i="1"/>
  <c r="N276" i="1"/>
  <c r="T34" i="1"/>
  <c r="T276" i="1"/>
  <c r="K277" i="1"/>
  <c r="G207" i="1"/>
  <c r="B276" i="1"/>
  <c r="C50" i="1"/>
  <c r="L277" i="1"/>
  <c r="L276" i="1"/>
  <c r="Q276" i="1"/>
  <c r="F34" i="1"/>
  <c r="AM50" i="1"/>
  <c r="P276" i="1"/>
  <c r="K50" i="1"/>
  <c r="AL204" i="1"/>
  <c r="AM204" i="1" s="1"/>
  <c r="T277" i="1"/>
  <c r="AL207" i="1"/>
  <c r="AM207" i="1" s="1"/>
  <c r="AL203" i="1"/>
  <c r="AM203" i="1" s="1"/>
  <c r="AJ203" i="1"/>
  <c r="M277" i="1"/>
  <c r="BX276" i="1"/>
  <c r="R276" i="1"/>
  <c r="P207" i="1"/>
  <c r="V40" i="1"/>
  <c r="BY152" i="1"/>
  <c r="IN20" i="4"/>
  <c r="BH103" i="1" s="1"/>
  <c r="BH132" i="1" s="1"/>
  <c r="IE19" i="4"/>
  <c r="AY102" i="1" s="1"/>
  <c r="AY131" i="1" s="1"/>
  <c r="IG19" i="4"/>
  <c r="BA102" i="1" s="1"/>
  <c r="BA131" i="1" s="1"/>
  <c r="IC19" i="4"/>
  <c r="AW102" i="1" s="1"/>
  <c r="AW131" i="1" s="1"/>
  <c r="HX19" i="4"/>
  <c r="AR102" i="1" s="1"/>
  <c r="AR131" i="1" s="1"/>
  <c r="HR20" i="4"/>
  <c r="AL103" i="1" s="1"/>
  <c r="IG20" i="4"/>
  <c r="BA103" i="1" s="1"/>
  <c r="BA132" i="1" s="1"/>
  <c r="IH20" i="4"/>
  <c r="BB103" i="1" s="1"/>
  <c r="BB132" i="1" s="1"/>
  <c r="Q34" i="1"/>
  <c r="II19" i="4"/>
  <c r="BC102" i="1" s="1"/>
  <c r="BC131" i="1" s="1"/>
  <c r="AJ34" i="1"/>
  <c r="G34" i="1"/>
  <c r="S34" i="1"/>
  <c r="S40" i="1" s="1"/>
  <c r="S41" i="1" s="1"/>
  <c r="O276" i="1"/>
  <c r="R34" i="1"/>
  <c r="M34" i="1"/>
  <c r="AL277" i="1"/>
  <c r="IJ20" i="4"/>
  <c r="BD103" i="1" s="1"/>
  <c r="BD132" i="1" s="1"/>
  <c r="W218" i="1"/>
  <c r="H34" i="1"/>
  <c r="H40" i="1" s="1"/>
  <c r="H41" i="1" s="1"/>
  <c r="I276" i="1"/>
  <c r="H276" i="1"/>
  <c r="AJ40" i="1"/>
  <c r="AJ41" i="1" s="1"/>
  <c r="B277" i="1"/>
  <c r="AJ61" i="1"/>
  <c r="BX185" i="1"/>
  <c r="V50" i="1"/>
  <c r="V51" i="1" s="1"/>
  <c r="B50" i="1"/>
  <c r="D50" i="1"/>
  <c r="W35" i="1"/>
  <c r="M276" i="1"/>
  <c r="BX158" i="1"/>
  <c r="W40" i="1"/>
  <c r="X35" i="1"/>
  <c r="BX203" i="1"/>
  <c r="BY203" i="1" s="1"/>
  <c r="T50" i="1"/>
  <c r="U40" i="1"/>
  <c r="C34" i="1"/>
  <c r="N50" i="1"/>
  <c r="J277" i="1"/>
  <c r="P40" i="1"/>
  <c r="S277" i="1"/>
  <c r="W212" i="1"/>
  <c r="E34" i="1"/>
  <c r="D34" i="1"/>
  <c r="U50" i="1"/>
  <c r="S50" i="1"/>
  <c r="H50" i="1"/>
  <c r="BX255" i="1"/>
  <c r="BX204" i="1"/>
  <c r="BY204" i="1" s="1"/>
  <c r="N34" i="1"/>
  <c r="AK50" i="1"/>
  <c r="BX277" i="1"/>
  <c r="BJ203" i="1"/>
  <c r="BK203" i="1" s="1"/>
  <c r="J50" i="1"/>
  <c r="G50" i="1"/>
  <c r="IS20" i="4"/>
  <c r="BM103" i="1" s="1"/>
  <c r="BM132" i="1" s="1"/>
  <c r="AJ50" i="1"/>
  <c r="E50" i="1"/>
  <c r="E51" i="1" s="1"/>
  <c r="P50" i="1"/>
  <c r="BX180" i="1"/>
  <c r="BX209" i="1" s="1"/>
  <c r="BX208" i="1" s="1"/>
  <c r="R50" i="1"/>
  <c r="O50" i="1"/>
  <c r="M50" i="1"/>
  <c r="AL50" i="1"/>
  <c r="F50" i="1"/>
  <c r="W50" i="1"/>
  <c r="W51" i="1" s="1"/>
  <c r="Q50" i="1"/>
  <c r="BX50" i="1"/>
  <c r="BX51" i="1" s="1"/>
  <c r="L50" i="1"/>
  <c r="I50" i="1"/>
  <c r="O277" i="1"/>
  <c r="R277" i="1"/>
  <c r="BY144" i="1"/>
  <c r="BY116" i="1" s="1"/>
  <c r="AM276" i="1"/>
  <c r="H277" i="1"/>
  <c r="I277" i="1"/>
  <c r="BX152" i="1"/>
  <c r="L218" i="1"/>
  <c r="AM122" i="1"/>
  <c r="AM123" i="1" s="1"/>
  <c r="AM277" i="1"/>
  <c r="D255" i="1"/>
  <c r="N277" i="1"/>
  <c r="AM34" i="1"/>
  <c r="BX144" i="1"/>
  <c r="BX116" i="1" s="1"/>
  <c r="D277" i="1"/>
  <c r="I34" i="1"/>
  <c r="I40" i="1" s="1"/>
  <c r="U218" i="1"/>
  <c r="BX172" i="1"/>
  <c r="BX206" i="1" s="1"/>
  <c r="BJ185" i="1"/>
  <c r="BK233" i="1" s="1"/>
  <c r="BJ158" i="1"/>
  <c r="BK152" i="1"/>
  <c r="BK141" i="1"/>
  <c r="BJ144" i="1"/>
  <c r="AJ185" i="1"/>
  <c r="AK233" i="1" s="1"/>
  <c r="AM152" i="1"/>
  <c r="AL185" i="1"/>
  <c r="AM233" i="1" s="1"/>
  <c r="BJ180" i="1"/>
  <c r="BJ209" i="1" s="1"/>
  <c r="AL158" i="1"/>
  <c r="AM158" i="1" s="1"/>
  <c r="AM162" i="1" s="1"/>
  <c r="IV21" i="4"/>
  <c r="BP101" i="1" s="1"/>
  <c r="JF16" i="4"/>
  <c r="HV16" i="4"/>
  <c r="JA21" i="4"/>
  <c r="BU101" i="1" s="1"/>
  <c r="HX16" i="4"/>
  <c r="IM21" i="4"/>
  <c r="BG101" i="1" s="1"/>
  <c r="HV9" i="4"/>
  <c r="JB16" i="4" s="1"/>
  <c r="IE16" i="4"/>
  <c r="IZ16" i="4"/>
  <c r="HS21" i="4"/>
  <c r="AM101" i="1" s="1"/>
  <c r="IR7" i="4"/>
  <c r="IU16" i="4" s="1"/>
  <c r="IN16" i="4" s="1"/>
  <c r="IK21" i="4"/>
  <c r="BE101" i="1" s="1"/>
  <c r="JI16" i="4"/>
  <c r="JC21" i="4"/>
  <c r="BW101" i="1" s="1"/>
  <c r="HZ16" i="4"/>
  <c r="K34" i="1"/>
  <c r="K255" i="1"/>
  <c r="L34" i="1"/>
  <c r="L255" i="1"/>
  <c r="V35" i="1"/>
  <c r="V212" i="1"/>
  <c r="V122" i="1"/>
  <c r="IL16" i="4"/>
  <c r="AJ57" i="1"/>
  <c r="AJ218" i="1"/>
  <c r="G277" i="1"/>
  <c r="G218" i="1"/>
  <c r="AL34" i="1"/>
  <c r="AL40" i="1" s="1"/>
  <c r="AL41" i="1" s="1"/>
  <c r="AL255" i="1"/>
  <c r="O34" i="1"/>
  <c r="O255" i="1"/>
  <c r="F277" i="1"/>
  <c r="F218" i="1"/>
  <c r="Q277" i="1"/>
  <c r="Q218" i="1"/>
  <c r="P277" i="1"/>
  <c r="P218" i="1"/>
  <c r="B34" i="1"/>
  <c r="B255" i="1"/>
  <c r="X212" i="1"/>
  <c r="W122" i="1"/>
  <c r="IR9" i="4" s="1"/>
  <c r="IY16" i="4" s="1"/>
  <c r="IY21" i="4" s="1"/>
  <c r="BS101" i="1" s="1"/>
  <c r="IE9" i="4" s="1"/>
  <c r="IN9" i="4" s="1"/>
  <c r="IM8" i="4" s="1"/>
  <c r="IP16" i="4" s="1"/>
  <c r="IP21" i="4" s="1"/>
  <c r="BJ101" i="1" s="1"/>
  <c r="J255" i="1"/>
  <c r="J34" i="1"/>
  <c r="AK255" i="1"/>
  <c r="AK34" i="1"/>
  <c r="V277" i="1"/>
  <c r="V218" i="1"/>
  <c r="C277" i="1"/>
  <c r="C218" i="1"/>
  <c r="Q207" i="1"/>
  <c r="HR19" i="4"/>
  <c r="AL102" i="1" s="1"/>
  <c r="IK20" i="4"/>
  <c r="BE103" i="1" s="1"/>
  <c r="BE132" i="1" s="1"/>
  <c r="JF20" i="4"/>
  <c r="BZ103" i="1" s="1"/>
  <c r="HZ19" i="4"/>
  <c r="AT102" i="1" s="1"/>
  <c r="AT131" i="1" s="1"/>
  <c r="IT20" i="4"/>
  <c r="BN103" i="1" s="1"/>
  <c r="BN132" i="1" s="1"/>
  <c r="HT19" i="4"/>
  <c r="AN102" i="1" s="1"/>
  <c r="AN131" i="1" s="1"/>
  <c r="HS19" i="4"/>
  <c r="AM102" i="1" s="1"/>
  <c r="BK173" i="1"/>
  <c r="BJ152" i="1"/>
  <c r="AJ152" i="1"/>
  <c r="AL180" i="1"/>
  <c r="AL209" i="1" s="1"/>
  <c r="AJ226" i="1"/>
  <c r="AL144" i="1"/>
  <c r="AL152" i="1"/>
  <c r="AI220" i="1"/>
  <c r="AI222" i="1" s="1"/>
  <c r="AJ158" i="1"/>
  <c r="AK57" i="1" s="1"/>
  <c r="AJ172" i="1"/>
  <c r="AJ204" i="1"/>
  <c r="AK204" i="1" s="1"/>
  <c r="AK152" i="1"/>
  <c r="AJ144" i="1"/>
  <c r="AJ180" i="1"/>
  <c r="BK167" i="1"/>
  <c r="BJ172" i="1"/>
  <c r="AM167" i="1"/>
  <c r="AL172" i="1"/>
  <c r="HX20" i="4"/>
  <c r="AR103" i="1" s="1"/>
  <c r="AR132" i="1" s="1"/>
  <c r="CB118" i="1"/>
  <c r="CB126" i="1"/>
  <c r="CB109" i="1"/>
  <c r="HP20" i="4"/>
  <c r="AJ103" i="1" s="1"/>
  <c r="IU20" i="4"/>
  <c r="BO103" i="1" s="1"/>
  <c r="BO132" i="1" s="1"/>
  <c r="ID20" i="4"/>
  <c r="AX103" i="1" s="1"/>
  <c r="AX132" i="1" s="1"/>
  <c r="IL19" i="4"/>
  <c r="BF102" i="1" s="1"/>
  <c r="BF131" i="1" s="1"/>
  <c r="JF19" i="4"/>
  <c r="BZ102" i="1" s="1"/>
  <c r="IF19" i="4"/>
  <c r="AZ102" i="1" s="1"/>
  <c r="AZ131" i="1" s="1"/>
  <c r="JA19" i="4"/>
  <c r="BU102" i="1" s="1"/>
  <c r="BU131" i="1" s="1"/>
  <c r="JD19" i="4"/>
  <c r="BX102" i="1" s="1"/>
  <c r="JE20" i="4"/>
  <c r="BY103" i="1" s="1"/>
  <c r="BY132" i="1" s="1"/>
  <c r="IA19" i="4"/>
  <c r="AU102" i="1" s="1"/>
  <c r="AU131" i="1" s="1"/>
  <c r="II20" i="4"/>
  <c r="BC103" i="1" s="1"/>
  <c r="BC132" i="1" s="1"/>
  <c r="JG20" i="4"/>
  <c r="CA103" i="1" s="1"/>
  <c r="HQ20" i="4"/>
  <c r="AK103" i="1" s="1"/>
  <c r="JH19" i="4"/>
  <c r="CB102" i="1" s="1"/>
  <c r="HY20" i="4"/>
  <c r="AS103" i="1" s="1"/>
  <c r="AS132" i="1" s="1"/>
  <c r="IN19" i="4"/>
  <c r="BH102" i="1" s="1"/>
  <c r="BH131" i="1" s="1"/>
  <c r="JI19" i="4"/>
  <c r="CC102" i="1" s="1"/>
  <c r="IV19" i="4"/>
  <c r="BP102" i="1" s="1"/>
  <c r="BP131" i="1" s="1"/>
  <c r="IS19" i="4"/>
  <c r="BM102" i="1" s="1"/>
  <c r="BM131" i="1" s="1"/>
  <c r="HP19" i="4"/>
  <c r="AJ102" i="1" s="1"/>
  <c r="HU20" i="4"/>
  <c r="AO103" i="1" s="1"/>
  <c r="AO132" i="1" s="1"/>
  <c r="JA20" i="4"/>
  <c r="BU103" i="1" s="1"/>
  <c r="BU132" i="1" s="1"/>
  <c r="IZ19" i="4"/>
  <c r="BT102" i="1" s="1"/>
  <c r="BT131" i="1" s="1"/>
  <c r="IY19" i="4"/>
  <c r="BS102" i="1" s="1"/>
  <c r="BS131" i="1" s="1"/>
  <c r="JG19" i="4"/>
  <c r="CA102" i="1" s="1"/>
  <c r="IW19" i="4"/>
  <c r="BQ102" i="1" s="1"/>
  <c r="BQ131" i="1" s="1"/>
  <c r="IY20" i="4"/>
  <c r="BS103" i="1" s="1"/>
  <c r="BS132" i="1" s="1"/>
  <c r="IF20" i="4"/>
  <c r="AZ103" i="1" s="1"/>
  <c r="AZ132" i="1" s="1"/>
  <c r="IU19" i="4"/>
  <c r="BO102" i="1" s="1"/>
  <c r="BO131" i="1" s="1"/>
  <c r="IQ19" i="4"/>
  <c r="BK102" i="1" s="1"/>
  <c r="BK131" i="1" s="1"/>
  <c r="IJ19" i="4"/>
  <c r="BD102" i="1" s="1"/>
  <c r="BD131" i="1" s="1"/>
  <c r="HY19" i="4"/>
  <c r="AS102" i="1" s="1"/>
  <c r="AS131" i="1" s="1"/>
  <c r="IB20" i="4"/>
  <c r="AV103" i="1" s="1"/>
  <c r="AV132" i="1" s="1"/>
  <c r="HW19" i="4"/>
  <c r="AQ102" i="1" s="1"/>
  <c r="AQ131" i="1" s="1"/>
  <c r="HS20" i="4"/>
  <c r="AM103" i="1" s="1"/>
  <c r="JB19" i="4"/>
  <c r="BV102" i="1" s="1"/>
  <c r="BV131" i="1" s="1"/>
  <c r="HW20" i="4"/>
  <c r="AQ103" i="1" s="1"/>
  <c r="AQ132" i="1" s="1"/>
  <c r="HU19" i="4"/>
  <c r="AO102" i="1" s="1"/>
  <c r="AO131" i="1" s="1"/>
  <c r="JE19" i="4"/>
  <c r="BY102" i="1" s="1"/>
  <c r="IK19" i="4"/>
  <c r="BE102" i="1" s="1"/>
  <c r="BE131" i="1" s="1"/>
  <c r="JD20" i="4"/>
  <c r="BX103" i="1" s="1"/>
  <c r="BX132" i="1" s="1"/>
  <c r="IA20" i="4"/>
  <c r="AU103" i="1" s="1"/>
  <c r="AU132" i="1" s="1"/>
  <c r="IT19" i="4"/>
  <c r="BN102" i="1" s="1"/>
  <c r="BN131" i="1" s="1"/>
  <c r="AL226" i="1"/>
  <c r="AK226" i="1"/>
  <c r="BK226" i="1"/>
  <c r="BY226" i="1"/>
  <c r="CN89" i="1"/>
  <c r="CO87" i="1"/>
  <c r="F276" i="1"/>
  <c r="IX19" i="4"/>
  <c r="BR102" i="1" s="1"/>
  <c r="BR131" i="1" s="1"/>
  <c r="HV19" i="4"/>
  <c r="AP102" i="1" s="1"/>
  <c r="AP131" i="1" s="1"/>
  <c r="CM128" i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M218" i="1"/>
  <c r="CM156" i="1"/>
  <c r="CM158" i="1" s="1"/>
  <c r="CM162" i="1" s="1"/>
  <c r="CM227" i="1" s="1"/>
  <c r="CM225" i="1" s="1"/>
  <c r="CR101" i="1"/>
  <c r="AC226" i="1"/>
  <c r="AB173" i="1"/>
  <c r="AB141" i="1"/>
  <c r="CO89" i="1"/>
  <c r="CP87" i="1"/>
  <c r="AB87" i="1" s="1"/>
  <c r="BJ208" i="1" l="1"/>
  <c r="AM126" i="1"/>
  <c r="U212" i="1"/>
  <c r="BY36" i="1"/>
  <c r="CB35" i="1"/>
  <c r="CC212" i="1"/>
  <c r="BX40" i="1"/>
  <c r="P122" i="1"/>
  <c r="T122" i="1"/>
  <c r="T40" i="1"/>
  <c r="U35" i="1"/>
  <c r="P41" i="1"/>
  <c r="CA249" i="1"/>
  <c r="N212" i="1"/>
  <c r="BZ273" i="1"/>
  <c r="BZ275" i="1" s="1"/>
  <c r="BY158" i="1"/>
  <c r="X42" i="1"/>
  <c r="Q212" i="1"/>
  <c r="M40" i="1"/>
  <c r="S35" i="1"/>
  <c r="T35" i="1"/>
  <c r="AL132" i="1"/>
  <c r="BY233" i="1"/>
  <c r="U41" i="1"/>
  <c r="S212" i="1"/>
  <c r="R212" i="1"/>
  <c r="AL208" i="1"/>
  <c r="P212" i="1"/>
  <c r="BY57" i="1"/>
  <c r="C51" i="1"/>
  <c r="M35" i="1"/>
  <c r="R40" i="1"/>
  <c r="H122" i="1"/>
  <c r="F122" i="1"/>
  <c r="F40" i="1"/>
  <c r="F41" i="1" s="1"/>
  <c r="M122" i="1"/>
  <c r="H35" i="1"/>
  <c r="G122" i="1"/>
  <c r="G40" i="1"/>
  <c r="G212" i="1"/>
  <c r="G35" i="1"/>
  <c r="H212" i="1"/>
  <c r="Q40" i="1"/>
  <c r="Q122" i="1"/>
  <c r="Q35" i="1"/>
  <c r="V52" i="1"/>
  <c r="BZ230" i="1"/>
  <c r="R122" i="1"/>
  <c r="R35" i="1"/>
  <c r="V41" i="1"/>
  <c r="BX162" i="1"/>
  <c r="V42" i="1"/>
  <c r="S122" i="1"/>
  <c r="N35" i="1"/>
  <c r="T212" i="1"/>
  <c r="W42" i="1"/>
  <c r="W41" i="1"/>
  <c r="N122" i="1"/>
  <c r="N40" i="1"/>
  <c r="D51" i="1"/>
  <c r="AL51" i="1"/>
  <c r="BY230" i="1"/>
  <c r="AJ51" i="1"/>
  <c r="BY231" i="1"/>
  <c r="AK36" i="1"/>
  <c r="E212" i="1"/>
  <c r="E122" i="1"/>
  <c r="E35" i="1"/>
  <c r="F212" i="1"/>
  <c r="F35" i="1"/>
  <c r="E40" i="1"/>
  <c r="C40" i="1"/>
  <c r="D212" i="1"/>
  <c r="D35" i="1"/>
  <c r="D40" i="1"/>
  <c r="BX272" i="1"/>
  <c r="AM40" i="1"/>
  <c r="AM51" i="1"/>
  <c r="W52" i="1"/>
  <c r="W256" i="1" s="1"/>
  <c r="W257" i="1" s="1"/>
  <c r="BX192" i="1"/>
  <c r="BX210" i="1"/>
  <c r="CB213" i="1" s="1"/>
  <c r="BX205" i="1"/>
  <c r="BX181" i="1"/>
  <c r="BY153" i="1"/>
  <c r="BZ231" i="1"/>
  <c r="I212" i="1"/>
  <c r="I122" i="1"/>
  <c r="I35" i="1"/>
  <c r="BX153" i="1"/>
  <c r="BY273" i="1"/>
  <c r="AJ52" i="1"/>
  <c r="AJ53" i="1" s="1"/>
  <c r="BK158" i="1"/>
  <c r="BJ162" i="1"/>
  <c r="BL230" i="1"/>
  <c r="BL273" i="1"/>
  <c r="BJ116" i="1"/>
  <c r="BJ272" i="1"/>
  <c r="AM57" i="1"/>
  <c r="AL162" i="1"/>
  <c r="I41" i="1"/>
  <c r="I42" i="1"/>
  <c r="AB89" i="1"/>
  <c r="AA87" i="1"/>
  <c r="IJ16" i="4"/>
  <c r="HV21" i="4"/>
  <c r="AP101" i="1" s="1"/>
  <c r="HP9" i="4"/>
  <c r="IQ16" i="4" s="1"/>
  <c r="HX21" i="4"/>
  <c r="AR101" i="1" s="1"/>
  <c r="IZ8" i="4"/>
  <c r="IZ20" i="4" s="1"/>
  <c r="BT103" i="1" s="1"/>
  <c r="BT132" i="1" s="1"/>
  <c r="JB21" i="4"/>
  <c r="BV101" i="1" s="1"/>
  <c r="HR9" i="4"/>
  <c r="HR21" i="4" s="1"/>
  <c r="AL101" i="1" s="1"/>
  <c r="IE21" i="4"/>
  <c r="AY101" i="1" s="1"/>
  <c r="IO16" i="4"/>
  <c r="IZ21" i="4"/>
  <c r="BT101" i="1" s="1"/>
  <c r="HZ9" i="4"/>
  <c r="IX15" i="4" s="1"/>
  <c r="JI21" i="4"/>
  <c r="CC101" i="1" s="1"/>
  <c r="IM7" i="4"/>
  <c r="IC9" i="4" s="1"/>
  <c r="HZ21" i="4"/>
  <c r="AT101" i="1" s="1"/>
  <c r="HQ16" i="4"/>
  <c r="HQ21" i="4" s="1"/>
  <c r="AK101" i="1" s="1"/>
  <c r="HZ15" i="4" s="1"/>
  <c r="K40" i="1"/>
  <c r="K122" i="1"/>
  <c r="K35" i="1"/>
  <c r="K212" i="1"/>
  <c r="L35" i="1"/>
  <c r="L212" i="1"/>
  <c r="L122" i="1"/>
  <c r="L40" i="1"/>
  <c r="L41" i="1" s="1"/>
  <c r="IL21" i="4"/>
  <c r="BF101" i="1" s="1"/>
  <c r="IB16" i="4"/>
  <c r="O35" i="1"/>
  <c r="O122" i="1"/>
  <c r="O40" i="1"/>
  <c r="B40" i="1"/>
  <c r="B51" i="1"/>
  <c r="J122" i="1"/>
  <c r="J40" i="1"/>
  <c r="AK40" i="1"/>
  <c r="AL36" i="1"/>
  <c r="IN21" i="4"/>
  <c r="BH101" i="1" s="1"/>
  <c r="IR15" i="4" s="1"/>
  <c r="C212" i="1"/>
  <c r="C35" i="1"/>
  <c r="AL52" i="1"/>
  <c r="AM36" i="1"/>
  <c r="P35" i="1"/>
  <c r="O212" i="1"/>
  <c r="AM249" i="1"/>
  <c r="AK51" i="1"/>
  <c r="BX119" i="1"/>
  <c r="M212" i="1"/>
  <c r="J212" i="1"/>
  <c r="J35" i="1"/>
  <c r="BK273" i="1"/>
  <c r="AJ153" i="1"/>
  <c r="AK230" i="1"/>
  <c r="AM273" i="1"/>
  <c r="AJ192" i="1"/>
  <c r="AK61" i="1" s="1"/>
  <c r="AJ230" i="1"/>
  <c r="AL116" i="1"/>
  <c r="AL120" i="1" s="1"/>
  <c r="AL272" i="1"/>
  <c r="AL230" i="1"/>
  <c r="AM230" i="1"/>
  <c r="AJ221" i="1"/>
  <c r="AJ209" i="1"/>
  <c r="AK158" i="1"/>
  <c r="AL192" i="1"/>
  <c r="AJ181" i="1"/>
  <c r="BJ153" i="1"/>
  <c r="BJ192" i="1"/>
  <c r="BJ133" i="1" s="1"/>
  <c r="AJ162" i="1"/>
  <c r="BK230" i="1"/>
  <c r="AL273" i="1"/>
  <c r="AL153" i="1"/>
  <c r="AJ220" i="1"/>
  <c r="AJ206" i="1"/>
  <c r="BJ206" i="1"/>
  <c r="BJ181" i="1"/>
  <c r="AL206" i="1"/>
  <c r="AL181" i="1"/>
  <c r="AM127" i="1"/>
  <c r="AM131" i="1"/>
  <c r="BZ119" i="1"/>
  <c r="BZ113" i="1"/>
  <c r="BZ131" i="1"/>
  <c r="BZ134" i="1" s="1"/>
  <c r="AM132" i="1"/>
  <c r="AM128" i="1"/>
  <c r="BX113" i="1"/>
  <c r="BX131" i="1"/>
  <c r="CA120" i="1"/>
  <c r="CA132" i="1"/>
  <c r="CA128" i="1"/>
  <c r="CB110" i="1"/>
  <c r="CB127" i="1"/>
  <c r="CB119" i="1"/>
  <c r="CC119" i="1"/>
  <c r="CC131" i="1"/>
  <c r="CC127" i="1"/>
  <c r="CC110" i="1"/>
  <c r="CF114" i="1" s="1"/>
  <c r="AL131" i="1"/>
  <c r="BZ132" i="1"/>
  <c r="BZ135" i="1" s="1"/>
  <c r="BZ120" i="1"/>
  <c r="BX120" i="1"/>
  <c r="CA127" i="1"/>
  <c r="CA119" i="1"/>
  <c r="BY113" i="1"/>
  <c r="BY120" i="1"/>
  <c r="BY119" i="1"/>
  <c r="CB131" i="1"/>
  <c r="CB134" i="1" s="1"/>
  <c r="CB137" i="1" s="1"/>
  <c r="CA131" i="1"/>
  <c r="BY131" i="1"/>
  <c r="CN56" i="1"/>
  <c r="CS101" i="1"/>
  <c r="AB187" i="1"/>
  <c r="CP89" i="1"/>
  <c r="CQ87" i="1"/>
  <c r="AC141" i="1"/>
  <c r="AC173" i="1"/>
  <c r="CB249" i="1"/>
  <c r="BQ1" i="1"/>
  <c r="BR1" i="1" s="1"/>
  <c r="BS1" i="1" s="1"/>
  <c r="BT1" i="1" s="1"/>
  <c r="O42" i="1" l="1"/>
  <c r="E42" i="1"/>
  <c r="E41" i="1"/>
  <c r="CB42" i="1"/>
  <c r="BJ270" i="1"/>
  <c r="BY43" i="1"/>
  <c r="R41" i="1"/>
  <c r="R42" i="1"/>
  <c r="S42" i="1"/>
  <c r="N41" i="1"/>
  <c r="BX41" i="1"/>
  <c r="BX52" i="1"/>
  <c r="G42" i="1"/>
  <c r="E52" i="1"/>
  <c r="E53" i="1" s="1"/>
  <c r="F42" i="1"/>
  <c r="AM43" i="1"/>
  <c r="AM41" i="1"/>
  <c r="AM52" i="1"/>
  <c r="BY229" i="1"/>
  <c r="BZ57" i="1"/>
  <c r="BY162" i="1"/>
  <c r="BZ227" i="1" s="1"/>
  <c r="BZ225" i="1" s="1"/>
  <c r="BX270" i="1"/>
  <c r="X54" i="1"/>
  <c r="X274" i="1"/>
  <c r="W58" i="1"/>
  <c r="W62" i="1" s="1"/>
  <c r="W25" i="1" s="1"/>
  <c r="W54" i="1"/>
  <c r="W53" i="1"/>
  <c r="W136" i="1"/>
  <c r="W274" i="1"/>
  <c r="BX133" i="1"/>
  <c r="BY61" i="1"/>
  <c r="M41" i="1"/>
  <c r="N42" i="1"/>
  <c r="T42" i="1"/>
  <c r="U42" i="1"/>
  <c r="T41" i="1"/>
  <c r="AJ189" i="1"/>
  <c r="AJ190" i="1" s="1"/>
  <c r="AJ222" i="1"/>
  <c r="AK162" i="1"/>
  <c r="AL57" i="1"/>
  <c r="AJ227" i="1"/>
  <c r="AJ225" i="1" s="1"/>
  <c r="H42" i="1"/>
  <c r="G41" i="1"/>
  <c r="Q42" i="1"/>
  <c r="Q41" i="1"/>
  <c r="BX189" i="1"/>
  <c r="BX190" i="1" s="1"/>
  <c r="BZ229" i="1"/>
  <c r="V58" i="1"/>
  <c r="V62" i="1" s="1"/>
  <c r="V136" i="1"/>
  <c r="V256" i="1"/>
  <c r="V257" i="1" s="1"/>
  <c r="V53" i="1"/>
  <c r="AJ256" i="1"/>
  <c r="AJ257" i="1" s="1"/>
  <c r="AJ58" i="1"/>
  <c r="AJ62" i="1" s="1"/>
  <c r="AL189" i="1"/>
  <c r="AL190" i="1" s="1"/>
  <c r="BL57" i="1"/>
  <c r="BK162" i="1"/>
  <c r="BL227" i="1" s="1"/>
  <c r="BL225" i="1" s="1"/>
  <c r="BJ118" i="1"/>
  <c r="AM227" i="1"/>
  <c r="AM225" i="1" s="1"/>
  <c r="AL270" i="1"/>
  <c r="AL119" i="1"/>
  <c r="AL133" i="1"/>
  <c r="AL135" i="1" s="1"/>
  <c r="AM61" i="1"/>
  <c r="BJ210" i="1"/>
  <c r="BJ205" i="1"/>
  <c r="AL205" i="1"/>
  <c r="AL210" i="1"/>
  <c r="CE114" i="1"/>
  <c r="BX256" i="1"/>
  <c r="BX257" i="1" s="1"/>
  <c r="BY55" i="1"/>
  <c r="BY274" i="1"/>
  <c r="BY275" i="1" s="1"/>
  <c r="C41" i="1"/>
  <c r="D42" i="1"/>
  <c r="C52" i="1"/>
  <c r="D52" i="1"/>
  <c r="D41" i="1"/>
  <c r="Z87" i="1"/>
  <c r="AA89" i="1"/>
  <c r="IJ21" i="4"/>
  <c r="BD101" i="1" s="1"/>
  <c r="IG16" i="4"/>
  <c r="IG21" i="4" s="1"/>
  <c r="BA101" i="1" s="1"/>
  <c r="JF9" i="4" s="1"/>
  <c r="IQ21" i="4"/>
  <c r="BK101" i="1" s="1"/>
  <c r="HV8" i="4"/>
  <c r="IO21" i="4"/>
  <c r="BI101" i="1" s="1"/>
  <c r="HY9" i="4"/>
  <c r="HY21" i="4" s="1"/>
  <c r="AS101" i="1" s="1"/>
  <c r="HU16" i="4" s="1"/>
  <c r="IT9" i="4"/>
  <c r="IT21" i="4" s="1"/>
  <c r="BN101" i="1" s="1"/>
  <c r="IR14" i="4" s="1"/>
  <c r="CC118" i="1"/>
  <c r="CC126" i="1"/>
  <c r="CC109" i="1"/>
  <c r="IC21" i="4"/>
  <c r="AW101" i="1" s="1"/>
  <c r="HU9" i="4"/>
  <c r="IX9" i="4" s="1"/>
  <c r="IX21" i="4" s="1"/>
  <c r="BR101" i="1" s="1"/>
  <c r="HZ20" i="4"/>
  <c r="AT103" i="1" s="1"/>
  <c r="AT132" i="1" s="1"/>
  <c r="IP8" i="4"/>
  <c r="IP20" i="4" s="1"/>
  <c r="BJ103" i="1" s="1"/>
  <c r="K41" i="1"/>
  <c r="L42" i="1"/>
  <c r="IM14" i="4"/>
  <c r="IM19" i="4" s="1"/>
  <c r="BG102" i="1" s="1"/>
  <c r="BG131" i="1" s="1"/>
  <c r="P42" i="1"/>
  <c r="O41" i="1"/>
  <c r="C42" i="1"/>
  <c r="B52" i="1"/>
  <c r="B41" i="1"/>
  <c r="J42" i="1"/>
  <c r="K42" i="1"/>
  <c r="J41" i="1"/>
  <c r="AK43" i="1"/>
  <c r="AL43" i="1"/>
  <c r="AK52" i="1"/>
  <c r="AK41" i="1"/>
  <c r="IP7" i="4"/>
  <c r="IR20" i="4"/>
  <c r="BL103" i="1" s="1"/>
  <c r="AL58" i="1"/>
  <c r="AL62" i="1" s="1"/>
  <c r="AL53" i="1"/>
  <c r="AL256" i="1"/>
  <c r="AL257" i="1" s="1"/>
  <c r="M42" i="1"/>
  <c r="AL118" i="1"/>
  <c r="CN156" i="1"/>
  <c r="CN158" i="1" s="1"/>
  <c r="CO56" i="1" s="1"/>
  <c r="CT101" i="1"/>
  <c r="AB161" i="1"/>
  <c r="AD173" i="1"/>
  <c r="AE173" i="1"/>
  <c r="AD141" i="1"/>
  <c r="AE141" i="1"/>
  <c r="CQ89" i="1"/>
  <c r="CR87" i="1"/>
  <c r="AC187" i="1"/>
  <c r="BU1" i="1"/>
  <c r="Q51" i="1"/>
  <c r="P51" i="1"/>
  <c r="O51" i="1"/>
  <c r="I51" i="1"/>
  <c r="H51" i="1"/>
  <c r="G51" i="1"/>
  <c r="U51" i="1"/>
  <c r="T51" i="1"/>
  <c r="S51" i="1"/>
  <c r="R51" i="1"/>
  <c r="N51" i="1"/>
  <c r="M51" i="1"/>
  <c r="L51" i="1"/>
  <c r="K51" i="1"/>
  <c r="J51" i="1"/>
  <c r="F51" i="1"/>
  <c r="BX53" i="1" l="1"/>
  <c r="BX58" i="1"/>
  <c r="CB54" i="1"/>
  <c r="CA136" i="1"/>
  <c r="BY227" i="1"/>
  <c r="BY225" i="1" s="1"/>
  <c r="AM256" i="1"/>
  <c r="AM257" i="1" s="1"/>
  <c r="AM55" i="1"/>
  <c r="AM53" i="1"/>
  <c r="AM274" i="1"/>
  <c r="AM275" i="1" s="1"/>
  <c r="AM58" i="1"/>
  <c r="AM62" i="1" s="1"/>
  <c r="W65" i="1"/>
  <c r="W64" i="1"/>
  <c r="BX134" i="1"/>
  <c r="BX135" i="1"/>
  <c r="AK227" i="1"/>
  <c r="AK225" i="1" s="1"/>
  <c r="AL227" i="1"/>
  <c r="AL225" i="1" s="1"/>
  <c r="V64" i="1"/>
  <c r="V65" i="1"/>
  <c r="V25" i="1"/>
  <c r="AM250" i="1"/>
  <c r="AJ64" i="1"/>
  <c r="AJ65" i="1"/>
  <c r="AL134" i="1"/>
  <c r="BX62" i="1"/>
  <c r="BX25" i="1" s="1"/>
  <c r="CA79" i="1"/>
  <c r="C53" i="1"/>
  <c r="D54" i="1"/>
  <c r="E54" i="1"/>
  <c r="D58" i="1"/>
  <c r="D62" i="1" s="1"/>
  <c r="D274" i="1"/>
  <c r="D53" i="1"/>
  <c r="D136" i="1"/>
  <c r="D256" i="1"/>
  <c r="D257" i="1" s="1"/>
  <c r="Z89" i="1"/>
  <c r="Y87" i="1"/>
  <c r="AA90" i="1"/>
  <c r="AA123" i="1"/>
  <c r="AA132" i="1"/>
  <c r="AA135" i="1" s="1"/>
  <c r="AA138" i="1" s="1"/>
  <c r="AA131" i="1"/>
  <c r="AA134" i="1" s="1"/>
  <c r="AA137" i="1" s="1"/>
  <c r="AA116" i="1"/>
  <c r="JF21" i="4"/>
  <c r="BZ101" i="1" s="1"/>
  <c r="BZ118" i="1" s="1"/>
  <c r="JI15" i="4"/>
  <c r="HV20" i="4"/>
  <c r="AP103" i="1" s="1"/>
  <c r="AP132" i="1" s="1"/>
  <c r="HP16" i="4"/>
  <c r="HP21" i="4" s="1"/>
  <c r="AJ101" i="1" s="1"/>
  <c r="HU21" i="4"/>
  <c r="AO101" i="1" s="1"/>
  <c r="IB9" i="4"/>
  <c r="IB21" i="4" s="1"/>
  <c r="AV101" i="1" s="1"/>
  <c r="IR19" i="4"/>
  <c r="BL102" i="1" s="1"/>
  <c r="JE16" i="4"/>
  <c r="BJ120" i="1"/>
  <c r="BJ132" i="1"/>
  <c r="BJ135" i="1" s="1"/>
  <c r="C54" i="1"/>
  <c r="C274" i="1"/>
  <c r="B136" i="1"/>
  <c r="B53" i="1"/>
  <c r="AM136" i="1"/>
  <c r="AL55" i="1"/>
  <c r="AK55" i="1"/>
  <c r="AK58" i="1"/>
  <c r="AK62" i="1" s="1"/>
  <c r="AK53" i="1"/>
  <c r="AK256" i="1"/>
  <c r="AK257" i="1" s="1"/>
  <c r="AL274" i="1"/>
  <c r="AL275" i="1" s="1"/>
  <c r="IP19" i="4"/>
  <c r="BJ102" i="1" s="1"/>
  <c r="IH14" i="4"/>
  <c r="BL132" i="1"/>
  <c r="BL135" i="1" s="1"/>
  <c r="BL120" i="1"/>
  <c r="AL64" i="1"/>
  <c r="AL65" i="1"/>
  <c r="CO218" i="1"/>
  <c r="CO156" i="1"/>
  <c r="CN162" i="1"/>
  <c r="CN218" i="1"/>
  <c r="AC101" i="1"/>
  <c r="CU101" i="1"/>
  <c r="AD187" i="1"/>
  <c r="AE187" i="1"/>
  <c r="AD164" i="1"/>
  <c r="CR89" i="1"/>
  <c r="CS87" i="1"/>
  <c r="AC161" i="1"/>
  <c r="BV1" i="1"/>
  <c r="BW1" i="1" s="1"/>
  <c r="BX1" i="1" s="1"/>
  <c r="B256" i="1"/>
  <c r="B257" i="1" s="1"/>
  <c r="BL256" i="1"/>
  <c r="BL257" i="1" s="1"/>
  <c r="G52" i="1"/>
  <c r="O52" i="1"/>
  <c r="H52" i="1"/>
  <c r="P52" i="1"/>
  <c r="I52" i="1"/>
  <c r="Q52" i="1"/>
  <c r="J52" i="1"/>
  <c r="R52" i="1"/>
  <c r="K52" i="1"/>
  <c r="S52" i="1"/>
  <c r="L52" i="1"/>
  <c r="T52" i="1"/>
  <c r="M52" i="1"/>
  <c r="U52" i="1"/>
  <c r="F52" i="1"/>
  <c r="F274" i="1" s="1"/>
  <c r="N52" i="1"/>
  <c r="AM64" i="1" l="1"/>
  <c r="AM65" i="1"/>
  <c r="W72" i="1"/>
  <c r="W76" i="1" s="1"/>
  <c r="W258" i="1"/>
  <c r="W66" i="1"/>
  <c r="W269" i="1" s="1"/>
  <c r="W67" i="1"/>
  <c r="X67" i="1"/>
  <c r="BX64" i="1"/>
  <c r="BX65" i="1"/>
  <c r="V72" i="1"/>
  <c r="V66" i="1"/>
  <c r="V269" i="1" s="1"/>
  <c r="AJ258" i="1"/>
  <c r="AJ66" i="1"/>
  <c r="AJ72" i="1"/>
  <c r="D64" i="1"/>
  <c r="D65" i="1"/>
  <c r="Z90" i="1"/>
  <c r="Z131" i="1"/>
  <c r="Z134" i="1" s="1"/>
  <c r="Z137" i="1" s="1"/>
  <c r="Z123" i="1"/>
  <c r="Z116" i="1"/>
  <c r="Z132" i="1"/>
  <c r="Z135" i="1" s="1"/>
  <c r="Z138" i="1" s="1"/>
  <c r="X87" i="1"/>
  <c r="Y89" i="1"/>
  <c r="AA93" i="1"/>
  <c r="AA92" i="1"/>
  <c r="AA128" i="1"/>
  <c r="AA126" i="1"/>
  <c r="AA127" i="1"/>
  <c r="AA118" i="1"/>
  <c r="AA119" i="1"/>
  <c r="AA120" i="1"/>
  <c r="JI20" i="4"/>
  <c r="CC103" i="1" s="1"/>
  <c r="IS16" i="4"/>
  <c r="BL119" i="1"/>
  <c r="BL131" i="1"/>
  <c r="BL134" i="1" s="1"/>
  <c r="AK64" i="1"/>
  <c r="AK65" i="1"/>
  <c r="BJ119" i="1"/>
  <c r="BJ131" i="1"/>
  <c r="BJ134" i="1" s="1"/>
  <c r="IH19" i="4"/>
  <c r="BB102" i="1" s="1"/>
  <c r="BB131" i="1" s="1"/>
  <c r="HW9" i="4"/>
  <c r="AL66" i="1"/>
  <c r="AL269" i="1" s="1"/>
  <c r="AL72" i="1"/>
  <c r="AL258" i="1"/>
  <c r="AM258" i="1"/>
  <c r="AM68" i="1"/>
  <c r="AM66" i="1"/>
  <c r="AM269" i="1" s="1"/>
  <c r="T274" i="1"/>
  <c r="P274" i="1"/>
  <c r="CB67" i="1"/>
  <c r="BX258" i="1"/>
  <c r="BX66" i="1"/>
  <c r="BX269" i="1" s="1"/>
  <c r="M274" i="1"/>
  <c r="R274" i="1"/>
  <c r="I274" i="1"/>
  <c r="K274" i="1"/>
  <c r="G274" i="1"/>
  <c r="H274" i="1"/>
  <c r="L274" i="1"/>
  <c r="S274" i="1"/>
  <c r="O274" i="1"/>
  <c r="J274" i="1"/>
  <c r="N274" i="1"/>
  <c r="U274" i="1"/>
  <c r="V274" i="1"/>
  <c r="Q274" i="1"/>
  <c r="R136" i="1"/>
  <c r="S54" i="1"/>
  <c r="T136" i="1"/>
  <c r="U54" i="1"/>
  <c r="U136" i="1"/>
  <c r="V54" i="1"/>
  <c r="P136" i="1"/>
  <c r="Q54" i="1"/>
  <c r="Q136" i="1"/>
  <c r="R54" i="1"/>
  <c r="I136" i="1"/>
  <c r="J54" i="1"/>
  <c r="S136" i="1"/>
  <c r="T54" i="1"/>
  <c r="H136" i="1"/>
  <c r="I54" i="1"/>
  <c r="E136" i="1"/>
  <c r="F54" i="1"/>
  <c r="L136" i="1"/>
  <c r="M54" i="1"/>
  <c r="O136" i="1"/>
  <c r="P54" i="1"/>
  <c r="N136" i="1"/>
  <c r="O54" i="1"/>
  <c r="K136" i="1"/>
  <c r="L54" i="1"/>
  <c r="F136" i="1"/>
  <c r="G54" i="1"/>
  <c r="G136" i="1"/>
  <c r="H54" i="1"/>
  <c r="M136" i="1"/>
  <c r="N54" i="1"/>
  <c r="J136" i="1"/>
  <c r="K54" i="1"/>
  <c r="CN227" i="1"/>
  <c r="CN225" i="1" s="1"/>
  <c r="CO158" i="1"/>
  <c r="CV101" i="1"/>
  <c r="AD226" i="1"/>
  <c r="AB166" i="1"/>
  <c r="AE161" i="1"/>
  <c r="AD161" i="1"/>
  <c r="CT87" i="1"/>
  <c r="AC87" i="1" s="1"/>
  <c r="AC89" i="1" s="1"/>
  <c r="CS89" i="1"/>
  <c r="C136" i="1"/>
  <c r="BY1" i="1"/>
  <c r="L53" i="1"/>
  <c r="N53" i="1"/>
  <c r="F53" i="1"/>
  <c r="O53" i="1"/>
  <c r="U58" i="1"/>
  <c r="U62" i="1" s="1"/>
  <c r="U25" i="1" s="1"/>
  <c r="U53" i="1"/>
  <c r="G53" i="1"/>
  <c r="S53" i="1"/>
  <c r="M53" i="1"/>
  <c r="R53" i="1"/>
  <c r="J53" i="1"/>
  <c r="I53" i="1"/>
  <c r="P53" i="1"/>
  <c r="H53" i="1"/>
  <c r="K53" i="1"/>
  <c r="T53" i="1"/>
  <c r="Q53" i="1"/>
  <c r="T256" i="1"/>
  <c r="T257" i="1" s="1"/>
  <c r="Q256" i="1"/>
  <c r="Q257" i="1" s="1"/>
  <c r="K256" i="1"/>
  <c r="K257" i="1" s="1"/>
  <c r="O256" i="1"/>
  <c r="O257" i="1" s="1"/>
  <c r="U256" i="1"/>
  <c r="U257" i="1" s="1"/>
  <c r="L256" i="1"/>
  <c r="L257" i="1" s="1"/>
  <c r="C256" i="1"/>
  <c r="C257" i="1" s="1"/>
  <c r="I256" i="1"/>
  <c r="I257" i="1" s="1"/>
  <c r="G256" i="1"/>
  <c r="G257" i="1" s="1"/>
  <c r="R256" i="1"/>
  <c r="R257" i="1" s="1"/>
  <c r="P256" i="1"/>
  <c r="P257" i="1" s="1"/>
  <c r="F256" i="1"/>
  <c r="F257" i="1" s="1"/>
  <c r="M256" i="1"/>
  <c r="M257" i="1" s="1"/>
  <c r="N256" i="1"/>
  <c r="N257" i="1" s="1"/>
  <c r="E256" i="1"/>
  <c r="E257" i="1" s="1"/>
  <c r="S256" i="1"/>
  <c r="S257" i="1" s="1"/>
  <c r="J256" i="1"/>
  <c r="J257" i="1" s="1"/>
  <c r="H256" i="1"/>
  <c r="H257" i="1" s="1"/>
  <c r="B58" i="1"/>
  <c r="L58" i="1"/>
  <c r="Q58" i="1"/>
  <c r="T58" i="1"/>
  <c r="N58" i="1"/>
  <c r="S58" i="1"/>
  <c r="F58" i="1"/>
  <c r="K58" i="1"/>
  <c r="H58" i="1"/>
  <c r="I58" i="1"/>
  <c r="P58" i="1"/>
  <c r="C58" i="1"/>
  <c r="O58" i="1"/>
  <c r="R58" i="1"/>
  <c r="M58" i="1"/>
  <c r="G58" i="1"/>
  <c r="E58" i="1"/>
  <c r="J58" i="1"/>
  <c r="BX72" i="1" l="1"/>
  <c r="BY68" i="1"/>
  <c r="AJ217" i="1"/>
  <c r="AJ219" i="1" s="1"/>
  <c r="AJ223" i="1" s="1"/>
  <c r="AJ237" i="1" s="1"/>
  <c r="AJ90" i="1"/>
  <c r="AJ76" i="1"/>
  <c r="AJ231" i="1"/>
  <c r="AJ229" i="1" s="1"/>
  <c r="AJ234" i="1" s="1"/>
  <c r="AJ235" i="1" s="1"/>
  <c r="D72" i="1"/>
  <c r="D66" i="1"/>
  <c r="D258" i="1"/>
  <c r="Z93" i="1"/>
  <c r="Z92" i="1"/>
  <c r="Z127" i="1"/>
  <c r="Z126" i="1"/>
  <c r="Z128" i="1"/>
  <c r="Z119" i="1"/>
  <c r="Z118" i="1"/>
  <c r="Z120" i="1"/>
  <c r="X89" i="1"/>
  <c r="W87" i="1"/>
  <c r="V87" i="1" s="1"/>
  <c r="U87" i="1" s="1"/>
  <c r="T87" i="1" s="1"/>
  <c r="S87" i="1" s="1"/>
  <c r="R87" i="1" s="1"/>
  <c r="Q87" i="1" s="1"/>
  <c r="P87" i="1" s="1"/>
  <c r="O87" i="1" s="1"/>
  <c r="N87" i="1" s="1"/>
  <c r="M87" i="1" s="1"/>
  <c r="L87" i="1" s="1"/>
  <c r="K87" i="1" s="1"/>
  <c r="J87" i="1" s="1"/>
  <c r="I87" i="1" s="1"/>
  <c r="H87" i="1" s="1"/>
  <c r="G87" i="1" s="1"/>
  <c r="F87" i="1" s="1"/>
  <c r="E87" i="1" s="1"/>
  <c r="Y90" i="1"/>
  <c r="Y123" i="1"/>
  <c r="Y131" i="1"/>
  <c r="Y134" i="1" s="1"/>
  <c r="Y137" i="1" s="1"/>
  <c r="Y116" i="1"/>
  <c r="Y132" i="1"/>
  <c r="Y135" i="1" s="1"/>
  <c r="Y138" i="1" s="1"/>
  <c r="AA111" i="1"/>
  <c r="AA109" i="1"/>
  <c r="AA110" i="1"/>
  <c r="CC111" i="1"/>
  <c r="CC132" i="1"/>
  <c r="CC128" i="1"/>
  <c r="CC120" i="1"/>
  <c r="HQ7" i="4"/>
  <c r="AL68" i="1"/>
  <c r="AK68" i="1"/>
  <c r="AK66" i="1"/>
  <c r="AK72" i="1"/>
  <c r="AK258" i="1"/>
  <c r="AM251" i="1"/>
  <c r="HW21" i="4"/>
  <c r="AQ101" i="1" s="1"/>
  <c r="IR16" i="4"/>
  <c r="AL76" i="1"/>
  <c r="AL90" i="1"/>
  <c r="AL217" i="1"/>
  <c r="AL219" i="1" s="1"/>
  <c r="CA78" i="1"/>
  <c r="BX90" i="1"/>
  <c r="CA93" i="1" s="1"/>
  <c r="BX217" i="1"/>
  <c r="BX219" i="1" s="1"/>
  <c r="BX76" i="1"/>
  <c r="BK188" i="1"/>
  <c r="BM188" i="1"/>
  <c r="CO162" i="1"/>
  <c r="CP56" i="1"/>
  <c r="CW101" i="1"/>
  <c r="AE164" i="1"/>
  <c r="AE226" i="1" s="1"/>
  <c r="CT89" i="1"/>
  <c r="CU87" i="1"/>
  <c r="BZ1" i="1"/>
  <c r="U65" i="1"/>
  <c r="V67" i="1" s="1"/>
  <c r="U64" i="1"/>
  <c r="P62" i="1"/>
  <c r="P65" i="1" s="1"/>
  <c r="R62" i="1"/>
  <c r="R65" i="1" s="1"/>
  <c r="E62" i="1"/>
  <c r="S62" i="1"/>
  <c r="S64" i="1" s="1"/>
  <c r="G62" i="1"/>
  <c r="G65" i="1" s="1"/>
  <c r="K62" i="1"/>
  <c r="K65" i="1" s="1"/>
  <c r="B62" i="1"/>
  <c r="O62" i="1"/>
  <c r="O65" i="1" s="1"/>
  <c r="H62" i="1"/>
  <c r="H65" i="1" s="1"/>
  <c r="N62" i="1"/>
  <c r="N65" i="1" s="1"/>
  <c r="L62" i="1"/>
  <c r="L64" i="1" s="1"/>
  <c r="C62" i="1"/>
  <c r="M62" i="1"/>
  <c r="M64" i="1" s="1"/>
  <c r="T62" i="1"/>
  <c r="T65" i="1" s="1"/>
  <c r="F62" i="1"/>
  <c r="F64" i="1" s="1"/>
  <c r="J62" i="1"/>
  <c r="J64" i="1" s="1"/>
  <c r="I62" i="1"/>
  <c r="I64" i="1" s="1"/>
  <c r="Q62" i="1"/>
  <c r="Q65" i="1" s="1"/>
  <c r="V258" i="1"/>
  <c r="D217" i="1" l="1"/>
  <c r="D219" i="1" s="1"/>
  <c r="D76" i="1"/>
  <c r="Z111" i="1"/>
  <c r="Z109" i="1"/>
  <c r="Z110" i="1"/>
  <c r="AA94" i="1"/>
  <c r="X132" i="1"/>
  <c r="X135" i="1" s="1"/>
  <c r="X138" i="1" s="1"/>
  <c r="X90" i="1"/>
  <c r="X116" i="1"/>
  <c r="X123" i="1"/>
  <c r="X131" i="1"/>
  <c r="X134" i="1" s="1"/>
  <c r="X137" i="1" s="1"/>
  <c r="Y93" i="1"/>
  <c r="Y92" i="1"/>
  <c r="Y128" i="1"/>
  <c r="Y126" i="1"/>
  <c r="Y127" i="1"/>
  <c r="Y120" i="1"/>
  <c r="Y118" i="1"/>
  <c r="Y119" i="1"/>
  <c r="HQ19" i="4"/>
  <c r="AK102" i="1" s="1"/>
  <c r="ID16" i="4"/>
  <c r="AK90" i="1"/>
  <c r="AK76" i="1"/>
  <c r="AK217" i="1"/>
  <c r="AK219" i="1" s="1"/>
  <c r="AK143" i="1"/>
  <c r="AK144" i="1" s="1"/>
  <c r="IR21" i="4"/>
  <c r="BL101" i="1" s="1"/>
  <c r="BL118" i="1" s="1"/>
  <c r="IX8" i="4"/>
  <c r="R67" i="1"/>
  <c r="CE94" i="1"/>
  <c r="CA111" i="1"/>
  <c r="CA110" i="1"/>
  <c r="CD114" i="1" s="1"/>
  <c r="BW113" i="1"/>
  <c r="U67" i="1"/>
  <c r="O67" i="1"/>
  <c r="AB56" i="1"/>
  <c r="B65" i="1"/>
  <c r="B64" i="1"/>
  <c r="C65" i="1"/>
  <c r="C64" i="1"/>
  <c r="E65" i="1"/>
  <c r="E72" i="1" s="1"/>
  <c r="E64" i="1"/>
  <c r="P67" i="1"/>
  <c r="H67" i="1"/>
  <c r="Q67" i="1"/>
  <c r="BJ189" i="1"/>
  <c r="BJ190" i="1" s="1"/>
  <c r="BL189" i="1"/>
  <c r="BL190" i="1" s="1"/>
  <c r="CP218" i="1"/>
  <c r="CP156" i="1"/>
  <c r="CO227" i="1"/>
  <c r="CO225" i="1" s="1"/>
  <c r="CX101" i="1"/>
  <c r="CV87" i="1"/>
  <c r="CU89" i="1"/>
  <c r="CA1" i="1"/>
  <c r="CB1" i="1" s="1"/>
  <c r="O64" i="1"/>
  <c r="BL258" i="1"/>
  <c r="S65" i="1"/>
  <c r="U66" i="1"/>
  <c r="U269" i="1" s="1"/>
  <c r="P66" i="1"/>
  <c r="P269" i="1" s="1"/>
  <c r="Q72" i="1"/>
  <c r="Q66" i="1"/>
  <c r="Q269" i="1" s="1"/>
  <c r="L65" i="1"/>
  <c r="P64" i="1"/>
  <c r="H66" i="1"/>
  <c r="H269" i="1" s="1"/>
  <c r="G66" i="1"/>
  <c r="G269" i="1" s="1"/>
  <c r="U72" i="1"/>
  <c r="N66" i="1"/>
  <c r="N269" i="1" s="1"/>
  <c r="R66" i="1"/>
  <c r="R269" i="1" s="1"/>
  <c r="K66" i="1"/>
  <c r="K269" i="1" s="1"/>
  <c r="O72" i="1"/>
  <c r="O66" i="1"/>
  <c r="O269" i="1" s="1"/>
  <c r="T72" i="1"/>
  <c r="T66" i="1"/>
  <c r="T269" i="1" s="1"/>
  <c r="R64" i="1"/>
  <c r="K64" i="1"/>
  <c r="N64" i="1"/>
  <c r="G64" i="1"/>
  <c r="H64" i="1"/>
  <c r="J65" i="1"/>
  <c r="K67" i="1" s="1"/>
  <c r="M65" i="1"/>
  <c r="N67" i="1" s="1"/>
  <c r="T64" i="1"/>
  <c r="F65" i="1"/>
  <c r="G67" i="1" s="1"/>
  <c r="I65" i="1"/>
  <c r="I67" i="1" s="1"/>
  <c r="O258" i="1"/>
  <c r="Q64" i="1"/>
  <c r="P258" i="1"/>
  <c r="P72" i="1"/>
  <c r="K258" i="1"/>
  <c r="K72" i="1"/>
  <c r="H258" i="1"/>
  <c r="H72" i="1"/>
  <c r="R72" i="1"/>
  <c r="N72" i="1"/>
  <c r="G72" i="1"/>
  <c r="G258" i="1"/>
  <c r="R258" i="1"/>
  <c r="N258" i="1"/>
  <c r="Q258" i="1"/>
  <c r="U258" i="1"/>
  <c r="T258" i="1"/>
  <c r="V76" i="1"/>
  <c r="V217" i="1"/>
  <c r="V219" i="1" s="1"/>
  <c r="X92" i="1" l="1"/>
  <c r="X93" i="1"/>
  <c r="X120" i="1"/>
  <c r="X118" i="1"/>
  <c r="X119" i="1"/>
  <c r="X126" i="1"/>
  <c r="X127" i="1"/>
  <c r="X128" i="1"/>
  <c r="Y111" i="1"/>
  <c r="Y110" i="1"/>
  <c r="Y109" i="1"/>
  <c r="Z94" i="1"/>
  <c r="ID21" i="4"/>
  <c r="AX101" i="1" s="1"/>
  <c r="HT16" i="4" s="1"/>
  <c r="JH8" i="4"/>
  <c r="AL231" i="1"/>
  <c r="AL229" i="1" s="1"/>
  <c r="AK231" i="1"/>
  <c r="AK229" i="1" s="1"/>
  <c r="AK153" i="1"/>
  <c r="IX20" i="4"/>
  <c r="BR103" i="1" s="1"/>
  <c r="BR132" i="1" s="1"/>
  <c r="JC15" i="4"/>
  <c r="E258" i="1"/>
  <c r="AB218" i="1"/>
  <c r="E66" i="1"/>
  <c r="E269" i="1" s="1"/>
  <c r="E67" i="1"/>
  <c r="D67" i="1"/>
  <c r="C66" i="1"/>
  <c r="B66" i="1"/>
  <c r="C67" i="1"/>
  <c r="F67" i="1"/>
  <c r="M67" i="1"/>
  <c r="S66" i="1"/>
  <c r="S269" i="1" s="1"/>
  <c r="T67" i="1"/>
  <c r="L67" i="1"/>
  <c r="J67" i="1"/>
  <c r="S67" i="1"/>
  <c r="I89" i="1"/>
  <c r="I123" i="1" s="1"/>
  <c r="Q89" i="1"/>
  <c r="Q123" i="1" s="1"/>
  <c r="U89" i="1"/>
  <c r="U123" i="1" s="1"/>
  <c r="F89" i="1"/>
  <c r="F123" i="1" s="1"/>
  <c r="R89" i="1"/>
  <c r="R123" i="1" s="1"/>
  <c r="J89" i="1"/>
  <c r="N89" i="1"/>
  <c r="N90" i="1" s="1"/>
  <c r="N93" i="1" s="1"/>
  <c r="T89" i="1"/>
  <c r="E89" i="1"/>
  <c r="E123" i="1" s="1"/>
  <c r="H89" i="1"/>
  <c r="H123" i="1" s="1"/>
  <c r="S89" i="1"/>
  <c r="V89" i="1"/>
  <c r="V123" i="1" s="1"/>
  <c r="P89" i="1"/>
  <c r="G89" i="1"/>
  <c r="G90" i="1" s="1"/>
  <c r="G93" i="1" s="1"/>
  <c r="L89" i="1"/>
  <c r="K89" i="1"/>
  <c r="AB156" i="1"/>
  <c r="AB158" i="1" s="1"/>
  <c r="AB57" i="1" s="1"/>
  <c r="CP158" i="1"/>
  <c r="AD101" i="1"/>
  <c r="CY101" i="1"/>
  <c r="CV89" i="1"/>
  <c r="CW87" i="1"/>
  <c r="CC1" i="1"/>
  <c r="K76" i="1"/>
  <c r="G76" i="1"/>
  <c r="E76" i="1"/>
  <c r="S72" i="1"/>
  <c r="S258" i="1"/>
  <c r="L258" i="1"/>
  <c r="L72" i="1"/>
  <c r="O217" i="1"/>
  <c r="O219" i="1" s="1"/>
  <c r="O76" i="1"/>
  <c r="B258" i="1"/>
  <c r="B72" i="1"/>
  <c r="M72" i="1"/>
  <c r="M66" i="1"/>
  <c r="M269" i="1" s="1"/>
  <c r="C258" i="1"/>
  <c r="I72" i="1"/>
  <c r="I66" i="1"/>
  <c r="I269" i="1" s="1"/>
  <c r="J72" i="1"/>
  <c r="J66" i="1"/>
  <c r="J269" i="1" s="1"/>
  <c r="F72" i="1"/>
  <c r="F66" i="1"/>
  <c r="F269" i="1" s="1"/>
  <c r="L66" i="1"/>
  <c r="L269" i="1" s="1"/>
  <c r="J258" i="1"/>
  <c r="E217" i="1"/>
  <c r="E219" i="1" s="1"/>
  <c r="R217" i="1"/>
  <c r="R219" i="1" s="1"/>
  <c r="M258" i="1"/>
  <c r="R76" i="1"/>
  <c r="I258" i="1"/>
  <c r="H76" i="1"/>
  <c r="H217" i="1"/>
  <c r="H219" i="1" s="1"/>
  <c r="F258" i="1"/>
  <c r="C72" i="1"/>
  <c r="N217" i="1"/>
  <c r="N219" i="1" s="1"/>
  <c r="N76" i="1"/>
  <c r="G217" i="1"/>
  <c r="G219" i="1" s="1"/>
  <c r="P76" i="1"/>
  <c r="K217" i="1"/>
  <c r="K219" i="1" s="1"/>
  <c r="P217" i="1"/>
  <c r="P219" i="1" s="1"/>
  <c r="U76" i="1"/>
  <c r="U217" i="1"/>
  <c r="U219" i="1" s="1"/>
  <c r="Q76" i="1"/>
  <c r="Q217" i="1"/>
  <c r="Q219" i="1" s="1"/>
  <c r="T76" i="1"/>
  <c r="T217" i="1"/>
  <c r="T219" i="1" s="1"/>
  <c r="X111" i="1" l="1"/>
  <c r="X110" i="1"/>
  <c r="X109" i="1"/>
  <c r="Y94" i="1"/>
  <c r="JH20" i="4"/>
  <c r="CB103" i="1" s="1"/>
  <c r="ID14" i="4"/>
  <c r="JC20" i="4"/>
  <c r="BW103" i="1" s="1"/>
  <c r="BW132" i="1" s="1"/>
  <c r="IM15" i="4"/>
  <c r="R90" i="1"/>
  <c r="R93" i="1" s="1"/>
  <c r="K123" i="1"/>
  <c r="L123" i="1"/>
  <c r="T123" i="1"/>
  <c r="P123" i="1"/>
  <c r="G123" i="1"/>
  <c r="S123" i="1"/>
  <c r="J123" i="1"/>
  <c r="N123" i="1"/>
  <c r="H90" i="1"/>
  <c r="U90" i="1"/>
  <c r="U93" i="1" s="1"/>
  <c r="V90" i="1"/>
  <c r="E90" i="1"/>
  <c r="Q90" i="1"/>
  <c r="T90" i="1"/>
  <c r="T93" i="1" s="1"/>
  <c r="M89" i="1"/>
  <c r="M90" i="1" s="1"/>
  <c r="M93" i="1" s="1"/>
  <c r="O89" i="1"/>
  <c r="O123" i="1" s="1"/>
  <c r="W89" i="1"/>
  <c r="W123" i="1" s="1"/>
  <c r="K90" i="1"/>
  <c r="P90" i="1"/>
  <c r="P93" i="1" s="1"/>
  <c r="CP162" i="1"/>
  <c r="CP227" i="1" s="1"/>
  <c r="CP225" i="1" s="1"/>
  <c r="CQ56" i="1"/>
  <c r="CZ101" i="1"/>
  <c r="AC166" i="1"/>
  <c r="CX87" i="1"/>
  <c r="AD87" i="1" s="1"/>
  <c r="AD89" i="1" s="1"/>
  <c r="CW89" i="1"/>
  <c r="CD1" i="1"/>
  <c r="CE1" i="1" s="1"/>
  <c r="CF1" i="1" s="1"/>
  <c r="CG1" i="1" s="1"/>
  <c r="CH1" i="1" s="1"/>
  <c r="CI1" i="1" s="1"/>
  <c r="CJ1" i="1" s="1"/>
  <c r="CK1" i="1" s="1"/>
  <c r="L217" i="1"/>
  <c r="L219" i="1" s="1"/>
  <c r="J217" i="1"/>
  <c r="J219" i="1" s="1"/>
  <c r="J90" i="1"/>
  <c r="J93" i="1" s="1"/>
  <c r="M217" i="1"/>
  <c r="M219" i="1" s="1"/>
  <c r="B76" i="1"/>
  <c r="F76" i="1"/>
  <c r="F90" i="1"/>
  <c r="F93" i="1" s="1"/>
  <c r="I76" i="1"/>
  <c r="I90" i="1"/>
  <c r="C76" i="1"/>
  <c r="L76" i="1"/>
  <c r="L90" i="1"/>
  <c r="S90" i="1"/>
  <c r="S76" i="1"/>
  <c r="J76" i="1"/>
  <c r="S217" i="1"/>
  <c r="S219" i="1" s="1"/>
  <c r="M76" i="1"/>
  <c r="I217" i="1"/>
  <c r="I219" i="1" s="1"/>
  <c r="F217" i="1"/>
  <c r="F219" i="1" s="1"/>
  <c r="C217" i="1"/>
  <c r="C219" i="1" s="1"/>
  <c r="CB128" i="1" l="1"/>
  <c r="CB111" i="1"/>
  <c r="CB132" i="1"/>
  <c r="CB135" i="1" s="1"/>
  <c r="CB138" i="1" s="1"/>
  <c r="CB120" i="1"/>
  <c r="ID19" i="4"/>
  <c r="AX102" i="1" s="1"/>
  <c r="AX131" i="1" s="1"/>
  <c r="II16" i="4"/>
  <c r="IM20" i="4"/>
  <c r="BG103" i="1" s="1"/>
  <c r="BG132" i="1" s="1"/>
  <c r="IU9" i="4"/>
  <c r="IU21" i="4" s="1"/>
  <c r="BO101" i="1" s="1"/>
  <c r="IO15" i="4" s="1"/>
  <c r="IO20" i="4" s="1"/>
  <c r="BI103" i="1" s="1"/>
  <c r="BI132" i="1" s="1"/>
  <c r="K93" i="1"/>
  <c r="Q93" i="1"/>
  <c r="U94" i="1"/>
  <c r="M123" i="1"/>
  <c r="H93" i="1"/>
  <c r="E93" i="1"/>
  <c r="V93" i="1"/>
  <c r="O90" i="1"/>
  <c r="W90" i="1"/>
  <c r="CQ218" i="1"/>
  <c r="CQ156" i="1"/>
  <c r="DA101" i="1"/>
  <c r="CX89" i="1"/>
  <c r="CY87" i="1"/>
  <c r="AB148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94" i="1"/>
  <c r="G94" i="1"/>
  <c r="S93" i="1"/>
  <c r="I93" i="1"/>
  <c r="J94" i="1" s="1"/>
  <c r="L93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E89" i="2"/>
  <c r="Q79" i="2"/>
  <c r="I43" i="2"/>
  <c r="K68" i="2"/>
  <c r="J69" i="2"/>
  <c r="L66" i="2"/>
  <c r="I111" i="2"/>
  <c r="E40" i="2"/>
  <c r="E80" i="2"/>
  <c r="H108" i="2"/>
  <c r="P60" i="2"/>
  <c r="V59" i="2"/>
  <c r="I110" i="2"/>
  <c r="L106" i="2"/>
  <c r="X104" i="2"/>
  <c r="O70" i="2"/>
  <c r="G86" i="2"/>
  <c r="H45" i="2"/>
  <c r="E48" i="2"/>
  <c r="I44" i="2"/>
  <c r="L67" i="2"/>
  <c r="R50" i="2"/>
  <c r="S64" i="2"/>
  <c r="F67" i="2"/>
  <c r="F93" i="2"/>
  <c r="AB60" i="3"/>
  <c r="AB55" i="3"/>
  <c r="AP78" i="3"/>
  <c r="AP92" i="3"/>
  <c r="AB56" i="3"/>
  <c r="AB66" i="3"/>
  <c r="R29" i="3"/>
  <c r="J36" i="3"/>
  <c r="C23" i="3"/>
  <c r="AL20" i="3"/>
  <c r="AO39" i="3"/>
  <c r="X31" i="3"/>
  <c r="AH33" i="3"/>
  <c r="AK21" i="3"/>
  <c r="G41" i="3"/>
  <c r="X7" i="3"/>
  <c r="P41" i="3"/>
  <c r="N14" i="3"/>
  <c r="AA8" i="3"/>
  <c r="P30" i="3"/>
  <c r="P25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Q61" i="3" s="1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E35" i="3"/>
  <c r="AQ5" i="3"/>
  <c r="L40" i="3"/>
  <c r="AA18" i="3"/>
  <c r="J28" i="3"/>
  <c r="N16" i="3"/>
  <c r="AM19" i="3"/>
  <c r="AJ19" i="3"/>
  <c r="AK26" i="3"/>
  <c r="U38" i="3"/>
  <c r="AI13" i="3"/>
  <c r="R5" i="3"/>
  <c r="R77" i="3" s="1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D31" i="3"/>
  <c r="AD29" i="3"/>
  <c r="U20" i="3"/>
  <c r="AB15" i="3"/>
  <c r="W8" i="3"/>
  <c r="AE15" i="3"/>
  <c r="X42" i="3"/>
  <c r="J32" i="3"/>
  <c r="J23" i="3"/>
  <c r="X32" i="3"/>
  <c r="AD25" i="3"/>
  <c r="Z20" i="3"/>
  <c r="Y8" i="3"/>
  <c r="AM34" i="3"/>
  <c r="Z32" i="3"/>
  <c r="Y14" i="3"/>
  <c r="AJ35" i="3"/>
  <c r="AO35" i="3"/>
  <c r="R31" i="3"/>
  <c r="C13" i="3"/>
  <c r="AQ35" i="3"/>
  <c r="V28" i="3"/>
  <c r="O31" i="3"/>
  <c r="AE26" i="3"/>
  <c r="H8" i="3"/>
  <c r="AM6" i="3"/>
  <c r="W30" i="3"/>
  <c r="AE27" i="3"/>
  <c r="O33" i="3"/>
  <c r="T5" i="3"/>
  <c r="AO22" i="3"/>
  <c r="AI33" i="3"/>
  <c r="AH8" i="3"/>
  <c r="K20" i="3"/>
  <c r="AD41" i="3"/>
  <c r="H22" i="3"/>
  <c r="F72" i="2"/>
  <c r="I47" i="2"/>
  <c r="W67" i="2"/>
  <c r="J113" i="2"/>
  <c r="U112" i="2"/>
  <c r="N42" i="2"/>
  <c r="O64" i="2"/>
  <c r="K69" i="2"/>
  <c r="V70" i="2"/>
  <c r="C104" i="2"/>
  <c r="W110" i="2"/>
  <c r="W45" i="2"/>
  <c r="H58" i="2"/>
  <c r="H63" i="2"/>
  <c r="D56" i="2"/>
  <c r="G67" i="2"/>
  <c r="F59" i="2"/>
  <c r="X78" i="2"/>
  <c r="R59" i="2"/>
  <c r="G55" i="2"/>
  <c r="Q51" i="2"/>
  <c r="S66" i="2"/>
  <c r="W96" i="2"/>
  <c r="O109" i="2"/>
  <c r="M42" i="2"/>
  <c r="V79" i="2"/>
  <c r="AP70" i="3"/>
  <c r="AB48" i="3"/>
  <c r="C47" i="3"/>
  <c r="AP81" i="3"/>
  <c r="AP76" i="3"/>
  <c r="AP49" i="3"/>
  <c r="S7" i="3"/>
  <c r="C37" i="3"/>
  <c r="AQ13" i="3"/>
  <c r="AM32" i="3"/>
  <c r="AL41" i="3"/>
  <c r="AH21" i="3"/>
  <c r="AK37" i="3"/>
  <c r="AD35" i="3"/>
  <c r="W37" i="3"/>
  <c r="C38" i="3"/>
  <c r="AD28" i="3"/>
  <c r="U19" i="3"/>
  <c r="V31" i="3"/>
  <c r="X34" i="3"/>
  <c r="AP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C15" i="3"/>
  <c r="AA24" i="3"/>
  <c r="H33" i="3"/>
  <c r="U13" i="3"/>
  <c r="AN30" i="3"/>
  <c r="AQ24" i="3"/>
  <c r="AE36" i="3"/>
  <c r="AG31" i="3"/>
  <c r="J40" i="3"/>
  <c r="AP42" i="3"/>
  <c r="L12" i="3"/>
  <c r="AQ31" i="3"/>
  <c r="P28" i="3"/>
  <c r="AG41" i="3"/>
  <c r="S22" i="3"/>
  <c r="V35" i="3"/>
  <c r="O12" i="3"/>
  <c r="T15" i="3"/>
  <c r="AH18" i="3"/>
  <c r="AD23" i="3"/>
  <c r="AE22" i="3"/>
  <c r="W14" i="3"/>
  <c r="Q17" i="3"/>
  <c r="AH20" i="3"/>
  <c r="V15" i="3"/>
  <c r="N41" i="3"/>
  <c r="AO40" i="3"/>
  <c r="E67" i="2"/>
  <c r="W66" i="2"/>
  <c r="K84" i="2"/>
  <c r="M81" i="2"/>
  <c r="I42" i="2"/>
  <c r="D95" i="2"/>
  <c r="I45" i="2"/>
  <c r="R71" i="2"/>
  <c r="H61" i="2"/>
  <c r="R73" i="2"/>
  <c r="V53" i="2"/>
  <c r="Q72" i="2"/>
  <c r="V108" i="2"/>
  <c r="V68" i="2"/>
  <c r="O88" i="2"/>
  <c r="D75" i="2"/>
  <c r="R68" i="2"/>
  <c r="T62" i="2"/>
  <c r="G78" i="2"/>
  <c r="U85" i="2"/>
  <c r="U108" i="2"/>
  <c r="X109" i="2"/>
  <c r="N61" i="2"/>
  <c r="T110" i="2"/>
  <c r="X84" i="2"/>
  <c r="U113" i="2"/>
  <c r="AP56" i="3"/>
  <c r="AB77" i="3"/>
  <c r="AB79" i="3"/>
  <c r="AP62" i="3"/>
  <c r="AB49" i="3"/>
  <c r="AP64" i="3"/>
  <c r="Z30" i="3"/>
  <c r="L19" i="3"/>
  <c r="U21" i="3"/>
  <c r="J16" i="3"/>
  <c r="R25" i="3"/>
  <c r="AL27" i="3"/>
  <c r="AO15" i="3"/>
  <c r="V24" i="3"/>
  <c r="H28" i="3"/>
  <c r="O37" i="3"/>
  <c r="I36" i="3"/>
  <c r="AH17" i="3"/>
  <c r="M11" i="3"/>
  <c r="T33" i="3"/>
  <c r="K36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F109" i="2"/>
  <c r="K67" i="2"/>
  <c r="U90" i="2"/>
  <c r="L96" i="2"/>
  <c r="X56" i="2"/>
  <c r="W78" i="2"/>
  <c r="V81" i="2"/>
  <c r="G56" i="2"/>
  <c r="H67" i="2"/>
  <c r="X87" i="2"/>
  <c r="M51" i="2"/>
  <c r="M68" i="2"/>
  <c r="V77" i="2"/>
  <c r="R107" i="2"/>
  <c r="S65" i="2"/>
  <c r="F45" i="2"/>
  <c r="R104" i="2"/>
  <c r="P48" i="2"/>
  <c r="M67" i="2"/>
  <c r="N63" i="2"/>
  <c r="G62" i="2"/>
  <c r="P92" i="2"/>
  <c r="U65" i="2"/>
  <c r="U64" i="2"/>
  <c r="L40" i="2"/>
  <c r="N47" i="2"/>
  <c r="AB58" i="3"/>
  <c r="AB72" i="3"/>
  <c r="AB50" i="3"/>
  <c r="AB62" i="3"/>
  <c r="C49" i="3"/>
  <c r="AP69" i="3"/>
  <c r="W5" i="3"/>
  <c r="M35" i="3"/>
  <c r="R18" i="3"/>
  <c r="AQ39" i="3"/>
  <c r="AD50" i="3"/>
  <c r="Y17" i="3"/>
  <c r="L25" i="3"/>
  <c r="AI24" i="3"/>
  <c r="AI16" i="3"/>
  <c r="M29" i="3"/>
  <c r="N19" i="3"/>
  <c r="Y6" i="3"/>
  <c r="G37" i="3"/>
  <c r="S35" i="3"/>
  <c r="Q33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AP32" i="3"/>
  <c r="U78" i="2"/>
  <c r="M94" i="2"/>
  <c r="T41" i="2"/>
  <c r="G59" i="2"/>
  <c r="N86" i="2"/>
  <c r="W53" i="2"/>
  <c r="U59" i="2"/>
  <c r="C90" i="2"/>
  <c r="G87" i="2"/>
  <c r="T91" i="2"/>
  <c r="V46" i="2"/>
  <c r="C44" i="2"/>
  <c r="K46" i="2"/>
  <c r="U86" i="2"/>
  <c r="I69" i="2"/>
  <c r="P110" i="2"/>
  <c r="W104" i="2"/>
  <c r="J45" i="2"/>
  <c r="G64" i="2"/>
  <c r="U107" i="2"/>
  <c r="X112" i="2"/>
  <c r="H76" i="2"/>
  <c r="P45" i="2"/>
  <c r="O62" i="2"/>
  <c r="M59" i="2"/>
  <c r="L83" i="2"/>
  <c r="AB73" i="3"/>
  <c r="AB47" i="3"/>
  <c r="AP65" i="3"/>
  <c r="AP82" i="3"/>
  <c r="AB86" i="3"/>
  <c r="AP73" i="3"/>
  <c r="P32" i="3"/>
  <c r="AJ38" i="3"/>
  <c r="AK5" i="3"/>
  <c r="AP10" i="3"/>
  <c r="AN22" i="3"/>
  <c r="AC20" i="3"/>
  <c r="I28" i="3"/>
  <c r="S36" i="3"/>
  <c r="AH13" i="3"/>
  <c r="K40" i="3"/>
  <c r="R35" i="3"/>
  <c r="Z25" i="3"/>
  <c r="N39" i="3"/>
  <c r="AE25" i="3"/>
  <c r="AD20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O13" i="3"/>
  <c r="K9" i="3"/>
  <c r="AQ28" i="3"/>
  <c r="T13" i="3"/>
  <c r="AQ11" i="3"/>
  <c r="AA37" i="3"/>
  <c r="Q10" i="3"/>
  <c r="K5" i="3"/>
  <c r="AJ29" i="3"/>
  <c r="L32" i="3"/>
  <c r="X30" i="3"/>
  <c r="AE32" i="3"/>
  <c r="AE9" i="3"/>
  <c r="AP19" i="3"/>
  <c r="AG17" i="3"/>
  <c r="AO20" i="3"/>
  <c r="AH42" i="3"/>
  <c r="U24" i="3"/>
  <c r="H24" i="3"/>
  <c r="AL31" i="3"/>
  <c r="AM40" i="3"/>
  <c r="M39" i="3"/>
  <c r="AD38" i="3"/>
  <c r="S34" i="3"/>
  <c r="AP8" i="3"/>
  <c r="M9" i="3"/>
  <c r="AK24" i="3"/>
  <c r="AA6" i="3"/>
  <c r="AE19" i="3"/>
  <c r="AM9" i="3"/>
  <c r="H42" i="3"/>
  <c r="C33" i="3"/>
  <c r="AI31" i="3"/>
  <c r="N32" i="3"/>
  <c r="C8" i="3"/>
  <c r="C24" i="3"/>
  <c r="AA32" i="3"/>
  <c r="I40" i="3"/>
  <c r="AQ22" i="3"/>
  <c r="T11" i="3"/>
  <c r="I18" i="3"/>
  <c r="K6" i="3"/>
  <c r="AI37" i="3"/>
  <c r="Z18" i="3"/>
  <c r="AN42" i="3"/>
  <c r="X37" i="3"/>
  <c r="Y42" i="3"/>
  <c r="W25" i="3"/>
  <c r="AJ42" i="3"/>
  <c r="D48" i="3"/>
  <c r="U32" i="3"/>
  <c r="T40" i="3"/>
  <c r="AI17" i="3"/>
  <c r="AE40" i="3"/>
  <c r="Q39" i="3"/>
  <c r="AK28" i="3"/>
  <c r="X113" i="2"/>
  <c r="U83" i="2"/>
  <c r="U77" i="2"/>
  <c r="L104" i="2"/>
  <c r="S41" i="2"/>
  <c r="E56" i="2"/>
  <c r="E59" i="2"/>
  <c r="U93" i="2"/>
  <c r="P93" i="2"/>
  <c r="X43" i="2"/>
  <c r="I81" i="2"/>
  <c r="O52" i="2"/>
  <c r="C78" i="2"/>
  <c r="Q50" i="2"/>
  <c r="F77" i="2"/>
  <c r="G42" i="2"/>
  <c r="T74" i="2"/>
  <c r="C61" i="2"/>
  <c r="N67" i="2"/>
  <c r="Q73" i="2"/>
  <c r="H97" i="2"/>
  <c r="F81" i="2"/>
  <c r="E77" i="2"/>
  <c r="F82" i="2"/>
  <c r="G83" i="2"/>
  <c r="C87" i="2"/>
  <c r="AP96" i="3"/>
  <c r="AP48" i="3"/>
  <c r="AP57" i="3"/>
  <c r="AP87" i="3"/>
  <c r="AP50" i="3"/>
  <c r="AB85" i="3"/>
  <c r="I22" i="3"/>
  <c r="AI12" i="3"/>
  <c r="N26" i="3"/>
  <c r="Q34" i="3"/>
  <c r="O29" i="3"/>
  <c r="O21" i="3"/>
  <c r="P5" i="3"/>
  <c r="S12" i="3"/>
  <c r="AI41" i="3"/>
  <c r="U15" i="3"/>
  <c r="L37" i="3"/>
  <c r="AA12" i="3"/>
  <c r="I16" i="3"/>
  <c r="H13" i="3"/>
  <c r="Q35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H12" i="3"/>
  <c r="K41" i="3"/>
  <c r="AP38" i="3"/>
  <c r="AA26" i="3"/>
  <c r="J11" i="3"/>
  <c r="AM16" i="3"/>
  <c r="AE10" i="3"/>
  <c r="V8" i="3"/>
  <c r="AD24" i="3"/>
  <c r="G42" i="3"/>
  <c r="AM25" i="3"/>
  <c r="AE14" i="3"/>
  <c r="AP30" i="3"/>
  <c r="M20" i="3"/>
  <c r="C25" i="3"/>
  <c r="AH11" i="3"/>
  <c r="R6" i="3"/>
  <c r="Q38" i="3"/>
  <c r="AL16" i="3"/>
  <c r="AI34" i="3"/>
  <c r="AJ36" i="3"/>
  <c r="AC17" i="3"/>
  <c r="AM24" i="3"/>
  <c r="AN19" i="3"/>
  <c r="AP17" i="3"/>
  <c r="N30" i="3"/>
  <c r="AN29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G20" i="3"/>
  <c r="AK40" i="3"/>
  <c r="M42" i="3"/>
  <c r="N31" i="3"/>
  <c r="AL32" i="3"/>
  <c r="H26" i="3"/>
  <c r="N17" i="3"/>
  <c r="L34" i="3"/>
  <c r="AA15" i="3"/>
  <c r="G34" i="3"/>
  <c r="P12" i="3"/>
  <c r="R7" i="3"/>
  <c r="AG13" i="3"/>
  <c r="H39" i="3"/>
  <c r="P36" i="3"/>
  <c r="J26" i="3"/>
  <c r="T6" i="3"/>
  <c r="N22" i="3"/>
  <c r="AH6" i="3"/>
  <c r="X6" i="3"/>
  <c r="D76" i="2"/>
  <c r="V94" i="2"/>
  <c r="F112" i="2"/>
  <c r="V47" i="2"/>
  <c r="L80" i="2"/>
  <c r="U46" i="2"/>
  <c r="W82" i="2"/>
  <c r="D58" i="2"/>
  <c r="O79" i="2"/>
  <c r="S110" i="2"/>
  <c r="J49" i="2"/>
  <c r="T93" i="2"/>
  <c r="I51" i="2"/>
  <c r="G74" i="2"/>
  <c r="M56" i="2"/>
  <c r="K41" i="2"/>
  <c r="I88" i="2"/>
  <c r="D94" i="2"/>
  <c r="K77" i="2"/>
  <c r="I58" i="2"/>
  <c r="W52" i="2"/>
  <c r="G51" i="2"/>
  <c r="O61" i="2"/>
  <c r="X85" i="2"/>
  <c r="M47" i="2"/>
  <c r="C63" i="2"/>
  <c r="AB57" i="3"/>
  <c r="AP83" i="3"/>
  <c r="AP79" i="3"/>
  <c r="AB87" i="3"/>
  <c r="AB70" i="3"/>
  <c r="AB84" i="3"/>
  <c r="AI6" i="3"/>
  <c r="U55" i="2"/>
  <c r="H79" i="2"/>
  <c r="J70" i="2"/>
  <c r="G105" i="2"/>
  <c r="X107" i="2"/>
  <c r="F64" i="2"/>
  <c r="X61" i="2"/>
  <c r="H47" i="2"/>
  <c r="S83" i="2"/>
  <c r="H68" i="2"/>
  <c r="X53" i="2"/>
  <c r="Q98" i="2"/>
  <c r="S56" i="2"/>
  <c r="J51" i="2"/>
  <c r="X97" i="2"/>
  <c r="D68" i="2"/>
  <c r="K73" i="2"/>
  <c r="T105" i="2"/>
  <c r="G70" i="2"/>
  <c r="O66" i="2"/>
  <c r="N55" i="2"/>
  <c r="J67" i="2"/>
  <c r="J81" i="2"/>
  <c r="T63" i="2"/>
  <c r="L97" i="2"/>
  <c r="AB65" i="3"/>
  <c r="AB59" i="3"/>
  <c r="AB93" i="3"/>
  <c r="AP63" i="3"/>
  <c r="AB54" i="3"/>
  <c r="AP77" i="3"/>
  <c r="AB95" i="3"/>
  <c r="AG39" i="3"/>
  <c r="AC18" i="3"/>
  <c r="G36" i="3"/>
  <c r="M10" i="3"/>
  <c r="Y40" i="3"/>
  <c r="R36" i="3"/>
  <c r="AE31" i="3"/>
  <c r="C7" i="3"/>
  <c r="I19" i="3"/>
  <c r="AA9" i="3"/>
  <c r="AI11" i="3"/>
  <c r="AE21" i="3"/>
  <c r="W21" i="3"/>
  <c r="AP13" i="3"/>
  <c r="Q3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AO27" i="3"/>
  <c r="E99" i="2"/>
  <c r="Q94" i="2"/>
  <c r="F61" i="2"/>
  <c r="V66" i="2"/>
  <c r="O112" i="2"/>
  <c r="D82" i="2"/>
  <c r="X48" i="2"/>
  <c r="F56" i="2"/>
  <c r="S52" i="2"/>
  <c r="J77" i="2"/>
  <c r="F98" i="2"/>
  <c r="Q86" i="2"/>
  <c r="F85" i="2"/>
  <c r="O67" i="2"/>
  <c r="N71" i="2"/>
  <c r="G94" i="2"/>
  <c r="L42" i="2"/>
  <c r="T58" i="2"/>
  <c r="G79" i="2"/>
  <c r="P77" i="2"/>
  <c r="R97" i="2"/>
  <c r="X81" i="2"/>
  <c r="M111" i="2"/>
  <c r="K111" i="2"/>
  <c r="H55" i="2"/>
  <c r="AB83" i="3"/>
  <c r="AP93" i="3"/>
  <c r="AB90" i="3"/>
  <c r="AB96" i="3"/>
  <c r="AB82" i="3"/>
  <c r="AP89" i="3"/>
  <c r="AB74" i="3"/>
  <c r="AN8" i="3"/>
  <c r="O39" i="3"/>
  <c r="AJ31" i="3"/>
  <c r="W28" i="3"/>
  <c r="R24" i="3"/>
  <c r="AJ22" i="3"/>
  <c r="AC39" i="3"/>
  <c r="O28" i="3"/>
  <c r="AA25" i="3"/>
  <c r="J12" i="3"/>
  <c r="AN9" i="3"/>
  <c r="O17" i="3"/>
  <c r="W18" i="3"/>
  <c r="AQ18" i="3"/>
  <c r="U1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Y29" i="3"/>
  <c r="S84" i="2"/>
  <c r="X51" i="2"/>
  <c r="F43" i="2"/>
  <c r="K96" i="2"/>
  <c r="P53" i="2"/>
  <c r="C93" i="2"/>
  <c r="M109" i="2"/>
  <c r="O104" i="2"/>
  <c r="G54" i="2"/>
  <c r="K112" i="2"/>
  <c r="C40" i="2"/>
  <c r="D67" i="2"/>
  <c r="W86" i="2"/>
  <c r="U43" i="2"/>
  <c r="P57" i="2"/>
  <c r="H88" i="2"/>
  <c r="J60" i="2"/>
  <c r="D41" i="2"/>
  <c r="P56" i="2"/>
  <c r="I40" i="2"/>
  <c r="H109" i="2"/>
  <c r="K63" i="2"/>
  <c r="W112" i="2"/>
  <c r="O47" i="2"/>
  <c r="S98" i="2"/>
  <c r="AP68" i="3"/>
  <c r="AB78" i="3"/>
  <c r="AB92" i="3"/>
  <c r="AP91" i="3"/>
  <c r="AP54" i="3"/>
  <c r="AB69" i="3"/>
  <c r="T23" i="3"/>
  <c r="T8" i="3"/>
  <c r="AN33" i="3"/>
  <c r="M17" i="3"/>
  <c r="T24" i="3"/>
  <c r="Z10" i="3"/>
  <c r="W22" i="3"/>
  <c r="X12" i="3"/>
  <c r="AB20" i="3"/>
  <c r="X27" i="3"/>
  <c r="H14" i="3"/>
  <c r="Z34" i="3"/>
  <c r="S32" i="3"/>
  <c r="N34" i="3"/>
  <c r="L29" i="3"/>
  <c r="AJ41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AJ55" i="3" s="1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M93" i="3" s="1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AQ25" i="3"/>
  <c r="Q13" i="3"/>
  <c r="O14" i="3"/>
  <c r="K31" i="3"/>
  <c r="AD42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AA38" i="3"/>
  <c r="I5" i="3"/>
  <c r="I81" i="3" s="1"/>
  <c r="AI14" i="3"/>
  <c r="U16" i="3"/>
  <c r="AJ7" i="3"/>
  <c r="C26" i="3"/>
  <c r="AP21" i="3"/>
  <c r="AA27" i="3"/>
  <c r="AA35" i="3"/>
  <c r="Y37" i="3"/>
  <c r="AE20" i="3"/>
  <c r="AE41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S29" i="3"/>
  <c r="W17" i="3"/>
  <c r="T29" i="3"/>
  <c r="AN39" i="3"/>
  <c r="AB8" i="3"/>
  <c r="AL5" i="3"/>
  <c r="K34" i="3"/>
  <c r="AG14" i="3"/>
  <c r="R11" i="3"/>
  <c r="Q8" i="3"/>
  <c r="K32" i="3"/>
  <c r="C16" i="3"/>
  <c r="R16" i="3"/>
  <c r="AB9" i="3"/>
  <c r="L62" i="2"/>
  <c r="J89" i="2"/>
  <c r="D55" i="2"/>
  <c r="J97" i="2"/>
  <c r="T89" i="2"/>
  <c r="Q61" i="2"/>
  <c r="D104" i="2"/>
  <c r="H42" i="2"/>
  <c r="K57" i="2"/>
  <c r="G49" i="2"/>
  <c r="H80" i="2"/>
  <c r="T86" i="2"/>
  <c r="R94" i="2"/>
  <c r="O91" i="2"/>
  <c r="X86" i="2"/>
  <c r="H90" i="2"/>
  <c r="T49" i="2"/>
  <c r="T57" i="2"/>
  <c r="W79" i="2"/>
  <c r="R40" i="2"/>
  <c r="N98" i="2"/>
  <c r="Q47" i="2"/>
  <c r="M108" i="2"/>
  <c r="F97" i="2"/>
  <c r="L78" i="2"/>
  <c r="AB81" i="3"/>
  <c r="AB80" i="3"/>
  <c r="AP55" i="3"/>
  <c r="AP58" i="3"/>
  <c r="AP85" i="3"/>
  <c r="AB64" i="3"/>
  <c r="C28" i="3"/>
  <c r="O22" i="3"/>
  <c r="AH23" i="3"/>
  <c r="T17" i="3"/>
  <c r="J41" i="3"/>
  <c r="E49" i="3"/>
  <c r="Q36" i="3"/>
  <c r="M34" i="3"/>
  <c r="AH16" i="3"/>
  <c r="I37" i="3"/>
  <c r="I9" i="3"/>
  <c r="L11" i="3"/>
  <c r="K29" i="3"/>
  <c r="AL30" i="3"/>
  <c r="W40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U7" i="3"/>
  <c r="AC35" i="3"/>
  <c r="M21" i="3"/>
  <c r="AE12" i="3"/>
  <c r="K26" i="3"/>
  <c r="AQ37" i="3"/>
  <c r="H7" i="3"/>
  <c r="AI42" i="3"/>
  <c r="C31" i="3"/>
  <c r="AA20" i="3"/>
  <c r="U5" i="3"/>
  <c r="Y5" i="3"/>
  <c r="K17" i="3"/>
  <c r="Z5" i="3"/>
  <c r="W20" i="3"/>
  <c r="AC40" i="3"/>
  <c r="X11" i="3"/>
  <c r="F68" i="2"/>
  <c r="X89" i="2"/>
  <c r="J87" i="2"/>
  <c r="O65" i="2"/>
  <c r="E88" i="2"/>
  <c r="M70" i="2"/>
  <c r="E74" i="2"/>
  <c r="N79" i="2"/>
  <c r="F58" i="2"/>
  <c r="X111" i="2"/>
  <c r="K78" i="2"/>
  <c r="E113" i="2"/>
  <c r="T109" i="2"/>
  <c r="E97" i="2"/>
  <c r="S90" i="2"/>
  <c r="I75" i="2"/>
  <c r="E112" i="2"/>
  <c r="E87" i="2"/>
  <c r="G76" i="2"/>
  <c r="N70" i="2"/>
  <c r="O50" i="2"/>
  <c r="E78" i="2"/>
  <c r="I73" i="2"/>
  <c r="U40" i="2"/>
  <c r="X45" i="2"/>
  <c r="AB68" i="3"/>
  <c r="AP86" i="3"/>
  <c r="AP59" i="3"/>
  <c r="AB75" i="3"/>
  <c r="AP80" i="3"/>
  <c r="AP67" i="3"/>
  <c r="H34" i="3"/>
  <c r="AL33" i="3"/>
  <c r="H41" i="3"/>
  <c r="O23" i="3"/>
  <c r="T25" i="3"/>
  <c r="Z6" i="3"/>
  <c r="AB19" i="3"/>
  <c r="Z8" i="3"/>
  <c r="W33" i="3"/>
  <c r="AA34" i="3"/>
  <c r="AO7" i="3"/>
  <c r="S33" i="3"/>
  <c r="J37" i="3"/>
  <c r="X24" i="3"/>
  <c r="Y13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M30" i="3"/>
  <c r="N42" i="3"/>
  <c r="X17" i="3"/>
  <c r="AC11" i="3"/>
  <c r="L21" i="3"/>
  <c r="Y21" i="3"/>
  <c r="C11" i="3"/>
  <c r="N23" i="3"/>
  <c r="M40" i="3"/>
  <c r="N27" i="3"/>
  <c r="S15" i="3"/>
  <c r="AO19" i="3"/>
  <c r="AJ40" i="3"/>
  <c r="AA39" i="3"/>
  <c r="I17" i="3"/>
  <c r="AG40" i="3"/>
  <c r="AO5" i="3"/>
  <c r="AL28" i="3"/>
  <c r="J35" i="3"/>
  <c r="AN11" i="3"/>
  <c r="X19" i="3"/>
  <c r="Y41" i="3"/>
  <c r="AQ17" i="3"/>
  <c r="J19" i="3"/>
  <c r="K12" i="3"/>
  <c r="AG11" i="3"/>
  <c r="AJ27" i="3"/>
  <c r="AC32" i="3"/>
  <c r="T18" i="3"/>
  <c r="C35" i="3"/>
  <c r="AM31" i="3"/>
  <c r="O40" i="3"/>
  <c r="AQ20" i="3"/>
  <c r="AA22" i="3"/>
  <c r="AG29" i="3"/>
  <c r="K8" i="3"/>
  <c r="K27" i="3"/>
  <c r="AI40" i="3"/>
  <c r="V20" i="3"/>
  <c r="AH38" i="3"/>
  <c r="G47" i="3"/>
  <c r="S37" i="3"/>
  <c r="S13" i="3"/>
  <c r="T31" i="3"/>
  <c r="AN15" i="3"/>
  <c r="L24" i="3"/>
  <c r="V21" i="3"/>
  <c r="AQ7" i="3"/>
  <c r="AO37" i="3"/>
  <c r="Z33" i="3"/>
  <c r="L35" i="3"/>
  <c r="H63" i="3"/>
  <c r="H88" i="3"/>
  <c r="H89" i="3"/>
  <c r="P60" i="3"/>
  <c r="P86" i="3"/>
  <c r="T80" i="3"/>
  <c r="AG88" i="3"/>
  <c r="R88" i="3"/>
  <c r="AI60" i="3"/>
  <c r="H68" i="3"/>
  <c r="AA65" i="3"/>
  <c r="AE75" i="3"/>
  <c r="H82" i="3"/>
  <c r="Q82" i="3"/>
  <c r="AE55" i="3"/>
  <c r="AK77" i="3"/>
  <c r="H75" i="3"/>
  <c r="P59" i="3"/>
  <c r="Q87" i="3"/>
  <c r="H97" i="3"/>
  <c r="J95" i="3"/>
  <c r="AK69" i="3"/>
  <c r="AI84" i="3"/>
  <c r="O66" i="3"/>
  <c r="H58" i="3"/>
  <c r="AN71" i="3"/>
  <c r="AK96" i="3"/>
  <c r="H92" i="3"/>
  <c r="H76" i="3"/>
  <c r="J80" i="3"/>
  <c r="AE85" i="3"/>
  <c r="AK68" i="3"/>
  <c r="L69" i="3"/>
  <c r="AE67" i="3"/>
  <c r="AK56" i="3"/>
  <c r="AI58" i="3"/>
  <c r="H81" i="3"/>
  <c r="AN75" i="3"/>
  <c r="T49" i="3"/>
  <c r="N85" i="3"/>
  <c r="AK60" i="3"/>
  <c r="AI90" i="3"/>
  <c r="AI89" i="3"/>
  <c r="L61" i="3"/>
  <c r="J68" i="3"/>
  <c r="V56" i="3"/>
  <c r="AG62" i="3"/>
  <c r="T55" i="3"/>
  <c r="Y54" i="3"/>
  <c r="N78" i="3"/>
  <c r="AE61" i="3"/>
  <c r="AI85" i="3"/>
  <c r="P71" i="3"/>
  <c r="AL54" i="3"/>
  <c r="AC97" i="3"/>
  <c r="I79" i="3"/>
  <c r="N59" i="3"/>
  <c r="AE70" i="3"/>
  <c r="K77" i="3"/>
  <c r="AH57" i="3"/>
  <c r="R70" i="3"/>
  <c r="AE92" i="3"/>
  <c r="AQ80" i="3"/>
  <c r="H86" i="3"/>
  <c r="Z81" i="3"/>
  <c r="AE50" i="3"/>
  <c r="AQ84" i="3"/>
  <c r="H71" i="3"/>
  <c r="L47" i="3"/>
  <c r="AK81" i="3"/>
  <c r="AI80" i="3"/>
  <c r="AE81" i="3"/>
  <c r="P93" i="3"/>
  <c r="AE95" i="3"/>
  <c r="AA79" i="3"/>
  <c r="AO72" i="3"/>
  <c r="N82" i="3"/>
  <c r="AG60" i="3"/>
  <c r="T57" i="3"/>
  <c r="U76" i="3"/>
  <c r="AQ61" i="3"/>
  <c r="I69" i="3"/>
  <c r="AQ64" i="3"/>
  <c r="K82" i="3"/>
  <c r="T92" i="3"/>
  <c r="R71" i="3"/>
  <c r="AA64" i="3"/>
  <c r="N90" i="3"/>
  <c r="V48" i="3"/>
  <c r="AN73" i="3"/>
  <c r="AQ55" i="3"/>
  <c r="P97" i="3"/>
  <c r="L49" i="3"/>
  <c r="P89" i="3"/>
  <c r="AA94" i="3"/>
  <c r="J78" i="3"/>
  <c r="O56" i="3"/>
  <c r="AL84" i="3"/>
  <c r="AO90" i="3"/>
  <c r="AK79" i="3"/>
  <c r="P48" i="3"/>
  <c r="AI86" i="3"/>
  <c r="AL49" i="3"/>
  <c r="K69" i="3"/>
  <c r="AE86" i="3"/>
  <c r="AH88" i="3"/>
  <c r="R94" i="3"/>
  <c r="AG79" i="3"/>
  <c r="I72" i="3"/>
  <c r="H94" i="3"/>
  <c r="V93" i="3"/>
  <c r="U90" i="3"/>
  <c r="T71" i="3"/>
  <c r="U82" i="3"/>
  <c r="AN68" i="3"/>
  <c r="T89" i="3"/>
  <c r="T70" i="3"/>
  <c r="R72" i="3"/>
  <c r="Q78" i="3"/>
  <c r="AK72" i="3"/>
  <c r="AQ83" i="3"/>
  <c r="AA73" i="3"/>
  <c r="I73" i="3"/>
  <c r="P92" i="3"/>
  <c r="X63" i="3"/>
  <c r="N77" i="3"/>
  <c r="AL68" i="3"/>
  <c r="S55" i="3"/>
  <c r="AH83" i="3"/>
  <c r="I64" i="3"/>
  <c r="S81" i="3"/>
  <c r="V95" i="3"/>
  <c r="Z88" i="3"/>
  <c r="Q48" i="3"/>
  <c r="U61" i="3"/>
  <c r="N87" i="3"/>
  <c r="AC94" i="3"/>
  <c r="AQ96" i="3"/>
  <c r="H78" i="3"/>
  <c r="P78" i="3"/>
  <c r="AK61" i="3"/>
  <c r="H66" i="3"/>
  <c r="H61" i="3"/>
  <c r="L86" i="3"/>
  <c r="L73" i="3"/>
  <c r="O91" i="3"/>
  <c r="Q63" i="3"/>
  <c r="AO74" i="3"/>
  <c r="V60" i="3"/>
  <c r="AG64" i="3"/>
  <c r="AG66" i="3"/>
  <c r="AL73" i="3"/>
  <c r="S56" i="3"/>
  <c r="U87" i="3"/>
  <c r="AQ79" i="3"/>
  <c r="R76" i="3"/>
  <c r="L67" i="3"/>
  <c r="Z93" i="3"/>
  <c r="Z74" i="3"/>
  <c r="K86" i="3"/>
  <c r="U47" i="3"/>
  <c r="Y75" i="3"/>
  <c r="I47" i="3"/>
  <c r="AH68" i="3"/>
  <c r="AL56" i="3"/>
  <c r="AQ47" i="3"/>
  <c r="N95" i="3"/>
  <c r="AO77" i="3"/>
  <c r="R89" i="3"/>
  <c r="AK57" i="3"/>
  <c r="X73" i="3"/>
  <c r="V65" i="3"/>
  <c r="AK71" i="3"/>
  <c r="AA54" i="3"/>
  <c r="S78" i="3"/>
  <c r="AG87" i="3"/>
  <c r="Z78" i="3"/>
  <c r="Y49" i="3"/>
  <c r="AQ76" i="3"/>
  <c r="N65" i="3"/>
  <c r="K50" i="3"/>
  <c r="T97" i="3"/>
  <c r="R58" i="3"/>
  <c r="AK66" i="3"/>
  <c r="AG63" i="3"/>
  <c r="K67" i="3"/>
  <c r="R92" i="3"/>
  <c r="R73" i="3"/>
  <c r="Q91" i="3"/>
  <c r="O49" i="3"/>
  <c r="L89" i="3"/>
  <c r="P90" i="3"/>
  <c r="N81" i="3"/>
  <c r="AL81" i="3"/>
  <c r="AN81" i="3"/>
  <c r="R60" i="3"/>
  <c r="AK64" i="3"/>
  <c r="S90" i="3"/>
  <c r="AQ49" i="3"/>
  <c r="R87" i="3"/>
  <c r="U59" i="3"/>
  <c r="AG50" i="3"/>
  <c r="AE94" i="3"/>
  <c r="Z66" i="3"/>
  <c r="AL88" i="3"/>
  <c r="T87" i="3"/>
  <c r="R59" i="3"/>
  <c r="S67" i="3"/>
  <c r="AH80" i="3"/>
  <c r="S91" i="3"/>
  <c r="T85" i="3"/>
  <c r="R96" i="3"/>
  <c r="AA66" i="3"/>
  <c r="AG69" i="3"/>
  <c r="AI91" i="3"/>
  <c r="AQ63" i="3"/>
  <c r="AA49" i="3"/>
  <c r="X71" i="3"/>
  <c r="Q77" i="3"/>
  <c r="L92" i="3"/>
  <c r="AI70" i="3"/>
  <c r="AI74" i="3"/>
  <c r="AC68" i="3"/>
  <c r="J66" i="3"/>
  <c r="U63" i="3"/>
  <c r="AN57" i="3"/>
  <c r="S94" i="3"/>
  <c r="U96" i="3"/>
  <c r="I56" i="3"/>
  <c r="AL63" i="3"/>
  <c r="R63" i="3"/>
  <c r="V81" i="3"/>
  <c r="J54" i="3"/>
  <c r="S88" i="3"/>
  <c r="R91" i="3"/>
  <c r="AC93" i="3"/>
  <c r="P82" i="3"/>
  <c r="AK74" i="3"/>
  <c r="AK83" i="3"/>
  <c r="Q56" i="3"/>
  <c r="O67" i="3"/>
  <c r="T86" i="3"/>
  <c r="Z90" i="3"/>
  <c r="T64" i="3"/>
  <c r="N58" i="3"/>
  <c r="J50" i="3"/>
  <c r="AK82" i="3"/>
  <c r="AL92" i="3"/>
  <c r="AH67" i="3"/>
  <c r="S61" i="3"/>
  <c r="AH86" i="3"/>
  <c r="R75" i="3"/>
  <c r="H95" i="3"/>
  <c r="AC96" i="3"/>
  <c r="S89" i="3"/>
  <c r="AO70" i="3"/>
  <c r="AK50" i="3"/>
  <c r="AH81" i="3"/>
  <c r="I85" i="3"/>
  <c r="V82" i="3"/>
  <c r="P49" i="3"/>
  <c r="P95" i="3"/>
  <c r="X95" i="3"/>
  <c r="J62" i="3"/>
  <c r="N74" i="3"/>
  <c r="K88" i="3"/>
  <c r="AQ69" i="3"/>
  <c r="Q65" i="3"/>
  <c r="X48" i="3"/>
  <c r="AH92" i="3"/>
  <c r="P81" i="3"/>
  <c r="AN87" i="3"/>
  <c r="X87" i="3"/>
  <c r="V59" i="3"/>
  <c r="S64" i="3"/>
  <c r="AE77" i="3"/>
  <c r="X74" i="3"/>
  <c r="AQ50" i="3"/>
  <c r="T56" i="3"/>
  <c r="AO87" i="3"/>
  <c r="S62" i="3"/>
  <c r="P77" i="3"/>
  <c r="AK73" i="3"/>
  <c r="AC89" i="3"/>
  <c r="Q95" i="3"/>
  <c r="L54" i="3"/>
  <c r="H87" i="3"/>
  <c r="J96" i="3"/>
  <c r="AC60" i="3"/>
  <c r="AO91" i="3"/>
  <c r="H64" i="3"/>
  <c r="AC56" i="3"/>
  <c r="T63" i="3"/>
  <c r="AG81" i="3"/>
  <c r="R48" i="3"/>
  <c r="S97" i="3"/>
  <c r="U62" i="3"/>
  <c r="AQ62" i="3"/>
  <c r="AL58" i="3"/>
  <c r="T59" i="3"/>
  <c r="R95" i="3"/>
  <c r="Z87" i="3"/>
  <c r="R56" i="3"/>
  <c r="T79" i="3"/>
  <c r="Q62" i="3"/>
  <c r="AK67" i="3"/>
  <c r="AK62" i="3"/>
  <c r="Q54" i="3"/>
  <c r="Q69" i="3"/>
  <c r="AI66" i="3"/>
  <c r="Q59" i="3"/>
  <c r="V78" i="3"/>
  <c r="N76" i="3"/>
  <c r="K73" i="3"/>
  <c r="AK87" i="3"/>
  <c r="Q50" i="3"/>
  <c r="AH85" i="3"/>
  <c r="Q84" i="3"/>
  <c r="AC47" i="3"/>
  <c r="R69" i="3"/>
  <c r="O82" i="3"/>
  <c r="AH65" i="3"/>
  <c r="AO55" i="3"/>
  <c r="I90" i="3"/>
  <c r="U75" i="3"/>
  <c r="S74" i="3"/>
  <c r="L74" i="3"/>
  <c r="L85" i="3"/>
  <c r="AA77" i="3"/>
  <c r="H59" i="3"/>
  <c r="H83" i="3"/>
  <c r="L87" i="3"/>
  <c r="O89" i="3"/>
  <c r="T81" i="3"/>
  <c r="AA62" i="3"/>
  <c r="AH75" i="3"/>
  <c r="K71" i="3"/>
  <c r="AQ89" i="3"/>
  <c r="T82" i="3"/>
  <c r="H57" i="3"/>
  <c r="AN55" i="3"/>
  <c r="Q83" i="3"/>
  <c r="AH47" i="3"/>
  <c r="R85" i="3"/>
  <c r="X64" i="3"/>
  <c r="AN56" i="3"/>
  <c r="Z71" i="3"/>
  <c r="H56" i="3"/>
  <c r="AA67" i="3"/>
  <c r="R57" i="3"/>
  <c r="AQ68" i="3"/>
  <c r="R81" i="3"/>
  <c r="AH93" i="3"/>
  <c r="AG65" i="3"/>
  <c r="U81" i="3"/>
  <c r="Q79" i="3"/>
  <c r="K68" i="3"/>
  <c r="AH82" i="3"/>
  <c r="Y81" i="3"/>
  <c r="R64" i="3"/>
  <c r="J55" i="3"/>
  <c r="T61" i="3"/>
  <c r="U71" i="3"/>
  <c r="V74" i="3"/>
  <c r="V91" i="3"/>
  <c r="R68" i="3"/>
  <c r="AL72" i="3"/>
  <c r="L55" i="3"/>
  <c r="AI48" i="3"/>
  <c r="AK92" i="3"/>
  <c r="AA78" i="3"/>
  <c r="T77" i="3"/>
  <c r="J65" i="3"/>
  <c r="R65" i="3"/>
  <c r="AE60" i="3"/>
  <c r="AH97" i="3"/>
  <c r="AI59" i="3"/>
  <c r="O54" i="3"/>
  <c r="AA55" i="3"/>
  <c r="Q75" i="3"/>
  <c r="AJ97" i="3"/>
  <c r="AG68" i="3"/>
  <c r="S66" i="3"/>
  <c r="U64" i="3"/>
  <c r="AQ56" i="3"/>
  <c r="AL87" i="3"/>
  <c r="T50" i="3"/>
  <c r="T62" i="3"/>
  <c r="I76" i="3"/>
  <c r="L90" i="3"/>
  <c r="AA60" i="3"/>
  <c r="J49" i="3"/>
  <c r="N79" i="3"/>
  <c r="N73" i="3"/>
  <c r="L75" i="3"/>
  <c r="J89" i="3"/>
  <c r="J88" i="3"/>
  <c r="L50" i="3"/>
  <c r="AO64" i="3"/>
  <c r="M62" i="3"/>
  <c r="AQ54" i="3"/>
  <c r="V70" i="3"/>
  <c r="AA47" i="3"/>
  <c r="AC72" i="3"/>
  <c r="X77" i="3"/>
  <c r="J64" i="3"/>
  <c r="P74" i="3"/>
  <c r="AH78" i="3"/>
  <c r="X66" i="3"/>
  <c r="AA84" i="3"/>
  <c r="W95" i="3"/>
  <c r="V75" i="3"/>
  <c r="Q49" i="3"/>
  <c r="AK88" i="3"/>
  <c r="V94" i="3"/>
  <c r="AO85" i="3"/>
  <c r="I83" i="3"/>
  <c r="AC49" i="3"/>
  <c r="AC74" i="3"/>
  <c r="L48" i="3"/>
  <c r="Q67" i="3"/>
  <c r="AH89" i="3"/>
  <c r="Q47" i="3"/>
  <c r="X58" i="3"/>
  <c r="W92" i="3"/>
  <c r="T66" i="3"/>
  <c r="K83" i="3"/>
  <c r="AH62" i="3"/>
  <c r="AE57" i="3"/>
  <c r="O61" i="3"/>
  <c r="T60" i="3"/>
  <c r="AA69" i="3"/>
  <c r="T90" i="3"/>
  <c r="M75" i="3"/>
  <c r="K96" i="3"/>
  <c r="AI55" i="3"/>
  <c r="H54" i="3"/>
  <c r="AK78" i="3"/>
  <c r="AK91" i="3"/>
  <c r="M77" i="3"/>
  <c r="AI81" i="3"/>
  <c r="AG57" i="3"/>
  <c r="S92" i="3"/>
  <c r="I70" i="3"/>
  <c r="AL55" i="3"/>
  <c r="M70" i="3"/>
  <c r="AI67" i="3"/>
  <c r="O85" i="3"/>
  <c r="Z69" i="3"/>
  <c r="N80" i="3"/>
  <c r="AL97" i="3"/>
  <c r="K70" i="3"/>
  <c r="T83" i="3"/>
  <c r="AA75" i="3"/>
  <c r="U49" i="3"/>
  <c r="AE87" i="3"/>
  <c r="AL48" i="3"/>
  <c r="X72" i="3"/>
  <c r="R97" i="3"/>
  <c r="AQ93" i="3"/>
  <c r="S70" i="3"/>
  <c r="Y83" i="3"/>
  <c r="AK65" i="3"/>
  <c r="AJ88" i="3"/>
  <c r="I55" i="3"/>
  <c r="K92" i="3"/>
  <c r="AG82" i="3"/>
  <c r="J74" i="3"/>
  <c r="P55" i="3"/>
  <c r="N86" i="3"/>
  <c r="I78" i="3"/>
  <c r="T93" i="3"/>
  <c r="V50" i="3"/>
  <c r="P85" i="3"/>
  <c r="AG80" i="3"/>
  <c r="AH60" i="3"/>
  <c r="Z85" i="3"/>
  <c r="I65" i="3"/>
  <c r="U78" i="3"/>
  <c r="AO47" i="3"/>
  <c r="M85" i="3"/>
  <c r="S77" i="3"/>
  <c r="W73" i="3"/>
  <c r="AE63" i="3"/>
  <c r="AA89" i="3"/>
  <c r="AA97" i="3"/>
  <c r="AC78" i="3"/>
  <c r="AN90" i="3"/>
  <c r="AO59" i="3"/>
  <c r="AO50" i="3"/>
  <c r="W96" i="3"/>
  <c r="X92" i="3"/>
  <c r="AG76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L96" i="3"/>
  <c r="T74" i="3"/>
  <c r="AI82" i="3"/>
  <c r="N67" i="3"/>
  <c r="AC80" i="3"/>
  <c r="M90" i="3"/>
  <c r="AQ71" i="3"/>
  <c r="T68" i="3"/>
  <c r="V76" i="3"/>
  <c r="W79" i="3"/>
  <c r="AC66" i="3"/>
  <c r="W63" i="3"/>
  <c r="I58" i="3"/>
  <c r="O76" i="3"/>
  <c r="V47" i="3"/>
  <c r="AN59" i="3"/>
  <c r="S63" i="3"/>
  <c r="X83" i="3"/>
  <c r="Y67" i="3"/>
  <c r="V72" i="3"/>
  <c r="J86" i="3"/>
  <c r="Q57" i="3"/>
  <c r="H48" i="3"/>
  <c r="N96" i="3"/>
  <c r="Z80" i="3"/>
  <c r="V87" i="3"/>
  <c r="W48" i="3"/>
  <c r="AC55" i="3"/>
  <c r="AG61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O58" i="3"/>
  <c r="H60" i="3"/>
  <c r="AO88" i="3"/>
  <c r="AJ58" i="3"/>
  <c r="AQ91" i="3"/>
  <c r="O64" i="3"/>
  <c r="K93" i="3"/>
  <c r="K58" i="3"/>
  <c r="K85" i="3"/>
  <c r="AE97" i="3"/>
  <c r="AA70" i="3"/>
  <c r="AQ75" i="3"/>
  <c r="K49" i="3"/>
  <c r="N68" i="3"/>
  <c r="Q80" i="3"/>
  <c r="AL90" i="3"/>
  <c r="N72" i="3"/>
  <c r="L91" i="3"/>
  <c r="V83" i="3"/>
  <c r="J58" i="3"/>
  <c r="AK63" i="3"/>
  <c r="O72" i="3"/>
  <c r="R67" i="3"/>
  <c r="AO94" i="3"/>
  <c r="V73" i="3"/>
  <c r="I50" i="3"/>
  <c r="AE64" i="3"/>
  <c r="H62" i="3"/>
  <c r="O88" i="3"/>
  <c r="M47" i="3"/>
  <c r="M59" i="3"/>
  <c r="K80" i="3"/>
  <c r="W82" i="3"/>
  <c r="AO86" i="3"/>
  <c r="S87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L79" i="3"/>
  <c r="AE83" i="3"/>
  <c r="J97" i="3"/>
  <c r="L58" i="3"/>
  <c r="V67" i="3"/>
  <c r="AA63" i="3"/>
  <c r="K94" i="3"/>
  <c r="Q89" i="3"/>
  <c r="J59" i="3"/>
  <c r="AH94" i="3"/>
  <c r="N70" i="3"/>
  <c r="R83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Y48" i="3"/>
  <c r="AL66" i="3"/>
  <c r="AA81" i="3"/>
  <c r="H55" i="3"/>
  <c r="AC79" i="3"/>
  <c r="AH79" i="3"/>
  <c r="O92" i="3"/>
  <c r="U95" i="3"/>
  <c r="Z96" i="3"/>
  <c r="AG71" i="3"/>
  <c r="R50" i="3"/>
  <c r="M64" i="3"/>
  <c r="Q66" i="3"/>
  <c r="S84" i="3"/>
  <c r="Q64" i="3"/>
  <c r="I86" i="3"/>
  <c r="Y90" i="3"/>
  <c r="AA92" i="3"/>
  <c r="AC67" i="3"/>
  <c r="AO95" i="3"/>
  <c r="L76" i="3"/>
  <c r="Y93" i="3"/>
  <c r="I74" i="3"/>
  <c r="N66" i="3"/>
  <c r="W61" i="3"/>
  <c r="K78" i="3"/>
  <c r="Q85" i="3"/>
  <c r="AL89" i="3"/>
  <c r="Q81" i="3"/>
  <c r="AC73" i="3"/>
  <c r="Y56" i="3"/>
  <c r="AJ60" i="3"/>
  <c r="AN91" i="3"/>
  <c r="U91" i="3"/>
  <c r="I62" i="3"/>
  <c r="AQ70" i="3"/>
  <c r="AL86" i="3"/>
  <c r="P54" i="3"/>
  <c r="X60" i="3"/>
  <c r="W97" i="3"/>
  <c r="T94" i="3"/>
  <c r="AJ89" i="3"/>
  <c r="AK94" i="3"/>
  <c r="H90" i="3"/>
  <c r="M78" i="3"/>
  <c r="W84" i="3"/>
  <c r="U80" i="3"/>
  <c r="AE73" i="3"/>
  <c r="I75" i="3"/>
  <c r="T78" i="3"/>
  <c r="M54" i="3"/>
  <c r="J76" i="3"/>
  <c r="AG97" i="3"/>
  <c r="Y57" i="3"/>
  <c r="H49" i="3"/>
  <c r="X69" i="3"/>
  <c r="O69" i="3"/>
  <c r="AE79" i="3"/>
  <c r="Q96" i="3"/>
  <c r="AA95" i="3"/>
  <c r="K79" i="3"/>
  <c r="W57" i="3"/>
  <c r="V92" i="3"/>
  <c r="AH5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Z54" i="3"/>
  <c r="AI68" i="3"/>
  <c r="V69" i="3"/>
  <c r="X97" i="3"/>
  <c r="Q93" i="3"/>
  <c r="R79" i="3"/>
  <c r="Z57" i="3"/>
  <c r="AJ81" i="3"/>
  <c r="AQ95" i="3"/>
  <c r="W94" i="3"/>
  <c r="AG83" i="3"/>
  <c r="Z63" i="3"/>
  <c r="AE58" i="3"/>
  <c r="Z56" i="3"/>
  <c r="AL69" i="3"/>
  <c r="M66" i="3"/>
  <c r="AH90" i="3"/>
  <c r="Y92" i="3"/>
  <c r="AC85" i="3"/>
  <c r="AN78" i="3"/>
  <c r="U48" i="3"/>
  <c r="AE65" i="3"/>
  <c r="AQ57" i="3"/>
  <c r="V85" i="3"/>
  <c r="U79" i="3"/>
  <c r="V49" i="3"/>
  <c r="AE74" i="3"/>
  <c r="P96" i="3"/>
  <c r="H73" i="3"/>
  <c r="AN82" i="3"/>
  <c r="J94" i="3"/>
  <c r="AA72" i="3"/>
  <c r="T96" i="3"/>
  <c r="N92" i="3"/>
  <c r="T69" i="3"/>
  <c r="R90" i="3"/>
  <c r="V86" i="3"/>
  <c r="AQ73" i="3"/>
  <c r="R82" i="3"/>
  <c r="AL57" i="3"/>
  <c r="V77" i="3"/>
  <c r="AJ64" i="3"/>
  <c r="AI50" i="3"/>
  <c r="AI61" i="3"/>
  <c r="AA82" i="3"/>
  <c r="AE54" i="3"/>
  <c r="V88" i="3"/>
  <c r="AQ85" i="3"/>
  <c r="M82" i="3"/>
  <c r="V84" i="3"/>
  <c r="T76" i="3"/>
  <c r="P73" i="3"/>
  <c r="AH59" i="3"/>
  <c r="AL59" i="3"/>
  <c r="L81" i="3"/>
  <c r="L83" i="3"/>
  <c r="W49" i="3"/>
  <c r="S68" i="3"/>
  <c r="AK76" i="3"/>
  <c r="T91" i="3"/>
  <c r="AI65" i="3"/>
  <c r="AA58" i="3"/>
  <c r="AJ72" i="3"/>
  <c r="AJ67" i="3"/>
  <c r="Q70" i="3"/>
  <c r="AA59" i="3"/>
  <c r="AG86" i="3"/>
  <c r="N47" i="3"/>
  <c r="V79" i="3"/>
  <c r="AH66" i="3"/>
  <c r="Q76" i="3"/>
  <c r="K63" i="3"/>
  <c r="AH76" i="3"/>
  <c r="R84" i="3"/>
  <c r="AG58" i="3"/>
  <c r="J69" i="3"/>
  <c r="T54" i="3"/>
  <c r="V96" i="3"/>
  <c r="H77" i="3"/>
  <c r="W50" i="3"/>
  <c r="AN76" i="3"/>
  <c r="AH48" i="3"/>
  <c r="AQ97" i="3"/>
  <c r="T84" i="3"/>
  <c r="AK80" i="3"/>
  <c r="H79" i="3"/>
  <c r="AI63" i="3"/>
  <c r="AI47" i="3"/>
  <c r="L88" i="3"/>
  <c r="AJ70" i="3"/>
  <c r="L56" i="3"/>
  <c r="Q55" i="3"/>
  <c r="P79" i="3"/>
  <c r="H80" i="3"/>
  <c r="AE47" i="3"/>
  <c r="AE49" i="3"/>
  <c r="T65" i="3"/>
  <c r="W74" i="3"/>
  <c r="AC58" i="3"/>
  <c r="AG47" i="3"/>
  <c r="R55" i="3"/>
  <c r="Y89" i="3"/>
  <c r="I66" i="3"/>
  <c r="AL50" i="3"/>
  <c r="W80" i="3"/>
  <c r="V71" i="3"/>
  <c r="AI83" i="3"/>
  <c r="L60" i="3"/>
  <c r="H65" i="3"/>
  <c r="H74" i="3"/>
  <c r="AA48" i="3"/>
  <c r="W62" i="3"/>
  <c r="AC87" i="3"/>
  <c r="H50" i="3"/>
  <c r="J77" i="3"/>
  <c r="AG55" i="3"/>
  <c r="W47" i="3"/>
  <c r="N49" i="3"/>
  <c r="AH72" i="3"/>
  <c r="N62" i="3"/>
  <c r="AH74" i="3"/>
  <c r="R86" i="3"/>
  <c r="I68" i="3"/>
  <c r="W85" i="3"/>
  <c r="AN63" i="3"/>
  <c r="N93" i="3"/>
  <c r="H72" i="3"/>
  <c r="AI77" i="3"/>
  <c r="J79" i="3"/>
  <c r="AE96" i="3"/>
  <c r="AG84" i="3"/>
  <c r="S82" i="3"/>
  <c r="AC63" i="3"/>
  <c r="K47" i="3"/>
  <c r="AL64" i="3"/>
  <c r="R66" i="3"/>
  <c r="N61" i="3"/>
  <c r="AQ74" i="3"/>
  <c r="W87" i="3" l="1"/>
  <c r="AM80" i="3"/>
  <c r="AM59" i="3"/>
  <c r="AM69" i="3"/>
  <c r="W69" i="3"/>
  <c r="W77" i="3"/>
  <c r="W68" i="3"/>
  <c r="W55" i="3"/>
  <c r="AM93" i="3"/>
  <c r="W86" i="3"/>
  <c r="W60" i="3"/>
  <c r="AM94" i="3"/>
  <c r="AM95" i="3"/>
  <c r="W54" i="3"/>
  <c r="W72" i="3"/>
  <c r="AM70" i="3"/>
  <c r="W88" i="3"/>
  <c r="AM97" i="3"/>
  <c r="W93" i="3"/>
  <c r="AM57" i="3"/>
  <c r="AM90" i="3"/>
  <c r="AM49" i="3"/>
  <c r="W83" i="3"/>
  <c r="AM72" i="3"/>
  <c r="AM68" i="3"/>
  <c r="AM66" i="3"/>
  <c r="AM87" i="3"/>
  <c r="AM89" i="3"/>
  <c r="AM71" i="3"/>
  <c r="AM48" i="3"/>
  <c r="AM55" i="3"/>
  <c r="AM58" i="3"/>
  <c r="AM76" i="3"/>
  <c r="AM81" i="3"/>
  <c r="AM88" i="3"/>
  <c r="AM82" i="3"/>
  <c r="AM61" i="3"/>
  <c r="AM91" i="3"/>
  <c r="AM56" i="3"/>
  <c r="AM64" i="3"/>
  <c r="AM63" i="3"/>
  <c r="AM92" i="3"/>
  <c r="AM96" i="3"/>
  <c r="AM78" i="3"/>
  <c r="AM62" i="3"/>
  <c r="AM74" i="3"/>
  <c r="AJ61" i="3"/>
  <c r="M61" i="3"/>
  <c r="AJ85" i="3"/>
  <c r="AJ63" i="3"/>
  <c r="AJ96" i="3"/>
  <c r="AJ91" i="3"/>
  <c r="M50" i="3"/>
  <c r="M65" i="3"/>
  <c r="M71" i="3"/>
  <c r="M68" i="3"/>
  <c r="M55" i="3"/>
  <c r="AJ71" i="3"/>
  <c r="AJ49" i="3"/>
  <c r="AJ79" i="3"/>
  <c r="II21" i="4"/>
  <c r="BC101" i="1" s="1"/>
  <c r="JD9" i="4"/>
  <c r="V58" i="3"/>
  <c r="AE59" i="3"/>
  <c r="I95" i="3"/>
  <c r="AM79" i="3"/>
  <c r="AK48" i="3"/>
  <c r="AL60" i="3"/>
  <c r="AQ88" i="3"/>
  <c r="AE88" i="3"/>
  <c r="K97" i="3"/>
  <c r="U85" i="3"/>
  <c r="AM75" i="3"/>
  <c r="S59" i="3"/>
  <c r="AQ81" i="3"/>
  <c r="AA74" i="3"/>
  <c r="AA56" i="3"/>
  <c r="P67" i="3"/>
  <c r="AL47" i="3"/>
  <c r="K75" i="3"/>
  <c r="P76" i="3"/>
  <c r="AK49" i="3"/>
  <c r="W67" i="3"/>
  <c r="L57" i="3"/>
  <c r="AQ65" i="3"/>
  <c r="K57" i="3"/>
  <c r="AL95" i="3"/>
  <c r="AE78" i="3"/>
  <c r="AO97" i="3"/>
  <c r="X67" i="3"/>
  <c r="I97" i="3"/>
  <c r="R61" i="3"/>
  <c r="U54" i="3"/>
  <c r="Q60" i="3"/>
  <c r="N84" i="3"/>
  <c r="V64" i="3"/>
  <c r="Z89" i="3"/>
  <c r="AK59" i="3"/>
  <c r="AH61" i="3"/>
  <c r="AQ48" i="3"/>
  <c r="J48" i="3"/>
  <c r="AL85" i="3"/>
  <c r="AL77" i="3"/>
  <c r="J83" i="3"/>
  <c r="AG59" i="3"/>
  <c r="AK86" i="3"/>
  <c r="U50" i="3"/>
  <c r="AE76" i="3"/>
  <c r="U73" i="3"/>
  <c r="M56" i="3"/>
  <c r="AC77" i="3"/>
  <c r="AL91" i="3"/>
  <c r="AN72" i="3"/>
  <c r="I84" i="3"/>
  <c r="AN60" i="3"/>
  <c r="M74" i="3"/>
  <c r="X93" i="3"/>
  <c r="O75" i="3"/>
  <c r="AN83" i="3"/>
  <c r="AO89" i="3"/>
  <c r="P80" i="3"/>
  <c r="AV183" i="1" s="1"/>
  <c r="P94" i="3"/>
  <c r="AC76" i="3"/>
  <c r="AC48" i="3"/>
  <c r="AC81" i="3"/>
  <c r="AN66" i="3"/>
  <c r="BT175" i="1" s="1"/>
  <c r="BU175" i="1" s="1"/>
  <c r="AN58" i="3"/>
  <c r="BT143" i="1" s="1"/>
  <c r="AN84" i="3"/>
  <c r="BT170" i="1" s="1"/>
  <c r="BU170" i="1" s="1"/>
  <c r="AN77" i="3"/>
  <c r="BT164" i="1" s="1"/>
  <c r="U67" i="3"/>
  <c r="U83" i="3"/>
  <c r="U66" i="3"/>
  <c r="U92" i="3"/>
  <c r="U60" i="3"/>
  <c r="Y82" i="3"/>
  <c r="Y88" i="3"/>
  <c r="Y80" i="3"/>
  <c r="Y79" i="3"/>
  <c r="Z73" i="3"/>
  <c r="Z86" i="3"/>
  <c r="Z55" i="3"/>
  <c r="O55" i="3"/>
  <c r="O74" i="3"/>
  <c r="O84" i="3"/>
  <c r="O94" i="3"/>
  <c r="X50" i="3"/>
  <c r="BD98" i="1" s="1"/>
  <c r="X68" i="3"/>
  <c r="BD155" i="1" s="1"/>
  <c r="X81" i="3"/>
  <c r="BD168" i="1" s="1"/>
  <c r="X61" i="3"/>
  <c r="X62" i="3"/>
  <c r="BD148" i="1" s="1"/>
  <c r="BE148" i="1" s="1"/>
  <c r="AO81" i="3"/>
  <c r="AO63" i="3"/>
  <c r="Q58" i="3"/>
  <c r="Q92" i="3"/>
  <c r="S72" i="3"/>
  <c r="S49" i="3"/>
  <c r="AY97" i="1" s="1"/>
  <c r="S54" i="3"/>
  <c r="S86" i="3"/>
  <c r="S57" i="3"/>
  <c r="S50" i="3"/>
  <c r="AY98" i="1" s="1"/>
  <c r="AH63" i="3"/>
  <c r="BN149" i="1" s="1"/>
  <c r="BO149" i="1" s="1"/>
  <c r="AH54" i="3"/>
  <c r="AH95" i="3"/>
  <c r="BN188" i="1" s="1"/>
  <c r="BO188" i="1" s="1"/>
  <c r="AH91" i="3"/>
  <c r="BN178" i="1" s="1"/>
  <c r="BO178" i="1" s="1"/>
  <c r="AQ77" i="3"/>
  <c r="AQ67" i="3"/>
  <c r="AQ59" i="3"/>
  <c r="AQ90" i="3"/>
  <c r="AQ86" i="3"/>
  <c r="T88" i="3"/>
  <c r="AZ151" i="1" s="1"/>
  <c r="BA151" i="1" s="1"/>
  <c r="T48" i="3"/>
  <c r="T72" i="3"/>
  <c r="AZ159" i="1" s="1"/>
  <c r="BA159" i="1" s="1"/>
  <c r="T95" i="3"/>
  <c r="AZ188" i="1" s="1"/>
  <c r="BA188" i="1" s="1"/>
  <c r="N83" i="3"/>
  <c r="AT184" i="1" s="1"/>
  <c r="N88" i="3"/>
  <c r="AT151" i="1" s="1"/>
  <c r="AU151" i="1" s="1"/>
  <c r="N55" i="3"/>
  <c r="N63" i="3"/>
  <c r="AT149" i="1" s="1"/>
  <c r="AU149" i="1" s="1"/>
  <c r="N71" i="3"/>
  <c r="N75" i="3"/>
  <c r="AT161" i="1" s="1"/>
  <c r="AU161" i="1" s="1"/>
  <c r="N94" i="3"/>
  <c r="N60" i="3"/>
  <c r="AT146" i="1" s="1"/>
  <c r="AU146" i="1" s="1"/>
  <c r="N69" i="3"/>
  <c r="AT156" i="1" s="1"/>
  <c r="N57" i="3"/>
  <c r="AT142" i="1" s="1"/>
  <c r="AU142" i="1" s="1"/>
  <c r="J93" i="3"/>
  <c r="J67" i="3"/>
  <c r="J71" i="3"/>
  <c r="J47" i="3"/>
  <c r="J91" i="3"/>
  <c r="AP178" i="1" s="1"/>
  <c r="AQ178" i="1" s="1"/>
  <c r="J63" i="3"/>
  <c r="AP149" i="1" s="1"/>
  <c r="AQ149" i="1" s="1"/>
  <c r="J57" i="3"/>
  <c r="AP142" i="1" s="1"/>
  <c r="AQ142" i="1" s="1"/>
  <c r="J72" i="3"/>
  <c r="AP159" i="1" s="1"/>
  <c r="AQ159" i="1" s="1"/>
  <c r="J85" i="3"/>
  <c r="AP171" i="1" s="1"/>
  <c r="AQ171" i="1" s="1"/>
  <c r="J61" i="3"/>
  <c r="J82" i="3"/>
  <c r="AP169" i="1" s="1"/>
  <c r="J56" i="3"/>
  <c r="AP141" i="1" s="1"/>
  <c r="AQ141" i="1" s="1"/>
  <c r="J87" i="3"/>
  <c r="AP176" i="1" s="1"/>
  <c r="AQ176" i="1" s="1"/>
  <c r="L70" i="3"/>
  <c r="AR157" i="1" s="1"/>
  <c r="L68" i="3"/>
  <c r="AR155" i="1" s="1"/>
  <c r="L97" i="3"/>
  <c r="L59" i="3"/>
  <c r="L66" i="3"/>
  <c r="AR175" i="1" s="1"/>
  <c r="AS175" i="1" s="1"/>
  <c r="L82" i="3"/>
  <c r="AR169" i="1" s="1"/>
  <c r="L80" i="3"/>
  <c r="AR183" i="1" s="1"/>
  <c r="L71" i="3"/>
  <c r="L65" i="3"/>
  <c r="AR174" i="1" s="1"/>
  <c r="AS174" i="1" s="1"/>
  <c r="L72" i="3"/>
  <c r="AR159" i="1" s="1"/>
  <c r="AS159" i="1" s="1"/>
  <c r="L77" i="3"/>
  <c r="AR164" i="1" s="1"/>
  <c r="AS164" i="1" s="1"/>
  <c r="AA68" i="3"/>
  <c r="AA71" i="3"/>
  <c r="AA57" i="3"/>
  <c r="AA90" i="3"/>
  <c r="AA87" i="3"/>
  <c r="AA93" i="3"/>
  <c r="AA96" i="3"/>
  <c r="AA76" i="3"/>
  <c r="AA61" i="3"/>
  <c r="AA50" i="3"/>
  <c r="BG98" i="1" s="1"/>
  <c r="AA80" i="3"/>
  <c r="V62" i="3"/>
  <c r="BB148" i="1" s="1"/>
  <c r="V57" i="3"/>
  <c r="BB142" i="1" s="1"/>
  <c r="BC142" i="1" s="1"/>
  <c r="V68" i="3"/>
  <c r="BB155" i="1" s="1"/>
  <c r="V90" i="3"/>
  <c r="BB150" i="1" s="1"/>
  <c r="BC150" i="1" s="1"/>
  <c r="V89" i="3"/>
  <c r="BB177" i="1" s="1"/>
  <c r="V80" i="3"/>
  <c r="BB183" i="1" s="1"/>
  <c r="V63" i="3"/>
  <c r="BB149" i="1" s="1"/>
  <c r="BC149" i="1" s="1"/>
  <c r="V55" i="3"/>
  <c r="W58" i="3"/>
  <c r="W70" i="3"/>
  <c r="W71" i="3"/>
  <c r="W90" i="3"/>
  <c r="W59" i="3"/>
  <c r="W64" i="3"/>
  <c r="W91" i="3"/>
  <c r="W56" i="3"/>
  <c r="W66" i="3"/>
  <c r="AI79" i="3"/>
  <c r="AI76" i="3"/>
  <c r="AI64" i="3"/>
  <c r="AI62" i="3"/>
  <c r="AI73" i="3"/>
  <c r="AI75" i="3"/>
  <c r="AI92" i="3"/>
  <c r="AI72" i="3"/>
  <c r="AI78" i="3"/>
  <c r="AI93" i="3"/>
  <c r="AM83" i="3"/>
  <c r="AM67" i="3"/>
  <c r="AM50" i="3"/>
  <c r="BS98" i="1" s="1"/>
  <c r="AM84" i="3"/>
  <c r="AM54" i="3"/>
  <c r="AM65" i="3"/>
  <c r="AM60" i="3"/>
  <c r="AM47" i="3"/>
  <c r="AM73" i="3"/>
  <c r="AM86" i="3"/>
  <c r="AM85" i="3"/>
  <c r="AM77" i="3"/>
  <c r="AK85" i="3"/>
  <c r="AK90" i="3"/>
  <c r="AK70" i="3"/>
  <c r="AK58" i="3"/>
  <c r="AK75" i="3"/>
  <c r="AK84" i="3"/>
  <c r="AK55" i="3"/>
  <c r="AK95" i="3"/>
  <c r="AK47" i="3"/>
  <c r="AK89" i="3"/>
  <c r="AG48" i="3"/>
  <c r="AG93" i="3"/>
  <c r="AG77" i="3"/>
  <c r="AG89" i="3"/>
  <c r="AG67" i="3"/>
  <c r="AG75" i="3"/>
  <c r="AG72" i="3"/>
  <c r="AG54" i="3"/>
  <c r="AG96" i="3"/>
  <c r="AG92" i="3"/>
  <c r="AG78" i="3"/>
  <c r="K74" i="3"/>
  <c r="K95" i="3"/>
  <c r="K84" i="3"/>
  <c r="K56" i="3"/>
  <c r="K48" i="3"/>
  <c r="K59" i="3"/>
  <c r="K61" i="3"/>
  <c r="K87" i="3"/>
  <c r="K76" i="3"/>
  <c r="K81" i="3"/>
  <c r="K65" i="3"/>
  <c r="K66" i="3"/>
  <c r="P61" i="3"/>
  <c r="P75" i="3"/>
  <c r="AV161" i="1" s="1"/>
  <c r="AW161" i="1" s="1"/>
  <c r="P63" i="3"/>
  <c r="AV149" i="1" s="1"/>
  <c r="AW149" i="1" s="1"/>
  <c r="P58" i="3"/>
  <c r="AV143" i="1" s="1"/>
  <c r="P68" i="3"/>
  <c r="AV155" i="1" s="1"/>
  <c r="P70" i="3"/>
  <c r="AV157" i="1" s="1"/>
  <c r="P91" i="3"/>
  <c r="AV178" i="1" s="1"/>
  <c r="AW178" i="1" s="1"/>
  <c r="P65" i="3"/>
  <c r="AV174" i="1" s="1"/>
  <c r="AW174" i="1" s="1"/>
  <c r="P64" i="3"/>
  <c r="AV173" i="1" s="1"/>
  <c r="AW173" i="1" s="1"/>
  <c r="P83" i="3"/>
  <c r="AV184" i="1" s="1"/>
  <c r="P57" i="3"/>
  <c r="AV142" i="1" s="1"/>
  <c r="AW142" i="1" s="1"/>
  <c r="AE66" i="3"/>
  <c r="AE62" i="3"/>
  <c r="AE48" i="3"/>
  <c r="AE71" i="3"/>
  <c r="AE82" i="3"/>
  <c r="AE91" i="3"/>
  <c r="AE72" i="3"/>
  <c r="AE80" i="3"/>
  <c r="AE84" i="3"/>
  <c r="AE89" i="3"/>
  <c r="AE93" i="3"/>
  <c r="AC82" i="3"/>
  <c r="AC84" i="3"/>
  <c r="AC91" i="3"/>
  <c r="AC64" i="3"/>
  <c r="AC70" i="3"/>
  <c r="AC59" i="3"/>
  <c r="AC61" i="3"/>
  <c r="AC95" i="3"/>
  <c r="AC50" i="3"/>
  <c r="BI98" i="1" s="1"/>
  <c r="AC90" i="3"/>
  <c r="AC83" i="3"/>
  <c r="AC54" i="3"/>
  <c r="AC88" i="3"/>
  <c r="AC92" i="3"/>
  <c r="AC62" i="3"/>
  <c r="AJ62" i="3"/>
  <c r="BP148" i="1" s="1"/>
  <c r="BQ148" i="1" s="1"/>
  <c r="AJ84" i="3"/>
  <c r="BP170" i="1" s="1"/>
  <c r="BQ170" i="1" s="1"/>
  <c r="AJ90" i="3"/>
  <c r="BP150" i="1" s="1"/>
  <c r="BQ150" i="1" s="1"/>
  <c r="AJ57" i="3"/>
  <c r="BP142" i="1" s="1"/>
  <c r="BQ142" i="1" s="1"/>
  <c r="AJ73" i="3"/>
  <c r="AJ68" i="3"/>
  <c r="BP155" i="1" s="1"/>
  <c r="AJ93" i="3"/>
  <c r="AJ87" i="3"/>
  <c r="BP176" i="1" s="1"/>
  <c r="BQ176" i="1" s="1"/>
  <c r="AJ95" i="3"/>
  <c r="BP188" i="1" s="1"/>
  <c r="BQ188" i="1" s="1"/>
  <c r="AJ83" i="3"/>
  <c r="BP184" i="1" s="1"/>
  <c r="AJ94" i="3"/>
  <c r="AJ92" i="3"/>
  <c r="BP179" i="1" s="1"/>
  <c r="BQ179" i="1" s="1"/>
  <c r="AJ77" i="3"/>
  <c r="BP164" i="1" s="1"/>
  <c r="BQ164" i="1" s="1"/>
  <c r="AJ86" i="3"/>
  <c r="AJ78" i="3"/>
  <c r="BP166" i="1" s="1"/>
  <c r="BQ166" i="1" s="1"/>
  <c r="AJ80" i="3"/>
  <c r="BP183" i="1" s="1"/>
  <c r="AJ56" i="3"/>
  <c r="BP141" i="1" s="1"/>
  <c r="BQ141" i="1" s="1"/>
  <c r="M95" i="3"/>
  <c r="M96" i="3"/>
  <c r="M86" i="3"/>
  <c r="M94" i="3"/>
  <c r="M97" i="3"/>
  <c r="M81" i="3"/>
  <c r="M87" i="3"/>
  <c r="M79" i="3"/>
  <c r="M80" i="3"/>
  <c r="M73" i="3"/>
  <c r="M89" i="3"/>
  <c r="M83" i="3"/>
  <c r="M49" i="3"/>
  <c r="AS97" i="1" s="1"/>
  <c r="M91" i="3"/>
  <c r="M67" i="3"/>
  <c r="M48" i="3"/>
  <c r="M63" i="3"/>
  <c r="M84" i="3"/>
  <c r="M58" i="3"/>
  <c r="I60" i="3"/>
  <c r="I63" i="3"/>
  <c r="I71" i="3"/>
  <c r="I94" i="3"/>
  <c r="I89" i="3"/>
  <c r="I96" i="3"/>
  <c r="I67" i="3"/>
  <c r="I91" i="3"/>
  <c r="I59" i="3"/>
  <c r="I61" i="3"/>
  <c r="I82" i="3"/>
  <c r="I88" i="3"/>
  <c r="AL96" i="3"/>
  <c r="BR187" i="1" s="1"/>
  <c r="BS187" i="1" s="1"/>
  <c r="AL62" i="3"/>
  <c r="BR148" i="1" s="1"/>
  <c r="BS148" i="1" s="1"/>
  <c r="AL80" i="3"/>
  <c r="BR183" i="1" s="1"/>
  <c r="AL78" i="3"/>
  <c r="BR166" i="1" s="1"/>
  <c r="BS166" i="1" s="1"/>
  <c r="AL67" i="3"/>
  <c r="AL65" i="3"/>
  <c r="BR174" i="1" s="1"/>
  <c r="BS174" i="1" s="1"/>
  <c r="AL75" i="3"/>
  <c r="AL74" i="3"/>
  <c r="BR161" i="1" s="1"/>
  <c r="BS161" i="1" s="1"/>
  <c r="AL76" i="3"/>
  <c r="BR167" i="1" s="1"/>
  <c r="AL70" i="3"/>
  <c r="BR157" i="1" s="1"/>
  <c r="AL71" i="3"/>
  <c r="AL82" i="3"/>
  <c r="BR169" i="1" s="1"/>
  <c r="AN65" i="3"/>
  <c r="BT174" i="1" s="1"/>
  <c r="BU174" i="1" s="1"/>
  <c r="AN50" i="3"/>
  <c r="BT98" i="1" s="1"/>
  <c r="AN69" i="3"/>
  <c r="BT156" i="1" s="1"/>
  <c r="AN80" i="3"/>
  <c r="BT183" i="1" s="1"/>
  <c r="AN74" i="3"/>
  <c r="BT161" i="1" s="1"/>
  <c r="BU161" i="1" s="1"/>
  <c r="AN95" i="3"/>
  <c r="BT188" i="1" s="1"/>
  <c r="BU188" i="1" s="1"/>
  <c r="AN93" i="3"/>
  <c r="AN54" i="3"/>
  <c r="AN61" i="3"/>
  <c r="AN47" i="3"/>
  <c r="AN70" i="3"/>
  <c r="BT157" i="1" s="1"/>
  <c r="AN85" i="3"/>
  <c r="BT171" i="1" s="1"/>
  <c r="BU171" i="1" s="1"/>
  <c r="AN96" i="3"/>
  <c r="BT187" i="1" s="1"/>
  <c r="BU187" i="1" s="1"/>
  <c r="AN97" i="3"/>
  <c r="AN86" i="3"/>
  <c r="AN64" i="3"/>
  <c r="BT173" i="1" s="1"/>
  <c r="BU173" i="1" s="1"/>
  <c r="AN79" i="3"/>
  <c r="BT167" i="1" s="1"/>
  <c r="AN92" i="3"/>
  <c r="BT179" i="1" s="1"/>
  <c r="BU179" i="1" s="1"/>
  <c r="U77" i="3"/>
  <c r="U70" i="3"/>
  <c r="U88" i="3"/>
  <c r="U56" i="3"/>
  <c r="U72" i="3"/>
  <c r="U89" i="3"/>
  <c r="U65" i="3"/>
  <c r="U68" i="3"/>
  <c r="U55" i="3"/>
  <c r="U97" i="3"/>
  <c r="U74" i="3"/>
  <c r="Y50" i="3"/>
  <c r="BE98" i="1" s="1"/>
  <c r="Y97" i="3"/>
  <c r="Y73" i="3"/>
  <c r="Y59" i="3"/>
  <c r="Y62" i="3"/>
  <c r="Y70" i="3"/>
  <c r="Y66" i="3"/>
  <c r="Y65" i="3"/>
  <c r="Y86" i="3"/>
  <c r="Y71" i="3"/>
  <c r="Y55" i="3"/>
  <c r="Y77" i="3"/>
  <c r="Y85" i="3"/>
  <c r="Y95" i="3"/>
  <c r="Y78" i="3"/>
  <c r="Y58" i="3"/>
  <c r="Y68" i="3"/>
  <c r="Y76" i="3"/>
  <c r="Y72" i="3"/>
  <c r="Z62" i="3"/>
  <c r="BF148" i="1" s="1"/>
  <c r="BG148" i="1" s="1"/>
  <c r="Z67" i="3"/>
  <c r="Z94" i="3"/>
  <c r="Z92" i="3"/>
  <c r="BF179" i="1" s="1"/>
  <c r="BG179" i="1" s="1"/>
  <c r="Z60" i="3"/>
  <c r="BF146" i="1" s="1"/>
  <c r="BG146" i="1" s="1"/>
  <c r="Z77" i="3"/>
  <c r="BF164" i="1" s="1"/>
  <c r="BG164" i="1" s="1"/>
  <c r="Z79" i="3"/>
  <c r="BF167" i="1" s="1"/>
  <c r="Z59" i="3"/>
  <c r="Z83" i="3"/>
  <c r="BF184" i="1" s="1"/>
  <c r="Z91" i="3"/>
  <c r="BF178" i="1" s="1"/>
  <c r="BG178" i="1" s="1"/>
  <c r="Z50" i="3"/>
  <c r="BF98" i="1" s="1"/>
  <c r="Z84" i="3"/>
  <c r="BF170" i="1" s="1"/>
  <c r="BG170" i="1" s="1"/>
  <c r="Z61" i="3"/>
  <c r="Z47" i="3"/>
  <c r="Z49" i="3"/>
  <c r="BF97" i="1" s="1"/>
  <c r="Z95" i="3"/>
  <c r="BF188" i="1" s="1"/>
  <c r="BG188" i="1" s="1"/>
  <c r="O68" i="3"/>
  <c r="O60" i="3"/>
  <c r="O78" i="3"/>
  <c r="O81" i="3"/>
  <c r="O59" i="3"/>
  <c r="O90" i="3"/>
  <c r="O95" i="3"/>
  <c r="O77" i="3"/>
  <c r="O65" i="3"/>
  <c r="O93" i="3"/>
  <c r="O79" i="3"/>
  <c r="O73" i="3"/>
  <c r="O96" i="3"/>
  <c r="O87" i="3"/>
  <c r="O97" i="3"/>
  <c r="O47" i="3"/>
  <c r="O50" i="3"/>
  <c r="AU98" i="1" s="1"/>
  <c r="O80" i="3"/>
  <c r="X82" i="3"/>
  <c r="BD169" i="1" s="1"/>
  <c r="X47" i="3"/>
  <c r="X96" i="3"/>
  <c r="BD187" i="1" s="1"/>
  <c r="BE187" i="1" s="1"/>
  <c r="X88" i="3"/>
  <c r="BD151" i="1" s="1"/>
  <c r="BE151" i="1" s="1"/>
  <c r="X79" i="3"/>
  <c r="BD167" i="1" s="1"/>
  <c r="X91" i="3"/>
  <c r="BD178" i="1" s="1"/>
  <c r="BE178" i="1" s="1"/>
  <c r="X57" i="3"/>
  <c r="BD142" i="1" s="1"/>
  <c r="BE142" i="1" s="1"/>
  <c r="X85" i="3"/>
  <c r="BD171" i="1" s="1"/>
  <c r="BE171" i="1" s="1"/>
  <c r="X70" i="3"/>
  <c r="BD157" i="1" s="1"/>
  <c r="X84" i="3"/>
  <c r="BD170" i="1" s="1"/>
  <c r="BE170" i="1" s="1"/>
  <c r="X75" i="3"/>
  <c r="BD161" i="1" s="1"/>
  <c r="BE161" i="1" s="1"/>
  <c r="X55" i="3"/>
  <c r="X78" i="3"/>
  <c r="BD166" i="1" s="1"/>
  <c r="BE166" i="1" s="1"/>
  <c r="X54" i="3"/>
  <c r="AO60" i="3"/>
  <c r="AO56" i="3"/>
  <c r="AO66" i="3"/>
  <c r="AO73" i="3"/>
  <c r="AO61" i="3"/>
  <c r="AO79" i="3"/>
  <c r="AO96" i="3"/>
  <c r="AO54" i="3"/>
  <c r="AO83" i="3"/>
  <c r="AO57" i="3"/>
  <c r="AO75" i="3"/>
  <c r="AO65" i="3"/>
  <c r="AO93" i="3"/>
  <c r="AO67" i="3"/>
  <c r="AO48" i="3"/>
  <c r="AR70" i="1"/>
  <c r="BB46" i="1"/>
  <c r="BT48" i="1"/>
  <c r="BB33" i="1"/>
  <c r="BM63" i="1"/>
  <c r="BW33" i="1"/>
  <c r="AI70" i="1"/>
  <c r="AZ49" i="1"/>
  <c r="BM39" i="1"/>
  <c r="AQ38" i="1"/>
  <c r="BW45" i="1"/>
  <c r="BT39" i="1"/>
  <c r="AP70" i="1"/>
  <c r="BR56" i="1"/>
  <c r="AO45" i="1"/>
  <c r="AY48" i="1"/>
  <c r="AT59" i="1"/>
  <c r="AI39" i="1"/>
  <c r="BE46" i="1"/>
  <c r="AR46" i="1"/>
  <c r="BI39" i="1"/>
  <c r="BD45" i="1"/>
  <c r="AT75" i="1"/>
  <c r="AN49" i="1"/>
  <c r="BH71" i="1"/>
  <c r="BW46" i="1"/>
  <c r="BQ69" i="1"/>
  <c r="AX47" i="1"/>
  <c r="BA56" i="1"/>
  <c r="BM46" i="1"/>
  <c r="AQ75" i="1"/>
  <c r="BB60" i="1"/>
  <c r="AS71" i="1"/>
  <c r="AY45" i="1"/>
  <c r="BT59" i="1"/>
  <c r="BB69" i="1"/>
  <c r="AQ59" i="1"/>
  <c r="AW71" i="1"/>
  <c r="BT70" i="1"/>
  <c r="BF70" i="1"/>
  <c r="BH59" i="1"/>
  <c r="BC48" i="1"/>
  <c r="BO48" i="1"/>
  <c r="AS48" i="1"/>
  <c r="BG69" i="1"/>
  <c r="BF32" i="1"/>
  <c r="AZ60" i="1"/>
  <c r="AU59" i="1"/>
  <c r="AN69" i="1"/>
  <c r="BV183" i="1"/>
  <c r="BH155" i="1"/>
  <c r="W146" i="1"/>
  <c r="H167" i="1"/>
  <c r="D184" i="1"/>
  <c r="N173" i="1"/>
  <c r="F168" i="1"/>
  <c r="F203" i="1" s="1"/>
  <c r="D150" i="1"/>
  <c r="D178" i="1" s="1"/>
  <c r="D97" i="1"/>
  <c r="H183" i="1"/>
  <c r="D98" i="1"/>
  <c r="J184" i="1"/>
  <c r="M170" i="1"/>
  <c r="I150" i="1"/>
  <c r="I178" i="1" s="1"/>
  <c r="E160" i="1"/>
  <c r="BD39" i="1"/>
  <c r="BC33" i="1"/>
  <c r="AQ45" i="1"/>
  <c r="BG33" i="1"/>
  <c r="BO75" i="1"/>
  <c r="AQ71" i="1"/>
  <c r="BK38" i="1"/>
  <c r="AS46" i="1"/>
  <c r="BI70" i="1"/>
  <c r="AI63" i="1"/>
  <c r="BA49" i="1"/>
  <c r="AT32" i="1"/>
  <c r="BQ75" i="1"/>
  <c r="AW32" i="1"/>
  <c r="BB32" i="1"/>
  <c r="BB34" i="1" s="1"/>
  <c r="BH70" i="1"/>
  <c r="BI71" i="1"/>
  <c r="AV39" i="1"/>
  <c r="BA59" i="1"/>
  <c r="BG59" i="1"/>
  <c r="BV49" i="1"/>
  <c r="BR69" i="1"/>
  <c r="AO47" i="1"/>
  <c r="BN63" i="1"/>
  <c r="BC39" i="1"/>
  <c r="AS32" i="1"/>
  <c r="AS255" i="1" s="1"/>
  <c r="BM32" i="1"/>
  <c r="BU60" i="1"/>
  <c r="BT47" i="1"/>
  <c r="AZ44" i="1"/>
  <c r="AP48" i="1"/>
  <c r="BH38" i="1"/>
  <c r="BK49" i="1"/>
  <c r="BH37" i="1"/>
  <c r="BM71" i="1"/>
  <c r="AP49" i="1"/>
  <c r="BU47" i="1"/>
  <c r="AS60" i="1"/>
  <c r="AS276" i="1" s="1"/>
  <c r="BD44" i="1"/>
  <c r="AM70" i="1"/>
  <c r="AS59" i="1"/>
  <c r="BV59" i="1"/>
  <c r="AQ63" i="1"/>
  <c r="AR39" i="1"/>
  <c r="BN44" i="1"/>
  <c r="AS69" i="1"/>
  <c r="AK97" i="1"/>
  <c r="AZ45" i="1"/>
  <c r="BN59" i="1"/>
  <c r="AI56" i="1"/>
  <c r="AI218" i="1" s="1"/>
  <c r="BH173" i="1"/>
  <c r="BV171" i="1"/>
  <c r="BW171" i="1" s="1"/>
  <c r="BV143" i="1"/>
  <c r="BH183" i="1"/>
  <c r="BH168" i="1"/>
  <c r="K184" i="1"/>
  <c r="L103" i="1"/>
  <c r="P148" i="1"/>
  <c r="V170" i="1"/>
  <c r="S179" i="1"/>
  <c r="S187" i="1"/>
  <c r="W159" i="1"/>
  <c r="W155" i="1" s="1"/>
  <c r="S159" i="1"/>
  <c r="S155" i="1" s="1"/>
  <c r="G171" i="1"/>
  <c r="F187" i="1"/>
  <c r="J179" i="1"/>
  <c r="G142" i="1"/>
  <c r="C87" i="1"/>
  <c r="AX44" i="1"/>
  <c r="AI44" i="1"/>
  <c r="AX39" i="1"/>
  <c r="BM47" i="1"/>
  <c r="AQ69" i="1"/>
  <c r="AZ63" i="1"/>
  <c r="BC45" i="1"/>
  <c r="AY63" i="1"/>
  <c r="BE71" i="1"/>
  <c r="BP71" i="1"/>
  <c r="AI47" i="1"/>
  <c r="BS45" i="1"/>
  <c r="BO33" i="1"/>
  <c r="AV59" i="1"/>
  <c r="AX37" i="1"/>
  <c r="BK33" i="1"/>
  <c r="BG70" i="1"/>
  <c r="BV46" i="1"/>
  <c r="AI71" i="1"/>
  <c r="BA44" i="1"/>
  <c r="BO47" i="1"/>
  <c r="BW44" i="1"/>
  <c r="BW37" i="1"/>
  <c r="AT38" i="1"/>
  <c r="AV71" i="1"/>
  <c r="BJ75" i="1"/>
  <c r="AU47" i="1"/>
  <c r="BW60" i="1"/>
  <c r="BB59" i="1"/>
  <c r="AQ44" i="1"/>
  <c r="BU71" i="1"/>
  <c r="BQ48" i="1"/>
  <c r="BR39" i="1"/>
  <c r="BU32" i="1"/>
  <c r="BU255" i="1" s="1"/>
  <c r="BJ97" i="1"/>
  <c r="BD33" i="1"/>
  <c r="AY56" i="1"/>
  <c r="AY218" i="1" s="1"/>
  <c r="BD49" i="1"/>
  <c r="AN63" i="1"/>
  <c r="BH45" i="1"/>
  <c r="BA75" i="1"/>
  <c r="AY60" i="1"/>
  <c r="BK44" i="1"/>
  <c r="BO63" i="1"/>
  <c r="BP37" i="1"/>
  <c r="BS56" i="1"/>
  <c r="BS218" i="1" s="1"/>
  <c r="AS56" i="1"/>
  <c r="BQ32" i="1"/>
  <c r="BA63" i="1"/>
  <c r="BR49" i="1"/>
  <c r="BT37" i="1"/>
  <c r="AO33" i="1"/>
  <c r="BA70" i="1"/>
  <c r="AU37" i="1"/>
  <c r="BG47" i="1"/>
  <c r="AW56" i="1"/>
  <c r="AW218" i="1" s="1"/>
  <c r="BN69" i="1"/>
  <c r="AP63" i="1"/>
  <c r="AY59" i="1"/>
  <c r="BI47" i="1"/>
  <c r="BU63" i="1"/>
  <c r="AP46" i="1"/>
  <c r="AO70" i="1"/>
  <c r="BS33" i="1"/>
  <c r="BH32" i="1"/>
  <c r="BH255" i="1" s="1"/>
  <c r="AN70" i="1"/>
  <c r="AR71" i="1"/>
  <c r="BW59" i="1"/>
  <c r="AR56" i="1"/>
  <c r="AR218" i="1" s="1"/>
  <c r="AV49" i="1"/>
  <c r="BH46" i="1"/>
  <c r="AP69" i="1"/>
  <c r="BH39" i="1"/>
  <c r="BV44" i="1"/>
  <c r="BB49" i="1"/>
  <c r="BN47" i="1"/>
  <c r="AZ70" i="1"/>
  <c r="BE49" i="1"/>
  <c r="BC38" i="1"/>
  <c r="BH69" i="1"/>
  <c r="AN32" i="1"/>
  <c r="BB38" i="1"/>
  <c r="AR63" i="1"/>
  <c r="AT69" i="1"/>
  <c r="BF69" i="1"/>
  <c r="AN47" i="1"/>
  <c r="BH33" i="1"/>
  <c r="BD38" i="1"/>
  <c r="BF37" i="1"/>
  <c r="AS45" i="1"/>
  <c r="AZ59" i="1"/>
  <c r="BH156" i="1"/>
  <c r="BV178" i="1"/>
  <c r="BW178" i="1" s="1"/>
  <c r="BH179" i="1"/>
  <c r="BI179" i="1" s="1"/>
  <c r="BH166" i="1"/>
  <c r="BI166" i="1" s="1"/>
  <c r="BV155" i="1"/>
  <c r="N148" i="1"/>
  <c r="V97" i="1"/>
  <c r="J156" i="1"/>
  <c r="O151" i="1"/>
  <c r="C141" i="1"/>
  <c r="O179" i="1"/>
  <c r="T143" i="1"/>
  <c r="V159" i="1"/>
  <c r="V155" i="1" s="1"/>
  <c r="C161" i="1"/>
  <c r="J97" i="1"/>
  <c r="F177" i="1"/>
  <c r="F207" i="1" s="1"/>
  <c r="B196" i="1"/>
  <c r="E143" i="1"/>
  <c r="W174" i="1"/>
  <c r="BE63" i="1"/>
  <c r="AW38" i="1"/>
  <c r="AO38" i="1"/>
  <c r="AR48" i="1"/>
  <c r="AW48" i="1"/>
  <c r="BW48" i="1"/>
  <c r="BN60" i="1"/>
  <c r="BN56" i="1"/>
  <c r="AS38" i="1"/>
  <c r="BU44" i="1"/>
  <c r="AO32" i="1"/>
  <c r="AO255" i="1" s="1"/>
  <c r="AN37" i="1"/>
  <c r="BF63" i="1"/>
  <c r="AZ38" i="1"/>
  <c r="BC70" i="1"/>
  <c r="BI59" i="1"/>
  <c r="BO56" i="1"/>
  <c r="BO218" i="1" s="1"/>
  <c r="AU39" i="1"/>
  <c r="BG46" i="1"/>
  <c r="AX33" i="1"/>
  <c r="BM37" i="1"/>
  <c r="AU44" i="1"/>
  <c r="BT60" i="1"/>
  <c r="AP75" i="1"/>
  <c r="BE39" i="1"/>
  <c r="BS46" i="1"/>
  <c r="BK69" i="1"/>
  <c r="BD70" i="1"/>
  <c r="BA39" i="1"/>
  <c r="BW49" i="1"/>
  <c r="BC49" i="1"/>
  <c r="AU45" i="1"/>
  <c r="AP38" i="1"/>
  <c r="BG60" i="1"/>
  <c r="AU56" i="1"/>
  <c r="AU218" i="1" s="1"/>
  <c r="BC56" i="1"/>
  <c r="BC218" i="1" s="1"/>
  <c r="BH161" i="1"/>
  <c r="BI161" i="1" s="1"/>
  <c r="BV177" i="1"/>
  <c r="BH169" i="1"/>
  <c r="BH187" i="1"/>
  <c r="BI187" i="1" s="1"/>
  <c r="BH150" i="1"/>
  <c r="BI150" i="1" s="1"/>
  <c r="BH184" i="1"/>
  <c r="O169" i="1"/>
  <c r="O204" i="1" s="1"/>
  <c r="F170" i="1"/>
  <c r="K142" i="1"/>
  <c r="M164" i="1"/>
  <c r="N161" i="1"/>
  <c r="E194" i="1"/>
  <c r="P159" i="1"/>
  <c r="P155" i="1" s="1"/>
  <c r="I169" i="1"/>
  <c r="I204" i="1" s="1"/>
  <c r="R175" i="1"/>
  <c r="E151" i="1"/>
  <c r="W149" i="1"/>
  <c r="N97" i="1"/>
  <c r="BP32" i="1"/>
  <c r="BP255" i="1" s="1"/>
  <c r="BO71" i="1"/>
  <c r="BD59" i="1"/>
  <c r="BA45" i="1"/>
  <c r="BQ44" i="1"/>
  <c r="AS47" i="1"/>
  <c r="AI49" i="1"/>
  <c r="BB37" i="1"/>
  <c r="BB45" i="1"/>
  <c r="BJ69" i="1"/>
  <c r="BR47" i="1"/>
  <c r="AW33" i="1"/>
  <c r="AI37" i="1"/>
  <c r="BV63" i="1"/>
  <c r="BE37" i="1"/>
  <c r="BE38" i="1"/>
  <c r="BF75" i="1"/>
  <c r="BS37" i="1"/>
  <c r="BH47" i="1"/>
  <c r="BR60" i="1"/>
  <c r="BV33" i="1"/>
  <c r="AW47" i="1"/>
  <c r="AX46" i="1"/>
  <c r="AX59" i="1"/>
  <c r="BK45" i="1"/>
  <c r="BE33" i="1"/>
  <c r="AO37" i="1"/>
  <c r="BG39" i="1"/>
  <c r="BR46" i="1"/>
  <c r="BQ33" i="1"/>
  <c r="BD71" i="1"/>
  <c r="AK98" i="1"/>
  <c r="BD60" i="1"/>
  <c r="AO46" i="1"/>
  <c r="BH75" i="1"/>
  <c r="BV39" i="1"/>
  <c r="BE44" i="1"/>
  <c r="AI48" i="1"/>
  <c r="BC32" i="1"/>
  <c r="BC255" i="1" s="1"/>
  <c r="BK75" i="1"/>
  <c r="AW59" i="1"/>
  <c r="AR33" i="1"/>
  <c r="AN46" i="1"/>
  <c r="AU48" i="1"/>
  <c r="BS71" i="1"/>
  <c r="BQ63" i="1"/>
  <c r="BV69" i="1"/>
  <c r="BI63" i="1"/>
  <c r="BU46" i="1"/>
  <c r="AO71" i="1"/>
  <c r="BF39" i="1"/>
  <c r="BC46" i="1"/>
  <c r="BK46" i="1"/>
  <c r="BO39" i="1"/>
  <c r="AS37" i="1"/>
  <c r="BI49" i="1"/>
  <c r="BH188" i="1"/>
  <c r="BI188" i="1" s="1"/>
  <c r="BV164" i="1"/>
  <c r="BV149" i="1"/>
  <c r="BW149" i="1" s="1"/>
  <c r="BH174" i="1"/>
  <c r="BI174" i="1" s="1"/>
  <c r="S156" i="1"/>
  <c r="I161" i="1"/>
  <c r="J167" i="1"/>
  <c r="C160" i="1"/>
  <c r="I174" i="1"/>
  <c r="R151" i="1"/>
  <c r="G160" i="1"/>
  <c r="R188" i="1"/>
  <c r="G148" i="1"/>
  <c r="E157" i="1"/>
  <c r="W102" i="1"/>
  <c r="G170" i="1"/>
  <c r="BO32" i="1"/>
  <c r="BH170" i="1"/>
  <c r="BI170" i="1" s="1"/>
  <c r="BH157" i="1"/>
  <c r="BH176" i="1"/>
  <c r="BI176" i="1" s="1"/>
  <c r="BV167" i="1"/>
  <c r="BW167" i="1" s="1"/>
  <c r="BV184" i="1"/>
  <c r="BH142" i="1"/>
  <c r="BI142" i="1" s="1"/>
  <c r="B156" i="1"/>
  <c r="L148" i="1"/>
  <c r="W194" i="1"/>
  <c r="F174" i="1"/>
  <c r="V175" i="1"/>
  <c r="J169" i="1"/>
  <c r="J204" i="1" s="1"/>
  <c r="J141" i="1"/>
  <c r="L151" i="1"/>
  <c r="H174" i="1"/>
  <c r="S196" i="1"/>
  <c r="I187" i="1"/>
  <c r="R91" i="1"/>
  <c r="R92" i="1" s="1"/>
  <c r="N170" i="1"/>
  <c r="K171" i="1"/>
  <c r="U148" i="1"/>
  <c r="E97" i="1"/>
  <c r="C168" i="1"/>
  <c r="C203" i="1" s="1"/>
  <c r="BD32" i="1"/>
  <c r="BN32" i="1"/>
  <c r="AZ32" i="1"/>
  <c r="AP71" i="1"/>
  <c r="AV38" i="1"/>
  <c r="AM69" i="1"/>
  <c r="BG48" i="1"/>
  <c r="AR69" i="1"/>
  <c r="AT45" i="1"/>
  <c r="AN71" i="1"/>
  <c r="AS75" i="1"/>
  <c r="BM33" i="1"/>
  <c r="BW71" i="1"/>
  <c r="BF46" i="1"/>
  <c r="AR45" i="1"/>
  <c r="BU38" i="1"/>
  <c r="AV48" i="1"/>
  <c r="BA47" i="1"/>
  <c r="BA60" i="1"/>
  <c r="AQ37" i="1"/>
  <c r="BJ46" i="1"/>
  <c r="BJ50" i="1" s="1"/>
  <c r="BM69" i="1"/>
  <c r="BT63" i="1"/>
  <c r="BV45" i="1"/>
  <c r="BI45" i="1"/>
  <c r="BO69" i="1"/>
  <c r="BR44" i="1"/>
  <c r="AX32" i="1"/>
  <c r="BN39" i="1"/>
  <c r="AI60" i="1"/>
  <c r="AS33" i="1"/>
  <c r="BK47" i="1"/>
  <c r="BS60" i="1"/>
  <c r="AM75" i="1"/>
  <c r="BK37" i="1"/>
  <c r="BS44" i="1"/>
  <c r="AP39" i="1"/>
  <c r="BG71" i="1"/>
  <c r="AN38" i="1"/>
  <c r="AY33" i="1"/>
  <c r="AQ56" i="1"/>
  <c r="AQ218" i="1" s="1"/>
  <c r="BQ59" i="1"/>
  <c r="BS49" i="1"/>
  <c r="BV70" i="1"/>
  <c r="BI37" i="1"/>
  <c r="AT39" i="1"/>
  <c r="AZ75" i="1"/>
  <c r="AO39" i="1"/>
  <c r="BS70" i="1"/>
  <c r="BT44" i="1"/>
  <c r="BI46" i="1"/>
  <c r="AZ33" i="1"/>
  <c r="BG44" i="1"/>
  <c r="BO70" i="1"/>
  <c r="BU49" i="1"/>
  <c r="BT56" i="1"/>
  <c r="AY71" i="1"/>
  <c r="BR38" i="1"/>
  <c r="BK63" i="1"/>
  <c r="BQ37" i="1"/>
  <c r="AQ49" i="1"/>
  <c r="AO69" i="1"/>
  <c r="BM49" i="1"/>
  <c r="BU37" i="1"/>
  <c r="BN37" i="1"/>
  <c r="AO63" i="1"/>
  <c r="AV46" i="1"/>
  <c r="BT45" i="1"/>
  <c r="AI75" i="1"/>
  <c r="AO60" i="1"/>
  <c r="BA38" i="1"/>
  <c r="BT69" i="1"/>
  <c r="BP47" i="1"/>
  <c r="AT33" i="1"/>
  <c r="AM71" i="1"/>
  <c r="BH49" i="1"/>
  <c r="BG75" i="1"/>
  <c r="AT37" i="1"/>
  <c r="BF56" i="1"/>
  <c r="BF218" i="1" s="1"/>
  <c r="BI75" i="1"/>
  <c r="AQ70" i="1"/>
  <c r="BS47" i="1"/>
  <c r="AW70" i="1"/>
  <c r="AO44" i="1"/>
  <c r="BG38" i="1"/>
  <c r="BA48" i="1"/>
  <c r="AY38" i="1"/>
  <c r="AU46" i="1"/>
  <c r="AU63" i="1"/>
  <c r="AW69" i="1"/>
  <c r="AT71" i="1"/>
  <c r="BO38" i="1"/>
  <c r="BH171" i="1"/>
  <c r="BI171" i="1" s="1"/>
  <c r="BV98" i="1"/>
  <c r="BV176" i="1"/>
  <c r="BW176" i="1" s="1"/>
  <c r="BV142" i="1"/>
  <c r="BW142" i="1" s="1"/>
  <c r="BV187" i="1"/>
  <c r="BW187" i="1" s="1"/>
  <c r="B150" i="1"/>
  <c r="F188" i="1"/>
  <c r="D169" i="1"/>
  <c r="D204" i="1" s="1"/>
  <c r="P167" i="1"/>
  <c r="M161" i="1"/>
  <c r="F142" i="1"/>
  <c r="E169" i="1"/>
  <c r="E204" i="1" s="1"/>
  <c r="P173" i="1"/>
  <c r="B184" i="1"/>
  <c r="N175" i="1"/>
  <c r="W143" i="1"/>
  <c r="O196" i="1"/>
  <c r="T196" i="1"/>
  <c r="D151" i="1"/>
  <c r="R141" i="1"/>
  <c r="T169" i="1"/>
  <c r="T204" i="1" s="1"/>
  <c r="T188" i="1"/>
  <c r="W98" i="1"/>
  <c r="BQ56" i="1"/>
  <c r="BQ218" i="1" s="1"/>
  <c r="BO45" i="1"/>
  <c r="BP75" i="1"/>
  <c r="BC60" i="1"/>
  <c r="BE75" i="1"/>
  <c r="BT75" i="1"/>
  <c r="BF49" i="1"/>
  <c r="AQ32" i="1"/>
  <c r="AO49" i="1"/>
  <c r="AZ39" i="1"/>
  <c r="AN75" i="1"/>
  <c r="BG32" i="1"/>
  <c r="BV32" i="1"/>
  <c r="AY69" i="1"/>
  <c r="BN75" i="1"/>
  <c r="BU33" i="1"/>
  <c r="BM45" i="1"/>
  <c r="BP63" i="1"/>
  <c r="AW37" i="1"/>
  <c r="BW39" i="1"/>
  <c r="BW56" i="1"/>
  <c r="BW218" i="1" s="1"/>
  <c r="AS49" i="1"/>
  <c r="AR37" i="1"/>
  <c r="AT49" i="1"/>
  <c r="AP37" i="1"/>
  <c r="AW49" i="1"/>
  <c r="BI69" i="1"/>
  <c r="AY37" i="1"/>
  <c r="BG56" i="1"/>
  <c r="BG218" i="1" s="1"/>
  <c r="BB75" i="1"/>
  <c r="AW75" i="1"/>
  <c r="AQ47" i="1"/>
  <c r="AW46" i="1"/>
  <c r="BA37" i="1"/>
  <c r="AY32" i="1"/>
  <c r="BQ47" i="1"/>
  <c r="BR32" i="1"/>
  <c r="BR255" i="1" s="1"/>
  <c r="BJ71" i="1"/>
  <c r="BR45" i="1"/>
  <c r="AN44" i="1"/>
  <c r="BK59" i="1"/>
  <c r="BU45" i="1"/>
  <c r="BE59" i="1"/>
  <c r="AV63" i="1"/>
  <c r="BG37" i="1"/>
  <c r="BC37" i="1"/>
  <c r="AR49" i="1"/>
  <c r="BP39" i="1"/>
  <c r="BR75" i="1"/>
  <c r="AV44" i="1"/>
  <c r="AZ71" i="1"/>
  <c r="BW38" i="1"/>
  <c r="AV70" i="1"/>
  <c r="AR59" i="1"/>
  <c r="BU39" i="1"/>
  <c r="AR47" i="1"/>
  <c r="AV32" i="1"/>
  <c r="AV255" i="1" s="1"/>
  <c r="AZ56" i="1"/>
  <c r="BP48" i="1"/>
  <c r="AU49" i="1"/>
  <c r="AR32" i="1"/>
  <c r="AU70" i="1"/>
  <c r="BD48" i="1"/>
  <c r="BD37" i="1"/>
  <c r="AN39" i="1"/>
  <c r="BW32" i="1"/>
  <c r="BJ33" i="1"/>
  <c r="BJ34" i="1" s="1"/>
  <c r="BJ40" i="1" s="1"/>
  <c r="BJ41" i="1" s="1"/>
  <c r="BK60" i="1"/>
  <c r="BK61" i="1" s="1"/>
  <c r="BF60" i="1"/>
  <c r="AX70" i="1"/>
  <c r="AO56" i="1"/>
  <c r="BI33" i="1"/>
  <c r="BV37" i="1"/>
  <c r="BV169" i="1"/>
  <c r="BV174" i="1"/>
  <c r="BW174" i="1" s="1"/>
  <c r="K188" i="1"/>
  <c r="O146" i="1"/>
  <c r="G168" i="1"/>
  <c r="G203" i="1" s="1"/>
  <c r="W97" i="1"/>
  <c r="T102" i="1"/>
  <c r="F157" i="1"/>
  <c r="I146" i="1"/>
  <c r="O91" i="1"/>
  <c r="O92" i="1" s="1"/>
  <c r="T159" i="1"/>
  <c r="T155" i="1" s="1"/>
  <c r="F150" i="1"/>
  <c r="F178" i="1" s="1"/>
  <c r="M159" i="1"/>
  <c r="M155" i="1" s="1"/>
  <c r="S141" i="1"/>
  <c r="T184" i="1"/>
  <c r="AZ46" i="1"/>
  <c r="AV45" i="1"/>
  <c r="BW75" i="1"/>
  <c r="BB39" i="1"/>
  <c r="BD63" i="1"/>
  <c r="BU59" i="1"/>
  <c r="AZ47" i="1"/>
  <c r="BR48" i="1"/>
  <c r="AX56" i="1"/>
  <c r="AX218" i="1" s="1"/>
  <c r="AU32" i="1"/>
  <c r="BI60" i="1"/>
  <c r="AI69" i="1"/>
  <c r="BV56" i="1"/>
  <c r="BV218" i="1" s="1"/>
  <c r="AX45" i="1"/>
  <c r="AI45" i="1"/>
  <c r="BS38" i="1"/>
  <c r="BM48" i="1"/>
  <c r="BP44" i="1"/>
  <c r="BM56" i="1"/>
  <c r="BT38" i="1"/>
  <c r="BC63" i="1"/>
  <c r="BO46" i="1"/>
  <c r="AY70" i="1"/>
  <c r="BE32" i="1"/>
  <c r="AS63" i="1"/>
  <c r="BO44" i="1"/>
  <c r="AR60" i="1"/>
  <c r="AR276" i="1" s="1"/>
  <c r="BE45" i="1"/>
  <c r="BJ98" i="1"/>
  <c r="AX49" i="1"/>
  <c r="AS70" i="1"/>
  <c r="BV156" i="1"/>
  <c r="AI97" i="1"/>
  <c r="BH148" i="1"/>
  <c r="BI148" i="1" s="1"/>
  <c r="BH98" i="1"/>
  <c r="BH159" i="1"/>
  <c r="BI159" i="1" s="1"/>
  <c r="BH143" i="1"/>
  <c r="M148" i="1"/>
  <c r="T157" i="1"/>
  <c r="M156" i="1"/>
  <c r="L161" i="1"/>
  <c r="O149" i="1"/>
  <c r="E146" i="1"/>
  <c r="Q102" i="1"/>
  <c r="Q113" i="1" s="1"/>
  <c r="U169" i="1"/>
  <c r="U204" i="1" s="1"/>
  <c r="L160" i="1"/>
  <c r="L174" i="1"/>
  <c r="W150" i="1"/>
  <c r="W178" i="1" s="1"/>
  <c r="G161" i="1"/>
  <c r="F151" i="1"/>
  <c r="V184" i="1"/>
  <c r="W151" i="1"/>
  <c r="J161" i="1"/>
  <c r="BM60" i="1"/>
  <c r="BQ49" i="1"/>
  <c r="AX38" i="1"/>
  <c r="BH44" i="1"/>
  <c r="AS44" i="1"/>
  <c r="BR70" i="1"/>
  <c r="BW69" i="1"/>
  <c r="BF44" i="1"/>
  <c r="BM44" i="1"/>
  <c r="BE48" i="1"/>
  <c r="BG63" i="1"/>
  <c r="BB71" i="1"/>
  <c r="AX69" i="1"/>
  <c r="BI38" i="1"/>
  <c r="BC59" i="1"/>
  <c r="AP32" i="1"/>
  <c r="AP255" i="1" s="1"/>
  <c r="BN71" i="1"/>
  <c r="BC75" i="1"/>
  <c r="BQ70" i="1"/>
  <c r="BP49" i="1"/>
  <c r="BU56" i="1"/>
  <c r="BU218" i="1" s="1"/>
  <c r="BS59" i="1"/>
  <c r="AM97" i="1"/>
  <c r="AN48" i="1"/>
  <c r="AI32" i="1"/>
  <c r="BP38" i="1"/>
  <c r="BK56" i="1"/>
  <c r="AT56" i="1"/>
  <c r="AT63" i="1"/>
  <c r="BA32" i="1"/>
  <c r="AJ98" i="1"/>
  <c r="AX75" i="1"/>
  <c r="AQ46" i="1"/>
  <c r="BO59" i="1"/>
  <c r="BN70" i="1"/>
  <c r="BV48" i="1"/>
  <c r="BP33" i="1"/>
  <c r="AR44" i="1"/>
  <c r="BR37" i="1"/>
  <c r="AT46" i="1"/>
  <c r="AT70" i="1"/>
  <c r="BB63" i="1"/>
  <c r="AV33" i="1"/>
  <c r="BK39" i="1"/>
  <c r="AP60" i="1"/>
  <c r="BG45" i="1"/>
  <c r="BQ45" i="1"/>
  <c r="BE69" i="1"/>
  <c r="AZ69" i="1"/>
  <c r="BN48" i="1"/>
  <c r="BS39" i="1"/>
  <c r="AS39" i="1"/>
  <c r="BN45" i="1"/>
  <c r="AN56" i="1"/>
  <c r="AN218" i="1" s="1"/>
  <c r="BU48" i="1"/>
  <c r="AX60" i="1"/>
  <c r="AP44" i="1"/>
  <c r="BA46" i="1"/>
  <c r="BV173" i="1"/>
  <c r="BW173" i="1" s="1"/>
  <c r="BH97" i="1"/>
  <c r="BV148" i="1"/>
  <c r="BW148" i="1" s="1"/>
  <c r="BH167" i="1"/>
  <c r="BI167" i="1" s="1"/>
  <c r="BH164" i="1"/>
  <c r="BI164" i="1" s="1"/>
  <c r="BJ226" i="1" s="1"/>
  <c r="BV141" i="1"/>
  <c r="BW141" i="1" s="1"/>
  <c r="T98" i="1"/>
  <c r="S91" i="1"/>
  <c r="S92" i="1" s="1"/>
  <c r="T103" i="1"/>
  <c r="T111" i="1" s="1"/>
  <c r="T194" i="1"/>
  <c r="F184" i="1"/>
  <c r="Q160" i="1"/>
  <c r="C183" i="1"/>
  <c r="U160" i="1"/>
  <c r="U103" i="1"/>
  <c r="U111" i="1" s="1"/>
  <c r="P166" i="1"/>
  <c r="Q167" i="1"/>
  <c r="Q164" i="1"/>
  <c r="H146" i="1"/>
  <c r="C195" i="1"/>
  <c r="H142" i="1"/>
  <c r="D161" i="1"/>
  <c r="BB48" i="1"/>
  <c r="BN33" i="1"/>
  <c r="AW45" i="1"/>
  <c r="BC47" i="1"/>
  <c r="BJ59" i="1"/>
  <c r="BN49" i="1"/>
  <c r="AZ48" i="1"/>
  <c r="AU38" i="1"/>
  <c r="BB70" i="1"/>
  <c r="AV56" i="1"/>
  <c r="AV218" i="1" s="1"/>
  <c r="AR38" i="1"/>
  <c r="BV75" i="1"/>
  <c r="BI48" i="1"/>
  <c r="BE70" i="1"/>
  <c r="BT46" i="1"/>
  <c r="AI33" i="1"/>
  <c r="AI34" i="1" s="1"/>
  <c r="BR71" i="1"/>
  <c r="AR75" i="1"/>
  <c r="BR63" i="1"/>
  <c r="AN59" i="1"/>
  <c r="AP33" i="1"/>
  <c r="BF59" i="1"/>
  <c r="AU71" i="1"/>
  <c r="BI44" i="1"/>
  <c r="BH63" i="1"/>
  <c r="AQ48" i="1"/>
  <c r="AZ37" i="1"/>
  <c r="AN60" i="1"/>
  <c r="BM59" i="1"/>
  <c r="AM98" i="1"/>
  <c r="AX71" i="1"/>
  <c r="BU69" i="1"/>
  <c r="AU33" i="1"/>
  <c r="BT32" i="1"/>
  <c r="BQ39" i="1"/>
  <c r="BV71" i="1"/>
  <c r="AW63" i="1"/>
  <c r="BO37" i="1"/>
  <c r="BF38" i="1"/>
  <c r="BD56" i="1"/>
  <c r="BD218" i="1" s="1"/>
  <c r="BD69" i="1"/>
  <c r="BJ56" i="1"/>
  <c r="BJ70" i="1"/>
  <c r="BN46" i="1"/>
  <c r="BV97" i="1"/>
  <c r="BV168" i="1"/>
  <c r="BV157" i="1"/>
  <c r="U170" i="1"/>
  <c r="L142" i="1"/>
  <c r="P174" i="1"/>
  <c r="W184" i="1"/>
  <c r="F161" i="1"/>
  <c r="C151" i="1"/>
  <c r="G156" i="1"/>
  <c r="V146" i="1"/>
  <c r="V91" i="1"/>
  <c r="V92" i="1" s="1"/>
  <c r="B87" i="1"/>
  <c r="N157" i="1"/>
  <c r="M142" i="1"/>
  <c r="T97" i="1"/>
  <c r="I98" i="1"/>
  <c r="V161" i="1"/>
  <c r="H148" i="1"/>
  <c r="E166" i="1"/>
  <c r="AQ33" i="1"/>
  <c r="BS32" i="1"/>
  <c r="BK71" i="1"/>
  <c r="BB56" i="1"/>
  <c r="BB218" i="1" s="1"/>
  <c r="BW70" i="1"/>
  <c r="BU70" i="1"/>
  <c r="BP70" i="1"/>
  <c r="BE47" i="1"/>
  <c r="BS69" i="1"/>
  <c r="BF33" i="1"/>
  <c r="BJ60" i="1"/>
  <c r="BJ276" i="1" s="1"/>
  <c r="AP59" i="1"/>
  <c r="BD75" i="1"/>
  <c r="BK48" i="1"/>
  <c r="BH48" i="1"/>
  <c r="BA33" i="1"/>
  <c r="BJ63" i="1"/>
  <c r="AP47" i="1"/>
  <c r="BS75" i="1"/>
  <c r="AW60" i="1"/>
  <c r="AQ60" i="1"/>
  <c r="AY47" i="1"/>
  <c r="BP46" i="1"/>
  <c r="BF45" i="1"/>
  <c r="AU69" i="1"/>
  <c r="BS48" i="1"/>
  <c r="BF47" i="1"/>
  <c r="BQ71" i="1"/>
  <c r="AT44" i="1"/>
  <c r="AP56" i="1"/>
  <c r="AP218" i="1" s="1"/>
  <c r="BG49" i="1"/>
  <c r="BK70" i="1"/>
  <c r="AT60" i="1"/>
  <c r="BM70" i="1"/>
  <c r="AW39" i="1"/>
  <c r="AY49" i="1"/>
  <c r="BN38" i="1"/>
  <c r="AV47" i="1"/>
  <c r="BQ60" i="1"/>
  <c r="BT71" i="1"/>
  <c r="BB47" i="1"/>
  <c r="BU75" i="1"/>
  <c r="BR59" i="1"/>
  <c r="AJ97" i="1"/>
  <c r="BM38" i="1"/>
  <c r="BT49" i="1"/>
  <c r="AQ39" i="1"/>
  <c r="BH56" i="1"/>
  <c r="BH218" i="1" s="1"/>
  <c r="BA69" i="1"/>
  <c r="BO60" i="1"/>
  <c r="BI56" i="1"/>
  <c r="AV75" i="1"/>
  <c r="AU60" i="1"/>
  <c r="BO49" i="1"/>
  <c r="BH60" i="1"/>
  <c r="BP56" i="1"/>
  <c r="BP218" i="1" s="1"/>
  <c r="BA71" i="1"/>
  <c r="BS63" i="1"/>
  <c r="BD46" i="1"/>
  <c r="AY46" i="1"/>
  <c r="BF71" i="1"/>
  <c r="BK32" i="1"/>
  <c r="AO75" i="1"/>
  <c r="BW47" i="1"/>
  <c r="BP69" i="1"/>
  <c r="BC44" i="1"/>
  <c r="BI32" i="1"/>
  <c r="BI255" i="1" s="1"/>
  <c r="AP45" i="1"/>
  <c r="BV47" i="1"/>
  <c r="AO48" i="1"/>
  <c r="BE56" i="1"/>
  <c r="BE218" i="1" s="1"/>
  <c r="BP59" i="1"/>
  <c r="AY39" i="1"/>
  <c r="AU75" i="1"/>
  <c r="AI38" i="1"/>
  <c r="BT33" i="1"/>
  <c r="BE60" i="1"/>
  <c r="AX48" i="1"/>
  <c r="AY75" i="1"/>
  <c r="BC69" i="1"/>
  <c r="BD47" i="1"/>
  <c r="AV60" i="1"/>
  <c r="AT47" i="1"/>
  <c r="BQ46" i="1"/>
  <c r="BR33" i="1"/>
  <c r="AI59" i="1"/>
  <c r="AX63" i="1"/>
  <c r="BH175" i="1"/>
  <c r="BI175" i="1" s="1"/>
  <c r="BH141" i="1"/>
  <c r="BI141" i="1" s="1"/>
  <c r="BV179" i="1"/>
  <c r="BW179" i="1" s="1"/>
  <c r="BV166" i="1"/>
  <c r="BW166" i="1" s="1"/>
  <c r="BH146" i="1"/>
  <c r="BI146" i="1" s="1"/>
  <c r="E196" i="1"/>
  <c r="E161" i="1"/>
  <c r="R157" i="1"/>
  <c r="Q173" i="1"/>
  <c r="K161" i="1"/>
  <c r="D149" i="1"/>
  <c r="G146" i="1"/>
  <c r="F159" i="1"/>
  <c r="F155" i="1" s="1"/>
  <c r="K101" i="1"/>
  <c r="K126" i="1" s="1"/>
  <c r="H91" i="1"/>
  <c r="H92" i="1" s="1"/>
  <c r="G103" i="1"/>
  <c r="D171" i="1"/>
  <c r="J160" i="1"/>
  <c r="H143" i="1"/>
  <c r="P170" i="1"/>
  <c r="G141" i="1"/>
  <c r="R103" i="1"/>
  <c r="H102" i="1"/>
  <c r="H131" i="1" s="1"/>
  <c r="G195" i="1"/>
  <c r="P160" i="1"/>
  <c r="O150" i="1"/>
  <c r="O178" i="1" s="1"/>
  <c r="I179" i="1"/>
  <c r="I148" i="1"/>
  <c r="B164" i="1"/>
  <c r="B166" i="1"/>
  <c r="E164" i="1"/>
  <c r="I171" i="1"/>
  <c r="H168" i="1"/>
  <c r="H203" i="1" s="1"/>
  <c r="R159" i="1"/>
  <c r="R155" i="1" s="1"/>
  <c r="V167" i="1"/>
  <c r="H188" i="1"/>
  <c r="G97" i="1"/>
  <c r="C173" i="1"/>
  <c r="N177" i="1"/>
  <c r="N207" i="1" s="1"/>
  <c r="W173" i="1"/>
  <c r="Q195" i="1"/>
  <c r="I173" i="1"/>
  <c r="J168" i="1"/>
  <c r="J203" i="1" s="1"/>
  <c r="N141" i="1"/>
  <c r="L91" i="1"/>
  <c r="L92" i="1" s="1"/>
  <c r="U102" i="1"/>
  <c r="U110" i="1" s="1"/>
  <c r="W167" i="1"/>
  <c r="K195" i="1"/>
  <c r="L196" i="1"/>
  <c r="H103" i="1"/>
  <c r="L149" i="1"/>
  <c r="S146" i="1"/>
  <c r="T179" i="1"/>
  <c r="V149" i="1"/>
  <c r="C164" i="1"/>
  <c r="M143" i="1"/>
  <c r="K151" i="1"/>
  <c r="Q171" i="1"/>
  <c r="N156" i="1"/>
  <c r="M175" i="1"/>
  <c r="R196" i="1"/>
  <c r="F91" i="1"/>
  <c r="F92" i="1" s="1"/>
  <c r="J166" i="1"/>
  <c r="S160" i="1"/>
  <c r="S149" i="1"/>
  <c r="H151" i="1"/>
  <c r="C170" i="1"/>
  <c r="S183" i="1"/>
  <c r="N150" i="1"/>
  <c r="N178" i="1" s="1"/>
  <c r="J195" i="1"/>
  <c r="V188" i="1"/>
  <c r="L159" i="1"/>
  <c r="L155" i="1" s="1"/>
  <c r="C166" i="1"/>
  <c r="D87" i="1"/>
  <c r="V183" i="1"/>
  <c r="B187" i="1"/>
  <c r="W103" i="1"/>
  <c r="E195" i="1"/>
  <c r="E141" i="1"/>
  <c r="C146" i="1"/>
  <c r="S142" i="1"/>
  <c r="T183" i="1"/>
  <c r="C103" i="1"/>
  <c r="F148" i="1"/>
  <c r="J175" i="1"/>
  <c r="C194" i="1"/>
  <c r="J187" i="1"/>
  <c r="K196" i="1"/>
  <c r="E98" i="1"/>
  <c r="N160" i="1"/>
  <c r="D175" i="1"/>
  <c r="O157" i="1"/>
  <c r="L194" i="1"/>
  <c r="H187" i="1"/>
  <c r="N195" i="1"/>
  <c r="H195" i="1"/>
  <c r="D101" i="1"/>
  <c r="D195" i="1"/>
  <c r="AW44" i="1"/>
  <c r="BF48" i="1"/>
  <c r="BQ38" i="1"/>
  <c r="AV69" i="1"/>
  <c r="AT48" i="1"/>
  <c r="AN33" i="1"/>
  <c r="BH178" i="1"/>
  <c r="BI178" i="1" s="1"/>
  <c r="M169" i="1"/>
  <c r="M204" i="1" s="1"/>
  <c r="N103" i="1"/>
  <c r="B151" i="1"/>
  <c r="R177" i="1"/>
  <c r="R207" i="1" s="1"/>
  <c r="U146" i="1"/>
  <c r="G169" i="1"/>
  <c r="G204" i="1" s="1"/>
  <c r="I195" i="1"/>
  <c r="B174" i="1"/>
  <c r="J188" i="1"/>
  <c r="M91" i="1"/>
  <c r="M92" i="1" s="1"/>
  <c r="S175" i="1"/>
  <c r="Q146" i="1"/>
  <c r="G101" i="1"/>
  <c r="Q143" i="1"/>
  <c r="R148" i="1"/>
  <c r="R98" i="1"/>
  <c r="J164" i="1"/>
  <c r="P102" i="1"/>
  <c r="U196" i="1"/>
  <c r="D102" i="1"/>
  <c r="D113" i="1" s="1"/>
  <c r="F173" i="1"/>
  <c r="O143" i="1"/>
  <c r="D177" i="1"/>
  <c r="D207" i="1" s="1"/>
  <c r="B155" i="1"/>
  <c r="V101" i="1"/>
  <c r="F175" i="1"/>
  <c r="J174" i="1"/>
  <c r="K103" i="1"/>
  <c r="D174" i="1"/>
  <c r="C177" i="1"/>
  <c r="C207" i="1" s="1"/>
  <c r="T150" i="1"/>
  <c r="T178" i="1" s="1"/>
  <c r="P196" i="1"/>
  <c r="Q157" i="1"/>
  <c r="U164" i="1"/>
  <c r="K146" i="1"/>
  <c r="G194" i="1"/>
  <c r="Q174" i="1"/>
  <c r="O148" i="1"/>
  <c r="L184" i="1"/>
  <c r="J150" i="1"/>
  <c r="J178" i="1" s="1"/>
  <c r="B142" i="1"/>
  <c r="D170" i="1"/>
  <c r="L146" i="1"/>
  <c r="U171" i="1"/>
  <c r="U167" i="1"/>
  <c r="C91" i="1"/>
  <c r="K173" i="1"/>
  <c r="Q151" i="1"/>
  <c r="W196" i="1"/>
  <c r="T160" i="1"/>
  <c r="O102" i="1"/>
  <c r="O127" i="1" s="1"/>
  <c r="E179" i="1"/>
  <c r="K97" i="1"/>
  <c r="D157" i="1"/>
  <c r="H171" i="1"/>
  <c r="U183" i="1"/>
  <c r="M173" i="1"/>
  <c r="H101" i="1"/>
  <c r="O160" i="1"/>
  <c r="Q159" i="1"/>
  <c r="Q155" i="1" s="1"/>
  <c r="J173" i="1"/>
  <c r="H184" i="1"/>
  <c r="M157" i="1"/>
  <c r="E173" i="1"/>
  <c r="C184" i="1"/>
  <c r="C171" i="1"/>
  <c r="K159" i="1"/>
  <c r="K155" i="1" s="1"/>
  <c r="N169" i="1"/>
  <c r="N204" i="1" s="1"/>
  <c r="I149" i="1"/>
  <c r="P142" i="1"/>
  <c r="T101" i="1"/>
  <c r="T109" i="1" s="1"/>
  <c r="K157" i="1"/>
  <c r="B175" i="1"/>
  <c r="L166" i="1"/>
  <c r="Q166" i="1"/>
  <c r="W168" i="1"/>
  <c r="G164" i="1"/>
  <c r="R166" i="1"/>
  <c r="I167" i="1"/>
  <c r="Q188" i="1"/>
  <c r="Q98" i="1"/>
  <c r="V171" i="1"/>
  <c r="N159" i="1"/>
  <c r="N155" i="1" s="1"/>
  <c r="E174" i="1"/>
  <c r="D164" i="1"/>
  <c r="E226" i="1" s="1"/>
  <c r="T156" i="1"/>
  <c r="I170" i="1"/>
  <c r="I156" i="1"/>
  <c r="V102" i="1"/>
  <c r="D194" i="1"/>
  <c r="K169" i="1"/>
  <c r="K204" i="1" s="1"/>
  <c r="S171" i="1"/>
  <c r="M166" i="1"/>
  <c r="V160" i="1"/>
  <c r="R156" i="1"/>
  <c r="R158" i="1" s="1"/>
  <c r="V150" i="1"/>
  <c r="V178" i="1" s="1"/>
  <c r="P168" i="1"/>
  <c r="P203" i="1" s="1"/>
  <c r="K174" i="1"/>
  <c r="H98" i="1"/>
  <c r="N184" i="1"/>
  <c r="S173" i="1"/>
  <c r="C156" i="1"/>
  <c r="M97" i="1"/>
  <c r="S195" i="1"/>
  <c r="S143" i="1"/>
  <c r="L179" i="1"/>
  <c r="C155" i="1"/>
  <c r="O156" i="1"/>
  <c r="D159" i="1"/>
  <c r="S184" i="1"/>
  <c r="D155" i="1"/>
  <c r="V196" i="1"/>
  <c r="V103" i="1"/>
  <c r="T166" i="1"/>
  <c r="W188" i="1"/>
  <c r="I143" i="1"/>
  <c r="J177" i="1"/>
  <c r="J207" i="1" s="1"/>
  <c r="R101" i="1"/>
  <c r="R126" i="1" s="1"/>
  <c r="S103" i="1"/>
  <c r="S111" i="1" s="1"/>
  <c r="L164" i="1"/>
  <c r="U161" i="1"/>
  <c r="O173" i="1"/>
  <c r="S164" i="1"/>
  <c r="S151" i="1"/>
  <c r="H150" i="1"/>
  <c r="H178" i="1" s="1"/>
  <c r="E170" i="1"/>
  <c r="L195" i="1"/>
  <c r="L143" i="1"/>
  <c r="D196" i="1"/>
  <c r="U151" i="1"/>
  <c r="V141" i="1"/>
  <c r="I142" i="1"/>
  <c r="D188" i="1"/>
  <c r="J149" i="1"/>
  <c r="N91" i="1"/>
  <c r="N92" i="1" s="1"/>
  <c r="K170" i="1"/>
  <c r="M103" i="1"/>
  <c r="I160" i="1"/>
  <c r="W142" i="1"/>
  <c r="G151" i="1"/>
  <c r="H159" i="1"/>
  <c r="H155" i="1" s="1"/>
  <c r="Q97" i="1"/>
  <c r="C159" i="1"/>
  <c r="V177" i="1"/>
  <c r="V207" i="1" s="1"/>
  <c r="V142" i="1"/>
  <c r="Q156" i="1"/>
  <c r="B148" i="1"/>
  <c r="E187" i="1"/>
  <c r="Q150" i="1"/>
  <c r="Q178" i="1" s="1"/>
  <c r="O141" i="1"/>
  <c r="K141" i="1"/>
  <c r="E101" i="1"/>
  <c r="N101" i="1"/>
  <c r="N109" i="1" s="1"/>
  <c r="R170" i="1"/>
  <c r="E142" i="1"/>
  <c r="H169" i="1"/>
  <c r="H204" i="1" s="1"/>
  <c r="R143" i="1"/>
  <c r="K149" i="1"/>
  <c r="O142" i="1"/>
  <c r="Q149" i="1"/>
  <c r="J103" i="1"/>
  <c r="J128" i="1" s="1"/>
  <c r="U166" i="1"/>
  <c r="B161" i="1"/>
  <c r="I196" i="1"/>
  <c r="P156" i="1"/>
  <c r="H194" i="1"/>
  <c r="I164" i="1"/>
  <c r="G91" i="1"/>
  <c r="G92" i="1" s="1"/>
  <c r="U187" i="1"/>
  <c r="E103" i="1"/>
  <c r="B141" i="1"/>
  <c r="M146" i="1"/>
  <c r="P194" i="1"/>
  <c r="F164" i="1"/>
  <c r="T171" i="1"/>
  <c r="O168" i="1"/>
  <c r="O203" i="1" s="1"/>
  <c r="S168" i="1"/>
  <c r="S203" i="1" s="1"/>
  <c r="O188" i="1"/>
  <c r="R171" i="1"/>
  <c r="N98" i="1"/>
  <c r="M98" i="1"/>
  <c r="L170" i="1"/>
  <c r="M101" i="1"/>
  <c r="M109" i="1" s="1"/>
  <c r="Q168" i="1"/>
  <c r="Q203" i="1" s="1"/>
  <c r="D173" i="1"/>
  <c r="S188" i="1"/>
  <c r="C97" i="1"/>
  <c r="B101" i="1"/>
  <c r="R164" i="1"/>
  <c r="S226" i="1" s="1"/>
  <c r="C150" i="1"/>
  <c r="C178" i="1" s="1"/>
  <c r="O103" i="1"/>
  <c r="O128" i="1" s="1"/>
  <c r="I168" i="1"/>
  <c r="I203" i="1" s="1"/>
  <c r="R102" i="1"/>
  <c r="R187" i="1"/>
  <c r="T161" i="1"/>
  <c r="W91" i="1"/>
  <c r="J142" i="1"/>
  <c r="T148" i="1"/>
  <c r="W166" i="1"/>
  <c r="V195" i="1"/>
  <c r="D141" i="1"/>
  <c r="W170" i="1"/>
  <c r="N188" i="1"/>
  <c r="F149" i="1"/>
  <c r="E150" i="1"/>
  <c r="E178" i="1" s="1"/>
  <c r="I183" i="1"/>
  <c r="J146" i="1"/>
  <c r="Q91" i="1"/>
  <c r="Q92" i="1" s="1"/>
  <c r="Q170" i="1"/>
  <c r="P150" i="1"/>
  <c r="P178" i="1" s="1"/>
  <c r="Q101" i="1"/>
  <c r="L168" i="1"/>
  <c r="L203" i="1" s="1"/>
  <c r="S161" i="1"/>
  <c r="V179" i="1"/>
  <c r="I184" i="1"/>
  <c r="I185" i="1" s="1"/>
  <c r="J233" i="1" s="1"/>
  <c r="F167" i="1"/>
  <c r="R169" i="1"/>
  <c r="R204" i="1" s="1"/>
  <c r="Q184" i="1"/>
  <c r="V156" i="1"/>
  <c r="I151" i="1"/>
  <c r="F102" i="1"/>
  <c r="F131" i="1" s="1"/>
  <c r="W183" i="1"/>
  <c r="G157" i="1"/>
  <c r="S169" i="1"/>
  <c r="S204" i="1" s="1"/>
  <c r="S157" i="1"/>
  <c r="D91" i="1"/>
  <c r="K194" i="1"/>
  <c r="M174" i="1"/>
  <c r="N149" i="1"/>
  <c r="Q161" i="1"/>
  <c r="U101" i="1"/>
  <c r="U126" i="1" s="1"/>
  <c r="G102" i="1"/>
  <c r="G113" i="1" s="1"/>
  <c r="D88" i="1"/>
  <c r="E177" i="1"/>
  <c r="E207" i="1" s="1"/>
  <c r="M195" i="1"/>
  <c r="S150" i="1"/>
  <c r="S178" i="1" s="1"/>
  <c r="S101" i="1"/>
  <c r="R146" i="1"/>
  <c r="D103" i="1"/>
  <c r="U173" i="1"/>
  <c r="K179" i="1"/>
  <c r="W195" i="1"/>
  <c r="B146" i="1"/>
  <c r="R160" i="1"/>
  <c r="F97" i="1"/>
  <c r="G150" i="1"/>
  <c r="G178" i="1" s="1"/>
  <c r="K91" i="1"/>
  <c r="K92" i="1" s="1"/>
  <c r="U91" i="1"/>
  <c r="U92" i="1" s="1"/>
  <c r="V151" i="1"/>
  <c r="Q194" i="1"/>
  <c r="C88" i="1"/>
  <c r="P195" i="1"/>
  <c r="L98" i="1"/>
  <c r="T151" i="1"/>
  <c r="R97" i="1"/>
  <c r="P169" i="1"/>
  <c r="P204" i="1" s="1"/>
  <c r="E175" i="1"/>
  <c r="V169" i="1"/>
  <c r="V204" i="1" s="1"/>
  <c r="P187" i="1"/>
  <c r="C179" i="1"/>
  <c r="P161" i="1"/>
  <c r="U143" i="1"/>
  <c r="M184" i="1"/>
  <c r="K175" i="1"/>
  <c r="B194" i="1"/>
  <c r="R194" i="1"/>
  <c r="J170" i="1"/>
  <c r="E171" i="1"/>
  <c r="R174" i="1"/>
  <c r="J196" i="1"/>
  <c r="F169" i="1"/>
  <c r="F204" i="1" s="1"/>
  <c r="J159" i="1"/>
  <c r="J155" i="1" s="1"/>
  <c r="D156" i="1"/>
  <c r="R161" i="1"/>
  <c r="O167" i="1"/>
  <c r="F166" i="1"/>
  <c r="D183" i="1"/>
  <c r="O174" i="1"/>
  <c r="G174" i="1"/>
  <c r="T187" i="1"/>
  <c r="P143" i="1"/>
  <c r="J98" i="1"/>
  <c r="BH151" i="1"/>
  <c r="BI151" i="1" s="1"/>
  <c r="C102" i="1"/>
  <c r="J157" i="1"/>
  <c r="G196" i="1"/>
  <c r="M177" i="1"/>
  <c r="M207" i="1" s="1"/>
  <c r="O175" i="1"/>
  <c r="T91" i="1"/>
  <c r="T92" i="1" s="1"/>
  <c r="S97" i="1"/>
  <c r="L156" i="1"/>
  <c r="F171" i="1"/>
  <c r="B188" i="1"/>
  <c r="M187" i="1"/>
  <c r="O159" i="1"/>
  <c r="O155" i="1" s="1"/>
  <c r="L183" i="1"/>
  <c r="B169" i="1"/>
  <c r="B204" i="1" s="1"/>
  <c r="W175" i="1"/>
  <c r="F156" i="1"/>
  <c r="L188" i="1"/>
  <c r="E102" i="1"/>
  <c r="P183" i="1"/>
  <c r="P185" i="1" s="1"/>
  <c r="Q233" i="1" s="1"/>
  <c r="U156" i="1"/>
  <c r="D160" i="1"/>
  <c r="L97" i="1"/>
  <c r="F160" i="1"/>
  <c r="L141" i="1"/>
  <c r="U168" i="1"/>
  <c r="U203" i="1" s="1"/>
  <c r="G166" i="1"/>
  <c r="E149" i="1"/>
  <c r="S102" i="1"/>
  <c r="P101" i="1"/>
  <c r="P109" i="1" s="1"/>
  <c r="Q169" i="1"/>
  <c r="Q204" i="1" s="1"/>
  <c r="C175" i="1"/>
  <c r="M168" i="1"/>
  <c r="M203" i="1" s="1"/>
  <c r="U98" i="1"/>
  <c r="V148" i="1"/>
  <c r="R184" i="1"/>
  <c r="K98" i="1"/>
  <c r="K166" i="1"/>
  <c r="J171" i="1"/>
  <c r="L177" i="1"/>
  <c r="L207" i="1" s="1"/>
  <c r="V164" i="1"/>
  <c r="V98" i="1"/>
  <c r="M102" i="1"/>
  <c r="O164" i="1"/>
  <c r="O161" i="1"/>
  <c r="C188" i="1"/>
  <c r="F146" i="1"/>
  <c r="N187" i="1"/>
  <c r="W187" i="1"/>
  <c r="N168" i="1"/>
  <c r="N203" i="1" s="1"/>
  <c r="H161" i="1"/>
  <c r="F101" i="1"/>
  <c r="F126" i="1" s="1"/>
  <c r="I97" i="1"/>
  <c r="K183" i="1"/>
  <c r="I102" i="1"/>
  <c r="T142" i="1"/>
  <c r="T170" i="1"/>
  <c r="J102" i="1"/>
  <c r="O194" i="1"/>
  <c r="P188" i="1"/>
  <c r="J183" i="1"/>
  <c r="N151" i="1"/>
  <c r="L101" i="1"/>
  <c r="L126" i="1" s="1"/>
  <c r="B88" i="1"/>
  <c r="N174" i="1"/>
  <c r="S148" i="1"/>
  <c r="Q196" i="1"/>
  <c r="F196" i="1"/>
  <c r="R149" i="1"/>
  <c r="T167" i="1"/>
  <c r="B179" i="1"/>
  <c r="E159" i="1"/>
  <c r="E155" i="1" s="1"/>
  <c r="S170" i="1"/>
  <c r="B143" i="1"/>
  <c r="V187" i="1"/>
  <c r="F179" i="1"/>
  <c r="T146" i="1"/>
  <c r="W148" i="1"/>
  <c r="O166" i="1"/>
  <c r="Q179" i="1"/>
  <c r="G159" i="1"/>
  <c r="G155" i="1" s="1"/>
  <c r="T164" i="1"/>
  <c r="R167" i="1"/>
  <c r="D143" i="1"/>
  <c r="N179" i="1"/>
  <c r="I175" i="1"/>
  <c r="O170" i="1"/>
  <c r="H141" i="1"/>
  <c r="I141" i="1"/>
  <c r="N102" i="1"/>
  <c r="G98" i="1"/>
  <c r="P103" i="1"/>
  <c r="R179" i="1"/>
  <c r="N167" i="1"/>
  <c r="W101" i="1"/>
  <c r="W126" i="1" s="1"/>
  <c r="U194" i="1"/>
  <c r="C196" i="1"/>
  <c r="W164" i="1"/>
  <c r="X226" i="1" s="1"/>
  <c r="T177" i="1"/>
  <c r="T207" i="1" s="1"/>
  <c r="F143" i="1"/>
  <c r="K177" i="1"/>
  <c r="K207" i="1" s="1"/>
  <c r="U142" i="1"/>
  <c r="I177" i="1"/>
  <c r="I207" i="1" s="1"/>
  <c r="BP60" i="1"/>
  <c r="BW63" i="1"/>
  <c r="BC71" i="1"/>
  <c r="BV60" i="1"/>
  <c r="BP45" i="1"/>
  <c r="BB44" i="1"/>
  <c r="BV38" i="1"/>
  <c r="AI46" i="1"/>
  <c r="BV146" i="1"/>
  <c r="BW146" i="1" s="1"/>
  <c r="BV159" i="1"/>
  <c r="BW159" i="1" s="1"/>
  <c r="BV161" i="1"/>
  <c r="BW161" i="1" s="1"/>
  <c r="BV150" i="1"/>
  <c r="BV175" i="1"/>
  <c r="BW175" i="1" s="1"/>
  <c r="BV170" i="1"/>
  <c r="BW170" i="1" s="1"/>
  <c r="U195" i="1"/>
  <c r="T174" i="1"/>
  <c r="U188" i="1"/>
  <c r="M179" i="1"/>
  <c r="R195" i="1"/>
  <c r="H170" i="1"/>
  <c r="C98" i="1"/>
  <c r="H196" i="1"/>
  <c r="L157" i="1"/>
  <c r="G179" i="1"/>
  <c r="V157" i="1"/>
  <c r="B91" i="1"/>
  <c r="O187" i="1"/>
  <c r="C143" i="1"/>
  <c r="C167" i="1"/>
  <c r="M183" i="1"/>
  <c r="I194" i="1"/>
  <c r="C157" i="1"/>
  <c r="B160" i="1"/>
  <c r="N171" i="1"/>
  <c r="P97" i="1"/>
  <c r="K167" i="1"/>
  <c r="K187" i="1"/>
  <c r="P157" i="1"/>
  <c r="Q148" i="1"/>
  <c r="R168" i="1"/>
  <c r="R203" i="1" s="1"/>
  <c r="D179" i="1"/>
  <c r="N146" i="1"/>
  <c r="K168" i="1"/>
  <c r="K203" i="1" s="1"/>
  <c r="T173" i="1"/>
  <c r="G167" i="1"/>
  <c r="U177" i="1"/>
  <c r="U207" i="1" s="1"/>
  <c r="H156" i="1"/>
  <c r="L187" i="1"/>
  <c r="V194" i="1"/>
  <c r="P149" i="1"/>
  <c r="Q183" i="1"/>
  <c r="I91" i="1"/>
  <c r="I92" i="1" s="1"/>
  <c r="C187" i="1"/>
  <c r="Q103" i="1"/>
  <c r="Q128" i="1" s="1"/>
  <c r="V166" i="1"/>
  <c r="S194" i="1"/>
  <c r="J148" i="1"/>
  <c r="U174" i="1"/>
  <c r="M149" i="1"/>
  <c r="U184" i="1"/>
  <c r="O97" i="1"/>
  <c r="D148" i="1"/>
  <c r="S166" i="1"/>
  <c r="E188" i="1"/>
  <c r="D187" i="1"/>
  <c r="K160" i="1"/>
  <c r="B167" i="1"/>
  <c r="W179" i="1"/>
  <c r="F98" i="1"/>
  <c r="C149" i="1"/>
  <c r="S174" i="1"/>
  <c r="H177" i="1"/>
  <c r="H207" i="1" s="1"/>
  <c r="U150" i="1"/>
  <c r="U178" i="1" s="1"/>
  <c r="L171" i="1"/>
  <c r="H149" i="1"/>
  <c r="L150" i="1"/>
  <c r="L178" i="1" s="1"/>
  <c r="B173" i="1"/>
  <c r="H160" i="1"/>
  <c r="G183" i="1"/>
  <c r="K102" i="1"/>
  <c r="K127" i="1" s="1"/>
  <c r="M160" i="1"/>
  <c r="S167" i="1"/>
  <c r="H157" i="1"/>
  <c r="F103" i="1"/>
  <c r="H179" i="1"/>
  <c r="G143" i="1"/>
  <c r="P98" i="1"/>
  <c r="T175" i="1"/>
  <c r="G188" i="1"/>
  <c r="AO59" i="1"/>
  <c r="AV37" i="1"/>
  <c r="BM75" i="1"/>
  <c r="AY44" i="1"/>
  <c r="AN45" i="1"/>
  <c r="BV188" i="1"/>
  <c r="BW188" i="1" s="1"/>
  <c r="BH149" i="1"/>
  <c r="BI149" i="1" s="1"/>
  <c r="BV151" i="1"/>
  <c r="BW151" i="1" s="1"/>
  <c r="BH177" i="1"/>
  <c r="D142" i="1"/>
  <c r="C142" i="1"/>
  <c r="W160" i="1"/>
  <c r="B103" i="1"/>
  <c r="B195" i="1"/>
  <c r="W177" i="1"/>
  <c r="J101" i="1"/>
  <c r="B170" i="1"/>
  <c r="R142" i="1"/>
  <c r="W171" i="1"/>
  <c r="C101" i="1"/>
  <c r="D167" i="1"/>
  <c r="F194" i="1"/>
  <c r="B171" i="1"/>
  <c r="J194" i="1"/>
  <c r="V168" i="1"/>
  <c r="V203" i="1" s="1"/>
  <c r="P171" i="1"/>
  <c r="B183" i="1"/>
  <c r="B185" i="1" s="1"/>
  <c r="C233" i="1" s="1"/>
  <c r="I159" i="1"/>
  <c r="I155" i="1" s="1"/>
  <c r="R183" i="1"/>
  <c r="C169" i="1"/>
  <c r="C204" i="1" s="1"/>
  <c r="L102" i="1"/>
  <c r="G175" i="1"/>
  <c r="I157" i="1"/>
  <c r="M188" i="1"/>
  <c r="L167" i="1"/>
  <c r="H97" i="1"/>
  <c r="P141" i="1"/>
  <c r="R173" i="1"/>
  <c r="M167" i="1"/>
  <c r="J91" i="1"/>
  <c r="J92" i="1" s="1"/>
  <c r="L175" i="1"/>
  <c r="H173" i="1"/>
  <c r="I101" i="1"/>
  <c r="I126" i="1" s="1"/>
  <c r="U149" i="1"/>
  <c r="L169" i="1"/>
  <c r="L204" i="1" s="1"/>
  <c r="O171" i="1"/>
  <c r="K164" i="1"/>
  <c r="K148" i="1"/>
  <c r="E168" i="1"/>
  <c r="E203" i="1" s="1"/>
  <c r="N194" i="1"/>
  <c r="M141" i="1"/>
  <c r="O183" i="1"/>
  <c r="S177" i="1"/>
  <c r="S207" i="1" s="1"/>
  <c r="O101" i="1"/>
  <c r="O126" i="1" s="1"/>
  <c r="O177" i="1"/>
  <c r="O207" i="1" s="1"/>
  <c r="N143" i="1"/>
  <c r="T149" i="1"/>
  <c r="Q142" i="1"/>
  <c r="P164" i="1"/>
  <c r="I188" i="1"/>
  <c r="V143" i="1"/>
  <c r="E156" i="1"/>
  <c r="H164" i="1"/>
  <c r="T168" i="1"/>
  <c r="T203" i="1" s="1"/>
  <c r="N183" i="1"/>
  <c r="U157" i="1"/>
  <c r="E91" i="1"/>
  <c r="E92" i="1" s="1"/>
  <c r="M151" i="1"/>
  <c r="P91" i="1"/>
  <c r="P92" i="1" s="1"/>
  <c r="Q175" i="1"/>
  <c r="M194" i="1"/>
  <c r="Q141" i="1"/>
  <c r="E167" i="1"/>
  <c r="R150" i="1"/>
  <c r="R178" i="1" s="1"/>
  <c r="F183" i="1"/>
  <c r="V173" i="1"/>
  <c r="P146" i="1"/>
  <c r="M150" i="1"/>
  <c r="M178" i="1" s="1"/>
  <c r="U179" i="1"/>
  <c r="N196" i="1"/>
  <c r="D166" i="1"/>
  <c r="B177" i="1"/>
  <c r="B207" i="1" s="1"/>
  <c r="U97" i="1"/>
  <c r="U141" i="1"/>
  <c r="T195" i="1"/>
  <c r="B159" i="1"/>
  <c r="V174" i="1"/>
  <c r="W161" i="1"/>
  <c r="B102" i="1"/>
  <c r="Q187" i="1"/>
  <c r="F195" i="1"/>
  <c r="N166" i="1"/>
  <c r="M171" i="1"/>
  <c r="G173" i="1"/>
  <c r="I103" i="1"/>
  <c r="H166" i="1"/>
  <c r="B157" i="1"/>
  <c r="U159" i="1"/>
  <c r="U155" i="1" s="1"/>
  <c r="O184" i="1"/>
  <c r="B168" i="1"/>
  <c r="B203" i="1" s="1"/>
  <c r="N142" i="1"/>
  <c r="K143" i="1"/>
  <c r="U175" i="1"/>
  <c r="P175" i="1"/>
  <c r="N164" i="1"/>
  <c r="T141" i="1"/>
  <c r="H175" i="1"/>
  <c r="W157" i="1"/>
  <c r="G184" i="1"/>
  <c r="L173" i="1"/>
  <c r="M196" i="1"/>
  <c r="B149" i="1"/>
  <c r="G149" i="1"/>
  <c r="I166" i="1"/>
  <c r="E184" i="1"/>
  <c r="E185" i="1" s="1"/>
  <c r="F233" i="1" s="1"/>
  <c r="D168" i="1"/>
  <c r="D203" i="1" s="1"/>
  <c r="K150" i="1"/>
  <c r="K178" i="1" s="1"/>
  <c r="S98" i="1"/>
  <c r="E148" i="1"/>
  <c r="K156" i="1"/>
  <c r="C174" i="1"/>
  <c r="W169" i="1"/>
  <c r="O195" i="1"/>
  <c r="O98" i="1"/>
  <c r="F141" i="1"/>
  <c r="J151" i="1"/>
  <c r="L94" i="1"/>
  <c r="AX164" i="1"/>
  <c r="AY164" i="1" s="1"/>
  <c r="AZ177" i="1"/>
  <c r="BR150" i="1"/>
  <c r="BS150" i="1" s="1"/>
  <c r="AZ178" i="1"/>
  <c r="BA178" i="1" s="1"/>
  <c r="BT155" i="1"/>
  <c r="BF149" i="1"/>
  <c r="BG149" i="1" s="1"/>
  <c r="AP170" i="1"/>
  <c r="AQ170" i="1" s="1"/>
  <c r="BI97" i="1"/>
  <c r="AX168" i="1"/>
  <c r="AZ176" i="1"/>
  <c r="BA176" i="1" s="1"/>
  <c r="BD159" i="1"/>
  <c r="BE159" i="1" s="1"/>
  <c r="AZ141" i="1"/>
  <c r="BA141" i="1" s="1"/>
  <c r="BF171" i="1"/>
  <c r="BG171" i="1" s="1"/>
  <c r="BN143" i="1"/>
  <c r="AX142" i="1"/>
  <c r="AY142" i="1" s="1"/>
  <c r="BW98" i="1"/>
  <c r="BN150" i="1"/>
  <c r="BO150" i="1" s="1"/>
  <c r="AX175" i="1"/>
  <c r="AY175" i="1" s="1"/>
  <c r="AT155" i="1"/>
  <c r="AZ155" i="1"/>
  <c r="BR151" i="1"/>
  <c r="BS151" i="1" s="1"/>
  <c r="AP167" i="1"/>
  <c r="AQ167" i="1" s="1"/>
  <c r="AV159" i="1"/>
  <c r="AW159" i="1" s="1"/>
  <c r="BB159" i="1"/>
  <c r="BC159" i="1" s="1"/>
  <c r="AN141" i="1"/>
  <c r="AR188" i="1"/>
  <c r="AS188" i="1" s="1"/>
  <c r="AQ97" i="1"/>
  <c r="AT175" i="1"/>
  <c r="AU175" i="1" s="1"/>
  <c r="AX98" i="1"/>
  <c r="BA97" i="1"/>
  <c r="BF175" i="1"/>
  <c r="BG175" i="1" s="1"/>
  <c r="BN146" i="1"/>
  <c r="BO146" i="1" s="1"/>
  <c r="BP151" i="1"/>
  <c r="BQ151" i="1" s="1"/>
  <c r="BF187" i="1"/>
  <c r="BG187" i="1" s="1"/>
  <c r="AZ184" i="1"/>
  <c r="AW97" i="1"/>
  <c r="BD176" i="1"/>
  <c r="BE176" i="1" s="1"/>
  <c r="BG97" i="1"/>
  <c r="AZ166" i="1"/>
  <c r="BA166" i="1" s="1"/>
  <c r="BD184" i="1"/>
  <c r="BT141" i="1"/>
  <c r="BU141" i="1" s="1"/>
  <c r="BN176" i="1"/>
  <c r="BO176" i="1" s="1"/>
  <c r="BD173" i="1"/>
  <c r="BE173" i="1" s="1"/>
  <c r="BT176" i="1"/>
  <c r="BU176" i="1" s="1"/>
  <c r="BM98" i="1"/>
  <c r="BN151" i="1"/>
  <c r="BO151" i="1" s="1"/>
  <c r="BR156" i="1"/>
  <c r="BP168" i="1"/>
  <c r="AT183" i="1"/>
  <c r="AR167" i="1"/>
  <c r="AS167" i="1" s="1"/>
  <c r="BF142" i="1"/>
  <c r="BG142" i="1" s="1"/>
  <c r="AX97" i="1"/>
  <c r="AX171" i="1"/>
  <c r="AY171" i="1" s="1"/>
  <c r="AX176" i="1"/>
  <c r="AY176" i="1" s="1"/>
  <c r="BF141" i="1"/>
  <c r="BG141" i="1" s="1"/>
  <c r="AZ171" i="1"/>
  <c r="BA171" i="1" s="1"/>
  <c r="AV168" i="1"/>
  <c r="BW97" i="1"/>
  <c r="BN179" i="1"/>
  <c r="BO179" i="1" s="1"/>
  <c r="BR173" i="1"/>
  <c r="BS173" i="1" s="1"/>
  <c r="BP143" i="1"/>
  <c r="BR97" i="1"/>
  <c r="BB98" i="1"/>
  <c r="BB170" i="1"/>
  <c r="BC170" i="1" s="1"/>
  <c r="BF156" i="1"/>
  <c r="BB156" i="1"/>
  <c r="AN146" i="1"/>
  <c r="AO146" i="1" s="1"/>
  <c r="AP164" i="1"/>
  <c r="AV164" i="1"/>
  <c r="AN142" i="1"/>
  <c r="AO142" i="1" s="1"/>
  <c r="AN98" i="1"/>
  <c r="AX146" i="1"/>
  <c r="AY146" i="1" s="1"/>
  <c r="AX184" i="1"/>
  <c r="AZ169" i="1"/>
  <c r="BT168" i="1"/>
  <c r="AP143" i="1"/>
  <c r="BR175" i="1"/>
  <c r="BS175" i="1" s="1"/>
  <c r="AT157" i="1"/>
  <c r="AX174" i="1"/>
  <c r="AY174" i="1" s="1"/>
  <c r="BN170" i="1"/>
  <c r="BO170" i="1" s="1"/>
  <c r="BN156" i="1"/>
  <c r="BR168" i="1"/>
  <c r="BB184" i="1"/>
  <c r="BT177" i="1"/>
  <c r="BR170" i="1"/>
  <c r="BS170" i="1" s="1"/>
  <c r="BB151" i="1"/>
  <c r="BC151" i="1" s="1"/>
  <c r="BP169" i="1"/>
  <c r="AT168" i="1"/>
  <c r="BC97" i="1"/>
  <c r="BD175" i="1"/>
  <c r="BE175" i="1" s="1"/>
  <c r="BN166" i="1"/>
  <c r="BO166" i="1" s="1"/>
  <c r="AZ168" i="1"/>
  <c r="AP148" i="1"/>
  <c r="AQ148" i="1" s="1"/>
  <c r="BD150" i="1"/>
  <c r="BE150" i="1" s="1"/>
  <c r="BP156" i="1"/>
  <c r="AP174" i="1"/>
  <c r="AQ174" i="1" s="1"/>
  <c r="BD188" i="1"/>
  <c r="BE188" i="1" s="1"/>
  <c r="AV141" i="1"/>
  <c r="AW141" i="1" s="1"/>
  <c r="AR143" i="1"/>
  <c r="AR166" i="1"/>
  <c r="AS166" i="1" s="1"/>
  <c r="AZ164" i="1"/>
  <c r="BA164" i="1" s="1"/>
  <c r="AP187" i="1"/>
  <c r="AQ187" i="1" s="1"/>
  <c r="AP166" i="1"/>
  <c r="AN161" i="1"/>
  <c r="AO161" i="1" s="1"/>
  <c r="AV150" i="1"/>
  <c r="AW150" i="1" s="1"/>
  <c r="AR178" i="1"/>
  <c r="AS178" i="1" s="1"/>
  <c r="AR176" i="1"/>
  <c r="AS176" i="1" s="1"/>
  <c r="AN174" i="1"/>
  <c r="AO174" i="1" s="1"/>
  <c r="AR148" i="1"/>
  <c r="AN184" i="1"/>
  <c r="AV188" i="1"/>
  <c r="AW188" i="1" s="1"/>
  <c r="AR177" i="1"/>
  <c r="AN150" i="1"/>
  <c r="AO150" i="1" s="1"/>
  <c r="AR146" i="1"/>
  <c r="AS146" i="1" s="1"/>
  <c r="AR170" i="1"/>
  <c r="AS170" i="1" s="1"/>
  <c r="AV97" i="1"/>
  <c r="AU97" i="1"/>
  <c r="AR184" i="1"/>
  <c r="AV177" i="1"/>
  <c r="AT173" i="1"/>
  <c r="AU173" i="1" s="1"/>
  <c r="AT177" i="1"/>
  <c r="AR97" i="1"/>
  <c r="BO98" i="1"/>
  <c r="AP157" i="1"/>
  <c r="BF174" i="1"/>
  <c r="BG174" i="1" s="1"/>
  <c r="BN97" i="1"/>
  <c r="AR168" i="1"/>
  <c r="BP173" i="1"/>
  <c r="BQ173" i="1" s="1"/>
  <c r="AV175" i="1"/>
  <c r="AW175" i="1" s="1"/>
  <c r="BT151" i="1"/>
  <c r="BU151" i="1" s="1"/>
  <c r="AR171" i="1"/>
  <c r="AS171" i="1" s="1"/>
  <c r="BB169" i="1"/>
  <c r="BO97" i="1"/>
  <c r="AX187" i="1"/>
  <c r="AY187" i="1" s="1"/>
  <c r="BB164" i="1"/>
  <c r="BC164" i="1" s="1"/>
  <c r="BD141" i="1"/>
  <c r="BR159" i="1"/>
  <c r="BS159" i="1" s="1"/>
  <c r="BP177" i="1"/>
  <c r="AX179" i="1"/>
  <c r="AY179" i="1" s="1"/>
  <c r="BN183" i="1"/>
  <c r="AZ150" i="1"/>
  <c r="BA150" i="1" s="1"/>
  <c r="AX155" i="1"/>
  <c r="BN168" i="1"/>
  <c r="BR142" i="1"/>
  <c r="BS142" i="1" s="1"/>
  <c r="BF169" i="1"/>
  <c r="BQ98" i="1"/>
  <c r="AT159" i="1"/>
  <c r="AU159" i="1" s="1"/>
  <c r="AT150" i="1"/>
  <c r="AU150" i="1" s="1"/>
  <c r="AZ146" i="1"/>
  <c r="BA146" i="1" s="1"/>
  <c r="BD146" i="1"/>
  <c r="BE146" i="1" s="1"/>
  <c r="BB178" i="1"/>
  <c r="BC178" i="1" s="1"/>
  <c r="BF155" i="1"/>
  <c r="AX143" i="1"/>
  <c r="AX159" i="1"/>
  <c r="AY159" i="1" s="1"/>
  <c r="AX169" i="1"/>
  <c r="AZ157" i="1"/>
  <c r="AZ179" i="1"/>
  <c r="BA179" i="1" s="1"/>
  <c r="BF159" i="1"/>
  <c r="BG159" i="1" s="1"/>
  <c r="BD174" i="1"/>
  <c r="BE174" i="1" s="1"/>
  <c r="BN174" i="1"/>
  <c r="BO174" i="1" s="1"/>
  <c r="AQ98" i="1"/>
  <c r="BR98" i="1"/>
  <c r="BP98" i="1"/>
  <c r="BN98" i="1"/>
  <c r="AN188" i="1"/>
  <c r="AO188" i="1" s="1"/>
  <c r="AT174" i="1"/>
  <c r="AO97" i="1"/>
  <c r="AX173" i="1"/>
  <c r="AX156" i="1"/>
  <c r="AX161" i="1"/>
  <c r="AY161" i="1" s="1"/>
  <c r="BE97" i="1"/>
  <c r="BN157" i="1"/>
  <c r="BN187" i="1"/>
  <c r="BO187" i="1" s="1"/>
  <c r="BN148" i="1"/>
  <c r="BN169" i="1"/>
  <c r="BB175" i="1"/>
  <c r="BC175" i="1" s="1"/>
  <c r="AZ175" i="1"/>
  <c r="BA175" i="1" s="1"/>
  <c r="BF166" i="1"/>
  <c r="BG166" i="1" s="1"/>
  <c r="BT178" i="1"/>
  <c r="BU178" i="1" s="1"/>
  <c r="BP175" i="1"/>
  <c r="BQ175" i="1" s="1"/>
  <c r="AZ142" i="1"/>
  <c r="BA142" i="1" s="1"/>
  <c r="AX150" i="1"/>
  <c r="AY150" i="1" s="1"/>
  <c r="AX166" i="1"/>
  <c r="AY166" i="1" s="1"/>
  <c r="BN171" i="1"/>
  <c r="BO171" i="1" s="1"/>
  <c r="BR179" i="1"/>
  <c r="BS179" i="1" s="1"/>
  <c r="BB146" i="1"/>
  <c r="BC146" i="1" s="1"/>
  <c r="AZ156" i="1"/>
  <c r="AP173" i="1"/>
  <c r="AQ173" i="1" s="1"/>
  <c r="AW98" i="1"/>
  <c r="AT169" i="1"/>
  <c r="AT179" i="1"/>
  <c r="AU179" i="1" s="1"/>
  <c r="AT178" i="1"/>
  <c r="AU178" i="1" s="1"/>
  <c r="AT141" i="1"/>
  <c r="BB174" i="1"/>
  <c r="BC174" i="1" s="1"/>
  <c r="AZ187" i="1"/>
  <c r="BA187" i="1" s="1"/>
  <c r="AZ174" i="1"/>
  <c r="BA174" i="1" s="1"/>
  <c r="BF143" i="1"/>
  <c r="BD143" i="1"/>
  <c r="BD164" i="1"/>
  <c r="BE164" i="1" s="1"/>
  <c r="AP98" i="1"/>
  <c r="BP146" i="1"/>
  <c r="BQ146" i="1" s="1"/>
  <c r="BK97" i="1"/>
  <c r="AP146" i="1"/>
  <c r="AQ146" i="1" s="1"/>
  <c r="AT167" i="1"/>
  <c r="AU167" i="1" s="1"/>
  <c r="AT143" i="1"/>
  <c r="BN177" i="1"/>
  <c r="BB157" i="1"/>
  <c r="BB166" i="1"/>
  <c r="BC166" i="1" s="1"/>
  <c r="AZ173" i="1"/>
  <c r="BA173" i="1" s="1"/>
  <c r="AN170" i="1"/>
  <c r="AO170" i="1" s="1"/>
  <c r="BT169" i="1"/>
  <c r="BD177" i="1"/>
  <c r="BF150" i="1"/>
  <c r="BG150" i="1" s="1"/>
  <c r="AN183" i="1"/>
  <c r="AZ161" i="1"/>
  <c r="BA161" i="1" s="1"/>
  <c r="AP150" i="1"/>
  <c r="AQ150" i="1" s="1"/>
  <c r="AP168" i="1"/>
  <c r="AN176" i="1"/>
  <c r="AO176" i="1" s="1"/>
  <c r="AV170" i="1"/>
  <c r="AW170" i="1" s="1"/>
  <c r="AR149" i="1"/>
  <c r="AS149" i="1" s="1"/>
  <c r="AR98" i="1"/>
  <c r="AN187" i="1"/>
  <c r="AO187" i="1" s="1"/>
  <c r="AV98" i="1"/>
  <c r="AP151" i="1"/>
  <c r="AQ151" i="1" s="1"/>
  <c r="AV187" i="1"/>
  <c r="AW187" i="1" s="1"/>
  <c r="AR141" i="1"/>
  <c r="AV148" i="1"/>
  <c r="BD97" i="1"/>
  <c r="AP177" i="1"/>
  <c r="BP157" i="1"/>
  <c r="AN171" i="1"/>
  <c r="AO171" i="1" s="1"/>
  <c r="AR161" i="1"/>
  <c r="AS161" i="1" s="1"/>
  <c r="AN178" i="1"/>
  <c r="AO178" i="1" s="1"/>
  <c r="AV151" i="1"/>
  <c r="AW151" i="1" s="1"/>
  <c r="AN175" i="1"/>
  <c r="AO175" i="1" s="1"/>
  <c r="AN159" i="1"/>
  <c r="AO159" i="1" s="1"/>
  <c r="AR151" i="1"/>
  <c r="AS151" i="1" s="1"/>
  <c r="AV176" i="1"/>
  <c r="AW176" i="1" s="1"/>
  <c r="AR173" i="1"/>
  <c r="AS173" i="1" s="1"/>
  <c r="AP97" i="1"/>
  <c r="AV166" i="1"/>
  <c r="AW166" i="1" s="1"/>
  <c r="AN167" i="1"/>
  <c r="AO167" i="1" s="1"/>
  <c r="AN156" i="1"/>
  <c r="AR187" i="1"/>
  <c r="AS187" i="1" s="1"/>
  <c r="AV169" i="1"/>
  <c r="AN166" i="1"/>
  <c r="AR150" i="1"/>
  <c r="AS150" i="1" s="1"/>
  <c r="AX177" i="1"/>
  <c r="BB97" i="1"/>
  <c r="AZ170" i="1"/>
  <c r="BA170" i="1" s="1"/>
  <c r="BD183" i="1"/>
  <c r="BK98" i="1"/>
  <c r="AX141" i="1"/>
  <c r="AX178" i="1"/>
  <c r="AY178" i="1" s="1"/>
  <c r="BF168" i="1"/>
  <c r="BT149" i="1"/>
  <c r="BU149" i="1" s="1"/>
  <c r="AX148" i="1"/>
  <c r="BT148" i="1"/>
  <c r="AP179" i="1"/>
  <c r="AQ179" i="1" s="1"/>
  <c r="AT188" i="1"/>
  <c r="AU188" i="1" s="1"/>
  <c r="AT176" i="1"/>
  <c r="AU176" i="1" s="1"/>
  <c r="BC98" i="1"/>
  <c r="AZ148" i="1"/>
  <c r="BA148" i="1" s="1"/>
  <c r="BF176" i="1"/>
  <c r="BG176" i="1" s="1"/>
  <c r="AT98" i="1"/>
  <c r="BB168" i="1"/>
  <c r="BB171" i="1"/>
  <c r="BC171" i="1" s="1"/>
  <c r="AN164" i="1"/>
  <c r="BP174" i="1"/>
  <c r="BQ174" i="1" s="1"/>
  <c r="AN157" i="1"/>
  <c r="BT97" i="1"/>
  <c r="AX183" i="1"/>
  <c r="AX188" i="1"/>
  <c r="AY188" i="1" s="1"/>
  <c r="AX149" i="1"/>
  <c r="AY149" i="1" s="1"/>
  <c r="BB187" i="1"/>
  <c r="BC187" i="1" s="1"/>
  <c r="BU97" i="1"/>
  <c r="AZ98" i="1"/>
  <c r="BF151" i="1"/>
  <c r="BG151" i="1" s="1"/>
  <c r="BN164" i="1"/>
  <c r="BR176" i="1"/>
  <c r="BS176" i="1" s="1"/>
  <c r="BR143" i="1"/>
  <c r="BR149" i="1"/>
  <c r="BS149" i="1" s="1"/>
  <c r="BR141" i="1"/>
  <c r="BB188" i="1"/>
  <c r="BC188" i="1" s="1"/>
  <c r="AZ143" i="1"/>
  <c r="BF173" i="1"/>
  <c r="BG173" i="1" s="1"/>
  <c r="AP156" i="1"/>
  <c r="AV156" i="1"/>
  <c r="BN155" i="1"/>
  <c r="AX157" i="1"/>
  <c r="AX170" i="1"/>
  <c r="AY170" i="1" s="1"/>
  <c r="BN184" i="1"/>
  <c r="BN142" i="1"/>
  <c r="BO142" i="1" s="1"/>
  <c r="BN173" i="1"/>
  <c r="BO173" i="1" s="1"/>
  <c r="BR184" i="1"/>
  <c r="BF157" i="1"/>
  <c r="BT142" i="1"/>
  <c r="BU142" i="1" s="1"/>
  <c r="BM97" i="1"/>
  <c r="AX151" i="1"/>
  <c r="AY151" i="1" s="1"/>
  <c r="BN175" i="1"/>
  <c r="BO175" i="1" s="1"/>
  <c r="BN141" i="1"/>
  <c r="BO141" i="1" s="1"/>
  <c r="BR155" i="1"/>
  <c r="BR177" i="1"/>
  <c r="BB179" i="1"/>
  <c r="BC179" i="1" s="1"/>
  <c r="AZ183" i="1"/>
  <c r="BD179" i="1"/>
  <c r="BE179" i="1" s="1"/>
  <c r="AP175" i="1"/>
  <c r="AQ175" i="1" s="1"/>
  <c r="AT164" i="1"/>
  <c r="AU164" i="1" s="1"/>
  <c r="AT148" i="1"/>
  <c r="AU148" i="1" s="1"/>
  <c r="AT166" i="1"/>
  <c r="BN159" i="1"/>
  <c r="BO159" i="1" s="1"/>
  <c r="BB176" i="1"/>
  <c r="BC176" i="1" s="1"/>
  <c r="BU98" i="1"/>
  <c r="AZ149" i="1"/>
  <c r="BA149" i="1" s="1"/>
  <c r="BF183" i="1"/>
  <c r="BD149" i="1"/>
  <c r="BE149" i="1" s="1"/>
  <c r="AT187" i="1"/>
  <c r="AU187" i="1" s="1"/>
  <c r="AT171" i="1"/>
  <c r="AU171" i="1" s="1"/>
  <c r="BT150" i="1"/>
  <c r="BU150" i="1" s="1"/>
  <c r="AZ97" i="1"/>
  <c r="BT166" i="1"/>
  <c r="BU166" i="1" s="1"/>
  <c r="AP188" i="1"/>
  <c r="AQ188" i="1" s="1"/>
  <c r="BB141" i="1"/>
  <c r="AN169" i="1"/>
  <c r="BP159" i="1"/>
  <c r="BQ159" i="1" s="1"/>
  <c r="AN148" i="1"/>
  <c r="AN143" i="1"/>
  <c r="AV146" i="1"/>
  <c r="AW146" i="1" s="1"/>
  <c r="AP183" i="1"/>
  <c r="AN177" i="1"/>
  <c r="AV179" i="1"/>
  <c r="AW179" i="1" s="1"/>
  <c r="AP155" i="1"/>
  <c r="AR156" i="1"/>
  <c r="BD156" i="1"/>
  <c r="AN168" i="1"/>
  <c r="AN173" i="1"/>
  <c r="AO173" i="1" s="1"/>
  <c r="AR179" i="1"/>
  <c r="AS179" i="1" s="1"/>
  <c r="AN151" i="1"/>
  <c r="AO151" i="1" s="1"/>
  <c r="AN179" i="1"/>
  <c r="AO179" i="1" s="1"/>
  <c r="AN155" i="1"/>
  <c r="AT97" i="1"/>
  <c r="AN97" i="1"/>
  <c r="AN149" i="1"/>
  <c r="AO149" i="1" s="1"/>
  <c r="AO98" i="1"/>
  <c r="AV171" i="1"/>
  <c r="AW171" i="1" s="1"/>
  <c r="AP161" i="1"/>
  <c r="AQ161" i="1" s="1"/>
  <c r="BF161" i="1"/>
  <c r="BG161" i="1" s="1"/>
  <c r="BP161" i="1"/>
  <c r="BQ161" i="1" s="1"/>
  <c r="BN161" i="1"/>
  <c r="BO161" i="1" s="1"/>
  <c r="BB161" i="1"/>
  <c r="BC161" i="1" s="1"/>
  <c r="BB167" i="1"/>
  <c r="AX167" i="1"/>
  <c r="AZ167" i="1"/>
  <c r="BN167" i="1"/>
  <c r="R94" i="1"/>
  <c r="K94" i="1"/>
  <c r="BF255" i="1"/>
  <c r="BA218" i="1"/>
  <c r="Q94" i="1"/>
  <c r="H94" i="1"/>
  <c r="F94" i="1"/>
  <c r="V94" i="1"/>
  <c r="O93" i="1"/>
  <c r="CQ158" i="1"/>
  <c r="DB101" i="1"/>
  <c r="CY89" i="1"/>
  <c r="CZ87" i="1"/>
  <c r="S94" i="1"/>
  <c r="T94" i="1"/>
  <c r="M94" i="1"/>
  <c r="I94" i="1"/>
  <c r="BS97" i="1" l="1"/>
  <c r="BP167" i="1"/>
  <c r="BQ167" i="1" s="1"/>
  <c r="BP149" i="1"/>
  <c r="BQ149" i="1" s="1"/>
  <c r="AS98" i="1"/>
  <c r="BP178" i="1"/>
  <c r="BQ178" i="1" s="1"/>
  <c r="BP187" i="1"/>
  <c r="BQ187" i="1" s="1"/>
  <c r="BP171" i="1"/>
  <c r="BQ171" i="1" s="1"/>
  <c r="BP97" i="1"/>
  <c r="JD21" i="4"/>
  <c r="BX101" i="1" s="1"/>
  <c r="BX118" i="1" s="1"/>
  <c r="JG16" i="4"/>
  <c r="BV185" i="1"/>
  <c r="BW233" i="1" s="1"/>
  <c r="BM34" i="1"/>
  <c r="AS34" i="1"/>
  <c r="AT34" i="1"/>
  <c r="AT276" i="1"/>
  <c r="J185" i="1"/>
  <c r="BB143" i="1"/>
  <c r="BA98" i="1"/>
  <c r="AR142" i="1"/>
  <c r="AS142" i="1" s="1"/>
  <c r="BF177" i="1"/>
  <c r="BT159" i="1"/>
  <c r="BU159" i="1" s="1"/>
  <c r="BR188" i="1"/>
  <c r="BS188" i="1" s="1"/>
  <c r="BB173" i="1"/>
  <c r="BC173" i="1" s="1"/>
  <c r="BT184" i="1"/>
  <c r="AT170" i="1"/>
  <c r="AU170" i="1" s="1"/>
  <c r="AP184" i="1"/>
  <c r="BQ97" i="1"/>
  <c r="BR178" i="1"/>
  <c r="BS178" i="1" s="1"/>
  <c r="BR164" i="1"/>
  <c r="BR171" i="1"/>
  <c r="BS171" i="1" s="1"/>
  <c r="BR146" i="1"/>
  <c r="BS146" i="1" s="1"/>
  <c r="BT146" i="1"/>
  <c r="BU146" i="1" s="1"/>
  <c r="BI173" i="1"/>
  <c r="AV167" i="1"/>
  <c r="AT255" i="1"/>
  <c r="BM255" i="1"/>
  <c r="BU276" i="1"/>
  <c r="AI227" i="1"/>
  <c r="AI225" i="1" s="1"/>
  <c r="AI57" i="1"/>
  <c r="BN57" i="1"/>
  <c r="BN218" i="1"/>
  <c r="L111" i="1"/>
  <c r="BA276" i="1"/>
  <c r="H113" i="1"/>
  <c r="BS276" i="1"/>
  <c r="BF276" i="1"/>
  <c r="BH276" i="1"/>
  <c r="BQ50" i="1"/>
  <c r="AT203" i="1"/>
  <c r="AU203" i="1" s="1"/>
  <c r="BF277" i="1"/>
  <c r="BT218" i="1"/>
  <c r="BU34" i="1"/>
  <c r="BO276" i="1"/>
  <c r="BD276" i="1"/>
  <c r="AY277" i="1"/>
  <c r="BN50" i="1"/>
  <c r="N185" i="1"/>
  <c r="O233" i="1" s="1"/>
  <c r="E111" i="1"/>
  <c r="T132" i="1"/>
  <c r="T128" i="1"/>
  <c r="U132" i="1"/>
  <c r="U128" i="1"/>
  <c r="E132" i="1"/>
  <c r="E128" i="1"/>
  <c r="V132" i="1"/>
  <c r="AZ204" i="1"/>
  <c r="BA204" i="1" s="1"/>
  <c r="AZ203" i="1"/>
  <c r="BA203" i="1" s="1"/>
  <c r="M127" i="1"/>
  <c r="I110" i="1"/>
  <c r="BH226" i="1"/>
  <c r="U185" i="1"/>
  <c r="V233" i="1" s="1"/>
  <c r="BH203" i="1"/>
  <c r="BI203" i="1" s="1"/>
  <c r="N226" i="1"/>
  <c r="W197" i="1"/>
  <c r="J144" i="1"/>
  <c r="AW277" i="1"/>
  <c r="BT277" i="1"/>
  <c r="AO276" i="1"/>
  <c r="BC276" i="1"/>
  <c r="AQ50" i="1"/>
  <c r="BI34" i="1"/>
  <c r="BI276" i="1"/>
  <c r="BO50" i="1"/>
  <c r="F226" i="1"/>
  <c r="Q197" i="1"/>
  <c r="D89" i="1"/>
  <c r="D131" i="1" s="1"/>
  <c r="E197" i="1"/>
  <c r="T185" i="1"/>
  <c r="J226" i="1"/>
  <c r="B158" i="1"/>
  <c r="B144" i="1"/>
  <c r="N158" i="1"/>
  <c r="K185" i="1"/>
  <c r="T144" i="1"/>
  <c r="W152" i="1"/>
  <c r="H144" i="1"/>
  <c r="I144" i="1"/>
  <c r="V158" i="1"/>
  <c r="Q185" i="1"/>
  <c r="C152" i="1"/>
  <c r="G185" i="1"/>
  <c r="F197" i="1"/>
  <c r="R185" i="1"/>
  <c r="AT207" i="1"/>
  <c r="AU207" i="1" s="1"/>
  <c r="BN203" i="1"/>
  <c r="BO203" i="1" s="1"/>
  <c r="BF204" i="1"/>
  <c r="BG204" i="1" s="1"/>
  <c r="BF207" i="1"/>
  <c r="BG207" i="1" s="1"/>
  <c r="BN204" i="1"/>
  <c r="BO204" i="1" s="1"/>
  <c r="BW164" i="1"/>
  <c r="BX226" i="1" s="1"/>
  <c r="BW226" i="1"/>
  <c r="BN277" i="1"/>
  <c r="BN34" i="1"/>
  <c r="BO122" i="1"/>
  <c r="BO123" i="1" s="1"/>
  <c r="BO126" i="1" s="1"/>
  <c r="BN255" i="1"/>
  <c r="BM61" i="1"/>
  <c r="BM276" i="1"/>
  <c r="AI204" i="1"/>
  <c r="AL122" i="1"/>
  <c r="AL123" i="1" s="1"/>
  <c r="AL128" i="1" s="1"/>
  <c r="AI203" i="1"/>
  <c r="AI207" i="1"/>
  <c r="AI209" i="1"/>
  <c r="AI206" i="1"/>
  <c r="AI255" i="1"/>
  <c r="BK227" i="1"/>
  <c r="BK225" i="1" s="1"/>
  <c r="BK218" i="1"/>
  <c r="BK57" i="1"/>
  <c r="AT218" i="1"/>
  <c r="AT277" i="1"/>
  <c r="BA255" i="1"/>
  <c r="BA277" i="1"/>
  <c r="BT276" i="1"/>
  <c r="BT255" i="1"/>
  <c r="BT34" i="1"/>
  <c r="BJ277" i="1"/>
  <c r="BJ218" i="1"/>
  <c r="BS255" i="1"/>
  <c r="BS34" i="1"/>
  <c r="BS277" i="1"/>
  <c r="BI277" i="1"/>
  <c r="BI218" i="1"/>
  <c r="BK255" i="1"/>
  <c r="BM122" i="1"/>
  <c r="BM123" i="1" s="1"/>
  <c r="V128" i="1"/>
  <c r="V111" i="1"/>
  <c r="M132" i="1"/>
  <c r="M128" i="1"/>
  <c r="E126" i="1"/>
  <c r="E109" i="1"/>
  <c r="R131" i="1"/>
  <c r="R127" i="1"/>
  <c r="R110" i="1"/>
  <c r="R113" i="1"/>
  <c r="Q126" i="1"/>
  <c r="Q109" i="1"/>
  <c r="S126" i="1"/>
  <c r="S109" i="1"/>
  <c r="I132" i="1"/>
  <c r="I111" i="1"/>
  <c r="BI152" i="1"/>
  <c r="BR277" i="1"/>
  <c r="BB276" i="1"/>
  <c r="BG122" i="1"/>
  <c r="BG123" i="1" s="1"/>
  <c r="AZ276" i="1"/>
  <c r="D185" i="1"/>
  <c r="AS50" i="1"/>
  <c r="AZ50" i="1"/>
  <c r="AM72" i="1"/>
  <c r="BS50" i="1"/>
  <c r="AY276" i="1"/>
  <c r="AR50" i="1"/>
  <c r="BJ51" i="1"/>
  <c r="AY34" i="1"/>
  <c r="R144" i="1"/>
  <c r="AS277" i="1"/>
  <c r="U152" i="1"/>
  <c r="AI61" i="1"/>
  <c r="T158" i="1"/>
  <c r="T57" i="1" s="1"/>
  <c r="I158" i="1"/>
  <c r="C185" i="1"/>
  <c r="BT50" i="1"/>
  <c r="BV203" i="1"/>
  <c r="BW203" i="1" s="1"/>
  <c r="G158" i="1"/>
  <c r="BP50" i="1"/>
  <c r="BF50" i="1"/>
  <c r="BE276" i="1"/>
  <c r="D226" i="1"/>
  <c r="S185" i="1"/>
  <c r="T233" i="1" s="1"/>
  <c r="M226" i="1"/>
  <c r="G226" i="1"/>
  <c r="V197" i="1"/>
  <c r="U180" i="1"/>
  <c r="O180" i="1"/>
  <c r="L185" i="1"/>
  <c r="F158" i="1"/>
  <c r="K172" i="1"/>
  <c r="W226" i="1"/>
  <c r="BV276" i="1"/>
  <c r="R197" i="1"/>
  <c r="H197" i="1"/>
  <c r="L158" i="1"/>
  <c r="I197" i="1"/>
  <c r="S180" i="1"/>
  <c r="Q226" i="1"/>
  <c r="F185" i="1"/>
  <c r="M197" i="1"/>
  <c r="O197" i="1"/>
  <c r="F144" i="1"/>
  <c r="J152" i="1"/>
  <c r="L172" i="1"/>
  <c r="AT204" i="1"/>
  <c r="AU204" i="1" s="1"/>
  <c r="BN207" i="1"/>
  <c r="BO207" i="1" s="1"/>
  <c r="L132" i="1"/>
  <c r="L128" i="1"/>
  <c r="W127" i="1"/>
  <c r="W131" i="1"/>
  <c r="B178" i="1"/>
  <c r="B180" i="1" s="1"/>
  <c r="B152" i="1"/>
  <c r="AQ255" i="1"/>
  <c r="AQ277" i="1"/>
  <c r="AQ276" i="1"/>
  <c r="AQ34" i="1"/>
  <c r="BG34" i="1"/>
  <c r="BJ122" i="1"/>
  <c r="BJ123" i="1" s="1"/>
  <c r="BJ126" i="1" s="1"/>
  <c r="BI122" i="1"/>
  <c r="BI123" i="1" s="1"/>
  <c r="BI127" i="1" s="1"/>
  <c r="BG255" i="1"/>
  <c r="BV255" i="1"/>
  <c r="BV207" i="1"/>
  <c r="AZ218" i="1"/>
  <c r="AZ277" i="1"/>
  <c r="AR255" i="1"/>
  <c r="AU122" i="1"/>
  <c r="AU123" i="1" s="1"/>
  <c r="AO218" i="1"/>
  <c r="AO277" i="1"/>
  <c r="T110" i="1"/>
  <c r="T113" i="1"/>
  <c r="T131" i="1"/>
  <c r="T127" i="1"/>
  <c r="AU34" i="1"/>
  <c r="AU277" i="1"/>
  <c r="AU276" i="1"/>
  <c r="BM218" i="1"/>
  <c r="BM277" i="1"/>
  <c r="BM227" i="1"/>
  <c r="BM225" i="1" s="1"/>
  <c r="BM57" i="1"/>
  <c r="BE255" i="1"/>
  <c r="BE34" i="1"/>
  <c r="BH122" i="1"/>
  <c r="BH123" i="1" s="1"/>
  <c r="BH127" i="1" s="1"/>
  <c r="BK34" i="1"/>
  <c r="BN122" i="1"/>
  <c r="BN123" i="1" s="1"/>
  <c r="G128" i="1"/>
  <c r="G111" i="1"/>
  <c r="G132" i="1"/>
  <c r="R111" i="1"/>
  <c r="R128" i="1"/>
  <c r="R132" i="1"/>
  <c r="H132" i="1"/>
  <c r="H111" i="1"/>
  <c r="W128" i="1"/>
  <c r="W132" i="1"/>
  <c r="N132" i="1"/>
  <c r="N128" i="1"/>
  <c r="N111" i="1"/>
  <c r="G109" i="1"/>
  <c r="G126" i="1"/>
  <c r="P110" i="1"/>
  <c r="P113" i="1"/>
  <c r="P131" i="1"/>
  <c r="V126" i="1"/>
  <c r="V109" i="1"/>
  <c r="K132" i="1"/>
  <c r="K111" i="1"/>
  <c r="K128" i="1"/>
  <c r="H126" i="1"/>
  <c r="H109" i="1"/>
  <c r="V110" i="1"/>
  <c r="V131" i="1"/>
  <c r="V127" i="1"/>
  <c r="E110" i="1"/>
  <c r="E131" i="1"/>
  <c r="S127" i="1"/>
  <c r="S113" i="1"/>
  <c r="M110" i="1"/>
  <c r="M131" i="1"/>
  <c r="M113" i="1"/>
  <c r="I131" i="1"/>
  <c r="I113" i="1"/>
  <c r="I127" i="1"/>
  <c r="J113" i="1"/>
  <c r="J110" i="1"/>
  <c r="J131" i="1"/>
  <c r="J127" i="1"/>
  <c r="U226" i="1"/>
  <c r="T226" i="1"/>
  <c r="N127" i="1"/>
  <c r="N110" i="1"/>
  <c r="P128" i="1"/>
  <c r="P132" i="1"/>
  <c r="P111" i="1"/>
  <c r="BW150" i="1"/>
  <c r="BW152" i="1" s="1"/>
  <c r="BV152" i="1"/>
  <c r="F132" i="1"/>
  <c r="F111" i="1"/>
  <c r="F128" i="1"/>
  <c r="J109" i="1"/>
  <c r="J126" i="1"/>
  <c r="L127" i="1"/>
  <c r="L131" i="1"/>
  <c r="L113" i="1"/>
  <c r="L110" i="1"/>
  <c r="AU50" i="1"/>
  <c r="AR207" i="1"/>
  <c r="AS207" i="1" s="1"/>
  <c r="K180" i="1"/>
  <c r="Q111" i="1"/>
  <c r="G110" i="1"/>
  <c r="O144" i="1"/>
  <c r="BB255" i="1"/>
  <c r="M144" i="1"/>
  <c r="I152" i="1"/>
  <c r="BV50" i="1"/>
  <c r="AV50" i="1"/>
  <c r="I109" i="1"/>
  <c r="BJ52" i="1"/>
  <c r="BJ53" i="1" s="1"/>
  <c r="AW122" i="1"/>
  <c r="AW123" i="1" s="1"/>
  <c r="AW128" i="1" s="1"/>
  <c r="AN57" i="1"/>
  <c r="AW34" i="1"/>
  <c r="AP207" i="1"/>
  <c r="AQ207" i="1" s="1"/>
  <c r="AP203" i="1"/>
  <c r="AQ203" i="1" s="1"/>
  <c r="G131" i="1"/>
  <c r="U127" i="1"/>
  <c r="F109" i="1"/>
  <c r="E113" i="1"/>
  <c r="Q110" i="1"/>
  <c r="C226" i="1"/>
  <c r="I172" i="1"/>
  <c r="N197" i="1"/>
  <c r="H180" i="1"/>
  <c r="H209" i="1" s="1"/>
  <c r="H208" i="1" s="1"/>
  <c r="S152" i="1"/>
  <c r="S61" i="1" s="1"/>
  <c r="F172" i="1"/>
  <c r="P197" i="1"/>
  <c r="F152" i="1"/>
  <c r="F61" i="1" s="1"/>
  <c r="G197" i="1"/>
  <c r="L197" i="1"/>
  <c r="G144" i="1"/>
  <c r="AY50" i="1"/>
  <c r="AY51" i="1" s="1"/>
  <c r="AN276" i="1"/>
  <c r="AO50" i="1"/>
  <c r="BA122" i="1"/>
  <c r="BA123" i="1" s="1"/>
  <c r="BA127" i="1" s="1"/>
  <c r="BC50" i="1"/>
  <c r="BA50" i="1"/>
  <c r="BH185" i="1"/>
  <c r="BG276" i="1"/>
  <c r="BU50" i="1"/>
  <c r="BU51" i="1" s="1"/>
  <c r="BQ34" i="1"/>
  <c r="C89" i="1"/>
  <c r="Q180" i="1"/>
  <c r="Q209" i="1" s="1"/>
  <c r="AN50" i="1"/>
  <c r="AP277" i="1"/>
  <c r="BB203" i="1"/>
  <c r="BC203" i="1" s="1"/>
  <c r="BR203" i="1"/>
  <c r="BS203" i="1" s="1"/>
  <c r="S131" i="1"/>
  <c r="T152" i="1"/>
  <c r="H110" i="1"/>
  <c r="BK122" i="1"/>
  <c r="BK123" i="1" s="1"/>
  <c r="BR34" i="1"/>
  <c r="AP204" i="1"/>
  <c r="AQ204" i="1" s="1"/>
  <c r="BB207" i="1"/>
  <c r="BC207" i="1" s="1"/>
  <c r="G127" i="1"/>
  <c r="Q127" i="1"/>
  <c r="P158" i="1"/>
  <c r="BX122" i="1"/>
  <c r="BX123" i="1" s="1"/>
  <c r="AW255" i="1"/>
  <c r="BH207" i="1"/>
  <c r="BI207" i="1" s="1"/>
  <c r="BH204" i="1"/>
  <c r="BI204" i="1" s="1"/>
  <c r="BR218" i="1"/>
  <c r="U113" i="1"/>
  <c r="AW276" i="1"/>
  <c r="BE277" i="1"/>
  <c r="BF34" i="1"/>
  <c r="BF51" i="1" s="1"/>
  <c r="BK277" i="1"/>
  <c r="BH34" i="1"/>
  <c r="BM212" i="1" s="1"/>
  <c r="BL122" i="1"/>
  <c r="BL123" i="1" s="1"/>
  <c r="AY255" i="1"/>
  <c r="BV277" i="1"/>
  <c r="BB277" i="1"/>
  <c r="S132" i="1"/>
  <c r="R109" i="1"/>
  <c r="U131" i="1"/>
  <c r="E127" i="1"/>
  <c r="O226" i="1"/>
  <c r="S172" i="1"/>
  <c r="O172" i="1"/>
  <c r="K197" i="1"/>
  <c r="E144" i="1"/>
  <c r="E116" i="1" s="1"/>
  <c r="E118" i="1" s="1"/>
  <c r="V144" i="1"/>
  <c r="V78" i="1" s="1"/>
  <c r="Q172" i="1"/>
  <c r="P172" i="1"/>
  <c r="Q220" i="1" s="1"/>
  <c r="AT50" i="1"/>
  <c r="BD50" i="1"/>
  <c r="AW50" i="1"/>
  <c r="M158" i="1"/>
  <c r="BR50" i="1"/>
  <c r="AZ34" i="1"/>
  <c r="AZ40" i="1" s="1"/>
  <c r="BH50" i="1"/>
  <c r="H185" i="1"/>
  <c r="I233" i="1" s="1"/>
  <c r="BW50" i="1"/>
  <c r="B197" i="1"/>
  <c r="BV122" i="1"/>
  <c r="BV123" i="1" s="1"/>
  <c r="M185" i="1"/>
  <c r="BV204" i="1"/>
  <c r="BW204" i="1" s="1"/>
  <c r="BK276" i="1"/>
  <c r="BB204" i="1"/>
  <c r="BC204" i="1" s="1"/>
  <c r="Q131" i="1"/>
  <c r="G180" i="1"/>
  <c r="BR276" i="1"/>
  <c r="G172" i="1"/>
  <c r="F180" i="1"/>
  <c r="C197" i="1"/>
  <c r="BE50" i="1"/>
  <c r="AO34" i="1"/>
  <c r="BC277" i="1"/>
  <c r="AU255" i="1"/>
  <c r="BH144" i="1"/>
  <c r="BR207" i="1"/>
  <c r="BS207" i="1" s="1"/>
  <c r="F110" i="1"/>
  <c r="H127" i="1"/>
  <c r="Q144" i="1"/>
  <c r="Q116" i="1" s="1"/>
  <c r="K152" i="1"/>
  <c r="K61" i="1" s="1"/>
  <c r="J197" i="1"/>
  <c r="U197" i="1"/>
  <c r="E158" i="1"/>
  <c r="P180" i="1"/>
  <c r="T172" i="1"/>
  <c r="V185" i="1"/>
  <c r="W233" i="1" s="1"/>
  <c r="K144" i="1"/>
  <c r="BG277" i="1"/>
  <c r="BU122" i="1"/>
  <c r="BU123" i="1" s="1"/>
  <c r="AP34" i="1"/>
  <c r="BV34" i="1"/>
  <c r="T180" i="1"/>
  <c r="AP276" i="1"/>
  <c r="BG50" i="1"/>
  <c r="AQ122" i="1"/>
  <c r="AQ123" i="1" s="1"/>
  <c r="AQ128" i="1" s="1"/>
  <c r="M126" i="1"/>
  <c r="BI226" i="1"/>
  <c r="BD122" i="1"/>
  <c r="BD123" i="1" s="1"/>
  <c r="AR34" i="1"/>
  <c r="BA34" i="1"/>
  <c r="BF203" i="1"/>
  <c r="BG203" i="1" s="1"/>
  <c r="AR203" i="1"/>
  <c r="AS203" i="1" s="1"/>
  <c r="BR204" i="1"/>
  <c r="BS204" i="1" s="1"/>
  <c r="V180" i="1"/>
  <c r="H226" i="1"/>
  <c r="L226" i="1"/>
  <c r="S197" i="1"/>
  <c r="AI50" i="1"/>
  <c r="AI51" i="1" s="1"/>
  <c r="D158" i="1"/>
  <c r="D144" i="1"/>
  <c r="K226" i="1"/>
  <c r="I180" i="1"/>
  <c r="B89" i="1"/>
  <c r="B131" i="1" s="1"/>
  <c r="BB50" i="1"/>
  <c r="BB51" i="1" s="1"/>
  <c r="AP50" i="1"/>
  <c r="BM50" i="1"/>
  <c r="BM51" i="1" s="1"/>
  <c r="AX50" i="1"/>
  <c r="BI50" i="1"/>
  <c r="BD34" i="1"/>
  <c r="BP122" i="1"/>
  <c r="BP123" i="1" s="1"/>
  <c r="BP127" i="1" s="1"/>
  <c r="BK50" i="1"/>
  <c r="BN276" i="1"/>
  <c r="C144" i="1"/>
  <c r="N131" i="1"/>
  <c r="AX34" i="1"/>
  <c r="AT40" i="1"/>
  <c r="C158" i="1"/>
  <c r="AX255" i="1"/>
  <c r="AV277" i="1"/>
  <c r="AV34" i="1"/>
  <c r="AS122" i="1"/>
  <c r="AS123" i="1" s="1"/>
  <c r="BQ276" i="1"/>
  <c r="AW40" i="1"/>
  <c r="BP207" i="1"/>
  <c r="BQ207" i="1" s="1"/>
  <c r="AV207" i="1"/>
  <c r="AW207" i="1" s="1"/>
  <c r="AV203" i="1"/>
  <c r="AW203" i="1" s="1"/>
  <c r="S128" i="1"/>
  <c r="I226" i="1"/>
  <c r="O185" i="1"/>
  <c r="P233" i="1" s="1"/>
  <c r="V152" i="1"/>
  <c r="BF122" i="1"/>
  <c r="BF123" i="1" s="1"/>
  <c r="AR122" i="1"/>
  <c r="AR123" i="1" s="1"/>
  <c r="BD255" i="1"/>
  <c r="AZ207" i="1"/>
  <c r="BA207" i="1" s="1"/>
  <c r="H128" i="1"/>
  <c r="J111" i="1"/>
  <c r="I128" i="1"/>
  <c r="U158" i="1"/>
  <c r="R180" i="1"/>
  <c r="N172" i="1"/>
  <c r="J158" i="1"/>
  <c r="BH158" i="1"/>
  <c r="BH162" i="1" s="1"/>
  <c r="H158" i="1"/>
  <c r="H57" i="1" s="1"/>
  <c r="Q158" i="1"/>
  <c r="H152" i="1"/>
  <c r="M152" i="1"/>
  <c r="S158" i="1"/>
  <c r="D180" i="1"/>
  <c r="AN277" i="1"/>
  <c r="BC122" i="1"/>
  <c r="BC123" i="1" s="1"/>
  <c r="AS218" i="1"/>
  <c r="BE122" i="1"/>
  <c r="BE123" i="1" s="1"/>
  <c r="BO277" i="1"/>
  <c r="AX277" i="1"/>
  <c r="BC34" i="1"/>
  <c r="BC40" i="1" s="1"/>
  <c r="AX276" i="1"/>
  <c r="AZ122" i="1"/>
  <c r="AZ123" i="1" s="1"/>
  <c r="BD277" i="1"/>
  <c r="BS122" i="1"/>
  <c r="BS123" i="1" s="1"/>
  <c r="BS128" i="1" s="1"/>
  <c r="AZ255" i="1"/>
  <c r="BH172" i="1"/>
  <c r="BH206" i="1" s="1"/>
  <c r="J132" i="1"/>
  <c r="N152" i="1"/>
  <c r="C180" i="1"/>
  <c r="C209" i="1" s="1"/>
  <c r="T197" i="1"/>
  <c r="P144" i="1"/>
  <c r="L144" i="1"/>
  <c r="O158" i="1"/>
  <c r="BV158" i="1"/>
  <c r="BH180" i="1"/>
  <c r="BH209" i="1" s="1"/>
  <c r="M172" i="1"/>
  <c r="M206" i="1" s="1"/>
  <c r="M205" i="1" s="1"/>
  <c r="K113" i="1"/>
  <c r="BQ255" i="1"/>
  <c r="AN207" i="1"/>
  <c r="AO207" i="1" s="1"/>
  <c r="AX207" i="1"/>
  <c r="AY207" i="1" s="1"/>
  <c r="AX204" i="1"/>
  <c r="AY204" i="1" s="1"/>
  <c r="K158" i="1"/>
  <c r="H172" i="1"/>
  <c r="U144" i="1"/>
  <c r="C172" i="1"/>
  <c r="U172" i="1"/>
  <c r="E172" i="1"/>
  <c r="E206" i="1" s="1"/>
  <c r="E205" i="1" s="1"/>
  <c r="D197" i="1"/>
  <c r="R172" i="1"/>
  <c r="D172" i="1"/>
  <c r="J172" i="1"/>
  <c r="L152" i="1"/>
  <c r="L180" i="1"/>
  <c r="L209" i="1" s="1"/>
  <c r="L208" i="1" s="1"/>
  <c r="S144" i="1"/>
  <c r="W158" i="1"/>
  <c r="W162" i="1" s="1"/>
  <c r="X227" i="1" s="1"/>
  <c r="X225" i="1" s="1"/>
  <c r="BY122" i="1"/>
  <c r="BY123" i="1" s="1"/>
  <c r="BY128" i="1" s="1"/>
  <c r="BQ277" i="1"/>
  <c r="AX203" i="1"/>
  <c r="AY203" i="1" s="1"/>
  <c r="O132" i="1"/>
  <c r="AY122" i="1"/>
  <c r="AY123" i="1" s="1"/>
  <c r="B172" i="1"/>
  <c r="BB122" i="1"/>
  <c r="BB123" i="1" s="1"/>
  <c r="BB127" i="1" s="1"/>
  <c r="BD204" i="1"/>
  <c r="BE204" i="1" s="1"/>
  <c r="BZ122" i="1"/>
  <c r="BZ123" i="1" s="1"/>
  <c r="BZ126" i="1" s="1"/>
  <c r="AN122" i="1"/>
  <c r="AN123" i="1" s="1"/>
  <c r="BU277" i="1"/>
  <c r="AX122" i="1"/>
  <c r="AX123" i="1" s="1"/>
  <c r="BP34" i="1"/>
  <c r="BT122" i="1"/>
  <c r="BT123" i="1" s="1"/>
  <c r="K110" i="1"/>
  <c r="AR277" i="1"/>
  <c r="BP276" i="1"/>
  <c r="BT204" i="1"/>
  <c r="BU204" i="1" s="1"/>
  <c r="BP204" i="1"/>
  <c r="BQ204" i="1" s="1"/>
  <c r="F127" i="1"/>
  <c r="T126" i="1"/>
  <c r="S110" i="1"/>
  <c r="BQ122" i="1"/>
  <c r="BQ123" i="1" s="1"/>
  <c r="AT122" i="1"/>
  <c r="AT123" i="1" s="1"/>
  <c r="AT126" i="1" s="1"/>
  <c r="BR122" i="1"/>
  <c r="BR123" i="1" s="1"/>
  <c r="BR126" i="1" s="1"/>
  <c r="AN204" i="1"/>
  <c r="AO204" i="1" s="1"/>
  <c r="BD203" i="1"/>
  <c r="BE203" i="1" s="1"/>
  <c r="AV204" i="1"/>
  <c r="AW204" i="1" s="1"/>
  <c r="F113" i="1"/>
  <c r="M111" i="1"/>
  <c r="Q152" i="1"/>
  <c r="BD207" i="1"/>
  <c r="BE207" i="1" s="1"/>
  <c r="BH277" i="1"/>
  <c r="AP122" i="1"/>
  <c r="AP123" i="1" s="1"/>
  <c r="AN34" i="1"/>
  <c r="BO255" i="1"/>
  <c r="BO34" i="1"/>
  <c r="O113" i="1"/>
  <c r="U109" i="1"/>
  <c r="AO122" i="1"/>
  <c r="AO123" i="1" s="1"/>
  <c r="AO126" i="1" s="1"/>
  <c r="L109" i="1"/>
  <c r="AV122" i="1"/>
  <c r="AV123" i="1" s="1"/>
  <c r="AV126" i="1" s="1"/>
  <c r="AN255" i="1"/>
  <c r="BP277" i="1"/>
  <c r="AV276" i="1"/>
  <c r="AN203" i="1"/>
  <c r="AO203" i="1" s="1"/>
  <c r="BT203" i="1"/>
  <c r="BU203" i="1" s="1"/>
  <c r="O131" i="1"/>
  <c r="O152" i="1"/>
  <c r="K109" i="1"/>
  <c r="BW255" i="1"/>
  <c r="BW122" i="1"/>
  <c r="BW123" i="1" s="1"/>
  <c r="BW34" i="1"/>
  <c r="E152" i="1"/>
  <c r="BW276" i="1"/>
  <c r="BW277" i="1"/>
  <c r="BV172" i="1"/>
  <c r="BV206" i="1" s="1"/>
  <c r="BV180" i="1"/>
  <c r="BV209" i="1" s="1"/>
  <c r="BV144" i="1"/>
  <c r="BH152" i="1"/>
  <c r="M180" i="1"/>
  <c r="K131" i="1"/>
  <c r="P127" i="1"/>
  <c r="N144" i="1"/>
  <c r="BP203" i="1"/>
  <c r="BQ203" i="1" s="1"/>
  <c r="G152" i="1"/>
  <c r="V172" i="1"/>
  <c r="V206" i="1" s="1"/>
  <c r="V205" i="1" s="1"/>
  <c r="N126" i="1"/>
  <c r="N180" i="1"/>
  <c r="BT207" i="1"/>
  <c r="BU207" i="1" s="1"/>
  <c r="Q132" i="1"/>
  <c r="R226" i="1"/>
  <c r="V226" i="1"/>
  <c r="E180" i="1"/>
  <c r="J180" i="1"/>
  <c r="P152" i="1"/>
  <c r="P126" i="1"/>
  <c r="D152" i="1"/>
  <c r="P226" i="1"/>
  <c r="R152" i="1"/>
  <c r="R61" i="1" s="1"/>
  <c r="T162" i="1"/>
  <c r="AR158" i="1"/>
  <c r="AS158" i="1" s="1"/>
  <c r="R162" i="1"/>
  <c r="R57" i="1"/>
  <c r="K233" i="1"/>
  <c r="J272" i="1"/>
  <c r="BD185" i="1"/>
  <c r="BE233" i="1" s="1"/>
  <c r="J199" i="1"/>
  <c r="J116" i="1"/>
  <c r="J78" i="1"/>
  <c r="B199" i="1"/>
  <c r="B78" i="1"/>
  <c r="B272" i="1"/>
  <c r="W61" i="1"/>
  <c r="X273" i="1"/>
  <c r="X275" i="1" s="1"/>
  <c r="X230" i="1"/>
  <c r="D90" i="1"/>
  <c r="D132" i="1"/>
  <c r="S233" i="1"/>
  <c r="R272" i="1"/>
  <c r="AN185" i="1"/>
  <c r="AO233" i="1" s="1"/>
  <c r="P199" i="1"/>
  <c r="U192" i="1"/>
  <c r="U133" i="1" s="1"/>
  <c r="U61" i="1"/>
  <c r="AV185" i="1"/>
  <c r="AW233" i="1" s="1"/>
  <c r="BN185" i="1"/>
  <c r="BO233" i="1" s="1"/>
  <c r="BR158" i="1"/>
  <c r="AX185" i="1"/>
  <c r="AY233" i="1" s="1"/>
  <c r="BS152" i="1"/>
  <c r="H233" i="1"/>
  <c r="O162" i="1"/>
  <c r="O57" i="1"/>
  <c r="M233" i="1"/>
  <c r="V162" i="1"/>
  <c r="V57" i="1"/>
  <c r="AZ158" i="1"/>
  <c r="BP158" i="1"/>
  <c r="BT185" i="1"/>
  <c r="BU233" i="1" s="1"/>
  <c r="BP185" i="1"/>
  <c r="BQ233" i="1" s="1"/>
  <c r="BB185" i="1"/>
  <c r="AZ185" i="1"/>
  <c r="BA233" i="1" s="1"/>
  <c r="BE152" i="1"/>
  <c r="AR185" i="1"/>
  <c r="AS233" i="1" s="1"/>
  <c r="AQ164" i="1"/>
  <c r="AW164" i="1"/>
  <c r="AX226" i="1" s="1"/>
  <c r="AQ166" i="1"/>
  <c r="AP172" i="1"/>
  <c r="AP206" i="1" s="1"/>
  <c r="AS148" i="1"/>
  <c r="AS152" i="1" s="1"/>
  <c r="AR152" i="1"/>
  <c r="AU141" i="1"/>
  <c r="AT144" i="1"/>
  <c r="AT116" i="1" s="1"/>
  <c r="AS141" i="1"/>
  <c r="AR144" i="1"/>
  <c r="AX144" i="1"/>
  <c r="AY141" i="1"/>
  <c r="AY148" i="1"/>
  <c r="AY152" i="1" s="1"/>
  <c r="AX152" i="1"/>
  <c r="BO164" i="1"/>
  <c r="BN226" i="1"/>
  <c r="BT158" i="1"/>
  <c r="AT158" i="1"/>
  <c r="BF185" i="1"/>
  <c r="BG233" i="1" s="1"/>
  <c r="BF158" i="1"/>
  <c r="AV158" i="1"/>
  <c r="BD158" i="1"/>
  <c r="AP158" i="1"/>
  <c r="AU166" i="1"/>
  <c r="BC141" i="1"/>
  <c r="AO148" i="1"/>
  <c r="AO152" i="1" s="1"/>
  <c r="AN152" i="1"/>
  <c r="AR204" i="1"/>
  <c r="AS204" i="1" s="1"/>
  <c r="AR172" i="1"/>
  <c r="AR206" i="1" s="1"/>
  <c r="AO141" i="1"/>
  <c r="AN144" i="1"/>
  <c r="BC148" i="1"/>
  <c r="BC152" i="1" s="1"/>
  <c r="BB152" i="1"/>
  <c r="BU164" i="1"/>
  <c r="BE141" i="1"/>
  <c r="BD144" i="1"/>
  <c r="AU174" i="1"/>
  <c r="AT180" i="1"/>
  <c r="AT209" i="1" s="1"/>
  <c r="AY173" i="1"/>
  <c r="AX180" i="1"/>
  <c r="AX209" i="1" s="1"/>
  <c r="BO148" i="1"/>
  <c r="BO152" i="1" s="1"/>
  <c r="BN152" i="1"/>
  <c r="AW148" i="1"/>
  <c r="AW152" i="1" s="1"/>
  <c r="AV152" i="1"/>
  <c r="AO166" i="1"/>
  <c r="AN172" i="1"/>
  <c r="BU148" i="1"/>
  <c r="BU152" i="1" s="1"/>
  <c r="BT152" i="1"/>
  <c r="AO164" i="1"/>
  <c r="AN226" i="1"/>
  <c r="BS141" i="1"/>
  <c r="BR144" i="1"/>
  <c r="BR116" i="1" s="1"/>
  <c r="BF226" i="1"/>
  <c r="AQ152" i="1"/>
  <c r="AT226" i="1"/>
  <c r="AN158" i="1"/>
  <c r="BT180" i="1"/>
  <c r="BT209" i="1" s="1"/>
  <c r="BN158" i="1"/>
  <c r="AX158" i="1"/>
  <c r="BB158" i="1"/>
  <c r="AT185" i="1"/>
  <c r="AU233" i="1" s="1"/>
  <c r="AZ144" i="1"/>
  <c r="BR185" i="1"/>
  <c r="AR180" i="1"/>
  <c r="BN144" i="1"/>
  <c r="AS226" i="1"/>
  <c r="BP180" i="1"/>
  <c r="BP209" i="1" s="1"/>
  <c r="BT144" i="1"/>
  <c r="BF152" i="1"/>
  <c r="BE226" i="1"/>
  <c r="BR180" i="1"/>
  <c r="BR209" i="1" s="1"/>
  <c r="BP172" i="1"/>
  <c r="BP206" i="1" s="1"/>
  <c r="AZ152" i="1"/>
  <c r="BQ226" i="1"/>
  <c r="BB180" i="1"/>
  <c r="BB209" i="1" s="1"/>
  <c r="AP152" i="1"/>
  <c r="AP144" i="1"/>
  <c r="AP116" i="1" s="1"/>
  <c r="BD180" i="1"/>
  <c r="BD209" i="1" s="1"/>
  <c r="BP144" i="1"/>
  <c r="BP116" i="1" s="1"/>
  <c r="BP118" i="1" s="1"/>
  <c r="BN180" i="1"/>
  <c r="BN209" i="1" s="1"/>
  <c r="AN180" i="1"/>
  <c r="AN209" i="1" s="1"/>
  <c r="BP152" i="1"/>
  <c r="BG152" i="1"/>
  <c r="BA152" i="1"/>
  <c r="AT152" i="1"/>
  <c r="AP180" i="1"/>
  <c r="BF180" i="1"/>
  <c r="BF209" i="1" s="1"/>
  <c r="AV180" i="1"/>
  <c r="AV209" i="1" s="1"/>
  <c r="BF144" i="1"/>
  <c r="BQ152" i="1"/>
  <c r="BR152" i="1"/>
  <c r="BD152" i="1"/>
  <c r="AZ180" i="1"/>
  <c r="AZ209" i="1" s="1"/>
  <c r="AV144" i="1"/>
  <c r="AU152" i="1"/>
  <c r="AW167" i="1"/>
  <c r="AV172" i="1"/>
  <c r="BC167" i="1"/>
  <c r="BB172" i="1"/>
  <c r="BG167" i="1"/>
  <c r="BF172" i="1"/>
  <c r="BE167" i="1"/>
  <c r="BD172" i="1"/>
  <c r="BO167" i="1"/>
  <c r="BN172" i="1"/>
  <c r="BU167" i="1"/>
  <c r="BT172" i="1"/>
  <c r="AY167" i="1"/>
  <c r="AX172" i="1"/>
  <c r="BS167" i="1"/>
  <c r="BR172" i="1"/>
  <c r="BA167" i="1"/>
  <c r="AZ172" i="1"/>
  <c r="AU226" i="1"/>
  <c r="AV226" i="1"/>
  <c r="BB226" i="1"/>
  <c r="BA226" i="1"/>
  <c r="AY226" i="1"/>
  <c r="AZ226" i="1"/>
  <c r="AT36" i="1"/>
  <c r="AY40" i="1"/>
  <c r="BM35" i="1"/>
  <c r="BC226" i="1"/>
  <c r="BD226" i="1"/>
  <c r="BU40" i="1"/>
  <c r="BM40" i="1"/>
  <c r="BM36" i="1"/>
  <c r="AS40" i="1"/>
  <c r="BY35" i="1"/>
  <c r="N82" i="1"/>
  <c r="AL268" i="1"/>
  <c r="AJ36" i="1"/>
  <c r="AM35" i="1"/>
  <c r="AL249" i="1"/>
  <c r="AI40" i="1"/>
  <c r="BI40" i="1"/>
  <c r="BG226" i="1"/>
  <c r="BJ36" i="1"/>
  <c r="AL126" i="1"/>
  <c r="AL127" i="1"/>
  <c r="BB40" i="1"/>
  <c r="BN35" i="1"/>
  <c r="BN212" i="1"/>
  <c r="BN40" i="1"/>
  <c r="BN36" i="1"/>
  <c r="AQ40" i="1"/>
  <c r="AQ35" i="1"/>
  <c r="BC36" i="1"/>
  <c r="BN51" i="1"/>
  <c r="BI128" i="1"/>
  <c r="BI126" i="1"/>
  <c r="BN249" i="1"/>
  <c r="BG40" i="1"/>
  <c r="BF35" i="1"/>
  <c r="AQ51" i="1"/>
  <c r="P94" i="1"/>
  <c r="N113" i="1"/>
  <c r="O110" i="1"/>
  <c r="O111" i="1"/>
  <c r="O94" i="1"/>
  <c r="O109" i="1"/>
  <c r="CQ162" i="1"/>
  <c r="CR56" i="1"/>
  <c r="AE101" i="1"/>
  <c r="AB149" i="1"/>
  <c r="AB152" i="1" s="1"/>
  <c r="AB273" i="1" s="1"/>
  <c r="AD166" i="1"/>
  <c r="CZ89" i="1"/>
  <c r="DA87" i="1"/>
  <c r="AT172" i="1" l="1"/>
  <c r="BB144" i="1"/>
  <c r="BB116" i="1" s="1"/>
  <c r="AU51" i="1"/>
  <c r="BI51" i="1"/>
  <c r="AT208" i="1"/>
  <c r="BX35" i="1"/>
  <c r="BU36" i="1"/>
  <c r="BT40" i="1"/>
  <c r="BY212" i="1"/>
  <c r="AN35" i="1"/>
  <c r="AN40" i="1"/>
  <c r="AN36" i="1"/>
  <c r="AN249" i="1"/>
  <c r="BO212" i="1"/>
  <c r="AN212" i="1"/>
  <c r="I181" i="1"/>
  <c r="AP51" i="1"/>
  <c r="BK51" i="1"/>
  <c r="M181" i="1"/>
  <c r="L192" i="1"/>
  <c r="L133" i="1" s="1"/>
  <c r="L61" i="1"/>
  <c r="BS164" i="1"/>
  <c r="BR226" i="1"/>
  <c r="AI210" i="1"/>
  <c r="BO128" i="1"/>
  <c r="AU36" i="1"/>
  <c r="BL268" i="1"/>
  <c r="BL249" i="1"/>
  <c r="AY35" i="1"/>
  <c r="AU40" i="1"/>
  <c r="BS40" i="1"/>
  <c r="BT36" i="1"/>
  <c r="BE40" i="1"/>
  <c r="BI35" i="1"/>
  <c r="BG36" i="1"/>
  <c r="AZ41" i="1"/>
  <c r="AI205" i="1"/>
  <c r="BK212" i="1"/>
  <c r="BH249" i="1"/>
  <c r="AU35" i="1"/>
  <c r="BT51" i="1"/>
  <c r="BM128" i="1"/>
  <c r="BM127" i="1"/>
  <c r="U82" i="1"/>
  <c r="AT249" i="1"/>
  <c r="P82" i="1"/>
  <c r="AR36" i="1"/>
  <c r="BH128" i="1"/>
  <c r="BH126" i="1"/>
  <c r="AR212" i="1"/>
  <c r="AO212" i="1"/>
  <c r="AO40" i="1"/>
  <c r="AR35" i="1"/>
  <c r="AP185" i="1"/>
  <c r="BJ127" i="1"/>
  <c r="BJ128" i="1"/>
  <c r="BW207" i="1"/>
  <c r="BI233" i="1"/>
  <c r="BA128" i="1"/>
  <c r="BA126" i="1"/>
  <c r="AW127" i="1"/>
  <c r="HT9" i="4"/>
  <c r="J181" i="1"/>
  <c r="C273" i="1"/>
  <c r="C275" i="1" s="1"/>
  <c r="C61" i="1"/>
  <c r="H116" i="1"/>
  <c r="H118" i="1" s="1"/>
  <c r="H199" i="1"/>
  <c r="N57" i="1"/>
  <c r="N162" i="1"/>
  <c r="U233" i="1"/>
  <c r="T272" i="1"/>
  <c r="H78" i="1"/>
  <c r="T116" i="1"/>
  <c r="T78" i="1"/>
  <c r="T199" i="1"/>
  <c r="I231" i="1"/>
  <c r="I199" i="1"/>
  <c r="I272" i="1"/>
  <c r="I116" i="1"/>
  <c r="I78" i="1"/>
  <c r="B162" i="1"/>
  <c r="B57" i="1"/>
  <c r="R233" i="1"/>
  <c r="J231" i="1"/>
  <c r="L233" i="1"/>
  <c r="AI208" i="1"/>
  <c r="BE51" i="1"/>
  <c r="BK36" i="1"/>
  <c r="BL36" i="1"/>
  <c r="BK40" i="1"/>
  <c r="AM76" i="1"/>
  <c r="AM143" i="1"/>
  <c r="AM144" i="1" s="1"/>
  <c r="AM153" i="1" s="1"/>
  <c r="AM217" i="1"/>
  <c r="AM219" i="1" s="1"/>
  <c r="AM90" i="1"/>
  <c r="AM93" i="1" s="1"/>
  <c r="AT51" i="1"/>
  <c r="BM249" i="1"/>
  <c r="BO127" i="1"/>
  <c r="BG126" i="1"/>
  <c r="BG128" i="1"/>
  <c r="BG127" i="1"/>
  <c r="BJ273" i="1"/>
  <c r="BJ230" i="1"/>
  <c r="BV192" i="1"/>
  <c r="BS51" i="1"/>
  <c r="AZ52" i="1"/>
  <c r="BW273" i="1"/>
  <c r="AS51" i="1"/>
  <c r="V199" i="1"/>
  <c r="O206" i="1"/>
  <c r="O205" i="1" s="1"/>
  <c r="BK35" i="1"/>
  <c r="BA51" i="1"/>
  <c r="M273" i="1"/>
  <c r="M275" i="1" s="1"/>
  <c r="I192" i="1"/>
  <c r="I133" i="1" s="1"/>
  <c r="I135" i="1" s="1"/>
  <c r="I138" i="1" s="1"/>
  <c r="BV205" i="1"/>
  <c r="BH192" i="1"/>
  <c r="C231" i="1"/>
  <c r="T270" i="1"/>
  <c r="P221" i="1"/>
  <c r="U220" i="1"/>
  <c r="E78" i="1"/>
  <c r="E199" i="1"/>
  <c r="C78" i="1"/>
  <c r="C199" i="1"/>
  <c r="AO51" i="1"/>
  <c r="BF208" i="1"/>
  <c r="BC51" i="1"/>
  <c r="BG51" i="1"/>
  <c r="AX51" i="1"/>
  <c r="N153" i="1"/>
  <c r="N79" i="1" s="1"/>
  <c r="BB208" i="1"/>
  <c r="I57" i="1"/>
  <c r="I162" i="1"/>
  <c r="C192" i="1"/>
  <c r="C133" i="1" s="1"/>
  <c r="D233" i="1"/>
  <c r="O209" i="1"/>
  <c r="O181" i="1"/>
  <c r="O189" i="1" s="1"/>
  <c r="K206" i="1"/>
  <c r="K205" i="1" s="1"/>
  <c r="L220" i="1"/>
  <c r="L206" i="1"/>
  <c r="M220" i="1"/>
  <c r="AU127" i="1"/>
  <c r="AU128" i="1"/>
  <c r="AU126" i="1"/>
  <c r="BQ40" i="1"/>
  <c r="BQ52" i="1" s="1"/>
  <c r="BU35" i="1"/>
  <c r="BR35" i="1"/>
  <c r="BU249" i="1"/>
  <c r="N61" i="1"/>
  <c r="N192" i="1"/>
  <c r="N133" i="1" s="1"/>
  <c r="BV51" i="1"/>
  <c r="BK128" i="1"/>
  <c r="BK127" i="1"/>
  <c r="BX126" i="1"/>
  <c r="BX127" i="1"/>
  <c r="BX128" i="1"/>
  <c r="BL128" i="1"/>
  <c r="BL126" i="1"/>
  <c r="BL127" i="1"/>
  <c r="BH116" i="1"/>
  <c r="BH272" i="1"/>
  <c r="BE128" i="1"/>
  <c r="BE127" i="1"/>
  <c r="BE126" i="1"/>
  <c r="AZ126" i="1"/>
  <c r="AZ128" i="1"/>
  <c r="BW57" i="1"/>
  <c r="BV162" i="1"/>
  <c r="BW158" i="1"/>
  <c r="AY126" i="1"/>
  <c r="AY127" i="1"/>
  <c r="AY128" i="1"/>
  <c r="AN127" i="1"/>
  <c r="AN128" i="1"/>
  <c r="AX126" i="1"/>
  <c r="AX128" i="1"/>
  <c r="AX127" i="1"/>
  <c r="BQ128" i="1"/>
  <c r="AP126" i="1"/>
  <c r="AP128" i="1"/>
  <c r="AP127" i="1"/>
  <c r="O231" i="1"/>
  <c r="AN51" i="1"/>
  <c r="P181" i="1"/>
  <c r="O82" i="1"/>
  <c r="V181" i="1"/>
  <c r="V189" i="1" s="1"/>
  <c r="BH210" i="1"/>
  <c r="BL213" i="1" s="1"/>
  <c r="D221" i="1"/>
  <c r="Q231" i="1"/>
  <c r="L231" i="1"/>
  <c r="AP205" i="1"/>
  <c r="BR208" i="1"/>
  <c r="E233" i="1"/>
  <c r="D272" i="1"/>
  <c r="R78" i="1"/>
  <c r="R199" i="1"/>
  <c r="R231" i="1"/>
  <c r="R116" i="1"/>
  <c r="G57" i="1"/>
  <c r="G162" i="1"/>
  <c r="U209" i="1"/>
  <c r="U208" i="1" s="1"/>
  <c r="V221" i="1"/>
  <c r="F57" i="1"/>
  <c r="F162" i="1"/>
  <c r="L57" i="1"/>
  <c r="L162" i="1"/>
  <c r="S209" i="1"/>
  <c r="S208" i="1" s="1"/>
  <c r="T221" i="1"/>
  <c r="F272" i="1"/>
  <c r="G233" i="1"/>
  <c r="F78" i="1"/>
  <c r="F116" i="1"/>
  <c r="F199" i="1"/>
  <c r="F231" i="1"/>
  <c r="J153" i="1"/>
  <c r="J79" i="1" s="1"/>
  <c r="J61" i="1"/>
  <c r="J192" i="1"/>
  <c r="J133" i="1" s="1"/>
  <c r="J273" i="1"/>
  <c r="J275" i="1" s="1"/>
  <c r="B61" i="1"/>
  <c r="C230" i="1"/>
  <c r="B192" i="1"/>
  <c r="B133" i="1" s="1"/>
  <c r="B134" i="1" s="1"/>
  <c r="B137" i="1" s="1"/>
  <c r="B153" i="1"/>
  <c r="B79" i="1" s="1"/>
  <c r="BN128" i="1"/>
  <c r="BN127" i="1"/>
  <c r="BN126" i="1"/>
  <c r="BX230" i="1"/>
  <c r="BW230" i="1"/>
  <c r="BX273" i="1"/>
  <c r="K209" i="1"/>
  <c r="K181" i="1"/>
  <c r="B209" i="1"/>
  <c r="B208" i="1" s="1"/>
  <c r="C221" i="1"/>
  <c r="M116" i="1"/>
  <c r="M120" i="1" s="1"/>
  <c r="M78" i="1"/>
  <c r="M199" i="1"/>
  <c r="J230" i="1"/>
  <c r="I230" i="1"/>
  <c r="I61" i="1"/>
  <c r="I153" i="1"/>
  <c r="I79" i="1" s="1"/>
  <c r="AW35" i="1"/>
  <c r="AW51" i="1"/>
  <c r="BA35" i="1"/>
  <c r="I206" i="1"/>
  <c r="I205" i="1" s="1"/>
  <c r="J220" i="1"/>
  <c r="F181" i="1"/>
  <c r="G220" i="1"/>
  <c r="F206" i="1"/>
  <c r="G199" i="1"/>
  <c r="G78" i="1"/>
  <c r="G231" i="1"/>
  <c r="H231" i="1"/>
  <c r="G116" i="1"/>
  <c r="G272" i="1"/>
  <c r="C90" i="1"/>
  <c r="C131" i="1"/>
  <c r="T61" i="1"/>
  <c r="U273" i="1"/>
  <c r="U275" i="1" s="1"/>
  <c r="P57" i="1"/>
  <c r="P162" i="1"/>
  <c r="P270" i="1" s="1"/>
  <c r="S206" i="1"/>
  <c r="S181" i="1"/>
  <c r="T220" i="1"/>
  <c r="Q181" i="1"/>
  <c r="Q206" i="1"/>
  <c r="M162" i="1"/>
  <c r="M57" i="1"/>
  <c r="BV127" i="1"/>
  <c r="BV126" i="1"/>
  <c r="BV128" i="1"/>
  <c r="M272" i="1"/>
  <c r="N233" i="1"/>
  <c r="H221" i="1"/>
  <c r="G209" i="1"/>
  <c r="G206" i="1"/>
  <c r="G205" i="1" s="1"/>
  <c r="H220" i="1"/>
  <c r="H222" i="1" s="1"/>
  <c r="H223" i="1" s="1"/>
  <c r="G181" i="1"/>
  <c r="F209" i="1"/>
  <c r="F208" i="1" s="1"/>
  <c r="G221" i="1"/>
  <c r="E57" i="1"/>
  <c r="E162" i="1"/>
  <c r="P209" i="1"/>
  <c r="P208" i="1" s="1"/>
  <c r="Q221" i="1"/>
  <c r="Q222" i="1" s="1"/>
  <c r="Q223" i="1" s="1"/>
  <c r="T268" i="1"/>
  <c r="T206" i="1"/>
  <c r="T181" i="1"/>
  <c r="T189" i="1" s="1"/>
  <c r="K116" i="1"/>
  <c r="K78" i="1"/>
  <c r="K199" i="1"/>
  <c r="BU128" i="1"/>
  <c r="BU127" i="1"/>
  <c r="BU126" i="1"/>
  <c r="AQ212" i="1"/>
  <c r="AT35" i="1"/>
  <c r="AP35" i="1"/>
  <c r="AP40" i="1"/>
  <c r="AS249" i="1"/>
  <c r="AU212" i="1"/>
  <c r="AQ36" i="1"/>
  <c r="BV40" i="1"/>
  <c r="BV36" i="1"/>
  <c r="BZ212" i="1"/>
  <c r="W82" i="1"/>
  <c r="BV249" i="1"/>
  <c r="BZ35" i="1"/>
  <c r="T209" i="1"/>
  <c r="T208" i="1" s="1"/>
  <c r="U221" i="1"/>
  <c r="BD126" i="1"/>
  <c r="BD127" i="1"/>
  <c r="BD128" i="1"/>
  <c r="AR40" i="1"/>
  <c r="AU249" i="1"/>
  <c r="AR51" i="1"/>
  <c r="AS36" i="1"/>
  <c r="BA40" i="1"/>
  <c r="BA43" i="1" s="1"/>
  <c r="BF212" i="1"/>
  <c r="BE35" i="1"/>
  <c r="BB212" i="1"/>
  <c r="BB36" i="1"/>
  <c r="D162" i="1"/>
  <c r="D57" i="1"/>
  <c r="D78" i="1"/>
  <c r="D231" i="1"/>
  <c r="BD40" i="1"/>
  <c r="BH35" i="1"/>
  <c r="BE36" i="1"/>
  <c r="BG249" i="1"/>
  <c r="C272" i="1"/>
  <c r="C153" i="1"/>
  <c r="C79" i="1" s="1"/>
  <c r="BB35" i="1"/>
  <c r="AX40" i="1"/>
  <c r="AY43" i="1" s="1"/>
  <c r="AX212" i="1"/>
  <c r="AY212" i="1"/>
  <c r="AY36" i="1"/>
  <c r="BA249" i="1"/>
  <c r="AX36" i="1"/>
  <c r="AX35" i="1"/>
  <c r="AT41" i="1"/>
  <c r="AT52" i="1"/>
  <c r="C57" i="1"/>
  <c r="C162" i="1"/>
  <c r="AY249" i="1"/>
  <c r="AZ212" i="1"/>
  <c r="Q82" i="1"/>
  <c r="AV249" i="1"/>
  <c r="AV35" i="1"/>
  <c r="AV40" i="1"/>
  <c r="AV51" i="1"/>
  <c r="AV36" i="1"/>
  <c r="AW249" i="1"/>
  <c r="AV212" i="1"/>
  <c r="AX249" i="1"/>
  <c r="AW36" i="1"/>
  <c r="AW212" i="1"/>
  <c r="AS126" i="1"/>
  <c r="AS127" i="1"/>
  <c r="AS128" i="1"/>
  <c r="AW41" i="1"/>
  <c r="AW52" i="1"/>
  <c r="V61" i="1"/>
  <c r="W273" i="1"/>
  <c r="W275" i="1" s="1"/>
  <c r="W230" i="1"/>
  <c r="BF127" i="1"/>
  <c r="BF126" i="1"/>
  <c r="BF128" i="1"/>
  <c r="AR127" i="1"/>
  <c r="AR126" i="1"/>
  <c r="AR128" i="1"/>
  <c r="U162" i="1"/>
  <c r="U57" i="1"/>
  <c r="R209" i="1"/>
  <c r="R208" i="1" s="1"/>
  <c r="S221" i="1"/>
  <c r="R221" i="1"/>
  <c r="N206" i="1"/>
  <c r="N220" i="1"/>
  <c r="O220" i="1"/>
  <c r="J162" i="1"/>
  <c r="J57" i="1"/>
  <c r="Q162" i="1"/>
  <c r="Q57" i="1"/>
  <c r="S57" i="1"/>
  <c r="S162" i="1"/>
  <c r="E221" i="1"/>
  <c r="D209" i="1"/>
  <c r="BC126" i="1"/>
  <c r="BC128" i="1"/>
  <c r="BC127" i="1"/>
  <c r="K162" i="1"/>
  <c r="K57" i="1"/>
  <c r="I220" i="1"/>
  <c r="H206" i="1"/>
  <c r="U272" i="1"/>
  <c r="U116" i="1"/>
  <c r="U78" i="1"/>
  <c r="C206" i="1"/>
  <c r="C181" i="1"/>
  <c r="U206" i="1"/>
  <c r="V220" i="1"/>
  <c r="R181" i="1"/>
  <c r="R189" i="1" s="1"/>
  <c r="S220" i="1"/>
  <c r="K220" i="1"/>
  <c r="J206" i="1"/>
  <c r="S231" i="1"/>
  <c r="T231" i="1"/>
  <c r="S199" i="1"/>
  <c r="S78" i="1"/>
  <c r="S116" i="1"/>
  <c r="C220" i="1"/>
  <c r="B206" i="1"/>
  <c r="BP51" i="1"/>
  <c r="BP40" i="1"/>
  <c r="BQ212" i="1"/>
  <c r="BT126" i="1"/>
  <c r="BT127" i="1"/>
  <c r="BT128" i="1"/>
  <c r="Q192" i="1"/>
  <c r="Q133" i="1" s="1"/>
  <c r="Q153" i="1"/>
  <c r="Q79" i="1" s="1"/>
  <c r="BO35" i="1"/>
  <c r="BS35" i="1"/>
  <c r="O273" i="1"/>
  <c r="O275" i="1" s="1"/>
  <c r="O230" i="1"/>
  <c r="O192" i="1"/>
  <c r="O133" i="1" s="1"/>
  <c r="O61" i="1"/>
  <c r="BW127" i="1"/>
  <c r="BW126" i="1"/>
  <c r="BX36" i="1"/>
  <c r="BX212" i="1"/>
  <c r="BV116" i="1"/>
  <c r="BV153" i="1"/>
  <c r="G153" i="1"/>
  <c r="G79" i="1" s="1"/>
  <c r="G61" i="1"/>
  <c r="N209" i="1"/>
  <c r="N208" i="1" s="1"/>
  <c r="O221" i="1"/>
  <c r="P153" i="1"/>
  <c r="P79" i="1" s="1"/>
  <c r="P192" i="1"/>
  <c r="P133" i="1" s="1"/>
  <c r="P61" i="1"/>
  <c r="P273" i="1"/>
  <c r="P275" i="1" s="1"/>
  <c r="D61" i="1"/>
  <c r="D153" i="1"/>
  <c r="D79" i="1" s="1"/>
  <c r="BI36" i="1"/>
  <c r="BH51" i="1"/>
  <c r="F230" i="1"/>
  <c r="AS35" i="1"/>
  <c r="BL212" i="1"/>
  <c r="O272" i="1"/>
  <c r="BJ268" i="1"/>
  <c r="BQ127" i="1"/>
  <c r="BI249" i="1"/>
  <c r="AT128" i="1"/>
  <c r="BR51" i="1"/>
  <c r="P230" i="1"/>
  <c r="V272" i="1"/>
  <c r="AO127" i="1"/>
  <c r="BJ249" i="1"/>
  <c r="CA35" i="1"/>
  <c r="BZ127" i="1"/>
  <c r="R82" i="1"/>
  <c r="AQ249" i="1"/>
  <c r="AP36" i="1"/>
  <c r="BK249" i="1"/>
  <c r="BS249" i="1"/>
  <c r="BI212" i="1"/>
  <c r="AT127" i="1"/>
  <c r="AT212" i="1"/>
  <c r="V82" i="1"/>
  <c r="BA36" i="1"/>
  <c r="BP126" i="1"/>
  <c r="BQ51" i="1"/>
  <c r="AZ208" i="1"/>
  <c r="V116" i="1"/>
  <c r="V119" i="1" s="1"/>
  <c r="L230" i="1"/>
  <c r="I209" i="1"/>
  <c r="P206" i="1"/>
  <c r="V231" i="1"/>
  <c r="Q199" i="1"/>
  <c r="S153" i="1"/>
  <c r="S79" i="1" s="1"/>
  <c r="K153" i="1"/>
  <c r="K79" i="1" s="1"/>
  <c r="E153" i="1"/>
  <c r="E79" i="1" s="1"/>
  <c r="Q272" i="1"/>
  <c r="S192" i="1"/>
  <c r="S133" i="1" s="1"/>
  <c r="B90" i="1"/>
  <c r="L199" i="1"/>
  <c r="O78" i="1"/>
  <c r="S82" i="1"/>
  <c r="BH212" i="1"/>
  <c r="BS212" i="1"/>
  <c r="BS36" i="1"/>
  <c r="BV212" i="1"/>
  <c r="P220" i="1"/>
  <c r="P222" i="1" s="1"/>
  <c r="P223" i="1" s="1"/>
  <c r="BH36" i="1"/>
  <c r="BL35" i="1"/>
  <c r="BZ128" i="1"/>
  <c r="BS127" i="1"/>
  <c r="P116" i="1"/>
  <c r="P120" i="1" s="1"/>
  <c r="AW126" i="1"/>
  <c r="AO249" i="1"/>
  <c r="T82" i="1"/>
  <c r="BD35" i="1"/>
  <c r="BS126" i="1"/>
  <c r="V209" i="1"/>
  <c r="V208" i="1" s="1"/>
  <c r="P78" i="1"/>
  <c r="S272" i="1"/>
  <c r="F153" i="1"/>
  <c r="F79" i="1" s="1"/>
  <c r="O116" i="1"/>
  <c r="BJ256" i="1"/>
  <c r="BJ257" i="1" s="1"/>
  <c r="AO128" i="1"/>
  <c r="BB249" i="1"/>
  <c r="AZ35" i="1"/>
  <c r="AQ126" i="1"/>
  <c r="BR212" i="1"/>
  <c r="BR36" i="1"/>
  <c r="BE212" i="1"/>
  <c r="BR249" i="1"/>
  <c r="BF40" i="1"/>
  <c r="BF42" i="1" s="1"/>
  <c r="BP128" i="1"/>
  <c r="BQ35" i="1"/>
  <c r="AP249" i="1"/>
  <c r="AX208" i="1"/>
  <c r="L273" i="1"/>
  <c r="L275" i="1" s="1"/>
  <c r="I221" i="1"/>
  <c r="Q78" i="1"/>
  <c r="K230" i="1"/>
  <c r="T273" i="1"/>
  <c r="T275" i="1" s="1"/>
  <c r="K231" i="1"/>
  <c r="T192" i="1"/>
  <c r="T133" i="1" s="1"/>
  <c r="T134" i="1" s="1"/>
  <c r="T137" i="1" s="1"/>
  <c r="F192" i="1"/>
  <c r="F133" i="1" s="1"/>
  <c r="F135" i="1" s="1"/>
  <c r="F138" i="1" s="1"/>
  <c r="B132" i="1"/>
  <c r="D199" i="1"/>
  <c r="O199" i="1"/>
  <c r="BV210" i="1"/>
  <c r="BZ213" i="1" s="1"/>
  <c r="BH208" i="1"/>
  <c r="N230" i="1"/>
  <c r="BT249" i="1"/>
  <c r="BR127" i="1"/>
  <c r="H272" i="1"/>
  <c r="AS212" i="1"/>
  <c r="BR128" i="1"/>
  <c r="P272" i="1"/>
  <c r="K192" i="1"/>
  <c r="K133" i="1" s="1"/>
  <c r="G273" i="1"/>
  <c r="G275" i="1" s="1"/>
  <c r="BD36" i="1"/>
  <c r="BH40" i="1"/>
  <c r="AO35" i="1"/>
  <c r="AZ127" i="1"/>
  <c r="BF249" i="1"/>
  <c r="AZ36" i="1"/>
  <c r="BD208" i="1"/>
  <c r="K272" i="1"/>
  <c r="O153" i="1"/>
  <c r="O79" i="1" s="1"/>
  <c r="L78" i="1"/>
  <c r="BJ58" i="1"/>
  <c r="BJ62" i="1" s="1"/>
  <c r="BJ25" i="1" s="1"/>
  <c r="BA212" i="1"/>
  <c r="BR40" i="1"/>
  <c r="BI273" i="1"/>
  <c r="BD51" i="1"/>
  <c r="BU212" i="1"/>
  <c r="BJ35" i="1"/>
  <c r="BQ36" i="1"/>
  <c r="AZ51" i="1"/>
  <c r="U230" i="1"/>
  <c r="K273" i="1"/>
  <c r="K275" i="1" s="1"/>
  <c r="T153" i="1"/>
  <c r="T79" i="1" s="1"/>
  <c r="L181" i="1"/>
  <c r="T230" i="1"/>
  <c r="C132" i="1"/>
  <c r="D220" i="1"/>
  <c r="H192" i="1"/>
  <c r="H133" i="1" s="1"/>
  <c r="BV35" i="1"/>
  <c r="BZ249" i="1"/>
  <c r="AZ249" i="1"/>
  <c r="AQ127" i="1"/>
  <c r="BY127" i="1"/>
  <c r="BF36" i="1"/>
  <c r="BJ212" i="1"/>
  <c r="G230" i="1"/>
  <c r="B181" i="1"/>
  <c r="BG212" i="1"/>
  <c r="AP212" i="1"/>
  <c r="AO36" i="1"/>
  <c r="BE249" i="1"/>
  <c r="AR249" i="1"/>
  <c r="BK126" i="1"/>
  <c r="U181" i="1"/>
  <c r="L221" i="1"/>
  <c r="W57" i="1"/>
  <c r="D192" i="1"/>
  <c r="D133" i="1" s="1"/>
  <c r="D134" i="1" s="1"/>
  <c r="D137" i="1" s="1"/>
  <c r="H162" i="1"/>
  <c r="E231" i="1"/>
  <c r="M231" i="1"/>
  <c r="R270" i="1"/>
  <c r="N273" i="1"/>
  <c r="N275" i="1" s="1"/>
  <c r="BY249" i="1"/>
  <c r="Q61" i="1"/>
  <c r="E220" i="1"/>
  <c r="E181" i="1"/>
  <c r="BG35" i="1"/>
  <c r="BT35" i="1"/>
  <c r="BW36" i="1"/>
  <c r="BV181" i="1"/>
  <c r="BW249" i="1"/>
  <c r="BC35" i="1"/>
  <c r="BP212" i="1"/>
  <c r="BW128" i="1"/>
  <c r="BP208" i="1"/>
  <c r="R230" i="1"/>
  <c r="H181" i="1"/>
  <c r="R206" i="1"/>
  <c r="R205" i="1" s="1"/>
  <c r="R220" i="1"/>
  <c r="V273" i="1"/>
  <c r="V275" i="1" s="1"/>
  <c r="R268" i="1"/>
  <c r="Q230" i="1"/>
  <c r="BW40" i="1"/>
  <c r="AV127" i="1"/>
  <c r="BP35" i="1"/>
  <c r="BT212" i="1"/>
  <c r="AV208" i="1"/>
  <c r="V153" i="1"/>
  <c r="V79" i="1" s="1"/>
  <c r="P231" i="1"/>
  <c r="Q273" i="1"/>
  <c r="Q275" i="1" s="1"/>
  <c r="F220" i="1"/>
  <c r="U231" i="1"/>
  <c r="L116" i="1"/>
  <c r="L118" i="1" s="1"/>
  <c r="M209" i="1"/>
  <c r="M210" i="1" s="1"/>
  <c r="D181" i="1"/>
  <c r="BB126" i="1"/>
  <c r="AV128" i="1"/>
  <c r="CB212" i="1"/>
  <c r="CA212" i="1"/>
  <c r="BB128" i="1"/>
  <c r="BI158" i="1"/>
  <c r="BJ57" i="1" s="1"/>
  <c r="BI230" i="1"/>
  <c r="BO40" i="1"/>
  <c r="BO52" i="1" s="1"/>
  <c r="BD212" i="1"/>
  <c r="M221" i="1"/>
  <c r="F221" i="1"/>
  <c r="L272" i="1"/>
  <c r="J221" i="1"/>
  <c r="V230" i="1"/>
  <c r="I273" i="1"/>
  <c r="I275" i="1" s="1"/>
  <c r="L153" i="1"/>
  <c r="L79" i="1" s="1"/>
  <c r="V192" i="1"/>
  <c r="V133" i="1" s="1"/>
  <c r="R192" i="1"/>
  <c r="R133" i="1" s="1"/>
  <c r="R135" i="1" s="1"/>
  <c r="R138" i="1" s="1"/>
  <c r="BW51" i="1"/>
  <c r="BW35" i="1"/>
  <c r="D206" i="1"/>
  <c r="D205" i="1" s="1"/>
  <c r="BX268" i="1"/>
  <c r="BO249" i="1"/>
  <c r="BD249" i="1"/>
  <c r="BO51" i="1"/>
  <c r="M192" i="1"/>
  <c r="M133" i="1" s="1"/>
  <c r="E209" i="1"/>
  <c r="U153" i="1"/>
  <c r="U79" i="1" s="1"/>
  <c r="M230" i="1"/>
  <c r="H153" i="1"/>
  <c r="H79" i="1" s="1"/>
  <c r="H230" i="1"/>
  <c r="X82" i="1"/>
  <c r="BH205" i="1"/>
  <c r="BH181" i="1"/>
  <c r="BH189" i="1" s="1"/>
  <c r="BW212" i="1"/>
  <c r="BC212" i="1"/>
  <c r="BX249" i="1"/>
  <c r="BC249" i="1"/>
  <c r="BO36" i="1"/>
  <c r="BP36" i="1"/>
  <c r="M153" i="1"/>
  <c r="M79" i="1" s="1"/>
  <c r="U199" i="1"/>
  <c r="H61" i="1"/>
  <c r="BZ268" i="1"/>
  <c r="BI57" i="1"/>
  <c r="BP249" i="1"/>
  <c r="BQ249" i="1"/>
  <c r="M61" i="1"/>
  <c r="F273" i="1"/>
  <c r="F275" i="1" s="1"/>
  <c r="E61" i="1"/>
  <c r="E192" i="1"/>
  <c r="E133" i="1" s="1"/>
  <c r="BH153" i="1"/>
  <c r="BV208" i="1"/>
  <c r="BP205" i="1"/>
  <c r="BV272" i="1"/>
  <c r="BH230" i="1"/>
  <c r="E120" i="1"/>
  <c r="E119" i="1"/>
  <c r="AR162" i="1"/>
  <c r="N221" i="1"/>
  <c r="J209" i="1"/>
  <c r="G192" i="1"/>
  <c r="G133" i="1" s="1"/>
  <c r="G135" i="1" s="1"/>
  <c r="G138" i="1" s="1"/>
  <c r="K221" i="1"/>
  <c r="N199" i="1"/>
  <c r="N78" i="1"/>
  <c r="N272" i="1"/>
  <c r="N116" i="1"/>
  <c r="S273" i="1"/>
  <c r="S275" i="1" s="1"/>
  <c r="AS57" i="1"/>
  <c r="N181" i="1"/>
  <c r="R273" i="1"/>
  <c r="R275" i="1" s="1"/>
  <c r="H273" i="1"/>
  <c r="H275" i="1" s="1"/>
  <c r="BT208" i="1"/>
  <c r="BR273" i="1"/>
  <c r="S230" i="1"/>
  <c r="D273" i="1"/>
  <c r="D275" i="1" s="1"/>
  <c r="N231" i="1"/>
  <c r="R153" i="1"/>
  <c r="D230" i="1"/>
  <c r="E230" i="1"/>
  <c r="AR205" i="1"/>
  <c r="AW226" i="1"/>
  <c r="W227" i="1"/>
  <c r="W225" i="1" s="1"/>
  <c r="BV226" i="1"/>
  <c r="BU226" i="1"/>
  <c r="J118" i="1"/>
  <c r="J119" i="1"/>
  <c r="J120" i="1"/>
  <c r="D93" i="1"/>
  <c r="D92" i="1"/>
  <c r="AR226" i="1"/>
  <c r="AQ226" i="1"/>
  <c r="BB192" i="1"/>
  <c r="AV192" i="1"/>
  <c r="Q119" i="1"/>
  <c r="Q120" i="1"/>
  <c r="Q118" i="1"/>
  <c r="C208" i="1"/>
  <c r="U134" i="1"/>
  <c r="U137" i="1" s="1"/>
  <c r="U135" i="1"/>
  <c r="U138" i="1" s="1"/>
  <c r="BS57" i="1"/>
  <c r="BS158" i="1"/>
  <c r="BR162" i="1"/>
  <c r="L135" i="1"/>
  <c r="L138" i="1" s="1"/>
  <c r="L134" i="1"/>
  <c r="L137" i="1" s="1"/>
  <c r="V268" i="1"/>
  <c r="V270" i="1"/>
  <c r="AQ273" i="1"/>
  <c r="AN116" i="1"/>
  <c r="AN119" i="1" s="1"/>
  <c r="AN272" i="1"/>
  <c r="AV273" i="1"/>
  <c r="O270" i="1"/>
  <c r="AR230" i="1"/>
  <c r="AR273" i="1"/>
  <c r="AO158" i="1"/>
  <c r="AO57" i="1"/>
  <c r="AN162" i="1"/>
  <c r="AN270" i="1" s="1"/>
  <c r="BC57" i="1"/>
  <c r="BB162" i="1"/>
  <c r="BC158" i="1"/>
  <c r="Q208" i="1"/>
  <c r="AV230" i="1"/>
  <c r="BT153" i="1"/>
  <c r="BN192" i="1"/>
  <c r="BN153" i="1"/>
  <c r="BC230" i="1"/>
  <c r="BC273" i="1"/>
  <c r="O268" i="1"/>
  <c r="BB153" i="1"/>
  <c r="AT272" i="1"/>
  <c r="AS230" i="1"/>
  <c r="AS273" i="1"/>
  <c r="AR192" i="1"/>
  <c r="AS61" i="1" s="1"/>
  <c r="AR153" i="1"/>
  <c r="AR116" i="1"/>
  <c r="AX116" i="1"/>
  <c r="AX272" i="1"/>
  <c r="BU57" i="1"/>
  <c r="BT162" i="1"/>
  <c r="BU158" i="1"/>
  <c r="BG158" i="1"/>
  <c r="BG57" i="1"/>
  <c r="BF162" i="1"/>
  <c r="AW57" i="1"/>
  <c r="AV162" i="1"/>
  <c r="AW158" i="1"/>
  <c r="BE57" i="1"/>
  <c r="BE158" i="1"/>
  <c r="BD162" i="1"/>
  <c r="AQ158" i="1"/>
  <c r="AP162" i="1"/>
  <c r="AQ57" i="1"/>
  <c r="AT206" i="1"/>
  <c r="AT181" i="1"/>
  <c r="BB119" i="1"/>
  <c r="BB120" i="1"/>
  <c r="BB118" i="1"/>
  <c r="AO273" i="1"/>
  <c r="AO230" i="1"/>
  <c r="AN273" i="1"/>
  <c r="AN230" i="1"/>
  <c r="AN153" i="1"/>
  <c r="AN192" i="1"/>
  <c r="BN162" i="1"/>
  <c r="BO158" i="1"/>
  <c r="BO57" i="1"/>
  <c r="AY158" i="1"/>
  <c r="AX162" i="1"/>
  <c r="AY57" i="1"/>
  <c r="AR209" i="1"/>
  <c r="AR181" i="1"/>
  <c r="BN272" i="1"/>
  <c r="BN116" i="1"/>
  <c r="BF230" i="1"/>
  <c r="BF192" i="1"/>
  <c r="BP273" i="1"/>
  <c r="BP230" i="1"/>
  <c r="BP192" i="1"/>
  <c r="BR153" i="1"/>
  <c r="BS273" i="1"/>
  <c r="BS230" i="1"/>
  <c r="BR192" i="1"/>
  <c r="BA158" i="1"/>
  <c r="BA57" i="1"/>
  <c r="AZ162" i="1"/>
  <c r="BQ57" i="1"/>
  <c r="BP162" i="1"/>
  <c r="BQ158" i="1"/>
  <c r="BC233" i="1"/>
  <c r="BB272" i="1"/>
  <c r="AR272" i="1"/>
  <c r="AX230" i="1"/>
  <c r="AX192" i="1"/>
  <c r="AX153" i="1"/>
  <c r="AX273" i="1"/>
  <c r="BO226" i="1"/>
  <c r="BP226" i="1"/>
  <c r="AT162" i="1"/>
  <c r="AU57" i="1"/>
  <c r="AU158" i="1"/>
  <c r="BD116" i="1"/>
  <c r="BD272" i="1"/>
  <c r="BO230" i="1"/>
  <c r="BO273" i="1"/>
  <c r="BN273" i="1"/>
  <c r="BN230" i="1"/>
  <c r="AW273" i="1"/>
  <c r="AW230" i="1"/>
  <c r="AN206" i="1"/>
  <c r="AN181" i="1"/>
  <c r="BT226" i="1"/>
  <c r="BS226" i="1"/>
  <c r="BV273" i="1"/>
  <c r="BU273" i="1"/>
  <c r="BU230" i="1"/>
  <c r="BV230" i="1"/>
  <c r="BT192" i="1"/>
  <c r="BT273" i="1"/>
  <c r="BT230" i="1"/>
  <c r="AP226" i="1"/>
  <c r="AO226" i="1"/>
  <c r="AZ192" i="1"/>
  <c r="AZ273" i="1"/>
  <c r="AZ153" i="1"/>
  <c r="AZ230" i="1"/>
  <c r="AN208" i="1"/>
  <c r="AT153" i="1"/>
  <c r="AT273" i="1"/>
  <c r="AT230" i="1"/>
  <c r="AT192" i="1"/>
  <c r="BD230" i="1"/>
  <c r="BD153" i="1"/>
  <c r="BE273" i="1"/>
  <c r="BE230" i="1"/>
  <c r="BD192" i="1"/>
  <c r="BD273" i="1"/>
  <c r="AV116" i="1"/>
  <c r="AV272" i="1"/>
  <c r="AQ230" i="1"/>
  <c r="AP230" i="1"/>
  <c r="AP273" i="1"/>
  <c r="BG273" i="1"/>
  <c r="BH273" i="1"/>
  <c r="BB230" i="1"/>
  <c r="BA273" i="1"/>
  <c r="BB273" i="1"/>
  <c r="BA230" i="1"/>
  <c r="AU230" i="1"/>
  <c r="AU273" i="1"/>
  <c r="BP210" i="1"/>
  <c r="BP213" i="1" s="1"/>
  <c r="BR230" i="1"/>
  <c r="AY230" i="1"/>
  <c r="AY273" i="1"/>
  <c r="AZ116" i="1"/>
  <c r="AZ272" i="1"/>
  <c r="BS233" i="1"/>
  <c r="BR272" i="1"/>
  <c r="BT116" i="1"/>
  <c r="BT272" i="1"/>
  <c r="BF273" i="1"/>
  <c r="BF153" i="1"/>
  <c r="AP153" i="1"/>
  <c r="AP119" i="1"/>
  <c r="AP118" i="1"/>
  <c r="AP120" i="1"/>
  <c r="AP209" i="1"/>
  <c r="AP181" i="1"/>
  <c r="BF116" i="1"/>
  <c r="BF272" i="1"/>
  <c r="BP120" i="1"/>
  <c r="AV153" i="1"/>
  <c r="BQ273" i="1"/>
  <c r="BP272" i="1"/>
  <c r="BP153" i="1"/>
  <c r="BP181" i="1"/>
  <c r="BG230" i="1"/>
  <c r="BQ230" i="1"/>
  <c r="BP119" i="1"/>
  <c r="AV206" i="1"/>
  <c r="AV210" i="1" s="1"/>
  <c r="AV181" i="1"/>
  <c r="BB206" i="1"/>
  <c r="BB181" i="1"/>
  <c r="BD206" i="1"/>
  <c r="BD181" i="1"/>
  <c r="AX206" i="1"/>
  <c r="AX181" i="1"/>
  <c r="BF206" i="1"/>
  <c r="BF181" i="1"/>
  <c r="BT206" i="1"/>
  <c r="BT181" i="1"/>
  <c r="BR206" i="1"/>
  <c r="BR210" i="1" s="1"/>
  <c r="BR181" i="1"/>
  <c r="BN206" i="1"/>
  <c r="BN181" i="1"/>
  <c r="AZ206" i="1"/>
  <c r="AZ181" i="1"/>
  <c r="AY52" i="1"/>
  <c r="AY41" i="1"/>
  <c r="AZ43" i="1"/>
  <c r="BU52" i="1"/>
  <c r="BY42" i="1"/>
  <c r="BU41" i="1"/>
  <c r="AS162" i="1"/>
  <c r="AT57" i="1"/>
  <c r="AS41" i="1"/>
  <c r="AS52" i="1"/>
  <c r="AT43" i="1"/>
  <c r="AW42" i="1"/>
  <c r="BI42" i="1"/>
  <c r="BI41" i="1"/>
  <c r="BM42" i="1"/>
  <c r="BI52" i="1"/>
  <c r="BJ43" i="1"/>
  <c r="BN208" i="1"/>
  <c r="BM41" i="1"/>
  <c r="BM52" i="1"/>
  <c r="BM43" i="1"/>
  <c r="BE52" i="1"/>
  <c r="BE41" i="1"/>
  <c r="BC43" i="1"/>
  <c r="BT43" i="1"/>
  <c r="AU42" i="1"/>
  <c r="AJ43" i="1"/>
  <c r="AI41" i="1"/>
  <c r="AM42" i="1"/>
  <c r="AI52" i="1"/>
  <c r="N83" i="1"/>
  <c r="AU43" i="1"/>
  <c r="AU52" i="1"/>
  <c r="AY42" i="1"/>
  <c r="AU41" i="1"/>
  <c r="BS52" i="1"/>
  <c r="BS41" i="1"/>
  <c r="BC52" i="1"/>
  <c r="BC41" i="1"/>
  <c r="BC42" i="1"/>
  <c r="AT119" i="1"/>
  <c r="AT120" i="1"/>
  <c r="AT118" i="1"/>
  <c r="BN42" i="1"/>
  <c r="BN52" i="1"/>
  <c r="BN41" i="1"/>
  <c r="BN43" i="1"/>
  <c r="BG42" i="1"/>
  <c r="BG41" i="1"/>
  <c r="BG52" i="1"/>
  <c r="AN52" i="1"/>
  <c r="AO43" i="1"/>
  <c r="AN42" i="1"/>
  <c r="AN43" i="1"/>
  <c r="AN41" i="1"/>
  <c r="BU43" i="1"/>
  <c r="BT52" i="1"/>
  <c r="BX42" i="1"/>
  <c r="BT41" i="1"/>
  <c r="BR120" i="1"/>
  <c r="BR118" i="1"/>
  <c r="BR119" i="1"/>
  <c r="AO42" i="1"/>
  <c r="AO52" i="1"/>
  <c r="AO41" i="1"/>
  <c r="AS42" i="1"/>
  <c r="BH270" i="1"/>
  <c r="BH268" i="1"/>
  <c r="AQ52" i="1"/>
  <c r="AQ42" i="1"/>
  <c r="AQ41" i="1"/>
  <c r="BB41" i="1"/>
  <c r="BB52" i="1"/>
  <c r="CR218" i="1"/>
  <c r="CR156" i="1"/>
  <c r="CQ227" i="1"/>
  <c r="CQ225" i="1" s="1"/>
  <c r="AB230" i="1"/>
  <c r="DB87" i="1"/>
  <c r="DA89" i="1"/>
  <c r="C222" i="1" l="1"/>
  <c r="C223" i="1" s="1"/>
  <c r="I229" i="1"/>
  <c r="C134" i="1"/>
  <c r="C137" i="1" s="1"/>
  <c r="BH119" i="1"/>
  <c r="BH118" i="1"/>
  <c r="U222" i="1"/>
  <c r="U223" i="1" s="1"/>
  <c r="BA42" i="1"/>
  <c r="C135" i="1"/>
  <c r="C138" i="1" s="1"/>
  <c r="B189" i="1"/>
  <c r="L222" i="1"/>
  <c r="L223" i="1" s="1"/>
  <c r="I134" i="1"/>
  <c r="I137" i="1" s="1"/>
  <c r="C229" i="1"/>
  <c r="BH120" i="1"/>
  <c r="F229" i="1"/>
  <c r="AQ233" i="1"/>
  <c r="R229" i="1"/>
  <c r="AP272" i="1"/>
  <c r="AP192" i="1"/>
  <c r="HT21" i="4"/>
  <c r="AN101" i="1" s="1"/>
  <c r="AN126" i="1" s="1"/>
  <c r="IW16" i="4"/>
  <c r="J229" i="1"/>
  <c r="F189" i="1"/>
  <c r="T222" i="1"/>
  <c r="T223" i="1" s="1"/>
  <c r="G189" i="1"/>
  <c r="C189" i="1"/>
  <c r="C190" i="1" s="1"/>
  <c r="V222" i="1"/>
  <c r="V223" i="1" s="1"/>
  <c r="O229" i="1"/>
  <c r="N189" i="1"/>
  <c r="H120" i="1"/>
  <c r="H119" i="1"/>
  <c r="F222" i="1"/>
  <c r="F223" i="1" s="1"/>
  <c r="R134" i="1"/>
  <c r="R137" i="1" s="1"/>
  <c r="T118" i="1"/>
  <c r="T119" i="1"/>
  <c r="T120" i="1"/>
  <c r="N270" i="1"/>
  <c r="N268" i="1"/>
  <c r="V134" i="1"/>
  <c r="V137" i="1" s="1"/>
  <c r="V135" i="1"/>
  <c r="V138" i="1" s="1"/>
  <c r="I119" i="1"/>
  <c r="I120" i="1"/>
  <c r="I118" i="1"/>
  <c r="J208" i="1"/>
  <c r="M135" i="1"/>
  <c r="M138" i="1" s="1"/>
  <c r="M134" i="1"/>
  <c r="M137" i="1" s="1"/>
  <c r="E208" i="1"/>
  <c r="E210" i="1"/>
  <c r="O227" i="1"/>
  <c r="O225" i="1" s="1"/>
  <c r="O210" i="1"/>
  <c r="O208" i="1"/>
  <c r="AR270" i="1"/>
  <c r="AR189" i="1"/>
  <c r="AR268" i="1"/>
  <c r="BK41" i="1"/>
  <c r="BK52" i="1"/>
  <c r="BK43" i="1"/>
  <c r="AM231" i="1"/>
  <c r="AM229" i="1" s="1"/>
  <c r="AM116" i="1"/>
  <c r="AM110" i="1"/>
  <c r="AM111" i="1"/>
  <c r="BV133" i="1"/>
  <c r="AZ53" i="1"/>
  <c r="AZ256" i="1"/>
  <c r="AZ257" i="1" s="1"/>
  <c r="BK42" i="1"/>
  <c r="BL43" i="1"/>
  <c r="AM78" i="1"/>
  <c r="AM79" i="1"/>
  <c r="AM109" i="1"/>
  <c r="BW61" i="1"/>
  <c r="AZ58" i="1"/>
  <c r="AZ62" i="1" s="1"/>
  <c r="U83" i="1"/>
  <c r="BQ41" i="1"/>
  <c r="BU42" i="1"/>
  <c r="BQ58" i="1"/>
  <c r="BQ62" i="1" s="1"/>
  <c r="BQ25" i="1" s="1"/>
  <c r="BQ53" i="1"/>
  <c r="BQ256" i="1"/>
  <c r="BQ257" i="1" s="1"/>
  <c r="BQ42" i="1"/>
  <c r="BH133" i="1"/>
  <c r="BI61" i="1"/>
  <c r="BW162" i="1"/>
  <c r="BX57" i="1"/>
  <c r="BV268" i="1"/>
  <c r="BV270" i="1"/>
  <c r="V190" i="1"/>
  <c r="K189" i="1"/>
  <c r="B135" i="1"/>
  <c r="B138" i="1" s="1"/>
  <c r="L189" i="1"/>
  <c r="L190" i="1" s="1"/>
  <c r="T229" i="1"/>
  <c r="AR42" i="1"/>
  <c r="O83" i="1"/>
  <c r="P83" i="1"/>
  <c r="AR43" i="1"/>
  <c r="BI162" i="1"/>
  <c r="BJ227" i="1" s="1"/>
  <c r="BJ225" i="1" s="1"/>
  <c r="R83" i="1"/>
  <c r="BB43" i="1"/>
  <c r="P189" i="1"/>
  <c r="P190" i="1" s="1"/>
  <c r="D222" i="1"/>
  <c r="D223" i="1" s="1"/>
  <c r="L227" i="1"/>
  <c r="L225" i="1" s="1"/>
  <c r="L237" i="1" s="1"/>
  <c r="E227" i="1"/>
  <c r="E225" i="1" s="1"/>
  <c r="S222" i="1"/>
  <c r="S223" i="1" s="1"/>
  <c r="O222" i="1"/>
  <c r="O223" i="1" s="1"/>
  <c r="L229" i="1"/>
  <c r="L234" i="1" s="1"/>
  <c r="L235" i="1" s="1"/>
  <c r="I222" i="1"/>
  <c r="I223" i="1" s="1"/>
  <c r="K229" i="1"/>
  <c r="M222" i="1"/>
  <c r="M223" i="1" s="1"/>
  <c r="M229" i="1"/>
  <c r="K222" i="1"/>
  <c r="K223" i="1" s="1"/>
  <c r="S229" i="1"/>
  <c r="E229" i="1"/>
  <c r="BV213" i="1"/>
  <c r="S189" i="1"/>
  <c r="S190" i="1" s="1"/>
  <c r="G229" i="1"/>
  <c r="G222" i="1"/>
  <c r="G223" i="1" s="1"/>
  <c r="I270" i="1"/>
  <c r="I189" i="1"/>
  <c r="I190" i="1" s="1"/>
  <c r="I268" i="1"/>
  <c r="L205" i="1"/>
  <c r="L210" i="1"/>
  <c r="N134" i="1"/>
  <c r="N137" i="1" s="1"/>
  <c r="N135" i="1"/>
  <c r="N138" i="1" s="1"/>
  <c r="G268" i="1"/>
  <c r="G270" i="1"/>
  <c r="F270" i="1"/>
  <c r="F268" i="1"/>
  <c r="G227" i="1"/>
  <c r="G225" i="1" s="1"/>
  <c r="L268" i="1"/>
  <c r="L270" i="1"/>
  <c r="M227" i="1"/>
  <c r="M225" i="1" s="1"/>
  <c r="J134" i="1"/>
  <c r="J137" i="1" s="1"/>
  <c r="J135" i="1"/>
  <c r="J138" i="1" s="1"/>
  <c r="C93" i="1"/>
  <c r="C92" i="1"/>
  <c r="M189" i="1"/>
  <c r="M190" i="1" s="1"/>
  <c r="N227" i="1"/>
  <c r="N225" i="1" s="1"/>
  <c r="M270" i="1"/>
  <c r="M268" i="1"/>
  <c r="BD43" i="1"/>
  <c r="BD41" i="1"/>
  <c r="BE43" i="1"/>
  <c r="BD52" i="1"/>
  <c r="BD54" i="1" s="1"/>
  <c r="BD42" i="1"/>
  <c r="N205" i="1"/>
  <c r="N210" i="1"/>
  <c r="K270" i="1"/>
  <c r="K268" i="1"/>
  <c r="H205" i="1"/>
  <c r="H210" i="1"/>
  <c r="C205" i="1"/>
  <c r="C210" i="1"/>
  <c r="J205" i="1"/>
  <c r="J210" i="1"/>
  <c r="B210" i="1"/>
  <c r="B205" i="1"/>
  <c r="BP43" i="1"/>
  <c r="BT42" i="1"/>
  <c r="Q134" i="1"/>
  <c r="Q137" i="1" s="1"/>
  <c r="Q135" i="1"/>
  <c r="Q138" i="1" s="1"/>
  <c r="O134" i="1"/>
  <c r="O137" i="1" s="1"/>
  <c r="O135" i="1"/>
  <c r="O138" i="1" s="1"/>
  <c r="P135" i="1"/>
  <c r="P138" i="1" s="1"/>
  <c r="P134" i="1"/>
  <c r="P137" i="1" s="1"/>
  <c r="P205" i="1"/>
  <c r="P210" i="1"/>
  <c r="H134" i="1"/>
  <c r="H137" i="1" s="1"/>
  <c r="H135" i="1"/>
  <c r="H138" i="1" s="1"/>
  <c r="X83" i="1"/>
  <c r="BW41" i="1"/>
  <c r="BW42" i="1"/>
  <c r="CA42" i="1"/>
  <c r="BX43" i="1"/>
  <c r="BW52" i="1"/>
  <c r="U229" i="1"/>
  <c r="BV189" i="1"/>
  <c r="F118" i="1"/>
  <c r="F119" i="1"/>
  <c r="F120" i="1"/>
  <c r="K119" i="1"/>
  <c r="K120" i="1"/>
  <c r="K118" i="1"/>
  <c r="BV43" i="1"/>
  <c r="BW43" i="1"/>
  <c r="BV52" i="1"/>
  <c r="U119" i="1"/>
  <c r="U120" i="1"/>
  <c r="U118" i="1"/>
  <c r="U205" i="1"/>
  <c r="U210" i="1"/>
  <c r="S119" i="1"/>
  <c r="S118" i="1"/>
  <c r="S120" i="1"/>
  <c r="BV118" i="1"/>
  <c r="BV119" i="1"/>
  <c r="BV120" i="1"/>
  <c r="BV41" i="1"/>
  <c r="BZ42" i="1"/>
  <c r="BE42" i="1"/>
  <c r="BA52" i="1"/>
  <c r="BA41" i="1"/>
  <c r="H189" i="1"/>
  <c r="H190" i="1" s="1"/>
  <c r="E222" i="1"/>
  <c r="E223" i="1" s="1"/>
  <c r="E189" i="1"/>
  <c r="E190" i="1" s="1"/>
  <c r="BV190" i="1"/>
  <c r="R222" i="1"/>
  <c r="R223" i="1" s="1"/>
  <c r="Q229" i="1"/>
  <c r="P229" i="1"/>
  <c r="D189" i="1"/>
  <c r="J222" i="1"/>
  <c r="J223" i="1" s="1"/>
  <c r="V229" i="1"/>
  <c r="H229" i="1"/>
  <c r="N222" i="1"/>
  <c r="N223" i="1" s="1"/>
  <c r="N237" i="1" s="1"/>
  <c r="D229" i="1"/>
  <c r="O190" i="1"/>
  <c r="R119" i="1"/>
  <c r="R120" i="1"/>
  <c r="R118" i="1"/>
  <c r="K210" i="1"/>
  <c r="K208" i="1"/>
  <c r="M118" i="1"/>
  <c r="M119" i="1"/>
  <c r="F205" i="1"/>
  <c r="F210" i="1"/>
  <c r="G120" i="1"/>
  <c r="G119" i="1"/>
  <c r="G118" i="1"/>
  <c r="P227" i="1"/>
  <c r="P225" i="1" s="1"/>
  <c r="P237" i="1" s="1"/>
  <c r="P268" i="1"/>
  <c r="Q227" i="1"/>
  <c r="Q225" i="1" s="1"/>
  <c r="Q237" i="1" s="1"/>
  <c r="S210" i="1"/>
  <c r="S205" i="1"/>
  <c r="Q205" i="1"/>
  <c r="Q210" i="1"/>
  <c r="G210" i="1"/>
  <c r="G213" i="1" s="1"/>
  <c r="G214" i="1" s="1"/>
  <c r="G208" i="1"/>
  <c r="E268" i="1"/>
  <c r="E270" i="1"/>
  <c r="F227" i="1"/>
  <c r="F225" i="1" s="1"/>
  <c r="T205" i="1"/>
  <c r="T210" i="1"/>
  <c r="T213" i="1" s="1"/>
  <c r="T214" i="1" s="1"/>
  <c r="AP43" i="1"/>
  <c r="AT42" i="1"/>
  <c r="AP52" i="1"/>
  <c r="AP42" i="1"/>
  <c r="AP41" i="1"/>
  <c r="AQ43" i="1"/>
  <c r="AR52" i="1"/>
  <c r="AR58" i="1" s="1"/>
  <c r="AR62" i="1" s="1"/>
  <c r="AS43" i="1"/>
  <c r="AR41" i="1"/>
  <c r="BB42" i="1"/>
  <c r="AX52" i="1"/>
  <c r="AX42" i="1"/>
  <c r="AX43" i="1"/>
  <c r="AX41" i="1"/>
  <c r="AT256" i="1"/>
  <c r="AT257" i="1" s="1"/>
  <c r="AT53" i="1"/>
  <c r="AT58" i="1"/>
  <c r="AT62" i="1" s="1"/>
  <c r="C227" i="1"/>
  <c r="C225" i="1" s="1"/>
  <c r="D227" i="1"/>
  <c r="D225" i="1" s="1"/>
  <c r="Q83" i="1"/>
  <c r="AZ42" i="1"/>
  <c r="AV42" i="1"/>
  <c r="AW43" i="1"/>
  <c r="AV41" i="1"/>
  <c r="AV52" i="1"/>
  <c r="AV43" i="1"/>
  <c r="AW58" i="1"/>
  <c r="AW62" i="1" s="1"/>
  <c r="AW53" i="1"/>
  <c r="AW256" i="1"/>
  <c r="AW257" i="1" s="1"/>
  <c r="U268" i="1"/>
  <c r="U270" i="1"/>
  <c r="U227" i="1"/>
  <c r="U225" i="1" s="1"/>
  <c r="U237" i="1" s="1"/>
  <c r="U189" i="1"/>
  <c r="U190" i="1" s="1"/>
  <c r="V227" i="1"/>
  <c r="V225" i="1" s="1"/>
  <c r="K227" i="1"/>
  <c r="K225" i="1" s="1"/>
  <c r="J268" i="1"/>
  <c r="J227" i="1"/>
  <c r="J225" i="1" s="1"/>
  <c r="J270" i="1"/>
  <c r="J189" i="1"/>
  <c r="J190" i="1" s="1"/>
  <c r="Q268" i="1"/>
  <c r="Q189" i="1"/>
  <c r="Q190" i="1" s="1"/>
  <c r="R227" i="1"/>
  <c r="R225" i="1" s="1"/>
  <c r="Q270" i="1"/>
  <c r="T227" i="1"/>
  <c r="T225" i="1" s="1"/>
  <c r="S270" i="1"/>
  <c r="S268" i="1"/>
  <c r="S227" i="1"/>
  <c r="S225" i="1" s="1"/>
  <c r="D208" i="1"/>
  <c r="D210" i="1"/>
  <c r="BP42" i="1"/>
  <c r="BQ43" i="1"/>
  <c r="BP41" i="1"/>
  <c r="BP52" i="1"/>
  <c r="I208" i="1"/>
  <c r="I210" i="1"/>
  <c r="I213" i="1" s="1"/>
  <c r="I214" i="1" s="1"/>
  <c r="S135" i="1"/>
  <c r="S138" i="1" s="1"/>
  <c r="S134" i="1"/>
  <c r="S137" i="1" s="1"/>
  <c r="B92" i="1"/>
  <c r="B93" i="1"/>
  <c r="BF52" i="1"/>
  <c r="S83" i="1"/>
  <c r="BG43" i="1"/>
  <c r="BF41" i="1"/>
  <c r="BJ42" i="1"/>
  <c r="BF43" i="1"/>
  <c r="K134" i="1"/>
  <c r="K137" i="1" s="1"/>
  <c r="K135" i="1"/>
  <c r="K138" i="1" s="1"/>
  <c r="BH52" i="1"/>
  <c r="BH41" i="1"/>
  <c r="BL42" i="1"/>
  <c r="BH42" i="1"/>
  <c r="BH43" i="1"/>
  <c r="T83" i="1"/>
  <c r="BI43" i="1"/>
  <c r="BJ64" i="1"/>
  <c r="BJ65" i="1"/>
  <c r="BV42" i="1"/>
  <c r="BR42" i="1"/>
  <c r="BR43" i="1"/>
  <c r="BR41" i="1"/>
  <c r="E134" i="1"/>
  <c r="E137" i="1" s="1"/>
  <c r="E135" i="1"/>
  <c r="E138" i="1" s="1"/>
  <c r="R79" i="1"/>
  <c r="R190" i="1"/>
  <c r="DB89" i="1"/>
  <c r="AE87" i="1"/>
  <c r="AE89" i="1" s="1"/>
  <c r="L119" i="1"/>
  <c r="D135" i="1"/>
  <c r="D138" i="1" s="1"/>
  <c r="BR52" i="1"/>
  <c r="BS43" i="1"/>
  <c r="M208" i="1"/>
  <c r="V210" i="1"/>
  <c r="V120" i="1"/>
  <c r="P119" i="1"/>
  <c r="H227" i="1"/>
  <c r="H225" i="1" s="1"/>
  <c r="H237" i="1" s="1"/>
  <c r="T135" i="1"/>
  <c r="T138" i="1" s="1"/>
  <c r="V118" i="1"/>
  <c r="P118" i="1"/>
  <c r="T190" i="1"/>
  <c r="N229" i="1"/>
  <c r="BH190" i="1"/>
  <c r="H268" i="1"/>
  <c r="F134" i="1"/>
  <c r="F137" i="1" s="1"/>
  <c r="O119" i="1"/>
  <c r="O118" i="1"/>
  <c r="O120" i="1"/>
  <c r="I227" i="1"/>
  <c r="I225" i="1" s="1"/>
  <c r="H270" i="1"/>
  <c r="BO41" i="1"/>
  <c r="BO43" i="1"/>
  <c r="BO42" i="1"/>
  <c r="L120" i="1"/>
  <c r="BS42" i="1"/>
  <c r="R210" i="1"/>
  <c r="V83" i="1"/>
  <c r="G134" i="1"/>
  <c r="G137" i="1" s="1"/>
  <c r="N119" i="1"/>
  <c r="N120" i="1"/>
  <c r="N118" i="1"/>
  <c r="B268" i="1"/>
  <c r="B190" i="1"/>
  <c r="AW61" i="1"/>
  <c r="AV133" i="1"/>
  <c r="BS162" i="1"/>
  <c r="BT57" i="1"/>
  <c r="BR270" i="1"/>
  <c r="BR268" i="1"/>
  <c r="AP57" i="1"/>
  <c r="AO162" i="1"/>
  <c r="AN120" i="1"/>
  <c r="BR189" i="1"/>
  <c r="BR190" i="1" s="1"/>
  <c r="BB133" i="1"/>
  <c r="BC61" i="1"/>
  <c r="D109" i="1"/>
  <c r="D110" i="1"/>
  <c r="D111" i="1"/>
  <c r="C113" i="1"/>
  <c r="E94" i="1"/>
  <c r="AN189" i="1"/>
  <c r="AN190" i="1" s="1"/>
  <c r="BP189" i="1"/>
  <c r="BP190" i="1" s="1"/>
  <c r="BN133" i="1"/>
  <c r="BO61" i="1"/>
  <c r="AZ57" i="1"/>
  <c r="AY162" i="1"/>
  <c r="BN227" i="1"/>
  <c r="BN225" i="1" s="1"/>
  <c r="BN270" i="1"/>
  <c r="BN268" i="1"/>
  <c r="BN120" i="1"/>
  <c r="BN119" i="1"/>
  <c r="BN118" i="1"/>
  <c r="BP133" i="1"/>
  <c r="BQ61" i="1"/>
  <c r="BB189" i="1"/>
  <c r="BB190" i="1" s="1"/>
  <c r="BF189" i="1"/>
  <c r="BF190" i="1" s="1"/>
  <c r="BT189" i="1"/>
  <c r="BT190" i="1" s="1"/>
  <c r="BF270" i="1"/>
  <c r="BF268" i="1"/>
  <c r="AP270" i="1"/>
  <c r="AP268" i="1"/>
  <c r="BG61" i="1"/>
  <c r="BF133" i="1"/>
  <c r="BD57" i="1"/>
  <c r="BC162" i="1"/>
  <c r="BN189" i="1"/>
  <c r="BN190" i="1" s="1"/>
  <c r="AZ189" i="1"/>
  <c r="AZ190" i="1" s="1"/>
  <c r="AN268" i="1"/>
  <c r="AN227" i="1"/>
  <c r="AN225" i="1" s="1"/>
  <c r="BT270" i="1"/>
  <c r="BT268" i="1"/>
  <c r="AW162" i="1"/>
  <c r="AX57" i="1"/>
  <c r="BS61" i="1"/>
  <c r="BR133" i="1"/>
  <c r="BA162" i="1"/>
  <c r="BB57" i="1"/>
  <c r="AZ268" i="1"/>
  <c r="AZ270" i="1"/>
  <c r="BR57" i="1"/>
  <c r="BQ162" i="1"/>
  <c r="AN205" i="1"/>
  <c r="AN210" i="1"/>
  <c r="BB270" i="1"/>
  <c r="BB268" i="1"/>
  <c r="BG162" i="1"/>
  <c r="BH57" i="1"/>
  <c r="AV268" i="1"/>
  <c r="AV270" i="1"/>
  <c r="BE162" i="1"/>
  <c r="BF57" i="1"/>
  <c r="BD268" i="1"/>
  <c r="BD270" i="1"/>
  <c r="AX270" i="1"/>
  <c r="AX268" i="1"/>
  <c r="AU61" i="1"/>
  <c r="AT133" i="1"/>
  <c r="AP189" i="1"/>
  <c r="AP190" i="1" s="1"/>
  <c r="BD189" i="1"/>
  <c r="BD190" i="1" s="1"/>
  <c r="AR118" i="1"/>
  <c r="AR120" i="1"/>
  <c r="AR119" i="1"/>
  <c r="AX120" i="1"/>
  <c r="AX119" i="1"/>
  <c r="AX118" i="1"/>
  <c r="BV57" i="1"/>
  <c r="BU162" i="1"/>
  <c r="AQ162" i="1"/>
  <c r="AR57" i="1"/>
  <c r="AT210" i="1"/>
  <c r="AT205" i="1"/>
  <c r="AO61" i="1"/>
  <c r="AN133" i="1"/>
  <c r="AR210" i="1"/>
  <c r="AR208" i="1"/>
  <c r="AV57" i="1"/>
  <c r="AU162" i="1"/>
  <c r="BD119" i="1"/>
  <c r="BD118" i="1"/>
  <c r="BD120" i="1"/>
  <c r="BU61" i="1"/>
  <c r="BT133" i="1"/>
  <c r="BE61" i="1"/>
  <c r="BD133" i="1"/>
  <c r="AV120" i="1"/>
  <c r="AV118" i="1"/>
  <c r="AV119" i="1"/>
  <c r="AV189" i="1"/>
  <c r="AV190" i="1" s="1"/>
  <c r="AX189" i="1"/>
  <c r="AX190" i="1" s="1"/>
  <c r="BP57" i="1"/>
  <c r="BO162" i="1"/>
  <c r="BP270" i="1"/>
  <c r="BP268" i="1"/>
  <c r="AY61" i="1"/>
  <c r="AX133" i="1"/>
  <c r="AT189" i="1"/>
  <c r="AT190" i="1" s="1"/>
  <c r="AT270" i="1"/>
  <c r="AT268" i="1"/>
  <c r="AP133" i="1"/>
  <c r="AQ61" i="1"/>
  <c r="AZ133" i="1"/>
  <c r="BA61" i="1"/>
  <c r="N213" i="1"/>
  <c r="N214" i="1" s="1"/>
  <c r="AZ119" i="1"/>
  <c r="AZ120" i="1"/>
  <c r="AZ118" i="1"/>
  <c r="AP210" i="1"/>
  <c r="AP213" i="1" s="1"/>
  <c r="AP208" i="1"/>
  <c r="AX205" i="1"/>
  <c r="AX210" i="1"/>
  <c r="BF205" i="1"/>
  <c r="BF210" i="1"/>
  <c r="BJ213" i="1" s="1"/>
  <c r="BT120" i="1"/>
  <c r="BT119" i="1"/>
  <c r="BT118" i="1"/>
  <c r="BF119" i="1"/>
  <c r="BF120" i="1"/>
  <c r="BF118" i="1"/>
  <c r="AV205" i="1"/>
  <c r="BR205" i="1"/>
  <c r="BN205" i="1"/>
  <c r="BN210" i="1"/>
  <c r="BB210" i="1"/>
  <c r="BB205" i="1"/>
  <c r="BD205" i="1"/>
  <c r="BD210" i="1"/>
  <c r="BT210" i="1"/>
  <c r="BT205" i="1"/>
  <c r="AZ210" i="1"/>
  <c r="AZ213" i="1" s="1"/>
  <c r="AZ205" i="1"/>
  <c r="BL136" i="1"/>
  <c r="BO54" i="1"/>
  <c r="BK54" i="1"/>
  <c r="BX250" i="1"/>
  <c r="BK55" i="1"/>
  <c r="BK53" i="1"/>
  <c r="BL55" i="1"/>
  <c r="BK256" i="1"/>
  <c r="BK257" i="1" s="1"/>
  <c r="BK58" i="1"/>
  <c r="BK62" i="1" s="1"/>
  <c r="BK25" i="1" s="1"/>
  <c r="BK274" i="1"/>
  <c r="BK275" i="1" s="1"/>
  <c r="BL274" i="1"/>
  <c r="BL275" i="1" s="1"/>
  <c r="AM118" i="1"/>
  <c r="AM119" i="1"/>
  <c r="AM120" i="1"/>
  <c r="AY53" i="1"/>
  <c r="AY256" i="1"/>
  <c r="AY257" i="1" s="1"/>
  <c r="AY58" i="1"/>
  <c r="AY62" i="1" s="1"/>
  <c r="AZ274" i="1"/>
  <c r="AZ275" i="1" s="1"/>
  <c r="AZ55" i="1"/>
  <c r="BV274" i="1"/>
  <c r="BV275" i="1" s="1"/>
  <c r="BV55" i="1"/>
  <c r="BM136" i="1"/>
  <c r="BM250" i="1"/>
  <c r="BU54" i="1"/>
  <c r="BU53" i="1"/>
  <c r="BU256" i="1"/>
  <c r="BU257" i="1" s="1"/>
  <c r="BY54" i="1"/>
  <c r="BU58" i="1"/>
  <c r="BU62" i="1" s="1"/>
  <c r="BU25" i="1" s="1"/>
  <c r="U84" i="1"/>
  <c r="AS227" i="1"/>
  <c r="AS225" i="1" s="1"/>
  <c r="AT227" i="1"/>
  <c r="AT225" i="1" s="1"/>
  <c r="AS256" i="1"/>
  <c r="AS257" i="1" s="1"/>
  <c r="AS58" i="1"/>
  <c r="AS62" i="1" s="1"/>
  <c r="AW54" i="1"/>
  <c r="AT55" i="1"/>
  <c r="AS53" i="1"/>
  <c r="AT274" i="1"/>
  <c r="AT275" i="1" s="1"/>
  <c r="BI256" i="1"/>
  <c r="BI257" i="1" s="1"/>
  <c r="BI58" i="1"/>
  <c r="BI53" i="1"/>
  <c r="BJ55" i="1"/>
  <c r="BJ274" i="1"/>
  <c r="BJ275" i="1" s="1"/>
  <c r="BM58" i="1"/>
  <c r="BM62" i="1" s="1"/>
  <c r="BM25" i="1" s="1"/>
  <c r="BM53" i="1"/>
  <c r="BQ54" i="1"/>
  <c r="BM55" i="1"/>
  <c r="BM54" i="1"/>
  <c r="BM256" i="1"/>
  <c r="BM257" i="1" s="1"/>
  <c r="BM274" i="1"/>
  <c r="BM275" i="1" s="1"/>
  <c r="BI54" i="1"/>
  <c r="BE256" i="1"/>
  <c r="BE257" i="1" s="1"/>
  <c r="BE53" i="1"/>
  <c r="BE58" i="1"/>
  <c r="BE62" i="1" s="1"/>
  <c r="BO53" i="1"/>
  <c r="BO58" i="1"/>
  <c r="BO62" i="1" s="1"/>
  <c r="BO25" i="1" s="1"/>
  <c r="BO256" i="1"/>
  <c r="BO257" i="1" s="1"/>
  <c r="BT274" i="1"/>
  <c r="BT275" i="1" s="1"/>
  <c r="BC55" i="1"/>
  <c r="AJ55" i="1"/>
  <c r="AL136" i="1"/>
  <c r="AI53" i="1"/>
  <c r="AM54" i="1"/>
  <c r="AI58" i="1"/>
  <c r="N84" i="1"/>
  <c r="AL250" i="1"/>
  <c r="AI256" i="1"/>
  <c r="AI257" i="1" s="1"/>
  <c r="AU55" i="1"/>
  <c r="AU274" i="1"/>
  <c r="AU275" i="1" s="1"/>
  <c r="AU256" i="1"/>
  <c r="AU257" i="1" s="1"/>
  <c r="AU53" i="1"/>
  <c r="AU58" i="1"/>
  <c r="AU62" i="1" s="1"/>
  <c r="AY54" i="1"/>
  <c r="AU54" i="1"/>
  <c r="BS54" i="1"/>
  <c r="BS58" i="1"/>
  <c r="BS62" i="1" s="1"/>
  <c r="BS25" i="1" s="1"/>
  <c r="BS53" i="1"/>
  <c r="BS256" i="1"/>
  <c r="BS257" i="1" s="1"/>
  <c r="BG54" i="1"/>
  <c r="BC58" i="1"/>
  <c r="BC53" i="1"/>
  <c r="BC256" i="1"/>
  <c r="BC257" i="1" s="1"/>
  <c r="BC54" i="1"/>
  <c r="BT55" i="1"/>
  <c r="BG53" i="1"/>
  <c r="BG58" i="1"/>
  <c r="BG256" i="1"/>
  <c r="BG257" i="1" s="1"/>
  <c r="AN274" i="1"/>
  <c r="AN275" i="1" s="1"/>
  <c r="AN58" i="1"/>
  <c r="AO250" i="1"/>
  <c r="AN55" i="1"/>
  <c r="AN53" i="1"/>
  <c r="AN256" i="1"/>
  <c r="AN257" i="1" s="1"/>
  <c r="AN250" i="1"/>
  <c r="AO136" i="1"/>
  <c r="AN136" i="1"/>
  <c r="AO55" i="1"/>
  <c r="AN54" i="1"/>
  <c r="BN58" i="1"/>
  <c r="BO250" i="1"/>
  <c r="BN53" i="1"/>
  <c r="BO55" i="1"/>
  <c r="BN55" i="1"/>
  <c r="BN256" i="1"/>
  <c r="BN257" i="1" s="1"/>
  <c r="BO274" i="1"/>
  <c r="BO275" i="1" s="1"/>
  <c r="BN274" i="1"/>
  <c r="BN275" i="1" s="1"/>
  <c r="BN54" i="1"/>
  <c r="BO136" i="1"/>
  <c r="BB58" i="1"/>
  <c r="BB256" i="1"/>
  <c r="BB257" i="1" s="1"/>
  <c r="BB53" i="1"/>
  <c r="BC274" i="1"/>
  <c r="BC275" i="1" s="1"/>
  <c r="AQ53" i="1"/>
  <c r="AQ256" i="1"/>
  <c r="AQ257" i="1" s="1"/>
  <c r="AQ58" i="1"/>
  <c r="AQ54" i="1"/>
  <c r="AO256" i="1"/>
  <c r="AO257" i="1" s="1"/>
  <c r="AO58" i="1"/>
  <c r="AO62" i="1" s="1"/>
  <c r="AO64" i="1" s="1"/>
  <c r="AO274" i="1"/>
  <c r="AO275" i="1" s="1"/>
  <c r="AO54" i="1"/>
  <c r="AS54" i="1"/>
  <c r="AO53" i="1"/>
  <c r="BT58" i="1"/>
  <c r="BU274" i="1"/>
  <c r="BU275" i="1" s="1"/>
  <c r="BT53" i="1"/>
  <c r="BX54" i="1"/>
  <c r="BU55" i="1"/>
  <c r="BT256" i="1"/>
  <c r="BT257" i="1" s="1"/>
  <c r="CR158" i="1"/>
  <c r="AE166" i="1"/>
  <c r="AC148" i="1"/>
  <c r="K213" i="1" l="1"/>
  <c r="K214" i="1" s="1"/>
  <c r="BA250" i="1"/>
  <c r="BA54" i="1"/>
  <c r="AS274" i="1"/>
  <c r="AS275" i="1" s="1"/>
  <c r="AS250" i="1"/>
  <c r="AS136" i="1"/>
  <c r="BE54" i="1"/>
  <c r="BD274" i="1"/>
  <c r="BD275" i="1" s="1"/>
  <c r="N190" i="1"/>
  <c r="G190" i="1"/>
  <c r="BL250" i="1"/>
  <c r="Q213" i="1"/>
  <c r="Q214" i="1" s="1"/>
  <c r="V213" i="1"/>
  <c r="V214" i="1" s="1"/>
  <c r="O84" i="1"/>
  <c r="AP55" i="1"/>
  <c r="BE55" i="1"/>
  <c r="BD58" i="1"/>
  <c r="BD62" i="1" s="1"/>
  <c r="BD53" i="1"/>
  <c r="BD256" i="1"/>
  <c r="BD257" i="1" s="1"/>
  <c r="BE274" i="1"/>
  <c r="BE275" i="1" s="1"/>
  <c r="BF55" i="1"/>
  <c r="BP55" i="1"/>
  <c r="BP274" i="1"/>
  <c r="BP275" i="1" s="1"/>
  <c r="AX250" i="1"/>
  <c r="AW250" i="1"/>
  <c r="AU250" i="1"/>
  <c r="AW136" i="1"/>
  <c r="AU136" i="1"/>
  <c r="AV250" i="1"/>
  <c r="AV55" i="1"/>
  <c r="AV274" i="1"/>
  <c r="AV275" i="1" s="1"/>
  <c r="BV134" i="1"/>
  <c r="BV135" i="1"/>
  <c r="BS274" i="1"/>
  <c r="BS275" i="1" s="1"/>
  <c r="BD55" i="1"/>
  <c r="BF136" i="1"/>
  <c r="AZ65" i="1"/>
  <c r="AZ64" i="1"/>
  <c r="BN136" i="1"/>
  <c r="BN250" i="1"/>
  <c r="BQ64" i="1"/>
  <c r="BQ65" i="1"/>
  <c r="IW21" i="4"/>
  <c r="BQ101" i="1" s="1"/>
  <c r="BQ126" i="1" s="1"/>
  <c r="JE9" i="4"/>
  <c r="P213" i="1"/>
  <c r="P214" i="1" s="1"/>
  <c r="E237" i="1"/>
  <c r="F190" i="1"/>
  <c r="F213" i="1"/>
  <c r="F214" i="1" s="1"/>
  <c r="V237" i="1"/>
  <c r="J234" i="1"/>
  <c r="J235" i="1" s="1"/>
  <c r="C268" i="1"/>
  <c r="AR190" i="1"/>
  <c r="AN118" i="1"/>
  <c r="BW227" i="1"/>
  <c r="BW225" i="1" s="1"/>
  <c r="M213" i="1"/>
  <c r="M214" i="1" s="1"/>
  <c r="BX227" i="1"/>
  <c r="BX225" i="1" s="1"/>
  <c r="BH134" i="1"/>
  <c r="BH135" i="1"/>
  <c r="AP53" i="1"/>
  <c r="AP54" i="1"/>
  <c r="AP256" i="1"/>
  <c r="AP257" i="1" s="1"/>
  <c r="AP58" i="1"/>
  <c r="AP62" i="1" s="1"/>
  <c r="BQ55" i="1"/>
  <c r="BP53" i="1"/>
  <c r="BP54" i="1"/>
  <c r="BP256" i="1"/>
  <c r="BP257" i="1" s="1"/>
  <c r="BP58" i="1"/>
  <c r="BP62" i="1" s="1"/>
  <c r="BP25" i="1" s="1"/>
  <c r="BQ274" i="1"/>
  <c r="BQ275" i="1" s="1"/>
  <c r="N234" i="1"/>
  <c r="N235" i="1" s="1"/>
  <c r="I234" i="1"/>
  <c r="I235" i="1" s="1"/>
  <c r="BF250" i="1"/>
  <c r="BV54" i="1"/>
  <c r="BS136" i="1"/>
  <c r="BT250" i="1"/>
  <c r="AQ250" i="1"/>
  <c r="BI227" i="1"/>
  <c r="BI225" i="1" s="1"/>
  <c r="BV250" i="1"/>
  <c r="BR274" i="1"/>
  <c r="BR275" i="1" s="1"/>
  <c r="BR53" i="1"/>
  <c r="BR55" i="1"/>
  <c r="BS55" i="1"/>
  <c r="V84" i="1"/>
  <c r="BA136" i="1"/>
  <c r="AX136" i="1"/>
  <c r="AY136" i="1"/>
  <c r="AY250" i="1"/>
  <c r="AY55" i="1"/>
  <c r="AY274" i="1"/>
  <c r="AY275" i="1" s="1"/>
  <c r="AZ136" i="1"/>
  <c r="BV136" i="1"/>
  <c r="AQ136" i="1"/>
  <c r="AR250" i="1"/>
  <c r="AP250" i="1"/>
  <c r="AP274" i="1"/>
  <c r="AP275" i="1" s="1"/>
  <c r="AP136" i="1"/>
  <c r="BX136" i="1"/>
  <c r="AV136" i="1"/>
  <c r="Q84" i="1"/>
  <c r="E234" i="1"/>
  <c r="E235" i="1" s="1"/>
  <c r="G237" i="1"/>
  <c r="L213" i="1"/>
  <c r="L214" i="1" s="1"/>
  <c r="H213" i="1"/>
  <c r="H214" i="1" s="1"/>
  <c r="J213" i="1"/>
  <c r="J214" i="1" s="1"/>
  <c r="Q234" i="1"/>
  <c r="Q235" i="1" s="1"/>
  <c r="P234" i="1"/>
  <c r="P235" i="1" s="1"/>
  <c r="J237" i="1"/>
  <c r="V234" i="1"/>
  <c r="V235" i="1" s="1"/>
  <c r="D234" i="1"/>
  <c r="D235" i="1" s="1"/>
  <c r="K190" i="1"/>
  <c r="O213" i="1"/>
  <c r="O214" i="1" s="1"/>
  <c r="BD250" i="1"/>
  <c r="BC136" i="1"/>
  <c r="BC250" i="1"/>
  <c r="BB250" i="1"/>
  <c r="R84" i="1"/>
  <c r="AV58" i="1"/>
  <c r="AZ54" i="1"/>
  <c r="AV53" i="1"/>
  <c r="AV256" i="1"/>
  <c r="AV257" i="1" s="1"/>
  <c r="AW274" i="1"/>
  <c r="AW275" i="1" s="1"/>
  <c r="AW55" i="1"/>
  <c r="BH250" i="1"/>
  <c r="T84" i="1"/>
  <c r="BG136" i="1"/>
  <c r="BJ136" i="1"/>
  <c r="BG274" i="1"/>
  <c r="BG275" i="1" s="1"/>
  <c r="BG250" i="1"/>
  <c r="BG55" i="1"/>
  <c r="BW54" i="1"/>
  <c r="AR54" i="1"/>
  <c r="BW55" i="1"/>
  <c r="BF54" i="1"/>
  <c r="BB136" i="1"/>
  <c r="BD136" i="1"/>
  <c r="BB274" i="1"/>
  <c r="BB275" i="1" s="1"/>
  <c r="BB55" i="1"/>
  <c r="BW250" i="1"/>
  <c r="BW256" i="1"/>
  <c r="BW257" i="1" s="1"/>
  <c r="BX55" i="1"/>
  <c r="X84" i="1"/>
  <c r="BW53" i="1"/>
  <c r="BZ136" i="1"/>
  <c r="BZ250" i="1"/>
  <c r="BW274" i="1"/>
  <c r="BW275" i="1" s="1"/>
  <c r="BW58" i="1"/>
  <c r="BY136" i="1"/>
  <c r="CA54" i="1"/>
  <c r="BX274" i="1"/>
  <c r="BX275" i="1" s="1"/>
  <c r="BY250" i="1"/>
  <c r="BE250" i="1"/>
  <c r="BE136" i="1"/>
  <c r="AT250" i="1"/>
  <c r="P84" i="1"/>
  <c r="AR55" i="1"/>
  <c r="AR274" i="1"/>
  <c r="AR275" i="1" s="1"/>
  <c r="AT136" i="1"/>
  <c r="AR136" i="1"/>
  <c r="BW136" i="1"/>
  <c r="AV54" i="1"/>
  <c r="BJ258" i="1"/>
  <c r="BJ66" i="1"/>
  <c r="BJ269" i="1" s="1"/>
  <c r="BJ72" i="1"/>
  <c r="AW64" i="1"/>
  <c r="AW65" i="1"/>
  <c r="AT65" i="1"/>
  <c r="AT64" i="1"/>
  <c r="K237" i="1"/>
  <c r="S234" i="1"/>
  <c r="S235" i="1" s="1"/>
  <c r="G234" i="1"/>
  <c r="G235" i="1" s="1"/>
  <c r="C213" i="1"/>
  <c r="C214" i="1" s="1"/>
  <c r="U234" i="1"/>
  <c r="U235" i="1" s="1"/>
  <c r="U213" i="1"/>
  <c r="U214" i="1" s="1"/>
  <c r="D237" i="1"/>
  <c r="S237" i="1"/>
  <c r="K234" i="1"/>
  <c r="K235" i="1" s="1"/>
  <c r="M237" i="1"/>
  <c r="M234" i="1"/>
  <c r="M235" i="1" s="1"/>
  <c r="I237" i="1"/>
  <c r="S213" i="1"/>
  <c r="S214" i="1" s="1"/>
  <c r="O237" i="1"/>
  <c r="O234" i="1"/>
  <c r="O235" i="1" s="1"/>
  <c r="C109" i="1"/>
  <c r="D94" i="1"/>
  <c r="C111" i="1"/>
  <c r="C94" i="1"/>
  <c r="C110" i="1"/>
  <c r="B113" i="1"/>
  <c r="D268" i="1"/>
  <c r="D190" i="1"/>
  <c r="F234" i="1"/>
  <c r="F235" i="1" s="1"/>
  <c r="F237" i="1"/>
  <c r="AQ274" i="1"/>
  <c r="AQ275" i="1" s="1"/>
  <c r="AT54" i="1"/>
  <c r="AQ55" i="1"/>
  <c r="AR64" i="1"/>
  <c r="AR65" i="1"/>
  <c r="C237" i="1"/>
  <c r="C234" i="1"/>
  <c r="C235" i="1" s="1"/>
  <c r="T234" i="1"/>
  <c r="T235" i="1" s="1"/>
  <c r="T237" i="1"/>
  <c r="E213" i="1"/>
  <c r="E214" i="1" s="1"/>
  <c r="D213" i="1"/>
  <c r="D214" i="1" s="1"/>
  <c r="BS250" i="1"/>
  <c r="BR250" i="1"/>
  <c r="BR136" i="1"/>
  <c r="B111" i="1"/>
  <c r="B109" i="1"/>
  <c r="B110" i="1"/>
  <c r="BF274" i="1"/>
  <c r="BF275" i="1" s="1"/>
  <c r="S84" i="1"/>
  <c r="BK136" i="1"/>
  <c r="BK250" i="1"/>
  <c r="BR58" i="1"/>
  <c r="BT136" i="1"/>
  <c r="BR256" i="1"/>
  <c r="BR257" i="1" s="1"/>
  <c r="BZ54" i="1"/>
  <c r="BV256" i="1"/>
  <c r="BV257" i="1" s="1"/>
  <c r="BV58" i="1"/>
  <c r="BV53" i="1"/>
  <c r="BA55" i="1"/>
  <c r="BA58" i="1"/>
  <c r="BA256" i="1"/>
  <c r="BA257" i="1" s="1"/>
  <c r="BA53" i="1"/>
  <c r="BA274" i="1"/>
  <c r="BA275" i="1" s="1"/>
  <c r="AS55" i="1"/>
  <c r="AR256" i="1"/>
  <c r="AR257" i="1" s="1"/>
  <c r="AR53" i="1"/>
  <c r="BF53" i="1"/>
  <c r="BF256" i="1"/>
  <c r="BF257" i="1" s="1"/>
  <c r="BF58" i="1"/>
  <c r="BJ54" i="1"/>
  <c r="AX274" i="1"/>
  <c r="AX275" i="1" s="1"/>
  <c r="AX256" i="1"/>
  <c r="AX257" i="1" s="1"/>
  <c r="AX54" i="1"/>
  <c r="BB54" i="1"/>
  <c r="AZ250" i="1"/>
  <c r="AX58" i="1"/>
  <c r="AX55" i="1"/>
  <c r="AX53" i="1"/>
  <c r="R234" i="1"/>
  <c r="R235" i="1" s="1"/>
  <c r="R237" i="1"/>
  <c r="BP250" i="1"/>
  <c r="BQ136" i="1"/>
  <c r="BP136" i="1"/>
  <c r="BQ250" i="1"/>
  <c r="BT54" i="1"/>
  <c r="BI250" i="1"/>
  <c r="BI136" i="1"/>
  <c r="BH136" i="1"/>
  <c r="BJ250" i="1"/>
  <c r="BH55" i="1"/>
  <c r="BL54" i="1"/>
  <c r="BH53" i="1"/>
  <c r="BH58" i="1"/>
  <c r="BH256" i="1"/>
  <c r="BH257" i="1" s="1"/>
  <c r="BH274" i="1"/>
  <c r="BH275" i="1" s="1"/>
  <c r="BH54" i="1"/>
  <c r="BI274" i="1"/>
  <c r="BI275" i="1" s="1"/>
  <c r="BI55" i="1"/>
  <c r="BR54" i="1"/>
  <c r="BU136" i="1"/>
  <c r="H234" i="1"/>
  <c r="H235" i="1" s="1"/>
  <c r="R213" i="1"/>
  <c r="R214" i="1" s="1"/>
  <c r="AV134" i="1"/>
  <c r="AV135" i="1"/>
  <c r="BT227" i="1"/>
  <c r="BT225" i="1" s="1"/>
  <c r="BS227" i="1"/>
  <c r="BS225" i="1" s="1"/>
  <c r="AP227" i="1"/>
  <c r="AP225" i="1" s="1"/>
  <c r="AO227" i="1"/>
  <c r="AO225" i="1" s="1"/>
  <c r="BB135" i="1"/>
  <c r="BB134" i="1"/>
  <c r="BN135" i="1"/>
  <c r="BN134" i="1"/>
  <c r="BP134" i="1"/>
  <c r="BP135" i="1"/>
  <c r="AY227" i="1"/>
  <c r="AY225" i="1" s="1"/>
  <c r="AZ227" i="1"/>
  <c r="AZ225" i="1" s="1"/>
  <c r="BF135" i="1"/>
  <c r="BF134" i="1"/>
  <c r="BC227" i="1"/>
  <c r="BC225" i="1" s="1"/>
  <c r="BD227" i="1"/>
  <c r="BD225" i="1" s="1"/>
  <c r="AX227" i="1"/>
  <c r="AX225" i="1" s="1"/>
  <c r="AW227" i="1"/>
  <c r="AW225" i="1" s="1"/>
  <c r="BB227" i="1"/>
  <c r="BB225" i="1" s="1"/>
  <c r="BA227" i="1"/>
  <c r="BA225" i="1" s="1"/>
  <c r="BR227" i="1"/>
  <c r="BR225" i="1" s="1"/>
  <c r="BQ227" i="1"/>
  <c r="BQ225" i="1" s="1"/>
  <c r="BH227" i="1"/>
  <c r="BH225" i="1" s="1"/>
  <c r="BG227" i="1"/>
  <c r="BG225" i="1" s="1"/>
  <c r="AR227" i="1"/>
  <c r="AR225" i="1" s="1"/>
  <c r="AQ227" i="1"/>
  <c r="AQ225" i="1" s="1"/>
  <c r="AR213" i="1"/>
  <c r="AV213" i="1"/>
  <c r="BR134" i="1"/>
  <c r="BR135" i="1"/>
  <c r="BE227" i="1"/>
  <c r="BE225" i="1" s="1"/>
  <c r="BF227" i="1"/>
  <c r="BF225" i="1" s="1"/>
  <c r="AT135" i="1"/>
  <c r="AT134" i="1"/>
  <c r="AN135" i="1"/>
  <c r="AN138" i="1" s="1"/>
  <c r="AN134" i="1"/>
  <c r="AN137" i="1" s="1"/>
  <c r="AT213" i="1"/>
  <c r="AX213" i="1"/>
  <c r="BV227" i="1"/>
  <c r="BV225" i="1" s="1"/>
  <c r="BU227" i="1"/>
  <c r="BU225" i="1" s="1"/>
  <c r="AV227" i="1"/>
  <c r="AV225" i="1" s="1"/>
  <c r="AU227" i="1"/>
  <c r="AU225" i="1" s="1"/>
  <c r="BT135" i="1"/>
  <c r="BT134" i="1"/>
  <c r="BD135" i="1"/>
  <c r="BD134" i="1"/>
  <c r="BO227" i="1"/>
  <c r="BO225" i="1" s="1"/>
  <c r="BP227" i="1"/>
  <c r="BP225" i="1" s="1"/>
  <c r="AX134" i="1"/>
  <c r="AX135" i="1"/>
  <c r="AP134" i="1"/>
  <c r="AP135" i="1"/>
  <c r="AZ134" i="1"/>
  <c r="AZ135" i="1"/>
  <c r="BH213" i="1"/>
  <c r="BD213" i="1"/>
  <c r="BN213" i="1"/>
  <c r="BR213" i="1"/>
  <c r="BB213" i="1"/>
  <c r="BF213" i="1"/>
  <c r="BT213" i="1"/>
  <c r="BX213" i="1"/>
  <c r="BL137" i="1"/>
  <c r="BL138" i="1"/>
  <c r="BK65" i="1"/>
  <c r="BK64" i="1"/>
  <c r="AY64" i="1"/>
  <c r="AY65" i="1"/>
  <c r="BU65" i="1"/>
  <c r="BY67" i="1" s="1"/>
  <c r="BU64" i="1"/>
  <c r="AS64" i="1"/>
  <c r="AS65" i="1"/>
  <c r="BI62" i="1"/>
  <c r="BL79" i="1"/>
  <c r="BM64" i="1"/>
  <c r="BM65" i="1"/>
  <c r="BE64" i="1"/>
  <c r="BE65" i="1"/>
  <c r="BD64" i="1"/>
  <c r="BD65" i="1"/>
  <c r="BO65" i="1"/>
  <c r="BO64" i="1"/>
  <c r="AL138" i="1"/>
  <c r="AL137" i="1"/>
  <c r="AI62" i="1"/>
  <c r="AL79" i="1"/>
  <c r="AU65" i="1"/>
  <c r="AU64" i="1"/>
  <c r="BC62" i="1"/>
  <c r="AO65" i="1"/>
  <c r="BN62" i="1"/>
  <c r="BN25" i="1" s="1"/>
  <c r="AQ62" i="1"/>
  <c r="AT79" i="1"/>
  <c r="BB62" i="1"/>
  <c r="AN79" i="1"/>
  <c r="AN62" i="1"/>
  <c r="BT62" i="1"/>
  <c r="BT25" i="1" s="1"/>
  <c r="BN79" i="1"/>
  <c r="BG62" i="1"/>
  <c r="BS64" i="1"/>
  <c r="BS65" i="1"/>
  <c r="CR162" i="1"/>
  <c r="CS56" i="1"/>
  <c r="AV137" i="1" l="1"/>
  <c r="AV138" i="1"/>
  <c r="BN138" i="1"/>
  <c r="BN137" i="1"/>
  <c r="BF138" i="1"/>
  <c r="BF137" i="1"/>
  <c r="AP64" i="1"/>
  <c r="AZ258" i="1"/>
  <c r="AR79" i="1"/>
  <c r="AV79" i="1"/>
  <c r="BQ72" i="1"/>
  <c r="AP65" i="1"/>
  <c r="AP67" i="1" s="1"/>
  <c r="BP65" i="1"/>
  <c r="BQ68" i="1" s="1"/>
  <c r="AZ72" i="1"/>
  <c r="AP79" i="1"/>
  <c r="BP79" i="1"/>
  <c r="AV62" i="1"/>
  <c r="BQ66" i="1"/>
  <c r="BQ269" i="1" s="1"/>
  <c r="BP64" i="1"/>
  <c r="AZ66" i="1"/>
  <c r="AZ269" i="1" s="1"/>
  <c r="BQ258" i="1"/>
  <c r="BV137" i="1"/>
  <c r="BX137" i="1"/>
  <c r="BX138" i="1"/>
  <c r="BV138" i="1"/>
  <c r="BJ137" i="1"/>
  <c r="BJ138" i="1"/>
  <c r="JE21" i="4"/>
  <c r="BY101" i="1" s="1"/>
  <c r="JG9" i="4"/>
  <c r="BT138" i="1"/>
  <c r="BT137" i="1"/>
  <c r="BD138" i="1"/>
  <c r="BD137" i="1"/>
  <c r="AX137" i="1"/>
  <c r="BD79" i="1"/>
  <c r="BV79" i="1"/>
  <c r="BF79" i="1"/>
  <c r="AX138" i="1"/>
  <c r="AP137" i="1"/>
  <c r="AP138" i="1"/>
  <c r="AZ137" i="1"/>
  <c r="AZ138" i="1"/>
  <c r="BZ79" i="1"/>
  <c r="BW62" i="1"/>
  <c r="BW25" i="1" s="1"/>
  <c r="BZ137" i="1"/>
  <c r="BZ138" i="1"/>
  <c r="BJ76" i="1"/>
  <c r="BJ217" i="1"/>
  <c r="BJ219" i="1" s="1"/>
  <c r="BJ90" i="1"/>
  <c r="AT72" i="1"/>
  <c r="AT258" i="1"/>
  <c r="AT66" i="1"/>
  <c r="AT269" i="1" s="1"/>
  <c r="AW72" i="1"/>
  <c r="AW258" i="1"/>
  <c r="AW66" i="1"/>
  <c r="AW269" i="1" s="1"/>
  <c r="BB138" i="1"/>
  <c r="BB137" i="1"/>
  <c r="BR137" i="1"/>
  <c r="BR138" i="1"/>
  <c r="AT138" i="1"/>
  <c r="AT137" i="1"/>
  <c r="AS68" i="1"/>
  <c r="AR66" i="1"/>
  <c r="AR269" i="1" s="1"/>
  <c r="AR72" i="1"/>
  <c r="AR258" i="1"/>
  <c r="BR62" i="1"/>
  <c r="BR25" i="1" s="1"/>
  <c r="BR79" i="1"/>
  <c r="BT79" i="1"/>
  <c r="BV62" i="1"/>
  <c r="BV25" i="1" s="1"/>
  <c r="BX79" i="1"/>
  <c r="BY79" i="1"/>
  <c r="AX79" i="1"/>
  <c r="AX62" i="1"/>
  <c r="AZ79" i="1"/>
  <c r="BV65" i="1"/>
  <c r="BV64" i="1"/>
  <c r="BP137" i="1"/>
  <c r="BP138" i="1"/>
  <c r="BA62" i="1"/>
  <c r="BB79" i="1"/>
  <c r="BF62" i="1"/>
  <c r="BH79" i="1"/>
  <c r="BH137" i="1"/>
  <c r="BH138" i="1"/>
  <c r="BH62" i="1"/>
  <c r="BJ79" i="1"/>
  <c r="BL68" i="1"/>
  <c r="BK72" i="1"/>
  <c r="BK66" i="1"/>
  <c r="BK269" i="1" s="1"/>
  <c r="AY258" i="1"/>
  <c r="AY66" i="1"/>
  <c r="AY269" i="1" s="1"/>
  <c r="AZ68" i="1"/>
  <c r="AY72" i="1"/>
  <c r="BU66" i="1"/>
  <c r="BU269" i="1" s="1"/>
  <c r="BU258" i="1"/>
  <c r="BU72" i="1"/>
  <c r="BK68" i="1"/>
  <c r="BK258" i="1"/>
  <c r="AS72" i="1"/>
  <c r="AS66" i="1"/>
  <c r="AS269" i="1" s="1"/>
  <c r="BU67" i="1"/>
  <c r="AS258" i="1"/>
  <c r="AT68" i="1"/>
  <c r="AW67" i="1"/>
  <c r="BP72" i="1"/>
  <c r="BP67" i="1"/>
  <c r="BP258" i="1"/>
  <c r="BP66" i="1"/>
  <c r="BP269" i="1" s="1"/>
  <c r="BI65" i="1"/>
  <c r="BI64" i="1"/>
  <c r="BM72" i="1"/>
  <c r="BM68" i="1"/>
  <c r="BM258" i="1"/>
  <c r="BM251" i="1"/>
  <c r="BQ67" i="1"/>
  <c r="BM66" i="1"/>
  <c r="BM269" i="1" s="1"/>
  <c r="BE66" i="1"/>
  <c r="BE269" i="1" s="1"/>
  <c r="BE72" i="1"/>
  <c r="BE258" i="1"/>
  <c r="BC65" i="1"/>
  <c r="BC64" i="1"/>
  <c r="BS67" i="1"/>
  <c r="BD72" i="1"/>
  <c r="BD258" i="1"/>
  <c r="BD66" i="1"/>
  <c r="BD269" i="1" s="1"/>
  <c r="BD67" i="1"/>
  <c r="BE68" i="1"/>
  <c r="BO258" i="1"/>
  <c r="BO66" i="1"/>
  <c r="BO269" i="1" s="1"/>
  <c r="BO72" i="1"/>
  <c r="BP68" i="1"/>
  <c r="BO67" i="1"/>
  <c r="AI65" i="1"/>
  <c r="AI64" i="1"/>
  <c r="AU66" i="1"/>
  <c r="AU269" i="1" s="1"/>
  <c r="AU258" i="1"/>
  <c r="AY67" i="1"/>
  <c r="AU72" i="1"/>
  <c r="AU251" i="1"/>
  <c r="AU68" i="1"/>
  <c r="AP68" i="1"/>
  <c r="AO72" i="1"/>
  <c r="AZ90" i="1"/>
  <c r="AZ76" i="1"/>
  <c r="AZ217" i="1"/>
  <c r="AZ219" i="1" s="1"/>
  <c r="AO67" i="1"/>
  <c r="AO258" i="1"/>
  <c r="AS67" i="1"/>
  <c r="AO66" i="1"/>
  <c r="AO269" i="1" s="1"/>
  <c r="BN65" i="1"/>
  <c r="BN64" i="1"/>
  <c r="AQ65" i="1"/>
  <c r="AQ64" i="1"/>
  <c r="BT65" i="1"/>
  <c r="BT64" i="1"/>
  <c r="AN65" i="1"/>
  <c r="AN64" i="1"/>
  <c r="BG64" i="1"/>
  <c r="BG65" i="1"/>
  <c r="BB65" i="1"/>
  <c r="BB64" i="1"/>
  <c r="BS258" i="1"/>
  <c r="BS66" i="1"/>
  <c r="BS269" i="1" s="1"/>
  <c r="BS72" i="1"/>
  <c r="BQ217" i="1"/>
  <c r="BQ219" i="1" s="1"/>
  <c r="BQ143" i="1"/>
  <c r="BQ144" i="1" s="1"/>
  <c r="BQ90" i="1"/>
  <c r="BQ76" i="1"/>
  <c r="CS218" i="1"/>
  <c r="CS156" i="1"/>
  <c r="CR227" i="1"/>
  <c r="CR225" i="1" s="1"/>
  <c r="AC149" i="1"/>
  <c r="AC152" i="1" s="1"/>
  <c r="AC273" i="1" s="1"/>
  <c r="AT67" i="1" l="1"/>
  <c r="AP258" i="1"/>
  <c r="AP72" i="1"/>
  <c r="AP66" i="1"/>
  <c r="AP269" i="1" s="1"/>
  <c r="AV64" i="1"/>
  <c r="AV65" i="1"/>
  <c r="BY126" i="1"/>
  <c r="BY118" i="1"/>
  <c r="JG21" i="4"/>
  <c r="CA101" i="1" s="1"/>
  <c r="IS9" i="4"/>
  <c r="IS21" i="4" s="1"/>
  <c r="BM101" i="1" s="1"/>
  <c r="BM126" i="1" s="1"/>
  <c r="BR65" i="1"/>
  <c r="BR64" i="1"/>
  <c r="BW65" i="1"/>
  <c r="BW67" i="1" s="1"/>
  <c r="BW64" i="1"/>
  <c r="AR76" i="1"/>
  <c r="AR217" i="1"/>
  <c r="AR219" i="1" s="1"/>
  <c r="AR90" i="1"/>
  <c r="AX65" i="1"/>
  <c r="AX64" i="1"/>
  <c r="BV68" i="1"/>
  <c r="AT90" i="1"/>
  <c r="AT217" i="1"/>
  <c r="AT219" i="1" s="1"/>
  <c r="AT76" i="1"/>
  <c r="AW217" i="1"/>
  <c r="AW219" i="1" s="1"/>
  <c r="AW90" i="1"/>
  <c r="AW143" i="1"/>
  <c r="AW144" i="1" s="1"/>
  <c r="AW76" i="1"/>
  <c r="BH65" i="1"/>
  <c r="BH64" i="1"/>
  <c r="BZ67" i="1"/>
  <c r="BV258" i="1"/>
  <c r="BV72" i="1"/>
  <c r="BV66" i="1"/>
  <c r="BV269" i="1" s="1"/>
  <c r="BA65" i="1"/>
  <c r="BA64" i="1"/>
  <c r="BF65" i="1"/>
  <c r="BF64" i="1"/>
  <c r="BK76" i="1"/>
  <c r="BK217" i="1"/>
  <c r="BK219" i="1" s="1"/>
  <c r="BK143" i="1"/>
  <c r="BK144" i="1" s="1"/>
  <c r="BK90" i="1"/>
  <c r="AP217" i="1"/>
  <c r="AP219" i="1" s="1"/>
  <c r="AP90" i="1"/>
  <c r="AP76" i="1"/>
  <c r="BU143" i="1"/>
  <c r="BU144" i="1" s="1"/>
  <c r="BU76" i="1"/>
  <c r="BU217" i="1"/>
  <c r="BU219" i="1" s="1"/>
  <c r="BU90" i="1"/>
  <c r="BS68" i="1"/>
  <c r="BS251" i="1"/>
  <c r="AY217" i="1"/>
  <c r="AY219" i="1" s="1"/>
  <c r="AY90" i="1"/>
  <c r="AY143" i="1"/>
  <c r="AY144" i="1" s="1"/>
  <c r="AY76" i="1"/>
  <c r="AS76" i="1"/>
  <c r="AS143" i="1"/>
  <c r="AS144" i="1" s="1"/>
  <c r="AS217" i="1"/>
  <c r="AS219" i="1" s="1"/>
  <c r="AS90" i="1"/>
  <c r="BI67" i="1"/>
  <c r="BM90" i="1"/>
  <c r="BM76" i="1"/>
  <c r="BP76" i="1"/>
  <c r="BP217" i="1"/>
  <c r="BP219" i="1" s="1"/>
  <c r="BP90" i="1"/>
  <c r="BM67" i="1"/>
  <c r="BL251" i="1"/>
  <c r="BI72" i="1"/>
  <c r="BI258" i="1"/>
  <c r="BJ68" i="1"/>
  <c r="BI66" i="1"/>
  <c r="BI269" i="1" s="1"/>
  <c r="BM143" i="1"/>
  <c r="BM144" i="1" s="1"/>
  <c r="BM217" i="1"/>
  <c r="BM219" i="1" s="1"/>
  <c r="BE90" i="1"/>
  <c r="BE217" i="1"/>
  <c r="BE219" i="1" s="1"/>
  <c r="BE76" i="1"/>
  <c r="BE143" i="1"/>
  <c r="BE144" i="1" s="1"/>
  <c r="BD68" i="1"/>
  <c r="BC67" i="1"/>
  <c r="BC72" i="1"/>
  <c r="BC258" i="1"/>
  <c r="BC66" i="1"/>
  <c r="BC269" i="1" s="1"/>
  <c r="BD76" i="1"/>
  <c r="BD217" i="1"/>
  <c r="BD219" i="1" s="1"/>
  <c r="BD90" i="1"/>
  <c r="BO76" i="1"/>
  <c r="BO90" i="1"/>
  <c r="BO217" i="1"/>
  <c r="BO219" i="1" s="1"/>
  <c r="BO143" i="1"/>
  <c r="BO144" i="1" s="1"/>
  <c r="AI66" i="1"/>
  <c r="AI258" i="1"/>
  <c r="AJ68" i="1"/>
  <c r="AM67" i="1"/>
  <c r="AI72" i="1"/>
  <c r="AL251" i="1"/>
  <c r="AU76" i="1"/>
  <c r="AU90" i="1"/>
  <c r="AU217" i="1"/>
  <c r="AU219" i="1" s="1"/>
  <c r="AU143" i="1"/>
  <c r="AU144" i="1" s="1"/>
  <c r="AO217" i="1"/>
  <c r="AO219" i="1" s="1"/>
  <c r="AO90" i="1"/>
  <c r="AO143" i="1"/>
  <c r="AO144" i="1" s="1"/>
  <c r="AO76" i="1"/>
  <c r="AN66" i="1"/>
  <c r="AN269" i="1" s="1"/>
  <c r="AQ251" i="1"/>
  <c r="AO68" i="1"/>
  <c r="AN251" i="1"/>
  <c r="AN67" i="1"/>
  <c r="AP251" i="1"/>
  <c r="AR67" i="1"/>
  <c r="AO251" i="1"/>
  <c r="AN72" i="1"/>
  <c r="AN68" i="1"/>
  <c r="AN258" i="1"/>
  <c r="BX67" i="1"/>
  <c r="BT66" i="1"/>
  <c r="BT269" i="1" s="1"/>
  <c r="BT258" i="1"/>
  <c r="BT72" i="1"/>
  <c r="BU68" i="1"/>
  <c r="BT67" i="1"/>
  <c r="BV251" i="1"/>
  <c r="AZ67" i="1"/>
  <c r="AV66" i="1"/>
  <c r="AV269" i="1" s="1"/>
  <c r="AV258" i="1"/>
  <c r="AV72" i="1"/>
  <c r="AW251" i="1"/>
  <c r="AW68" i="1"/>
  <c r="AV67" i="1"/>
  <c r="AV68" i="1"/>
  <c r="AV251" i="1"/>
  <c r="AR68" i="1"/>
  <c r="AQ67" i="1"/>
  <c r="AQ258" i="1"/>
  <c r="AQ72" i="1"/>
  <c r="AQ66" i="1"/>
  <c r="AQ269" i="1" s="1"/>
  <c r="AQ68" i="1"/>
  <c r="AU67" i="1"/>
  <c r="AT251" i="1"/>
  <c r="AS251" i="1"/>
  <c r="AR251" i="1"/>
  <c r="BN258" i="1"/>
  <c r="BN72" i="1"/>
  <c r="BQ78" i="1" s="1"/>
  <c r="BN67" i="1"/>
  <c r="BN66" i="1"/>
  <c r="BN269" i="1" s="1"/>
  <c r="BO68" i="1"/>
  <c r="BN251" i="1"/>
  <c r="BQ251" i="1"/>
  <c r="BN68" i="1"/>
  <c r="BO251" i="1"/>
  <c r="BP251" i="1"/>
  <c r="BB66" i="1"/>
  <c r="BB269" i="1" s="1"/>
  <c r="BB258" i="1"/>
  <c r="BB72" i="1"/>
  <c r="BC68" i="1"/>
  <c r="BE251" i="1"/>
  <c r="BT68" i="1"/>
  <c r="BK67" i="1"/>
  <c r="BG72" i="1"/>
  <c r="BG67" i="1"/>
  <c r="BG66" i="1"/>
  <c r="BG269" i="1" s="1"/>
  <c r="BG258" i="1"/>
  <c r="BS217" i="1"/>
  <c r="BS219" i="1" s="1"/>
  <c r="BS76" i="1"/>
  <c r="BS143" i="1"/>
  <c r="BS144" i="1" s="1"/>
  <c r="BS90" i="1"/>
  <c r="BQ231" i="1"/>
  <c r="BQ229" i="1" s="1"/>
  <c r="BQ153" i="1"/>
  <c r="BQ79" i="1" s="1"/>
  <c r="BQ116" i="1"/>
  <c r="CS158" i="1"/>
  <c r="AC230" i="1"/>
  <c r="CA250" i="1"/>
  <c r="CB250" i="1"/>
  <c r="BU250" i="1"/>
  <c r="BK251" i="1" l="1"/>
  <c r="CA118" i="1"/>
  <c r="CA126" i="1"/>
  <c r="CA109" i="1"/>
  <c r="BF251" i="1"/>
  <c r="BR66" i="1"/>
  <c r="BR269" i="1" s="1"/>
  <c r="BR258" i="1"/>
  <c r="BR72" i="1"/>
  <c r="BR231" i="1" s="1"/>
  <c r="BR229" i="1" s="1"/>
  <c r="BV67" i="1"/>
  <c r="BR68" i="1"/>
  <c r="BR251" i="1"/>
  <c r="BW251" i="1"/>
  <c r="AY251" i="1"/>
  <c r="AX251" i="1"/>
  <c r="BR67" i="1"/>
  <c r="BF67" i="1"/>
  <c r="BD251" i="1"/>
  <c r="BB251" i="1"/>
  <c r="BB68" i="1"/>
  <c r="BC251" i="1"/>
  <c r="BB67" i="1"/>
  <c r="AX258" i="1"/>
  <c r="AX66" i="1"/>
  <c r="AX269" i="1" s="1"/>
  <c r="AZ251" i="1"/>
  <c r="AX68" i="1"/>
  <c r="AY68" i="1"/>
  <c r="AX67" i="1"/>
  <c r="BA251" i="1"/>
  <c r="BH251" i="1"/>
  <c r="BG251" i="1"/>
  <c r="BJ251" i="1"/>
  <c r="BX251" i="1"/>
  <c r="BW68" i="1"/>
  <c r="BW72" i="1"/>
  <c r="BY251" i="1"/>
  <c r="CA67" i="1"/>
  <c r="BW66" i="1"/>
  <c r="BW269" i="1" s="1"/>
  <c r="AW153" i="1"/>
  <c r="AW79" i="1" s="1"/>
  <c r="AX72" i="1"/>
  <c r="BT251" i="1"/>
  <c r="BG68" i="1"/>
  <c r="BW258" i="1"/>
  <c r="BX68" i="1"/>
  <c r="X85" i="1"/>
  <c r="BH68" i="1"/>
  <c r="BI251" i="1"/>
  <c r="BZ251" i="1"/>
  <c r="AW231" i="1"/>
  <c r="AW229" i="1" s="1"/>
  <c r="AW116" i="1"/>
  <c r="BH66" i="1"/>
  <c r="BH269" i="1" s="1"/>
  <c r="BH258" i="1"/>
  <c r="BL67" i="1"/>
  <c r="BH72" i="1"/>
  <c r="BH67" i="1"/>
  <c r="BI68" i="1"/>
  <c r="BV76" i="1"/>
  <c r="BV90" i="1"/>
  <c r="BV217" i="1"/>
  <c r="BV219" i="1" s="1"/>
  <c r="BE67" i="1"/>
  <c r="BA67" i="1"/>
  <c r="BA72" i="1"/>
  <c r="BA68" i="1"/>
  <c r="BA66" i="1"/>
  <c r="BA269" i="1" s="1"/>
  <c r="BA258" i="1"/>
  <c r="BF68" i="1"/>
  <c r="BF72" i="1"/>
  <c r="BF66" i="1"/>
  <c r="BF269" i="1" s="1"/>
  <c r="BF258" i="1"/>
  <c r="BJ67" i="1"/>
  <c r="BM93" i="1"/>
  <c r="BI113" i="1" s="1"/>
  <c r="BK116" i="1"/>
  <c r="BL231" i="1"/>
  <c r="BL229" i="1" s="1"/>
  <c r="BK231" i="1"/>
  <c r="BK229" i="1" s="1"/>
  <c r="BK153" i="1"/>
  <c r="BK79" i="1" s="1"/>
  <c r="BV231" i="1"/>
  <c r="BV229" i="1" s="1"/>
  <c r="BU231" i="1"/>
  <c r="BU229" i="1" s="1"/>
  <c r="BU116" i="1"/>
  <c r="BU153" i="1"/>
  <c r="BU79" i="1" s="1"/>
  <c r="AU93" i="1"/>
  <c r="AY116" i="1"/>
  <c r="AY231" i="1"/>
  <c r="AY229" i="1" s="1"/>
  <c r="AY153" i="1"/>
  <c r="AY79" i="1" s="1"/>
  <c r="AZ231" i="1"/>
  <c r="AZ229" i="1" s="1"/>
  <c r="AS231" i="1"/>
  <c r="AS229" i="1" s="1"/>
  <c r="AS116" i="1"/>
  <c r="AS153" i="1"/>
  <c r="AS79" i="1" s="1"/>
  <c r="AT231" i="1"/>
  <c r="AT229" i="1" s="1"/>
  <c r="AO78" i="1"/>
  <c r="BL78" i="1"/>
  <c r="BI76" i="1"/>
  <c r="BI217" i="1"/>
  <c r="BI219" i="1" s="1"/>
  <c r="BI90" i="1"/>
  <c r="BI143" i="1"/>
  <c r="BI144" i="1" s="1"/>
  <c r="BM78" i="1"/>
  <c r="BM231" i="1"/>
  <c r="BM229" i="1" s="1"/>
  <c r="BM153" i="1"/>
  <c r="BM79" i="1" s="1"/>
  <c r="BM116" i="1"/>
  <c r="BE116" i="1"/>
  <c r="BE153" i="1"/>
  <c r="BE79" i="1" s="1"/>
  <c r="BE231" i="1"/>
  <c r="BE229" i="1" s="1"/>
  <c r="BC90" i="1"/>
  <c r="BC143" i="1"/>
  <c r="BC144" i="1" s="1"/>
  <c r="BC217" i="1"/>
  <c r="BC219" i="1" s="1"/>
  <c r="BC76" i="1"/>
  <c r="BO231" i="1"/>
  <c r="BO229" i="1" s="1"/>
  <c r="BO153" i="1"/>
  <c r="BO79" i="1" s="1"/>
  <c r="BP231" i="1"/>
  <c r="BP229" i="1" s="1"/>
  <c r="BO116" i="1"/>
  <c r="AI90" i="1"/>
  <c r="AL93" i="1" s="1"/>
  <c r="AI76" i="1"/>
  <c r="AL78" i="1"/>
  <c r="N85" i="1"/>
  <c r="AI231" i="1"/>
  <c r="AI229" i="1" s="1"/>
  <c r="AI217" i="1"/>
  <c r="AI219" i="1" s="1"/>
  <c r="AI223" i="1" s="1"/>
  <c r="AI237" i="1" s="1"/>
  <c r="AU116" i="1"/>
  <c r="AU231" i="1"/>
  <c r="AU229" i="1" s="1"/>
  <c r="AU153" i="1"/>
  <c r="AU79" i="1" s="1"/>
  <c r="AU78" i="1"/>
  <c r="AP231" i="1"/>
  <c r="AP229" i="1" s="1"/>
  <c r="AO116" i="1"/>
  <c r="AO153" i="1"/>
  <c r="AO79" i="1" s="1"/>
  <c r="AO231" i="1"/>
  <c r="AO229" i="1" s="1"/>
  <c r="AV231" i="1"/>
  <c r="AV229" i="1" s="1"/>
  <c r="AW78" i="1"/>
  <c r="BV78" i="1"/>
  <c r="BO78" i="1"/>
  <c r="BN231" i="1"/>
  <c r="BN229" i="1" s="1"/>
  <c r="BN76" i="1"/>
  <c r="BN90" i="1"/>
  <c r="BN217" i="1"/>
  <c r="BN219" i="1" s="1"/>
  <c r="BN78" i="1"/>
  <c r="U85" i="1"/>
  <c r="BP78" i="1"/>
  <c r="AV217" i="1"/>
  <c r="AV219" i="1" s="1"/>
  <c r="AV76" i="1"/>
  <c r="AV90" i="1"/>
  <c r="AV78" i="1"/>
  <c r="BT217" i="1"/>
  <c r="BT219" i="1" s="1"/>
  <c r="BT76" i="1"/>
  <c r="BT90" i="1"/>
  <c r="BV93" i="1" s="1"/>
  <c r="BR113" i="1" s="1"/>
  <c r="BB90" i="1"/>
  <c r="BB76" i="1"/>
  <c r="BB217" i="1"/>
  <c r="BB219" i="1" s="1"/>
  <c r="BE78" i="1"/>
  <c r="AQ143" i="1"/>
  <c r="AQ144" i="1" s="1"/>
  <c r="AQ217" i="1"/>
  <c r="AQ219" i="1" s="1"/>
  <c r="AQ76" i="1"/>
  <c r="AQ90" i="1"/>
  <c r="AS78" i="1"/>
  <c r="AR78" i="1"/>
  <c r="AT78" i="1"/>
  <c r="P85" i="1"/>
  <c r="BG76" i="1"/>
  <c r="BG90" i="1"/>
  <c r="BG143" i="1"/>
  <c r="BG144" i="1" s="1"/>
  <c r="BG217" i="1"/>
  <c r="BG219" i="1" s="1"/>
  <c r="AN76" i="1"/>
  <c r="AP78" i="1"/>
  <c r="AN90" i="1"/>
  <c r="AN217" i="1"/>
  <c r="AN219" i="1" s="1"/>
  <c r="AN78" i="1"/>
  <c r="O85" i="1"/>
  <c r="AN231" i="1"/>
  <c r="AN229" i="1" s="1"/>
  <c r="BT231" i="1"/>
  <c r="BT229" i="1" s="1"/>
  <c r="BS116" i="1"/>
  <c r="BS153" i="1"/>
  <c r="BS79" i="1" s="1"/>
  <c r="BS231" i="1"/>
  <c r="BS229" i="1" s="1"/>
  <c r="BQ118" i="1"/>
  <c r="BQ119" i="1"/>
  <c r="BQ120" i="1"/>
  <c r="CS162" i="1"/>
  <c r="CT56" i="1"/>
  <c r="AD148" i="1"/>
  <c r="W83" i="1"/>
  <c r="BK78" i="1" l="1"/>
  <c r="AX231" i="1"/>
  <c r="AX229" i="1" s="1"/>
  <c r="AY78" i="1"/>
  <c r="BT78" i="1"/>
  <c r="BR76" i="1"/>
  <c r="BR217" i="1"/>
  <c r="BR219" i="1" s="1"/>
  <c r="BR90" i="1"/>
  <c r="BR78" i="1"/>
  <c r="V85" i="1"/>
  <c r="BU78" i="1"/>
  <c r="BX78" i="1"/>
  <c r="BW143" i="1"/>
  <c r="BW144" i="1" s="1"/>
  <c r="BY78" i="1"/>
  <c r="BW217" i="1"/>
  <c r="BW219" i="1" s="1"/>
  <c r="BW76" i="1"/>
  <c r="BZ78" i="1"/>
  <c r="BW90" i="1"/>
  <c r="Q85" i="1"/>
  <c r="AX78" i="1"/>
  <c r="AX76" i="1"/>
  <c r="AX90" i="1"/>
  <c r="AX217" i="1"/>
  <c r="AX219" i="1" s="1"/>
  <c r="AZ78" i="1"/>
  <c r="BS78" i="1"/>
  <c r="AW119" i="1"/>
  <c r="AW118" i="1"/>
  <c r="AW120" i="1"/>
  <c r="BH76" i="1"/>
  <c r="BH90" i="1"/>
  <c r="BH217" i="1"/>
  <c r="BH219" i="1" s="1"/>
  <c r="BJ78" i="1"/>
  <c r="T85" i="1"/>
  <c r="BH78" i="1"/>
  <c r="BF231" i="1"/>
  <c r="BF229" i="1" s="1"/>
  <c r="S85" i="1"/>
  <c r="BF78" i="1"/>
  <c r="BA143" i="1"/>
  <c r="BA144" i="1" s="1"/>
  <c r="BA90" i="1"/>
  <c r="BA217" i="1"/>
  <c r="BA219" i="1" s="1"/>
  <c r="BA76" i="1"/>
  <c r="BF90" i="1"/>
  <c r="BF217" i="1"/>
  <c r="BF219" i="1" s="1"/>
  <c r="BF76" i="1"/>
  <c r="BB78" i="1"/>
  <c r="R85" i="1"/>
  <c r="BD78" i="1"/>
  <c r="BM109" i="1"/>
  <c r="BM111" i="1"/>
  <c r="BM110" i="1"/>
  <c r="BK120" i="1"/>
  <c r="BK118" i="1"/>
  <c r="BK119" i="1"/>
  <c r="BU118" i="1"/>
  <c r="BU120" i="1"/>
  <c r="BU119" i="1"/>
  <c r="AU111" i="1"/>
  <c r="AU110" i="1"/>
  <c r="AQ113" i="1"/>
  <c r="AU109" i="1"/>
  <c r="AY118" i="1"/>
  <c r="AY119" i="1"/>
  <c r="AY120" i="1"/>
  <c r="BL93" i="1"/>
  <c r="BR93" i="1"/>
  <c r="BR110" i="1" s="1"/>
  <c r="BT93" i="1"/>
  <c r="BS93" i="1"/>
  <c r="AS119" i="1"/>
  <c r="AS120" i="1"/>
  <c r="AS118" i="1"/>
  <c r="BI116" i="1"/>
  <c r="BI153" i="1"/>
  <c r="BI79" i="1" s="1"/>
  <c r="BI231" i="1"/>
  <c r="BI229" i="1" s="1"/>
  <c r="BI78" i="1"/>
  <c r="BJ231" i="1"/>
  <c r="BJ229" i="1" s="1"/>
  <c r="AI234" i="1"/>
  <c r="AI235" i="1" s="1"/>
  <c r="BM119" i="1"/>
  <c r="BM120" i="1"/>
  <c r="BM118" i="1"/>
  <c r="BE118" i="1"/>
  <c r="BE120" i="1"/>
  <c r="BE119" i="1"/>
  <c r="BC231" i="1"/>
  <c r="BC229" i="1" s="1"/>
  <c r="BC153" i="1"/>
  <c r="BC79" i="1" s="1"/>
  <c r="BC116" i="1"/>
  <c r="BC78" i="1"/>
  <c r="BD231" i="1"/>
  <c r="BD229" i="1" s="1"/>
  <c r="BO118" i="1"/>
  <c r="BO119" i="1"/>
  <c r="BO120" i="1"/>
  <c r="AL109" i="1"/>
  <c r="AL110" i="1"/>
  <c r="AL111" i="1"/>
  <c r="AU119" i="1"/>
  <c r="AU120" i="1"/>
  <c r="AU118" i="1"/>
  <c r="AO120" i="1"/>
  <c r="AO118" i="1"/>
  <c r="AO119" i="1"/>
  <c r="AV93" i="1"/>
  <c r="AW93" i="1"/>
  <c r="AT93" i="1"/>
  <c r="AR93" i="1"/>
  <c r="AS93" i="1"/>
  <c r="BQ93" i="1"/>
  <c r="BO93" i="1"/>
  <c r="BN93" i="1"/>
  <c r="BP93" i="1"/>
  <c r="AQ93" i="1"/>
  <c r="AN93" i="1"/>
  <c r="AP93" i="1"/>
  <c r="AO93" i="1"/>
  <c r="BE93" i="1"/>
  <c r="BE110" i="1" s="1"/>
  <c r="BX93" i="1"/>
  <c r="BY93" i="1"/>
  <c r="BW93" i="1"/>
  <c r="BG231" i="1"/>
  <c r="BG229" i="1" s="1"/>
  <c r="BG153" i="1"/>
  <c r="BG79" i="1" s="1"/>
  <c r="BG116" i="1"/>
  <c r="BG78" i="1"/>
  <c r="BH231" i="1"/>
  <c r="BH229" i="1" s="1"/>
  <c r="AQ153" i="1"/>
  <c r="AQ79" i="1" s="1"/>
  <c r="AQ231" i="1"/>
  <c r="AQ229" i="1" s="1"/>
  <c r="AQ116" i="1"/>
  <c r="AR231" i="1"/>
  <c r="AR229" i="1" s="1"/>
  <c r="AQ78" i="1"/>
  <c r="BV111" i="1"/>
  <c r="BV110" i="1"/>
  <c r="BV109" i="1"/>
  <c r="BS118" i="1"/>
  <c r="BS119" i="1"/>
  <c r="BS120" i="1"/>
  <c r="AC56" i="1"/>
  <c r="CT218" i="1"/>
  <c r="CT156" i="1"/>
  <c r="CS227" i="1"/>
  <c r="CS225" i="1" s="1"/>
  <c r="W84" i="1"/>
  <c r="AZ93" i="1" l="1"/>
  <c r="AY93" i="1"/>
  <c r="AY110" i="1" s="1"/>
  <c r="AX93" i="1"/>
  <c r="BU93" i="1"/>
  <c r="BU109" i="1" s="1"/>
  <c r="BW78" i="1"/>
  <c r="BZ93" i="1"/>
  <c r="BW153" i="1"/>
  <c r="BW79" i="1" s="1"/>
  <c r="BW231" i="1"/>
  <c r="BW229" i="1" s="1"/>
  <c r="BX231" i="1"/>
  <c r="BX229" i="1" s="1"/>
  <c r="BW116" i="1"/>
  <c r="BK93" i="1"/>
  <c r="BJ93" i="1"/>
  <c r="BF113" i="1" s="1"/>
  <c r="BA93" i="1"/>
  <c r="BB93" i="1"/>
  <c r="BC93" i="1"/>
  <c r="BD93" i="1"/>
  <c r="BH93" i="1"/>
  <c r="BG93" i="1"/>
  <c r="BI93" i="1"/>
  <c r="BF93" i="1"/>
  <c r="BA78" i="1"/>
  <c r="BA231" i="1"/>
  <c r="BA229" i="1" s="1"/>
  <c r="BA116" i="1"/>
  <c r="BB231" i="1"/>
  <c r="BB229" i="1" s="1"/>
  <c r="BA153" i="1"/>
  <c r="BA79" i="1" s="1"/>
  <c r="BL109" i="1"/>
  <c r="BL110" i="1"/>
  <c r="BN113" i="1"/>
  <c r="BR109" i="1"/>
  <c r="BR111" i="1"/>
  <c r="BV94" i="1"/>
  <c r="BP113" i="1"/>
  <c r="BT111" i="1"/>
  <c r="BT109" i="1"/>
  <c r="BT110" i="1"/>
  <c r="BS111" i="1"/>
  <c r="BO113" i="1"/>
  <c r="BS110" i="1"/>
  <c r="BS109" i="1"/>
  <c r="BH113" i="1"/>
  <c r="BL111" i="1"/>
  <c r="BT94" i="1"/>
  <c r="BZ94" i="1"/>
  <c r="BI119" i="1"/>
  <c r="BI120" i="1"/>
  <c r="BI118" i="1"/>
  <c r="BW109" i="1"/>
  <c r="BW94" i="1"/>
  <c r="BC119" i="1"/>
  <c r="BC118" i="1"/>
  <c r="BC120" i="1"/>
  <c r="BQ110" i="1"/>
  <c r="BM113" i="1"/>
  <c r="AQ110" i="1"/>
  <c r="AQ109" i="1"/>
  <c r="AX94" i="1"/>
  <c r="BX110" i="1"/>
  <c r="BT113" i="1"/>
  <c r="BX111" i="1"/>
  <c r="CB94" i="1"/>
  <c r="BX109" i="1"/>
  <c r="AN111" i="1"/>
  <c r="AR94" i="1"/>
  <c r="AN110" i="1"/>
  <c r="AN109" i="1"/>
  <c r="BO109" i="1"/>
  <c r="BK113" i="1"/>
  <c r="BO110" i="1"/>
  <c r="BO111" i="1"/>
  <c r="AP113" i="1"/>
  <c r="CA94" i="1"/>
  <c r="BS113" i="1"/>
  <c r="BW111" i="1"/>
  <c r="BE111" i="1"/>
  <c r="BE109" i="1"/>
  <c r="AU94" i="1"/>
  <c r="AQ94" i="1"/>
  <c r="AQ111" i="1"/>
  <c r="BQ109" i="1"/>
  <c r="BQ94" i="1"/>
  <c r="BQ111" i="1"/>
  <c r="AW109" i="1"/>
  <c r="AW110" i="1"/>
  <c r="AS113" i="1"/>
  <c r="AW111" i="1"/>
  <c r="AV113" i="1"/>
  <c r="AZ111" i="1"/>
  <c r="AZ110" i="1"/>
  <c r="AZ109" i="1"/>
  <c r="AY111" i="1"/>
  <c r="AU113" i="1"/>
  <c r="AY94" i="1"/>
  <c r="AT110" i="1"/>
  <c r="BW110" i="1"/>
  <c r="AM113" i="1"/>
  <c r="BS94" i="1"/>
  <c r="AO111" i="1"/>
  <c r="AO109" i="1"/>
  <c r="AS94" i="1"/>
  <c r="AO110" i="1"/>
  <c r="BP94" i="1"/>
  <c r="BL113" i="1"/>
  <c r="BP110" i="1"/>
  <c r="BP111" i="1"/>
  <c r="BP109" i="1"/>
  <c r="AS110" i="1"/>
  <c r="AO113" i="1"/>
  <c r="AS111" i="1"/>
  <c r="AS109" i="1"/>
  <c r="AW94" i="1"/>
  <c r="AV110" i="1"/>
  <c r="AV109" i="1"/>
  <c r="AZ94" i="1"/>
  <c r="AV111" i="1"/>
  <c r="AR113" i="1"/>
  <c r="AT111" i="1"/>
  <c r="AT109" i="1"/>
  <c r="AY109" i="1"/>
  <c r="BA113" i="1"/>
  <c r="CC94" i="1"/>
  <c r="BY111" i="1"/>
  <c r="BU113" i="1"/>
  <c r="BY110" i="1"/>
  <c r="BY109" i="1"/>
  <c r="AT94" i="1"/>
  <c r="AP111" i="1"/>
  <c r="AP94" i="1"/>
  <c r="AL113" i="1"/>
  <c r="AP110" i="1"/>
  <c r="AP109" i="1"/>
  <c r="BR94" i="1"/>
  <c r="BJ113" i="1"/>
  <c r="BN111" i="1"/>
  <c r="BN109" i="1"/>
  <c r="BN110" i="1"/>
  <c r="AN113" i="1"/>
  <c r="AR111" i="1"/>
  <c r="AR110" i="1"/>
  <c r="AR109" i="1"/>
  <c r="AV94" i="1"/>
  <c r="AX110" i="1"/>
  <c r="AX109" i="1"/>
  <c r="AT113" i="1"/>
  <c r="AX111" i="1"/>
  <c r="BX94" i="1"/>
  <c r="BG118" i="1"/>
  <c r="BG120" i="1"/>
  <c r="BG119" i="1"/>
  <c r="AQ119" i="1"/>
  <c r="AQ120" i="1"/>
  <c r="AQ118" i="1"/>
  <c r="AC218" i="1"/>
  <c r="AC156" i="1"/>
  <c r="AC158" i="1" s="1"/>
  <c r="AC57" i="1" s="1"/>
  <c r="CT158" i="1"/>
  <c r="AD149" i="1"/>
  <c r="AD152" i="1" s="1"/>
  <c r="AD273" i="1" s="1"/>
  <c r="AR133" i="1"/>
  <c r="W85" i="1"/>
  <c r="BU94" i="1" l="1"/>
  <c r="BI94" i="1"/>
  <c r="BA109" i="1"/>
  <c r="BB94" i="1"/>
  <c r="BA94" i="1"/>
  <c r="BK109" i="1"/>
  <c r="BK110" i="1"/>
  <c r="BK111" i="1"/>
  <c r="BG113" i="1"/>
  <c r="BV113" i="1"/>
  <c r="BY94" i="1"/>
  <c r="BQ113" i="1"/>
  <c r="BU111" i="1"/>
  <c r="BU110" i="1"/>
  <c r="AW113" i="1"/>
  <c r="BE94" i="1"/>
  <c r="BA111" i="1"/>
  <c r="CD94" i="1"/>
  <c r="BZ111" i="1"/>
  <c r="BO94" i="1"/>
  <c r="BJ110" i="1"/>
  <c r="BJ109" i="1"/>
  <c r="BA110" i="1"/>
  <c r="BC113" i="1"/>
  <c r="BG109" i="1"/>
  <c r="BG110" i="1"/>
  <c r="BG111" i="1"/>
  <c r="BK94" i="1"/>
  <c r="BZ110" i="1"/>
  <c r="CC114" i="1" s="1"/>
  <c r="BN94" i="1"/>
  <c r="BZ109" i="1"/>
  <c r="AX113" i="1"/>
  <c r="BB111" i="1"/>
  <c r="BB110" i="1"/>
  <c r="BB109" i="1"/>
  <c r="BH111" i="1"/>
  <c r="BH109" i="1"/>
  <c r="BD113" i="1"/>
  <c r="BL94" i="1"/>
  <c r="BH110" i="1"/>
  <c r="BW118" i="1"/>
  <c r="BW120" i="1"/>
  <c r="BW119" i="1"/>
  <c r="BD94" i="1"/>
  <c r="AZ113" i="1"/>
  <c r="BD109" i="1"/>
  <c r="BH94" i="1"/>
  <c r="BD111" i="1"/>
  <c r="BD110" i="1"/>
  <c r="BC94" i="1"/>
  <c r="BJ111" i="1"/>
  <c r="BC111" i="1"/>
  <c r="AY113" i="1"/>
  <c r="BG94" i="1"/>
  <c r="BC110" i="1"/>
  <c r="BC109" i="1"/>
  <c r="BM94" i="1"/>
  <c r="BI111" i="1"/>
  <c r="BI109" i="1"/>
  <c r="BI110" i="1"/>
  <c r="BE113" i="1"/>
  <c r="BF110" i="1"/>
  <c r="BB113" i="1"/>
  <c r="BF111" i="1"/>
  <c r="BF109" i="1"/>
  <c r="BJ94" i="1"/>
  <c r="BF94" i="1"/>
  <c r="BA120" i="1"/>
  <c r="BA118" i="1"/>
  <c r="BA119" i="1"/>
  <c r="CB114" i="1"/>
  <c r="BT114" i="1"/>
  <c r="BH114" i="1"/>
  <c r="BG114" i="1"/>
  <c r="BB114" i="1"/>
  <c r="AW114" i="1"/>
  <c r="BY114" i="1"/>
  <c r="AZ114" i="1"/>
  <c r="AR114" i="1"/>
  <c r="AV114" i="1"/>
  <c r="BJ114" i="1"/>
  <c r="BE114" i="1"/>
  <c r="AS114" i="1"/>
  <c r="AU114" i="1"/>
  <c r="BA114" i="1"/>
  <c r="AT114" i="1"/>
  <c r="AQ114" i="1"/>
  <c r="AP114" i="1"/>
  <c r="AO114" i="1"/>
  <c r="BP114" i="1"/>
  <c r="BO114" i="1"/>
  <c r="AY114" i="1"/>
  <c r="AX114" i="1"/>
  <c r="BR114" i="1"/>
  <c r="BC114" i="1"/>
  <c r="BZ114" i="1"/>
  <c r="BS114" i="1"/>
  <c r="BQ114" i="1"/>
  <c r="CU56" i="1"/>
  <c r="CT162" i="1"/>
  <c r="AD230" i="1"/>
  <c r="AB162" i="1"/>
  <c r="AR134" i="1"/>
  <c r="AR137" i="1" s="1"/>
  <c r="AR135" i="1"/>
  <c r="AR138" i="1" s="1"/>
  <c r="CA251" i="1"/>
  <c r="CB251" i="1"/>
  <c r="W217" i="1"/>
  <c r="W219" i="1" s="1"/>
  <c r="BU251" i="1"/>
  <c r="BI114" i="1" l="1"/>
  <c r="CA114" i="1"/>
  <c r="BL114" i="1"/>
  <c r="BV114" i="1"/>
  <c r="BU114" i="1"/>
  <c r="BW114" i="1"/>
  <c r="BF114" i="1"/>
  <c r="BK114" i="1"/>
  <c r="BM114" i="1"/>
  <c r="BN114" i="1"/>
  <c r="BD114" i="1"/>
  <c r="BX114" i="1"/>
  <c r="CT227" i="1"/>
  <c r="CT225" i="1" s="1"/>
  <c r="CU218" i="1"/>
  <c r="CU156" i="1"/>
  <c r="AB227" i="1"/>
  <c r="AB225" i="1" s="1"/>
  <c r="AE148" i="1"/>
  <c r="CA113" i="1"/>
  <c r="CU158" i="1" l="1"/>
  <c r="CF113" i="1"/>
  <c r="W113" i="1"/>
  <c r="W93" i="1"/>
  <c r="W92" i="1"/>
  <c r="CU162" i="1" l="1"/>
  <c r="CV56" i="1"/>
  <c r="AE149" i="1"/>
  <c r="AE152" i="1" s="1"/>
  <c r="AE273" i="1" s="1"/>
  <c r="W94" i="1"/>
  <c r="X94" i="1"/>
  <c r="X113" i="1"/>
  <c r="W111" i="1"/>
  <c r="V113" i="1"/>
  <c r="W109" i="1"/>
  <c r="W110" i="1"/>
  <c r="CV218" i="1" l="1"/>
  <c r="CV156" i="1"/>
  <c r="CU227" i="1"/>
  <c r="CU225" i="1" s="1"/>
  <c r="AE230" i="1"/>
  <c r="AC162" i="1"/>
  <c r="W144" i="1"/>
  <c r="CV158" i="1" l="1"/>
  <c r="W78" i="1"/>
  <c r="W116" i="1"/>
  <c r="AC227" i="1"/>
  <c r="AC225" i="1" s="1"/>
  <c r="X231" i="1"/>
  <c r="X229" i="1" s="1"/>
  <c r="W231" i="1"/>
  <c r="W229" i="1" s="1"/>
  <c r="W153" i="1"/>
  <c r="W79" i="1" s="1"/>
  <c r="W199" i="1"/>
  <c r="CW56" i="1" l="1"/>
  <c r="CV162" i="1"/>
  <c r="W119" i="1"/>
  <c r="W118" i="1"/>
  <c r="W120" i="1"/>
  <c r="CV227" i="1" l="1"/>
  <c r="CV225" i="1" s="1"/>
  <c r="CW218" i="1"/>
  <c r="CW156" i="1"/>
  <c r="CW158" i="1" l="1"/>
  <c r="CW162" i="1" l="1"/>
  <c r="CX56" i="1"/>
  <c r="AD56" i="1" l="1"/>
  <c r="CX218" i="1"/>
  <c r="CX156" i="1"/>
  <c r="CW227" i="1"/>
  <c r="CW225" i="1" s="1"/>
  <c r="AD218" i="1" l="1"/>
  <c r="AD156" i="1"/>
  <c r="AD158" i="1" s="1"/>
  <c r="CX158" i="1"/>
  <c r="AD162" i="1" l="1"/>
  <c r="AD227" i="1" s="1"/>
  <c r="AD225" i="1" s="1"/>
  <c r="AD57" i="1"/>
  <c r="CX162" i="1"/>
  <c r="CY56" i="1"/>
  <c r="CY218" i="1" l="1"/>
  <c r="CY156" i="1"/>
  <c r="CX227" i="1"/>
  <c r="CX225" i="1" s="1"/>
  <c r="CY158" i="1" l="1"/>
  <c r="W204" i="1"/>
  <c r="CY162" i="1" l="1"/>
  <c r="CZ56" i="1"/>
  <c r="W207" i="1"/>
  <c r="W180" i="1"/>
  <c r="X221" i="1" s="1"/>
  <c r="CZ218" i="1" l="1"/>
  <c r="CZ156" i="1"/>
  <c r="CY227" i="1"/>
  <c r="CY225" i="1" s="1"/>
  <c r="W209" i="1"/>
  <c r="W208" i="1" s="1"/>
  <c r="W221" i="1"/>
  <c r="W172" i="1"/>
  <c r="X220" i="1" s="1"/>
  <c r="X222" i="1" s="1"/>
  <c r="X223" i="1" s="1"/>
  <c r="X237" i="1" s="1"/>
  <c r="W203" i="1"/>
  <c r="CZ158" i="1" l="1"/>
  <c r="W206" i="1"/>
  <c r="W181" i="1"/>
  <c r="W220" i="1"/>
  <c r="W222" i="1" s="1"/>
  <c r="W223" i="1" s="1"/>
  <c r="CZ162" i="1" l="1"/>
  <c r="CZ227" i="1" s="1"/>
  <c r="CZ225" i="1" s="1"/>
  <c r="DA56" i="1"/>
  <c r="W205" i="1"/>
  <c r="W210" i="1"/>
  <c r="W234" i="1"/>
  <c r="W237" i="1"/>
  <c r="DA218" i="1" l="1"/>
  <c r="DA156" i="1"/>
  <c r="W213" i="1"/>
  <c r="W214" i="1" s="1"/>
  <c r="X213" i="1"/>
  <c r="X214" i="1" s="1"/>
  <c r="DA158" i="1" l="1"/>
  <c r="W185" i="1"/>
  <c r="X233" i="1" l="1"/>
  <c r="X234" i="1" s="1"/>
  <c r="X235" i="1" s="1"/>
  <c r="W270" i="1"/>
  <c r="W272" i="1"/>
  <c r="W268" i="1"/>
  <c r="DA162" i="1"/>
  <c r="DA227" i="1" s="1"/>
  <c r="DA225" i="1" s="1"/>
  <c r="DB56" i="1"/>
  <c r="W192" i="1"/>
  <c r="W133" i="1" s="1"/>
  <c r="W189" i="1"/>
  <c r="W235" i="1"/>
  <c r="AE56" i="1" l="1"/>
  <c r="AE218" i="1" s="1"/>
  <c r="DB218" i="1"/>
  <c r="DB156" i="1"/>
  <c r="W135" i="1"/>
  <c r="W138" i="1" s="1"/>
  <c r="W134" i="1"/>
  <c r="W137" i="1" s="1"/>
  <c r="W190" i="1"/>
  <c r="DB158" i="1" l="1"/>
  <c r="DB162" i="1" s="1"/>
  <c r="DB227" i="1" s="1"/>
  <c r="DB225" i="1" s="1"/>
  <c r="AE156" i="1"/>
  <c r="AE158" i="1" s="1"/>
  <c r="C111" i="2"/>
  <c r="C113" i="2"/>
  <c r="C112" i="2"/>
  <c r="AE162" i="1" l="1"/>
  <c r="AE227" i="1" s="1"/>
  <c r="AE225" i="1" s="1"/>
  <c r="AE57" i="1"/>
  <c r="B97" i="1"/>
  <c r="B98" i="1"/>
  <c r="AK203" i="1" l="1"/>
  <c r="AK168" i="1" s="1"/>
  <c r="AM168" i="1" l="1"/>
  <c r="AO168" i="1" l="1"/>
  <c r="AQ168" i="1" l="1"/>
  <c r="AS168" i="1" l="1"/>
  <c r="AU168" i="1" l="1"/>
  <c r="AW168" i="1" l="1"/>
  <c r="AY168" i="1" l="1"/>
  <c r="BA168" i="1" l="1"/>
  <c r="BC168" i="1" l="1"/>
  <c r="BE168" i="1" l="1"/>
  <c r="BG168" i="1" l="1"/>
  <c r="BI168" i="1" l="1"/>
  <c r="BK168" i="1" l="1"/>
  <c r="BM168" i="1" l="1"/>
  <c r="BO168" i="1" l="1"/>
  <c r="BQ168" i="1" l="1"/>
  <c r="BS168" i="1" l="1"/>
  <c r="BU168" i="1" l="1"/>
  <c r="BW168" i="1" l="1"/>
  <c r="BY168" i="1" l="1"/>
  <c r="AK169" i="1" l="1"/>
  <c r="AK172" i="1" s="1"/>
  <c r="AL220" i="1" l="1"/>
  <c r="AK220" i="1"/>
  <c r="AK206" i="1"/>
  <c r="AM169" i="1"/>
  <c r="AM172" i="1" s="1"/>
  <c r="AM206" i="1" l="1"/>
  <c r="AM205" i="1" s="1"/>
  <c r="AN220" i="1"/>
  <c r="AM220" i="1"/>
  <c r="AJ205" i="1"/>
  <c r="AK205" i="1"/>
  <c r="AO169" i="1" l="1"/>
  <c r="AO172" i="1" s="1"/>
  <c r="AP220" i="1" l="1"/>
  <c r="AO206" i="1"/>
  <c r="AO205" i="1" s="1"/>
  <c r="AO220" i="1"/>
  <c r="AQ169" i="1" l="1"/>
  <c r="AQ172" i="1" s="1"/>
  <c r="AQ206" i="1" l="1"/>
  <c r="AQ205" i="1" s="1"/>
  <c r="AR220" i="1"/>
  <c r="AQ220" i="1"/>
  <c r="AS169" i="1" l="1"/>
  <c r="AS172" i="1" s="1"/>
  <c r="AT220" i="1" l="1"/>
  <c r="AS206" i="1"/>
  <c r="AS205" i="1" s="1"/>
  <c r="AS220" i="1"/>
  <c r="AU169" i="1" l="1"/>
  <c r="AU172" i="1" s="1"/>
  <c r="AU206" i="1" l="1"/>
  <c r="AU205" i="1" s="1"/>
  <c r="AV220" i="1"/>
  <c r="AU220" i="1"/>
  <c r="AW169" i="1" l="1"/>
  <c r="AW172" i="1" s="1"/>
  <c r="AW206" i="1" l="1"/>
  <c r="AW205" i="1" s="1"/>
  <c r="AX220" i="1"/>
  <c r="AW220" i="1"/>
  <c r="AY169" i="1" l="1"/>
  <c r="AY172" i="1" s="1"/>
  <c r="AY206" i="1" l="1"/>
  <c r="AY205" i="1" s="1"/>
  <c r="AZ220" i="1"/>
  <c r="AY220" i="1"/>
  <c r="BA169" i="1" l="1"/>
  <c r="BA172" i="1" s="1"/>
  <c r="BB220" i="1" l="1"/>
  <c r="BA206" i="1"/>
  <c r="BA205" i="1" s="1"/>
  <c r="BA220" i="1"/>
  <c r="BC169" i="1" l="1"/>
  <c r="BC172" i="1" s="1"/>
  <c r="BD220" i="1" l="1"/>
  <c r="BC206" i="1"/>
  <c r="BC205" i="1" s="1"/>
  <c r="BC220" i="1"/>
  <c r="BE169" i="1" l="1"/>
  <c r="BE172" i="1" s="1"/>
  <c r="BF220" i="1" l="1"/>
  <c r="BE206" i="1"/>
  <c r="BE205" i="1" s="1"/>
  <c r="BE220" i="1"/>
  <c r="BG169" i="1" l="1"/>
  <c r="BG172" i="1" s="1"/>
  <c r="BG206" i="1" l="1"/>
  <c r="BG205" i="1" s="1"/>
  <c r="BH220" i="1"/>
  <c r="BG220" i="1"/>
  <c r="BI169" i="1" l="1"/>
  <c r="BI172" i="1" s="1"/>
  <c r="BJ220" i="1" l="1"/>
  <c r="BI206" i="1"/>
  <c r="BI205" i="1" s="1"/>
  <c r="BI220" i="1"/>
  <c r="BK169" i="1" l="1"/>
  <c r="BK172" i="1" s="1"/>
  <c r="BL220" i="1" l="1"/>
  <c r="BK206" i="1"/>
  <c r="BK205" i="1" s="1"/>
  <c r="BK220" i="1"/>
  <c r="BM169" i="1" l="1"/>
  <c r="BM172" i="1" s="1"/>
  <c r="BM206" i="1" l="1"/>
  <c r="BM205" i="1" s="1"/>
  <c r="BN220" i="1"/>
  <c r="BM220" i="1"/>
  <c r="BO169" i="1" l="1"/>
  <c r="BO172" i="1" s="1"/>
  <c r="BO206" i="1" l="1"/>
  <c r="BO205" i="1" s="1"/>
  <c r="BP220" i="1"/>
  <c r="BO220" i="1"/>
  <c r="BQ169" i="1" l="1"/>
  <c r="BQ172" i="1" s="1"/>
  <c r="BR220" i="1" l="1"/>
  <c r="BQ206" i="1"/>
  <c r="BQ205" i="1" s="1"/>
  <c r="BQ220" i="1"/>
  <c r="BS169" i="1" l="1"/>
  <c r="BS172" i="1" s="1"/>
  <c r="BT220" i="1" l="1"/>
  <c r="BS206" i="1"/>
  <c r="BS205" i="1" s="1"/>
  <c r="BS220" i="1"/>
  <c r="BU169" i="1" l="1"/>
  <c r="BU172" i="1" s="1"/>
  <c r="BU206" i="1" l="1"/>
  <c r="BU205" i="1" s="1"/>
  <c r="BV220" i="1"/>
  <c r="BU220" i="1"/>
  <c r="BW169" i="1" l="1"/>
  <c r="BW172" i="1" s="1"/>
  <c r="BW206" i="1" l="1"/>
  <c r="BW205" i="1" s="1"/>
  <c r="BX220" i="1"/>
  <c r="BW220" i="1"/>
  <c r="BY169" i="1" l="1"/>
  <c r="BY172" i="1" s="1"/>
  <c r="BZ220" i="1" l="1"/>
  <c r="BY206" i="1"/>
  <c r="BY205" i="1" s="1"/>
  <c r="BY220" i="1"/>
  <c r="AK207" i="1" l="1"/>
  <c r="AK177" i="1" s="1"/>
  <c r="AK180" i="1" s="1"/>
  <c r="AK181" i="1" l="1"/>
  <c r="AK209" i="1"/>
  <c r="AL221" i="1"/>
  <c r="AL222" i="1" s="1"/>
  <c r="AL223" i="1" s="1"/>
  <c r="AL237" i="1" s="1"/>
  <c r="AK221" i="1"/>
  <c r="AK222" i="1" s="1"/>
  <c r="AK223" i="1" s="1"/>
  <c r="AM177" i="1"/>
  <c r="AM180" i="1" s="1"/>
  <c r="AK237" i="1" l="1"/>
  <c r="AK234" i="1"/>
  <c r="AK184" i="1" s="1"/>
  <c r="AK185" i="1" s="1"/>
  <c r="AK189" i="1" s="1"/>
  <c r="AK190" i="1" s="1"/>
  <c r="AN221" i="1"/>
  <c r="AN222" i="1" s="1"/>
  <c r="AN223" i="1" s="1"/>
  <c r="AN237" i="1" s="1"/>
  <c r="AM209" i="1"/>
  <c r="AM208" i="1" s="1"/>
  <c r="AM221" i="1"/>
  <c r="AM222" i="1" s="1"/>
  <c r="AM223" i="1" s="1"/>
  <c r="AM181" i="1"/>
  <c r="AJ208" i="1"/>
  <c r="AJ210" i="1"/>
  <c r="AN213" i="1" s="1"/>
  <c r="AK208" i="1"/>
  <c r="AK210" i="1"/>
  <c r="AO177" i="1"/>
  <c r="AO180" i="1" s="1"/>
  <c r="AM210" i="1" l="1"/>
  <c r="AO209" i="1"/>
  <c r="AO208" i="1" s="1"/>
  <c r="AP221" i="1"/>
  <c r="AP222" i="1" s="1"/>
  <c r="AP223" i="1" s="1"/>
  <c r="AP237" i="1" s="1"/>
  <c r="AO221" i="1"/>
  <c r="AO222" i="1" s="1"/>
  <c r="AO223" i="1" s="1"/>
  <c r="AM237" i="1"/>
  <c r="AM234" i="1"/>
  <c r="AO181" i="1"/>
  <c r="AL233" i="1" l="1"/>
  <c r="AL234" i="1" s="1"/>
  <c r="AL235" i="1" s="1"/>
  <c r="AK235" i="1"/>
  <c r="AO210" i="1"/>
  <c r="AO213" i="1" s="1"/>
  <c r="AO237" i="1"/>
  <c r="AO234" i="1"/>
  <c r="AQ177" i="1"/>
  <c r="AQ180" i="1" s="1"/>
  <c r="AK192" i="1"/>
  <c r="AL61" i="1" s="1"/>
  <c r="AM184" i="1"/>
  <c r="AM185" i="1" s="1"/>
  <c r="AM189" i="1" s="1"/>
  <c r="AN233" i="1" l="1"/>
  <c r="AN234" i="1" s="1"/>
  <c r="AN235" i="1" s="1"/>
  <c r="AM272" i="1"/>
  <c r="AM270" i="1"/>
  <c r="AM268" i="1"/>
  <c r="AQ209" i="1"/>
  <c r="AQ208" i="1" s="1"/>
  <c r="AR221" i="1"/>
  <c r="AR222" i="1" s="1"/>
  <c r="AR223" i="1" s="1"/>
  <c r="AR237" i="1" s="1"/>
  <c r="AQ221" i="1"/>
  <c r="AQ222" i="1" s="1"/>
  <c r="AQ223" i="1" s="1"/>
  <c r="AM235" i="1"/>
  <c r="AQ181" i="1"/>
  <c r="AO184" i="1"/>
  <c r="AO185" i="1" s="1"/>
  <c r="AM192" i="1"/>
  <c r="AO270" i="1" l="1"/>
  <c r="AO272" i="1"/>
  <c r="AO268" i="1"/>
  <c r="AM133" i="1"/>
  <c r="AM134" i="1" s="1"/>
  <c r="AM137" i="1" s="1"/>
  <c r="AN61" i="1"/>
  <c r="AQ210" i="1"/>
  <c r="AQ213" i="1" s="1"/>
  <c r="AQ237" i="1"/>
  <c r="AQ234" i="1"/>
  <c r="AP233" i="1"/>
  <c r="AP234" i="1" s="1"/>
  <c r="AP235" i="1" s="1"/>
  <c r="AO235" i="1"/>
  <c r="AS177" i="1"/>
  <c r="AS180" i="1" s="1"/>
  <c r="AO192" i="1"/>
  <c r="AO189" i="1"/>
  <c r="AM190" i="1"/>
  <c r="AM135" i="1" l="1"/>
  <c r="AM138" i="1" s="1"/>
  <c r="AO133" i="1"/>
  <c r="AO135" i="1" s="1"/>
  <c r="AO138" i="1" s="1"/>
  <c r="AP61" i="1"/>
  <c r="AS209" i="1"/>
  <c r="AS208" i="1" s="1"/>
  <c r="AT221" i="1"/>
  <c r="AT222" i="1" s="1"/>
  <c r="AT223" i="1" s="1"/>
  <c r="AT237" i="1" s="1"/>
  <c r="AS221" i="1"/>
  <c r="AS222" i="1" s="1"/>
  <c r="AS223" i="1" s="1"/>
  <c r="AO190" i="1"/>
  <c r="AS181" i="1"/>
  <c r="AQ184" i="1"/>
  <c r="AQ185" i="1" s="1"/>
  <c r="AQ270" i="1" l="1"/>
  <c r="AQ272" i="1"/>
  <c r="AQ268" i="1"/>
  <c r="AO134" i="1"/>
  <c r="AO137" i="1" s="1"/>
  <c r="AS210" i="1"/>
  <c r="AS213" i="1" s="1"/>
  <c r="AS237" i="1"/>
  <c r="AS234" i="1"/>
  <c r="AR233" i="1"/>
  <c r="AR234" i="1" s="1"/>
  <c r="AR235" i="1" s="1"/>
  <c r="AQ235" i="1"/>
  <c r="AQ189" i="1"/>
  <c r="AQ192" i="1"/>
  <c r="AU177" i="1"/>
  <c r="AU180" i="1" s="1"/>
  <c r="AQ133" i="1" l="1"/>
  <c r="AQ134" i="1" s="1"/>
  <c r="AQ137" i="1" s="1"/>
  <c r="AR61" i="1"/>
  <c r="AU209" i="1"/>
  <c r="AU208" i="1" s="1"/>
  <c r="AV221" i="1"/>
  <c r="AV222" i="1" s="1"/>
  <c r="AV223" i="1" s="1"/>
  <c r="AV237" i="1" s="1"/>
  <c r="AU221" i="1"/>
  <c r="AU222" i="1" s="1"/>
  <c r="AU223" i="1" s="1"/>
  <c r="AU181" i="1"/>
  <c r="AS184" i="1"/>
  <c r="AS185" i="1" s="1"/>
  <c r="AQ190" i="1"/>
  <c r="AS272" i="1" l="1"/>
  <c r="AS270" i="1"/>
  <c r="AS268" i="1"/>
  <c r="AQ135" i="1"/>
  <c r="AQ138" i="1" s="1"/>
  <c r="AU210" i="1"/>
  <c r="AU213" i="1" s="1"/>
  <c r="AU237" i="1"/>
  <c r="AU234" i="1"/>
  <c r="AT233" i="1"/>
  <c r="AT234" i="1" s="1"/>
  <c r="AT235" i="1" s="1"/>
  <c r="AS235" i="1"/>
  <c r="AS192" i="1"/>
  <c r="AS189" i="1"/>
  <c r="AW177" i="1"/>
  <c r="AW180" i="1" s="1"/>
  <c r="AS133" i="1" l="1"/>
  <c r="AS134" i="1" s="1"/>
  <c r="AS137" i="1" s="1"/>
  <c r="AT61" i="1"/>
  <c r="AW209" i="1"/>
  <c r="AW210" i="1" s="1"/>
  <c r="AW213" i="1" s="1"/>
  <c r="AX221" i="1"/>
  <c r="AX222" i="1" s="1"/>
  <c r="AX223" i="1" s="1"/>
  <c r="AX237" i="1" s="1"/>
  <c r="AW221" i="1"/>
  <c r="AW222" i="1" s="1"/>
  <c r="AW223" i="1" s="1"/>
  <c r="AU184" i="1"/>
  <c r="AU185" i="1" s="1"/>
  <c r="AS190" i="1"/>
  <c r="AW181" i="1"/>
  <c r="AU272" i="1" l="1"/>
  <c r="AU270" i="1"/>
  <c r="AU268" i="1"/>
  <c r="AS135" i="1"/>
  <c r="AS138" i="1" s="1"/>
  <c r="AW208" i="1"/>
  <c r="AW237" i="1"/>
  <c r="AW234" i="1"/>
  <c r="AV233" i="1"/>
  <c r="AV234" i="1" s="1"/>
  <c r="AV235" i="1" s="1"/>
  <c r="AU235" i="1"/>
  <c r="AU192" i="1"/>
  <c r="AU189" i="1"/>
  <c r="AY177" i="1"/>
  <c r="AY180" i="1" s="1"/>
  <c r="AU133" i="1" l="1"/>
  <c r="AU135" i="1" s="1"/>
  <c r="AU138" i="1" s="1"/>
  <c r="AV61" i="1"/>
  <c r="AY209" i="1"/>
  <c r="AY208" i="1" s="1"/>
  <c r="AZ221" i="1"/>
  <c r="AZ222" i="1" s="1"/>
  <c r="AZ223" i="1" s="1"/>
  <c r="AZ237" i="1" s="1"/>
  <c r="AY221" i="1"/>
  <c r="AY222" i="1" s="1"/>
  <c r="AY223" i="1" s="1"/>
  <c r="AW184" i="1"/>
  <c r="AW185" i="1" s="1"/>
  <c r="AY181" i="1"/>
  <c r="AU190" i="1"/>
  <c r="AW270" i="1" l="1"/>
  <c r="AW272" i="1"/>
  <c r="AW268" i="1"/>
  <c r="AU134" i="1"/>
  <c r="AU137" i="1" s="1"/>
  <c r="AY210" i="1"/>
  <c r="AY213" i="1" s="1"/>
  <c r="AY237" i="1"/>
  <c r="AY234" i="1"/>
  <c r="AX233" i="1"/>
  <c r="AX234" i="1" s="1"/>
  <c r="AX235" i="1" s="1"/>
  <c r="AW235" i="1"/>
  <c r="BA177" i="1"/>
  <c r="BA180" i="1" s="1"/>
  <c r="AW189" i="1"/>
  <c r="AW192" i="1"/>
  <c r="AW133" i="1" l="1"/>
  <c r="AW135" i="1" s="1"/>
  <c r="AW138" i="1" s="1"/>
  <c r="AX61" i="1"/>
  <c r="BB221" i="1"/>
  <c r="BB222" i="1" s="1"/>
  <c r="BB223" i="1" s="1"/>
  <c r="BB237" i="1" s="1"/>
  <c r="BA209" i="1"/>
  <c r="BA208" i="1" s="1"/>
  <c r="BA221" i="1"/>
  <c r="BA222" i="1" s="1"/>
  <c r="BA223" i="1" s="1"/>
  <c r="AW190" i="1"/>
  <c r="BA181" i="1"/>
  <c r="AY184" i="1"/>
  <c r="AY185" i="1" s="1"/>
  <c r="AY270" i="1" l="1"/>
  <c r="AY272" i="1"/>
  <c r="AY268" i="1"/>
  <c r="AW134" i="1"/>
  <c r="AW137" i="1" s="1"/>
  <c r="BA210" i="1"/>
  <c r="BA213" i="1" s="1"/>
  <c r="BA237" i="1"/>
  <c r="BA234" i="1"/>
  <c r="AZ233" i="1"/>
  <c r="AZ234" i="1" s="1"/>
  <c r="AZ235" i="1" s="1"/>
  <c r="AY235" i="1"/>
  <c r="AY189" i="1"/>
  <c r="AY192" i="1"/>
  <c r="BC177" i="1"/>
  <c r="BC180" i="1" s="1"/>
  <c r="AY133" i="1" l="1"/>
  <c r="AY135" i="1" s="1"/>
  <c r="AY138" i="1" s="1"/>
  <c r="AZ61" i="1"/>
  <c r="BC209" i="1"/>
  <c r="BC208" i="1" s="1"/>
  <c r="BD221" i="1"/>
  <c r="BD222" i="1" s="1"/>
  <c r="BD223" i="1" s="1"/>
  <c r="BD237" i="1" s="1"/>
  <c r="BC221" i="1"/>
  <c r="BC222" i="1" s="1"/>
  <c r="BC223" i="1" s="1"/>
  <c r="AY190" i="1"/>
  <c r="BC181" i="1"/>
  <c r="BA184" i="1"/>
  <c r="BA185" i="1" s="1"/>
  <c r="BA272" i="1" l="1"/>
  <c r="BA270" i="1"/>
  <c r="BA268" i="1"/>
  <c r="AY134" i="1"/>
  <c r="AY137" i="1" s="1"/>
  <c r="BC210" i="1"/>
  <c r="BC213" i="1" s="1"/>
  <c r="BC237" i="1"/>
  <c r="BC234" i="1"/>
  <c r="BB233" i="1"/>
  <c r="BB234" i="1" s="1"/>
  <c r="BB235" i="1" s="1"/>
  <c r="BA235" i="1"/>
  <c r="BE177" i="1"/>
  <c r="BE180" i="1" s="1"/>
  <c r="BA192" i="1"/>
  <c r="BA189" i="1"/>
  <c r="BA133" i="1" l="1"/>
  <c r="BA134" i="1" s="1"/>
  <c r="BA137" i="1" s="1"/>
  <c r="BB61" i="1"/>
  <c r="BE209" i="1"/>
  <c r="BE208" i="1" s="1"/>
  <c r="BF221" i="1"/>
  <c r="BF222" i="1" s="1"/>
  <c r="BF223" i="1" s="1"/>
  <c r="BF237" i="1" s="1"/>
  <c r="BE221" i="1"/>
  <c r="BE222" i="1" s="1"/>
  <c r="BE223" i="1" s="1"/>
  <c r="BC184" i="1"/>
  <c r="BC185" i="1" s="1"/>
  <c r="BA190" i="1"/>
  <c r="BE181" i="1"/>
  <c r="BC272" i="1" l="1"/>
  <c r="BC270" i="1"/>
  <c r="BC268" i="1"/>
  <c r="BA135" i="1"/>
  <c r="BA138" i="1" s="1"/>
  <c r="BE210" i="1"/>
  <c r="BE213" i="1" s="1"/>
  <c r="BE237" i="1"/>
  <c r="BE234" i="1"/>
  <c r="BD233" i="1"/>
  <c r="BD234" i="1" s="1"/>
  <c r="BD235" i="1" s="1"/>
  <c r="BC235" i="1"/>
  <c r="BG177" i="1"/>
  <c r="BG180" i="1" s="1"/>
  <c r="BC189" i="1"/>
  <c r="BC192" i="1"/>
  <c r="BC133" i="1" l="1"/>
  <c r="BC134" i="1" s="1"/>
  <c r="BC137" i="1" s="1"/>
  <c r="BD61" i="1"/>
  <c r="BG209" i="1"/>
  <c r="BG210" i="1" s="1"/>
  <c r="BG213" i="1" s="1"/>
  <c r="BH221" i="1"/>
  <c r="BH222" i="1" s="1"/>
  <c r="BH223" i="1" s="1"/>
  <c r="BH237" i="1" s="1"/>
  <c r="BG221" i="1"/>
  <c r="BG222" i="1" s="1"/>
  <c r="BG223" i="1" s="1"/>
  <c r="BC190" i="1"/>
  <c r="BE184" i="1"/>
  <c r="BE185" i="1" s="1"/>
  <c r="BG181" i="1"/>
  <c r="BE270" i="1" l="1"/>
  <c r="BE272" i="1"/>
  <c r="BE268" i="1"/>
  <c r="BC135" i="1"/>
  <c r="BC138" i="1" s="1"/>
  <c r="BG208" i="1"/>
  <c r="BG237" i="1"/>
  <c r="BG234" i="1"/>
  <c r="BF233" i="1"/>
  <c r="BF234" i="1" s="1"/>
  <c r="BF235" i="1" s="1"/>
  <c r="BE235" i="1"/>
  <c r="BE192" i="1"/>
  <c r="BE189" i="1"/>
  <c r="BI177" i="1"/>
  <c r="BI180" i="1" s="1"/>
  <c r="BE133" i="1" l="1"/>
  <c r="BE134" i="1" s="1"/>
  <c r="BE137" i="1" s="1"/>
  <c r="BF61" i="1"/>
  <c r="BI209" i="1"/>
  <c r="BI208" i="1" s="1"/>
  <c r="BJ221" i="1"/>
  <c r="BJ222" i="1" s="1"/>
  <c r="BJ223" i="1" s="1"/>
  <c r="BJ237" i="1" s="1"/>
  <c r="BI221" i="1"/>
  <c r="BI222" i="1" s="1"/>
  <c r="BI223" i="1" s="1"/>
  <c r="BE190" i="1"/>
  <c r="BG184" i="1"/>
  <c r="BG185" i="1" s="1"/>
  <c r="BI181" i="1"/>
  <c r="BG270" i="1" l="1"/>
  <c r="BG272" i="1"/>
  <c r="BG268" i="1"/>
  <c r="BE135" i="1"/>
  <c r="BE138" i="1" s="1"/>
  <c r="BI210" i="1"/>
  <c r="BI213" i="1" s="1"/>
  <c r="BI237" i="1"/>
  <c r="BI234" i="1"/>
  <c r="BH233" i="1"/>
  <c r="BH234" i="1" s="1"/>
  <c r="BH235" i="1" s="1"/>
  <c r="BG235" i="1"/>
  <c r="BG189" i="1"/>
  <c r="BG192" i="1"/>
  <c r="BK177" i="1"/>
  <c r="BK180" i="1" s="1"/>
  <c r="BG133" i="1" l="1"/>
  <c r="BG134" i="1" s="1"/>
  <c r="BG137" i="1" s="1"/>
  <c r="BH61" i="1"/>
  <c r="BL221" i="1"/>
  <c r="BL222" i="1" s="1"/>
  <c r="BL223" i="1" s="1"/>
  <c r="BL237" i="1" s="1"/>
  <c r="BK209" i="1"/>
  <c r="BK208" i="1" s="1"/>
  <c r="BK221" i="1"/>
  <c r="BK222" i="1" s="1"/>
  <c r="BK223" i="1" s="1"/>
  <c r="BK181" i="1"/>
  <c r="BG190" i="1"/>
  <c r="BI184" i="1"/>
  <c r="BI185" i="1" s="1"/>
  <c r="BI272" i="1" l="1"/>
  <c r="BI270" i="1"/>
  <c r="BI268" i="1"/>
  <c r="BG135" i="1"/>
  <c r="BG138" i="1" s="1"/>
  <c r="BK210" i="1"/>
  <c r="BK213" i="1" s="1"/>
  <c r="BK237" i="1"/>
  <c r="BK234" i="1"/>
  <c r="BJ233" i="1"/>
  <c r="BJ234" i="1" s="1"/>
  <c r="BJ235" i="1" s="1"/>
  <c r="BI235" i="1"/>
  <c r="BI192" i="1"/>
  <c r="BI189" i="1"/>
  <c r="BM177" i="1"/>
  <c r="BM180" i="1" s="1"/>
  <c r="BI133" i="1" l="1"/>
  <c r="BI135" i="1" s="1"/>
  <c r="BI138" i="1" s="1"/>
  <c r="BJ61" i="1"/>
  <c r="BM209" i="1"/>
  <c r="BM208" i="1" s="1"/>
  <c r="BN221" i="1"/>
  <c r="BN222" i="1" s="1"/>
  <c r="BN223" i="1" s="1"/>
  <c r="BN237" i="1" s="1"/>
  <c r="BM221" i="1"/>
  <c r="BM222" i="1" s="1"/>
  <c r="BM223" i="1" s="1"/>
  <c r="BM181" i="1"/>
  <c r="BI190" i="1"/>
  <c r="BK184" i="1"/>
  <c r="BK185" i="1" s="1"/>
  <c r="BK272" i="1" l="1"/>
  <c r="BK270" i="1"/>
  <c r="BK268" i="1"/>
  <c r="BI134" i="1"/>
  <c r="BI137" i="1" s="1"/>
  <c r="BM210" i="1"/>
  <c r="BM213" i="1" s="1"/>
  <c r="BM237" i="1"/>
  <c r="BM234" i="1"/>
  <c r="BL233" i="1"/>
  <c r="BL234" i="1" s="1"/>
  <c r="BL235" i="1" s="1"/>
  <c r="BK235" i="1"/>
  <c r="BK192" i="1"/>
  <c r="BK189" i="1"/>
  <c r="BO177" i="1"/>
  <c r="BO180" i="1" s="1"/>
  <c r="BK133" i="1" l="1"/>
  <c r="BK135" i="1" s="1"/>
  <c r="BK138" i="1" s="1"/>
  <c r="BL61" i="1"/>
  <c r="BO209" i="1"/>
  <c r="BO208" i="1" s="1"/>
  <c r="BP221" i="1"/>
  <c r="BP222" i="1" s="1"/>
  <c r="BP223" i="1" s="1"/>
  <c r="BP237" i="1" s="1"/>
  <c r="BO221" i="1"/>
  <c r="BO222" i="1" s="1"/>
  <c r="BO223" i="1" s="1"/>
  <c r="BM184" i="1"/>
  <c r="BM185" i="1" s="1"/>
  <c r="BK190" i="1"/>
  <c r="BO181" i="1"/>
  <c r="BM270" i="1" l="1"/>
  <c r="BM272" i="1"/>
  <c r="BM268" i="1"/>
  <c r="BK134" i="1"/>
  <c r="BK137" i="1" s="1"/>
  <c r="BO210" i="1"/>
  <c r="BO213" i="1" s="1"/>
  <c r="BO237" i="1"/>
  <c r="BO234" i="1"/>
  <c r="BN233" i="1"/>
  <c r="BN234" i="1" s="1"/>
  <c r="BN235" i="1" s="1"/>
  <c r="BM235" i="1"/>
  <c r="BM189" i="1"/>
  <c r="BM192" i="1"/>
  <c r="BQ177" i="1"/>
  <c r="BQ180" i="1" s="1"/>
  <c r="BM133" i="1" l="1"/>
  <c r="BM134" i="1" s="1"/>
  <c r="BM137" i="1" s="1"/>
  <c r="BN61" i="1"/>
  <c r="BQ209" i="1"/>
  <c r="BQ208" i="1" s="1"/>
  <c r="BR221" i="1"/>
  <c r="BR222" i="1" s="1"/>
  <c r="BR223" i="1" s="1"/>
  <c r="BR237" i="1" s="1"/>
  <c r="BQ221" i="1"/>
  <c r="BQ222" i="1" s="1"/>
  <c r="BQ223" i="1" s="1"/>
  <c r="BO184" i="1"/>
  <c r="BO185" i="1" s="1"/>
  <c r="BQ181" i="1"/>
  <c r="BM190" i="1"/>
  <c r="BO270" i="1" l="1"/>
  <c r="BO272" i="1"/>
  <c r="BO268" i="1"/>
  <c r="BM135" i="1"/>
  <c r="BM138" i="1" s="1"/>
  <c r="BQ210" i="1"/>
  <c r="BQ213" i="1" s="1"/>
  <c r="BQ237" i="1"/>
  <c r="BQ234" i="1"/>
  <c r="BP233" i="1"/>
  <c r="BP234" i="1" s="1"/>
  <c r="BP235" i="1" s="1"/>
  <c r="BO235" i="1"/>
  <c r="BS177" i="1"/>
  <c r="BS180" i="1" s="1"/>
  <c r="BO189" i="1"/>
  <c r="BO192" i="1"/>
  <c r="BO133" i="1" l="1"/>
  <c r="BO134" i="1" s="1"/>
  <c r="BO137" i="1" s="1"/>
  <c r="BP61" i="1"/>
  <c r="BS209" i="1"/>
  <c r="BS208" i="1" s="1"/>
  <c r="BT221" i="1"/>
  <c r="BT222" i="1" s="1"/>
  <c r="BT223" i="1" s="1"/>
  <c r="BT237" i="1" s="1"/>
  <c r="BS221" i="1"/>
  <c r="BS222" i="1" s="1"/>
  <c r="BS223" i="1" s="1"/>
  <c r="BO190" i="1"/>
  <c r="BS181" i="1"/>
  <c r="BQ184" i="1"/>
  <c r="BQ185" i="1" s="1"/>
  <c r="BQ272" i="1" l="1"/>
  <c r="BQ270" i="1"/>
  <c r="BQ268" i="1"/>
  <c r="BO135" i="1"/>
  <c r="BO138" i="1" s="1"/>
  <c r="BS210" i="1"/>
  <c r="BS213" i="1" s="1"/>
  <c r="BS237" i="1"/>
  <c r="BS234" i="1"/>
  <c r="BR233" i="1"/>
  <c r="BR234" i="1" s="1"/>
  <c r="BR235" i="1" s="1"/>
  <c r="BQ235" i="1"/>
  <c r="BQ189" i="1"/>
  <c r="BQ192" i="1"/>
  <c r="BU177" i="1"/>
  <c r="BU180" i="1" s="1"/>
  <c r="BQ133" i="1" l="1"/>
  <c r="BQ134" i="1" s="1"/>
  <c r="BQ137" i="1" s="1"/>
  <c r="BR61" i="1"/>
  <c r="BU209" i="1"/>
  <c r="BU208" i="1" s="1"/>
  <c r="BV221" i="1"/>
  <c r="BV222" i="1" s="1"/>
  <c r="BV223" i="1" s="1"/>
  <c r="BV237" i="1" s="1"/>
  <c r="BU221" i="1"/>
  <c r="BU222" i="1" s="1"/>
  <c r="BU223" i="1" s="1"/>
  <c r="BS184" i="1"/>
  <c r="BS185" i="1" s="1"/>
  <c r="BQ190" i="1"/>
  <c r="BU181" i="1"/>
  <c r="BS272" i="1" l="1"/>
  <c r="BS270" i="1"/>
  <c r="BS268" i="1"/>
  <c r="BQ135" i="1"/>
  <c r="BQ138" i="1" s="1"/>
  <c r="BU210" i="1"/>
  <c r="BU213" i="1" s="1"/>
  <c r="BU237" i="1"/>
  <c r="BU234" i="1"/>
  <c r="BT233" i="1"/>
  <c r="BT234" i="1" s="1"/>
  <c r="BT235" i="1" s="1"/>
  <c r="BS235" i="1"/>
  <c r="BS189" i="1"/>
  <c r="BS192" i="1"/>
  <c r="BW177" i="1"/>
  <c r="BW180" i="1" s="1"/>
  <c r="BS133" i="1" l="1"/>
  <c r="BS135" i="1" s="1"/>
  <c r="BS138" i="1" s="1"/>
  <c r="BT61" i="1"/>
  <c r="BW209" i="1"/>
  <c r="BW208" i="1" s="1"/>
  <c r="BX221" i="1"/>
  <c r="BX222" i="1" s="1"/>
  <c r="BX223" i="1" s="1"/>
  <c r="BX237" i="1" s="1"/>
  <c r="BW221" i="1"/>
  <c r="BW222" i="1" s="1"/>
  <c r="BW223" i="1" s="1"/>
  <c r="BW181" i="1"/>
  <c r="BS190" i="1"/>
  <c r="BU184" i="1"/>
  <c r="BU185" i="1" s="1"/>
  <c r="BU270" i="1" l="1"/>
  <c r="BU272" i="1"/>
  <c r="BU268" i="1"/>
  <c r="BS134" i="1"/>
  <c r="BS137" i="1" s="1"/>
  <c r="BW210" i="1"/>
  <c r="BW213" i="1" s="1"/>
  <c r="BW237" i="1"/>
  <c r="BW234" i="1"/>
  <c r="BV233" i="1"/>
  <c r="BV234" i="1" s="1"/>
  <c r="BV235" i="1" s="1"/>
  <c r="BU235" i="1"/>
  <c r="BU189" i="1"/>
  <c r="BU192" i="1"/>
  <c r="BY177" i="1"/>
  <c r="BY180" i="1" s="1"/>
  <c r="BU133" i="1" l="1"/>
  <c r="BU135" i="1" s="1"/>
  <c r="BU138" i="1" s="1"/>
  <c r="BV61" i="1"/>
  <c r="BZ221" i="1"/>
  <c r="BZ222" i="1" s="1"/>
  <c r="BZ223" i="1" s="1"/>
  <c r="BZ237" i="1" s="1"/>
  <c r="BY209" i="1"/>
  <c r="BY208" i="1" s="1"/>
  <c r="BY221" i="1"/>
  <c r="BY222" i="1" s="1"/>
  <c r="BY223" i="1" s="1"/>
  <c r="BW184" i="1"/>
  <c r="BW185" i="1" s="1"/>
  <c r="BY181" i="1"/>
  <c r="BU190" i="1"/>
  <c r="BW270" i="1" l="1"/>
  <c r="BW272" i="1"/>
  <c r="BW268" i="1"/>
  <c r="BU134" i="1"/>
  <c r="BU137" i="1" s="1"/>
  <c r="BY210" i="1"/>
  <c r="BY213" i="1" s="1"/>
  <c r="BY237" i="1"/>
  <c r="BY234" i="1"/>
  <c r="BX233" i="1"/>
  <c r="BX234" i="1" s="1"/>
  <c r="BX235" i="1" s="1"/>
  <c r="BW235" i="1"/>
  <c r="BW189" i="1"/>
  <c r="BW192" i="1"/>
  <c r="BW133" i="1" l="1"/>
  <c r="BW135" i="1" s="1"/>
  <c r="BW138" i="1" s="1"/>
  <c r="BX61" i="1"/>
  <c r="BW190" i="1"/>
  <c r="BY184" i="1"/>
  <c r="BY185" i="1" s="1"/>
  <c r="BY272" i="1" l="1"/>
  <c r="BY270" i="1"/>
  <c r="BY268" i="1"/>
  <c r="BW134" i="1"/>
  <c r="BW137" i="1" s="1"/>
  <c r="BZ233" i="1"/>
  <c r="BZ234" i="1" s="1"/>
  <c r="BZ235" i="1" s="1"/>
  <c r="BY235" i="1"/>
  <c r="BY192" i="1"/>
  <c r="BY189" i="1"/>
  <c r="BY133" i="1" l="1"/>
  <c r="BY134" i="1" s="1"/>
  <c r="BY137" i="1" s="1"/>
  <c r="BZ61" i="1"/>
  <c r="BY190" i="1"/>
  <c r="CC169" i="1"/>
  <c r="CC168" i="1"/>
  <c r="CA168" i="1"/>
  <c r="CA177" i="1"/>
  <c r="CA180" i="1" s="1"/>
  <c r="CA169" i="1"/>
  <c r="BY135" i="1" l="1"/>
  <c r="BY138" i="1" s="1"/>
  <c r="CA172" i="1"/>
  <c r="CA206" i="1" s="1"/>
  <c r="CA205" i="1" s="1"/>
  <c r="CB221" i="1"/>
  <c r="CA209" i="1"/>
  <c r="CA208" i="1" s="1"/>
  <c r="CA221" i="1"/>
  <c r="CC177" i="1"/>
  <c r="CC180" i="1" s="1"/>
  <c r="CC172" i="1"/>
  <c r="CA181" i="1" l="1"/>
  <c r="CA220" i="1"/>
  <c r="CA222" i="1" s="1"/>
  <c r="CA223" i="1" s="1"/>
  <c r="CA237" i="1" s="1"/>
  <c r="CB220" i="1"/>
  <c r="CB222" i="1" s="1"/>
  <c r="CB223" i="1" s="1"/>
  <c r="CB237" i="1" s="1"/>
  <c r="CA210" i="1"/>
  <c r="CD220" i="1"/>
  <c r="CC206" i="1"/>
  <c r="CC205" i="1" s="1"/>
  <c r="CC220" i="1"/>
  <c r="CC209" i="1"/>
  <c r="CC208" i="1" s="1"/>
  <c r="CD221" i="1"/>
  <c r="CC221" i="1"/>
  <c r="CC181" i="1"/>
  <c r="CA213" i="1" l="1"/>
  <c r="CE213" i="1"/>
  <c r="CC222" i="1"/>
  <c r="CC223" i="1" s="1"/>
  <c r="CC237" i="1" s="1"/>
  <c r="CD222" i="1"/>
  <c r="CD223" i="1" s="1"/>
  <c r="CD237" i="1" s="1"/>
  <c r="CA234" i="1"/>
  <c r="CA184" i="1" s="1"/>
  <c r="CA185" i="1" s="1"/>
  <c r="CC210" i="1"/>
  <c r="CA272" i="1" l="1"/>
  <c r="CA270" i="1"/>
  <c r="CA268" i="1"/>
  <c r="CC213" i="1"/>
  <c r="CG213" i="1"/>
  <c r="CC234" i="1"/>
  <c r="CC184" i="1" s="1"/>
  <c r="CC185" i="1" s="1"/>
  <c r="CB233" i="1"/>
  <c r="CB234" i="1" s="1"/>
  <c r="CB235" i="1" s="1"/>
  <c r="CA235" i="1"/>
  <c r="CA192" i="1"/>
  <c r="CA189" i="1"/>
  <c r="CC270" i="1" l="1"/>
  <c r="CC272" i="1"/>
  <c r="CC268" i="1"/>
  <c r="CA133" i="1"/>
  <c r="CA134" i="1" s="1"/>
  <c r="CA137" i="1" s="1"/>
  <c r="CB61" i="1"/>
  <c r="CD233" i="1"/>
  <c r="CD234" i="1" s="1"/>
  <c r="CD235" i="1" s="1"/>
  <c r="CC235" i="1"/>
  <c r="CC189" i="1"/>
  <c r="CC192" i="1"/>
  <c r="CA190" i="1"/>
  <c r="CA135" i="1" l="1"/>
  <c r="CA138" i="1" s="1"/>
  <c r="CC133" i="1"/>
  <c r="CC134" i="1" s="1"/>
  <c r="CC137" i="1" s="1"/>
  <c r="CD61" i="1"/>
  <c r="CC190" i="1"/>
  <c r="CC135" i="1" l="1"/>
  <c r="CC138" i="1" s="1"/>
  <c r="CE113" i="1"/>
  <c r="CD113" i="1"/>
  <c r="CC113" i="1"/>
  <c r="CB113" i="1"/>
  <c r="Y113" i="1"/>
  <c r="CI169" i="1" l="1"/>
  <c r="CI177" i="1"/>
  <c r="CI180" i="1" s="1"/>
  <c r="CI168" i="1"/>
  <c r="CJ221" i="1" l="1"/>
  <c r="CI172" i="1"/>
  <c r="CI221" i="1"/>
  <c r="CJ220" i="1" l="1"/>
  <c r="CJ222" i="1" s="1"/>
  <c r="CJ223" i="1" s="1"/>
  <c r="CJ237" i="1" s="1"/>
  <c r="CI181" i="1"/>
  <c r="CI220" i="1"/>
  <c r="CI222" i="1" s="1"/>
  <c r="CI223" i="1" s="1"/>
  <c r="CI237" i="1" s="1"/>
  <c r="CI210" i="1" l="1"/>
  <c r="CI213" i="1" s="1"/>
  <c r="CI234" i="1"/>
  <c r="CI184" i="1" s="1"/>
  <c r="CI185" i="1" s="1"/>
  <c r="CI272" i="1" l="1"/>
  <c r="CI270" i="1"/>
  <c r="CI268" i="1"/>
  <c r="CI235" i="1"/>
  <c r="CJ233" i="1"/>
  <c r="CJ234" i="1" s="1"/>
  <c r="CI192" i="1"/>
  <c r="CI189" i="1"/>
  <c r="CI133" i="1" l="1"/>
  <c r="CI135" i="1" s="1"/>
  <c r="CI138" i="1" s="1"/>
  <c r="CJ61" i="1"/>
  <c r="CJ235" i="1"/>
  <c r="CI190" i="1"/>
  <c r="CI134" i="1" l="1"/>
  <c r="CI137" i="1" s="1"/>
  <c r="CJ192" i="1"/>
  <c r="CJ133" i="1" l="1"/>
  <c r="CK61" i="1"/>
  <c r="CJ134" i="1" l="1"/>
  <c r="CJ137" i="1" s="1"/>
  <c r="CJ135" i="1"/>
  <c r="CJ138" i="1" s="1"/>
  <c r="CK255" i="1"/>
  <c r="CK277" i="1"/>
  <c r="CK276" i="1"/>
  <c r="CN34" i="1"/>
  <c r="CN277" i="1"/>
  <c r="CM34" i="1"/>
  <c r="CM277" i="1"/>
  <c r="CN255" i="1"/>
  <c r="CM255" i="1"/>
  <c r="CM122" i="1"/>
  <c r="CM123" i="1" s="1"/>
  <c r="CM126" i="1" s="1"/>
  <c r="CN122" i="1"/>
  <c r="CN123" i="1" s="1"/>
  <c r="CN126" i="1" s="1"/>
  <c r="CN35" i="1" l="1"/>
  <c r="CM35" i="1"/>
  <c r="CM170" i="1"/>
  <c r="CQ277" i="1"/>
  <c r="CO34" i="1"/>
  <c r="CO35" i="1" s="1"/>
  <c r="CN50" i="1"/>
  <c r="CN47" i="1" s="1"/>
  <c r="CR277" i="1"/>
  <c r="CN169" i="1"/>
  <c r="CN40" i="1"/>
  <c r="CN168" i="1"/>
  <c r="CN177" i="1"/>
  <c r="CM50" i="1"/>
  <c r="CM47" i="1" s="1"/>
  <c r="CM177" i="1"/>
  <c r="CN36" i="1"/>
  <c r="CN176" i="1"/>
  <c r="CN170" i="1"/>
  <c r="CM169" i="1"/>
  <c r="CM36" i="1"/>
  <c r="CM40" i="1"/>
  <c r="CM39" i="1" s="1"/>
  <c r="CM176" i="1"/>
  <c r="CM168" i="1"/>
  <c r="CK168" i="1"/>
  <c r="CK177" i="1"/>
  <c r="CK169" i="1"/>
  <c r="CM249" i="1"/>
  <c r="CK176" i="1"/>
  <c r="CK249" i="1"/>
  <c r="CK170" i="1"/>
  <c r="CN249" i="1"/>
  <c r="CO249" i="1" l="1"/>
  <c r="CM180" i="1"/>
  <c r="CK180" i="1"/>
  <c r="CN39" i="1"/>
  <c r="CN42" i="1"/>
  <c r="CN52" i="1"/>
  <c r="CN172" i="1"/>
  <c r="CM172" i="1"/>
  <c r="CN180" i="1"/>
  <c r="CR34" i="1"/>
  <c r="CM42" i="1"/>
  <c r="CR255" i="1"/>
  <c r="CQ34" i="1"/>
  <c r="CQ255" i="1"/>
  <c r="CM52" i="1"/>
  <c r="CR122" i="1"/>
  <c r="CR123" i="1" s="1"/>
  <c r="CR126" i="1" s="1"/>
  <c r="CP277" i="1"/>
  <c r="CN43" i="1"/>
  <c r="CO122" i="1"/>
  <c r="CO123" i="1" s="1"/>
  <c r="CO126" i="1" s="1"/>
  <c r="CO277" i="1"/>
  <c r="CO255" i="1"/>
  <c r="CK172" i="1"/>
  <c r="CM43" i="1"/>
  <c r="CP255" i="1"/>
  <c r="CP34" i="1"/>
  <c r="CQ122" i="1"/>
  <c r="CQ123" i="1" s="1"/>
  <c r="CQ126" i="1" s="1"/>
  <c r="AB32" i="1"/>
  <c r="CP122" i="1"/>
  <c r="CP123" i="1" s="1"/>
  <c r="CP126" i="1" s="1"/>
  <c r="CO168" i="1"/>
  <c r="CO40" i="1"/>
  <c r="CO176" i="1"/>
  <c r="CO177" i="1"/>
  <c r="CO50" i="1"/>
  <c r="CO47" i="1" s="1"/>
  <c r="CO169" i="1"/>
  <c r="CO170" i="1"/>
  <c r="CO36" i="1"/>
  <c r="CK221" i="1" l="1"/>
  <c r="CL221" i="1"/>
  <c r="CK220" i="1"/>
  <c r="CK222" i="1" s="1"/>
  <c r="CL220" i="1"/>
  <c r="CL222" i="1" s="1"/>
  <c r="CL223" i="1" s="1"/>
  <c r="CL237" i="1" s="1"/>
  <c r="CR35" i="1"/>
  <c r="CQ35" i="1"/>
  <c r="CP35" i="1"/>
  <c r="AB277" i="1"/>
  <c r="CN274" i="1"/>
  <c r="CN275" i="1" s="1"/>
  <c r="CN221" i="1"/>
  <c r="CN53" i="1"/>
  <c r="CN256" i="1"/>
  <c r="CN257" i="1" s="1"/>
  <c r="CN54" i="1"/>
  <c r="CN58" i="1"/>
  <c r="CN181" i="1"/>
  <c r="CM181" i="1"/>
  <c r="CN220" i="1"/>
  <c r="CR176" i="1"/>
  <c r="CR40" i="1"/>
  <c r="CR168" i="1"/>
  <c r="CR169" i="1"/>
  <c r="CR36" i="1"/>
  <c r="CR170" i="1"/>
  <c r="CR50" i="1"/>
  <c r="CR47" i="1" s="1"/>
  <c r="CR177" i="1"/>
  <c r="CQ36" i="1"/>
  <c r="CQ50" i="1"/>
  <c r="CQ47" i="1" s="1"/>
  <c r="CQ170" i="1"/>
  <c r="CQ169" i="1"/>
  <c r="CQ176" i="1"/>
  <c r="CQ177" i="1"/>
  <c r="CQ168" i="1"/>
  <c r="CN55" i="1"/>
  <c r="CM54" i="1"/>
  <c r="CM256" i="1"/>
  <c r="CM257" i="1" s="1"/>
  <c r="CM53" i="1"/>
  <c r="CM58" i="1"/>
  <c r="CQ40" i="1"/>
  <c r="CK181" i="1"/>
  <c r="CK274" i="1"/>
  <c r="CK275" i="1" s="1"/>
  <c r="CS122" i="1"/>
  <c r="CS123" i="1" s="1"/>
  <c r="CS126" i="1" s="1"/>
  <c r="CS277" i="1"/>
  <c r="CM274" i="1"/>
  <c r="CM275" i="1" s="1"/>
  <c r="CK256" i="1"/>
  <c r="CK257" i="1" s="1"/>
  <c r="CK250" i="1"/>
  <c r="CN250" i="1"/>
  <c r="CR249" i="1"/>
  <c r="CP249" i="1"/>
  <c r="AB34" i="1"/>
  <c r="CO180" i="1"/>
  <c r="CS34" i="1"/>
  <c r="CS35" i="1" s="1"/>
  <c r="CS255" i="1"/>
  <c r="CO172" i="1"/>
  <c r="CM136" i="1"/>
  <c r="CN136" i="1"/>
  <c r="CM221" i="1"/>
  <c r="CP169" i="1"/>
  <c r="AB169" i="1" s="1"/>
  <c r="AB204" i="1" s="1"/>
  <c r="CP168" i="1"/>
  <c r="CP176" i="1"/>
  <c r="CP40" i="1"/>
  <c r="CP39" i="1" s="1"/>
  <c r="CP177" i="1"/>
  <c r="AB177" i="1" s="1"/>
  <c r="AB207" i="1" s="1"/>
  <c r="CP170" i="1"/>
  <c r="AB170" i="1" s="1"/>
  <c r="CP36" i="1"/>
  <c r="CP50" i="1"/>
  <c r="CP47" i="1" s="1"/>
  <c r="CT277" i="1"/>
  <c r="CO52" i="1"/>
  <c r="CO42" i="1"/>
  <c r="CO43" i="1"/>
  <c r="CM220" i="1"/>
  <c r="CQ249" i="1"/>
  <c r="CO39" i="1"/>
  <c r="CM250" i="1"/>
  <c r="CM55" i="1"/>
  <c r="CU277" i="1" l="1"/>
  <c r="CU34" i="1"/>
  <c r="CU255" i="1"/>
  <c r="CS249" i="1"/>
  <c r="CW277" i="1"/>
  <c r="CR172" i="1"/>
  <c r="CQ180" i="1"/>
  <c r="AB47" i="1"/>
  <c r="AB50" i="1" s="1"/>
  <c r="AB51" i="1" s="1"/>
  <c r="CN222" i="1"/>
  <c r="CR180" i="1"/>
  <c r="CR42" i="1"/>
  <c r="CR43" i="1"/>
  <c r="CR52" i="1"/>
  <c r="CR39" i="1"/>
  <c r="CV277" i="1"/>
  <c r="CV255" i="1"/>
  <c r="CV34" i="1"/>
  <c r="CQ39" i="1"/>
  <c r="CQ42" i="1"/>
  <c r="CQ52" i="1"/>
  <c r="CQ172" i="1"/>
  <c r="CO136" i="1"/>
  <c r="CO274" i="1"/>
  <c r="CO275" i="1" s="1"/>
  <c r="AB122" i="1"/>
  <c r="AB123" i="1" s="1"/>
  <c r="AB126" i="1" s="1"/>
  <c r="AB212" i="1"/>
  <c r="CQ43" i="1"/>
  <c r="AB39" i="1"/>
  <c r="AB40" i="1" s="1"/>
  <c r="CM222" i="1"/>
  <c r="CO181" i="1"/>
  <c r="CO220" i="1"/>
  <c r="CO250" i="1"/>
  <c r="AC32" i="1"/>
  <c r="CV122" i="1"/>
  <c r="CV123" i="1" s="1"/>
  <c r="CV126" i="1" s="1"/>
  <c r="AB35" i="1"/>
  <c r="AB82" i="1"/>
  <c r="AB168" i="1"/>
  <c r="CP172" i="1"/>
  <c r="CS168" i="1"/>
  <c r="CS40" i="1"/>
  <c r="CS39" i="1" s="1"/>
  <c r="CS176" i="1"/>
  <c r="CS36" i="1"/>
  <c r="CS169" i="1"/>
  <c r="CS177" i="1"/>
  <c r="CS170" i="1"/>
  <c r="CS50" i="1"/>
  <c r="CS47" i="1" s="1"/>
  <c r="CT122" i="1"/>
  <c r="CT123" i="1" s="1"/>
  <c r="CT126" i="1" s="1"/>
  <c r="CO221" i="1"/>
  <c r="CO54" i="1"/>
  <c r="CO256" i="1"/>
  <c r="CO257" i="1" s="1"/>
  <c r="CO58" i="1"/>
  <c r="CO55" i="1"/>
  <c r="CO53" i="1"/>
  <c r="CP42" i="1"/>
  <c r="CP52" i="1"/>
  <c r="CP43" i="1"/>
  <c r="CT255" i="1"/>
  <c r="CT34" i="1"/>
  <c r="AB176" i="1"/>
  <c r="AB180" i="1" s="1"/>
  <c r="CP180" i="1"/>
  <c r="CU122" i="1"/>
  <c r="CU123" i="1" s="1"/>
  <c r="CU126" i="1" s="1"/>
  <c r="CU35" i="1" l="1"/>
  <c r="CV35" i="1"/>
  <c r="CT35" i="1"/>
  <c r="AC277" i="1"/>
  <c r="CU169" i="1"/>
  <c r="CU177" i="1"/>
  <c r="CU50" i="1"/>
  <c r="CU47" i="1" s="1"/>
  <c r="CU168" i="1"/>
  <c r="CU40" i="1"/>
  <c r="CU176" i="1"/>
  <c r="CU170" i="1"/>
  <c r="CU36" i="1"/>
  <c r="CQ221" i="1"/>
  <c r="CV168" i="1"/>
  <c r="CV40" i="1"/>
  <c r="CV42" i="1" s="1"/>
  <c r="CV176" i="1"/>
  <c r="CR221" i="1"/>
  <c r="CR181" i="1"/>
  <c r="CR256" i="1"/>
  <c r="CR257" i="1" s="1"/>
  <c r="CR53" i="1"/>
  <c r="CR58" i="1"/>
  <c r="CR54" i="1"/>
  <c r="CV170" i="1"/>
  <c r="CV169" i="1"/>
  <c r="CV50" i="1"/>
  <c r="CV47" i="1" s="1"/>
  <c r="CV36" i="1"/>
  <c r="CV177" i="1"/>
  <c r="CQ58" i="1"/>
  <c r="CQ53" i="1"/>
  <c r="CQ54" i="1"/>
  <c r="CR55" i="1"/>
  <c r="CR274" i="1"/>
  <c r="CR275" i="1" s="1"/>
  <c r="CQ256" i="1"/>
  <c r="CQ257" i="1" s="1"/>
  <c r="CR220" i="1"/>
  <c r="CQ181" i="1"/>
  <c r="AB42" i="1"/>
  <c r="CP136" i="1"/>
  <c r="CP274" i="1"/>
  <c r="CP275" i="1" s="1"/>
  <c r="CQ274" i="1"/>
  <c r="CQ275" i="1" s="1"/>
  <c r="CS180" i="1"/>
  <c r="CS221" i="1" s="1"/>
  <c r="CV249" i="1"/>
  <c r="CP221" i="1"/>
  <c r="CP256" i="1"/>
  <c r="CP257" i="1" s="1"/>
  <c r="CP54" i="1"/>
  <c r="CP55" i="1"/>
  <c r="CP53" i="1"/>
  <c r="CP58" i="1"/>
  <c r="CT249" i="1"/>
  <c r="CP250" i="1"/>
  <c r="CU249" i="1"/>
  <c r="CR250" i="1"/>
  <c r="CQ250" i="1"/>
  <c r="CS52" i="1"/>
  <c r="CS274" i="1" s="1"/>
  <c r="CS275" i="1" s="1"/>
  <c r="CS42" i="1"/>
  <c r="CS43" i="1"/>
  <c r="AC34" i="1"/>
  <c r="CO222" i="1"/>
  <c r="CW255" i="1"/>
  <c r="CW34" i="1"/>
  <c r="CW35" i="1" s="1"/>
  <c r="CQ136" i="1"/>
  <c r="CW122" i="1"/>
  <c r="CW123" i="1" s="1"/>
  <c r="CW126" i="1" s="1"/>
  <c r="CS172" i="1"/>
  <c r="CT168" i="1"/>
  <c r="CT177" i="1"/>
  <c r="AC177" i="1" s="1"/>
  <c r="AC207" i="1" s="1"/>
  <c r="CT40" i="1"/>
  <c r="CT39" i="1" s="1"/>
  <c r="AC39" i="1" s="1"/>
  <c r="CT169" i="1"/>
  <c r="AC169" i="1" s="1"/>
  <c r="AC204" i="1" s="1"/>
  <c r="CT176" i="1"/>
  <c r="CT50" i="1"/>
  <c r="CT47" i="1" s="1"/>
  <c r="CT36" i="1"/>
  <c r="CT170" i="1"/>
  <c r="AC170" i="1" s="1"/>
  <c r="AB83" i="1"/>
  <c r="AB41" i="1"/>
  <c r="AB52" i="1"/>
  <c r="CQ55" i="1"/>
  <c r="CQ220" i="1"/>
  <c r="CP181" i="1"/>
  <c r="CP220" i="1"/>
  <c r="AB209" i="1"/>
  <c r="AB208" i="1" s="1"/>
  <c r="AB221" i="1"/>
  <c r="CR136" i="1"/>
  <c r="AB172" i="1"/>
  <c r="AB203" i="1"/>
  <c r="CU180" i="1" l="1"/>
  <c r="AB274" i="1"/>
  <c r="AB275" i="1" s="1"/>
  <c r="CU172" i="1"/>
  <c r="CY277" i="1"/>
  <c r="CY34" i="1"/>
  <c r="CY35" i="1" s="1"/>
  <c r="CY255" i="1"/>
  <c r="CU39" i="1"/>
  <c r="CU52" i="1"/>
  <c r="CU42" i="1"/>
  <c r="CW249" i="1"/>
  <c r="DA277" i="1"/>
  <c r="CQ222" i="1"/>
  <c r="AC47" i="1"/>
  <c r="AC50" i="1" s="1"/>
  <c r="AC51" i="1" s="1"/>
  <c r="CV172" i="1"/>
  <c r="CV39" i="1"/>
  <c r="CV43" i="1"/>
  <c r="CV180" i="1"/>
  <c r="CV52" i="1"/>
  <c r="CZ277" i="1"/>
  <c r="CZ255" i="1"/>
  <c r="CZ34" i="1"/>
  <c r="CR222" i="1"/>
  <c r="CX122" i="1"/>
  <c r="CX123" i="1" s="1"/>
  <c r="CX126" i="1" s="1"/>
  <c r="CX277" i="1"/>
  <c r="CP222" i="1"/>
  <c r="AC122" i="1"/>
  <c r="AC123" i="1" s="1"/>
  <c r="AC126" i="1" s="1"/>
  <c r="AC212" i="1"/>
  <c r="AB54" i="1"/>
  <c r="CT172" i="1"/>
  <c r="CT220" i="1" s="1"/>
  <c r="AC168" i="1"/>
  <c r="CS181" i="1"/>
  <c r="CS220" i="1"/>
  <c r="CS222" i="1" s="1"/>
  <c r="CY122" i="1"/>
  <c r="CY123" i="1" s="1"/>
  <c r="CY126" i="1" s="1"/>
  <c r="CS55" i="1"/>
  <c r="CS53" i="1"/>
  <c r="CS58" i="1"/>
  <c r="CS256" i="1"/>
  <c r="CS257" i="1" s="1"/>
  <c r="CS54" i="1"/>
  <c r="AB181" i="1"/>
  <c r="AB206" i="1"/>
  <c r="AB220" i="1"/>
  <c r="AB222" i="1" s="1"/>
  <c r="AB84" i="1"/>
  <c r="AB58" i="1"/>
  <c r="AB136" i="1"/>
  <c r="AB53" i="1"/>
  <c r="CW40" i="1"/>
  <c r="CW39" i="1" s="1"/>
  <c r="CW176" i="1"/>
  <c r="CW168" i="1"/>
  <c r="CW36" i="1"/>
  <c r="CW170" i="1"/>
  <c r="CW169" i="1"/>
  <c r="CW177" i="1"/>
  <c r="CW50" i="1"/>
  <c r="CW47" i="1" s="1"/>
  <c r="CT180" i="1"/>
  <c r="AC176" i="1"/>
  <c r="AC180" i="1" s="1"/>
  <c r="CS136" i="1"/>
  <c r="CK269" i="1"/>
  <c r="CK251" i="1"/>
  <c r="CK258" i="1"/>
  <c r="CS250" i="1"/>
  <c r="CT43" i="1"/>
  <c r="CT42" i="1"/>
  <c r="CT52" i="1"/>
  <c r="AC35" i="1"/>
  <c r="AC40" i="1"/>
  <c r="AC82" i="1"/>
  <c r="CX255" i="1"/>
  <c r="CX34" i="1"/>
  <c r="CZ122" i="1"/>
  <c r="CZ123" i="1" s="1"/>
  <c r="CZ126" i="1" s="1"/>
  <c r="CU43" i="1"/>
  <c r="AD32" i="1"/>
  <c r="AD277" i="1" s="1"/>
  <c r="CZ177" i="1" l="1"/>
  <c r="CZ35" i="1"/>
  <c r="CX35" i="1"/>
  <c r="CU181" i="1"/>
  <c r="CV220" i="1"/>
  <c r="CU58" i="1"/>
  <c r="CU53" i="1"/>
  <c r="CU54" i="1"/>
  <c r="CU256" i="1"/>
  <c r="CU257" i="1" s="1"/>
  <c r="CY169" i="1"/>
  <c r="CY40" i="1"/>
  <c r="CY177" i="1"/>
  <c r="CY170" i="1"/>
  <c r="CY176" i="1"/>
  <c r="CY50" i="1"/>
  <c r="CY47" i="1" s="1"/>
  <c r="CY168" i="1"/>
  <c r="CZ249" i="1"/>
  <c r="CV274" i="1"/>
  <c r="CV275" i="1" s="1"/>
  <c r="CV58" i="1"/>
  <c r="CV256" i="1"/>
  <c r="CV257" i="1" s="1"/>
  <c r="CV53" i="1"/>
  <c r="CV55" i="1"/>
  <c r="CV54" i="1"/>
  <c r="CZ50" i="1"/>
  <c r="CZ47" i="1" s="1"/>
  <c r="CZ168" i="1"/>
  <c r="CZ36" i="1"/>
  <c r="CZ176" i="1"/>
  <c r="CZ170" i="1"/>
  <c r="CZ169" i="1"/>
  <c r="CZ40" i="1"/>
  <c r="CV181" i="1"/>
  <c r="CV221" i="1"/>
  <c r="AC42" i="1"/>
  <c r="CU136" i="1"/>
  <c r="CT274" i="1"/>
  <c r="CT275" i="1" s="1"/>
  <c r="CU274" i="1"/>
  <c r="CU275" i="1" s="1"/>
  <c r="CW180" i="1"/>
  <c r="CW221" i="1" s="1"/>
  <c r="CX249" i="1"/>
  <c r="CY249" i="1"/>
  <c r="CY36" i="1"/>
  <c r="CU221" i="1"/>
  <c r="CT221" i="1"/>
  <c r="CT222" i="1" s="1"/>
  <c r="CK217" i="1"/>
  <c r="CK219" i="1" s="1"/>
  <c r="CK223" i="1" s="1"/>
  <c r="CK237" i="1" s="1"/>
  <c r="CK143" i="1"/>
  <c r="CV250" i="1"/>
  <c r="AC52" i="1"/>
  <c r="AC83" i="1"/>
  <c r="AC41" i="1"/>
  <c r="CW172" i="1"/>
  <c r="CT250" i="1"/>
  <c r="AC203" i="1"/>
  <c r="AC172" i="1"/>
  <c r="DA255" i="1"/>
  <c r="DA34" i="1"/>
  <c r="CT181" i="1"/>
  <c r="CU220" i="1"/>
  <c r="CX168" i="1"/>
  <c r="CX169" i="1"/>
  <c r="AD169" i="1" s="1"/>
  <c r="AD204" i="1" s="1"/>
  <c r="CX40" i="1"/>
  <c r="CX177" i="1"/>
  <c r="AD177" i="1" s="1"/>
  <c r="AD207" i="1" s="1"/>
  <c r="CX176" i="1"/>
  <c r="CX36" i="1"/>
  <c r="CX50" i="1"/>
  <c r="CX47" i="1" s="1"/>
  <c r="CX170" i="1"/>
  <c r="AD170" i="1" s="1"/>
  <c r="CT58" i="1"/>
  <c r="CT54" i="1"/>
  <c r="CT53" i="1"/>
  <c r="CT256" i="1"/>
  <c r="CT257" i="1" s="1"/>
  <c r="CT55" i="1"/>
  <c r="CW43" i="1"/>
  <c r="CW42" i="1"/>
  <c r="CW52" i="1"/>
  <c r="CU250" i="1"/>
  <c r="CU55" i="1"/>
  <c r="AD34" i="1"/>
  <c r="DA122" i="1"/>
  <c r="DA123" i="1" s="1"/>
  <c r="DA126" i="1" s="1"/>
  <c r="AC209" i="1"/>
  <c r="AC208" i="1" s="1"/>
  <c r="AC221" i="1"/>
  <c r="AB205" i="1"/>
  <c r="AB210" i="1"/>
  <c r="AB213" i="1" s="1"/>
  <c r="AB214" i="1" s="1"/>
  <c r="CT136" i="1"/>
  <c r="CV136" i="1"/>
  <c r="CY180" i="1" l="1"/>
  <c r="CZ180" i="1"/>
  <c r="DA249" i="1"/>
  <c r="DA35" i="1"/>
  <c r="AC274" i="1"/>
  <c r="AC275" i="1" s="1"/>
  <c r="CV222" i="1"/>
  <c r="CY172" i="1"/>
  <c r="CY43" i="1"/>
  <c r="CY39" i="1"/>
  <c r="CY42" i="1"/>
  <c r="CY52" i="1"/>
  <c r="AD47" i="1"/>
  <c r="AD50" i="1" s="1"/>
  <c r="AD51" i="1" s="1"/>
  <c r="CZ172" i="1"/>
  <c r="CZ39" i="1"/>
  <c r="CZ42" i="1"/>
  <c r="CZ52" i="1"/>
  <c r="CZ43" i="1"/>
  <c r="CW250" i="1"/>
  <c r="CW274" i="1"/>
  <c r="CW275" i="1" s="1"/>
  <c r="DB122" i="1"/>
  <c r="DB123" i="1" s="1"/>
  <c r="DB126" i="1" s="1"/>
  <c r="DB277" i="1"/>
  <c r="AD122" i="1"/>
  <c r="AD123" i="1" s="1"/>
  <c r="AD126" i="1" s="1"/>
  <c r="AD212" i="1"/>
  <c r="CU222" i="1"/>
  <c r="AC54" i="1"/>
  <c r="AD176" i="1"/>
  <c r="AD180" i="1" s="1"/>
  <c r="CX180" i="1"/>
  <c r="DA176" i="1"/>
  <c r="DA177" i="1"/>
  <c r="DA169" i="1"/>
  <c r="DA40" i="1"/>
  <c r="DA168" i="1"/>
  <c r="DA50" i="1"/>
  <c r="DA47" i="1" s="1"/>
  <c r="DA36" i="1"/>
  <c r="DA170" i="1"/>
  <c r="CK144" i="1"/>
  <c r="CL231" i="1" s="1"/>
  <c r="CL229" i="1" s="1"/>
  <c r="CX43" i="1"/>
  <c r="CX52" i="1"/>
  <c r="CX42" i="1"/>
  <c r="AC206" i="1"/>
  <c r="AC181" i="1"/>
  <c r="AC220" i="1"/>
  <c r="AC222" i="1" s="1"/>
  <c r="AC58" i="1"/>
  <c r="AC84" i="1"/>
  <c r="AC53" i="1"/>
  <c r="AC136" i="1"/>
  <c r="DB34" i="1"/>
  <c r="DB255" i="1"/>
  <c r="CW181" i="1"/>
  <c r="CW220" i="1"/>
  <c r="CW222" i="1" s="1"/>
  <c r="AD168" i="1"/>
  <c r="CX172" i="1"/>
  <c r="AD82" i="1"/>
  <c r="AD35" i="1"/>
  <c r="CW58" i="1"/>
  <c r="CW54" i="1"/>
  <c r="CW256" i="1"/>
  <c r="CW257" i="1" s="1"/>
  <c r="CW55" i="1"/>
  <c r="CW53" i="1"/>
  <c r="CW136" i="1"/>
  <c r="CX39" i="1"/>
  <c r="AD39" i="1" s="1"/>
  <c r="AD40" i="1" s="1"/>
  <c r="AE32" i="1"/>
  <c r="AE277" i="1" s="1"/>
  <c r="CY181" i="1" l="1"/>
  <c r="CZ221" i="1"/>
  <c r="CK78" i="1"/>
  <c r="CK116" i="1"/>
  <c r="DB249" i="1"/>
  <c r="DB35" i="1"/>
  <c r="CY274" i="1"/>
  <c r="CY275" i="1" s="1"/>
  <c r="CY58" i="1"/>
  <c r="CY54" i="1"/>
  <c r="CY53" i="1"/>
  <c r="CY256" i="1"/>
  <c r="CY257" i="1" s="1"/>
  <c r="CZ220" i="1"/>
  <c r="CZ181" i="1"/>
  <c r="CZ274" i="1"/>
  <c r="CZ275" i="1" s="1"/>
  <c r="CZ53" i="1"/>
  <c r="CZ256" i="1"/>
  <c r="CZ257" i="1" s="1"/>
  <c r="CZ55" i="1"/>
  <c r="CZ58" i="1"/>
  <c r="CZ54" i="1"/>
  <c r="AD42" i="1"/>
  <c r="CZ136" i="1"/>
  <c r="CX274" i="1"/>
  <c r="CX275" i="1" s="1"/>
  <c r="CY250" i="1"/>
  <c r="CY55" i="1"/>
  <c r="CZ250" i="1"/>
  <c r="CX250" i="1"/>
  <c r="CY136" i="1"/>
  <c r="CX136" i="1"/>
  <c r="DA172" i="1"/>
  <c r="DA220" i="1" s="1"/>
  <c r="AD41" i="1"/>
  <c r="AD83" i="1"/>
  <c r="AD52" i="1"/>
  <c r="AD274" i="1" s="1"/>
  <c r="AD275" i="1" s="1"/>
  <c r="CY220" i="1"/>
  <c r="CX181" i="1"/>
  <c r="CY221" i="1"/>
  <c r="CX221" i="1"/>
  <c r="AD209" i="1"/>
  <c r="AD208" i="1" s="1"/>
  <c r="AD221" i="1"/>
  <c r="CG113" i="1"/>
  <c r="DA43" i="1"/>
  <c r="DA42" i="1"/>
  <c r="DA52" i="1"/>
  <c r="DA274" i="1" s="1"/>
  <c r="DA275" i="1" s="1"/>
  <c r="CX220" i="1"/>
  <c r="CX58" i="1"/>
  <c r="CX54" i="1"/>
  <c r="CX53" i="1"/>
  <c r="CX256" i="1"/>
  <c r="CX257" i="1" s="1"/>
  <c r="CX55" i="1"/>
  <c r="AD203" i="1"/>
  <c r="AD172" i="1"/>
  <c r="CK231" i="1"/>
  <c r="CK229" i="1" s="1"/>
  <c r="CK234" i="1" s="1"/>
  <c r="CK153" i="1"/>
  <c r="CK79" i="1" s="1"/>
  <c r="AC205" i="1"/>
  <c r="AC210" i="1"/>
  <c r="AC213" i="1" s="1"/>
  <c r="AC214" i="1" s="1"/>
  <c r="DA39" i="1"/>
  <c r="DB169" i="1"/>
  <c r="AE169" i="1" s="1"/>
  <c r="AE204" i="1" s="1"/>
  <c r="DB40" i="1"/>
  <c r="DB39" i="1" s="1"/>
  <c r="DB168" i="1"/>
  <c r="DB50" i="1"/>
  <c r="DB47" i="1" s="1"/>
  <c r="DB177" i="1"/>
  <c r="AE177" i="1" s="1"/>
  <c r="AE207" i="1" s="1"/>
  <c r="DB36" i="1"/>
  <c r="DB170" i="1"/>
  <c r="AE170" i="1" s="1"/>
  <c r="DB176" i="1"/>
  <c r="AE34" i="1"/>
  <c r="DA180" i="1"/>
  <c r="CZ222" i="1" l="1"/>
  <c r="CK120" i="1"/>
  <c r="CK119" i="1"/>
  <c r="CK118" i="1"/>
  <c r="AE47" i="1"/>
  <c r="AE50" i="1" s="1"/>
  <c r="AE51" i="1" s="1"/>
  <c r="AE122" i="1"/>
  <c r="AE123" i="1" s="1"/>
  <c r="AE126" i="1" s="1"/>
  <c r="AE212" i="1"/>
  <c r="AD54" i="1"/>
  <c r="DA181" i="1"/>
  <c r="CK184" i="1"/>
  <c r="CK185" i="1" s="1"/>
  <c r="CL233" i="1" s="1"/>
  <c r="CL234" i="1" s="1"/>
  <c r="CL235" i="1" s="1"/>
  <c r="DB43" i="1"/>
  <c r="DB52" i="1"/>
  <c r="DB274" i="1" s="1"/>
  <c r="DB275" i="1" s="1"/>
  <c r="DB42" i="1"/>
  <c r="CX222" i="1"/>
  <c r="CY222" i="1"/>
  <c r="AD181" i="1"/>
  <c r="AD206" i="1"/>
  <c r="AD220" i="1"/>
  <c r="AD222" i="1" s="1"/>
  <c r="DB172" i="1"/>
  <c r="AE168" i="1"/>
  <c r="DA58" i="1"/>
  <c r="DA53" i="1"/>
  <c r="DA54" i="1"/>
  <c r="DA55" i="1"/>
  <c r="DA256" i="1"/>
  <c r="DA257" i="1" s="1"/>
  <c r="AD58" i="1"/>
  <c r="AD53" i="1"/>
  <c r="AD136" i="1"/>
  <c r="AD84" i="1"/>
  <c r="AE35" i="1"/>
  <c r="AE82" i="1"/>
  <c r="AE39" i="1"/>
  <c r="AE40" i="1" s="1"/>
  <c r="AE42" i="1" s="1"/>
  <c r="DA136" i="1"/>
  <c r="DA250" i="1"/>
  <c r="AE176" i="1"/>
  <c r="AE180" i="1" s="1"/>
  <c r="DB180" i="1"/>
  <c r="DB221" i="1" s="1"/>
  <c r="DA221" i="1"/>
  <c r="DA222" i="1" s="1"/>
  <c r="CK235" i="1" l="1"/>
  <c r="CK272" i="1"/>
  <c r="CK268" i="1"/>
  <c r="CK270" i="1"/>
  <c r="AE52" i="1"/>
  <c r="AE41" i="1"/>
  <c r="AE83" i="1"/>
  <c r="DB58" i="1"/>
  <c r="DB55" i="1"/>
  <c r="DB256" i="1"/>
  <c r="DB257" i="1" s="1"/>
  <c r="DB53" i="1"/>
  <c r="DB54" i="1"/>
  <c r="DB136" i="1"/>
  <c r="AD210" i="1"/>
  <c r="AD213" i="1" s="1"/>
  <c r="AD214" i="1" s="1"/>
  <c r="AD205" i="1"/>
  <c r="AE172" i="1"/>
  <c r="AE203" i="1"/>
  <c r="CK189" i="1"/>
  <c r="CK192" i="1"/>
  <c r="DB181" i="1"/>
  <c r="DB220" i="1"/>
  <c r="DB222" i="1" s="1"/>
  <c r="AE209" i="1"/>
  <c r="AE208" i="1" s="1"/>
  <c r="AE221" i="1"/>
  <c r="DB250" i="1"/>
  <c r="CK133" i="1" l="1"/>
  <c r="CL61" i="1"/>
  <c r="CM61" i="1" s="1"/>
  <c r="CO61" i="1" s="1"/>
  <c r="CP61" i="1" s="1"/>
  <c r="CR61" i="1" s="1"/>
  <c r="CS61" i="1" s="1"/>
  <c r="CT61" i="1" s="1"/>
  <c r="CU61" i="1" s="1"/>
  <c r="CV61" i="1" s="1"/>
  <c r="CW61" i="1" s="1"/>
  <c r="CX61" i="1" s="1"/>
  <c r="CY61" i="1" s="1"/>
  <c r="CZ61" i="1" s="1"/>
  <c r="DA61" i="1" s="1"/>
  <c r="DB61" i="1" s="1"/>
  <c r="AE54" i="1"/>
  <c r="AE274" i="1"/>
  <c r="AE275" i="1" s="1"/>
  <c r="CK190" i="1"/>
  <c r="AE181" i="1"/>
  <c r="AE206" i="1"/>
  <c r="AE220" i="1"/>
  <c r="AE222" i="1" s="1"/>
  <c r="AE58" i="1"/>
  <c r="AE53" i="1"/>
  <c r="AE84" i="1"/>
  <c r="AE136" i="1"/>
  <c r="CK135" i="1" l="1"/>
  <c r="CK138" i="1" s="1"/>
  <c r="CK134" i="1"/>
  <c r="CK137" i="1" s="1"/>
  <c r="AE210" i="1"/>
  <c r="AE213" i="1" s="1"/>
  <c r="AE214" i="1" s="1"/>
  <c r="AE205" i="1"/>
  <c r="AA25" i="1" l="1"/>
  <c r="CN111" i="1" l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M120" i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Z113" i="1"/>
  <c r="CH113" i="1"/>
  <c r="CN110" i="1" l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CM233" i="1" l="1"/>
  <c r="AB233" i="1"/>
  <c r="CM60" i="1" l="1"/>
  <c r="CM276" i="1" s="1"/>
  <c r="CM62" i="1" l="1"/>
  <c r="CM63" i="1" l="1"/>
  <c r="CM65" i="1" l="1"/>
  <c r="CM67" i="1" l="1"/>
  <c r="CM68" i="1"/>
  <c r="CM258" i="1"/>
  <c r="CM72" i="1"/>
  <c r="CM66" i="1"/>
  <c r="CM269" i="1" s="1"/>
  <c r="CM251" i="1"/>
  <c r="CM217" i="1" l="1"/>
  <c r="CM219" i="1" s="1"/>
  <c r="CM223" i="1" s="1"/>
  <c r="CM237" i="1" s="1"/>
  <c r="CM90" i="1"/>
  <c r="CM143" i="1"/>
  <c r="CM144" i="1" l="1"/>
  <c r="CM93" i="1"/>
  <c r="CM94" i="1" l="1"/>
  <c r="CM102" i="1"/>
  <c r="CI113" i="1"/>
  <c r="CM109" i="1"/>
  <c r="CM103" i="1"/>
  <c r="CM153" i="1"/>
  <c r="CM79" i="1" s="1"/>
  <c r="CM116" i="1"/>
  <c r="CM118" i="1" s="1"/>
  <c r="CM231" i="1"/>
  <c r="CM229" i="1" s="1"/>
  <c r="CM234" i="1" s="1"/>
  <c r="CM78" i="1"/>
  <c r="CM184" i="1" l="1"/>
  <c r="CM185" i="1" s="1"/>
  <c r="CM106" i="1"/>
  <c r="CM132" i="1"/>
  <c r="CM105" i="1"/>
  <c r="CM131" i="1"/>
  <c r="CM235" i="1" l="1"/>
  <c r="CM272" i="1"/>
  <c r="CM270" i="1"/>
  <c r="CM268" i="1"/>
  <c r="CN233" i="1"/>
  <c r="CM189" i="1"/>
  <c r="CM192" i="1"/>
  <c r="CM190" i="1" l="1"/>
  <c r="CN60" i="1"/>
  <c r="CN276" i="1" s="1"/>
  <c r="CM133" i="1"/>
  <c r="CM134" i="1" l="1"/>
  <c r="CM137" i="1" s="1"/>
  <c r="CM135" i="1"/>
  <c r="CM138" i="1" s="1"/>
  <c r="CN62" i="1"/>
  <c r="CN63" i="1" l="1"/>
  <c r="CN65" i="1" s="1"/>
  <c r="CN67" i="1" l="1"/>
  <c r="CN68" i="1"/>
  <c r="CN72" i="1"/>
  <c r="CN258" i="1"/>
  <c r="CN66" i="1"/>
  <c r="CN269" i="1" s="1"/>
  <c r="CN251" i="1"/>
  <c r="CN90" i="1" l="1"/>
  <c r="CN217" i="1"/>
  <c r="CN219" i="1" s="1"/>
  <c r="CN223" i="1" s="1"/>
  <c r="CN237" i="1" s="1"/>
  <c r="CN143" i="1"/>
  <c r="CN93" i="1" l="1"/>
  <c r="CN144" i="1"/>
  <c r="CN94" i="1" l="1"/>
  <c r="CN153" i="1"/>
  <c r="CN79" i="1" s="1"/>
  <c r="CN231" i="1"/>
  <c r="CN229" i="1" s="1"/>
  <c r="CN234" i="1" s="1"/>
  <c r="CN116" i="1"/>
  <c r="CN118" i="1" s="1"/>
  <c r="CN78" i="1"/>
  <c r="CN109" i="1"/>
  <c r="CN102" i="1"/>
  <c r="CN103" i="1"/>
  <c r="CJ113" i="1"/>
  <c r="CN105" i="1" l="1"/>
  <c r="CN131" i="1"/>
  <c r="CN184" i="1"/>
  <c r="CN185" i="1" s="1"/>
  <c r="CN132" i="1"/>
  <c r="CN106" i="1"/>
  <c r="CN235" i="1" l="1"/>
  <c r="CN272" i="1"/>
  <c r="CN270" i="1"/>
  <c r="CN268" i="1"/>
  <c r="CN189" i="1"/>
  <c r="CN192" i="1"/>
  <c r="CO233" i="1"/>
  <c r="CN190" i="1" l="1"/>
  <c r="CO60" i="1"/>
  <c r="CO276" i="1" s="1"/>
  <c r="CN133" i="1"/>
  <c r="CO62" i="1" l="1"/>
  <c r="CN135" i="1"/>
  <c r="CN138" i="1" s="1"/>
  <c r="CN134" i="1"/>
  <c r="CN137" i="1" s="1"/>
  <c r="CO63" i="1" l="1"/>
  <c r="CO65" i="1" l="1"/>
  <c r="CO66" i="1" l="1"/>
  <c r="CO269" i="1" s="1"/>
  <c r="CO68" i="1"/>
  <c r="CO67" i="1"/>
  <c r="CO258" i="1"/>
  <c r="CO72" i="1"/>
  <c r="CO251" i="1"/>
  <c r="CO90" i="1" l="1"/>
  <c r="CO217" i="1"/>
  <c r="CO219" i="1" s="1"/>
  <c r="CO223" i="1" s="1"/>
  <c r="CO237" i="1" s="1"/>
  <c r="CO143" i="1"/>
  <c r="CO144" i="1" l="1"/>
  <c r="CO93" i="1"/>
  <c r="CK113" i="1" s="1"/>
  <c r="CO94" i="1" l="1"/>
  <c r="CO103" i="1"/>
  <c r="CO109" i="1"/>
  <c r="CO102" i="1"/>
  <c r="CO116" i="1"/>
  <c r="CO118" i="1" s="1"/>
  <c r="CO231" i="1"/>
  <c r="CO229" i="1" s="1"/>
  <c r="CO234" i="1" s="1"/>
  <c r="CO153" i="1"/>
  <c r="CO79" i="1" s="1"/>
  <c r="CO78" i="1"/>
  <c r="CO184" i="1" l="1"/>
  <c r="CO185" i="1" s="1"/>
  <c r="CO105" i="1"/>
  <c r="CO131" i="1"/>
  <c r="CO132" i="1"/>
  <c r="CO106" i="1"/>
  <c r="CO235" i="1" l="1"/>
  <c r="CO270" i="1"/>
  <c r="CO268" i="1"/>
  <c r="CO272" i="1"/>
  <c r="CO189" i="1"/>
  <c r="CO192" i="1"/>
  <c r="CP233" i="1"/>
  <c r="CP60" i="1" l="1"/>
  <c r="CP276" i="1" s="1"/>
  <c r="CO133" i="1"/>
  <c r="CO190" i="1"/>
  <c r="CO135" i="1" l="1"/>
  <c r="CO138" i="1" s="1"/>
  <c r="CO134" i="1"/>
  <c r="CO137" i="1" s="1"/>
  <c r="CP62" i="1"/>
  <c r="AB60" i="1"/>
  <c r="AB61" i="1" l="1"/>
  <c r="AB276" i="1"/>
  <c r="AB62" i="1"/>
  <c r="AB25" i="1" s="1"/>
  <c r="CP63" i="1"/>
  <c r="AB63" i="1" s="1"/>
  <c r="AB64" i="1" l="1"/>
  <c r="CP65" i="1"/>
  <c r="CP66" i="1" s="1"/>
  <c r="CP269" i="1" s="1"/>
  <c r="AB65" i="1"/>
  <c r="CP67" i="1" l="1"/>
  <c r="CP251" i="1"/>
  <c r="CP258" i="1"/>
  <c r="CP72" i="1"/>
  <c r="CP143" i="1" s="1"/>
  <c r="CP68" i="1"/>
  <c r="AB67" i="1"/>
  <c r="AB72" i="1"/>
  <c r="AB66" i="1"/>
  <c r="AB269" i="1" s="1"/>
  <c r="AB85" i="1"/>
  <c r="CP217" i="1" l="1"/>
  <c r="CP219" i="1" s="1"/>
  <c r="CP223" i="1" s="1"/>
  <c r="CP237" i="1" s="1"/>
  <c r="CP90" i="1"/>
  <c r="CP93" i="1" s="1"/>
  <c r="CL113" i="1" s="1"/>
  <c r="AB143" i="1"/>
  <c r="AB144" i="1" s="1"/>
  <c r="AB78" i="1" s="1"/>
  <c r="CP144" i="1"/>
  <c r="AB75" i="1"/>
  <c r="AB76" i="1" s="1"/>
  <c r="AB90" i="1"/>
  <c r="AB217" i="1"/>
  <c r="AB219" i="1" s="1"/>
  <c r="AB223" i="1" s="1"/>
  <c r="AB237" i="1" s="1"/>
  <c r="CP96" i="1" l="1"/>
  <c r="CP94" i="1"/>
  <c r="AB153" i="1"/>
  <c r="AB79" i="1" s="1"/>
  <c r="AB199" i="1"/>
  <c r="AB231" i="1"/>
  <c r="AB229" i="1" s="1"/>
  <c r="AB234" i="1" s="1"/>
  <c r="AB116" i="1"/>
  <c r="AB118" i="1" s="1"/>
  <c r="AB92" i="1"/>
  <c r="AB93" i="1"/>
  <c r="CP102" i="1"/>
  <c r="CP109" i="1"/>
  <c r="CP103" i="1"/>
  <c r="CP231" i="1"/>
  <c r="CP229" i="1" s="1"/>
  <c r="CP234" i="1" s="1"/>
  <c r="CP153" i="1"/>
  <c r="CP79" i="1" s="1"/>
  <c r="CP116" i="1"/>
  <c r="CP118" i="1" s="1"/>
  <c r="CP78" i="1"/>
  <c r="AB94" i="1" l="1"/>
  <c r="AA113" i="1"/>
  <c r="CP184" i="1"/>
  <c r="CP105" i="1"/>
  <c r="CP131" i="1"/>
  <c r="AB102" i="1"/>
  <c r="AB127" i="1" s="1"/>
  <c r="AB109" i="1"/>
  <c r="CP132" i="1"/>
  <c r="CP106" i="1"/>
  <c r="AB103" i="1"/>
  <c r="AB128" i="1" s="1"/>
  <c r="AB106" i="1" l="1"/>
  <c r="AB120" i="1"/>
  <c r="AB111" i="1"/>
  <c r="AB132" i="1"/>
  <c r="CP185" i="1"/>
  <c r="AB184" i="1"/>
  <c r="AB185" i="1" s="1"/>
  <c r="AB110" i="1"/>
  <c r="AB119" i="1"/>
  <c r="AB131" i="1"/>
  <c r="AB105" i="1"/>
  <c r="AB272" i="1" l="1"/>
  <c r="AB270" i="1"/>
  <c r="AB268" i="1"/>
  <c r="CP270" i="1"/>
  <c r="CP268" i="1"/>
  <c r="CP272" i="1"/>
  <c r="CP189" i="1"/>
  <c r="CQ233" i="1"/>
  <c r="CP192" i="1"/>
  <c r="CP235" i="1"/>
  <c r="AB192" i="1"/>
  <c r="AB133" i="1" s="1"/>
  <c r="AB135" i="1" s="1"/>
  <c r="AB138" i="1" s="1"/>
  <c r="AB189" i="1"/>
  <c r="AC233" i="1"/>
  <c r="AB235" i="1"/>
  <c r="AB134" i="1" l="1"/>
  <c r="AB137" i="1" s="1"/>
  <c r="AB190" i="1"/>
  <c r="CP133" i="1"/>
  <c r="CQ60" i="1"/>
  <c r="CQ276" i="1" s="1"/>
  <c r="CP190" i="1"/>
  <c r="CQ62" i="1" l="1"/>
  <c r="CP134" i="1"/>
  <c r="CP137" i="1" s="1"/>
  <c r="CP135" i="1"/>
  <c r="CP138" i="1" s="1"/>
  <c r="CQ63" i="1" l="1"/>
  <c r="CQ65" i="1" s="1"/>
  <c r="CQ72" i="1" l="1"/>
  <c r="CQ66" i="1"/>
  <c r="CQ269" i="1" s="1"/>
  <c r="CQ67" i="1"/>
  <c r="CQ68" i="1"/>
  <c r="CQ258" i="1"/>
  <c r="CQ251" i="1"/>
  <c r="CQ90" i="1" l="1"/>
  <c r="CQ217" i="1"/>
  <c r="CQ219" i="1" s="1"/>
  <c r="CQ223" i="1" s="1"/>
  <c r="CQ237" i="1" s="1"/>
  <c r="CQ143" i="1"/>
  <c r="CQ144" i="1" l="1"/>
  <c r="CQ93" i="1"/>
  <c r="CQ94" i="1" l="1"/>
  <c r="CQ103" i="1"/>
  <c r="CQ102" i="1"/>
  <c r="CQ109" i="1"/>
  <c r="CQ153" i="1"/>
  <c r="CQ79" i="1" s="1"/>
  <c r="CQ231" i="1"/>
  <c r="CQ229" i="1" s="1"/>
  <c r="CQ234" i="1" s="1"/>
  <c r="CQ116" i="1"/>
  <c r="CQ118" i="1" s="1"/>
  <c r="CQ78" i="1"/>
  <c r="CQ184" i="1" l="1"/>
  <c r="CQ185" i="1" s="1"/>
  <c r="CQ235" i="1" s="1"/>
  <c r="CQ131" i="1"/>
  <c r="CQ105" i="1"/>
  <c r="CQ132" i="1"/>
  <c r="CQ106" i="1"/>
  <c r="CQ272" i="1" l="1"/>
  <c r="CQ270" i="1"/>
  <c r="CQ268" i="1"/>
  <c r="CQ192" i="1"/>
  <c r="CR233" i="1"/>
  <c r="CQ189" i="1"/>
  <c r="CQ190" i="1" l="1"/>
  <c r="CQ133" i="1"/>
  <c r="CR60" i="1"/>
  <c r="CR276" i="1" s="1"/>
  <c r="CR62" i="1" l="1"/>
  <c r="CQ134" i="1"/>
  <c r="CQ137" i="1" s="1"/>
  <c r="CQ135" i="1"/>
  <c r="CQ138" i="1" s="1"/>
  <c r="CR63" i="1" l="1"/>
  <c r="CR65" i="1" s="1"/>
  <c r="CR258" i="1" l="1"/>
  <c r="CR66" i="1"/>
  <c r="CR269" i="1" s="1"/>
  <c r="CR72" i="1"/>
  <c r="CR67" i="1"/>
  <c r="CR68" i="1"/>
  <c r="CR251" i="1"/>
  <c r="CR90" i="1" l="1"/>
  <c r="CR217" i="1"/>
  <c r="CR219" i="1" s="1"/>
  <c r="CR223" i="1" s="1"/>
  <c r="CR237" i="1" s="1"/>
  <c r="CR143" i="1"/>
  <c r="CR144" i="1" l="1"/>
  <c r="CR93" i="1"/>
  <c r="CR94" i="1" l="1"/>
  <c r="CR109" i="1"/>
  <c r="CR102" i="1"/>
  <c r="CR103" i="1"/>
  <c r="CR153" i="1"/>
  <c r="CR79" i="1" s="1"/>
  <c r="CR231" i="1"/>
  <c r="CR229" i="1" s="1"/>
  <c r="CR234" i="1" s="1"/>
  <c r="CR116" i="1"/>
  <c r="CR118" i="1" s="1"/>
  <c r="CR78" i="1"/>
  <c r="CR184" i="1" l="1"/>
  <c r="CR185" i="1" s="1"/>
  <c r="CR132" i="1"/>
  <c r="CR106" i="1"/>
  <c r="CR131" i="1"/>
  <c r="CR105" i="1"/>
  <c r="CR272" i="1" l="1"/>
  <c r="CR270" i="1"/>
  <c r="CR268" i="1"/>
  <c r="CS233" i="1"/>
  <c r="CR192" i="1"/>
  <c r="CR189" i="1"/>
  <c r="CR235" i="1"/>
  <c r="CR190" i="1" l="1"/>
  <c r="CR133" i="1"/>
  <c r="CS60" i="1"/>
  <c r="CS276" i="1" s="1"/>
  <c r="CS62" i="1" l="1"/>
  <c r="CR134" i="1"/>
  <c r="CR137" i="1" s="1"/>
  <c r="CR135" i="1"/>
  <c r="CR138" i="1" s="1"/>
  <c r="CS63" i="1" l="1"/>
  <c r="CS65" i="1" l="1"/>
  <c r="CS72" i="1" l="1"/>
  <c r="CS68" i="1"/>
  <c r="CS258" i="1"/>
  <c r="CS67" i="1"/>
  <c r="CS66" i="1"/>
  <c r="CS269" i="1" s="1"/>
  <c r="CS251" i="1"/>
  <c r="CS90" i="1" l="1"/>
  <c r="CS217" i="1"/>
  <c r="CS219" i="1" s="1"/>
  <c r="CS223" i="1" s="1"/>
  <c r="CS237" i="1" s="1"/>
  <c r="CS143" i="1"/>
  <c r="CS144" i="1" l="1"/>
  <c r="CS93" i="1"/>
  <c r="CS94" i="1" l="1"/>
  <c r="CS102" i="1"/>
  <c r="CS103" i="1"/>
  <c r="CS109" i="1"/>
  <c r="CS153" i="1"/>
  <c r="CS79" i="1" s="1"/>
  <c r="CS116" i="1"/>
  <c r="CS118" i="1" s="1"/>
  <c r="CS231" i="1"/>
  <c r="CS229" i="1" s="1"/>
  <c r="CS234" i="1" s="1"/>
  <c r="CS78" i="1"/>
  <c r="CS184" i="1" l="1"/>
  <c r="CS185" i="1" s="1"/>
  <c r="CS132" i="1"/>
  <c r="CS106" i="1"/>
  <c r="CS131" i="1"/>
  <c r="CS105" i="1"/>
  <c r="CS270" i="1" l="1"/>
  <c r="CS272" i="1"/>
  <c r="CS268" i="1"/>
  <c r="CT233" i="1"/>
  <c r="CS189" i="1"/>
  <c r="CS192" i="1"/>
  <c r="CS235" i="1"/>
  <c r="CT60" i="1" l="1"/>
  <c r="CT276" i="1" s="1"/>
  <c r="CS133" i="1"/>
  <c r="CS190" i="1"/>
  <c r="CS135" i="1" l="1"/>
  <c r="CS138" i="1" s="1"/>
  <c r="CS134" i="1"/>
  <c r="CS137" i="1" s="1"/>
  <c r="CT62" i="1"/>
  <c r="AC60" i="1"/>
  <c r="AC61" i="1" l="1"/>
  <c r="AC276" i="1"/>
  <c r="AC62" i="1"/>
  <c r="AC25" i="1" s="1"/>
  <c r="CT63" i="1"/>
  <c r="AC63" i="1" s="1"/>
  <c r="AC64" i="1" l="1"/>
  <c r="CT65" i="1"/>
  <c r="CT68" i="1" s="1"/>
  <c r="AC65" i="1"/>
  <c r="CT67" i="1" l="1"/>
  <c r="CT72" i="1"/>
  <c r="CT258" i="1"/>
  <c r="CT251" i="1"/>
  <c r="CT66" i="1"/>
  <c r="CT269" i="1" s="1"/>
  <c r="AC67" i="1"/>
  <c r="AC66" i="1"/>
  <c r="AC269" i="1" s="1"/>
  <c r="AC85" i="1"/>
  <c r="AC72" i="1"/>
  <c r="CT143" i="1" l="1"/>
  <c r="CT90" i="1"/>
  <c r="CT93" i="1" s="1"/>
  <c r="CT96" i="1" s="1"/>
  <c r="CT217" i="1"/>
  <c r="CT219" i="1" s="1"/>
  <c r="CT223" i="1" s="1"/>
  <c r="CT237" i="1" s="1"/>
  <c r="AC90" i="1"/>
  <c r="AC75" i="1"/>
  <c r="AC76" i="1" s="1"/>
  <c r="AC217" i="1"/>
  <c r="AC219" i="1" s="1"/>
  <c r="AC223" i="1" s="1"/>
  <c r="AC237" i="1" s="1"/>
  <c r="CT144" i="1" l="1"/>
  <c r="AC143" i="1"/>
  <c r="AC144" i="1" s="1"/>
  <c r="AC153" i="1" s="1"/>
  <c r="AC79" i="1" s="1"/>
  <c r="CT94" i="1"/>
  <c r="AC92" i="1"/>
  <c r="AC93" i="1"/>
  <c r="AC94" i="1" s="1"/>
  <c r="CT109" i="1"/>
  <c r="CT102" i="1"/>
  <c r="CT103" i="1"/>
  <c r="CT153" i="1" l="1"/>
  <c r="CT79" i="1" s="1"/>
  <c r="CT116" i="1"/>
  <c r="CT118" i="1" s="1"/>
  <c r="CT231" i="1"/>
  <c r="CT229" i="1" s="1"/>
  <c r="CT234" i="1" s="1"/>
  <c r="CT184" i="1" s="1"/>
  <c r="CT78" i="1"/>
  <c r="AC78" i="1"/>
  <c r="AC231" i="1"/>
  <c r="AC229" i="1" s="1"/>
  <c r="AC234" i="1" s="1"/>
  <c r="AC116" i="1"/>
  <c r="AC118" i="1" s="1"/>
  <c r="AC199" i="1"/>
  <c r="CT131" i="1"/>
  <c r="CT105" i="1"/>
  <c r="AC102" i="1"/>
  <c r="AC127" i="1" s="1"/>
  <c r="AC109" i="1"/>
  <c r="AB113" i="1"/>
  <c r="CT132" i="1"/>
  <c r="CT106" i="1"/>
  <c r="AC103" i="1"/>
  <c r="AC128" i="1" s="1"/>
  <c r="AC110" i="1" l="1"/>
  <c r="AC105" i="1"/>
  <c r="AC119" i="1"/>
  <c r="AC131" i="1"/>
  <c r="CT185" i="1"/>
  <c r="AC184" i="1"/>
  <c r="AC185" i="1" s="1"/>
  <c r="AC120" i="1"/>
  <c r="AC132" i="1"/>
  <c r="AC111" i="1"/>
  <c r="AC106" i="1"/>
  <c r="CT270" i="1" l="1"/>
  <c r="CT272" i="1"/>
  <c r="CT268" i="1"/>
  <c r="AC272" i="1"/>
  <c r="AC270" i="1"/>
  <c r="AC268" i="1"/>
  <c r="CU233" i="1"/>
  <c r="CT189" i="1"/>
  <c r="CT192" i="1"/>
  <c r="CT235" i="1"/>
  <c r="AD233" i="1"/>
  <c r="AC192" i="1"/>
  <c r="AC133" i="1" s="1"/>
  <c r="AC134" i="1" s="1"/>
  <c r="AC137" i="1" s="1"/>
  <c r="AC189" i="1"/>
  <c r="AC235" i="1"/>
  <c r="AC135" i="1" l="1"/>
  <c r="AC138" i="1" s="1"/>
  <c r="AC190" i="1"/>
  <c r="CT190" i="1"/>
  <c r="CT133" i="1"/>
  <c r="CU60" i="1"/>
  <c r="CU276" i="1" s="1"/>
  <c r="CU62" i="1" l="1"/>
  <c r="CT134" i="1"/>
  <c r="CT137" i="1" s="1"/>
  <c r="CT135" i="1"/>
  <c r="CT138" i="1" s="1"/>
  <c r="CU63" i="1" l="1"/>
  <c r="CU65" i="1" s="1"/>
  <c r="CU66" i="1" l="1"/>
  <c r="CU269" i="1" s="1"/>
  <c r="CU67" i="1"/>
  <c r="CU68" i="1"/>
  <c r="CU72" i="1"/>
  <c r="CU258" i="1"/>
  <c r="CU251" i="1"/>
  <c r="CU217" i="1" l="1"/>
  <c r="CU219" i="1" s="1"/>
  <c r="CU223" i="1" s="1"/>
  <c r="CU237" i="1" s="1"/>
  <c r="CU90" i="1"/>
  <c r="CU143" i="1"/>
  <c r="CU144" i="1" l="1"/>
  <c r="CU93" i="1"/>
  <c r="CU94" i="1" l="1"/>
  <c r="CU109" i="1"/>
  <c r="CU103" i="1"/>
  <c r="CU102" i="1"/>
  <c r="CU153" i="1"/>
  <c r="CU79" i="1" s="1"/>
  <c r="CU231" i="1"/>
  <c r="CU229" i="1" s="1"/>
  <c r="CU234" i="1" s="1"/>
  <c r="CU116" i="1"/>
  <c r="CU118" i="1" s="1"/>
  <c r="CU78" i="1"/>
  <c r="CU184" i="1" l="1"/>
  <c r="CU185" i="1" s="1"/>
  <c r="CU131" i="1"/>
  <c r="CU105" i="1"/>
  <c r="CU132" i="1"/>
  <c r="CU106" i="1"/>
  <c r="CU272" i="1" l="1"/>
  <c r="CU268" i="1"/>
  <c r="CU270" i="1"/>
  <c r="CU189" i="1"/>
  <c r="CU192" i="1"/>
  <c r="CV233" i="1"/>
  <c r="CU235" i="1"/>
  <c r="CU190" i="1" l="1"/>
  <c r="CV60" i="1"/>
  <c r="CV276" i="1" s="1"/>
  <c r="CU133" i="1"/>
  <c r="CU134" i="1" l="1"/>
  <c r="CU137" i="1" s="1"/>
  <c r="CU135" i="1"/>
  <c r="CU138" i="1" s="1"/>
  <c r="CV62" i="1"/>
  <c r="CV63" i="1" l="1"/>
  <c r="CV65" i="1" l="1"/>
  <c r="CV72" i="1" l="1"/>
  <c r="CV258" i="1"/>
  <c r="CV66" i="1"/>
  <c r="CV269" i="1" s="1"/>
  <c r="CV68" i="1"/>
  <c r="CV67" i="1"/>
  <c r="CV251" i="1"/>
  <c r="CV217" i="1" l="1"/>
  <c r="CV219" i="1" s="1"/>
  <c r="CV223" i="1" s="1"/>
  <c r="CV237" i="1" s="1"/>
  <c r="CV90" i="1"/>
  <c r="CV143" i="1"/>
  <c r="CV144" i="1" l="1"/>
  <c r="CV93" i="1"/>
  <c r="CV94" i="1" l="1"/>
  <c r="CV102" i="1"/>
  <c r="CV103" i="1"/>
  <c r="CV109" i="1"/>
  <c r="CV116" i="1"/>
  <c r="CV118" i="1" s="1"/>
  <c r="CV153" i="1"/>
  <c r="CV79" i="1" s="1"/>
  <c r="CV231" i="1"/>
  <c r="CV229" i="1" s="1"/>
  <c r="CV234" i="1" s="1"/>
  <c r="CV78" i="1"/>
  <c r="CV184" i="1" l="1"/>
  <c r="CV185" i="1" s="1"/>
  <c r="CV132" i="1"/>
  <c r="CV106" i="1"/>
  <c r="CV131" i="1"/>
  <c r="CV105" i="1"/>
  <c r="CV270" i="1" l="1"/>
  <c r="CV268" i="1"/>
  <c r="CV272" i="1"/>
  <c r="CV192" i="1"/>
  <c r="CW233" i="1"/>
  <c r="CV189" i="1"/>
  <c r="CV235" i="1"/>
  <c r="CV190" i="1" l="1"/>
  <c r="CV133" i="1"/>
  <c r="CW60" i="1"/>
  <c r="CW276" i="1" s="1"/>
  <c r="CW62" i="1" l="1"/>
  <c r="CV135" i="1"/>
  <c r="CV138" i="1" s="1"/>
  <c r="CV134" i="1"/>
  <c r="CV137" i="1" s="1"/>
  <c r="CW63" i="1" l="1"/>
  <c r="CW65" i="1" l="1"/>
  <c r="CW66" i="1" l="1"/>
  <c r="CW269" i="1" s="1"/>
  <c r="CW68" i="1"/>
  <c r="CW72" i="1"/>
  <c r="CW67" i="1"/>
  <c r="CW258" i="1"/>
  <c r="CW251" i="1"/>
  <c r="CW217" i="1" l="1"/>
  <c r="CW219" i="1" s="1"/>
  <c r="CW223" i="1" s="1"/>
  <c r="CW237" i="1" s="1"/>
  <c r="CW90" i="1"/>
  <c r="CW143" i="1"/>
  <c r="CW144" i="1" l="1"/>
  <c r="CW93" i="1"/>
  <c r="CW94" i="1" l="1"/>
  <c r="CW109" i="1"/>
  <c r="CW103" i="1"/>
  <c r="CW102" i="1"/>
  <c r="CW231" i="1"/>
  <c r="CW229" i="1" s="1"/>
  <c r="CW234" i="1" s="1"/>
  <c r="CW153" i="1"/>
  <c r="CW79" i="1" s="1"/>
  <c r="CW116" i="1"/>
  <c r="CW118" i="1" s="1"/>
  <c r="CW78" i="1"/>
  <c r="CW184" i="1" l="1"/>
  <c r="CW185" i="1" s="1"/>
  <c r="CW131" i="1"/>
  <c r="CW105" i="1"/>
  <c r="CW132" i="1"/>
  <c r="CW106" i="1"/>
  <c r="CW270" i="1" l="1"/>
  <c r="CW268" i="1"/>
  <c r="CW272" i="1"/>
  <c r="CW189" i="1"/>
  <c r="CX233" i="1"/>
  <c r="CW192" i="1"/>
  <c r="CW235" i="1"/>
  <c r="CX60" i="1" l="1"/>
  <c r="CX276" i="1" s="1"/>
  <c r="CW133" i="1"/>
  <c r="CW190" i="1"/>
  <c r="CW134" i="1" l="1"/>
  <c r="CW137" i="1" s="1"/>
  <c r="CW135" i="1"/>
  <c r="CW138" i="1" s="1"/>
  <c r="CX62" i="1"/>
  <c r="AD60" i="1"/>
  <c r="AD61" i="1" l="1"/>
  <c r="AD276" i="1"/>
  <c r="AD62" i="1"/>
  <c r="AD25" i="1" s="1"/>
  <c r="CX63" i="1"/>
  <c r="AD63" i="1" s="1"/>
  <c r="AD64" i="1" l="1"/>
  <c r="CX65" i="1"/>
  <c r="CX251" i="1" s="1"/>
  <c r="AD65" i="1"/>
  <c r="CX68" i="1" l="1"/>
  <c r="CX258" i="1"/>
  <c r="CX72" i="1"/>
  <c r="CX66" i="1"/>
  <c r="CX269" i="1" s="1"/>
  <c r="CX67" i="1"/>
  <c r="AD67" i="1"/>
  <c r="AD85" i="1"/>
  <c r="AD72" i="1"/>
  <c r="AD66" i="1"/>
  <c r="AD269" i="1" s="1"/>
  <c r="CX90" i="1" l="1"/>
  <c r="CX93" i="1" s="1"/>
  <c r="CX96" i="1" s="1"/>
  <c r="CX217" i="1"/>
  <c r="CX219" i="1" s="1"/>
  <c r="CX223" i="1" s="1"/>
  <c r="CX237" i="1" s="1"/>
  <c r="CX143" i="1"/>
  <c r="AD90" i="1"/>
  <c r="AD75" i="1"/>
  <c r="AD76" i="1" s="1"/>
  <c r="AD217" i="1"/>
  <c r="AD219" i="1" s="1"/>
  <c r="AD223" i="1" s="1"/>
  <c r="AD237" i="1" s="1"/>
  <c r="AD143" i="1" l="1"/>
  <c r="AD144" i="1" s="1"/>
  <c r="CX144" i="1"/>
  <c r="CX231" i="1" s="1"/>
  <c r="CX229" i="1" s="1"/>
  <c r="CX234" i="1" s="1"/>
  <c r="CX94" i="1"/>
  <c r="CX102" i="1"/>
  <c r="CX109" i="1"/>
  <c r="CX103" i="1"/>
  <c r="AD92" i="1"/>
  <c r="AD93" i="1"/>
  <c r="AD94" i="1" s="1"/>
  <c r="AD116" i="1" l="1"/>
  <c r="AD118" i="1" s="1"/>
  <c r="AD199" i="1"/>
  <c r="AD153" i="1"/>
  <c r="AD79" i="1" s="1"/>
  <c r="AD78" i="1"/>
  <c r="AD231" i="1"/>
  <c r="AD229" i="1" s="1"/>
  <c r="AD234" i="1" s="1"/>
  <c r="CX153" i="1"/>
  <c r="CX79" i="1" s="1"/>
  <c r="CX116" i="1"/>
  <c r="CX118" i="1" s="1"/>
  <c r="CX78" i="1"/>
  <c r="CX184" i="1"/>
  <c r="CX106" i="1"/>
  <c r="CX132" i="1"/>
  <c r="AD103" i="1"/>
  <c r="AD128" i="1" s="1"/>
  <c r="AD109" i="1"/>
  <c r="AC113" i="1"/>
  <c r="CX131" i="1"/>
  <c r="CX105" i="1"/>
  <c r="AD102" i="1"/>
  <c r="AD127" i="1" s="1"/>
  <c r="AD132" i="1" l="1"/>
  <c r="AD106" i="1"/>
  <c r="AD120" i="1"/>
  <c r="AD111" i="1"/>
  <c r="AD119" i="1"/>
  <c r="AD131" i="1"/>
  <c r="AD110" i="1"/>
  <c r="AD105" i="1"/>
  <c r="CX185" i="1"/>
  <c r="AD184" i="1"/>
  <c r="AD185" i="1" s="1"/>
  <c r="AD272" i="1" l="1"/>
  <c r="AD270" i="1"/>
  <c r="AD268" i="1"/>
  <c r="CX272" i="1"/>
  <c r="CX270" i="1"/>
  <c r="CX268" i="1"/>
  <c r="AE233" i="1"/>
  <c r="AD189" i="1"/>
  <c r="AD192" i="1"/>
  <c r="AD133" i="1" s="1"/>
  <c r="AD135" i="1" s="1"/>
  <c r="AD138" i="1" s="1"/>
  <c r="AD235" i="1"/>
  <c r="CY233" i="1"/>
  <c r="CX189" i="1"/>
  <c r="CX192" i="1"/>
  <c r="CX235" i="1"/>
  <c r="AD134" i="1" l="1"/>
  <c r="AD137" i="1" s="1"/>
  <c r="AD190" i="1"/>
  <c r="CX133" i="1"/>
  <c r="CY60" i="1"/>
  <c r="CY276" i="1" s="1"/>
  <c r="CX190" i="1"/>
  <c r="CY62" i="1" l="1"/>
  <c r="CX134" i="1"/>
  <c r="CX137" i="1" s="1"/>
  <c r="CX135" i="1"/>
  <c r="CX138" i="1" s="1"/>
  <c r="CY63" i="1" l="1"/>
  <c r="CY65" i="1" l="1"/>
  <c r="CY66" i="1" l="1"/>
  <c r="CY269" i="1" s="1"/>
  <c r="CY258" i="1"/>
  <c r="CY67" i="1"/>
  <c r="CY68" i="1"/>
  <c r="CY72" i="1"/>
  <c r="CY251" i="1"/>
  <c r="CY90" i="1" l="1"/>
  <c r="CY217" i="1"/>
  <c r="CY219" i="1" s="1"/>
  <c r="CY223" i="1" s="1"/>
  <c r="CY237" i="1" s="1"/>
  <c r="CY143" i="1"/>
  <c r="CY144" i="1" l="1"/>
  <c r="CY93" i="1"/>
  <c r="CY94" i="1" s="1"/>
  <c r="CY102" i="1" l="1"/>
  <c r="CY109" i="1"/>
  <c r="CY103" i="1"/>
  <c r="CY116" i="1"/>
  <c r="CY118" i="1" s="1"/>
  <c r="CY153" i="1"/>
  <c r="CY79" i="1" s="1"/>
  <c r="CY231" i="1"/>
  <c r="CY229" i="1" s="1"/>
  <c r="CY234" i="1" s="1"/>
  <c r="CY78" i="1"/>
  <c r="CY184" i="1" l="1"/>
  <c r="CY185" i="1" s="1"/>
  <c r="CY132" i="1"/>
  <c r="CY106" i="1"/>
  <c r="CY105" i="1"/>
  <c r="CY131" i="1"/>
  <c r="CY235" i="1" l="1"/>
  <c r="CY272" i="1"/>
  <c r="CY270" i="1"/>
  <c r="CY268" i="1"/>
  <c r="CZ233" i="1"/>
  <c r="CY189" i="1"/>
  <c r="CY192" i="1"/>
  <c r="CY190" i="1" l="1"/>
  <c r="CZ60" i="1"/>
  <c r="CZ276" i="1" s="1"/>
  <c r="CY133" i="1"/>
  <c r="CY135" i="1" l="1"/>
  <c r="CY138" i="1" s="1"/>
  <c r="CY134" i="1"/>
  <c r="CY137" i="1" s="1"/>
  <c r="CZ62" i="1"/>
  <c r="CZ63" i="1" l="1"/>
  <c r="CZ65" i="1" l="1"/>
  <c r="CZ258" i="1" l="1"/>
  <c r="CZ67" i="1"/>
  <c r="CZ66" i="1"/>
  <c r="CZ269" i="1" s="1"/>
  <c r="CZ68" i="1"/>
  <c r="CZ72" i="1"/>
  <c r="CZ251" i="1"/>
  <c r="CZ217" i="1" l="1"/>
  <c r="CZ219" i="1" s="1"/>
  <c r="CZ223" i="1" s="1"/>
  <c r="CZ237" i="1" s="1"/>
  <c r="CZ90" i="1"/>
  <c r="CZ143" i="1"/>
  <c r="CZ144" i="1" l="1"/>
  <c r="CZ93" i="1"/>
  <c r="CZ94" i="1" s="1"/>
  <c r="CZ109" i="1" l="1"/>
  <c r="CZ103" i="1"/>
  <c r="CZ102" i="1"/>
  <c r="CZ153" i="1"/>
  <c r="CZ79" i="1" s="1"/>
  <c r="CZ231" i="1"/>
  <c r="CZ229" i="1" s="1"/>
  <c r="CZ234" i="1" s="1"/>
  <c r="CZ116" i="1"/>
  <c r="CZ118" i="1" s="1"/>
  <c r="CZ78" i="1"/>
  <c r="CZ184" i="1" l="1"/>
  <c r="CZ185" i="1" s="1"/>
  <c r="CZ131" i="1"/>
  <c r="CZ105" i="1"/>
  <c r="CZ106" i="1"/>
  <c r="CZ132" i="1"/>
  <c r="CZ270" i="1" l="1"/>
  <c r="CZ268" i="1"/>
  <c r="CZ272" i="1"/>
  <c r="CZ189" i="1"/>
  <c r="CZ192" i="1"/>
  <c r="DA233" i="1"/>
  <c r="CZ235" i="1"/>
  <c r="CZ133" i="1" l="1"/>
  <c r="DA60" i="1"/>
  <c r="DA276" i="1" s="1"/>
  <c r="CZ190" i="1"/>
  <c r="DA62" i="1" l="1"/>
  <c r="CZ134" i="1"/>
  <c r="CZ137" i="1" s="1"/>
  <c r="CZ135" i="1"/>
  <c r="CZ138" i="1" s="1"/>
  <c r="DA63" i="1" l="1"/>
  <c r="DA65" i="1" l="1"/>
  <c r="DA258" i="1" l="1"/>
  <c r="DA72" i="1"/>
  <c r="DA67" i="1"/>
  <c r="DA68" i="1"/>
  <c r="DA66" i="1"/>
  <c r="DA269" i="1" s="1"/>
  <c r="DA251" i="1"/>
  <c r="DA90" i="1" l="1"/>
  <c r="DA217" i="1"/>
  <c r="DA219" i="1" s="1"/>
  <c r="DA223" i="1" s="1"/>
  <c r="DA237" i="1" s="1"/>
  <c r="DA143" i="1"/>
  <c r="DA144" i="1" l="1"/>
  <c r="DA93" i="1"/>
  <c r="DA94" i="1" s="1"/>
  <c r="DA103" i="1" l="1"/>
  <c r="DA102" i="1"/>
  <c r="DA109" i="1"/>
  <c r="DA153" i="1"/>
  <c r="DA79" i="1" s="1"/>
  <c r="DA231" i="1"/>
  <c r="DA229" i="1" s="1"/>
  <c r="DA234" i="1" s="1"/>
  <c r="DA116" i="1"/>
  <c r="DA118" i="1" s="1"/>
  <c r="DA78" i="1"/>
  <c r="DA184" i="1" l="1"/>
  <c r="DA185" i="1" s="1"/>
  <c r="DA131" i="1"/>
  <c r="DA105" i="1"/>
  <c r="DA106" i="1"/>
  <c r="DA132" i="1"/>
  <c r="DA235" i="1" l="1"/>
  <c r="DA272" i="1"/>
  <c r="DA268" i="1"/>
  <c r="DA270" i="1"/>
  <c r="DA192" i="1"/>
  <c r="DB233" i="1"/>
  <c r="DA189" i="1"/>
  <c r="DA190" i="1" l="1"/>
  <c r="DA133" i="1"/>
  <c r="DB60" i="1"/>
  <c r="DB276" i="1" s="1"/>
  <c r="DA135" i="1" l="1"/>
  <c r="DA138" i="1" s="1"/>
  <c r="DA134" i="1"/>
  <c r="DA137" i="1" s="1"/>
  <c r="DB62" i="1"/>
  <c r="AE60" i="1"/>
  <c r="AE61" i="1" l="1"/>
  <c r="AE276" i="1"/>
  <c r="AE62" i="1"/>
  <c r="AE25" i="1" s="1"/>
  <c r="DB63" i="1"/>
  <c r="AE63" i="1" s="1"/>
  <c r="AE64" i="1" l="1"/>
  <c r="DB65" i="1"/>
  <c r="AE65" i="1"/>
  <c r="AE67" i="1" s="1"/>
  <c r="AE66" i="1" l="1"/>
  <c r="AE269" i="1" s="1"/>
  <c r="AE72" i="1"/>
  <c r="AE85" i="1"/>
  <c r="DB67" i="1"/>
  <c r="DB68" i="1"/>
  <c r="DB258" i="1"/>
  <c r="DB66" i="1"/>
  <c r="DB269" i="1" s="1"/>
  <c r="DB72" i="1"/>
  <c r="DB251" i="1"/>
  <c r="AE75" i="1" l="1"/>
  <c r="AE76" i="1" s="1"/>
  <c r="AE90" i="1"/>
  <c r="AE217" i="1"/>
  <c r="AE219" i="1" s="1"/>
  <c r="AE223" i="1" s="1"/>
  <c r="AE237" i="1" s="1"/>
  <c r="DB217" i="1"/>
  <c r="DB219" i="1" s="1"/>
  <c r="DB223" i="1" s="1"/>
  <c r="DB237" i="1" s="1"/>
  <c r="DB90" i="1"/>
  <c r="DB93" i="1" s="1"/>
  <c r="DB94" i="1" s="1"/>
  <c r="DB143" i="1"/>
  <c r="AE143" i="1" l="1"/>
  <c r="AE144" i="1" s="1"/>
  <c r="DB144" i="1"/>
  <c r="DB103" i="1"/>
  <c r="DB102" i="1"/>
  <c r="DB109" i="1"/>
  <c r="AE93" i="1"/>
  <c r="AE94" i="1" s="1"/>
  <c r="AE92" i="1"/>
  <c r="DB131" i="1" l="1"/>
  <c r="DB105" i="1"/>
  <c r="AE102" i="1"/>
  <c r="AE127" i="1" s="1"/>
  <c r="AE109" i="1"/>
  <c r="AD113" i="1"/>
  <c r="DB132" i="1"/>
  <c r="DB106" i="1"/>
  <c r="AE103" i="1"/>
  <c r="AE128" i="1" s="1"/>
  <c r="DB231" i="1"/>
  <c r="DB229" i="1" s="1"/>
  <c r="DB234" i="1" s="1"/>
  <c r="DB153" i="1"/>
  <c r="DB79" i="1" s="1"/>
  <c r="DB116" i="1"/>
  <c r="DB118" i="1" s="1"/>
  <c r="DB78" i="1"/>
  <c r="AE231" i="1"/>
  <c r="AE229" i="1" s="1"/>
  <c r="AE234" i="1" s="1"/>
  <c r="AE153" i="1"/>
  <c r="AE79" i="1" s="1"/>
  <c r="AE116" i="1"/>
  <c r="AE118" i="1" s="1"/>
  <c r="AE199" i="1"/>
  <c r="AE78" i="1"/>
  <c r="AE111" i="1" l="1"/>
  <c r="AE106" i="1"/>
  <c r="AE120" i="1"/>
  <c r="AE132" i="1"/>
  <c r="AE110" i="1"/>
  <c r="AE105" i="1"/>
  <c r="AE131" i="1"/>
  <c r="AE119" i="1"/>
  <c r="DB184" i="1"/>
  <c r="AE184" i="1" l="1"/>
  <c r="AE185" i="1" s="1"/>
  <c r="DB185" i="1"/>
  <c r="DB268" i="1" l="1"/>
  <c r="DB272" i="1"/>
  <c r="DB270" i="1"/>
  <c r="AE270" i="1"/>
  <c r="AE268" i="1"/>
  <c r="AE272" i="1"/>
  <c r="DB189" i="1"/>
  <c r="DB192" i="1"/>
  <c r="DB133" i="1" s="1"/>
  <c r="DB235" i="1"/>
  <c r="AE192" i="1"/>
  <c r="AE133" i="1" s="1"/>
  <c r="AE189" i="1"/>
  <c r="AE235" i="1"/>
  <c r="AE190" i="1" l="1"/>
  <c r="AE135" i="1"/>
  <c r="AE138" i="1" s="1"/>
  <c r="AE134" i="1"/>
  <c r="AE137" i="1" s="1"/>
  <c r="DB134" i="1"/>
  <c r="DB137" i="1" s="1"/>
  <c r="DB135" i="1"/>
  <c r="DB138" i="1" s="1"/>
  <c r="DB19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<sst xmlns="http://schemas.openxmlformats.org/spreadsheetml/2006/main" count="684" uniqueCount="542">
  <si>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</si>
  <si>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</si>
  <si>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</si>
  <si>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</si>
  <si>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</si>
  <si>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</si>
  <si>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</si>
  <si>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</si>
  <si>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</si>
  <si>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</si>
  <si>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</si>
  <si>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</si>
  <si>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</si>
  <si>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</si>
  <si>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</si>
  <si>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</si>
  <si>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</si>
  <si>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</si>
  <si>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</si>
  <si>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</si>
  <si>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</si>
  <si>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</si>
  <si>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</si>
  <si>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</si>
  <si>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</si>
  <si>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</si>
  <si>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</si>
  <si>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</si>
  <si>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</si>
  <si>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</si>
  <si>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</si>
  <si>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</si>
  <si>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</si>
  <si>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</si>
  <si>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</si>
  <si>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</si>
  <si>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</si>
  <si>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</si>
  <si>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</si>
  <si>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</si>
  <si>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</si>
  <si>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</si>
  <si>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</si>
  <si>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</si>
  <si>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</si>
  <si>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</si>
  <si>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</si>
  <si>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</si>
  <si>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</si>
  <si>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</si>
  <si>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</si>
  <si>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</si>
  <si>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</si>
  <si>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</si>
  <si>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</si>
  <si>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</si>
  <si>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</si>
  <si>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</si>
  <si>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</si>
  <si>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</si>
  <si>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</si>
  <si>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</si>
  <si>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</si>
  <si>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</si>
  <si>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</si>
  <si>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</si>
  <si>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</si>
  <si>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</si>
  <si>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</si>
  <si>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</si>
  <si>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</si>
  <si>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</si>
  <si>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</si>
  <si>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</si>
  <si>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</si>
  <si>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</si>
  <si>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</si>
  <si>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</si>
  <si>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</si>
  <si>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</si>
  <si>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</si>
  <si>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</si>
  <si>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</si>
  <si>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</si>
  <si>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</si>
  <si>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</si>
  <si>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</si>
  <si>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</si>
  <si>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</si>
  <si>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</si>
  <si>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</si>
  <si>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</si>
  <si>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</si>
  <si>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</si>
  <si>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</si>
  <si>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</si>
  <si>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</si>
  <si>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</si>
  <si>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</si>
  <si>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</si>
  <si>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</si>
  <si>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</si>
  <si>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</si>
  <si>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</si>
  <si>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</si>
  <si>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</si>
  <si>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</si>
  <si>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</si>
  <si>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</si>
  <si>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</si>
  <si>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</si>
  <si>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</si>
  <si>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</si>
  <si>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</si>
  <si>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</si>
  <si>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</si>
  <si>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</si>
  <si>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</si>
  <si>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</si>
  <si>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</si>
  <si>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</si>
  <si>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</si>
  <si>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</si>
  <si>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</si>
  <si>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</si>
  <si>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</si>
  <si>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</si>
  <si>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</si>
  <si>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</si>
  <si>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</si>
  <si>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</si>
  <si>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</si>
  <si>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</si>
  <si>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</si>
  <si>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</si>
  <si>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</si>
  <si>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</si>
  <si>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</si>
  <si>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</si>
  <si>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</si>
  <si>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</si>
  <si>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</si>
  <si>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</si>
  <si>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</si>
  <si>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</si>
  <si>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</si>
  <si>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</si>
  <si>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</si>
  <si>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</si>
  <si>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</si>
  <si>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</si>
  <si>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</si>
  <si>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</si>
  <si>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</si>
  <si>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</si>
  <si>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</si>
  <si>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</si>
  <si>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</si>
  <si>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</si>
  <si>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</si>
  <si>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</si>
  <si>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</si>
  <si>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</si>
  <si>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</si>
  <si>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</si>
  <si>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</si>
  <si>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</si>
  <si>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</si>
  <si>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</si>
  <si>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</si>
  <si>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</si>
  <si>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</si>
  <si>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</si>
  <si>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</si>
  <si>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</si>
  <si>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</si>
  <si>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</si>
  <si>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</si>
  <si>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</si>
  <si>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</si>
  <si>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</si>
  <si>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</si>
  <si>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</si>
  <si>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</si>
  <si>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</si>
  <si>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</si>
  <si>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</si>
  <si>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</si>
  <si>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</si>
  <si>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</si>
  <si>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</si>
  <si>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</si>
  <si>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</si>
  <si>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</si>
  <si>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</si>
  <si>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</si>
  <si>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</si>
  <si>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</si>
  <si>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</si>
  <si>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</si>
  <si>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</si>
  <si>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</si>
  <si>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</si>
  <si>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</si>
  <si>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</si>
  <si>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</si>
  <si>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</si>
  <si>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</si>
  <si>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</si>
  <si>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</si>
  <si>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</si>
  <si>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</si>
  <si>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</si>
  <si>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</si>
  <si>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</si>
  <si>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</si>
  <si>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</si>
  <si>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</si>
  <si>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</si>
  <si>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</si>
  <si>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</si>
  <si>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</si>
  <si>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</si>
  <si>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</si>
  <si>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</si>
  <si>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</si>
  <si>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</si>
  <si>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</si>
  <si>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</si>
  <si>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</si>
  <si>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</si>
  <si>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</si>
  <si>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</si>
  <si>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</si>
  <si>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</si>
  <si>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</si>
  <si>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</si>
  <si>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</si>
  <si>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</si>
  <si>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</si>
  <si>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</si>
  <si>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</si>
  <si>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</si>
  <si>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</si>
  <si>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</si>
  <si>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</si>
  <si>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</si>
  <si>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</si>
  <si>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</si>
  <si>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</si>
  <si>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</si>
  <si>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</si>
  <si>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</si>
  <si>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</si>
  <si>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</si>
  <si>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</si>
  <si>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</si>
  <si>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</si>
  <si>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</si>
  <si>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</si>
  <si>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</si>
  <si>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</si>
  <si>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</si>
  <si>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</si>
  <si>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</si>
  <si>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</si>
  <si>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</si>
  <si>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</si>
  <si>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</si>
  <si>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</si>
  <si>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</si>
  <si>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</si>
  <si>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</si>
  <si>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</si>
  <si>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</si>
  <si>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</si>
  <si>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</si>
  <si>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</si>
  <si>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</si>
  <si>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</si>
  <si>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</si>
  <si>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</si>
  <si>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</si>
  <si>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</si>
  <si>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</si>
  <si>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</si>
  <si>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</si>
  <si>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</si>
  <si>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</si>
  <si>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</si>
  <si>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</si>
  <si>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</si>
  <si>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</si>
  <si>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</si>
  <si>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</si>
  <si>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</si>
  <si>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</si>
  <si>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</si>
  <si>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</si>
  <si>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</si>
  <si>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</si>
  <si>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</si>
  <si>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</si>
  <si>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</si>
  <si>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</si>
  <si>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</si>
  <si>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</si>
  <si>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</si>
  <si>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</si>
  <si>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</si>
  <si>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</si>
  <si>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</si>
  <si>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</si>
  <si>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</si>
  <si>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</si>
  <si>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</si>
  <si>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</si>
  <si>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</si>
  <si>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</si>
  <si>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</si>
  <si>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</si>
  <si>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</si>
  <si>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</si>
  <si>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</si>
  <si>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</si>
  <si>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</si>
  <si>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</si>
  <si>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</si>
  <si>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</si>
  <si>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</si>
  <si>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</si>
  <si>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</si>
  <si>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</si>
  <si>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</si>
  <si>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</si>
  <si>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</si>
  <si>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</si>
  <si>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</si>
  <si>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</si>
  <si>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</si>
  <si>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</si>
  <si>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</si>
  <si>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</si>
  <si>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</si>
  <si>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</si>
  <si>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</si>
  <si>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</si>
  <si>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</si>
  <si>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</si>
  <si>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</si>
  <si>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</si>
  <si>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</si>
  <si>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</si>
  <si>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</si>
  <si>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</si>
  <si>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</si>
  <si>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</si>
  <si>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</si>
  <si>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</si>
  <si>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</si>
  <si>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</si>
  <si>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</si>
  <si>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</si>
  <si>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</si>
  <si>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</si>
  <si>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</si>
  <si>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</si>
  <si>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</si>
  <si>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</si>
  <si>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</si>
  <si>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</si>
  <si>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</si>
  <si>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</si>
  <si>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</si>
  <si>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</si>
  <si>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</si>
  <si>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</si>
  <si>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</si>
  <si>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</si>
  <si>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</si>
  <si>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</si>
  <si>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</si>
  <si>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</si>
  <si>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</si>
  <si>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</si>
  <si>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</si>
  <si>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</si>
  <si>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</si>
  <si>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</si>
  <si>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</si>
  <si>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</si>
  <si>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</si>
  <si>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</si>
  <si>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</si>
  <si>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</si>
  <si>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</si>
  <si>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</si>
  <si>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</si>
  <si>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</si>
  <si>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</si>
  <si>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</si>
  <si>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</si>
  <si>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</si>
  <si>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</si>
  <si>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</si>
  <si>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</si>
  <si>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</si>
  <si>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</si>
  <si>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</si>
  <si>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</si>
  <si>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</si>
  <si>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</si>
  <si>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</si>
  <si>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</si>
  <si>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</si>
  <si>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</si>
  <si>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</si>
  <si>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</si>
  <si>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</si>
  <si>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</si>
  <si>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</si>
  <si>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</si>
  <si>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</si>
  <si>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</si>
  <si>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</si>
  <si>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</si>
  <si>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</si>
  <si>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</si>
  <si>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</si>
  <si>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</si>
  <si>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</si>
  <si>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</si>
  <si>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</si>
  <si>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</si>
  <si>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</si>
  <si>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</si>
  <si>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</si>
  <si>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</si>
  <si>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</si>
  <si>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</si>
  <si>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</si>
  <si>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</si>
  <si>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</si>
  <si>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</si>
  <si>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</si>
  <si>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</si>
  <si>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</si>
  <si>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</si>
  <si>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</si>
  <si>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</si>
  <si>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</si>
  <si>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</si>
  <si>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</si>
  <si>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</si>
  <si>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</si>
  <si>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</si>
  <si>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</si>
  <si>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</si>
  <si>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</si>
  <si>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</si>
  <si>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</si>
  <si>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</si>
  <si>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</si>
  <si>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</si>
  <si>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</si>
  <si>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</si>
  <si>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</si>
  <si>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</si>
  <si>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</si>
  <si>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</si>
  <si>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</si>
  <si>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</si>
  <si>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</si>
  <si>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</si>
  <si>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</si>
  <si>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</si>
  <si>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</si>
  <si>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</si>
  <si>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</si>
  <si>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</si>
  <si>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</si>
  <si>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</si>
  <si>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</si>
  <si>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</si>
  <si>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</si>
  <si>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</si>
  <si>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</si>
  <si>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</si>
  <si>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</si>
  <si>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</si>
  <si>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</si>
  <si>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</si>
  <si>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</si>
  <si>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</si>
  <si>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</si>
  <si>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</si>
  <si>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</si>
  <si>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</si>
  <si>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</si>
  <si>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</si>
  <si>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</si>
  <si>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</si>
  <si>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</si>
  <si>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</si>
  <si>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</si>
  <si>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</si>
  <si>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</si>
  <si>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</si>
  <si>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</si>
  <si>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</si>
  <si>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</si>
  <si>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</si>
  <si>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</si>
  <si>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</si>
  <si>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</si>
  <si>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Polycab India Ltd.</t>
  </si>
  <si>
    <t>DATE</t>
  </si>
  <si>
    <t>ADJHIGH</t>
  </si>
  <si>
    <t>ADJCLOSE</t>
  </si>
  <si>
    <t>ADJLOW</t>
  </si>
  <si>
    <t>ADJOPEN</t>
  </si>
  <si>
    <t>CLOSE</t>
  </si>
  <si>
    <t>VOLUME</t>
  </si>
  <si>
    <t>Revenue -   Copper</t>
  </si>
  <si>
    <t>Revenue -   FMEG</t>
  </si>
  <si>
    <t>Revenue -   Others</t>
  </si>
  <si>
    <t>Revenue -   WIRES&amp; CABLES</t>
  </si>
  <si>
    <t>Revenue - Less  Inter Segment Revenue</t>
  </si>
  <si>
    <t>Net Revenue/Inc. From Ops.</t>
  </si>
  <si>
    <t>Revenue Growth % -   Copper</t>
  </si>
  <si>
    <t>Revenue Growth % -   FMEG</t>
  </si>
  <si>
    <t>Revenue Growth % -   Others</t>
  </si>
  <si>
    <t>Revenue Growth % -   WIRES&amp; CABLES</t>
  </si>
  <si>
    <t>Revenue breakup</t>
  </si>
  <si>
    <t>Revenue Growth YoY %</t>
  </si>
  <si>
    <t>Wires &amp; Cables</t>
  </si>
  <si>
    <t>Unallocable</t>
  </si>
  <si>
    <t>Intersegmental</t>
  </si>
  <si>
    <t>Total PBT</t>
  </si>
  <si>
    <t>PBIT Margins</t>
  </si>
  <si>
    <t>FMEG</t>
  </si>
  <si>
    <t>Segment PBIT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</si>
</sst>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1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43" fontId="18" fillId="9" borderId="0" xfId="2" applyFont="1" applyFill="1" applyAlignment="1">
      <alignment horizontal="center"/>
    </xf>
    <xf numFmtId="43" fontId="4" fillId="9" borderId="0" xfId="2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12" fontId="7" fillId="7" borderId="0" xfId="2" applyNumberFormat="1" applyFont="1" applyFill="1"/>
    <xf numFmtId="43" fontId="20" fillId="2" borderId="0" xfId="2" applyFont="1" applyFill="1" applyAlignment="1">
      <alignment horizontal="right"/>
    </xf>
    <xf numFmtId="43" fontId="20" fillId="7" borderId="0" xfId="2" applyFont="1" applyFill="1" applyAlignment="1">
      <alignment horizontal="right"/>
    </xf>
    <xf numFmtId="43" fontId="7" fillId="0" borderId="0" xfId="2" applyFont="1" applyAlignment="1">
      <alignment horizontal="right"/>
    </xf>
    <xf numFmtId="43" fontId="20" fillId="0" borderId="0" xfId="2" applyFont="1" applyFill="1" applyAlignment="1">
      <alignment horizontal="right"/>
    </xf>
    <xf numFmtId="9" fontId="18" fillId="2" borderId="0" xfId="1" applyFont="1" applyFill="1" applyAlignment="1">
      <alignment horizontal="left"/>
    </xf>
    <xf numFmtId="9" fontId="18" fillId="2" borderId="0" xfId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9" fontId="4" fillId="0" borderId="0" xfId="1" applyFont="1" applyAlignment="1">
      <alignment horizontal="right"/>
    </xf>
    <xf numFmtId="43" fontId="18" fillId="2" borderId="0" xfId="2" applyFont="1" applyFill="1" applyAlignment="1">
      <alignment horizontal="right"/>
    </xf>
    <xf numFmtId="9" fontId="18" fillId="0" borderId="0" xfId="1" applyFont="1" applyFill="1" applyAlignment="1">
      <alignment horizontal="right"/>
    </xf>
    <xf numFmtId="9" fontId="20" fillId="2" borderId="0" xfId="2" applyNumberFormat="1" applyFont="1" applyFill="1" applyAlignment="1">
      <alignment horizontal="left"/>
    </xf>
    <xf numFmtId="43" fontId="20" fillId="2" borderId="0" xfId="1" applyNumberFormat="1" applyFont="1" applyFill="1" applyAlignment="1">
      <alignment horizontal="right"/>
    </xf>
    <xf numFmtId="43" fontId="20" fillId="7" borderId="0" xfId="1" applyNumberFormat="1" applyFont="1" applyFill="1" applyAlignment="1">
      <alignment horizontal="right"/>
    </xf>
    <xf numFmtId="43" fontId="18" fillId="2" borderId="0" xfId="1" applyNumberFormat="1" applyFont="1" applyFill="1" applyAlignment="1">
      <alignment horizontal="right"/>
    </xf>
    <xf numFmtId="43" fontId="18" fillId="7" borderId="0" xfId="1" applyNumberFormat="1" applyFont="1" applyFill="1" applyAlignment="1">
      <alignment horizontal="right"/>
    </xf>
    <xf numFmtId="9" fontId="20" fillId="2" borderId="0" xfId="2" applyNumberFormat="1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8"/>
  <sheetViews>
    <sheetView tabSelected="1" zoomScaleNormal="100" workbookViewId="0">
      <pane xSplit="1" ySplit="1" topLeftCell="CE7" activePane="bottomRight" state="frozen"/>
      <selection pane="topRight" activeCell="B1" sqref="B1"/>
      <selection pane="bottomLeft" activeCell="A2" sqref="A2"/>
      <selection pane="bottomRight" activeCell="CJ22" sqref="CJ22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Polycab India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3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92" customFormat="1" x14ac:dyDescent="0.2">
      <c r="A4" s="151" t="s">
        <v>533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  <c r="BW4" s="191"/>
      <c r="BX4" s="191"/>
      <c r="BY4" s="191"/>
      <c r="BZ4" s="191"/>
      <c r="CA4" s="191"/>
      <c r="CB4" s="191"/>
      <c r="CC4" s="191"/>
      <c r="CD4" s="191"/>
      <c r="CE4" s="191"/>
      <c r="CF4" s="191"/>
      <c r="CG4" s="191"/>
      <c r="CH4" s="191"/>
      <c r="CI4" s="191"/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1"/>
      <c r="CU4" s="191"/>
      <c r="CV4" s="191"/>
      <c r="CW4" s="191"/>
      <c r="CX4" s="191"/>
      <c r="CY4" s="191"/>
      <c r="CZ4" s="191"/>
      <c r="DA4" s="191"/>
      <c r="DB4" s="191"/>
      <c r="DE4" s="191"/>
    </row>
    <row r="5" spans="1:110" s="158" customFormat="1" x14ac:dyDescent="0.2">
      <c r="A5" s="155" t="s">
        <v>526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>
        <f>+SUM(BK5:BN5)</f>
        <v>7589.8399999999992</v>
      </c>
      <c r="V5" s="156">
        <f>+SUM(BO5:BR5)</f>
        <v>7603.48</v>
      </c>
      <c r="W5" s="156">
        <f>+SUM(BS5:BV5)</f>
        <v>10793.81</v>
      </c>
      <c r="X5" s="156">
        <f>+SUM(BW5:BZ5)</f>
        <v>12777.491000000002</v>
      </c>
      <c r="Y5" s="156">
        <f>+SUM(CA5:CD5)</f>
        <v>16162.280999999999</v>
      </c>
      <c r="Z5" s="156">
        <f>+SUM(CE5:CH5)</f>
        <v>19131.131999999998</v>
      </c>
      <c r="AA5" s="157">
        <f>+SUM(CI5:CL5)</f>
        <v>25534.370999999999</v>
      </c>
      <c r="AB5" s="157">
        <f>+SUM(CM5:CP5)</f>
        <v>31917.963750000003</v>
      </c>
      <c r="AC5" s="157">
        <f>+SUM(CQ5:CT5)</f>
        <v>38483.533522326397</v>
      </c>
      <c r="AD5" s="157">
        <f>+SUM(CU5:CX5)</f>
        <v>44256.063550675361</v>
      </c>
      <c r="AE5" s="157">
        <f>+SUM(CY5:DB5)</f>
        <v>50894.473083276651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>
        <v>1637.49</v>
      </c>
      <c r="BL5" s="156">
        <v>1922.17</v>
      </c>
      <c r="BM5" s="156">
        <v>2169.64</v>
      </c>
      <c r="BN5" s="156">
        <v>1860.54</v>
      </c>
      <c r="BO5" s="156">
        <v>825.21</v>
      </c>
      <c r="BP5" s="156">
        <v>1826.84</v>
      </c>
      <c r="BQ5" s="156">
        <v>2407.25</v>
      </c>
      <c r="BR5" s="156">
        <v>2544.1799999999998</v>
      </c>
      <c r="BS5" s="156">
        <v>1626.95</v>
      </c>
      <c r="BT5" s="156">
        <v>2628.08</v>
      </c>
      <c r="BU5" s="156">
        <v>2998.76</v>
      </c>
      <c r="BV5" s="156">
        <v>3540.02</v>
      </c>
      <c r="BW5" s="156">
        <v>2405.69</v>
      </c>
      <c r="BX5" s="156">
        <v>2951.72</v>
      </c>
      <c r="BY5" s="156">
        <v>3341.79</v>
      </c>
      <c r="BZ5" s="156">
        <v>4078.2910000000002</v>
      </c>
      <c r="CA5" s="156">
        <v>3533.78</v>
      </c>
      <c r="CB5" s="156">
        <v>3804.7</v>
      </c>
      <c r="CC5" s="156">
        <v>3904.1019999999999</v>
      </c>
      <c r="CD5" s="156">
        <v>4919.6989999999996</v>
      </c>
      <c r="CE5" s="156">
        <v>3942.125</v>
      </c>
      <c r="CF5" s="156">
        <v>4719.9949999999999</v>
      </c>
      <c r="CG5" s="156">
        <v>4449.9449999999997</v>
      </c>
      <c r="CH5" s="156">
        <v>6019.067</v>
      </c>
      <c r="CI5" s="156">
        <v>5228.6000000000004</v>
      </c>
      <c r="CJ5" s="156">
        <v>5691.13</v>
      </c>
      <c r="CK5" s="156">
        <v>6852.63</v>
      </c>
      <c r="CL5" s="156">
        <v>7762.0110000000004</v>
      </c>
      <c r="CM5" s="157">
        <f t="shared" ref="CM5:DB7" si="33">+CI5*(1+CM13)</f>
        <v>6535.75</v>
      </c>
      <c r="CN5" s="157">
        <f t="shared" si="33"/>
        <v>7113.9125000000004</v>
      </c>
      <c r="CO5" s="157">
        <f t="shared" si="33"/>
        <v>8565.7875000000004</v>
      </c>
      <c r="CP5" s="157">
        <f t="shared" si="33"/>
        <v>9702.5137500000001</v>
      </c>
      <c r="CQ5" s="157">
        <f t="shared" si="33"/>
        <v>7973.6149999999998</v>
      </c>
      <c r="CR5" s="157">
        <f t="shared" si="33"/>
        <v>8616.3708200000001</v>
      </c>
      <c r="CS5" s="157">
        <f t="shared" si="33"/>
        <v>10302.518047200001</v>
      </c>
      <c r="CT5" s="157">
        <f t="shared" si="33"/>
        <v>11591.0296551264</v>
      </c>
      <c r="CU5" s="157">
        <f t="shared" si="33"/>
        <v>9169.6572499999984</v>
      </c>
      <c r="CV5" s="157">
        <f t="shared" si="33"/>
        <v>9908.8264429999999</v>
      </c>
      <c r="CW5" s="157">
        <f t="shared" si="33"/>
        <v>11847.89575428</v>
      </c>
      <c r="CX5" s="157">
        <f t="shared" si="33"/>
        <v>13329.684103395359</v>
      </c>
      <c r="CY5" s="157">
        <f t="shared" si="33"/>
        <v>10545.105837499998</v>
      </c>
      <c r="CZ5" s="157">
        <f t="shared" si="33"/>
        <v>11395.15040945</v>
      </c>
      <c r="DA5" s="157">
        <f t="shared" si="33"/>
        <v>13625.080117422</v>
      </c>
      <c r="DB5" s="157">
        <f t="shared" si="33"/>
        <v>15329.136718904661</v>
      </c>
      <c r="DE5" s="159"/>
    </row>
    <row r="6" spans="1:110" s="158" customFormat="1" x14ac:dyDescent="0.2">
      <c r="A6" s="155" t="s">
        <v>524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>
        <f t="shared" ref="U6:U9" si="34">+SUM(BK6:BN6)</f>
        <v>835.58</v>
      </c>
      <c r="V6" s="156">
        <f t="shared" ref="V6:V9" si="35">+SUM(BO6:BR6)</f>
        <v>1034.1099999999999</v>
      </c>
      <c r="W6" s="156">
        <f t="shared" ref="W6:W9" si="36">+SUM(BS6:BV6)</f>
        <v>1254.3799999999999</v>
      </c>
      <c r="X6" s="156">
        <f t="shared" ref="X6:X9" si="37">+SUM(BW6:BZ6)</f>
        <v>1260.7159999999999</v>
      </c>
      <c r="Y6" s="156">
        <f t="shared" ref="Y6:Y9" si="38">+SUM(CA6:CD6)</f>
        <v>1298.7829999999999</v>
      </c>
      <c r="Z6" s="156">
        <f t="shared" ref="Z6:Z9" si="39">+SUM(CE6:CH6)</f>
        <v>1682.175</v>
      </c>
      <c r="AA6" s="157">
        <f t="shared" ref="AA6:AA9" si="40">+SUM(CI6:CL6)</f>
        <v>2069.3000000000002</v>
      </c>
      <c r="AB6" s="157">
        <f t="shared" ref="AB6:AB9" si="41">+SUM(CM6:CP6)</f>
        <v>2441.7739999999999</v>
      </c>
      <c r="AC6" s="157">
        <f t="shared" ref="AC6:AC9" si="42">+SUM(CQ6:CT6)</f>
        <v>2762.0730438095356</v>
      </c>
      <c r="AD6" s="157">
        <f t="shared" ref="AD6:AD9" si="43">+SUM(CU6:CX6)</f>
        <v>3084.6920139602298</v>
      </c>
      <c r="AE6" s="157">
        <f t="shared" ref="AE6:AE9" si="44">+SUM(CY6:DB6)</f>
        <v>3444.9939122052292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>
        <v>240.09</v>
      </c>
      <c r="BL6" s="156">
        <v>195.62</v>
      </c>
      <c r="BM6" s="156">
        <v>216.6</v>
      </c>
      <c r="BN6" s="156">
        <v>183.27</v>
      </c>
      <c r="BO6" s="156">
        <v>137.80000000000001</v>
      </c>
      <c r="BP6" s="156">
        <v>243.96</v>
      </c>
      <c r="BQ6" s="156">
        <v>305.51</v>
      </c>
      <c r="BR6" s="156">
        <v>346.84</v>
      </c>
      <c r="BS6" s="156">
        <v>191.88</v>
      </c>
      <c r="BT6" s="156">
        <v>342.93</v>
      </c>
      <c r="BU6" s="156">
        <v>340.36</v>
      </c>
      <c r="BV6" s="156">
        <v>379.21</v>
      </c>
      <c r="BW6" s="156">
        <v>308.14999999999998</v>
      </c>
      <c r="BX6" s="156">
        <v>305.35000000000002</v>
      </c>
      <c r="BY6" s="156">
        <v>342</v>
      </c>
      <c r="BZ6" s="156">
        <v>305.21600000000001</v>
      </c>
      <c r="CA6" s="156">
        <v>314.5</v>
      </c>
      <c r="CB6" s="156">
        <v>329.96600000000001</v>
      </c>
      <c r="CC6" s="156">
        <v>296.17899999999997</v>
      </c>
      <c r="CD6" s="156">
        <v>358.13799999999998</v>
      </c>
      <c r="CE6" s="156">
        <v>385.48899999999998</v>
      </c>
      <c r="CF6" s="156">
        <v>397.512</v>
      </c>
      <c r="CG6" s="156">
        <v>423.17599999999999</v>
      </c>
      <c r="CH6" s="156">
        <v>475.99799999999999</v>
      </c>
      <c r="CI6" s="156">
        <v>454.2</v>
      </c>
      <c r="CJ6" s="156">
        <v>452.18400000000003</v>
      </c>
      <c r="CK6" s="156">
        <v>499.78</v>
      </c>
      <c r="CL6" s="156">
        <v>663.13599999999997</v>
      </c>
      <c r="CM6" s="157">
        <f t="shared" si="33"/>
        <v>535.9559999999999</v>
      </c>
      <c r="CN6" s="157">
        <f t="shared" si="33"/>
        <v>533.57712000000004</v>
      </c>
      <c r="CO6" s="157">
        <f t="shared" si="33"/>
        <v>589.74039999999991</v>
      </c>
      <c r="CP6" s="157">
        <f t="shared" si="33"/>
        <v>782.50047999999992</v>
      </c>
      <c r="CQ6" s="157">
        <f t="shared" si="33"/>
        <v>616.34939999999983</v>
      </c>
      <c r="CR6" s="157">
        <f t="shared" si="33"/>
        <v>607.21076256000003</v>
      </c>
      <c r="CS6" s="157">
        <f t="shared" si="33"/>
        <v>664.61384118399985</v>
      </c>
      <c r="CT6" s="157">
        <f t="shared" si="33"/>
        <v>873.89904006553604</v>
      </c>
      <c r="CU6" s="157">
        <f t="shared" si="33"/>
        <v>688.34098223807985</v>
      </c>
      <c r="CV6" s="157">
        <f t="shared" si="33"/>
        <v>678.13492270144832</v>
      </c>
      <c r="CW6" s="157">
        <f t="shared" si="33"/>
        <v>742.24286459858286</v>
      </c>
      <c r="CX6" s="157">
        <f t="shared" si="33"/>
        <v>975.97324442211891</v>
      </c>
      <c r="CY6" s="157">
        <f t="shared" si="33"/>
        <v>768.74141165463084</v>
      </c>
      <c r="CZ6" s="157">
        <f t="shared" si="33"/>
        <v>757.34325170473016</v>
      </c>
      <c r="DA6" s="157">
        <f t="shared" si="33"/>
        <v>828.93920636086409</v>
      </c>
      <c r="DB6" s="157">
        <f t="shared" si="33"/>
        <v>1089.9700424850046</v>
      </c>
      <c r="DE6" s="159"/>
    </row>
    <row r="7" spans="1:110" s="158" customFormat="1" x14ac:dyDescent="0.2">
      <c r="A7" s="155" t="s">
        <v>525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>
        <f t="shared" si="34"/>
        <v>596.49</v>
      </c>
      <c r="V7" s="156">
        <f t="shared" si="35"/>
        <v>299.75</v>
      </c>
      <c r="W7" s="156">
        <f t="shared" si="36"/>
        <v>370.18</v>
      </c>
      <c r="X7" s="156">
        <f t="shared" si="37"/>
        <v>464.68699999999995</v>
      </c>
      <c r="Y7" s="156">
        <f t="shared" si="38"/>
        <v>1012.636</v>
      </c>
      <c r="Z7" s="156">
        <f t="shared" si="39"/>
        <v>2099.2769999999996</v>
      </c>
      <c r="AA7" s="157">
        <f t="shared" si="40"/>
        <v>1666.4860000000001</v>
      </c>
      <c r="AB7" s="157">
        <f t="shared" si="41"/>
        <v>1583.1616999999999</v>
      </c>
      <c r="AC7" s="157">
        <f t="shared" si="42"/>
        <v>1551.4984659999998</v>
      </c>
      <c r="AD7" s="157">
        <f t="shared" si="43"/>
        <v>1629.0733892999999</v>
      </c>
      <c r="AE7" s="157">
        <f t="shared" si="44"/>
        <v>1710.527058765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>
        <v>122.55</v>
      </c>
      <c r="BL7" s="156">
        <v>163.78</v>
      </c>
      <c r="BM7" s="156">
        <v>151.01</v>
      </c>
      <c r="BN7" s="156">
        <v>159.15</v>
      </c>
      <c r="BO7" s="156">
        <v>53.37</v>
      </c>
      <c r="BP7" s="156">
        <v>70.930000000000007</v>
      </c>
      <c r="BQ7" s="156">
        <v>79.5</v>
      </c>
      <c r="BR7" s="156">
        <v>95.95</v>
      </c>
      <c r="BS7" s="156">
        <v>71.760000000000005</v>
      </c>
      <c r="BT7" s="156">
        <v>95.03</v>
      </c>
      <c r="BU7" s="156">
        <v>98.95</v>
      </c>
      <c r="BV7" s="156">
        <v>104.44</v>
      </c>
      <c r="BW7" s="156">
        <v>99.86</v>
      </c>
      <c r="BX7" s="156">
        <v>105.05</v>
      </c>
      <c r="BY7" s="156">
        <v>126</v>
      </c>
      <c r="BZ7" s="156">
        <v>133.77699999999999</v>
      </c>
      <c r="CA7" s="156">
        <v>152.84</v>
      </c>
      <c r="CB7" s="156">
        <v>201.505</v>
      </c>
      <c r="CC7" s="156">
        <v>247.50299999999999</v>
      </c>
      <c r="CD7" s="156">
        <v>410.78800000000001</v>
      </c>
      <c r="CE7" s="156">
        <v>519.41999999999996</v>
      </c>
      <c r="CF7" s="156">
        <v>585.20000000000005</v>
      </c>
      <c r="CG7" s="156">
        <v>391.82299999999998</v>
      </c>
      <c r="CH7" s="156">
        <v>602.83399999999995</v>
      </c>
      <c r="CI7" s="156">
        <v>347.4</v>
      </c>
      <c r="CJ7" s="156">
        <v>402.39</v>
      </c>
      <c r="CK7" s="156">
        <v>406.9</v>
      </c>
      <c r="CL7" s="156">
        <v>509.79599999999999</v>
      </c>
      <c r="CM7" s="157">
        <f t="shared" si="33"/>
        <v>330.03</v>
      </c>
      <c r="CN7" s="157">
        <f t="shared" si="33"/>
        <v>382.27049999999997</v>
      </c>
      <c r="CO7" s="157">
        <f t="shared" si="33"/>
        <v>386.55499999999995</v>
      </c>
      <c r="CP7" s="157">
        <f t="shared" si="33"/>
        <v>484.30619999999999</v>
      </c>
      <c r="CQ7" s="157">
        <f t="shared" si="33"/>
        <v>323.42939999999999</v>
      </c>
      <c r="CR7" s="157">
        <f t="shared" si="33"/>
        <v>374.62508999999994</v>
      </c>
      <c r="CS7" s="157">
        <f t="shared" si="33"/>
        <v>378.82389999999992</v>
      </c>
      <c r="CT7" s="157">
        <f t="shared" si="33"/>
        <v>474.62007599999998</v>
      </c>
      <c r="CU7" s="157">
        <f t="shared" si="33"/>
        <v>339.60086999999999</v>
      </c>
      <c r="CV7" s="157">
        <f t="shared" si="33"/>
        <v>393.35634449999998</v>
      </c>
      <c r="CW7" s="157">
        <f t="shared" si="33"/>
        <v>397.76509499999992</v>
      </c>
      <c r="CX7" s="157">
        <f t="shared" si="33"/>
        <v>498.35107979999998</v>
      </c>
      <c r="CY7" s="157">
        <f t="shared" si="33"/>
        <v>356.58091350000001</v>
      </c>
      <c r="CZ7" s="157">
        <f t="shared" si="33"/>
        <v>413.024161725</v>
      </c>
      <c r="DA7" s="157">
        <f t="shared" si="33"/>
        <v>417.6533497499999</v>
      </c>
      <c r="DB7" s="157">
        <f t="shared" si="33"/>
        <v>523.26863378999997</v>
      </c>
      <c r="DE7" s="159"/>
    </row>
    <row r="8" spans="1:110" s="158" customFormat="1" x14ac:dyDescent="0.2">
      <c r="A8" s="155" t="s">
        <v>523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>
        <f t="shared" ref="U8" si="45">+SUM(BK8:BN8)</f>
        <v>0</v>
      </c>
      <c r="V8" s="156">
        <f t="shared" ref="V8" si="46">+SUM(BO8:BR8)</f>
        <v>532.99</v>
      </c>
      <c r="W8" s="156">
        <f t="shared" ref="W8" si="47">+SUM(BS8:BV8)</f>
        <v>292.86</v>
      </c>
      <c r="X8" s="156">
        <f t="shared" ref="X8" si="48">+SUM(BW8:BZ8)</f>
        <v>0</v>
      </c>
      <c r="Y8" s="156">
        <f t="shared" ref="Y8" si="49">+SUM(CA8:CD8)</f>
        <v>0</v>
      </c>
      <c r="Z8" s="156">
        <f t="shared" ref="Z8" si="50">+SUM(CE8:CH8)</f>
        <v>0</v>
      </c>
      <c r="AA8" s="157">
        <f t="shared" ref="AA8" si="51">+SUM(CI8:CL8)</f>
        <v>0</v>
      </c>
      <c r="AB8" s="157">
        <f t="shared" ref="AB8" si="52">+SUM(CM8:CP8)</f>
        <v>0</v>
      </c>
      <c r="AC8" s="157">
        <f t="shared" ref="AC8" si="53">+SUM(CQ8:CT8)</f>
        <v>0</v>
      </c>
      <c r="AD8" s="157">
        <f t="shared" ref="AD8" si="54">+SUM(CU8:CX8)</f>
        <v>0</v>
      </c>
      <c r="AE8" s="157">
        <f t="shared" ref="AE8" si="55">+SUM(CY8:DB8)</f>
        <v>0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>
        <v>0</v>
      </c>
      <c r="BL8" s="156">
        <v>0</v>
      </c>
      <c r="BM8" s="156">
        <v>0</v>
      </c>
      <c r="BN8" s="156">
        <v>0</v>
      </c>
      <c r="BO8" s="156">
        <v>14.99</v>
      </c>
      <c r="BP8" s="156">
        <v>130.34</v>
      </c>
      <c r="BQ8" s="156">
        <v>232.68</v>
      </c>
      <c r="BR8" s="156">
        <v>154.97999999999999</v>
      </c>
      <c r="BS8" s="156">
        <v>66.66</v>
      </c>
      <c r="BT8" s="156">
        <v>226.2</v>
      </c>
      <c r="BU8" s="156">
        <v>0</v>
      </c>
      <c r="BV8" s="156">
        <v>0</v>
      </c>
      <c r="BW8" s="156">
        <v>0</v>
      </c>
      <c r="BX8" s="156">
        <v>0</v>
      </c>
      <c r="BY8" s="156">
        <v>0</v>
      </c>
      <c r="BZ8" s="156">
        <v>0</v>
      </c>
      <c r="CA8" s="156">
        <v>0</v>
      </c>
      <c r="CB8" s="156">
        <v>0</v>
      </c>
      <c r="CC8" s="156">
        <v>0</v>
      </c>
      <c r="CD8" s="156">
        <v>0</v>
      </c>
      <c r="CE8" s="156">
        <v>0</v>
      </c>
      <c r="CF8" s="156">
        <v>0</v>
      </c>
      <c r="CG8" s="156">
        <v>0</v>
      </c>
      <c r="CH8" s="156">
        <v>0</v>
      </c>
      <c r="CI8" s="156">
        <v>0</v>
      </c>
      <c r="CJ8" s="156">
        <v>0</v>
      </c>
      <c r="CK8" s="156"/>
      <c r="CL8" s="156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 t="s">
        <v>527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>
        <f t="shared" si="34"/>
        <v>144.07</v>
      </c>
      <c r="V9" s="156">
        <f t="shared" si="35"/>
        <v>466.5</v>
      </c>
      <c r="W9" s="156">
        <f t="shared" si="36"/>
        <v>317.73999999999995</v>
      </c>
      <c r="X9" s="156">
        <f t="shared" si="37"/>
        <v>195.91719999999998</v>
      </c>
      <c r="Y9" s="156">
        <f t="shared" si="38"/>
        <v>331.25300000000004</v>
      </c>
      <c r="Z9" s="156">
        <f t="shared" si="39"/>
        <v>451.70000000000005</v>
      </c>
      <c r="AA9" s="157">
        <f t="shared" si="40"/>
        <v>355.553</v>
      </c>
      <c r="AB9" s="157">
        <f t="shared" si="41"/>
        <v>239.33600000000001</v>
      </c>
      <c r="AC9" s="157">
        <f t="shared" si="42"/>
        <v>239.33600000000001</v>
      </c>
      <c r="AD9" s="157">
        <f t="shared" si="43"/>
        <v>239.33600000000001</v>
      </c>
      <c r="AE9" s="157">
        <f t="shared" si="44"/>
        <v>239.33600000000001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>
        <v>27.09</v>
      </c>
      <c r="BL9" s="156">
        <v>41.02</v>
      </c>
      <c r="BM9" s="156">
        <v>39.78</v>
      </c>
      <c r="BN9" s="156">
        <v>36.18</v>
      </c>
      <c r="BO9" s="156">
        <v>42.43</v>
      </c>
      <c r="BP9" s="156">
        <v>134.16999999999999</v>
      </c>
      <c r="BQ9" s="156">
        <v>201.12</v>
      </c>
      <c r="BR9" s="156">
        <v>88.78</v>
      </c>
      <c r="BS9" s="156">
        <v>63.99</v>
      </c>
      <c r="BT9" s="156">
        <v>147.69999999999999</v>
      </c>
      <c r="BU9" s="156">
        <v>55.34</v>
      </c>
      <c r="BV9" s="156">
        <v>50.71</v>
      </c>
      <c r="BW9" s="156">
        <v>44.96</v>
      </c>
      <c r="BX9" s="156">
        <v>50.45</v>
      </c>
      <c r="BY9" s="156">
        <v>82.67</v>
      </c>
      <c r="BZ9" s="156">
        <v>17.837199999999999</v>
      </c>
      <c r="CA9" s="156">
        <v>78.12</v>
      </c>
      <c r="CB9" s="156">
        <v>107.377</v>
      </c>
      <c r="CC9" s="156">
        <v>70.102999999999994</v>
      </c>
      <c r="CD9" s="156">
        <v>75.653000000000006</v>
      </c>
      <c r="CE9" s="156">
        <v>128.88</v>
      </c>
      <c r="CF9" s="156">
        <v>159.071</v>
      </c>
      <c r="CG9" s="156">
        <v>57.957000000000001</v>
      </c>
      <c r="CH9" s="156">
        <v>105.792</v>
      </c>
      <c r="CI9" s="156">
        <v>105.7</v>
      </c>
      <c r="CJ9" s="156">
        <v>66.698999999999998</v>
      </c>
      <c r="CK9" s="156">
        <v>123.32</v>
      </c>
      <c r="CL9" s="156">
        <v>59.834000000000003</v>
      </c>
      <c r="CM9" s="157">
        <f t="shared" ref="CM9:DB9" si="56">+CL9</f>
        <v>59.834000000000003</v>
      </c>
      <c r="CN9" s="157">
        <f t="shared" si="56"/>
        <v>59.834000000000003</v>
      </c>
      <c r="CO9" s="157">
        <f t="shared" si="56"/>
        <v>59.834000000000003</v>
      </c>
      <c r="CP9" s="157">
        <f t="shared" si="56"/>
        <v>59.834000000000003</v>
      </c>
      <c r="CQ9" s="157">
        <f t="shared" si="56"/>
        <v>59.834000000000003</v>
      </c>
      <c r="CR9" s="157">
        <f t="shared" si="56"/>
        <v>59.834000000000003</v>
      </c>
      <c r="CS9" s="157">
        <f t="shared" si="56"/>
        <v>59.834000000000003</v>
      </c>
      <c r="CT9" s="157">
        <f t="shared" si="56"/>
        <v>59.834000000000003</v>
      </c>
      <c r="CU9" s="157">
        <f t="shared" si="56"/>
        <v>59.834000000000003</v>
      </c>
      <c r="CV9" s="157">
        <f t="shared" si="56"/>
        <v>59.834000000000003</v>
      </c>
      <c r="CW9" s="157">
        <f t="shared" si="56"/>
        <v>59.834000000000003</v>
      </c>
      <c r="CX9" s="157">
        <f t="shared" si="56"/>
        <v>59.834000000000003</v>
      </c>
      <c r="CY9" s="157">
        <f t="shared" si="56"/>
        <v>59.834000000000003</v>
      </c>
      <c r="CZ9" s="157">
        <f t="shared" si="56"/>
        <v>59.834000000000003</v>
      </c>
      <c r="DA9" s="157">
        <f t="shared" si="56"/>
        <v>59.834000000000003</v>
      </c>
      <c r="DB9" s="157">
        <f t="shared" si="56"/>
        <v>59.834000000000003</v>
      </c>
      <c r="DE9" s="159"/>
    </row>
    <row r="10" spans="1:110" s="109" customFormat="1" x14ac:dyDescent="0.2">
      <c r="A10" s="185" t="s">
        <v>528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>
        <f t="shared" ref="U10:AE10" si="57">+SUM(U5:U8)-U9</f>
        <v>8877.84</v>
      </c>
      <c r="V10" s="107">
        <f t="shared" si="57"/>
        <v>9003.83</v>
      </c>
      <c r="W10" s="107">
        <f t="shared" si="57"/>
        <v>12393.49</v>
      </c>
      <c r="X10" s="107">
        <f t="shared" si="57"/>
        <v>14306.976800000002</v>
      </c>
      <c r="Y10" s="107">
        <f t="shared" si="57"/>
        <v>18142.446999999996</v>
      </c>
      <c r="Z10" s="107">
        <f t="shared" si="57"/>
        <v>22460.883999999995</v>
      </c>
      <c r="AA10" s="108">
        <f t="shared" si="57"/>
        <v>28914.603999999999</v>
      </c>
      <c r="AB10" s="108">
        <f t="shared" si="57"/>
        <v>35703.563449999994</v>
      </c>
      <c r="AC10" s="108">
        <f t="shared" si="57"/>
        <v>42557.769032135926</v>
      </c>
      <c r="AD10" s="108">
        <f t="shared" si="57"/>
        <v>48730.492953935587</v>
      </c>
      <c r="AE10" s="108">
        <f t="shared" si="57"/>
        <v>55810.65805424688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>
        <f t="shared" ref="BK10:CK10" si="58">+SUM(BK5:BK8)-BK9</f>
        <v>1973.04</v>
      </c>
      <c r="BL10" s="107">
        <f t="shared" si="58"/>
        <v>2240.5500000000002</v>
      </c>
      <c r="BM10" s="107">
        <f t="shared" si="58"/>
        <v>2497.4699999999998</v>
      </c>
      <c r="BN10" s="107">
        <f t="shared" si="58"/>
        <v>2166.7800000000002</v>
      </c>
      <c r="BO10" s="107">
        <f t="shared" si="58"/>
        <v>988.93999999999994</v>
      </c>
      <c r="BP10" s="107">
        <f t="shared" si="58"/>
        <v>2137.8999999999996</v>
      </c>
      <c r="BQ10" s="107">
        <f t="shared" si="58"/>
        <v>2823.82</v>
      </c>
      <c r="BR10" s="107">
        <f t="shared" si="58"/>
        <v>3053.1699999999996</v>
      </c>
      <c r="BS10" s="107">
        <f t="shared" si="58"/>
        <v>1893.26</v>
      </c>
      <c r="BT10" s="107">
        <f t="shared" si="58"/>
        <v>3144.54</v>
      </c>
      <c r="BU10" s="107">
        <f t="shared" si="58"/>
        <v>3382.73</v>
      </c>
      <c r="BV10" s="107">
        <f t="shared" si="58"/>
        <v>3972.96</v>
      </c>
      <c r="BW10" s="107">
        <f t="shared" si="58"/>
        <v>2768.7400000000002</v>
      </c>
      <c r="BX10" s="107">
        <f t="shared" si="58"/>
        <v>3311.67</v>
      </c>
      <c r="BY10" s="107">
        <f t="shared" si="58"/>
        <v>3727.12</v>
      </c>
      <c r="BZ10" s="107">
        <f t="shared" si="58"/>
        <v>4499.4468000000006</v>
      </c>
      <c r="CA10" s="107">
        <f t="shared" si="58"/>
        <v>3923.0000000000005</v>
      </c>
      <c r="CB10" s="107">
        <f t="shared" si="58"/>
        <v>4228.7939999999999</v>
      </c>
      <c r="CC10" s="107">
        <f t="shared" si="58"/>
        <v>4377.6809999999996</v>
      </c>
      <c r="CD10" s="107">
        <f t="shared" si="58"/>
        <v>5612.9719999999998</v>
      </c>
      <c r="CE10" s="107">
        <f t="shared" si="58"/>
        <v>4718.1539999999995</v>
      </c>
      <c r="CF10" s="107">
        <f t="shared" si="58"/>
        <v>5543.6359999999995</v>
      </c>
      <c r="CG10" s="107">
        <f t="shared" si="58"/>
        <v>5206.9870000000001</v>
      </c>
      <c r="CH10" s="107">
        <f t="shared" si="58"/>
        <v>6992.1069999999991</v>
      </c>
      <c r="CI10" s="107">
        <f t="shared" si="58"/>
        <v>5924.5</v>
      </c>
      <c r="CJ10" s="107">
        <f t="shared" si="58"/>
        <v>6479.005000000001</v>
      </c>
      <c r="CK10" s="107">
        <f t="shared" si="58"/>
        <v>7635.99</v>
      </c>
      <c r="CL10" s="107">
        <f>+SUM(CL5:CL8)-CL9</f>
        <v>8875.1090000000004</v>
      </c>
      <c r="CM10" s="108">
        <f t="shared" ref="CM10:DB10" si="59">+SUM(CM5:CM8)-CM9</f>
        <v>7341.902</v>
      </c>
      <c r="CN10" s="108">
        <f t="shared" si="59"/>
        <v>7969.9261200000001</v>
      </c>
      <c r="CO10" s="108">
        <f t="shared" si="59"/>
        <v>9482.2489000000005</v>
      </c>
      <c r="CP10" s="108">
        <f t="shared" si="59"/>
        <v>10909.486429999999</v>
      </c>
      <c r="CQ10" s="108">
        <f t="shared" si="59"/>
        <v>8853.5597999999973</v>
      </c>
      <c r="CR10" s="108">
        <f t="shared" si="59"/>
        <v>9538.372672559999</v>
      </c>
      <c r="CS10" s="108">
        <f t="shared" si="59"/>
        <v>11286.121788384</v>
      </c>
      <c r="CT10" s="108">
        <f t="shared" si="59"/>
        <v>12879.714771191935</v>
      </c>
      <c r="CU10" s="108">
        <f t="shared" si="59"/>
        <v>10137.765102238078</v>
      </c>
      <c r="CV10" s="108">
        <f t="shared" si="59"/>
        <v>10920.483710201448</v>
      </c>
      <c r="CW10" s="108">
        <f t="shared" si="59"/>
        <v>12928.069713878584</v>
      </c>
      <c r="CX10" s="108">
        <f t="shared" si="59"/>
        <v>14744.174427617478</v>
      </c>
      <c r="CY10" s="108">
        <f t="shared" si="59"/>
        <v>11610.594162654628</v>
      </c>
      <c r="CZ10" s="108">
        <f t="shared" si="59"/>
        <v>12505.683822879728</v>
      </c>
      <c r="DA10" s="108">
        <f t="shared" si="59"/>
        <v>14811.838673532864</v>
      </c>
      <c r="DB10" s="108">
        <f t="shared" si="59"/>
        <v>16882.541395179669</v>
      </c>
      <c r="DE10" s="117"/>
    </row>
    <row r="11" spans="1:110" s="109" customFormat="1" x14ac:dyDescent="0.2">
      <c r="A11" s="185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8"/>
      <c r="AB11" s="108"/>
      <c r="AC11" s="108"/>
      <c r="AD11" s="108"/>
      <c r="AE11" s="108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07"/>
      <c r="CL11" s="107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E11" s="117"/>
    </row>
    <row r="12" spans="1:110" s="192" customFormat="1" x14ac:dyDescent="0.2">
      <c r="A12" s="151" t="s">
        <v>534</v>
      </c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E12" s="191"/>
    </row>
    <row r="13" spans="1:110" s="189" customFormat="1" x14ac:dyDescent="0.2">
      <c r="A13" s="186" t="s">
        <v>532</v>
      </c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>
        <f t="shared" ref="V13:AE13" si="60">+V5/U5-1</f>
        <v>1.7971393336355668E-3</v>
      </c>
      <c r="W13" s="187">
        <f t="shared" si="60"/>
        <v>0.41958813595879785</v>
      </c>
      <c r="X13" s="187">
        <f t="shared" si="60"/>
        <v>0.18377949954649964</v>
      </c>
      <c r="Y13" s="187">
        <f t="shared" si="60"/>
        <v>0.26490255403036445</v>
      </c>
      <c r="Z13" s="187">
        <f t="shared" si="60"/>
        <v>0.18369009918835077</v>
      </c>
      <c r="AA13" s="188">
        <f t="shared" si="60"/>
        <v>0.33470256752188021</v>
      </c>
      <c r="AB13" s="188">
        <f t="shared" si="60"/>
        <v>0.25000000000000022</v>
      </c>
      <c r="AC13" s="188">
        <f t="shared" si="60"/>
        <v>0.20570139823930322</v>
      </c>
      <c r="AD13" s="188">
        <f t="shared" si="60"/>
        <v>0.15000000000000013</v>
      </c>
      <c r="AE13" s="188">
        <f t="shared" si="60"/>
        <v>0.14999999999999969</v>
      </c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  <c r="BF13" s="187"/>
      <c r="BG13" s="187"/>
      <c r="BH13" s="187"/>
      <c r="BI13" s="187"/>
      <c r="BJ13" s="187"/>
      <c r="BK13" s="187"/>
      <c r="BL13" s="187"/>
      <c r="BM13" s="187"/>
      <c r="BN13" s="187"/>
      <c r="BO13" s="187">
        <f t="shared" ref="BO13:BX15" si="61">+BO5/BK5-1</f>
        <v>-0.49605188428631619</v>
      </c>
      <c r="BP13" s="187">
        <f t="shared" si="61"/>
        <v>-4.9594988996811029E-2</v>
      </c>
      <c r="BQ13" s="187">
        <f t="shared" si="61"/>
        <v>0.1095158643830314</v>
      </c>
      <c r="BR13" s="187">
        <f t="shared" si="61"/>
        <v>0.36744171047115337</v>
      </c>
      <c r="BS13" s="187">
        <f t="shared" si="61"/>
        <v>0.97155875474121745</v>
      </c>
      <c r="BT13" s="187">
        <f t="shared" si="61"/>
        <v>0.43859341814280395</v>
      </c>
      <c r="BU13" s="187">
        <f t="shared" si="61"/>
        <v>0.2457202201682418</v>
      </c>
      <c r="BV13" s="187">
        <f t="shared" si="61"/>
        <v>0.39141884615082279</v>
      </c>
      <c r="BW13" s="187">
        <f t="shared" si="61"/>
        <v>0.47865023510249238</v>
      </c>
      <c r="BX13" s="187">
        <f t="shared" si="61"/>
        <v>0.12314693616632666</v>
      </c>
      <c r="BY13" s="187">
        <f t="shared" ref="BY13:CH15" si="62">+BY5/BU5-1</f>
        <v>0.11439061478744539</v>
      </c>
      <c r="BZ13" s="187">
        <f t="shared" si="62"/>
        <v>0.15205309574522174</v>
      </c>
      <c r="CA13" s="187">
        <f t="shared" si="62"/>
        <v>0.46892575518874002</v>
      </c>
      <c r="CB13" s="187">
        <f t="shared" si="62"/>
        <v>0.28897727426720698</v>
      </c>
      <c r="CC13" s="187">
        <f t="shared" si="62"/>
        <v>0.16826670736341898</v>
      </c>
      <c r="CD13" s="187">
        <f t="shared" si="62"/>
        <v>0.20631387019709968</v>
      </c>
      <c r="CE13" s="187">
        <f t="shared" si="62"/>
        <v>0.11555473176032449</v>
      </c>
      <c r="CF13" s="187">
        <f t="shared" si="62"/>
        <v>0.24056955870370866</v>
      </c>
      <c r="CG13" s="187">
        <f t="shared" si="62"/>
        <v>0.13981268932010482</v>
      </c>
      <c r="CH13" s="187">
        <f t="shared" si="62"/>
        <v>0.22346245166625045</v>
      </c>
      <c r="CI13" s="187">
        <f t="shared" ref="CI13:CR15" si="63">+CI5/CE5-1</f>
        <v>0.32634048894948808</v>
      </c>
      <c r="CJ13" s="187">
        <f t="shared" si="63"/>
        <v>0.20574915863258325</v>
      </c>
      <c r="CK13" s="187">
        <f t="shared" si="63"/>
        <v>0.53993588684803973</v>
      </c>
      <c r="CL13" s="187">
        <f t="shared" si="63"/>
        <v>0.28957046000650943</v>
      </c>
      <c r="CM13" s="188">
        <v>0.25</v>
      </c>
      <c r="CN13" s="188">
        <f>+CM13</f>
        <v>0.25</v>
      </c>
      <c r="CO13" s="188">
        <f t="shared" ref="CO13:DB13" si="64">+CN13</f>
        <v>0.25</v>
      </c>
      <c r="CP13" s="188">
        <f t="shared" si="64"/>
        <v>0.25</v>
      </c>
      <c r="CQ13" s="188">
        <v>0.22</v>
      </c>
      <c r="CR13" s="188">
        <f t="shared" ref="CR13:CT13" si="65">+CQ13*0.96</f>
        <v>0.2112</v>
      </c>
      <c r="CS13" s="188">
        <f t="shared" si="65"/>
        <v>0.20275199999999999</v>
      </c>
      <c r="CT13" s="188">
        <f t="shared" si="65"/>
        <v>0.19464191999999997</v>
      </c>
      <c r="CU13" s="188">
        <v>0.15</v>
      </c>
      <c r="CV13" s="188">
        <f t="shared" si="64"/>
        <v>0.15</v>
      </c>
      <c r="CW13" s="188">
        <f t="shared" si="64"/>
        <v>0.15</v>
      </c>
      <c r="CX13" s="188">
        <f t="shared" si="64"/>
        <v>0.15</v>
      </c>
      <c r="CY13" s="188">
        <f t="shared" si="64"/>
        <v>0.15</v>
      </c>
      <c r="CZ13" s="188">
        <f t="shared" si="64"/>
        <v>0.15</v>
      </c>
      <c r="DA13" s="188">
        <f t="shared" si="64"/>
        <v>0.15</v>
      </c>
      <c r="DB13" s="188">
        <f t="shared" si="64"/>
        <v>0.15</v>
      </c>
      <c r="DE13" s="190"/>
    </row>
    <row r="14" spans="1:110" s="189" customFormat="1" x14ac:dyDescent="0.2">
      <c r="A14" s="186" t="s">
        <v>530</v>
      </c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>
        <f t="shared" ref="V14:AE14" si="66">+V6/U6-1</f>
        <v>0.237595442686517</v>
      </c>
      <c r="W14" s="187">
        <f t="shared" si="66"/>
        <v>0.21300441925907299</v>
      </c>
      <c r="X14" s="187">
        <f t="shared" si="66"/>
        <v>5.0511009422982145E-3</v>
      </c>
      <c r="Y14" s="187">
        <f t="shared" si="66"/>
        <v>3.0194746477398615E-2</v>
      </c>
      <c r="Z14" s="187">
        <f t="shared" si="66"/>
        <v>0.29519326939142254</v>
      </c>
      <c r="AA14" s="188">
        <f t="shared" si="66"/>
        <v>0.23013360678882999</v>
      </c>
      <c r="AB14" s="188">
        <f t="shared" si="66"/>
        <v>0.17999999999999994</v>
      </c>
      <c r="AC14" s="188">
        <f t="shared" si="66"/>
        <v>0.13117472944242015</v>
      </c>
      <c r="AD14" s="188">
        <f t="shared" si="66"/>
        <v>0.11680320000000011</v>
      </c>
      <c r="AE14" s="188">
        <f t="shared" si="66"/>
        <v>0.11680319999999988</v>
      </c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187"/>
      <c r="BO14" s="187">
        <f t="shared" si="61"/>
        <v>-0.42604856512141276</v>
      </c>
      <c r="BP14" s="187">
        <f t="shared" si="61"/>
        <v>0.24711174726510587</v>
      </c>
      <c r="BQ14" s="187">
        <f t="shared" si="61"/>
        <v>0.41048014773776553</v>
      </c>
      <c r="BR14" s="187">
        <f t="shared" si="61"/>
        <v>0.89250832105636468</v>
      </c>
      <c r="BS14" s="187">
        <f t="shared" si="61"/>
        <v>0.39245283018867916</v>
      </c>
      <c r="BT14" s="187">
        <f t="shared" si="61"/>
        <v>0.40568125922282339</v>
      </c>
      <c r="BU14" s="187">
        <f t="shared" si="61"/>
        <v>0.11407155248600698</v>
      </c>
      <c r="BV14" s="187">
        <f t="shared" si="61"/>
        <v>9.3328335832083997E-2</v>
      </c>
      <c r="BW14" s="187">
        <f t="shared" si="61"/>
        <v>0.60595163643944128</v>
      </c>
      <c r="BX14" s="187">
        <f t="shared" si="61"/>
        <v>-0.10958504651094969</v>
      </c>
      <c r="BY14" s="187">
        <f t="shared" si="62"/>
        <v>4.8184275473028837E-3</v>
      </c>
      <c r="BZ14" s="187">
        <f t="shared" si="62"/>
        <v>-0.19512671079349164</v>
      </c>
      <c r="CA14" s="187">
        <f t="shared" si="62"/>
        <v>2.0606847314619481E-2</v>
      </c>
      <c r="CB14" s="187">
        <f t="shared" si="62"/>
        <v>8.0615686916652995E-2</v>
      </c>
      <c r="CC14" s="187">
        <f t="shared" si="62"/>
        <v>-0.13397953216374281</v>
      </c>
      <c r="CD14" s="187">
        <f t="shared" si="62"/>
        <v>0.17339195848186195</v>
      </c>
      <c r="CE14" s="187">
        <f t="shared" si="62"/>
        <v>0.22572019077901428</v>
      </c>
      <c r="CF14" s="187">
        <f t="shared" si="62"/>
        <v>0.20470593939981696</v>
      </c>
      <c r="CG14" s="187">
        <f t="shared" si="62"/>
        <v>0.42878462011148666</v>
      </c>
      <c r="CH14" s="187">
        <f t="shared" si="62"/>
        <v>0.32909102077969954</v>
      </c>
      <c r="CI14" s="187">
        <f t="shared" si="63"/>
        <v>0.17824373717537978</v>
      </c>
      <c r="CJ14" s="187">
        <f t="shared" si="63"/>
        <v>0.13753547062730198</v>
      </c>
      <c r="CK14" s="187">
        <f t="shared" si="63"/>
        <v>0.18102160803070122</v>
      </c>
      <c r="CL14" s="187">
        <f t="shared" si="63"/>
        <v>0.39314871070886848</v>
      </c>
      <c r="CM14" s="188">
        <v>0.18</v>
      </c>
      <c r="CN14" s="188">
        <f>+CM14</f>
        <v>0.18</v>
      </c>
      <c r="CO14" s="188">
        <f t="shared" ref="CO14:DB14" si="67">+CN14</f>
        <v>0.18</v>
      </c>
      <c r="CP14" s="188">
        <f t="shared" si="67"/>
        <v>0.18</v>
      </c>
      <c r="CQ14" s="188">
        <v>0.15</v>
      </c>
      <c r="CR14" s="188">
        <f t="shared" ref="CR14:CT14" si="68">+CQ14*0.92</f>
        <v>0.13800000000000001</v>
      </c>
      <c r="CS14" s="188">
        <f t="shared" si="68"/>
        <v>0.12696000000000002</v>
      </c>
      <c r="CT14" s="188">
        <f t="shared" si="68"/>
        <v>0.11680320000000002</v>
      </c>
      <c r="CU14" s="188">
        <f t="shared" si="67"/>
        <v>0.11680320000000002</v>
      </c>
      <c r="CV14" s="188">
        <f t="shared" si="67"/>
        <v>0.11680320000000002</v>
      </c>
      <c r="CW14" s="188">
        <f t="shared" si="67"/>
        <v>0.11680320000000002</v>
      </c>
      <c r="CX14" s="188">
        <f t="shared" si="67"/>
        <v>0.11680320000000002</v>
      </c>
      <c r="CY14" s="188">
        <f t="shared" si="67"/>
        <v>0.11680320000000002</v>
      </c>
      <c r="CZ14" s="188">
        <f t="shared" si="67"/>
        <v>0.11680320000000002</v>
      </c>
      <c r="DA14" s="188">
        <f t="shared" si="67"/>
        <v>0.11680320000000002</v>
      </c>
      <c r="DB14" s="188">
        <f t="shared" si="67"/>
        <v>0.11680320000000002</v>
      </c>
      <c r="DE14" s="190"/>
    </row>
    <row r="15" spans="1:110" s="189" customFormat="1" x14ac:dyDescent="0.2">
      <c r="A15" s="186" t="s">
        <v>531</v>
      </c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>
        <f t="shared" ref="V15:AE15" si="69">+V7/U7-1</f>
        <v>-0.4974769065701018</v>
      </c>
      <c r="W15" s="187">
        <f t="shared" si="69"/>
        <v>0.23496246872393667</v>
      </c>
      <c r="X15" s="187">
        <f t="shared" si="69"/>
        <v>0.2553001242638715</v>
      </c>
      <c r="Y15" s="187">
        <f t="shared" si="69"/>
        <v>1.1791786729562053</v>
      </c>
      <c r="Z15" s="187">
        <f t="shared" si="69"/>
        <v>1.0730815416398385</v>
      </c>
      <c r="AA15" s="188">
        <f t="shared" si="69"/>
        <v>-0.20616193098862112</v>
      </c>
      <c r="AB15" s="188">
        <f t="shared" si="69"/>
        <v>-5.0000000000000155E-2</v>
      </c>
      <c r="AC15" s="188">
        <f t="shared" si="69"/>
        <v>-2.0000000000000018E-2</v>
      </c>
      <c r="AD15" s="188">
        <f t="shared" si="69"/>
        <v>5.0000000000000044E-2</v>
      </c>
      <c r="AE15" s="188">
        <f t="shared" si="69"/>
        <v>5.0000000000000044E-2</v>
      </c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7"/>
      <c r="BK15" s="187"/>
      <c r="BL15" s="187"/>
      <c r="BM15" s="187"/>
      <c r="BN15" s="187"/>
      <c r="BO15" s="187">
        <f t="shared" si="61"/>
        <v>-0.56450428396572827</v>
      </c>
      <c r="BP15" s="187">
        <f t="shared" si="61"/>
        <v>-0.56691903773354491</v>
      </c>
      <c r="BQ15" s="187">
        <f t="shared" si="61"/>
        <v>-0.47354479835772467</v>
      </c>
      <c r="BR15" s="187">
        <f t="shared" si="61"/>
        <v>-0.39710964498900414</v>
      </c>
      <c r="BS15" s="187">
        <f t="shared" si="61"/>
        <v>0.34457560427206313</v>
      </c>
      <c r="BT15" s="187">
        <f t="shared" si="61"/>
        <v>0.3397716058085436</v>
      </c>
      <c r="BU15" s="187">
        <f t="shared" si="61"/>
        <v>0.24465408805031452</v>
      </c>
      <c r="BV15" s="187">
        <f t="shared" si="61"/>
        <v>8.8483585200625159E-2</v>
      </c>
      <c r="BW15" s="187">
        <f t="shared" si="61"/>
        <v>0.39158305462653287</v>
      </c>
      <c r="BX15" s="187">
        <f t="shared" si="61"/>
        <v>0.10544038724613269</v>
      </c>
      <c r="BY15" s="187">
        <f t="shared" si="62"/>
        <v>0.27337038908539668</v>
      </c>
      <c r="BZ15" s="187">
        <f t="shared" si="62"/>
        <v>0.28089812332439679</v>
      </c>
      <c r="CA15" s="187">
        <f t="shared" si="62"/>
        <v>0.53054275986380928</v>
      </c>
      <c r="CB15" s="187">
        <f t="shared" si="62"/>
        <v>0.91818181818181821</v>
      </c>
      <c r="CC15" s="187">
        <f t="shared" si="62"/>
        <v>0.96430952380952362</v>
      </c>
      <c r="CD15" s="187">
        <f t="shared" si="62"/>
        <v>2.0706922714666951</v>
      </c>
      <c r="CE15" s="187">
        <f t="shared" si="62"/>
        <v>2.3984559015964404</v>
      </c>
      <c r="CF15" s="187">
        <f t="shared" si="62"/>
        <v>1.9041462990992781</v>
      </c>
      <c r="CG15" s="187">
        <f t="shared" si="62"/>
        <v>0.58310404318331499</v>
      </c>
      <c r="CH15" s="187">
        <f t="shared" si="62"/>
        <v>0.46750635364226789</v>
      </c>
      <c r="CI15" s="187">
        <f t="shared" si="63"/>
        <v>-0.33117708213006813</v>
      </c>
      <c r="CJ15" s="187">
        <f t="shared" si="63"/>
        <v>-0.3123889268626111</v>
      </c>
      <c r="CK15" s="187">
        <f t="shared" si="63"/>
        <v>3.8479109189608618E-2</v>
      </c>
      <c r="CL15" s="187">
        <f t="shared" si="63"/>
        <v>-0.15433436070294637</v>
      </c>
      <c r="CM15" s="188">
        <v>-0.05</v>
      </c>
      <c r="CN15" s="188">
        <f>+CM15</f>
        <v>-0.05</v>
      </c>
      <c r="CO15" s="188">
        <f t="shared" ref="CO15:CP15" si="70">+CN15</f>
        <v>-0.05</v>
      </c>
      <c r="CP15" s="188">
        <f t="shared" si="70"/>
        <v>-0.05</v>
      </c>
      <c r="CQ15" s="188">
        <v>-0.02</v>
      </c>
      <c r="CR15" s="188">
        <f>+CQ15</f>
        <v>-0.02</v>
      </c>
      <c r="CS15" s="188">
        <f>+CR15</f>
        <v>-0.02</v>
      </c>
      <c r="CT15" s="188">
        <f>+CS15</f>
        <v>-0.02</v>
      </c>
      <c r="CU15" s="188">
        <v>0.05</v>
      </c>
      <c r="CV15" s="188">
        <f>+CU15</f>
        <v>0.05</v>
      </c>
      <c r="CW15" s="188">
        <f t="shared" ref="CW15:DB15" si="71">+CV15</f>
        <v>0.05</v>
      </c>
      <c r="CX15" s="188">
        <f t="shared" si="71"/>
        <v>0.05</v>
      </c>
      <c r="CY15" s="188">
        <f t="shared" si="71"/>
        <v>0.05</v>
      </c>
      <c r="CZ15" s="188">
        <f t="shared" si="71"/>
        <v>0.05</v>
      </c>
      <c r="DA15" s="188">
        <f t="shared" si="71"/>
        <v>0.05</v>
      </c>
      <c r="DB15" s="188">
        <f t="shared" si="71"/>
        <v>0.05</v>
      </c>
      <c r="DE15" s="190"/>
    </row>
    <row r="16" spans="1:110" s="189" customFormat="1" x14ac:dyDescent="0.2">
      <c r="A16" s="186" t="s">
        <v>529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 t="e">
        <f t="shared" ref="V16:AE16" si="72">+V8/U8-1</f>
        <v>#DIV/0!</v>
      </c>
      <c r="W16" s="187">
        <f t="shared" si="72"/>
        <v>-0.45053378112159703</v>
      </c>
      <c r="X16" s="187">
        <f t="shared" si="72"/>
        <v>-1</v>
      </c>
      <c r="Y16" s="187" t="e">
        <f t="shared" si="72"/>
        <v>#DIV/0!</v>
      </c>
      <c r="Z16" s="187" t="e">
        <f t="shared" si="72"/>
        <v>#DIV/0!</v>
      </c>
      <c r="AA16" s="188" t="e">
        <f t="shared" si="72"/>
        <v>#DIV/0!</v>
      </c>
      <c r="AB16" s="188" t="e">
        <f t="shared" si="72"/>
        <v>#DIV/0!</v>
      </c>
      <c r="AC16" s="188" t="e">
        <f t="shared" si="72"/>
        <v>#DIV/0!</v>
      </c>
      <c r="AD16" s="188" t="e">
        <f t="shared" si="72"/>
        <v>#DIV/0!</v>
      </c>
      <c r="AE16" s="188" t="e">
        <f t="shared" si="72"/>
        <v>#DIV/0!</v>
      </c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187"/>
      <c r="BC16" s="187"/>
      <c r="BD16" s="187"/>
      <c r="BE16" s="187"/>
      <c r="BF16" s="187"/>
      <c r="BG16" s="187"/>
      <c r="BH16" s="187"/>
      <c r="BI16" s="187"/>
      <c r="BJ16" s="187"/>
      <c r="BK16" s="187"/>
      <c r="BL16" s="187"/>
      <c r="BM16" s="187"/>
      <c r="BN16" s="187"/>
      <c r="BO16" s="187" t="e">
        <f t="shared" ref="BO16:BT16" si="73">+BO8/BK8-1</f>
        <v>#DIV/0!</v>
      </c>
      <c r="BP16" s="187" t="e">
        <f t="shared" si="73"/>
        <v>#DIV/0!</v>
      </c>
      <c r="BQ16" s="187" t="e">
        <f t="shared" si="73"/>
        <v>#DIV/0!</v>
      </c>
      <c r="BR16" s="187" t="e">
        <f t="shared" si="73"/>
        <v>#DIV/0!</v>
      </c>
      <c r="BS16" s="187">
        <f t="shared" si="73"/>
        <v>3.4469646430953969</v>
      </c>
      <c r="BT16" s="187">
        <f t="shared" si="73"/>
        <v>0.73546110173392654</v>
      </c>
      <c r="BU16" s="187"/>
      <c r="BV16" s="187"/>
      <c r="BW16" s="187"/>
      <c r="BX16" s="187"/>
      <c r="BY16" s="187"/>
      <c r="BZ16" s="187"/>
      <c r="CA16" s="187"/>
      <c r="CB16" s="187"/>
      <c r="CC16" s="187"/>
      <c r="CD16" s="187"/>
      <c r="CE16" s="187"/>
      <c r="CF16" s="187"/>
      <c r="CG16" s="187"/>
      <c r="CH16" s="187"/>
      <c r="CI16" s="187"/>
      <c r="CJ16" s="187"/>
      <c r="CK16" s="187"/>
      <c r="CL16" s="187"/>
      <c r="CM16" s="188"/>
      <c r="CN16" s="188"/>
      <c r="CO16" s="188"/>
      <c r="CP16" s="188"/>
      <c r="CQ16" s="188"/>
      <c r="CR16" s="188"/>
      <c r="CS16" s="188"/>
      <c r="CT16" s="188"/>
      <c r="CU16" s="188"/>
      <c r="CV16" s="188"/>
      <c r="CW16" s="188"/>
      <c r="CX16" s="188"/>
      <c r="CY16" s="188"/>
      <c r="CZ16" s="188"/>
      <c r="DA16" s="188"/>
      <c r="DB16" s="188"/>
      <c r="DE16" s="190"/>
    </row>
    <row r="17" spans="1:110" s="189" customFormat="1" x14ac:dyDescent="0.2">
      <c r="A17" s="186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8"/>
      <c r="AB17" s="188"/>
      <c r="AC17" s="188"/>
      <c r="AD17" s="188"/>
      <c r="AE17" s="188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87"/>
      <c r="BE17" s="187"/>
      <c r="BF17" s="187"/>
      <c r="BG17" s="187"/>
      <c r="BH17" s="187"/>
      <c r="BI17" s="187"/>
      <c r="BJ17" s="187"/>
      <c r="BK17" s="187"/>
      <c r="BL17" s="187"/>
      <c r="BM17" s="187"/>
      <c r="BN17" s="187"/>
      <c r="BO17" s="187"/>
      <c r="BP17" s="187"/>
      <c r="BQ17" s="187"/>
      <c r="BR17" s="187"/>
      <c r="BS17" s="187"/>
      <c r="BT17" s="187"/>
      <c r="BU17" s="187"/>
      <c r="BV17" s="187"/>
      <c r="BW17" s="187"/>
      <c r="BX17" s="187"/>
      <c r="BY17" s="187"/>
      <c r="BZ17" s="187"/>
      <c r="CA17" s="187"/>
      <c r="CB17" s="187"/>
      <c r="CC17" s="187"/>
      <c r="CD17" s="187"/>
      <c r="CE17" s="187"/>
      <c r="CF17" s="187"/>
      <c r="CG17" s="187"/>
      <c r="CH17" s="187"/>
      <c r="CI17" s="187"/>
      <c r="CJ17" s="187"/>
      <c r="CK17" s="187"/>
      <c r="CL17" s="187"/>
      <c r="CM17" s="188"/>
      <c r="CN17" s="188"/>
      <c r="CO17" s="188"/>
      <c r="CP17" s="188"/>
      <c r="CQ17" s="188"/>
      <c r="CR17" s="188"/>
      <c r="CS17" s="188"/>
      <c r="CT17" s="188"/>
      <c r="CU17" s="188"/>
      <c r="CV17" s="188"/>
      <c r="CW17" s="188"/>
      <c r="CX17" s="188"/>
      <c r="CY17" s="188"/>
      <c r="CZ17" s="188"/>
      <c r="DA17" s="188"/>
      <c r="DB17" s="188"/>
      <c r="DE17" s="190"/>
    </row>
    <row r="18" spans="1:110" s="192" customFormat="1" x14ac:dyDescent="0.2">
      <c r="A18" s="151" t="s">
        <v>541</v>
      </c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1"/>
      <c r="BP18" s="191"/>
      <c r="BQ18" s="191"/>
      <c r="BR18" s="191"/>
      <c r="BS18" s="191"/>
      <c r="BT18" s="191"/>
      <c r="BU18" s="191"/>
      <c r="BV18" s="191"/>
      <c r="BW18" s="191"/>
      <c r="BX18" s="191"/>
      <c r="BY18" s="191"/>
      <c r="BZ18" s="191"/>
      <c r="CA18" s="191"/>
      <c r="CB18" s="191"/>
      <c r="CC18" s="191"/>
      <c r="CD18" s="191"/>
      <c r="CE18" s="191"/>
      <c r="CF18" s="191"/>
      <c r="CG18" s="191"/>
      <c r="CH18" s="191"/>
      <c r="CI18" s="191"/>
      <c r="CJ18" s="191"/>
      <c r="CK18" s="191"/>
      <c r="CL18" s="191"/>
      <c r="CM18" s="191"/>
      <c r="CN18" s="191"/>
      <c r="CO18" s="191"/>
      <c r="CP18" s="191"/>
      <c r="CQ18" s="191"/>
      <c r="CR18" s="191"/>
      <c r="CS18" s="191"/>
      <c r="CT18" s="191"/>
      <c r="CU18" s="191"/>
      <c r="CV18" s="191"/>
      <c r="CW18" s="191"/>
      <c r="CX18" s="191"/>
      <c r="CY18" s="191"/>
      <c r="CZ18" s="191"/>
      <c r="DA18" s="191"/>
      <c r="DB18" s="191"/>
      <c r="DE18" s="191"/>
    </row>
    <row r="19" spans="1:110" s="197" customFormat="1" x14ac:dyDescent="0.2">
      <c r="A19" s="186" t="s">
        <v>535</v>
      </c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206">
        <f t="shared" ref="U19:U23" si="74">+SUM(BK19:BN19)</f>
        <v>928.34999999999991</v>
      </c>
      <c r="V19" s="206">
        <f t="shared" ref="V19:V23" si="75">+SUM(BO19:BR19)</f>
        <v>918.74</v>
      </c>
      <c r="W19" s="206">
        <f t="shared" ref="W19:W23" si="76">+SUM(BS19:BV19)</f>
        <v>1057.3399999999999</v>
      </c>
      <c r="X19" s="206">
        <f t="shared" ref="X19:X23" si="77">+SUM(BW19:BZ19)</f>
        <v>1672.42</v>
      </c>
      <c r="Y19" s="206">
        <f t="shared" ref="Y19:Y23" si="78">+SUM(CA19:CD19)</f>
        <v>2360.66</v>
      </c>
      <c r="Z19" s="206">
        <f t="shared" ref="Z19:Z23" si="79">+SUM(CE19:CH19)</f>
        <v>2575.4</v>
      </c>
      <c r="AA19" s="207">
        <f t="shared" ref="AA19:AA23" si="80">+SUM(CI19:CL19)</f>
        <v>3478.13</v>
      </c>
      <c r="AB19" s="207">
        <f t="shared" ref="AB19:AB23" si="81">+SUM(CM19:CP19)</f>
        <v>0</v>
      </c>
      <c r="AC19" s="207">
        <f t="shared" ref="AC19:AC23" si="82">+SUM(CQ19:CT19)</f>
        <v>0</v>
      </c>
      <c r="AD19" s="207">
        <f t="shared" ref="AD19:AD23" si="83">+SUM(CU19:CX19)</f>
        <v>0</v>
      </c>
      <c r="AE19" s="207">
        <f t="shared" ref="AE19:AE23" si="84">+SUM(CY19:DB19)</f>
        <v>0</v>
      </c>
      <c r="AF19" s="189"/>
      <c r="AG19" s="189"/>
      <c r="AH19" s="189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  <c r="BI19" s="187"/>
      <c r="BJ19" s="195">
        <v>209.51</v>
      </c>
      <c r="BK19" s="195">
        <v>186.19</v>
      </c>
      <c r="BL19" s="195">
        <v>201.13</v>
      </c>
      <c r="BM19" s="195">
        <v>258.32</v>
      </c>
      <c r="BN19" s="195">
        <v>282.70999999999998</v>
      </c>
      <c r="BO19" s="195">
        <v>24.41</v>
      </c>
      <c r="BP19" s="195">
        <v>254.12</v>
      </c>
      <c r="BQ19" s="195">
        <v>307.39999999999998</v>
      </c>
      <c r="BR19" s="195">
        <v>332.81</v>
      </c>
      <c r="BS19" s="195">
        <v>107.35</v>
      </c>
      <c r="BT19" s="195">
        <v>230.51</v>
      </c>
      <c r="BU19" s="195">
        <v>308.92</v>
      </c>
      <c r="BV19" s="195">
        <v>410.56</v>
      </c>
      <c r="BW19" s="195">
        <v>277.27</v>
      </c>
      <c r="BX19" s="195">
        <v>346.25</v>
      </c>
      <c r="BY19" s="195">
        <v>459.31</v>
      </c>
      <c r="BZ19" s="195">
        <v>589.59</v>
      </c>
      <c r="CA19" s="195">
        <v>522.26</v>
      </c>
      <c r="CB19" s="195">
        <v>554.69000000000005</v>
      </c>
      <c r="CC19" s="195">
        <v>547.41999999999996</v>
      </c>
      <c r="CD19" s="195">
        <v>736.29</v>
      </c>
      <c r="CE19" s="195">
        <v>496.68</v>
      </c>
      <c r="CF19" s="195">
        <v>579.29999999999995</v>
      </c>
      <c r="CG19" s="195">
        <v>590.38</v>
      </c>
      <c r="CH19" s="195">
        <v>909.04</v>
      </c>
      <c r="CI19" s="195">
        <v>768.27</v>
      </c>
      <c r="CJ19" s="195">
        <v>859.26</v>
      </c>
      <c r="CK19" s="195">
        <v>832.6</v>
      </c>
      <c r="CL19" s="195">
        <v>1018</v>
      </c>
      <c r="CM19" s="196"/>
      <c r="CN19" s="196"/>
      <c r="CO19" s="196"/>
      <c r="CP19" s="196"/>
      <c r="CQ19" s="196"/>
      <c r="CR19" s="196"/>
      <c r="CS19" s="196"/>
      <c r="CT19" s="196"/>
      <c r="CU19" s="196"/>
      <c r="CV19" s="196"/>
      <c r="CW19" s="196"/>
      <c r="CX19" s="196"/>
      <c r="CY19" s="196"/>
      <c r="CZ19" s="196"/>
      <c r="DA19" s="196"/>
      <c r="DB19" s="196"/>
      <c r="DE19" s="198"/>
    </row>
    <row r="20" spans="1:110" s="197" customFormat="1" x14ac:dyDescent="0.2">
      <c r="A20" s="155" t="s">
        <v>540</v>
      </c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>
        <f t="shared" si="74"/>
        <v>16.829999999999998</v>
      </c>
      <c r="V20" s="195">
        <f t="shared" si="75"/>
        <v>56.600000000000009</v>
      </c>
      <c r="W20" s="195">
        <f t="shared" si="76"/>
        <v>19.619999999999997</v>
      </c>
      <c r="X20" s="195">
        <f t="shared" si="77"/>
        <v>-5.6</v>
      </c>
      <c r="Y20" s="195">
        <f t="shared" si="78"/>
        <v>-94.199999999999989</v>
      </c>
      <c r="Z20" s="195">
        <f t="shared" si="79"/>
        <v>-38.919999999999995</v>
      </c>
      <c r="AA20" s="196">
        <f t="shared" si="80"/>
        <v>54.84</v>
      </c>
      <c r="AB20" s="196">
        <f t="shared" si="81"/>
        <v>0</v>
      </c>
      <c r="AC20" s="196">
        <f t="shared" si="82"/>
        <v>0</v>
      </c>
      <c r="AD20" s="196">
        <f t="shared" si="83"/>
        <v>0</v>
      </c>
      <c r="AE20" s="196">
        <f t="shared" si="84"/>
        <v>0</v>
      </c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>
        <v>-4.6100000000000003</v>
      </c>
      <c r="BK20" s="195">
        <v>8.77</v>
      </c>
      <c r="BL20" s="195">
        <v>6.55</v>
      </c>
      <c r="BM20" s="195">
        <v>1.4</v>
      </c>
      <c r="BN20" s="195">
        <v>0.11</v>
      </c>
      <c r="BO20" s="195">
        <v>-5.56</v>
      </c>
      <c r="BP20" s="195">
        <v>19.63</v>
      </c>
      <c r="BQ20" s="195">
        <v>18.16</v>
      </c>
      <c r="BR20" s="195">
        <v>24.37</v>
      </c>
      <c r="BS20" s="195">
        <v>-14.33</v>
      </c>
      <c r="BT20" s="195">
        <v>17.2</v>
      </c>
      <c r="BU20" s="195">
        <v>6.27</v>
      </c>
      <c r="BV20" s="195">
        <v>10.48</v>
      </c>
      <c r="BW20" s="195">
        <v>6.44</v>
      </c>
      <c r="BX20" s="195">
        <v>-2.68</v>
      </c>
      <c r="BY20" s="195">
        <v>-2.39</v>
      </c>
      <c r="BZ20" s="195">
        <v>-6.97</v>
      </c>
      <c r="CA20" s="195">
        <v>-5.67</v>
      </c>
      <c r="CB20" s="195">
        <v>-6.02</v>
      </c>
      <c r="CC20" s="195">
        <v>-36.6</v>
      </c>
      <c r="CD20" s="195">
        <v>-45.91</v>
      </c>
      <c r="CE20" s="195">
        <v>-2.81</v>
      </c>
      <c r="CF20" s="195">
        <v>-25.25</v>
      </c>
      <c r="CG20" s="195">
        <v>-12.78</v>
      </c>
      <c r="CH20" s="195">
        <v>1.92</v>
      </c>
      <c r="CI20" s="195">
        <v>9.5500000000000007</v>
      </c>
      <c r="CJ20" s="195">
        <v>2.2000000000000002</v>
      </c>
      <c r="CK20" s="195">
        <v>13.86</v>
      </c>
      <c r="CL20" s="195">
        <v>29.23</v>
      </c>
      <c r="CM20" s="196"/>
      <c r="CN20" s="196"/>
      <c r="CO20" s="196"/>
      <c r="CP20" s="196"/>
      <c r="CQ20" s="196"/>
      <c r="CR20" s="196"/>
      <c r="CS20" s="196"/>
      <c r="CT20" s="196"/>
      <c r="CU20" s="196"/>
      <c r="CV20" s="196"/>
      <c r="CW20" s="196"/>
      <c r="CX20" s="196"/>
      <c r="CY20" s="196"/>
      <c r="CZ20" s="196"/>
      <c r="DA20" s="196"/>
      <c r="DB20" s="196"/>
      <c r="DE20" s="198"/>
    </row>
    <row r="21" spans="1:110" s="197" customFormat="1" x14ac:dyDescent="0.2">
      <c r="A21" s="186" t="s">
        <v>84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206">
        <f t="shared" si="74"/>
        <v>85.36</v>
      </c>
      <c r="V21" s="206">
        <f t="shared" si="75"/>
        <v>45.629999999999995</v>
      </c>
      <c r="W21" s="206">
        <f t="shared" si="76"/>
        <v>49.89</v>
      </c>
      <c r="X21" s="206">
        <f t="shared" si="77"/>
        <v>51.71</v>
      </c>
      <c r="Y21" s="206">
        <f t="shared" si="78"/>
        <v>124.82999999999998</v>
      </c>
      <c r="Z21" s="206">
        <f t="shared" si="79"/>
        <v>238.34</v>
      </c>
      <c r="AA21" s="207">
        <f t="shared" si="80"/>
        <v>165.55</v>
      </c>
      <c r="AB21" s="207">
        <f t="shared" si="81"/>
        <v>0</v>
      </c>
      <c r="AC21" s="207">
        <f t="shared" si="82"/>
        <v>0</v>
      </c>
      <c r="AD21" s="207">
        <f t="shared" si="83"/>
        <v>0</v>
      </c>
      <c r="AE21" s="207">
        <f t="shared" si="84"/>
        <v>0</v>
      </c>
      <c r="AF21" s="189"/>
      <c r="AG21" s="189"/>
      <c r="AH21" s="189"/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95">
        <v>13.08</v>
      </c>
      <c r="BK21" s="195">
        <v>11.89</v>
      </c>
      <c r="BL21" s="195">
        <v>23.11</v>
      </c>
      <c r="BM21" s="195">
        <v>33.85</v>
      </c>
      <c r="BN21" s="195">
        <v>16.510000000000002</v>
      </c>
      <c r="BO21" s="195">
        <v>7.17</v>
      </c>
      <c r="BP21" s="195">
        <v>10.02</v>
      </c>
      <c r="BQ21" s="195">
        <v>9.7799999999999994</v>
      </c>
      <c r="BR21" s="195">
        <v>18.66</v>
      </c>
      <c r="BS21" s="195">
        <v>7.63</v>
      </c>
      <c r="BT21" s="195">
        <v>15.74</v>
      </c>
      <c r="BU21" s="195">
        <v>12.62</v>
      </c>
      <c r="BV21" s="195">
        <v>13.9</v>
      </c>
      <c r="BW21" s="195">
        <v>12.48</v>
      </c>
      <c r="BX21" s="195">
        <v>15.86</v>
      </c>
      <c r="BY21" s="195">
        <v>15.19</v>
      </c>
      <c r="BZ21" s="195">
        <v>8.18</v>
      </c>
      <c r="CA21" s="195">
        <v>18.34</v>
      </c>
      <c r="CB21" s="195">
        <v>22.49</v>
      </c>
      <c r="CC21" s="195">
        <v>39.43</v>
      </c>
      <c r="CD21" s="195">
        <v>44.57</v>
      </c>
      <c r="CE21" s="195">
        <v>57.25</v>
      </c>
      <c r="CF21" s="195">
        <v>69.12</v>
      </c>
      <c r="CG21" s="195">
        <v>55.57</v>
      </c>
      <c r="CH21" s="195">
        <v>56.4</v>
      </c>
      <c r="CI21" s="195">
        <v>26.75</v>
      </c>
      <c r="CJ21" s="195">
        <v>72.98</v>
      </c>
      <c r="CK21" s="195">
        <v>27.18</v>
      </c>
      <c r="CL21" s="195">
        <v>38.64</v>
      </c>
      <c r="CM21" s="196"/>
      <c r="CN21" s="196"/>
      <c r="CO21" s="196"/>
      <c r="CP21" s="196"/>
      <c r="CQ21" s="196"/>
      <c r="CR21" s="196"/>
      <c r="CS21" s="196"/>
      <c r="CT21" s="196"/>
      <c r="CU21" s="196"/>
      <c r="CV21" s="196"/>
      <c r="CW21" s="196"/>
      <c r="CX21" s="196"/>
      <c r="CY21" s="196"/>
      <c r="CZ21" s="196"/>
      <c r="DA21" s="196"/>
      <c r="DB21" s="196"/>
      <c r="DE21" s="198"/>
    </row>
    <row r="22" spans="1:110" s="197" customFormat="1" x14ac:dyDescent="0.2">
      <c r="A22" s="186" t="s">
        <v>537</v>
      </c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206">
        <f t="shared" si="74"/>
        <v>0</v>
      </c>
      <c r="V22" s="206">
        <f t="shared" si="75"/>
        <v>0</v>
      </c>
      <c r="W22" s="206">
        <f t="shared" si="76"/>
        <v>0</v>
      </c>
      <c r="X22" s="206">
        <f t="shared" si="77"/>
        <v>0</v>
      </c>
      <c r="Y22" s="206">
        <f t="shared" si="78"/>
        <v>0</v>
      </c>
      <c r="Z22" s="206">
        <f t="shared" si="79"/>
        <v>-60.099999999999994</v>
      </c>
      <c r="AA22" s="207">
        <f t="shared" si="80"/>
        <v>-47.73</v>
      </c>
      <c r="AB22" s="207">
        <f t="shared" si="81"/>
        <v>0</v>
      </c>
      <c r="AC22" s="207">
        <f t="shared" si="82"/>
        <v>0</v>
      </c>
      <c r="AD22" s="207">
        <f t="shared" si="83"/>
        <v>0</v>
      </c>
      <c r="AE22" s="207">
        <f t="shared" si="84"/>
        <v>0</v>
      </c>
      <c r="AF22" s="189"/>
      <c r="AG22" s="189"/>
      <c r="AH22" s="189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7"/>
      <c r="BB22" s="187"/>
      <c r="BC22" s="187"/>
      <c r="BD22" s="187"/>
      <c r="BE22" s="187"/>
      <c r="BF22" s="187"/>
      <c r="BG22" s="187"/>
      <c r="BH22" s="187"/>
      <c r="BI22" s="187"/>
      <c r="BJ22" s="195"/>
      <c r="BK22" s="195"/>
      <c r="BL22" s="195"/>
      <c r="BM22" s="195"/>
      <c r="BN22" s="195"/>
      <c r="BO22" s="195"/>
      <c r="BP22" s="195"/>
      <c r="BQ22" s="195"/>
      <c r="BR22" s="195"/>
      <c r="BS22" s="195"/>
      <c r="BT22" s="195"/>
      <c r="BU22" s="195"/>
      <c r="BV22" s="195"/>
      <c r="BW22" s="195"/>
      <c r="BX22" s="195"/>
      <c r="BY22" s="195"/>
      <c r="BZ22" s="195"/>
      <c r="CA22" s="195"/>
      <c r="CB22" s="195"/>
      <c r="CC22" s="195"/>
      <c r="CD22" s="195"/>
      <c r="CE22" s="195">
        <v>-14.73</v>
      </c>
      <c r="CF22" s="195">
        <v>-18.46</v>
      </c>
      <c r="CG22" s="195">
        <v>-10.89</v>
      </c>
      <c r="CH22" s="195">
        <v>-16.02</v>
      </c>
      <c r="CI22" s="195">
        <v>-14.04</v>
      </c>
      <c r="CJ22" s="195">
        <v>-8.66</v>
      </c>
      <c r="CK22" s="195">
        <v>-13.31</v>
      </c>
      <c r="CL22" s="195">
        <v>-11.72</v>
      </c>
      <c r="CM22" s="196"/>
      <c r="CN22" s="196"/>
      <c r="CO22" s="196"/>
      <c r="CP22" s="196"/>
      <c r="CQ22" s="196"/>
      <c r="CR22" s="196"/>
      <c r="CS22" s="196"/>
      <c r="CT22" s="196"/>
      <c r="CU22" s="196"/>
      <c r="CV22" s="196"/>
      <c r="CW22" s="196"/>
      <c r="CX22" s="196"/>
      <c r="CY22" s="196"/>
      <c r="CZ22" s="196"/>
      <c r="DA22" s="196"/>
      <c r="DB22" s="196"/>
      <c r="DE22" s="198"/>
    </row>
    <row r="23" spans="1:110" s="197" customFormat="1" x14ac:dyDescent="0.2">
      <c r="A23" s="186" t="s">
        <v>536</v>
      </c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206">
        <f t="shared" si="74"/>
        <v>13.146000000000296</v>
      </c>
      <c r="V23" s="206">
        <f t="shared" si="75"/>
        <v>3.3569999999999069</v>
      </c>
      <c r="W23" s="206">
        <f t="shared" si="76"/>
        <v>8.4380000000001587</v>
      </c>
      <c r="X23" s="206">
        <f t="shared" si="77"/>
        <v>2.0110000000005357</v>
      </c>
      <c r="Y23" s="206">
        <f t="shared" si="78"/>
        <v>31.987999999999985</v>
      </c>
      <c r="Z23" s="206">
        <f t="shared" si="79"/>
        <v>13.87</v>
      </c>
      <c r="AA23" s="207">
        <f t="shared" si="80"/>
        <v>37.71</v>
      </c>
      <c r="AB23" s="207">
        <f t="shared" si="81"/>
        <v>0</v>
      </c>
      <c r="AC23" s="207">
        <f t="shared" si="82"/>
        <v>0</v>
      </c>
      <c r="AD23" s="207">
        <f t="shared" si="83"/>
        <v>0</v>
      </c>
      <c r="AE23" s="207">
        <f t="shared" si="84"/>
        <v>0</v>
      </c>
      <c r="AF23" s="189"/>
      <c r="AG23" s="189"/>
      <c r="AH23" s="189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87"/>
      <c r="AX23" s="187"/>
      <c r="AY23" s="187"/>
      <c r="AZ23" s="187"/>
      <c r="BA23" s="187"/>
      <c r="BB23" s="187"/>
      <c r="BC23" s="187"/>
      <c r="BD23" s="187"/>
      <c r="BE23" s="187"/>
      <c r="BF23" s="187"/>
      <c r="BG23" s="187"/>
      <c r="BH23" s="187"/>
      <c r="BI23" s="187"/>
      <c r="BJ23" s="195">
        <v>17.77</v>
      </c>
      <c r="BK23" s="195">
        <v>0.48</v>
      </c>
      <c r="BL23" s="195">
        <v>-1.1099999999999994</v>
      </c>
      <c r="BM23" s="195">
        <v>3.3700000000000614</v>
      </c>
      <c r="BN23" s="195">
        <v>10.406000000000233</v>
      </c>
      <c r="BO23" s="195">
        <v>-4.517000000000003</v>
      </c>
      <c r="BP23" s="195">
        <v>-4.4629999999999086</v>
      </c>
      <c r="BQ23" s="195">
        <v>4.4159999999997694</v>
      </c>
      <c r="BR23" s="195">
        <v>7.9210000000000491</v>
      </c>
      <c r="BS23" s="195">
        <v>1.5290000000000532</v>
      </c>
      <c r="BT23" s="195">
        <v>-1.0279999999998495</v>
      </c>
      <c r="BU23" s="195">
        <v>3.3909999999999059</v>
      </c>
      <c r="BV23" s="195">
        <v>4.5460000000000491</v>
      </c>
      <c r="BW23" s="195">
        <v>0.1680000000001769</v>
      </c>
      <c r="BX23" s="195">
        <v>0.17199999999968441</v>
      </c>
      <c r="BY23" s="195">
        <v>-9.6949999999996521</v>
      </c>
      <c r="BZ23" s="195">
        <v>11.366000000000327</v>
      </c>
      <c r="CA23" s="195">
        <v>4.4379999999999882</v>
      </c>
      <c r="CB23" s="195">
        <v>14.01</v>
      </c>
      <c r="CC23" s="195">
        <v>3.85</v>
      </c>
      <c r="CD23" s="195">
        <v>9.69</v>
      </c>
      <c r="CE23" s="195">
        <v>3.02</v>
      </c>
      <c r="CF23" s="195">
        <v>14.36</v>
      </c>
      <c r="CG23" s="195">
        <v>5.71</v>
      </c>
      <c r="CH23" s="195">
        <v>-9.2200000000000006</v>
      </c>
      <c r="CI23" s="195">
        <v>-10.06</v>
      </c>
      <c r="CJ23" s="195">
        <v>4.7699999999999996</v>
      </c>
      <c r="CK23" s="195">
        <v>18.14</v>
      </c>
      <c r="CL23" s="195">
        <v>24.86</v>
      </c>
      <c r="CM23" s="196"/>
      <c r="CN23" s="196"/>
      <c r="CO23" s="196"/>
      <c r="CP23" s="196"/>
      <c r="CQ23" s="196"/>
      <c r="CR23" s="196"/>
      <c r="CS23" s="196"/>
      <c r="CT23" s="196"/>
      <c r="CU23" s="196"/>
      <c r="CV23" s="196"/>
      <c r="CW23" s="196"/>
      <c r="CX23" s="196"/>
      <c r="CY23" s="196"/>
      <c r="CZ23" s="196"/>
      <c r="DA23" s="196"/>
      <c r="DB23" s="196"/>
      <c r="DE23" s="198"/>
    </row>
    <row r="24" spans="1:110" s="202" customFormat="1" x14ac:dyDescent="0.2">
      <c r="A24" s="199" t="s">
        <v>538</v>
      </c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8">
        <f t="shared" ref="U24:AE24" si="85">+SUM(U19:U22)-U23</f>
        <v>1017.3939999999997</v>
      </c>
      <c r="V24" s="208">
        <f t="shared" si="85"/>
        <v>1017.6130000000002</v>
      </c>
      <c r="W24" s="208">
        <f t="shared" si="85"/>
        <v>1118.4119999999998</v>
      </c>
      <c r="X24" s="208">
        <f t="shared" si="85"/>
        <v>1716.5189999999998</v>
      </c>
      <c r="Y24" s="208">
        <f t="shared" si="85"/>
        <v>2359.3020000000001</v>
      </c>
      <c r="Z24" s="208">
        <f t="shared" si="85"/>
        <v>2700.8500000000004</v>
      </c>
      <c r="AA24" s="209">
        <f t="shared" si="85"/>
        <v>3613.0800000000004</v>
      </c>
      <c r="AB24" s="209">
        <f t="shared" si="85"/>
        <v>0</v>
      </c>
      <c r="AC24" s="209">
        <f t="shared" si="85"/>
        <v>0</v>
      </c>
      <c r="AD24" s="209">
        <f t="shared" si="85"/>
        <v>0</v>
      </c>
      <c r="AE24" s="209">
        <f t="shared" si="85"/>
        <v>0</v>
      </c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3">
        <f t="shared" ref="BJ24:CL24" si="86">+SUM(BJ19:BJ22)-BJ23</f>
        <v>200.20999999999998</v>
      </c>
      <c r="BK24" s="203">
        <f t="shared" si="86"/>
        <v>206.37000000000003</v>
      </c>
      <c r="BL24" s="203">
        <f t="shared" si="86"/>
        <v>231.90000000000003</v>
      </c>
      <c r="BM24" s="203">
        <f t="shared" si="86"/>
        <v>290.19999999999993</v>
      </c>
      <c r="BN24" s="203">
        <f t="shared" si="86"/>
        <v>288.92399999999975</v>
      </c>
      <c r="BO24" s="203">
        <f t="shared" si="86"/>
        <v>30.537000000000006</v>
      </c>
      <c r="BP24" s="203">
        <f t="shared" si="86"/>
        <v>288.23299999999989</v>
      </c>
      <c r="BQ24" s="203">
        <f t="shared" si="86"/>
        <v>330.92400000000021</v>
      </c>
      <c r="BR24" s="203">
        <f t="shared" si="86"/>
        <v>367.91899999999998</v>
      </c>
      <c r="BS24" s="203">
        <f t="shared" si="86"/>
        <v>99.120999999999938</v>
      </c>
      <c r="BT24" s="203">
        <f t="shared" si="86"/>
        <v>264.47799999999984</v>
      </c>
      <c r="BU24" s="203">
        <f t="shared" si="86"/>
        <v>324.4190000000001</v>
      </c>
      <c r="BV24" s="203">
        <f t="shared" si="86"/>
        <v>430.39399999999995</v>
      </c>
      <c r="BW24" s="203">
        <f t="shared" si="86"/>
        <v>296.02199999999982</v>
      </c>
      <c r="BX24" s="203">
        <f t="shared" si="86"/>
        <v>359.25800000000032</v>
      </c>
      <c r="BY24" s="203">
        <f t="shared" si="86"/>
        <v>481.80499999999967</v>
      </c>
      <c r="BZ24" s="203">
        <f t="shared" si="86"/>
        <v>579.43399999999963</v>
      </c>
      <c r="CA24" s="203">
        <f t="shared" si="86"/>
        <v>530.49200000000008</v>
      </c>
      <c r="CB24" s="203">
        <f t="shared" si="86"/>
        <v>557.15000000000009</v>
      </c>
      <c r="CC24" s="203">
        <f t="shared" si="86"/>
        <v>546.39999999999986</v>
      </c>
      <c r="CD24" s="203">
        <f t="shared" si="86"/>
        <v>725.26</v>
      </c>
      <c r="CE24" s="203">
        <f t="shared" si="86"/>
        <v>533.37</v>
      </c>
      <c r="CF24" s="203">
        <f t="shared" si="86"/>
        <v>590.34999999999991</v>
      </c>
      <c r="CG24" s="203">
        <f t="shared" si="86"/>
        <v>616.57000000000005</v>
      </c>
      <c r="CH24" s="203">
        <f t="shared" si="86"/>
        <v>960.56</v>
      </c>
      <c r="CI24" s="203">
        <f t="shared" si="86"/>
        <v>800.58999999999992</v>
      </c>
      <c r="CJ24" s="203">
        <f t="shared" si="86"/>
        <v>921.0100000000001</v>
      </c>
      <c r="CK24" s="203">
        <f t="shared" si="86"/>
        <v>842.19</v>
      </c>
      <c r="CL24" s="203">
        <f t="shared" si="86"/>
        <v>1049.2900000000002</v>
      </c>
      <c r="CM24" s="201"/>
      <c r="CN24" s="201"/>
      <c r="CO24" s="201"/>
      <c r="CP24" s="201"/>
      <c r="CQ24" s="201"/>
      <c r="CR24" s="201"/>
      <c r="CS24" s="201"/>
      <c r="CT24" s="201"/>
      <c r="CU24" s="201"/>
      <c r="CV24" s="201"/>
      <c r="CW24" s="201"/>
      <c r="CX24" s="201"/>
      <c r="CY24" s="201"/>
      <c r="CZ24" s="201"/>
      <c r="DA24" s="201"/>
      <c r="DB24" s="201"/>
      <c r="DE24" s="204"/>
    </row>
    <row r="25" spans="1:110" s="158" customFormat="1" x14ac:dyDescent="0.2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>
        <f t="shared" ref="U25:AE25" si="87">+U24-U62</f>
        <v>-1.9999999992705852E-3</v>
      </c>
      <c r="V25" s="156">
        <f t="shared" si="87"/>
        <v>6.0360000000000582</v>
      </c>
      <c r="W25" s="156">
        <f t="shared" si="87"/>
        <v>-1.0000000015679689E-3</v>
      </c>
      <c r="X25" s="156">
        <f t="shared" si="87"/>
        <v>0</v>
      </c>
      <c r="Y25" s="156">
        <f t="shared" si="87"/>
        <v>1.9999999990432116E-3</v>
      </c>
      <c r="Z25" s="156">
        <f t="shared" si="87"/>
        <v>5.0000000005638867E-3</v>
      </c>
      <c r="AA25" s="157">
        <f t="shared" si="87"/>
        <v>4.9999999987448973E-3</v>
      </c>
      <c r="AB25" s="157">
        <f t="shared" si="87"/>
        <v>-4347.532629481776</v>
      </c>
      <c r="AC25" s="157">
        <f t="shared" si="87"/>
        <v>-5068.9877926831487</v>
      </c>
      <c r="AD25" s="157">
        <f t="shared" si="87"/>
        <v>-5891.7207350705585</v>
      </c>
      <c r="AE25" s="157">
        <f t="shared" si="87"/>
        <v>-6773.4556172329512</v>
      </c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>
        <f t="shared" ref="BJ25:CL25" si="88">+BJ24-BJ62</f>
        <v>-4.4800000000002456</v>
      </c>
      <c r="BK25" s="156">
        <f t="shared" si="88"/>
        <v>3.0000000000995897E-3</v>
      </c>
      <c r="BL25" s="156">
        <f t="shared" si="88"/>
        <v>-5.0000000001375611E-3</v>
      </c>
      <c r="BM25" s="156">
        <f t="shared" si="88"/>
        <v>0</v>
      </c>
      <c r="BN25" s="156">
        <f t="shared" si="88"/>
        <v>0</v>
      </c>
      <c r="BO25" s="156">
        <f t="shared" si="88"/>
        <v>0</v>
      </c>
      <c r="BP25" s="156">
        <f t="shared" si="88"/>
        <v>0</v>
      </c>
      <c r="BQ25" s="156">
        <f t="shared" si="88"/>
        <v>0</v>
      </c>
      <c r="BR25" s="156">
        <f t="shared" si="88"/>
        <v>0</v>
      </c>
      <c r="BS25" s="156">
        <f t="shared" si="88"/>
        <v>0</v>
      </c>
      <c r="BT25" s="156">
        <f t="shared" si="88"/>
        <v>0</v>
      </c>
      <c r="BU25" s="156">
        <f t="shared" si="88"/>
        <v>0</v>
      </c>
      <c r="BV25" s="156">
        <f t="shared" si="88"/>
        <v>0</v>
      </c>
      <c r="BW25" s="156">
        <f t="shared" si="88"/>
        <v>0</v>
      </c>
      <c r="BX25" s="156">
        <f t="shared" si="88"/>
        <v>0</v>
      </c>
      <c r="BY25" s="156">
        <f t="shared" si="88"/>
        <v>0</v>
      </c>
      <c r="BZ25" s="156">
        <f t="shared" si="88"/>
        <v>0</v>
      </c>
      <c r="CA25" s="156">
        <f t="shared" si="88"/>
        <v>0</v>
      </c>
      <c r="CB25" s="156">
        <f t="shared" si="88"/>
        <v>-1.9999999998390194E-3</v>
      </c>
      <c r="CC25" s="156">
        <f t="shared" si="88"/>
        <v>4.9999999998817657E-3</v>
      </c>
      <c r="CD25" s="156">
        <f t="shared" si="88"/>
        <v>-1.0000000004311005E-3</v>
      </c>
      <c r="CE25" s="156">
        <f t="shared" si="88"/>
        <v>2.00000000018008E-3</v>
      </c>
      <c r="CF25" s="156">
        <f t="shared" si="88"/>
        <v>3.0000000004974936E-3</v>
      </c>
      <c r="CG25" s="156">
        <f t="shared" si="88"/>
        <v>-2.9999999998153726E-3</v>
      </c>
      <c r="CH25" s="156">
        <f t="shared" si="88"/>
        <v>2.9999999998153726E-3</v>
      </c>
      <c r="CI25" s="156">
        <f t="shared" si="88"/>
        <v>3.0000000000427463E-3</v>
      </c>
      <c r="CJ25" s="156">
        <f t="shared" si="88"/>
        <v>9.0000000002419256E-3</v>
      </c>
      <c r="CK25" s="156">
        <f t="shared" si="88"/>
        <v>-8.9999999991050572E-3</v>
      </c>
      <c r="CL25" s="156">
        <f t="shared" si="88"/>
        <v>1.9999999999527063E-3</v>
      </c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E25" s="159"/>
    </row>
    <row r="26" spans="1:110" s="192" customFormat="1" x14ac:dyDescent="0.2">
      <c r="A26" s="151" t="s">
        <v>539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1"/>
      <c r="BN26" s="191"/>
      <c r="BO26" s="191"/>
      <c r="BP26" s="191"/>
      <c r="BQ26" s="191"/>
      <c r="BR26" s="191"/>
      <c r="BS26" s="191"/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1"/>
      <c r="CN26" s="191"/>
      <c r="CO26" s="191"/>
      <c r="CP26" s="191"/>
      <c r="CQ26" s="191"/>
      <c r="CR26" s="191"/>
      <c r="CS26" s="191"/>
      <c r="CT26" s="191"/>
      <c r="CU26" s="191"/>
      <c r="CV26" s="191"/>
      <c r="CW26" s="191"/>
      <c r="CX26" s="191"/>
      <c r="CY26" s="191"/>
      <c r="CZ26" s="191"/>
      <c r="DA26" s="191"/>
      <c r="DB26" s="191"/>
      <c r="DE26" s="191"/>
    </row>
    <row r="27" spans="1:110" s="158" customFormat="1" x14ac:dyDescent="0.2">
      <c r="A27" s="205" t="s">
        <v>535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210">
        <f t="shared" ref="U27:AE27" si="89">+U19/U5</f>
        <v>0.12231483140619565</v>
      </c>
      <c r="V27" s="210">
        <f t="shared" si="89"/>
        <v>0.12083151399096204</v>
      </c>
      <c r="W27" s="210">
        <f t="shared" si="89"/>
        <v>9.7957996296025224E-2</v>
      </c>
      <c r="X27" s="210">
        <f t="shared" si="89"/>
        <v>0.13088798105981839</v>
      </c>
      <c r="Y27" s="210">
        <f t="shared" si="89"/>
        <v>0.14605982905506965</v>
      </c>
      <c r="Z27" s="210">
        <f t="shared" si="89"/>
        <v>0.13461827559393769</v>
      </c>
      <c r="AA27" s="211">
        <f t="shared" si="89"/>
        <v>0.13621365492026416</v>
      </c>
      <c r="AB27" s="211">
        <f t="shared" si="89"/>
        <v>0</v>
      </c>
      <c r="AC27" s="211">
        <f t="shared" si="89"/>
        <v>0</v>
      </c>
      <c r="AD27" s="211">
        <f t="shared" si="89"/>
        <v>0</v>
      </c>
      <c r="AE27" s="211">
        <f t="shared" si="89"/>
        <v>0</v>
      </c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87" t="e">
        <f t="shared" ref="BJ27:CL27" si="90">+BJ19/BJ5</f>
        <v>#DIV/0!</v>
      </c>
      <c r="BK27" s="187">
        <f t="shared" si="90"/>
        <v>0.11370451117258731</v>
      </c>
      <c r="BL27" s="187">
        <f t="shared" si="90"/>
        <v>0.10463694678410337</v>
      </c>
      <c r="BM27" s="187">
        <f t="shared" si="90"/>
        <v>0.11906122674729448</v>
      </c>
      <c r="BN27" s="187">
        <f t="shared" si="90"/>
        <v>0.15195050899201307</v>
      </c>
      <c r="BO27" s="187">
        <f t="shared" si="90"/>
        <v>2.9580349244434749E-2</v>
      </c>
      <c r="BP27" s="187">
        <f t="shared" si="90"/>
        <v>0.13910358871056033</v>
      </c>
      <c r="BQ27" s="187">
        <f t="shared" si="90"/>
        <v>0.1276975802263994</v>
      </c>
      <c r="BR27" s="187">
        <f t="shared" si="90"/>
        <v>0.13081228529427949</v>
      </c>
      <c r="BS27" s="187">
        <f t="shared" si="90"/>
        <v>6.5982359629982473E-2</v>
      </c>
      <c r="BT27" s="187">
        <f t="shared" si="90"/>
        <v>8.7710419774131687E-2</v>
      </c>
      <c r="BU27" s="187">
        <f t="shared" si="90"/>
        <v>0.1030159132441409</v>
      </c>
      <c r="BV27" s="187">
        <f t="shared" si="90"/>
        <v>0.115976745894091</v>
      </c>
      <c r="BW27" s="187">
        <f t="shared" si="90"/>
        <v>0.11525591410364593</v>
      </c>
      <c r="BX27" s="187">
        <f t="shared" si="90"/>
        <v>0.11730448687544889</v>
      </c>
      <c r="BY27" s="187">
        <f t="shared" si="90"/>
        <v>0.13744430380125622</v>
      </c>
      <c r="BZ27" s="187">
        <f t="shared" si="90"/>
        <v>0.14456790846950351</v>
      </c>
      <c r="CA27" s="187">
        <f t="shared" si="90"/>
        <v>0.1477907509805364</v>
      </c>
      <c r="CB27" s="187">
        <f t="shared" si="90"/>
        <v>0.14579073251504721</v>
      </c>
      <c r="CC27" s="187">
        <f t="shared" si="90"/>
        <v>0.14021662343862942</v>
      </c>
      <c r="CD27" s="187">
        <f t="shared" si="90"/>
        <v>0.14966159515043503</v>
      </c>
      <c r="CE27" s="187">
        <f t="shared" si="90"/>
        <v>0.12599296064939594</v>
      </c>
      <c r="CF27" s="187">
        <f t="shared" si="90"/>
        <v>0.12273318086142039</v>
      </c>
      <c r="CG27" s="187">
        <f t="shared" si="90"/>
        <v>0.13267130267902189</v>
      </c>
      <c r="CH27" s="187">
        <f t="shared" si="90"/>
        <v>0.15102672889336502</v>
      </c>
      <c r="CI27" s="187">
        <f t="shared" si="90"/>
        <v>0.14693608231649005</v>
      </c>
      <c r="CJ27" s="187">
        <f t="shared" si="90"/>
        <v>0.1509823180985147</v>
      </c>
      <c r="CK27" s="187">
        <f t="shared" si="90"/>
        <v>0.12150079604473027</v>
      </c>
      <c r="CL27" s="187">
        <f t="shared" si="90"/>
        <v>0.13115157914617745</v>
      </c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E27" s="159"/>
    </row>
    <row r="28" spans="1:110" s="158" customFormat="1" x14ac:dyDescent="0.2">
      <c r="A28" s="155" t="s">
        <v>540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210">
        <f t="shared" ref="U28:AE28" si="91">+U20/U6</f>
        <v>2.014169798223988E-2</v>
      </c>
      <c r="V28" s="210">
        <f t="shared" si="91"/>
        <v>5.4733055477657132E-2</v>
      </c>
      <c r="W28" s="210">
        <f t="shared" si="91"/>
        <v>1.5641193258821091E-2</v>
      </c>
      <c r="X28" s="210">
        <f t="shared" si="91"/>
        <v>-4.4419203056041169E-3</v>
      </c>
      <c r="Y28" s="210">
        <f t="shared" si="91"/>
        <v>-7.2529437173107433E-2</v>
      </c>
      <c r="Z28" s="210">
        <f t="shared" si="91"/>
        <v>-2.3136712886590274E-2</v>
      </c>
      <c r="AA28" s="211">
        <f t="shared" si="91"/>
        <v>2.6501715555985114E-2</v>
      </c>
      <c r="AB28" s="211">
        <f t="shared" si="91"/>
        <v>0</v>
      </c>
      <c r="AC28" s="211">
        <f t="shared" si="91"/>
        <v>0</v>
      </c>
      <c r="AD28" s="211">
        <f t="shared" si="91"/>
        <v>0</v>
      </c>
      <c r="AE28" s="211">
        <f t="shared" si="91"/>
        <v>0</v>
      </c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87" t="e">
        <f t="shared" ref="BJ28:CL28" si="92">+BJ20/BJ6</f>
        <v>#DIV/0!</v>
      </c>
      <c r="BK28" s="187">
        <f t="shared" si="92"/>
        <v>3.6527968678412258E-2</v>
      </c>
      <c r="BL28" s="187">
        <f t="shared" si="92"/>
        <v>3.3483283917799811E-2</v>
      </c>
      <c r="BM28" s="187">
        <f t="shared" si="92"/>
        <v>6.4635272391505077E-3</v>
      </c>
      <c r="BN28" s="187">
        <f t="shared" si="92"/>
        <v>6.0020734435532275E-4</v>
      </c>
      <c r="BO28" s="187">
        <f t="shared" si="92"/>
        <v>-4.0348330914368645E-2</v>
      </c>
      <c r="BP28" s="187">
        <f t="shared" si="92"/>
        <v>8.0464010493523516E-2</v>
      </c>
      <c r="BQ28" s="187">
        <f t="shared" si="92"/>
        <v>5.9441589473339662E-2</v>
      </c>
      <c r="BR28" s="187">
        <f t="shared" si="92"/>
        <v>7.0262945450351749E-2</v>
      </c>
      <c r="BS28" s="187">
        <f t="shared" si="92"/>
        <v>-7.4682092974775904E-2</v>
      </c>
      <c r="BT28" s="187">
        <f t="shared" si="92"/>
        <v>5.0156008514857256E-2</v>
      </c>
      <c r="BU28" s="187">
        <f t="shared" si="92"/>
        <v>1.842167117170055E-2</v>
      </c>
      <c r="BV28" s="187">
        <f t="shared" si="92"/>
        <v>2.7636401993618314E-2</v>
      </c>
      <c r="BW28" s="187">
        <f t="shared" si="92"/>
        <v>2.0898912867110177E-2</v>
      </c>
      <c r="BX28" s="187">
        <f t="shared" si="92"/>
        <v>-8.7768134927132795E-3</v>
      </c>
      <c r="BY28" s="187">
        <f t="shared" si="92"/>
        <v>-6.9883040935672519E-3</v>
      </c>
      <c r="BZ28" s="187">
        <f t="shared" si="92"/>
        <v>-2.283628643321451E-2</v>
      </c>
      <c r="CA28" s="187">
        <f t="shared" si="92"/>
        <v>-1.8028616852146264E-2</v>
      </c>
      <c r="CB28" s="187">
        <f t="shared" si="92"/>
        <v>-1.8244303958589673E-2</v>
      </c>
      <c r="CC28" s="187">
        <f t="shared" si="92"/>
        <v>-0.12357391982551094</v>
      </c>
      <c r="CD28" s="187">
        <f t="shared" si="92"/>
        <v>-0.12819080912944172</v>
      </c>
      <c r="CE28" s="187">
        <f t="shared" si="92"/>
        <v>-7.2894427597155823E-3</v>
      </c>
      <c r="CF28" s="187">
        <f t="shared" si="92"/>
        <v>-6.3520094990843046E-2</v>
      </c>
      <c r="CG28" s="187">
        <f t="shared" si="92"/>
        <v>-3.0200200389436074E-2</v>
      </c>
      <c r="CH28" s="187">
        <f t="shared" si="92"/>
        <v>4.0336303934050141E-3</v>
      </c>
      <c r="CI28" s="187">
        <f t="shared" si="92"/>
        <v>2.1025979744605901E-2</v>
      </c>
      <c r="CJ28" s="187">
        <f t="shared" si="92"/>
        <v>4.8652760823027792E-3</v>
      </c>
      <c r="CK28" s="187">
        <f t="shared" si="92"/>
        <v>2.7732202168954341E-2</v>
      </c>
      <c r="CL28" s="187">
        <f t="shared" si="92"/>
        <v>4.4078439415142598E-2</v>
      </c>
      <c r="CM28" s="157"/>
      <c r="CN28" s="157"/>
      <c r="CO28" s="157"/>
      <c r="CP28" s="157"/>
      <c r="CQ28" s="157"/>
      <c r="CR28" s="157"/>
      <c r="CS28" s="157"/>
      <c r="CT28" s="157"/>
      <c r="CU28" s="157"/>
      <c r="CV28" s="157"/>
      <c r="CW28" s="157"/>
      <c r="CX28" s="157"/>
      <c r="CY28" s="157"/>
      <c r="CZ28" s="157"/>
      <c r="DA28" s="157"/>
      <c r="DB28" s="157"/>
      <c r="DE28" s="159"/>
    </row>
    <row r="29" spans="1:110" s="158" customFormat="1" x14ac:dyDescent="0.2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7"/>
      <c r="AB29" s="157"/>
      <c r="AC29" s="157"/>
      <c r="AD29" s="157"/>
      <c r="AE29" s="157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56"/>
      <c r="CG29" s="156"/>
      <c r="CH29" s="156"/>
      <c r="CI29" s="156"/>
      <c r="CJ29" s="156"/>
      <c r="CK29" s="156"/>
      <c r="CL29" s="156"/>
      <c r="CM29" s="157"/>
      <c r="CN29" s="157"/>
      <c r="CO29" s="157"/>
      <c r="CP29" s="157"/>
      <c r="CQ29" s="157"/>
      <c r="CR29" s="157"/>
      <c r="CS29" s="157"/>
      <c r="CT29" s="157"/>
      <c r="CU29" s="157"/>
      <c r="CV29" s="157"/>
      <c r="CW29" s="157"/>
      <c r="CX29" s="157"/>
      <c r="CY29" s="157"/>
      <c r="CZ29" s="157"/>
      <c r="DA29" s="157"/>
      <c r="DB29" s="157"/>
      <c r="DE29" s="159"/>
    </row>
    <row r="30" spans="1:110" s="106" customFormat="1" x14ac:dyDescent="0.2">
      <c r="A30" s="151" t="s">
        <v>500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5"/>
      <c r="AB30" s="105"/>
      <c r="AC30" s="105"/>
      <c r="AD30" s="105"/>
      <c r="AE30" s="105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  <c r="DA30" s="105"/>
      <c r="DB30" s="105"/>
      <c r="DE30" s="118"/>
    </row>
    <row r="31" spans="1:110" s="106" customFormat="1" x14ac:dyDescent="0.2">
      <c r="A31" s="151" t="s">
        <v>485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05"/>
      <c r="AC31" s="105"/>
      <c r="AD31" s="105"/>
      <c r="AE31" s="105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60"/>
      <c r="CK31" s="160"/>
      <c r="CL31" s="160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E31" s="118"/>
    </row>
    <row r="32" spans="1:110" s="25" customFormat="1" outlineLevel="1" x14ac:dyDescent="0.2">
      <c r="A32" s="25" t="s">
        <v>430</v>
      </c>
      <c r="B32" s="25">
        <f>'Annual Raw'!C6</f>
        <v>0</v>
      </c>
      <c r="C32" s="25">
        <f>'Annual Raw'!D6</f>
        <v>0</v>
      </c>
      <c r="D32" s="25">
        <f>'Annual Raw'!E6</f>
        <v>0</v>
      </c>
      <c r="E32" s="25">
        <f>'Annual Raw'!F6</f>
        <v>0</v>
      </c>
      <c r="F32" s="25">
        <f>'Annual Raw'!G6</f>
        <v>0</v>
      </c>
      <c r="G32" s="25">
        <f>'Annual Raw'!H6</f>
        <v>0</v>
      </c>
      <c r="H32" s="25">
        <f>'Annual Raw'!I6</f>
        <v>0</v>
      </c>
      <c r="I32" s="25">
        <f>'Annual Raw'!J6</f>
        <v>2467.3474289999999</v>
      </c>
      <c r="J32" s="25">
        <f>'Annual Raw'!K6</f>
        <v>2486.0061943000001</v>
      </c>
      <c r="K32" s="25">
        <f>'Annual Raw'!L6</f>
        <v>2513.9245679999999</v>
      </c>
      <c r="L32" s="25">
        <f>'Annual Raw'!M6</f>
        <v>0</v>
      </c>
      <c r="M32" s="25">
        <f>'Annual Raw'!N6</f>
        <v>3775.596</v>
      </c>
      <c r="N32" s="25">
        <f>'Annual Raw'!O6</f>
        <v>3719.473</v>
      </c>
      <c r="O32" s="25">
        <f>'Annual Raw'!P6</f>
        <v>4247.8320000000003</v>
      </c>
      <c r="P32" s="25">
        <f>'Annual Raw'!Q6</f>
        <v>5113.4340000000002</v>
      </c>
      <c r="Q32" s="25">
        <f>'Annual Raw'!R6</f>
        <v>5719.29</v>
      </c>
      <c r="R32" s="25">
        <f>'Annual Raw'!S6</f>
        <v>6047.0079999999998</v>
      </c>
      <c r="S32" s="25">
        <f>'Annual Raw'!T6</f>
        <v>6914.9520000000002</v>
      </c>
      <c r="T32" s="25">
        <f>'Annual Raw'!U6</f>
        <v>7985.5519999999997</v>
      </c>
      <c r="U32" s="25">
        <f>'Annual Raw'!V6</f>
        <v>8829.9549999999999</v>
      </c>
      <c r="V32" s="25">
        <f>'Annual Raw'!W6</f>
        <v>8792.2340000000004</v>
      </c>
      <c r="W32" s="25">
        <f>'Annual Raw'!X6</f>
        <v>12203.761</v>
      </c>
      <c r="X32" s="25">
        <f>'Annual Raw'!Y6</f>
        <v>14107.778</v>
      </c>
      <c r="Y32" s="25">
        <f>'Annual Raw'!Z6</f>
        <v>18039.444</v>
      </c>
      <c r="Z32" s="25">
        <f>'Annual Raw'!AA6</f>
        <v>22408.312999999998</v>
      </c>
      <c r="AA32" s="25">
        <f>'Annual Raw'!AB6</f>
        <v>28883.792000000001</v>
      </c>
      <c r="AB32" s="17">
        <f>+SUM(CM32:CP32)</f>
        <v>35703.563450000001</v>
      </c>
      <c r="AC32" s="17">
        <f>+SUM(CQ32:CT32)</f>
        <v>42557.769032135926</v>
      </c>
      <c r="AD32" s="17">
        <f>+SUM(CU32:CX32)</f>
        <v>48730.492953935587</v>
      </c>
      <c r="AE32" s="17">
        <f>+SUM(CY32:DB32)</f>
        <v>55810.658054246887</v>
      </c>
      <c r="AI32" s="25">
        <f>'QTR Raw'!C6+'QTR Raw'!C8</f>
        <v>0</v>
      </c>
      <c r="AJ32" s="25">
        <f>'QTR Raw'!D6+'QTR Raw'!D8</f>
        <v>0</v>
      </c>
      <c r="AK32" s="25">
        <f>'QTR Raw'!E6+'QTR Raw'!E8</f>
        <v>0</v>
      </c>
      <c r="AL32" s="25">
        <f>'QTR Raw'!F6+'QTR Raw'!F8</f>
        <v>0</v>
      </c>
      <c r="AM32" s="25">
        <f>'QTR Raw'!G6+'QTR Raw'!G8</f>
        <v>0</v>
      </c>
      <c r="AN32" s="25">
        <f>'QTR Raw'!H6+'QTR Raw'!H8</f>
        <v>0</v>
      </c>
      <c r="AO32" s="25">
        <f>'QTR Raw'!I6+'QTR Raw'!I8</f>
        <v>0</v>
      </c>
      <c r="AP32" s="25">
        <f>'QTR Raw'!J6+'QTR Raw'!J8</f>
        <v>0</v>
      </c>
      <c r="AQ32" s="25">
        <f>'QTR Raw'!K6+'QTR Raw'!K8</f>
        <v>0</v>
      </c>
      <c r="AR32" s="25">
        <f>'QTR Raw'!L6+'QTR Raw'!L8</f>
        <v>0</v>
      </c>
      <c r="AS32" s="25">
        <f>'QTR Raw'!M6+'QTR Raw'!M8</f>
        <v>0</v>
      </c>
      <c r="AT32" s="25">
        <f>'QTR Raw'!N6+'QTR Raw'!N8</f>
        <v>0</v>
      </c>
      <c r="AU32" s="25">
        <f>'QTR Raw'!O6+'QTR Raw'!O8</f>
        <v>0</v>
      </c>
      <c r="AV32" s="25">
        <f>'QTR Raw'!P6+'QTR Raw'!P8</f>
        <v>0</v>
      </c>
      <c r="AW32" s="25">
        <f>'QTR Raw'!Q6+'QTR Raw'!Q8</f>
        <v>0</v>
      </c>
      <c r="AX32" s="25">
        <f>'QTR Raw'!R6+'QTR Raw'!R8</f>
        <v>0</v>
      </c>
      <c r="AY32" s="25">
        <f>'QTR Raw'!S6+'QTR Raw'!S8</f>
        <v>0</v>
      </c>
      <c r="AZ32" s="25">
        <f>'QTR Raw'!T6+'QTR Raw'!T8</f>
        <v>0</v>
      </c>
      <c r="BA32" s="25">
        <f>'QTR Raw'!U6+'QTR Raw'!U8</f>
        <v>0</v>
      </c>
      <c r="BB32" s="25">
        <f>'QTR Raw'!V6+'QTR Raw'!V8</f>
        <v>0</v>
      </c>
      <c r="BC32" s="25">
        <f>'QTR Raw'!W6+'QTR Raw'!W8</f>
        <v>0</v>
      </c>
      <c r="BD32" s="25">
        <f>'QTR Raw'!X6+'QTR Raw'!X8</f>
        <v>0</v>
      </c>
      <c r="BE32" s="25">
        <f>'QTR Raw'!Y6+'QTR Raw'!Y8</f>
        <v>0</v>
      </c>
      <c r="BF32" s="25">
        <f>'QTR Raw'!Z6+'QTR Raw'!Z8</f>
        <v>2110.2460000000001</v>
      </c>
      <c r="BG32" s="25">
        <f>'QTR Raw'!AA6+'QTR Raw'!AA8</f>
        <v>1682.646</v>
      </c>
      <c r="BH32" s="25">
        <f>'QTR Raw'!AB6+'QTR Raw'!AB8</f>
        <v>1811.855</v>
      </c>
      <c r="BI32" s="25">
        <f>'QTR Raw'!AC6+'QTR Raw'!AC8</f>
        <v>2024.838</v>
      </c>
      <c r="BJ32" s="25">
        <f>'QTR Raw'!AD6+'QTR Raw'!AD8</f>
        <v>2463.643</v>
      </c>
      <c r="BK32" s="25">
        <f>'QTR Raw'!AE6+'QTR Raw'!AE8</f>
        <v>1951.3240000000001</v>
      </c>
      <c r="BL32" s="25">
        <f>'QTR Raw'!AF6+'QTR Raw'!AF8</f>
        <v>2241.9430000000002</v>
      </c>
      <c r="BM32" s="25">
        <f>'QTR Raw'!AG6+'QTR Raw'!AG8</f>
        <v>2507.3069999999998</v>
      </c>
      <c r="BN32" s="25">
        <f>'QTR Raw'!AH6+'QTR Raw'!AH8</f>
        <v>2129.3809999999999</v>
      </c>
      <c r="BO32" s="25">
        <f>'QTR Raw'!AI6+'QTR Raw'!AI8</f>
        <v>976.59500000000003</v>
      </c>
      <c r="BP32" s="25">
        <f>'QTR Raw'!AJ6+'QTR Raw'!AJ8</f>
        <v>2113.6819999999998</v>
      </c>
      <c r="BQ32" s="25">
        <f>'QTR Raw'!AK6+'QTR Raw'!AK8</f>
        <v>2746.34</v>
      </c>
      <c r="BR32" s="25">
        <f>'QTR Raw'!AL6+'QTR Raw'!AL8</f>
        <v>2942.741</v>
      </c>
      <c r="BS32" s="25">
        <f>'QTR Raw'!AM6+'QTR Raw'!AM8</f>
        <v>1855.2280000000001</v>
      </c>
      <c r="BT32" s="25">
        <f>'QTR Raw'!AN6+'QTR Raw'!AN8</f>
        <v>3006.5549999999998</v>
      </c>
      <c r="BU32" s="25">
        <f>'QTR Raw'!AO6+'QTR Raw'!AO8</f>
        <v>3371.9960000000001</v>
      </c>
      <c r="BV32" s="25">
        <f>'QTR Raw'!AP6+'QTR Raw'!AP8</f>
        <v>3969.982</v>
      </c>
      <c r="BW32" s="25">
        <f>'QTR Raw'!AQ6+'QTR Raw'!AQ8</f>
        <v>2736.5569999999998</v>
      </c>
      <c r="BX32" s="25">
        <f>'QTR Raw'!AR6+'QTR Raw'!AR8</f>
        <v>3332.3580000000002</v>
      </c>
      <c r="BY32" s="25">
        <f>'QTR Raw'!AS6+'QTR Raw'!AS8</f>
        <v>3715.1819999999998</v>
      </c>
      <c r="BZ32" s="25">
        <f>'QTR Raw'!AT6+'QTR Raw'!AT8</f>
        <v>4323.6809999999996</v>
      </c>
      <c r="CA32" s="25">
        <f>'QTR Raw'!AU6+'QTR Raw'!AU8</f>
        <v>3889.3820000000001</v>
      </c>
      <c r="CB32" s="25">
        <f>'QTR Raw'!AV6+'QTR Raw'!AV8</f>
        <v>4217.6970000000001</v>
      </c>
      <c r="CC32" s="25">
        <f>'QTR Raw'!AW6+'QTR Raw'!AW8</f>
        <v>4340.47</v>
      </c>
      <c r="CD32" s="25">
        <f>'QTR Raw'!AX6+'QTR Raw'!AX8</f>
        <v>5591.8950000000004</v>
      </c>
      <c r="CE32" s="25">
        <f>'QTR Raw'!AY6+'QTR Raw'!AY8</f>
        <v>4698.03</v>
      </c>
      <c r="CF32" s="25">
        <f>'QTR Raw'!AZ6+'QTR Raw'!AZ8</f>
        <v>5498.4229999999998</v>
      </c>
      <c r="CG32" s="25">
        <f>'QTR Raw'!BA6+'QTR Raw'!BA8</f>
        <v>5226.0619999999999</v>
      </c>
      <c r="CH32" s="25">
        <f>'QTR Raw'!BB6+'QTR Raw'!BB8</f>
        <v>6985.7979999999998</v>
      </c>
      <c r="CI32" s="25">
        <f>'QTR Raw'!BC6+'QTR Raw'!BC8</f>
        <v>5905.9759999999997</v>
      </c>
      <c r="CJ32" s="25">
        <f>'QTR Raw'!BD6+'QTR Raw'!BD8</f>
        <v>6477.2110000000002</v>
      </c>
      <c r="CK32" s="25">
        <f>'QTR Raw'!BE6+'QTR Raw'!BE8</f>
        <v>7636.1279999999997</v>
      </c>
      <c r="CL32" s="25">
        <f>'QTR Raw'!BF6+'QTR Raw'!BF8</f>
        <v>8864.4770000000008</v>
      </c>
      <c r="CM32" s="17">
        <f t="shared" ref="CM32:DB32" si="93">+CM10</f>
        <v>7341.902</v>
      </c>
      <c r="CN32" s="17">
        <f t="shared" si="93"/>
        <v>7969.9261200000001</v>
      </c>
      <c r="CO32" s="17">
        <f t="shared" si="93"/>
        <v>9482.2489000000005</v>
      </c>
      <c r="CP32" s="17">
        <f t="shared" si="93"/>
        <v>10909.486429999999</v>
      </c>
      <c r="CQ32" s="17">
        <f t="shared" si="93"/>
        <v>8853.5597999999973</v>
      </c>
      <c r="CR32" s="17">
        <f t="shared" si="93"/>
        <v>9538.372672559999</v>
      </c>
      <c r="CS32" s="17">
        <f t="shared" si="93"/>
        <v>11286.121788384</v>
      </c>
      <c r="CT32" s="17">
        <f t="shared" si="93"/>
        <v>12879.714771191935</v>
      </c>
      <c r="CU32" s="17">
        <f t="shared" si="93"/>
        <v>10137.765102238078</v>
      </c>
      <c r="CV32" s="17">
        <f t="shared" si="93"/>
        <v>10920.483710201448</v>
      </c>
      <c r="CW32" s="17">
        <f t="shared" si="93"/>
        <v>12928.069713878584</v>
      </c>
      <c r="CX32" s="17">
        <f t="shared" si="93"/>
        <v>14744.174427617478</v>
      </c>
      <c r="CY32" s="17">
        <f t="shared" si="93"/>
        <v>11610.594162654628</v>
      </c>
      <c r="CZ32" s="17">
        <f t="shared" si="93"/>
        <v>12505.683822879728</v>
      </c>
      <c r="DA32" s="17">
        <f t="shared" si="93"/>
        <v>14811.838673532864</v>
      </c>
      <c r="DB32" s="17">
        <f t="shared" si="93"/>
        <v>16882.541395179669</v>
      </c>
      <c r="DE32" s="119"/>
      <c r="DF32" s="25">
        <v>8949.6599249508618</v>
      </c>
    </row>
    <row r="33" spans="1:110" s="92" customFormat="1" outlineLevel="1" x14ac:dyDescent="0.2">
      <c r="A33" s="92" t="s">
        <v>109</v>
      </c>
      <c r="B33" s="92">
        <f>'Annual Raw'!C7+'Annual Raw'!C8+'Annual Raw'!C9</f>
        <v>0</v>
      </c>
      <c r="C33" s="92">
        <f>'Annual Raw'!D7+'Annual Raw'!D8+'Annual Raw'!D9</f>
        <v>0</v>
      </c>
      <c r="D33" s="92">
        <f>'Annual Raw'!E7+'Annual Raw'!E8+'Annual Raw'!E9</f>
        <v>0</v>
      </c>
      <c r="E33" s="92">
        <f>'Annual Raw'!F7+'Annual Raw'!F8+'Annual Raw'!F9</f>
        <v>0</v>
      </c>
      <c r="F33" s="92">
        <f>'Annual Raw'!G7+'Annual Raw'!G8+'Annual Raw'!G9</f>
        <v>0</v>
      </c>
      <c r="G33" s="92">
        <f>'Annual Raw'!H7+'Annual Raw'!H8+'Annual Raw'!H9</f>
        <v>0</v>
      </c>
      <c r="H33" s="92">
        <f>'Annual Raw'!I7+'Annual Raw'!I8+'Annual Raw'!I9</f>
        <v>0</v>
      </c>
      <c r="I33" s="92">
        <f>'Annual Raw'!J7+'Annual Raw'!J8+'Annual Raw'!J9</f>
        <v>331.16070239999999</v>
      </c>
      <c r="J33" s="92">
        <f>'Annual Raw'!K7+'Annual Raw'!K8+'Annual Raw'!K9</f>
        <v>246.17237979999999</v>
      </c>
      <c r="K33" s="92">
        <f>'Annual Raw'!L7+'Annual Raw'!L8+'Annual Raw'!L9</f>
        <v>0</v>
      </c>
      <c r="L33" s="92">
        <f>'Annual Raw'!M7+'Annual Raw'!M8+'Annual Raw'!M9</f>
        <v>0</v>
      </c>
      <c r="M33" s="92">
        <f>'Annual Raw'!N7+'Annual Raw'!N8+'Annual Raw'!N9</f>
        <v>0</v>
      </c>
      <c r="N33" s="92">
        <f>'Annual Raw'!O7+'Annual Raw'!O8+'Annual Raw'!O9</f>
        <v>0</v>
      </c>
      <c r="O33" s="92">
        <f>'Annual Raw'!P7+'Annual Raw'!P8+'Annual Raw'!P9</f>
        <v>405.51400000000001</v>
      </c>
      <c r="P33" s="92">
        <f>'Annual Raw'!Q7+'Annual Raw'!Q8+'Annual Raw'!Q9</f>
        <v>405.31799999999998</v>
      </c>
      <c r="Q33" s="92">
        <f>'Annual Raw'!R7+'Annual Raw'!R8+'Annual Raw'!R9</f>
        <v>532.46</v>
      </c>
      <c r="R33" s="92">
        <f>'Annual Raw'!S7+'Annual Raw'!S8+'Annual Raw'!S9</f>
        <v>546.89099999999996</v>
      </c>
      <c r="S33" s="92">
        <f>'Annual Raw'!T7+'Annual Raw'!T8+'Annual Raw'!T9</f>
        <v>144.64699999999999</v>
      </c>
      <c r="T33" s="92">
        <f>'Annual Raw'!U7+'Annual Raw'!U8+'Annual Raw'!U9</f>
        <v>0</v>
      </c>
      <c r="U33" s="92">
        <f>'Annual Raw'!V7+'Annual Raw'!V8+'Annual Raw'!V9</f>
        <v>0</v>
      </c>
      <c r="V33" s="92">
        <f>'Annual Raw'!W7+'Annual Raw'!W8+'Annual Raw'!W9</f>
        <v>0</v>
      </c>
      <c r="W33" s="92">
        <f>'Annual Raw'!X7+'Annual Raw'!X8+'Annual Raw'!X9</f>
        <v>0</v>
      </c>
      <c r="X33" s="92">
        <f>'Annual Raw'!Y7+'Annual Raw'!Y8+'Annual Raw'!Y9</f>
        <v>0</v>
      </c>
      <c r="Y33" s="92">
        <f>'Annual Raw'!Z7+'Annual Raw'!Z8+'Annual Raw'!Z9</f>
        <v>0</v>
      </c>
      <c r="Z33" s="92">
        <f>'Annual Raw'!AA7+'Annual Raw'!AA8+'Annual Raw'!AA9</f>
        <v>0</v>
      </c>
      <c r="AA33" s="92">
        <f>'Annual Raw'!AB7+'Annual Raw'!AB8+'Annual Raw'!AB9</f>
        <v>0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92">
        <f>+'QTR Raw'!C20+'QTR Raw'!C19+'QTR Raw'!C13+'QTR Raw'!C7</f>
        <v>0</v>
      </c>
      <c r="AJ33" s="92">
        <f>+'QTR Raw'!D20+'QTR Raw'!D19+'QTR Raw'!D13+'QTR Raw'!D7</f>
        <v>0</v>
      </c>
      <c r="AK33" s="92">
        <f>+'QTR Raw'!E20+'QTR Raw'!E19+'QTR Raw'!E13+'QTR Raw'!E7</f>
        <v>0</v>
      </c>
      <c r="AL33" s="92">
        <f>+'QTR Raw'!F20+'QTR Raw'!F19+'QTR Raw'!F13+'QTR Raw'!F7</f>
        <v>0</v>
      </c>
      <c r="AM33" s="92">
        <f>+'QTR Raw'!G20+'QTR Raw'!G19+'QTR Raw'!G13+'QTR Raw'!G7</f>
        <v>0</v>
      </c>
      <c r="AN33" s="92">
        <f>+'QTR Raw'!H20+'QTR Raw'!H19+'QTR Raw'!H13+'QTR Raw'!H7</f>
        <v>0</v>
      </c>
      <c r="AO33" s="92">
        <f>+'QTR Raw'!I20+'QTR Raw'!I19+'QTR Raw'!I13+'QTR Raw'!I7</f>
        <v>0</v>
      </c>
      <c r="AP33" s="92">
        <f>+'QTR Raw'!J20+'QTR Raw'!J19+'QTR Raw'!J13+'QTR Raw'!J7</f>
        <v>0</v>
      </c>
      <c r="AQ33" s="92">
        <f>+'QTR Raw'!K20+'QTR Raw'!K19+'QTR Raw'!K13+'QTR Raw'!K7</f>
        <v>0</v>
      </c>
      <c r="AR33" s="92">
        <f>+'QTR Raw'!L20+'QTR Raw'!L19+'QTR Raw'!L13+'QTR Raw'!L7</f>
        <v>0</v>
      </c>
      <c r="AS33" s="92">
        <f>+'QTR Raw'!M20+'QTR Raw'!M19+'QTR Raw'!M13+'QTR Raw'!M7</f>
        <v>0</v>
      </c>
      <c r="AT33" s="92">
        <f>+'QTR Raw'!N20+'QTR Raw'!N19+'QTR Raw'!N13+'QTR Raw'!N7</f>
        <v>0</v>
      </c>
      <c r="AU33" s="92">
        <f>+'QTR Raw'!O20+'QTR Raw'!O19+'QTR Raw'!O13+'QTR Raw'!O7</f>
        <v>0</v>
      </c>
      <c r="AV33" s="92">
        <f>+'QTR Raw'!P20+'QTR Raw'!P19+'QTR Raw'!P13+'QTR Raw'!P7</f>
        <v>0</v>
      </c>
      <c r="AW33" s="92">
        <f>+'QTR Raw'!Q20+'QTR Raw'!Q19+'QTR Raw'!Q13+'QTR Raw'!Q7</f>
        <v>0</v>
      </c>
      <c r="AX33" s="92">
        <f>+'QTR Raw'!R20+'QTR Raw'!R19+'QTR Raw'!R13+'QTR Raw'!R7</f>
        <v>0</v>
      </c>
      <c r="AY33" s="92">
        <f>+'QTR Raw'!S20+'QTR Raw'!S19+'QTR Raw'!S13+'QTR Raw'!S7</f>
        <v>0</v>
      </c>
      <c r="AZ33" s="92">
        <f>+'QTR Raw'!T20+'QTR Raw'!T19+'QTR Raw'!T13+'QTR Raw'!T7</f>
        <v>0</v>
      </c>
      <c r="BA33" s="92">
        <f>+'QTR Raw'!U20+'QTR Raw'!U19+'QTR Raw'!U13+'QTR Raw'!U7</f>
        <v>0</v>
      </c>
      <c r="BB33" s="92">
        <f>+'QTR Raw'!V20+'QTR Raw'!V19+'QTR Raw'!V13+'QTR Raw'!V7</f>
        <v>0</v>
      </c>
      <c r="BC33" s="92">
        <f>+'QTR Raw'!W20+'QTR Raw'!W19+'QTR Raw'!W13+'QTR Raw'!W7</f>
        <v>0</v>
      </c>
      <c r="BD33" s="92">
        <f>+'QTR Raw'!X20+'QTR Raw'!X19+'QTR Raw'!X13+'QTR Raw'!X7</f>
        <v>0</v>
      </c>
      <c r="BE33" s="92">
        <f>+'QTR Raw'!Y20+'QTR Raw'!Y19+'QTR Raw'!Y13+'QTR Raw'!Y7</f>
        <v>0</v>
      </c>
      <c r="BF33" s="92">
        <f>+'QTR Raw'!Z20+'QTR Raw'!Z19+'QTR Raw'!Z13+'QTR Raw'!Z7</f>
        <v>0</v>
      </c>
      <c r="BG33" s="92">
        <f>+'QTR Raw'!AA20+'QTR Raw'!AA19+'QTR Raw'!AA13+'QTR Raw'!AA7</f>
        <v>0</v>
      </c>
      <c r="BH33" s="92">
        <f>+'QTR Raw'!AB20+'QTR Raw'!AB19+'QTR Raw'!AB13+'QTR Raw'!AB7</f>
        <v>0</v>
      </c>
      <c r="BI33" s="92">
        <f>+'QTR Raw'!AC20+'QTR Raw'!AC19+'QTR Raw'!AC13+'QTR Raw'!AC7</f>
        <v>0</v>
      </c>
      <c r="BJ33" s="92">
        <f>+'QTR Raw'!AD20+'QTR Raw'!AD19+'QTR Raw'!AD13+'QTR Raw'!AD7</f>
        <v>0</v>
      </c>
      <c r="BK33" s="92">
        <f>+'QTR Raw'!AE20+'QTR Raw'!AE19+'QTR Raw'!AE13+'QTR Raw'!AE7</f>
        <v>0</v>
      </c>
      <c r="BL33" s="92">
        <f>+'QTR Raw'!AF20+'QTR Raw'!AF19+'QTR Raw'!AF13+'QTR Raw'!AF7</f>
        <v>0</v>
      </c>
      <c r="BM33" s="92">
        <f>+'QTR Raw'!AG20+'QTR Raw'!AG19+'QTR Raw'!AG13+'QTR Raw'!AG7</f>
        <v>0</v>
      </c>
      <c r="BN33" s="92">
        <f>+'QTR Raw'!AH20+'QTR Raw'!AH19+'QTR Raw'!AH13+'QTR Raw'!AH7</f>
        <v>0</v>
      </c>
      <c r="BO33" s="92">
        <f>+'QTR Raw'!AI20+'QTR Raw'!AI19+'QTR Raw'!AI13+'QTR Raw'!AI7</f>
        <v>0</v>
      </c>
      <c r="BP33" s="92">
        <f>+'QTR Raw'!AJ20+'QTR Raw'!AJ19+'QTR Raw'!AJ13+'QTR Raw'!AJ7</f>
        <v>0</v>
      </c>
      <c r="BQ33" s="92">
        <f>+'QTR Raw'!AK20+'QTR Raw'!AK19+'QTR Raw'!AK13+'QTR Raw'!AK7</f>
        <v>0</v>
      </c>
      <c r="BR33" s="92">
        <f>+'QTR Raw'!AL20+'QTR Raw'!AL19+'QTR Raw'!AL13+'QTR Raw'!AL7</f>
        <v>0</v>
      </c>
      <c r="BS33" s="92">
        <f>+'QTR Raw'!AM20+'QTR Raw'!AM19+'QTR Raw'!AM13+'QTR Raw'!AM7</f>
        <v>0</v>
      </c>
      <c r="BT33" s="92">
        <f>+'QTR Raw'!AN20+'QTR Raw'!AN19+'QTR Raw'!AN13+'QTR Raw'!AN7</f>
        <v>0</v>
      </c>
      <c r="BU33" s="92">
        <f>+'QTR Raw'!AO20+'QTR Raw'!AO19+'QTR Raw'!AO13+'QTR Raw'!AO7</f>
        <v>0</v>
      </c>
      <c r="BV33" s="92">
        <f>+'QTR Raw'!AP20+'QTR Raw'!AP19+'QTR Raw'!AP13+'QTR Raw'!AP7</f>
        <v>0</v>
      </c>
      <c r="BW33" s="92">
        <f>+'QTR Raw'!AQ20+'QTR Raw'!AQ19+'QTR Raw'!AQ13+'QTR Raw'!AQ7</f>
        <v>0</v>
      </c>
      <c r="BX33" s="92">
        <f>+'QTR Raw'!AR20+'QTR Raw'!AR19+'QTR Raw'!AR13+'QTR Raw'!AR7</f>
        <v>0</v>
      </c>
      <c r="BY33" s="92">
        <f>+'QTR Raw'!AS20+'QTR Raw'!AS19+'QTR Raw'!AS13+'QTR Raw'!AS7</f>
        <v>0</v>
      </c>
      <c r="BZ33" s="92">
        <f>+'QTR Raw'!AT20+'QTR Raw'!AT19+'QTR Raw'!AT13+'QTR Raw'!AT7</f>
        <v>0</v>
      </c>
      <c r="CA33" s="92">
        <f>+'QTR Raw'!AU20+'QTR Raw'!AU19+'QTR Raw'!AU13+'QTR Raw'!AU7</f>
        <v>0</v>
      </c>
      <c r="CB33" s="92">
        <f>+'QTR Raw'!AV20+'QTR Raw'!AV19+'QTR Raw'!AV13+'QTR Raw'!AV7</f>
        <v>0</v>
      </c>
      <c r="CC33" s="92">
        <f>+'QTR Raw'!AW20+'QTR Raw'!AW19+'QTR Raw'!AW13+'QTR Raw'!AW7</f>
        <v>0</v>
      </c>
      <c r="CD33" s="92">
        <f>+'QTR Raw'!AX20+'QTR Raw'!AX19+'QTR Raw'!AX13+'QTR Raw'!AX7</f>
        <v>0</v>
      </c>
      <c r="CE33" s="92">
        <f>+'QTR Raw'!AY20+'QTR Raw'!AY19+'QTR Raw'!AY13+'QTR Raw'!AY7</f>
        <v>0</v>
      </c>
      <c r="CF33" s="92">
        <f>+'QTR Raw'!AZ20+'QTR Raw'!AZ19+'QTR Raw'!AZ13+'QTR Raw'!AZ7</f>
        <v>0</v>
      </c>
      <c r="CG33" s="92">
        <f>+'QTR Raw'!BA20+'QTR Raw'!BA19+'QTR Raw'!BA13+'QTR Raw'!BA7</f>
        <v>0</v>
      </c>
      <c r="CH33" s="92">
        <f>+'QTR Raw'!BB20+'QTR Raw'!BB19+'QTR Raw'!BB13+'QTR Raw'!BB7</f>
        <v>0</v>
      </c>
      <c r="CI33" s="92">
        <f>+'QTR Raw'!BC20+'QTR Raw'!BC19+'QTR Raw'!BC13+'QTR Raw'!BC7</f>
        <v>0</v>
      </c>
      <c r="CJ33" s="92">
        <f>+'QTR Raw'!BD20+'QTR Raw'!BD19+'QTR Raw'!BD13+'QTR Raw'!BD7</f>
        <v>0</v>
      </c>
      <c r="CK33" s="92">
        <f>+'QTR Raw'!BE20+'QTR Raw'!BE19+'QTR Raw'!BE13+'QTR Raw'!BE7</f>
        <v>0</v>
      </c>
      <c r="CL33" s="92">
        <f>+'QTR Raw'!BF20+'QTR Raw'!BF19+'QTR Raw'!BF13+'QTR Raw'!BF7</f>
        <v>0</v>
      </c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E33" s="120"/>
      <c r="DF33" s="92">
        <v>0</v>
      </c>
    </row>
    <row r="34" spans="1:110" s="26" customFormat="1" x14ac:dyDescent="0.2">
      <c r="A34" s="26" t="s">
        <v>431</v>
      </c>
      <c r="B34" s="26">
        <f>+B32-B33</f>
        <v>0</v>
      </c>
      <c r="C34" s="26">
        <f>+C32-C33</f>
        <v>0</v>
      </c>
      <c r="D34" s="26">
        <f t="shared" ref="D34:U34" si="94">+D32-D33</f>
        <v>0</v>
      </c>
      <c r="E34" s="26">
        <f t="shared" si="94"/>
        <v>0</v>
      </c>
      <c r="F34" s="26">
        <f t="shared" si="94"/>
        <v>0</v>
      </c>
      <c r="G34" s="26">
        <f t="shared" si="94"/>
        <v>0</v>
      </c>
      <c r="H34" s="26">
        <f t="shared" si="94"/>
        <v>0</v>
      </c>
      <c r="I34" s="26">
        <f t="shared" si="94"/>
        <v>2136.1867265999999</v>
      </c>
      <c r="J34" s="26">
        <f t="shared" si="94"/>
        <v>2239.8338145000002</v>
      </c>
      <c r="K34" s="26">
        <f t="shared" si="94"/>
        <v>2513.9245679999999</v>
      </c>
      <c r="L34" s="26">
        <f t="shared" si="94"/>
        <v>0</v>
      </c>
      <c r="M34" s="26">
        <f t="shared" si="94"/>
        <v>3775.596</v>
      </c>
      <c r="N34" s="26">
        <f t="shared" si="94"/>
        <v>3719.473</v>
      </c>
      <c r="O34" s="26">
        <f t="shared" si="94"/>
        <v>3842.3180000000002</v>
      </c>
      <c r="P34" s="26">
        <f t="shared" si="94"/>
        <v>4708.116</v>
      </c>
      <c r="Q34" s="26">
        <f t="shared" si="94"/>
        <v>5186.83</v>
      </c>
      <c r="R34" s="26">
        <f t="shared" si="94"/>
        <v>5500.1170000000002</v>
      </c>
      <c r="S34" s="26">
        <f t="shared" si="94"/>
        <v>6770.3050000000003</v>
      </c>
      <c r="T34" s="26">
        <f t="shared" si="94"/>
        <v>7985.5519999999997</v>
      </c>
      <c r="U34" s="26">
        <f t="shared" si="94"/>
        <v>8829.9549999999999</v>
      </c>
      <c r="V34" s="26">
        <f>+V32-V33</f>
        <v>8792.2340000000004</v>
      </c>
      <c r="W34" s="26">
        <f>+W32-W33</f>
        <v>12203.761</v>
      </c>
      <c r="X34" s="26">
        <f>+X32-X33</f>
        <v>14107.778</v>
      </c>
      <c r="Y34" s="26">
        <f>+Y32-Y33</f>
        <v>18039.444</v>
      </c>
      <c r="Z34" s="26">
        <f>+Z32-Z33</f>
        <v>22408.312999999998</v>
      </c>
      <c r="AA34" s="26">
        <f>+AA32-AA33</f>
        <v>28883.792000000001</v>
      </c>
      <c r="AB34" s="27">
        <f t="shared" ref="AB34:AD34" si="95">+AB32-AB33</f>
        <v>35703.563450000001</v>
      </c>
      <c r="AC34" s="27">
        <f t="shared" si="95"/>
        <v>42557.769032135926</v>
      </c>
      <c r="AD34" s="27">
        <f t="shared" si="95"/>
        <v>48730.492953935587</v>
      </c>
      <c r="AE34" s="27">
        <f t="shared" ref="AE34" si="96">+AE32-AE33</f>
        <v>55810.658054246887</v>
      </c>
      <c r="AI34" s="26">
        <f t="shared" ref="AI34" si="97">+AI32-AI33</f>
        <v>0</v>
      </c>
      <c r="AJ34" s="26">
        <f t="shared" ref="AJ34" si="98">+AJ32-AJ33</f>
        <v>0</v>
      </c>
      <c r="AK34" s="26">
        <f t="shared" ref="AK34:AM34" si="99">+AK32-AK33</f>
        <v>0</v>
      </c>
      <c r="AL34" s="26">
        <f t="shared" si="99"/>
        <v>0</v>
      </c>
      <c r="AM34" s="26">
        <f t="shared" si="99"/>
        <v>0</v>
      </c>
      <c r="AN34" s="26">
        <f t="shared" ref="AN34:AO34" si="100">+AN32-AN33</f>
        <v>0</v>
      </c>
      <c r="AO34" s="26">
        <f t="shared" si="100"/>
        <v>0</v>
      </c>
      <c r="AP34" s="26">
        <f t="shared" ref="AP34:AW34" si="101">+AP32-AP33</f>
        <v>0</v>
      </c>
      <c r="AQ34" s="26">
        <f t="shared" si="101"/>
        <v>0</v>
      </c>
      <c r="AR34" s="26">
        <f t="shared" si="101"/>
        <v>0</v>
      </c>
      <c r="AS34" s="26">
        <f t="shared" si="101"/>
        <v>0</v>
      </c>
      <c r="AT34" s="26">
        <f t="shared" si="101"/>
        <v>0</v>
      </c>
      <c r="AU34" s="26">
        <f t="shared" si="101"/>
        <v>0</v>
      </c>
      <c r="AV34" s="26">
        <f t="shared" si="101"/>
        <v>0</v>
      </c>
      <c r="AW34" s="26">
        <f t="shared" si="101"/>
        <v>0</v>
      </c>
      <c r="AX34" s="26">
        <f t="shared" ref="AX34:CF34" si="102">+AX32-AX33</f>
        <v>0</v>
      </c>
      <c r="AY34" s="26">
        <f t="shared" si="102"/>
        <v>0</v>
      </c>
      <c r="AZ34" s="26">
        <f t="shared" si="102"/>
        <v>0</v>
      </c>
      <c r="BA34" s="26">
        <f t="shared" si="102"/>
        <v>0</v>
      </c>
      <c r="BB34" s="26">
        <f t="shared" si="102"/>
        <v>0</v>
      </c>
      <c r="BC34" s="26">
        <f t="shared" si="102"/>
        <v>0</v>
      </c>
      <c r="BD34" s="26">
        <f t="shared" si="102"/>
        <v>0</v>
      </c>
      <c r="BE34" s="26">
        <f t="shared" si="102"/>
        <v>0</v>
      </c>
      <c r="BF34" s="26">
        <f t="shared" si="102"/>
        <v>2110.2460000000001</v>
      </c>
      <c r="BG34" s="26">
        <f t="shared" si="102"/>
        <v>1682.646</v>
      </c>
      <c r="BH34" s="26">
        <f t="shared" si="102"/>
        <v>1811.855</v>
      </c>
      <c r="BI34" s="26">
        <f t="shared" si="102"/>
        <v>2024.838</v>
      </c>
      <c r="BJ34" s="26">
        <f t="shared" si="102"/>
        <v>2463.643</v>
      </c>
      <c r="BK34" s="26">
        <f t="shared" si="102"/>
        <v>1951.3240000000001</v>
      </c>
      <c r="BL34" s="26">
        <f t="shared" si="102"/>
        <v>2241.9430000000002</v>
      </c>
      <c r="BM34" s="26">
        <f t="shared" si="102"/>
        <v>2507.3069999999998</v>
      </c>
      <c r="BN34" s="26">
        <f t="shared" si="102"/>
        <v>2129.3809999999999</v>
      </c>
      <c r="BO34" s="26">
        <f t="shared" si="102"/>
        <v>976.59500000000003</v>
      </c>
      <c r="BP34" s="26">
        <f t="shared" si="102"/>
        <v>2113.6819999999998</v>
      </c>
      <c r="BQ34" s="26">
        <f t="shared" si="102"/>
        <v>2746.34</v>
      </c>
      <c r="BR34" s="26">
        <f t="shared" si="102"/>
        <v>2942.741</v>
      </c>
      <c r="BS34" s="26">
        <f t="shared" si="102"/>
        <v>1855.2280000000001</v>
      </c>
      <c r="BT34" s="26">
        <f t="shared" si="102"/>
        <v>3006.5549999999998</v>
      </c>
      <c r="BU34" s="26">
        <f t="shared" si="102"/>
        <v>3371.9960000000001</v>
      </c>
      <c r="BV34" s="26">
        <f t="shared" si="102"/>
        <v>3969.982</v>
      </c>
      <c r="BW34" s="26">
        <f t="shared" si="102"/>
        <v>2736.5569999999998</v>
      </c>
      <c r="BX34" s="26">
        <f t="shared" si="102"/>
        <v>3332.3580000000002</v>
      </c>
      <c r="BY34" s="26">
        <f t="shared" si="102"/>
        <v>3715.1819999999998</v>
      </c>
      <c r="BZ34" s="26">
        <f t="shared" si="102"/>
        <v>4323.6809999999996</v>
      </c>
      <c r="CA34" s="26">
        <f t="shared" si="102"/>
        <v>3889.3820000000001</v>
      </c>
      <c r="CB34" s="26">
        <f t="shared" si="102"/>
        <v>4217.6970000000001</v>
      </c>
      <c r="CC34" s="26">
        <f t="shared" si="102"/>
        <v>4340.47</v>
      </c>
      <c r="CD34" s="26">
        <f t="shared" si="102"/>
        <v>5591.8950000000004</v>
      </c>
      <c r="CE34" s="26">
        <f t="shared" si="102"/>
        <v>4698.03</v>
      </c>
      <c r="CF34" s="26">
        <f t="shared" si="102"/>
        <v>5498.4229999999998</v>
      </c>
      <c r="CG34" s="26">
        <f t="shared" ref="CG34:CH34" si="103">+CG32-CG33</f>
        <v>5226.0619999999999</v>
      </c>
      <c r="CH34" s="26">
        <f t="shared" si="103"/>
        <v>6985.7979999999998</v>
      </c>
      <c r="CI34" s="26">
        <f t="shared" ref="CI34:CJ34" si="104">+CI32-CI33</f>
        <v>5905.9759999999997</v>
      </c>
      <c r="CJ34" s="26">
        <f t="shared" si="104"/>
        <v>6477.2110000000002</v>
      </c>
      <c r="CK34" s="26">
        <f t="shared" ref="CK34:CL34" si="105">+CK32-CK33</f>
        <v>7636.1279999999997</v>
      </c>
      <c r="CL34" s="26">
        <f t="shared" si="105"/>
        <v>8864.4770000000008</v>
      </c>
      <c r="CM34" s="27">
        <f t="shared" ref="CM34:DB34" si="106">+CM32-CM33</f>
        <v>7341.902</v>
      </c>
      <c r="CN34" s="27">
        <f t="shared" si="106"/>
        <v>7969.9261200000001</v>
      </c>
      <c r="CO34" s="27">
        <f t="shared" si="106"/>
        <v>9482.2489000000005</v>
      </c>
      <c r="CP34" s="27">
        <f t="shared" si="106"/>
        <v>10909.486429999999</v>
      </c>
      <c r="CQ34" s="27">
        <f t="shared" si="106"/>
        <v>8853.5597999999973</v>
      </c>
      <c r="CR34" s="27">
        <f t="shared" si="106"/>
        <v>9538.372672559999</v>
      </c>
      <c r="CS34" s="27">
        <f t="shared" si="106"/>
        <v>11286.121788384</v>
      </c>
      <c r="CT34" s="27">
        <f t="shared" si="106"/>
        <v>12879.714771191935</v>
      </c>
      <c r="CU34" s="27">
        <f t="shared" si="106"/>
        <v>10137.765102238078</v>
      </c>
      <c r="CV34" s="27">
        <f t="shared" si="106"/>
        <v>10920.483710201448</v>
      </c>
      <c r="CW34" s="27">
        <f t="shared" si="106"/>
        <v>12928.069713878584</v>
      </c>
      <c r="CX34" s="27">
        <f t="shared" si="106"/>
        <v>14744.174427617478</v>
      </c>
      <c r="CY34" s="27">
        <f t="shared" si="106"/>
        <v>11610.594162654628</v>
      </c>
      <c r="CZ34" s="27">
        <f t="shared" si="106"/>
        <v>12505.683822879728</v>
      </c>
      <c r="DA34" s="27">
        <f t="shared" si="106"/>
        <v>14811.838673532864</v>
      </c>
      <c r="DB34" s="27">
        <f t="shared" si="106"/>
        <v>16882.541395179669</v>
      </c>
      <c r="DE34" s="121"/>
      <c r="DF34" s="26">
        <v>8949.6599249508618</v>
      </c>
    </row>
    <row r="35" spans="1:110" s="39" customFormat="1" x14ac:dyDescent="0.2">
      <c r="A35" s="39" t="s">
        <v>484</v>
      </c>
      <c r="C35" s="39" t="e">
        <f t="shared" ref="C35" si="107">C34/B34-1</f>
        <v>#DIV/0!</v>
      </c>
      <c r="D35" s="39" t="e">
        <f t="shared" ref="D35" si="108">D34/C34-1</f>
        <v>#DIV/0!</v>
      </c>
      <c r="E35" s="39" t="e">
        <f t="shared" ref="E35" si="109">E34/D34-1</f>
        <v>#DIV/0!</v>
      </c>
      <c r="F35" s="39" t="e">
        <f t="shared" ref="F35:R35" si="110">F34/E34-1</f>
        <v>#DIV/0!</v>
      </c>
      <c r="G35" s="39" t="e">
        <f t="shared" si="110"/>
        <v>#DIV/0!</v>
      </c>
      <c r="H35" s="39" t="e">
        <f t="shared" si="110"/>
        <v>#DIV/0!</v>
      </c>
      <c r="I35" s="39" t="e">
        <f t="shared" si="110"/>
        <v>#DIV/0!</v>
      </c>
      <c r="J35" s="39">
        <f t="shared" si="110"/>
        <v>4.8519676023344172E-2</v>
      </c>
      <c r="K35" s="39">
        <f>K34/J34-1</f>
        <v>0.12237102222746166</v>
      </c>
      <c r="L35" s="39">
        <f t="shared" si="110"/>
        <v>-1</v>
      </c>
      <c r="M35" s="39" t="e">
        <f t="shared" si="110"/>
        <v>#DIV/0!</v>
      </c>
      <c r="N35" s="39">
        <f t="shared" si="110"/>
        <v>-1.4864673021160124E-2</v>
      </c>
      <c r="O35" s="39">
        <f t="shared" si="110"/>
        <v>3.3027528362217007E-2</v>
      </c>
      <c r="P35" s="39">
        <f t="shared" si="110"/>
        <v>0.2253322083179996</v>
      </c>
      <c r="Q35" s="39">
        <f t="shared" si="110"/>
        <v>0.10167846331738639</v>
      </c>
      <c r="R35" s="39">
        <f t="shared" si="110"/>
        <v>6.0400475820491462E-2</v>
      </c>
      <c r="S35" s="39">
        <f t="shared" ref="S35:AA35" si="111">S34/R34-1</f>
        <v>0.23093836003852286</v>
      </c>
      <c r="T35" s="39">
        <f t="shared" si="111"/>
        <v>0.17949664010705568</v>
      </c>
      <c r="U35" s="39">
        <f t="shared" si="111"/>
        <v>0.10574134386702383</v>
      </c>
      <c r="V35" s="39">
        <f t="shared" si="111"/>
        <v>-4.2719357006915093E-3</v>
      </c>
      <c r="W35" s="39">
        <f t="shared" si="111"/>
        <v>0.38801594680032392</v>
      </c>
      <c r="X35" s="39">
        <f t="shared" si="111"/>
        <v>0.15601886992051051</v>
      </c>
      <c r="Y35" s="39">
        <f t="shared" si="111"/>
        <v>0.2786878273814628</v>
      </c>
      <c r="Z35" s="39">
        <f t="shared" si="111"/>
        <v>0.2421842380507957</v>
      </c>
      <c r="AA35" s="39">
        <f t="shared" si="111"/>
        <v>0.28897664005318036</v>
      </c>
      <c r="AB35" s="40">
        <f t="shared" ref="AB35" si="112">AB34/AA34-1</f>
        <v>0.23611066891770993</v>
      </c>
      <c r="AC35" s="40">
        <f t="shared" ref="AC35" si="113">AC34/AB34-1</f>
        <v>0.19197539180464984</v>
      </c>
      <c r="AD35" s="40">
        <f t="shared" ref="AD35" si="114">AD34/AC34-1</f>
        <v>0.14504340951562944</v>
      </c>
      <c r="AE35" s="40">
        <f t="shared" ref="AE35" si="115">AE34/AD34-1</f>
        <v>0.14529229382112141</v>
      </c>
      <c r="AM35" s="39" t="e">
        <f t="shared" ref="AM35:CI35" si="116">+IF(AI34&lt;0,1-AM34/AI34,AM34/AI34-1)</f>
        <v>#DIV/0!</v>
      </c>
      <c r="AN35" s="39" t="e">
        <f t="shared" si="116"/>
        <v>#DIV/0!</v>
      </c>
      <c r="AO35" s="39" t="e">
        <f t="shared" si="116"/>
        <v>#DIV/0!</v>
      </c>
      <c r="AP35" s="39" t="e">
        <f t="shared" si="116"/>
        <v>#DIV/0!</v>
      </c>
      <c r="AQ35" s="39" t="e">
        <f t="shared" si="116"/>
        <v>#DIV/0!</v>
      </c>
      <c r="AR35" s="39" t="e">
        <f t="shared" si="116"/>
        <v>#DIV/0!</v>
      </c>
      <c r="AS35" s="39" t="e">
        <f t="shared" si="116"/>
        <v>#DIV/0!</v>
      </c>
      <c r="AT35" s="39" t="e">
        <f t="shared" si="116"/>
        <v>#DIV/0!</v>
      </c>
      <c r="AU35" s="39" t="e">
        <f t="shared" si="116"/>
        <v>#DIV/0!</v>
      </c>
      <c r="AV35" s="39" t="e">
        <f t="shared" si="116"/>
        <v>#DIV/0!</v>
      </c>
      <c r="AW35" s="39" t="e">
        <f t="shared" si="116"/>
        <v>#DIV/0!</v>
      </c>
      <c r="AX35" s="39" t="e">
        <f t="shared" si="116"/>
        <v>#DIV/0!</v>
      </c>
      <c r="AY35" s="39" t="e">
        <f t="shared" si="116"/>
        <v>#DIV/0!</v>
      </c>
      <c r="AZ35" s="39" t="e">
        <f t="shared" si="116"/>
        <v>#DIV/0!</v>
      </c>
      <c r="BA35" s="39" t="e">
        <f t="shared" si="116"/>
        <v>#DIV/0!</v>
      </c>
      <c r="BB35" s="39" t="e">
        <f t="shared" si="116"/>
        <v>#DIV/0!</v>
      </c>
      <c r="BC35" s="39" t="e">
        <f t="shared" si="116"/>
        <v>#DIV/0!</v>
      </c>
      <c r="BD35" s="39" t="e">
        <f t="shared" si="116"/>
        <v>#DIV/0!</v>
      </c>
      <c r="BE35" s="39" t="e">
        <f t="shared" si="116"/>
        <v>#DIV/0!</v>
      </c>
      <c r="BF35" s="39" t="e">
        <f t="shared" si="116"/>
        <v>#DIV/0!</v>
      </c>
      <c r="BG35" s="39" t="e">
        <f t="shared" si="116"/>
        <v>#DIV/0!</v>
      </c>
      <c r="BH35" s="39" t="e">
        <f t="shared" si="116"/>
        <v>#DIV/0!</v>
      </c>
      <c r="BI35" s="39" t="e">
        <f t="shared" si="116"/>
        <v>#DIV/0!</v>
      </c>
      <c r="BJ35" s="39">
        <f t="shared" si="116"/>
        <v>0.16746720524526526</v>
      </c>
      <c r="BK35" s="39">
        <f t="shared" si="116"/>
        <v>0.15967589142338912</v>
      </c>
      <c r="BL35" s="39">
        <f t="shared" si="116"/>
        <v>0.2373744035808607</v>
      </c>
      <c r="BM35" s="39">
        <f t="shared" si="116"/>
        <v>0.23827535832496216</v>
      </c>
      <c r="BN35" s="39">
        <f t="shared" si="116"/>
        <v>-0.1356779371037119</v>
      </c>
      <c r="BO35" s="39">
        <f t="shared" si="116"/>
        <v>-0.49952186310423075</v>
      </c>
      <c r="BP35" s="39">
        <f t="shared" si="116"/>
        <v>-5.7209750649325319E-2</v>
      </c>
      <c r="BQ35" s="39">
        <f t="shared" si="116"/>
        <v>9.5334556159257788E-2</v>
      </c>
      <c r="BR35" s="39">
        <f t="shared" si="116"/>
        <v>0.38197015940313173</v>
      </c>
      <c r="BS35" s="39">
        <f t="shared" si="116"/>
        <v>0.89969025030846983</v>
      </c>
      <c r="BT35" s="39">
        <f t="shared" si="116"/>
        <v>0.42242541687917101</v>
      </c>
      <c r="BU35" s="39">
        <f t="shared" si="116"/>
        <v>0.22781447308053626</v>
      </c>
      <c r="BV35" s="39">
        <f t="shared" si="116"/>
        <v>0.34907625237830997</v>
      </c>
      <c r="BW35" s="39">
        <f t="shared" si="116"/>
        <v>0.47505158395625746</v>
      </c>
      <c r="BX35" s="39">
        <f t="shared" si="116"/>
        <v>0.10836422417018832</v>
      </c>
      <c r="BY35" s="39">
        <f t="shared" si="116"/>
        <v>0.10177532832186031</v>
      </c>
      <c r="BZ35" s="39">
        <f t="shared" si="116"/>
        <v>8.9093351052976999E-2</v>
      </c>
      <c r="CA35" s="39">
        <f t="shared" si="116"/>
        <v>0.42126840405663035</v>
      </c>
      <c r="CB35" s="39">
        <f t="shared" si="116"/>
        <v>0.26567943780350123</v>
      </c>
      <c r="CC35" s="39">
        <f t="shared" si="116"/>
        <v>0.16830615566074569</v>
      </c>
      <c r="CD35" s="39">
        <f t="shared" si="116"/>
        <v>0.29331812407067059</v>
      </c>
      <c r="CE35" s="39">
        <f t="shared" si="116"/>
        <v>0.20791169394006537</v>
      </c>
      <c r="CF35" s="39">
        <f t="shared" si="116"/>
        <v>0.30365528865634484</v>
      </c>
      <c r="CG35" s="39">
        <f t="shared" si="116"/>
        <v>0.2040313606590991</v>
      </c>
      <c r="CH35" s="39">
        <f t="shared" si="116"/>
        <v>0.24927202674585258</v>
      </c>
      <c r="CI35" s="39">
        <f t="shared" si="116"/>
        <v>0.25711755778485879</v>
      </c>
      <c r="CJ35" s="39">
        <f>+IF(CF34&lt;0,1-CJ34/CF34,CJ34/CF34-1)</f>
        <v>0.17801249558282439</v>
      </c>
      <c r="CK35" s="39">
        <f>+IF(CG34&lt;0,1-CK34/CG34,CK34/CG34-1)</f>
        <v>0.46116291769979001</v>
      </c>
      <c r="CL35" s="39">
        <f>+IF(CH34&lt;0,1-CL34/CH34,CL34/CH34-1)</f>
        <v>0.26892833145189732</v>
      </c>
      <c r="CM35" s="40">
        <f t="shared" ref="CM35:DB35" si="117">+IF(CI34&lt;0,1-CM34/CI34,CM34/CI34-1)</f>
        <v>0.24313102525306585</v>
      </c>
      <c r="CN35" s="40">
        <f t="shared" si="117"/>
        <v>0.23045646034998701</v>
      </c>
      <c r="CO35" s="40">
        <f t="shared" si="117"/>
        <v>0.24176138744662223</v>
      </c>
      <c r="CP35" s="40">
        <f t="shared" si="117"/>
        <v>0.23069713306267237</v>
      </c>
      <c r="CQ35" s="40">
        <f t="shared" si="117"/>
        <v>0.20589457609213491</v>
      </c>
      <c r="CR35" s="40">
        <f t="shared" si="117"/>
        <v>0.19679562005274875</v>
      </c>
      <c r="CS35" s="40">
        <f t="shared" si="117"/>
        <v>0.19023682118110186</v>
      </c>
      <c r="CT35" s="40">
        <f t="shared" si="117"/>
        <v>0.18059771684338921</v>
      </c>
      <c r="CU35" s="40">
        <f t="shared" si="117"/>
        <v>0.14504959939820816</v>
      </c>
      <c r="CV35" s="40">
        <f t="shared" si="117"/>
        <v>0.14490008779144348</v>
      </c>
      <c r="CW35" s="40">
        <f t="shared" si="117"/>
        <v>0.14548380358472857</v>
      </c>
      <c r="CX35" s="40">
        <f t="shared" si="117"/>
        <v>0.14475939021536255</v>
      </c>
      <c r="CY35" s="40">
        <f t="shared" si="117"/>
        <v>0.1452814348688547</v>
      </c>
      <c r="CZ35" s="40">
        <f t="shared" si="117"/>
        <v>0.14515841557434439</v>
      </c>
      <c r="DA35" s="40">
        <f t="shared" si="117"/>
        <v>0.1457115409605203</v>
      </c>
      <c r="DB35" s="40">
        <f t="shared" si="117"/>
        <v>0.14503131240476863</v>
      </c>
      <c r="DE35" s="122"/>
      <c r="DF35" s="39">
        <v>0.28112206006398432</v>
      </c>
    </row>
    <row r="36" spans="1:110" s="39" customFormat="1" x14ac:dyDescent="0.2">
      <c r="A36" s="39" t="s">
        <v>446</v>
      </c>
      <c r="AB36" s="40"/>
      <c r="AC36" s="40"/>
      <c r="AD36" s="40"/>
      <c r="AE36" s="40"/>
      <c r="AJ36" s="39" t="e">
        <f t="shared" ref="AJ36:AL36" si="118">+IF(AI34&lt;0,1-AJ34/AI34,AJ34/AI34-1)</f>
        <v>#DIV/0!</v>
      </c>
      <c r="AK36" s="39" t="e">
        <f t="shared" si="118"/>
        <v>#DIV/0!</v>
      </c>
      <c r="AL36" s="39" t="e">
        <f t="shared" si="118"/>
        <v>#DIV/0!</v>
      </c>
      <c r="AM36" s="39" t="e">
        <f t="shared" ref="AM36:CI36" si="119">+IF(AL34&lt;0,1-AM34/AL34,AM34/AL34-1)</f>
        <v>#DIV/0!</v>
      </c>
      <c r="AN36" s="39" t="e">
        <f t="shared" si="119"/>
        <v>#DIV/0!</v>
      </c>
      <c r="AO36" s="39" t="e">
        <f t="shared" si="119"/>
        <v>#DIV/0!</v>
      </c>
      <c r="AP36" s="39" t="e">
        <f t="shared" si="119"/>
        <v>#DIV/0!</v>
      </c>
      <c r="AQ36" s="39" t="e">
        <f t="shared" si="119"/>
        <v>#DIV/0!</v>
      </c>
      <c r="AR36" s="39" t="e">
        <f t="shared" si="119"/>
        <v>#DIV/0!</v>
      </c>
      <c r="AS36" s="39" t="e">
        <f t="shared" si="119"/>
        <v>#DIV/0!</v>
      </c>
      <c r="AT36" s="39" t="e">
        <f t="shared" si="119"/>
        <v>#DIV/0!</v>
      </c>
      <c r="AU36" s="39" t="e">
        <f t="shared" si="119"/>
        <v>#DIV/0!</v>
      </c>
      <c r="AV36" s="39" t="e">
        <f t="shared" si="119"/>
        <v>#DIV/0!</v>
      </c>
      <c r="AW36" s="39" t="e">
        <f t="shared" si="119"/>
        <v>#DIV/0!</v>
      </c>
      <c r="AX36" s="39" t="e">
        <f t="shared" si="119"/>
        <v>#DIV/0!</v>
      </c>
      <c r="AY36" s="39" t="e">
        <f t="shared" si="119"/>
        <v>#DIV/0!</v>
      </c>
      <c r="AZ36" s="39" t="e">
        <f t="shared" si="119"/>
        <v>#DIV/0!</v>
      </c>
      <c r="BA36" s="39" t="e">
        <f t="shared" si="119"/>
        <v>#DIV/0!</v>
      </c>
      <c r="BB36" s="39" t="e">
        <f t="shared" si="119"/>
        <v>#DIV/0!</v>
      </c>
      <c r="BC36" s="39" t="e">
        <f t="shared" si="119"/>
        <v>#DIV/0!</v>
      </c>
      <c r="BD36" s="39" t="e">
        <f t="shared" si="119"/>
        <v>#DIV/0!</v>
      </c>
      <c r="BE36" s="39" t="e">
        <f t="shared" si="119"/>
        <v>#DIV/0!</v>
      </c>
      <c r="BF36" s="39" t="e">
        <f t="shared" si="119"/>
        <v>#DIV/0!</v>
      </c>
      <c r="BG36" s="39">
        <f t="shared" si="119"/>
        <v>-0.20263040422775358</v>
      </c>
      <c r="BH36" s="39">
        <f t="shared" si="119"/>
        <v>7.6789176095269029E-2</v>
      </c>
      <c r="BI36" s="39">
        <f t="shared" si="119"/>
        <v>0.11754969354611711</v>
      </c>
      <c r="BJ36" s="39">
        <f t="shared" si="119"/>
        <v>0.21671116405361812</v>
      </c>
      <c r="BK36" s="39">
        <f t="shared" si="119"/>
        <v>-0.20795180145824699</v>
      </c>
      <c r="BL36" s="39">
        <f t="shared" si="119"/>
        <v>0.14893426207026628</v>
      </c>
      <c r="BM36" s="39">
        <f t="shared" si="119"/>
        <v>0.1183634017457178</v>
      </c>
      <c r="BN36" s="39">
        <f t="shared" si="119"/>
        <v>-0.150729846803762</v>
      </c>
      <c r="BO36" s="39">
        <f t="shared" si="119"/>
        <v>-0.54137141263118238</v>
      </c>
      <c r="BP36" s="39">
        <f t="shared" si="119"/>
        <v>1.1643383388200839</v>
      </c>
      <c r="BQ36" s="39">
        <f t="shared" si="119"/>
        <v>0.29931560187388673</v>
      </c>
      <c r="BR36" s="39">
        <f t="shared" si="119"/>
        <v>7.1513723719568434E-2</v>
      </c>
      <c r="BS36" s="39">
        <f t="shared" si="119"/>
        <v>-0.3695578374039713</v>
      </c>
      <c r="BT36" s="39">
        <f t="shared" si="119"/>
        <v>0.62058517874891916</v>
      </c>
      <c r="BU36" s="39">
        <f t="shared" si="119"/>
        <v>0.12154808410290197</v>
      </c>
      <c r="BV36" s="39">
        <f t="shared" si="119"/>
        <v>0.17733888177803281</v>
      </c>
      <c r="BW36" s="39">
        <f t="shared" si="119"/>
        <v>-0.3106878066449672</v>
      </c>
      <c r="BX36" s="39">
        <f t="shared" si="119"/>
        <v>0.21771919970970832</v>
      </c>
      <c r="BY36" s="39">
        <f t="shared" si="119"/>
        <v>0.1148808141262132</v>
      </c>
      <c r="BZ36" s="39">
        <f t="shared" si="119"/>
        <v>0.16378713075160234</v>
      </c>
      <c r="CA36" s="39">
        <f t="shared" si="119"/>
        <v>-0.10044658706319909</v>
      </c>
      <c r="CB36" s="39">
        <f t="shared" si="119"/>
        <v>8.4413153554986353E-2</v>
      </c>
      <c r="CC36" s="39">
        <f t="shared" si="119"/>
        <v>2.9109013757982138E-2</v>
      </c>
      <c r="CD36" s="39">
        <f t="shared" si="119"/>
        <v>0.2883155510808737</v>
      </c>
      <c r="CE36" s="39">
        <f t="shared" si="119"/>
        <v>-0.15985010448157566</v>
      </c>
      <c r="CF36" s="39">
        <f t="shared" si="119"/>
        <v>0.17036779245768963</v>
      </c>
      <c r="CG36" s="39">
        <f t="shared" si="119"/>
        <v>-4.95343846772065E-2</v>
      </c>
      <c r="CH36" s="39">
        <f t="shared" si="119"/>
        <v>0.33672313876107851</v>
      </c>
      <c r="CI36" s="39">
        <f t="shared" si="119"/>
        <v>-0.15457389406335542</v>
      </c>
      <c r="CJ36" s="39">
        <f>+IF(CI34&lt;0,1-CJ34/CI34,CJ34/CI34-1)</f>
        <v>9.6721524096948785E-2</v>
      </c>
      <c r="CK36" s="39">
        <f>+IF(CJ34&lt;0,1-CK34/CJ34,CK34/CJ34-1)</f>
        <v>0.17892222439565408</v>
      </c>
      <c r="CL36" s="39">
        <f>+IF(CK34&lt;0,1-CL34/CK34,CL34/CK34-1)</f>
        <v>0.16086018987633532</v>
      </c>
      <c r="CM36" s="40">
        <f t="shared" ref="CM36" si="120">+CM34/CL34-1</f>
        <v>-0.17176140228013459</v>
      </c>
      <c r="CN36" s="40">
        <f t="shared" ref="CN36" si="121">+CN34/CM34-1</f>
        <v>8.553970347193407E-2</v>
      </c>
      <c r="CO36" s="40">
        <f t="shared" ref="CO36" si="122">+CO34/CN34-1</f>
        <v>0.1897536761608023</v>
      </c>
      <c r="CP36" s="40">
        <f t="shared" ref="CP36" si="123">+CP34/CO34-1</f>
        <v>0.15051677561427423</v>
      </c>
      <c r="CQ36" s="40">
        <f t="shared" ref="CQ36" si="124">+CQ34/CP34-1</f>
        <v>-0.18845310851172692</v>
      </c>
      <c r="CR36" s="40">
        <f t="shared" ref="CR36" si="125">+CR34/CQ34-1</f>
        <v>7.7348872999084772E-2</v>
      </c>
      <c r="CS36" s="40">
        <f t="shared" ref="CS36" si="126">+CS34/CR34-1</f>
        <v>0.18323346925329598</v>
      </c>
      <c r="CT36" s="40">
        <f t="shared" ref="CT36" si="127">+CT34/CS34-1</f>
        <v>0.14119934311253912</v>
      </c>
      <c r="CU36" s="40">
        <f t="shared" ref="CU36" si="128">+CU34/CT34-1</f>
        <v>-0.21288900551484091</v>
      </c>
      <c r="CV36" s="40">
        <f t="shared" ref="CV36" si="129">+CV34/CU34-1</f>
        <v>7.7208201222829009E-2</v>
      </c>
      <c r="CW36" s="40">
        <f t="shared" ref="CW36" si="130">+CW34/CV34-1</f>
        <v>0.18383672893552649</v>
      </c>
      <c r="CX36" s="40">
        <f t="shared" ref="CX36" si="131">+CX34/CW34-1</f>
        <v>0.14047763927117929</v>
      </c>
      <c r="CY36" s="40">
        <f t="shared" ref="CY36" si="132">+CY34/CX34-1</f>
        <v>-0.21253005926824264</v>
      </c>
      <c r="CZ36" s="40">
        <f t="shared" ref="CZ36" si="133">+CZ34/CY34-1</f>
        <v>7.7092493948685892E-2</v>
      </c>
      <c r="DA36" s="40">
        <f t="shared" ref="DA36" si="134">+DA34/CZ34-1</f>
        <v>0.1844085364155712</v>
      </c>
      <c r="DB36" s="40">
        <f t="shared" ref="DB36" si="135">+DB34/DA34-1</f>
        <v>0.13980051817246197</v>
      </c>
      <c r="DE36" s="122"/>
      <c r="DF36" s="39">
        <v>0.1720154409343142</v>
      </c>
    </row>
    <row r="37" spans="1:110" s="23" customFormat="1" outlineLevel="1" x14ac:dyDescent="0.2">
      <c r="A37" s="23" t="s">
        <v>2</v>
      </c>
      <c r="B37" s="23">
        <f>'Annual Raw'!C11</f>
        <v>0</v>
      </c>
      <c r="C37" s="23">
        <f>'Annual Raw'!D11</f>
        <v>0</v>
      </c>
      <c r="D37" s="23">
        <f>'Annual Raw'!E11</f>
        <v>0</v>
      </c>
      <c r="E37" s="23">
        <f>'Annual Raw'!F11</f>
        <v>0</v>
      </c>
      <c r="F37" s="23">
        <f>'Annual Raw'!G11</f>
        <v>0</v>
      </c>
      <c r="G37" s="23">
        <f>'Annual Raw'!H11</f>
        <v>0</v>
      </c>
      <c r="H37" s="23">
        <f>'Annual Raw'!I11</f>
        <v>0</v>
      </c>
      <c r="I37" s="23">
        <f>'Annual Raw'!J11</f>
        <v>-20.8488203</v>
      </c>
      <c r="J37" s="23">
        <f>'Annual Raw'!K11</f>
        <v>-29.4611768</v>
      </c>
      <c r="K37" s="23">
        <f>'Annual Raw'!L11</f>
        <v>-61.886988700000003</v>
      </c>
      <c r="L37" s="23">
        <f>'Annual Raw'!M11</f>
        <v>0</v>
      </c>
      <c r="M37" s="23">
        <f>'Annual Raw'!N11</f>
        <v>127.76</v>
      </c>
      <c r="N37" s="23">
        <f>'Annual Raw'!O11</f>
        <v>54.98</v>
      </c>
      <c r="O37" s="23">
        <f>'Annual Raw'!P11</f>
        <v>-21.462</v>
      </c>
      <c r="P37" s="23">
        <f>'Annual Raw'!Q11</f>
        <v>-100.85899999999999</v>
      </c>
      <c r="Q37" s="23">
        <f>'Annual Raw'!R11</f>
        <v>-58.66</v>
      </c>
      <c r="R37" s="23">
        <f>'Annual Raw'!S11</f>
        <v>-208.49299999999999</v>
      </c>
      <c r="S37" s="23">
        <f>'Annual Raw'!T11</f>
        <v>-8.3059999999999992</v>
      </c>
      <c r="T37" s="23">
        <f>'Annual Raw'!U11</f>
        <v>-107.69799999999999</v>
      </c>
      <c r="U37" s="23">
        <f>'Annual Raw'!V11</f>
        <v>-237.148</v>
      </c>
      <c r="V37" s="23">
        <f>'Annual Raw'!W11</f>
        <v>67.771000000000001</v>
      </c>
      <c r="W37" s="23">
        <f>'Annual Raw'!X11</f>
        <v>-492.75099999999998</v>
      </c>
      <c r="X37" s="23">
        <f>'Annual Raw'!Y11</f>
        <v>34.676000000000002</v>
      </c>
      <c r="Y37" s="23">
        <f>'Annual Raw'!Z11</f>
        <v>-421.50900000000001</v>
      </c>
      <c r="Z37" s="23">
        <f>'Annual Raw'!AA11</f>
        <v>-451.86399999999998</v>
      </c>
      <c r="AA37" s="23">
        <f>'Annual Raw'!AB11</f>
        <v>-760.16200000000003</v>
      </c>
      <c r="AB37" s="76">
        <f>+SUM(CM37:CP37)</f>
        <v>0</v>
      </c>
      <c r="AC37" s="76">
        <f>+SUM(CQ37:CT37)</f>
        <v>0</v>
      </c>
      <c r="AD37" s="76">
        <f>+SUM(CU37:CX37)</f>
        <v>0</v>
      </c>
      <c r="AE37" s="76">
        <f>+SUM(CY37:DB37)</f>
        <v>0</v>
      </c>
      <c r="AI37" s="23">
        <f>'QTR Raw'!C10</f>
        <v>0</v>
      </c>
      <c r="AJ37" s="23">
        <f>'QTR Raw'!D10</f>
        <v>0</v>
      </c>
      <c r="AK37" s="23">
        <f>'QTR Raw'!E10</f>
        <v>0</v>
      </c>
      <c r="AL37" s="23">
        <f>'QTR Raw'!F10</f>
        <v>0</v>
      </c>
      <c r="AM37" s="23">
        <f>'QTR Raw'!G10</f>
        <v>0</v>
      </c>
      <c r="AN37" s="23">
        <f>'QTR Raw'!H10</f>
        <v>0</v>
      </c>
      <c r="AO37" s="23">
        <f>'QTR Raw'!I10</f>
        <v>0</v>
      </c>
      <c r="AP37" s="23">
        <f>'QTR Raw'!J10</f>
        <v>0</v>
      </c>
      <c r="AQ37" s="23">
        <f>'QTR Raw'!K10</f>
        <v>0</v>
      </c>
      <c r="AR37" s="23">
        <f>'QTR Raw'!L10</f>
        <v>0</v>
      </c>
      <c r="AS37" s="23">
        <f>'QTR Raw'!M10</f>
        <v>0</v>
      </c>
      <c r="AT37" s="23">
        <f>'QTR Raw'!N10</f>
        <v>0</v>
      </c>
      <c r="AU37" s="23">
        <f>'QTR Raw'!O10</f>
        <v>0</v>
      </c>
      <c r="AV37" s="23">
        <f>'QTR Raw'!P10</f>
        <v>0</v>
      </c>
      <c r="AW37" s="23">
        <f>'QTR Raw'!Q10</f>
        <v>0</v>
      </c>
      <c r="AX37" s="23">
        <f>'QTR Raw'!R10</f>
        <v>0</v>
      </c>
      <c r="AY37" s="23">
        <f>'QTR Raw'!S10</f>
        <v>0</v>
      </c>
      <c r="AZ37" s="23">
        <f>'QTR Raw'!T10</f>
        <v>0</v>
      </c>
      <c r="BA37" s="23">
        <f>'QTR Raw'!U10</f>
        <v>0</v>
      </c>
      <c r="BB37" s="23">
        <f>'QTR Raw'!V10</f>
        <v>0</v>
      </c>
      <c r="BC37" s="23">
        <f>'QTR Raw'!W10</f>
        <v>0</v>
      </c>
      <c r="BD37" s="23">
        <f>'QTR Raw'!X10</f>
        <v>0</v>
      </c>
      <c r="BE37" s="23">
        <f>'QTR Raw'!Y10</f>
        <v>0</v>
      </c>
      <c r="BF37" s="23">
        <f>'QTR Raw'!Z10</f>
        <v>120.33</v>
      </c>
      <c r="BG37" s="23">
        <f>'QTR Raw'!AA10</f>
        <v>-65.346999999999994</v>
      </c>
      <c r="BH37" s="23">
        <f>'QTR Raw'!AB10</f>
        <v>12.298999999999999</v>
      </c>
      <c r="BI37" s="23">
        <f>'QTR Raw'!AC10</f>
        <v>-246.667</v>
      </c>
      <c r="BJ37" s="23">
        <f>'QTR Raw'!AD10</f>
        <v>192.017</v>
      </c>
      <c r="BK37" s="23">
        <f>'QTR Raw'!AE10</f>
        <v>-72.454999999999998</v>
      </c>
      <c r="BL37" s="23">
        <f>'QTR Raw'!AF10</f>
        <v>-130.95699999999999</v>
      </c>
      <c r="BM37" s="23">
        <f>'QTR Raw'!AG10</f>
        <v>14.712</v>
      </c>
      <c r="BN37" s="23">
        <f>'QTR Raw'!AH10</f>
        <v>-48.448</v>
      </c>
      <c r="BO37" s="23">
        <f>'QTR Raw'!AI10</f>
        <v>126.218</v>
      </c>
      <c r="BP37" s="23">
        <f>'QTR Raw'!AJ10</f>
        <v>-34.389000000000003</v>
      </c>
      <c r="BQ37" s="23">
        <f>'QTR Raw'!AK10</f>
        <v>-6.8440000000000003</v>
      </c>
      <c r="BR37" s="23">
        <f>'QTR Raw'!AL10</f>
        <v>-39.280999999999999</v>
      </c>
      <c r="BS37" s="23">
        <f>'QTR Raw'!AM10</f>
        <v>-422.721</v>
      </c>
      <c r="BT37" s="23">
        <f>'QTR Raw'!AN10</f>
        <v>63.841999999999999</v>
      </c>
      <c r="BU37" s="23">
        <f>'QTR Raw'!AO10</f>
        <v>-203.691</v>
      </c>
      <c r="BV37" s="23">
        <f>'QTR Raw'!AP10</f>
        <v>69.819000000000003</v>
      </c>
      <c r="BW37" s="23">
        <f>'QTR Raw'!AQ10</f>
        <v>-214.04300000000001</v>
      </c>
      <c r="BX37" s="23">
        <f>'QTR Raw'!AR10</f>
        <v>131.739</v>
      </c>
      <c r="BY37" s="23">
        <f>'QTR Raw'!AS10</f>
        <v>3.016</v>
      </c>
      <c r="BZ37" s="23">
        <f>'QTR Raw'!AT10</f>
        <v>113.964</v>
      </c>
      <c r="CA37" s="23">
        <f>'QTR Raw'!AU10</f>
        <v>-153.83699999999999</v>
      </c>
      <c r="CB37" s="23">
        <f>'QTR Raw'!AV10</f>
        <v>-363.45499999999998</v>
      </c>
      <c r="CC37" s="23">
        <f>'QTR Raw'!AW10</f>
        <v>-120.15</v>
      </c>
      <c r="CD37" s="23">
        <f>'QTR Raw'!AX10</f>
        <v>215.93299999999999</v>
      </c>
      <c r="CE37" s="23">
        <f>'QTR Raw'!AY10</f>
        <v>-831.06899999999996</v>
      </c>
      <c r="CF37" s="23">
        <f>'QTR Raw'!AZ10</f>
        <v>437.32299999999998</v>
      </c>
      <c r="CG37" s="23">
        <f>'QTR Raw'!BA10</f>
        <v>-353.68</v>
      </c>
      <c r="CH37" s="23">
        <f>'QTR Raw'!BB10</f>
        <v>295.56200000000001</v>
      </c>
      <c r="CI37" s="23">
        <f>'QTR Raw'!BC10</f>
        <v>-168.56299999999999</v>
      </c>
      <c r="CJ37" s="23">
        <f>'QTR Raw'!BD10</f>
        <v>-491.99400000000003</v>
      </c>
      <c r="CK37" s="23">
        <f>'QTR Raw'!BE10</f>
        <v>-234.30199999999999</v>
      </c>
      <c r="CL37" s="23">
        <f>'QTR Raw'!BF10</f>
        <v>134.697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-760.16200000000003</v>
      </c>
    </row>
    <row r="38" spans="1:110" s="23" customFormat="1" outlineLevel="1" x14ac:dyDescent="0.2">
      <c r="A38" s="23" t="s">
        <v>3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76">
        <f>+SUM(CM38:CP38)</f>
        <v>0</v>
      </c>
      <c r="AC38" s="76">
        <f>+SUM(CQ38:CT38)</f>
        <v>0</v>
      </c>
      <c r="AD38" s="76">
        <f>+SUM(CU38:CX38)</f>
        <v>0</v>
      </c>
      <c r="AE38" s="76">
        <f>+SUM(CY38:DB38)</f>
        <v>0</v>
      </c>
      <c r="AI38" s="23">
        <f>'QTR Raw'!C12</f>
        <v>0</v>
      </c>
      <c r="AJ38" s="23">
        <f>'QTR Raw'!D12</f>
        <v>0</v>
      </c>
      <c r="AK38" s="23">
        <f>'QTR Raw'!E12</f>
        <v>0</v>
      </c>
      <c r="AL38" s="23">
        <f>'QTR Raw'!F12</f>
        <v>0</v>
      </c>
      <c r="AM38" s="23">
        <f>'QTR Raw'!G12</f>
        <v>0</v>
      </c>
      <c r="AN38" s="23">
        <f>'QTR Raw'!H12</f>
        <v>0</v>
      </c>
      <c r="AO38" s="23">
        <f>'QTR Raw'!I12</f>
        <v>0</v>
      </c>
      <c r="AP38" s="23">
        <f>'QTR Raw'!J12</f>
        <v>0</v>
      </c>
      <c r="AQ38" s="23">
        <f>'QTR Raw'!K12</f>
        <v>0</v>
      </c>
      <c r="AR38" s="23">
        <f>'QTR Raw'!L12</f>
        <v>0</v>
      </c>
      <c r="AS38" s="23">
        <f>'QTR Raw'!M12</f>
        <v>0</v>
      </c>
      <c r="AT38" s="23">
        <f>'QTR Raw'!N12</f>
        <v>0</v>
      </c>
      <c r="AU38" s="23">
        <f>'QTR Raw'!O12</f>
        <v>0</v>
      </c>
      <c r="AV38" s="23">
        <f>'QTR Raw'!P12</f>
        <v>0</v>
      </c>
      <c r="AW38" s="23">
        <f>'QTR Raw'!Q12</f>
        <v>0</v>
      </c>
      <c r="AX38" s="23">
        <f>'QTR Raw'!R12</f>
        <v>0</v>
      </c>
      <c r="AY38" s="23">
        <f>'QTR Raw'!S12</f>
        <v>0</v>
      </c>
      <c r="AZ38" s="23">
        <f>'QTR Raw'!T12</f>
        <v>0</v>
      </c>
      <c r="BA38" s="23">
        <f>'QTR Raw'!U12</f>
        <v>0</v>
      </c>
      <c r="BB38" s="23">
        <f>'QTR Raw'!V12</f>
        <v>0</v>
      </c>
      <c r="BC38" s="23">
        <f>'QTR Raw'!W12</f>
        <v>0</v>
      </c>
      <c r="BD38" s="23">
        <f>'QTR Raw'!X12</f>
        <v>0</v>
      </c>
      <c r="BE38" s="23">
        <f>'QTR Raw'!Y12</f>
        <v>0</v>
      </c>
      <c r="BF38" s="23">
        <f>'QTR Raw'!Z12</f>
        <v>109.288</v>
      </c>
      <c r="BG38" s="23">
        <f>'QTR Raw'!AA12</f>
        <v>65.278999999999996</v>
      </c>
      <c r="BH38" s="23">
        <f>'QTR Raw'!AB12</f>
        <v>94.438999999999993</v>
      </c>
      <c r="BI38" s="23">
        <f>'QTR Raw'!AC12</f>
        <v>75.878</v>
      </c>
      <c r="BJ38" s="23">
        <f>'QTR Raw'!AD12</f>
        <v>101.44499999999999</v>
      </c>
      <c r="BK38" s="23">
        <f>'QTR Raw'!AE12</f>
        <v>101.746</v>
      </c>
      <c r="BL38" s="23">
        <f>'QTR Raw'!AF12</f>
        <v>119.139</v>
      </c>
      <c r="BM38" s="23">
        <f>'QTR Raw'!AG12</f>
        <v>110.839</v>
      </c>
      <c r="BN38" s="23">
        <f>'QTR Raw'!AH12</f>
        <v>92.888000000000005</v>
      </c>
      <c r="BO38" s="23">
        <f>'QTR Raw'!AI12</f>
        <v>42.456000000000003</v>
      </c>
      <c r="BP38" s="23">
        <f>'QTR Raw'!AJ12</f>
        <v>176.423</v>
      </c>
      <c r="BQ38" s="23">
        <f>'QTR Raw'!AK12</f>
        <v>235.62</v>
      </c>
      <c r="BR38" s="23">
        <f>'QTR Raw'!AL12</f>
        <v>183.666</v>
      </c>
      <c r="BS38" s="23">
        <f>'QTR Raw'!AM12</f>
        <v>126.199</v>
      </c>
      <c r="BT38" s="23">
        <f>'QTR Raw'!AN12</f>
        <v>146.70400000000001</v>
      </c>
      <c r="BU38" s="23">
        <f>'QTR Raw'!AO12</f>
        <v>239.49</v>
      </c>
      <c r="BV38" s="23">
        <f>'QTR Raw'!AP12</f>
        <v>130.309</v>
      </c>
      <c r="BW38" s="23">
        <f>'QTR Raw'!AQ12</f>
        <v>151.78700000000001</v>
      </c>
      <c r="BX38" s="23">
        <f>'QTR Raw'!AR12</f>
        <v>148.83099999999999</v>
      </c>
      <c r="BY38" s="23">
        <f>'QTR Raw'!AS12</f>
        <v>100.413</v>
      </c>
      <c r="BZ38" s="23">
        <f>'QTR Raw'!AT12</f>
        <v>168.881</v>
      </c>
      <c r="CA38" s="23">
        <f>'QTR Raw'!AU12</f>
        <v>160.78200000000001</v>
      </c>
      <c r="CB38" s="23">
        <f>'QTR Raw'!AV12</f>
        <v>144.59100000000001</v>
      </c>
      <c r="CC38" s="23">
        <f>'QTR Raw'!AW12</f>
        <v>126.895</v>
      </c>
      <c r="CD38" s="23">
        <f>'QTR Raw'!AX12</f>
        <v>133.59899999999999</v>
      </c>
      <c r="CE38" s="23">
        <f>'QTR Raw'!AY12</f>
        <v>169.738</v>
      </c>
      <c r="CF38" s="23">
        <f>'QTR Raw'!AZ12</f>
        <v>152.61000000000001</v>
      </c>
      <c r="CG38" s="23">
        <f>'QTR Raw'!BA12</f>
        <v>166.02799999999999</v>
      </c>
      <c r="CH38" s="23">
        <f>'QTR Raw'!BB12</f>
        <v>119.261</v>
      </c>
      <c r="CI38" s="23">
        <f>'QTR Raw'!BC12</f>
        <v>125.526</v>
      </c>
      <c r="CJ38" s="23">
        <f>'QTR Raw'!BD12</f>
        <v>139.47499999999999</v>
      </c>
      <c r="CK38" s="23">
        <f>'QTR Raw'!BE12</f>
        <v>107.268</v>
      </c>
      <c r="CL38" s="23">
        <f>'QTR Raw'!BF12</f>
        <v>359.185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731.45399999999995</v>
      </c>
    </row>
    <row r="39" spans="1:110" s="23" customFormat="1" outlineLevel="1" x14ac:dyDescent="0.2">
      <c r="A39" s="23" t="s">
        <v>4</v>
      </c>
      <c r="B39" s="23">
        <f>'Annual Raw'!C12</f>
        <v>0</v>
      </c>
      <c r="C39" s="23">
        <f>'Annual Raw'!D12</f>
        <v>0</v>
      </c>
      <c r="D39" s="23">
        <f>'Annual Raw'!E12</f>
        <v>0</v>
      </c>
      <c r="E39" s="23">
        <f>'Annual Raw'!F12</f>
        <v>0</v>
      </c>
      <c r="F39" s="23">
        <f>'Annual Raw'!G12</f>
        <v>0</v>
      </c>
      <c r="G39" s="23">
        <f>'Annual Raw'!H12</f>
        <v>0</v>
      </c>
      <c r="H39" s="23">
        <f>'Annual Raw'!I12</f>
        <v>0</v>
      </c>
      <c r="I39" s="23">
        <f>'Annual Raw'!J12</f>
        <v>1666.5145884000001</v>
      </c>
      <c r="J39" s="23">
        <f>'Annual Raw'!K12</f>
        <v>1868.0721229000001</v>
      </c>
      <c r="K39" s="23">
        <f>'Annual Raw'!L12</f>
        <v>0</v>
      </c>
      <c r="L39" s="23">
        <f>'Annual Raw'!M12</f>
        <v>0</v>
      </c>
      <c r="M39" s="23">
        <f>'Annual Raw'!N12</f>
        <v>0</v>
      </c>
      <c r="N39" s="23">
        <f>'Annual Raw'!O12</f>
        <v>0</v>
      </c>
      <c r="O39" s="23">
        <f>'Annual Raw'!P12</f>
        <v>3021.482</v>
      </c>
      <c r="P39" s="23">
        <f>'Annual Raw'!Q12</f>
        <v>3589.2939999999999</v>
      </c>
      <c r="Q39" s="23">
        <f>'Annual Raw'!R12</f>
        <v>3780.67</v>
      </c>
      <c r="R39" s="23">
        <f>'Annual Raw'!S12</f>
        <v>4253.674</v>
      </c>
      <c r="S39" s="23">
        <f>'Annual Raw'!T12</f>
        <v>4919.5990000000002</v>
      </c>
      <c r="T39" s="23">
        <f>'Annual Raw'!U12</f>
        <v>5727.2650000000003</v>
      </c>
      <c r="U39" s="23">
        <f>'Annual Raw'!V12</f>
        <v>6114.3360000000002</v>
      </c>
      <c r="V39" s="23">
        <f>'Annual Raw'!W12</f>
        <v>6192.6229999999996</v>
      </c>
      <c r="W39" s="23">
        <f>'Annual Raw'!X12</f>
        <v>9645.7559999999994</v>
      </c>
      <c r="X39" s="23">
        <f>'Annual Raw'!Y12</f>
        <v>10087.096</v>
      </c>
      <c r="Y39" s="23">
        <f>'Annual Raw'!Z12</f>
        <v>13039.58</v>
      </c>
      <c r="Z39" s="23">
        <f>'Annual Raw'!AA12</f>
        <v>15801.894</v>
      </c>
      <c r="AA39" s="23">
        <f>'Annual Raw'!AB12</f>
        <v>21100.106</v>
      </c>
      <c r="AB39" s="24">
        <f>+SUM(CM39:CP39)</f>
        <v>25696.622302275504</v>
      </c>
      <c r="AC39" s="24">
        <f>+SUM(CQ39:CT39)</f>
        <v>30846.994471481739</v>
      </c>
      <c r="AD39" s="24">
        <f>+SUM(CU39:CX39)</f>
        <v>35342.092506126508</v>
      </c>
      <c r="AE39" s="24">
        <f>+SUM(CY39:DB39)</f>
        <v>40481.891307922779</v>
      </c>
      <c r="AI39" s="23">
        <f>'QTR Raw'!C11</f>
        <v>0</v>
      </c>
      <c r="AJ39" s="23">
        <f>'QTR Raw'!D11</f>
        <v>0</v>
      </c>
      <c r="AK39" s="23">
        <f>'QTR Raw'!E11</f>
        <v>0</v>
      </c>
      <c r="AL39" s="23">
        <f>'QTR Raw'!F11</f>
        <v>0</v>
      </c>
      <c r="AM39" s="23">
        <f>'QTR Raw'!G11</f>
        <v>0</v>
      </c>
      <c r="AN39" s="23">
        <f>'QTR Raw'!H11</f>
        <v>0</v>
      </c>
      <c r="AO39" s="23">
        <f>'QTR Raw'!I11</f>
        <v>0</v>
      </c>
      <c r="AP39" s="23">
        <f>'QTR Raw'!J11</f>
        <v>0</v>
      </c>
      <c r="AQ39" s="23">
        <f>'QTR Raw'!K11</f>
        <v>0</v>
      </c>
      <c r="AR39" s="23">
        <f>'QTR Raw'!L11</f>
        <v>0</v>
      </c>
      <c r="AS39" s="23">
        <f>'QTR Raw'!M11</f>
        <v>0</v>
      </c>
      <c r="AT39" s="23">
        <f>'QTR Raw'!N11</f>
        <v>0</v>
      </c>
      <c r="AU39" s="23">
        <f>'QTR Raw'!O11</f>
        <v>0</v>
      </c>
      <c r="AV39" s="23">
        <f>'QTR Raw'!P11</f>
        <v>0</v>
      </c>
      <c r="AW39" s="23">
        <f>'QTR Raw'!Q11</f>
        <v>0</v>
      </c>
      <c r="AX39" s="23">
        <f>'QTR Raw'!R11</f>
        <v>0</v>
      </c>
      <c r="AY39" s="23">
        <f>'QTR Raw'!S11</f>
        <v>0</v>
      </c>
      <c r="AZ39" s="23">
        <f>'QTR Raw'!T11</f>
        <v>0</v>
      </c>
      <c r="BA39" s="23">
        <f>'QTR Raw'!U11</f>
        <v>0</v>
      </c>
      <c r="BB39" s="23">
        <f>'QTR Raw'!V11</f>
        <v>0</v>
      </c>
      <c r="BC39" s="23">
        <f>'QTR Raw'!W11</f>
        <v>0</v>
      </c>
      <c r="BD39" s="23">
        <f>'QTR Raw'!X11</f>
        <v>0</v>
      </c>
      <c r="BE39" s="23">
        <f>'QTR Raw'!Y11</f>
        <v>0</v>
      </c>
      <c r="BF39" s="23">
        <f>'QTR Raw'!Z11</f>
        <v>1264.721</v>
      </c>
      <c r="BG39" s="23">
        <f>'QTR Raw'!AA11</f>
        <v>1231.0340000000001</v>
      </c>
      <c r="BH39" s="23">
        <f>'QTR Raw'!AB11</f>
        <v>1193.4680000000001</v>
      </c>
      <c r="BI39" s="23">
        <f>'QTR Raw'!AC11</f>
        <v>1577.953</v>
      </c>
      <c r="BJ39" s="23">
        <f>'QTR Raw'!AD11</f>
        <v>1479.864</v>
      </c>
      <c r="BK39" s="23">
        <f>'QTR Raw'!AE11</f>
        <v>1321.3710000000001</v>
      </c>
      <c r="BL39" s="23">
        <f>'QTR Raw'!AF11</f>
        <v>1567.2719999999999</v>
      </c>
      <c r="BM39" s="23">
        <f>'QTR Raw'!AG11</f>
        <v>1618.5229999999999</v>
      </c>
      <c r="BN39" s="23">
        <f>'QTR Raw'!AH11</f>
        <v>1356.54</v>
      </c>
      <c r="BO39" s="23">
        <f>'QTR Raw'!AI11</f>
        <v>512.95500000000004</v>
      </c>
      <c r="BP39" s="23">
        <f>'QTR Raw'!AJ11</f>
        <v>1347.508</v>
      </c>
      <c r="BQ39" s="23">
        <f>'QTR Raw'!AK11</f>
        <v>1839.549</v>
      </c>
      <c r="BR39" s="23">
        <f>'QTR Raw'!AL11</f>
        <v>2003.971</v>
      </c>
      <c r="BS39" s="23">
        <f>'QTR Raw'!AM11</f>
        <v>1691.66</v>
      </c>
      <c r="BT39" s="23">
        <f>'QTR Raw'!AN11</f>
        <v>2104.85</v>
      </c>
      <c r="BU39" s="23">
        <f>'QTR Raw'!AO11</f>
        <v>2549.3359999999998</v>
      </c>
      <c r="BV39" s="23">
        <f>'QTR Raw'!AP11</f>
        <v>2858.4070000000002</v>
      </c>
      <c r="BW39" s="23">
        <f>'QTR Raw'!AQ11</f>
        <v>2087.444</v>
      </c>
      <c r="BX39" s="23">
        <f>'QTR Raw'!AR11</f>
        <v>2156.8939999999998</v>
      </c>
      <c r="BY39" s="23">
        <f>'QTR Raw'!AS11</f>
        <v>2613.8620000000001</v>
      </c>
      <c r="BZ39" s="23">
        <f>'QTR Raw'!AT11</f>
        <v>2912.9549999999999</v>
      </c>
      <c r="CA39" s="23">
        <f>'QTR Raw'!AU11</f>
        <v>2822.2350000000001</v>
      </c>
      <c r="CB39" s="23">
        <f>'QTR Raw'!AV11</f>
        <v>3252.7710000000002</v>
      </c>
      <c r="CC39" s="23">
        <f>'QTR Raw'!AW11</f>
        <v>3051.056</v>
      </c>
      <c r="CD39" s="23">
        <f>'QTR Raw'!AX11</f>
        <v>3535.5340000000001</v>
      </c>
      <c r="CE39" s="23">
        <f>'QTR Raw'!AY11</f>
        <v>3918.1950000000002</v>
      </c>
      <c r="CF39" s="23">
        <f>'QTR Raw'!AZ11</f>
        <v>3305.33</v>
      </c>
      <c r="CG39" s="23">
        <f>'QTR Raw'!BA11</f>
        <v>3795.0770000000002</v>
      </c>
      <c r="CH39" s="23">
        <f>'QTR Raw'!BB11</f>
        <v>4398.7709999999997</v>
      </c>
      <c r="CI39" s="23">
        <f>'QTR Raw'!BC11</f>
        <v>4185.3119999999999</v>
      </c>
      <c r="CJ39" s="23">
        <f>'QTR Raw'!BD11</f>
        <v>4813.1530000000002</v>
      </c>
      <c r="CK39" s="23">
        <f>'QTR Raw'!BE11</f>
        <v>5655.1390000000001</v>
      </c>
      <c r="CL39" s="23">
        <f>'QTR Raw'!BF11</f>
        <v>5962.0630000000001</v>
      </c>
      <c r="CM39" s="24">
        <f t="shared" ref="CM39:DB39" si="136">+CM34-CM40</f>
        <v>5238.1681718075106</v>
      </c>
      <c r="CN39" s="24">
        <f t="shared" si="136"/>
        <v>5710.0914984531755</v>
      </c>
      <c r="CO39" s="24">
        <f t="shared" si="136"/>
        <v>6858.8189431983383</v>
      </c>
      <c r="CP39" s="24">
        <f t="shared" si="136"/>
        <v>7889.5436888164795</v>
      </c>
      <c r="CQ39" s="24">
        <f t="shared" si="136"/>
        <v>6391.5329511205246</v>
      </c>
      <c r="CR39" s="24">
        <f t="shared" si="136"/>
        <v>6905.8702771592616</v>
      </c>
      <c r="CS39" s="24">
        <f t="shared" si="136"/>
        <v>8192.3589880686486</v>
      </c>
      <c r="CT39" s="24">
        <f t="shared" si="136"/>
        <v>9357.2322551333054</v>
      </c>
      <c r="CU39" s="24">
        <f t="shared" si="136"/>
        <v>7345.6073880297281</v>
      </c>
      <c r="CV39" s="24">
        <f t="shared" si="136"/>
        <v>7920.0156756348078</v>
      </c>
      <c r="CW39" s="24">
        <f t="shared" si="136"/>
        <v>9379.9962201226281</v>
      </c>
      <c r="CX39" s="24">
        <f t="shared" si="136"/>
        <v>10696.473222339342</v>
      </c>
      <c r="CY39" s="24">
        <f t="shared" si="136"/>
        <v>8420.1378279160508</v>
      </c>
      <c r="CZ39" s="24">
        <f t="shared" si="136"/>
        <v>9071.2464256907551</v>
      </c>
      <c r="DA39" s="24">
        <f t="shared" si="136"/>
        <v>10744.52771494242</v>
      </c>
      <c r="DB39" s="24">
        <f t="shared" si="136"/>
        <v>12245.979339373549</v>
      </c>
      <c r="DE39" s="123"/>
      <c r="DF39" s="23">
        <v>6298.3248929998772</v>
      </c>
    </row>
    <row r="40" spans="1:110" s="31" customFormat="1" x14ac:dyDescent="0.2">
      <c r="A40" s="31" t="s">
        <v>5</v>
      </c>
      <c r="B40" s="31">
        <f t="shared" ref="B40:T40" si="137">B34-B37-B39-B38</f>
        <v>0</v>
      </c>
      <c r="C40" s="31">
        <f t="shared" si="137"/>
        <v>0</v>
      </c>
      <c r="D40" s="31">
        <f t="shared" si="137"/>
        <v>0</v>
      </c>
      <c r="E40" s="31">
        <f t="shared" si="137"/>
        <v>0</v>
      </c>
      <c r="F40" s="31">
        <f t="shared" si="137"/>
        <v>0</v>
      </c>
      <c r="G40" s="31">
        <f t="shared" si="137"/>
        <v>0</v>
      </c>
      <c r="H40" s="31">
        <f t="shared" si="137"/>
        <v>0</v>
      </c>
      <c r="I40" s="31">
        <f t="shared" si="137"/>
        <v>490.52095850000001</v>
      </c>
      <c r="J40" s="31">
        <f t="shared" si="137"/>
        <v>401.22286840000015</v>
      </c>
      <c r="K40" s="31">
        <f t="shared" si="137"/>
        <v>2575.8115567</v>
      </c>
      <c r="L40" s="31">
        <f t="shared" si="137"/>
        <v>0</v>
      </c>
      <c r="M40" s="31">
        <f t="shared" si="137"/>
        <v>3647.8359999999998</v>
      </c>
      <c r="N40" s="31">
        <f t="shared" si="137"/>
        <v>3664.4929999999999</v>
      </c>
      <c r="O40" s="31">
        <f t="shared" si="137"/>
        <v>842.29800000000023</v>
      </c>
      <c r="P40" s="31">
        <f t="shared" si="137"/>
        <v>1219.6810000000005</v>
      </c>
      <c r="Q40" s="31">
        <f t="shared" si="137"/>
        <v>1464.8199999999997</v>
      </c>
      <c r="R40" s="31">
        <f t="shared" si="137"/>
        <v>1454.9360000000006</v>
      </c>
      <c r="S40" s="31">
        <f t="shared" si="137"/>
        <v>1859.0119999999997</v>
      </c>
      <c r="T40" s="31">
        <f t="shared" si="137"/>
        <v>2365.9849999999997</v>
      </c>
      <c r="U40" s="31">
        <f t="shared" ref="U40:Z40" si="138">U34-U37-U39-U38</f>
        <v>2952.7669999999989</v>
      </c>
      <c r="V40" s="31">
        <f t="shared" si="138"/>
        <v>2531.84</v>
      </c>
      <c r="W40" s="31">
        <f t="shared" si="138"/>
        <v>3050.7560000000012</v>
      </c>
      <c r="X40" s="31">
        <f t="shared" si="138"/>
        <v>3986.0060000000012</v>
      </c>
      <c r="Y40" s="31">
        <f t="shared" si="138"/>
        <v>5421.3730000000014</v>
      </c>
      <c r="Z40" s="31">
        <f t="shared" si="138"/>
        <v>7058.2829999999994</v>
      </c>
      <c r="AA40" s="31">
        <f t="shared" ref="AA40" si="139">AA34-AA37-AA39-AA38</f>
        <v>8543.8480000000018</v>
      </c>
      <c r="AB40" s="32">
        <f t="shared" ref="AA40:AD40" si="140">AB34-AB37-AB39-AB38</f>
        <v>10006.941147724498</v>
      </c>
      <c r="AC40" s="32">
        <f t="shared" si="140"/>
        <v>11710.774560654187</v>
      </c>
      <c r="AD40" s="32">
        <f t="shared" si="140"/>
        <v>13388.400447809079</v>
      </c>
      <c r="AE40" s="32">
        <f t="shared" ref="AE40" si="141">AE34-AE37-AE39-AE38</f>
        <v>15328.766746324109</v>
      </c>
      <c r="AI40" s="31">
        <f t="shared" ref="AI40" si="142">AI34-AI37-AI39-AI38</f>
        <v>0</v>
      </c>
      <c r="AJ40" s="31">
        <f t="shared" ref="AJ40" si="143">AJ34-AJ37-AJ39-AJ38</f>
        <v>0</v>
      </c>
      <c r="AK40" s="31">
        <f t="shared" ref="AK40:AM40" si="144">AK34-AK37-AK39-AK38</f>
        <v>0</v>
      </c>
      <c r="AL40" s="31">
        <f t="shared" si="144"/>
        <v>0</v>
      </c>
      <c r="AM40" s="31">
        <f t="shared" si="144"/>
        <v>0</v>
      </c>
      <c r="AN40" s="31">
        <f t="shared" ref="AN40:AO40" si="145">AN34-AN37-AN39-AN38</f>
        <v>0</v>
      </c>
      <c r="AO40" s="31">
        <f t="shared" si="145"/>
        <v>0</v>
      </c>
      <c r="AP40" s="31">
        <f t="shared" ref="AP40:CD40" si="146">AP34-AP37-AP39-AP38</f>
        <v>0</v>
      </c>
      <c r="AQ40" s="31">
        <f t="shared" si="146"/>
        <v>0</v>
      </c>
      <c r="AR40" s="31">
        <f t="shared" si="146"/>
        <v>0</v>
      </c>
      <c r="AS40" s="31">
        <f t="shared" si="146"/>
        <v>0</v>
      </c>
      <c r="AT40" s="31">
        <f t="shared" si="146"/>
        <v>0</v>
      </c>
      <c r="AU40" s="31">
        <f t="shared" si="146"/>
        <v>0</v>
      </c>
      <c r="AV40" s="31">
        <f t="shared" si="146"/>
        <v>0</v>
      </c>
      <c r="AW40" s="31">
        <f t="shared" si="146"/>
        <v>0</v>
      </c>
      <c r="AX40" s="31">
        <f t="shared" si="146"/>
        <v>0</v>
      </c>
      <c r="AY40" s="31">
        <f t="shared" si="146"/>
        <v>0</v>
      </c>
      <c r="AZ40" s="31">
        <f t="shared" si="146"/>
        <v>0</v>
      </c>
      <c r="BA40" s="31">
        <f t="shared" si="146"/>
        <v>0</v>
      </c>
      <c r="BB40" s="31">
        <f t="shared" si="146"/>
        <v>0</v>
      </c>
      <c r="BC40" s="31">
        <f t="shared" si="146"/>
        <v>0</v>
      </c>
      <c r="BD40" s="31">
        <f t="shared" si="146"/>
        <v>0</v>
      </c>
      <c r="BE40" s="31">
        <f t="shared" si="146"/>
        <v>0</v>
      </c>
      <c r="BF40" s="31">
        <f t="shared" si="146"/>
        <v>615.90700000000015</v>
      </c>
      <c r="BG40" s="31">
        <f t="shared" si="146"/>
        <v>451.67999999999984</v>
      </c>
      <c r="BH40" s="31">
        <f t="shared" si="146"/>
        <v>511.649</v>
      </c>
      <c r="BI40" s="31">
        <f t="shared" si="146"/>
        <v>617.67400000000009</v>
      </c>
      <c r="BJ40" s="31">
        <f t="shared" si="146"/>
        <v>690.31700000000023</v>
      </c>
      <c r="BK40" s="31">
        <f t="shared" si="146"/>
        <v>600.66199999999992</v>
      </c>
      <c r="BL40" s="31">
        <f t="shared" si="146"/>
        <v>686.48900000000015</v>
      </c>
      <c r="BM40" s="31">
        <f t="shared" si="146"/>
        <v>763.23299999999995</v>
      </c>
      <c r="BN40" s="31">
        <f t="shared" si="146"/>
        <v>728.40099999999973</v>
      </c>
      <c r="BO40" s="31">
        <f t="shared" si="146"/>
        <v>294.96600000000001</v>
      </c>
      <c r="BP40" s="31">
        <f t="shared" si="146"/>
        <v>624.13999999999987</v>
      </c>
      <c r="BQ40" s="31">
        <f t="shared" si="146"/>
        <v>678.01500000000021</v>
      </c>
      <c r="BR40" s="31">
        <f t="shared" si="146"/>
        <v>794.38499999999999</v>
      </c>
      <c r="BS40" s="31">
        <f t="shared" si="146"/>
        <v>460.09</v>
      </c>
      <c r="BT40" s="31">
        <f t="shared" si="146"/>
        <v>691.15899999999988</v>
      </c>
      <c r="BU40" s="31">
        <f t="shared" si="146"/>
        <v>786.8610000000001</v>
      </c>
      <c r="BV40" s="31">
        <f t="shared" si="146"/>
        <v>911.44699999999989</v>
      </c>
      <c r="BW40" s="31">
        <f t="shared" si="146"/>
        <v>711.36899999999991</v>
      </c>
      <c r="BX40" s="31">
        <f t="shared" si="146"/>
        <v>894.89400000000035</v>
      </c>
      <c r="BY40" s="31">
        <f t="shared" si="146"/>
        <v>997.89099999999962</v>
      </c>
      <c r="BZ40" s="31">
        <f t="shared" si="146"/>
        <v>1127.8809999999996</v>
      </c>
      <c r="CA40" s="31">
        <f t="shared" si="146"/>
        <v>1060.202</v>
      </c>
      <c r="CB40" s="31">
        <f t="shared" si="146"/>
        <v>1183.79</v>
      </c>
      <c r="CC40" s="31">
        <f t="shared" si="146"/>
        <v>1282.6689999999999</v>
      </c>
      <c r="CD40" s="31">
        <f t="shared" si="146"/>
        <v>1706.8290000000004</v>
      </c>
      <c r="CE40" s="31">
        <f t="shared" ref="CE40:CF40" si="147">CE34-CE37-CE39-CE38</f>
        <v>1441.1659999999999</v>
      </c>
      <c r="CF40" s="31">
        <f t="shared" si="147"/>
        <v>1603.1599999999994</v>
      </c>
      <c r="CG40" s="31">
        <f t="shared" ref="CG40:CH40" si="148">CG34-CG37-CG39-CG38</f>
        <v>1618.6369999999999</v>
      </c>
      <c r="CH40" s="31">
        <f t="shared" si="148"/>
        <v>2172.2040000000002</v>
      </c>
      <c r="CI40" s="31">
        <f t="shared" ref="CI40:CJ40" si="149">CI34-CI37-CI39-CI38</f>
        <v>1763.7009999999998</v>
      </c>
      <c r="CJ40" s="31">
        <f t="shared" si="149"/>
        <v>2016.5769999999998</v>
      </c>
      <c r="CK40" s="31">
        <f t="shared" ref="CK40:CL40" si="150">CK34-CK37-CK39-CK38</f>
        <v>2108.0229999999992</v>
      </c>
      <c r="CL40" s="31">
        <f t="shared" si="150"/>
        <v>2408.5320000000006</v>
      </c>
      <c r="CM40" s="32">
        <f t="shared" ref="CM40:DB40" si="151">+CM41*CM34</f>
        <v>2103.7338281924899</v>
      </c>
      <c r="CN40" s="32">
        <f t="shared" si="151"/>
        <v>2259.8346215468241</v>
      </c>
      <c r="CO40" s="32">
        <f t="shared" si="151"/>
        <v>2623.4299568016622</v>
      </c>
      <c r="CP40" s="32">
        <f t="shared" si="151"/>
        <v>3019.9427411835195</v>
      </c>
      <c r="CQ40" s="32">
        <f t="shared" si="151"/>
        <v>2462.0268488794727</v>
      </c>
      <c r="CR40" s="32">
        <f t="shared" si="151"/>
        <v>2632.5023954007379</v>
      </c>
      <c r="CS40" s="32">
        <f t="shared" si="151"/>
        <v>3093.7628003153518</v>
      </c>
      <c r="CT40" s="32">
        <f t="shared" si="151"/>
        <v>3522.4825160586302</v>
      </c>
      <c r="CU40" s="32">
        <f t="shared" si="151"/>
        <v>2792.1577142083502</v>
      </c>
      <c r="CV40" s="32">
        <f t="shared" si="151"/>
        <v>3000.4680345666407</v>
      </c>
      <c r="CW40" s="32">
        <f t="shared" si="151"/>
        <v>3548.0734937559555</v>
      </c>
      <c r="CX40" s="32">
        <f t="shared" si="151"/>
        <v>4047.7012052781361</v>
      </c>
      <c r="CY40" s="32">
        <f t="shared" si="151"/>
        <v>3190.456334738577</v>
      </c>
      <c r="CZ40" s="32">
        <f t="shared" si="151"/>
        <v>3434.4373971889722</v>
      </c>
      <c r="DA40" s="32">
        <f t="shared" si="151"/>
        <v>4067.3109585904444</v>
      </c>
      <c r="DB40" s="32">
        <f t="shared" si="151"/>
        <v>4636.562055806121</v>
      </c>
      <c r="DE40" s="124"/>
      <c r="DF40" s="31">
        <v>2651.335031950985</v>
      </c>
    </row>
    <row r="41" spans="1:110" s="41" customFormat="1" x14ac:dyDescent="0.2">
      <c r="A41" s="41" t="s">
        <v>6</v>
      </c>
      <c r="B41" s="41" t="e">
        <f>B40/B34</f>
        <v>#DIV/0!</v>
      </c>
      <c r="C41" s="41" t="e">
        <f t="shared" ref="C41:U41" si="152">C40/C34</f>
        <v>#DIV/0!</v>
      </c>
      <c r="D41" s="41" t="e">
        <f t="shared" si="152"/>
        <v>#DIV/0!</v>
      </c>
      <c r="E41" s="41" t="e">
        <f t="shared" si="152"/>
        <v>#DIV/0!</v>
      </c>
      <c r="F41" s="41" t="e">
        <f t="shared" si="152"/>
        <v>#DIV/0!</v>
      </c>
      <c r="G41" s="41" t="e">
        <f t="shared" si="152"/>
        <v>#DIV/0!</v>
      </c>
      <c r="H41" s="41" t="e">
        <f t="shared" si="152"/>
        <v>#DIV/0!</v>
      </c>
      <c r="I41" s="41">
        <f t="shared" si="152"/>
        <v>0.2296245699835068</v>
      </c>
      <c r="J41" s="41">
        <f t="shared" si="152"/>
        <v>0.17913064165859352</v>
      </c>
      <c r="K41" s="41">
        <f t="shared" si="152"/>
        <v>1.0246176792604542</v>
      </c>
      <c r="L41" s="41" t="e">
        <f t="shared" si="152"/>
        <v>#DIV/0!</v>
      </c>
      <c r="M41" s="41">
        <f t="shared" si="152"/>
        <v>0.96616163381887255</v>
      </c>
      <c r="N41" s="41">
        <f t="shared" si="152"/>
        <v>0.98521833603846565</v>
      </c>
      <c r="O41" s="41">
        <f t="shared" si="152"/>
        <v>0.21921610860943841</v>
      </c>
      <c r="P41" s="41">
        <f t="shared" si="152"/>
        <v>0.25905925002697483</v>
      </c>
      <c r="Q41" s="41">
        <f t="shared" si="152"/>
        <v>0.28241141506469264</v>
      </c>
      <c r="R41" s="41">
        <f t="shared" si="152"/>
        <v>0.26452819094575636</v>
      </c>
      <c r="S41" s="41">
        <f t="shared" si="152"/>
        <v>0.27458319824586924</v>
      </c>
      <c r="T41" s="41">
        <f t="shared" si="152"/>
        <v>0.296283212481742</v>
      </c>
      <c r="U41" s="41">
        <f t="shared" si="152"/>
        <v>0.33440340296184962</v>
      </c>
      <c r="V41" s="41">
        <f>V40/V34</f>
        <v>0.2879632184493725</v>
      </c>
      <c r="W41" s="41">
        <f>W40/W34</f>
        <v>0.24998490219531513</v>
      </c>
      <c r="X41" s="41">
        <f>X40/X34</f>
        <v>0.28253960333087191</v>
      </c>
      <c r="Y41" s="41">
        <f>Y40/Y34</f>
        <v>0.30052883004598152</v>
      </c>
      <c r="Z41" s="41">
        <f>Z40/Z34</f>
        <v>0.31498502363832565</v>
      </c>
      <c r="AA41" s="41">
        <f>AA40/AA34</f>
        <v>0.29580077297329938</v>
      </c>
      <c r="AB41" s="42">
        <f t="shared" ref="AA41:AD41" si="153">AB40/AB34</f>
        <v>0.28027849829999246</v>
      </c>
      <c r="AC41" s="42">
        <f t="shared" si="153"/>
        <v>0.27517360113052985</v>
      </c>
      <c r="AD41" s="42">
        <f t="shared" si="153"/>
        <v>0.27474379256669929</v>
      </c>
      <c r="AE41" s="42">
        <f t="shared" ref="AE41" si="154">AE40/AE34</f>
        <v>0.27465662080932357</v>
      </c>
      <c r="AI41" s="41" t="e">
        <f t="shared" ref="AI41" si="155">AI40/AI34</f>
        <v>#DIV/0!</v>
      </c>
      <c r="AJ41" s="41" t="e">
        <f t="shared" ref="AJ41" si="156">AJ40/AJ34</f>
        <v>#DIV/0!</v>
      </c>
      <c r="AK41" s="41" t="e">
        <f t="shared" ref="AK41:AM41" si="157">AK40/AK34</f>
        <v>#DIV/0!</v>
      </c>
      <c r="AL41" s="41" t="e">
        <f t="shared" si="157"/>
        <v>#DIV/0!</v>
      </c>
      <c r="AM41" s="41" t="e">
        <f t="shared" si="157"/>
        <v>#DIV/0!</v>
      </c>
      <c r="AN41" s="41" t="e">
        <f t="shared" ref="AN41:AO41" si="158">AN40/AN34</f>
        <v>#DIV/0!</v>
      </c>
      <c r="AO41" s="41" t="e">
        <f t="shared" si="158"/>
        <v>#DIV/0!</v>
      </c>
      <c r="AP41" s="41" t="e">
        <f t="shared" ref="AP41:CD41" si="159">AP40/AP34</f>
        <v>#DIV/0!</v>
      </c>
      <c r="AQ41" s="41" t="e">
        <f t="shared" si="159"/>
        <v>#DIV/0!</v>
      </c>
      <c r="AR41" s="41" t="e">
        <f t="shared" si="159"/>
        <v>#DIV/0!</v>
      </c>
      <c r="AS41" s="41" t="e">
        <f t="shared" si="159"/>
        <v>#DIV/0!</v>
      </c>
      <c r="AT41" s="41" t="e">
        <f t="shared" si="159"/>
        <v>#DIV/0!</v>
      </c>
      <c r="AU41" s="41" t="e">
        <f t="shared" si="159"/>
        <v>#DIV/0!</v>
      </c>
      <c r="AV41" s="41" t="e">
        <f t="shared" si="159"/>
        <v>#DIV/0!</v>
      </c>
      <c r="AW41" s="41" t="e">
        <f t="shared" si="159"/>
        <v>#DIV/0!</v>
      </c>
      <c r="AX41" s="41" t="e">
        <f t="shared" si="159"/>
        <v>#DIV/0!</v>
      </c>
      <c r="AY41" s="41" t="e">
        <f t="shared" si="159"/>
        <v>#DIV/0!</v>
      </c>
      <c r="AZ41" s="41" t="e">
        <f t="shared" si="159"/>
        <v>#DIV/0!</v>
      </c>
      <c r="BA41" s="41" t="e">
        <f t="shared" si="159"/>
        <v>#DIV/0!</v>
      </c>
      <c r="BB41" s="41" t="e">
        <f t="shared" si="159"/>
        <v>#DIV/0!</v>
      </c>
      <c r="BC41" s="41" t="e">
        <f t="shared" si="159"/>
        <v>#DIV/0!</v>
      </c>
      <c r="BD41" s="41" t="e">
        <f t="shared" si="159"/>
        <v>#DIV/0!</v>
      </c>
      <c r="BE41" s="41" t="e">
        <f t="shared" si="159"/>
        <v>#DIV/0!</v>
      </c>
      <c r="BF41" s="41">
        <f t="shared" si="159"/>
        <v>0.29186502426731298</v>
      </c>
      <c r="BG41" s="41">
        <f t="shared" si="159"/>
        <v>0.2684343587421239</v>
      </c>
      <c r="BH41" s="41">
        <f t="shared" si="159"/>
        <v>0.28238959519387591</v>
      </c>
      <c r="BI41" s="41">
        <f t="shared" si="159"/>
        <v>0.30504860141897777</v>
      </c>
      <c r="BJ41" s="41">
        <f t="shared" si="159"/>
        <v>0.28020171753780893</v>
      </c>
      <c r="BK41" s="41">
        <f t="shared" si="159"/>
        <v>0.30782279108953708</v>
      </c>
      <c r="BL41" s="41">
        <f t="shared" si="159"/>
        <v>0.30620270006864586</v>
      </c>
      <c r="BM41" s="41">
        <f t="shared" si="159"/>
        <v>0.30440348948094509</v>
      </c>
      <c r="BN41" s="41">
        <f t="shared" si="159"/>
        <v>0.34207171004155656</v>
      </c>
      <c r="BO41" s="41">
        <f t="shared" si="159"/>
        <v>0.30203513227079803</v>
      </c>
      <c r="BP41" s="41">
        <f t="shared" si="159"/>
        <v>0.295285667380429</v>
      </c>
      <c r="BQ41" s="41">
        <f t="shared" si="159"/>
        <v>0.24687948323951156</v>
      </c>
      <c r="BR41" s="41">
        <f t="shared" si="159"/>
        <v>0.26994730423098734</v>
      </c>
      <c r="BS41" s="41">
        <f t="shared" si="159"/>
        <v>0.24799647267074448</v>
      </c>
      <c r="BT41" s="41">
        <f t="shared" si="159"/>
        <v>0.22988403671311514</v>
      </c>
      <c r="BU41" s="41">
        <f t="shared" si="159"/>
        <v>0.23335170029857688</v>
      </c>
      <c r="BV41" s="41">
        <f t="shared" si="159"/>
        <v>0.22958466814207215</v>
      </c>
      <c r="BW41" s="41">
        <f t="shared" si="159"/>
        <v>0.25995036829125062</v>
      </c>
      <c r="BX41" s="41">
        <f t="shared" si="159"/>
        <v>0.26854677678688793</v>
      </c>
      <c r="BY41" s="41">
        <f t="shared" si="159"/>
        <v>0.2685981467395136</v>
      </c>
      <c r="BZ41" s="41">
        <f t="shared" si="159"/>
        <v>0.26086128925792623</v>
      </c>
      <c r="CA41" s="41">
        <f t="shared" si="159"/>
        <v>0.27258880716782252</v>
      </c>
      <c r="CB41" s="41">
        <f t="shared" si="159"/>
        <v>0.28067212983768153</v>
      </c>
      <c r="CC41" s="41">
        <f t="shared" si="159"/>
        <v>0.29551384988261636</v>
      </c>
      <c r="CD41" s="41">
        <f t="shared" si="159"/>
        <v>0.30523266263046789</v>
      </c>
      <c r="CE41" s="41">
        <f t="shared" ref="CE41:CF41" si="160">CE40/CE34</f>
        <v>0.30675964180731075</v>
      </c>
      <c r="CF41" s="41">
        <f t="shared" si="160"/>
        <v>0.29156723664221534</v>
      </c>
      <c r="CG41" s="41">
        <f t="shared" ref="CG41:CH41" si="161">CG40/CG34</f>
        <v>0.3097240331247505</v>
      </c>
      <c r="CH41" s="41">
        <f t="shared" si="161"/>
        <v>0.31094572159114825</v>
      </c>
      <c r="CI41" s="41">
        <f t="shared" ref="CI41:CJ41" si="162">CI40/CI34</f>
        <v>0.29862989622714348</v>
      </c>
      <c r="CJ41" s="41">
        <f t="shared" si="162"/>
        <v>0.31133415292476957</v>
      </c>
      <c r="CK41" s="41">
        <f t="shared" ref="CK41:CL41" si="163">CK40/CK34</f>
        <v>0.27605914934898934</v>
      </c>
      <c r="CL41" s="41">
        <f t="shared" si="163"/>
        <v>0.27170604650449209</v>
      </c>
      <c r="CM41" s="42">
        <f t="shared" ref="CM41:CT41" si="164">AVERAGE(CI41:CL41)*0.99</f>
        <v>0.28653798813883513</v>
      </c>
      <c r="CN41" s="42">
        <f t="shared" si="164"/>
        <v>0.2835452408869788</v>
      </c>
      <c r="CO41" s="42">
        <f t="shared" si="164"/>
        <v>0.27666748515762563</v>
      </c>
      <c r="CP41" s="42">
        <f t="shared" si="164"/>
        <v>0.27681804827026307</v>
      </c>
      <c r="CQ41" s="42">
        <f t="shared" si="164"/>
        <v>0.27808326870729144</v>
      </c>
      <c r="CR41" s="42">
        <f t="shared" si="164"/>
        <v>0.27599072564798433</v>
      </c>
      <c r="CS41" s="42">
        <f t="shared" si="164"/>
        <v>0.27412098312633321</v>
      </c>
      <c r="CT41" s="42">
        <f t="shared" si="164"/>
        <v>0.2734907238735883</v>
      </c>
      <c r="CU41" s="42">
        <f t="shared" ref="CU41:DB41" si="165">AVERAGE(CQ41:CT41)</f>
        <v>0.27542142533879932</v>
      </c>
      <c r="CV41" s="42">
        <f t="shared" si="165"/>
        <v>0.27475596449667627</v>
      </c>
      <c r="CW41" s="42">
        <f t="shared" si="165"/>
        <v>0.27444727420884929</v>
      </c>
      <c r="CX41" s="42">
        <f t="shared" si="165"/>
        <v>0.27452884697947832</v>
      </c>
      <c r="CY41" s="42">
        <f t="shared" si="165"/>
        <v>0.27478837775595077</v>
      </c>
      <c r="CZ41" s="42">
        <f t="shared" si="165"/>
        <v>0.27463011586023867</v>
      </c>
      <c r="DA41" s="42">
        <f t="shared" si="165"/>
        <v>0.27459865370112924</v>
      </c>
      <c r="DB41" s="42">
        <f t="shared" si="165"/>
        <v>0.27463649857419925</v>
      </c>
      <c r="DE41" s="125"/>
      <c r="DF41" s="41">
        <v>0.29624980772278253</v>
      </c>
    </row>
    <row r="42" spans="1:110" s="39" customFormat="1" x14ac:dyDescent="0.2">
      <c r="A42" s="39" t="s">
        <v>447</v>
      </c>
      <c r="C42" s="39" t="e">
        <f t="shared" ref="C42:AE42" si="166">+IF(B40&lt;0,1-C40/B40,C40/B40-1)</f>
        <v>#DIV/0!</v>
      </c>
      <c r="D42" s="39" t="e">
        <f t="shared" si="166"/>
        <v>#DIV/0!</v>
      </c>
      <c r="E42" s="39" t="e">
        <f t="shared" si="166"/>
        <v>#DIV/0!</v>
      </c>
      <c r="F42" s="39" t="e">
        <f t="shared" si="166"/>
        <v>#DIV/0!</v>
      </c>
      <c r="G42" s="39" t="e">
        <f t="shared" si="166"/>
        <v>#DIV/0!</v>
      </c>
      <c r="H42" s="39" t="e">
        <f t="shared" si="166"/>
        <v>#DIV/0!</v>
      </c>
      <c r="I42" s="39" t="e">
        <f t="shared" si="166"/>
        <v>#DIV/0!</v>
      </c>
      <c r="J42" s="39">
        <f t="shared" si="166"/>
        <v>-0.18204745088379304</v>
      </c>
      <c r="K42" s="39">
        <f t="shared" si="166"/>
        <v>5.4199021530648102</v>
      </c>
      <c r="L42" s="39">
        <f t="shared" si="166"/>
        <v>-1</v>
      </c>
      <c r="M42" s="39" t="e">
        <f t="shared" si="166"/>
        <v>#DIV/0!</v>
      </c>
      <c r="N42" s="39">
        <f t="shared" si="166"/>
        <v>4.5662688783159044E-3</v>
      </c>
      <c r="O42" s="39">
        <f t="shared" si="166"/>
        <v>-0.7701461020665068</v>
      </c>
      <c r="P42" s="39">
        <f t="shared" si="166"/>
        <v>0.44803976739823703</v>
      </c>
      <c r="Q42" s="39">
        <f t="shared" si="166"/>
        <v>0.20098615949580179</v>
      </c>
      <c r="R42" s="39">
        <f t="shared" si="166"/>
        <v>-6.7475867342056128E-3</v>
      </c>
      <c r="S42" s="39">
        <f t="shared" si="166"/>
        <v>0.27772768011788762</v>
      </c>
      <c r="T42" s="39">
        <f t="shared" si="166"/>
        <v>0.27271098841750341</v>
      </c>
      <c r="U42" s="39">
        <f t="shared" si="166"/>
        <v>0.24800748948112483</v>
      </c>
      <c r="V42" s="39">
        <f t="shared" si="166"/>
        <v>-0.14255340837932651</v>
      </c>
      <c r="W42" s="39">
        <f t="shared" si="166"/>
        <v>0.20495607937310445</v>
      </c>
      <c r="X42" s="39">
        <f t="shared" si="166"/>
        <v>0.30656335675485025</v>
      </c>
      <c r="Y42" s="39">
        <f t="shared" si="166"/>
        <v>0.360101565326294</v>
      </c>
      <c r="Z42" s="39">
        <f t="shared" si="166"/>
        <v>0.30193642828117473</v>
      </c>
      <c r="AA42" s="39">
        <f t="shared" si="166"/>
        <v>0.21047115849562892</v>
      </c>
      <c r="AB42" s="40">
        <f t="shared" si="166"/>
        <v>0.17124522202694803</v>
      </c>
      <c r="AC42" s="40">
        <f t="shared" si="166"/>
        <v>0.17026515773175377</v>
      </c>
      <c r="AD42" s="40">
        <f t="shared" si="166"/>
        <v>0.14325490414539899</v>
      </c>
      <c r="AE42" s="40">
        <f t="shared" si="166"/>
        <v>0.14492891111817308</v>
      </c>
      <c r="AM42" s="39" t="e">
        <f>+IF(AI40&lt;0,1-AM40/AI40,AM40/AI40-1)</f>
        <v>#DIV/0!</v>
      </c>
      <c r="AN42" s="39" t="e">
        <f t="shared" ref="AN42" si="167">+IF(AJ40&lt;0,1-AN40/AJ40,AN40/AJ40-1)</f>
        <v>#DIV/0!</v>
      </c>
      <c r="AO42" s="39" t="e">
        <f t="shared" ref="AO42" si="168">+IF(AK40&lt;0,1-AO40/AK40,AO40/AK40-1)</f>
        <v>#DIV/0!</v>
      </c>
      <c r="AP42" s="39" t="e">
        <f t="shared" ref="AP42" si="169">+IF(AL40&lt;0,1-AP40/AL40,AP40/AL40-1)</f>
        <v>#DIV/0!</v>
      </c>
      <c r="AQ42" s="39" t="e">
        <f t="shared" ref="AQ42" si="170">+IF(AM40&lt;0,1-AQ40/AM40,AQ40/AM40-1)</f>
        <v>#DIV/0!</v>
      </c>
      <c r="AR42" s="39" t="e">
        <f t="shared" ref="AR42" si="171">+IF(AN40&lt;0,1-AR40/AN40,AR40/AN40-1)</f>
        <v>#DIV/0!</v>
      </c>
      <c r="AS42" s="39" t="e">
        <f t="shared" ref="AS42" si="172">+IF(AO40&lt;0,1-AS40/AO40,AS40/AO40-1)</f>
        <v>#DIV/0!</v>
      </c>
      <c r="AT42" s="39" t="e">
        <f t="shared" ref="AT42" si="173">+IF(AP40&lt;0,1-AT40/AP40,AT40/AP40-1)</f>
        <v>#DIV/0!</v>
      </c>
      <c r="AU42" s="39" t="e">
        <f t="shared" ref="AU42" si="174">+IF(AQ40&lt;0,1-AU40/AQ40,AU40/AQ40-1)</f>
        <v>#DIV/0!</v>
      </c>
      <c r="AV42" s="39" t="e">
        <f t="shared" ref="AV42" si="175">+IF(AR40&lt;0,1-AV40/AR40,AV40/AR40-1)</f>
        <v>#DIV/0!</v>
      </c>
      <c r="AW42" s="39" t="e">
        <f t="shared" ref="AW42" si="176">+IF(AS40&lt;0,1-AW40/AS40,AW40/AS40-1)</f>
        <v>#DIV/0!</v>
      </c>
      <c r="AX42" s="39" t="e">
        <f t="shared" ref="AX42" si="177">+IF(AT40&lt;0,1-AX40/AT40,AX40/AT40-1)</f>
        <v>#DIV/0!</v>
      </c>
      <c r="AY42" s="39" t="e">
        <f t="shared" ref="AY42" si="178">+IF(AU40&lt;0,1-AY40/AU40,AY40/AU40-1)</f>
        <v>#DIV/0!</v>
      </c>
      <c r="AZ42" s="39" t="e">
        <f t="shared" ref="AZ42" si="179">+IF(AV40&lt;0,1-AZ40/AV40,AZ40/AV40-1)</f>
        <v>#DIV/0!</v>
      </c>
      <c r="BA42" s="39" t="e">
        <f t="shared" ref="BA42" si="180">+IF(AW40&lt;0,1-BA40/AW40,BA40/AW40-1)</f>
        <v>#DIV/0!</v>
      </c>
      <c r="BB42" s="39" t="e">
        <f t="shared" ref="BB42" si="181">+IF(AX40&lt;0,1-BB40/AX40,BB40/AX40-1)</f>
        <v>#DIV/0!</v>
      </c>
      <c r="BC42" s="39" t="e">
        <f t="shared" ref="BC42" si="182">+IF(AY40&lt;0,1-BC40/AY40,BC40/AY40-1)</f>
        <v>#DIV/0!</v>
      </c>
      <c r="BD42" s="39" t="e">
        <f t="shared" ref="BD42" si="183">+IF(AZ40&lt;0,1-BD40/AZ40,BD40/AZ40-1)</f>
        <v>#DIV/0!</v>
      </c>
      <c r="BE42" s="39" t="e">
        <f t="shared" ref="BE42" si="184">+IF(BA40&lt;0,1-BE40/BA40,BE40/BA40-1)</f>
        <v>#DIV/0!</v>
      </c>
      <c r="BF42" s="39" t="e">
        <f t="shared" ref="BF42" si="185">+IF(BB40&lt;0,1-BF40/BB40,BF40/BB40-1)</f>
        <v>#DIV/0!</v>
      </c>
      <c r="BG42" s="39" t="e">
        <f t="shared" ref="BG42" si="186">+IF(BC40&lt;0,1-BG40/BC40,BG40/BC40-1)</f>
        <v>#DIV/0!</v>
      </c>
      <c r="BH42" s="39" t="e">
        <f t="shared" ref="BH42" si="187">+IF(BD40&lt;0,1-BH40/BD40,BH40/BD40-1)</f>
        <v>#DIV/0!</v>
      </c>
      <c r="BI42" s="39" t="e">
        <f t="shared" ref="BI42" si="188">+IF(BE40&lt;0,1-BI40/BE40,BI40/BE40-1)</f>
        <v>#DIV/0!</v>
      </c>
      <c r="BJ42" s="39">
        <f t="shared" ref="BJ42" si="189">+IF(BF40&lt;0,1-BJ40/BF40,BJ40/BF40-1)</f>
        <v>0.12081369427527222</v>
      </c>
      <c r="BK42" s="39">
        <f t="shared" ref="BK42" si="190">+IF(BG40&lt;0,1-BK40/BG40,BK40/BG40-1)</f>
        <v>0.32983970952887032</v>
      </c>
      <c r="BL42" s="39">
        <f t="shared" ref="BL42" si="191">+IF(BH40&lt;0,1-BL40/BH40,BL40/BH40-1)</f>
        <v>0.34171863914519562</v>
      </c>
      <c r="BM42" s="39">
        <f t="shared" ref="BM42" si="192">+IF(BI40&lt;0,1-BM40/BI40,BM40/BI40-1)</f>
        <v>0.23565667326129947</v>
      </c>
      <c r="BN42" s="39">
        <f t="shared" ref="BN42" si="193">+IF(BJ40&lt;0,1-BN40/BJ40,BN40/BJ40-1)</f>
        <v>5.5168857206181254E-2</v>
      </c>
      <c r="BO42" s="39">
        <f t="shared" ref="BO42" si="194">+IF(BK40&lt;0,1-BO40/BK40,BO40/BK40-1)</f>
        <v>-0.50893181190086922</v>
      </c>
      <c r="BP42" s="39">
        <f t="shared" ref="BP42" si="195">+IF(BL40&lt;0,1-BP40/BL40,BP40/BL40-1)</f>
        <v>-9.0823013915736883E-2</v>
      </c>
      <c r="BQ42" s="39">
        <f t="shared" ref="BQ42" si="196">+IF(BM40&lt;0,1-BQ40/BM40,BQ40/BM40-1)</f>
        <v>-0.11165397722582715</v>
      </c>
      <c r="BR42" s="39">
        <f t="shared" ref="BR42" si="197">+IF(BN40&lt;0,1-BR40/BN40,BR40/BN40-1)</f>
        <v>9.0587464871685119E-2</v>
      </c>
      <c r="BS42" s="39">
        <f t="shared" ref="BS42" si="198">+IF(BO40&lt;0,1-BS40/BO40,BS40/BO40-1)</f>
        <v>0.55980689299783681</v>
      </c>
      <c r="BT42" s="39">
        <f t="shared" ref="BT42" si="199">+IF(BP40&lt;0,1-BT40/BP40,BT40/BP40-1)</f>
        <v>0.10737815233761649</v>
      </c>
      <c r="BU42" s="39">
        <f t="shared" ref="BU42" si="200">+IF(BQ40&lt;0,1-BU40/BQ40,BU40/BQ40-1)</f>
        <v>0.16053627132143067</v>
      </c>
      <c r="BV42" s="39">
        <f t="shared" ref="BV42" si="201">+IF(BR40&lt;0,1-BV40/BR40,BV40/BR40-1)</f>
        <v>0.14736179560288765</v>
      </c>
      <c r="BW42" s="39">
        <f t="shared" ref="BW42" si="202">+IF(BS40&lt;0,1-BW40/BS40,BW40/BS40-1)</f>
        <v>0.546151839857419</v>
      </c>
      <c r="BX42" s="39">
        <f t="shared" ref="BX42" si="203">+IF(BT40&lt;0,1-BX40/BT40,BX40/BT40-1)</f>
        <v>0.29477298277241637</v>
      </c>
      <c r="BY42" s="39">
        <f t="shared" ref="BY42" si="204">+IF(BU40&lt;0,1-BY40/BU40,BY40/BU40-1)</f>
        <v>0.26819222200617321</v>
      </c>
      <c r="BZ42" s="39">
        <f t="shared" ref="BZ42" si="205">+IF(BV40&lt;0,1-BZ40/BV40,BZ40/BV40-1)</f>
        <v>0.23746196981283574</v>
      </c>
      <c r="CA42" s="39">
        <f t="shared" ref="CA42" si="206">+IF(BW40&lt;0,1-CA40/BW40,CA40/BW40-1)</f>
        <v>0.49036857102291509</v>
      </c>
      <c r="CB42" s="39">
        <f t="shared" ref="CB42" si="207">+IF(BX40&lt;0,1-CB40/BX40,CB40/BX40-1)</f>
        <v>0.32282706108209402</v>
      </c>
      <c r="CC42" s="39">
        <f t="shared" ref="CC42" si="208">+IF(BY40&lt;0,1-CC40/BY40,CC40/BY40-1)</f>
        <v>0.28537986613768473</v>
      </c>
      <c r="CD42" s="39">
        <f t="shared" ref="CD42" si="209">+IF(BZ40&lt;0,1-CD40/BZ40,CD40/BZ40-1)</f>
        <v>0.51330592500450045</v>
      </c>
      <c r="CE42" s="39">
        <f t="shared" ref="CE42" si="210">+IF(CA40&lt;0,1-CE40/CA40,CE40/CA40-1)</f>
        <v>0.35933152361531095</v>
      </c>
      <c r="CF42" s="39">
        <f t="shared" ref="CF42" si="211">+IF(CB40&lt;0,1-CF40/CB40,CF40/CB40-1)</f>
        <v>0.35426046849525639</v>
      </c>
      <c r="CG42" s="39">
        <f t="shared" ref="CG42" si="212">+IF(CC40&lt;0,1-CG40/CC40,CG40/CC40-1)</f>
        <v>0.26192883744754103</v>
      </c>
      <c r="CH42" s="39">
        <f t="shared" ref="CH42:CL42" si="213">+IF(CD40&lt;0,1-CH40/CD40,CH40/CD40-1)</f>
        <v>0.27265472991143214</v>
      </c>
      <c r="CI42" s="39">
        <f t="shared" si="213"/>
        <v>0.22380142190420793</v>
      </c>
      <c r="CJ42" s="39">
        <f t="shared" si="213"/>
        <v>0.2578763192694431</v>
      </c>
      <c r="CK42" s="39">
        <f t="shared" si="213"/>
        <v>0.30234450343097263</v>
      </c>
      <c r="CL42" s="39">
        <f t="shared" si="213"/>
        <v>0.10879641138677609</v>
      </c>
      <c r="CM42" s="40">
        <f t="shared" ref="CM42" si="214">+CM40/CI40-1</f>
        <v>0.19279505323889379</v>
      </c>
      <c r="CN42" s="40">
        <f t="shared" ref="CN42" si="215">+CN40/CJ40-1</f>
        <v>0.12062897749345769</v>
      </c>
      <c r="CO42" s="40">
        <f t="shared" ref="CO42" si="216">+CO40/CK40-1</f>
        <v>0.24449778622038898</v>
      </c>
      <c r="CP42" s="40">
        <f t="shared" ref="CP42" si="217">+CP40/CL40-1</f>
        <v>0.25385203152107549</v>
      </c>
      <c r="CQ42" s="40">
        <f t="shared" ref="CQ42" si="218">+CQ40/CM40-1</f>
        <v>0.17031290550422207</v>
      </c>
      <c r="CR42" s="40">
        <f t="shared" ref="CR42" si="219">+CR40/CN40-1</f>
        <v>0.16490931252253671</v>
      </c>
      <c r="CS42" s="40">
        <f t="shared" ref="CS42" si="220">+CS40/CO40-1</f>
        <v>0.17928164702635807</v>
      </c>
      <c r="CT42" s="40">
        <f t="shared" ref="CT42" si="221">+CT40/CP40-1</f>
        <v>0.16640705402188005</v>
      </c>
      <c r="CU42" s="40">
        <f t="shared" ref="CU42" si="222">+CU40/CQ40-1</f>
        <v>0.13408905978386376</v>
      </c>
      <c r="CV42" s="40">
        <f t="shared" ref="CV42" si="223">+CV40/CR40-1</f>
        <v>0.13977789338721136</v>
      </c>
      <c r="CW42" s="40">
        <f t="shared" ref="CW42" si="224">+CW40/CS40-1</f>
        <v>0.14684729333299096</v>
      </c>
      <c r="CX42" s="40">
        <f t="shared" ref="CX42" si="225">+CX40/CT40-1</f>
        <v>0.1491046972767327</v>
      </c>
      <c r="CY42" s="40">
        <f t="shared" ref="CY42" si="226">+CY40/CU40-1</f>
        <v>0.14264904109944054</v>
      </c>
      <c r="CZ42" s="40">
        <f t="shared" ref="CZ42" si="227">+CZ40/CV40-1</f>
        <v>0.14463388965415525</v>
      </c>
      <c r="DA42" s="40">
        <f t="shared" ref="DA42" si="228">+DA40/CW40-1</f>
        <v>0.14634349196775776</v>
      </c>
      <c r="DB42" s="40">
        <f t="shared" ref="DB42" si="229">+DB40/CX40-1</f>
        <v>0.14548031602730949</v>
      </c>
      <c r="DE42" s="122"/>
      <c r="DF42" s="39">
        <v>0.22057368090243124</v>
      </c>
    </row>
    <row r="43" spans="1:110" s="39" customFormat="1" x14ac:dyDescent="0.2">
      <c r="A43" s="39" t="s">
        <v>448</v>
      </c>
      <c r="AB43" s="40"/>
      <c r="AC43" s="40"/>
      <c r="AD43" s="40"/>
      <c r="AE43" s="40"/>
      <c r="AJ43" s="39" t="e">
        <f>+IF(AI40&lt;0,1-AJ40/AI40,AJ40/AI40-1)</f>
        <v>#DIV/0!</v>
      </c>
      <c r="AK43" s="39" t="e">
        <f t="shared" ref="AK43" si="230">+IF(AJ40&lt;0,1-AK40/AJ40,AK40/AJ40-1)</f>
        <v>#DIV/0!</v>
      </c>
      <c r="AL43" s="39" t="e">
        <f t="shared" ref="AL43" si="231">+IF(AK40&lt;0,1-AL40/AK40,AL40/AK40-1)</f>
        <v>#DIV/0!</v>
      </c>
      <c r="AM43" s="39" t="e">
        <f t="shared" ref="AM43" si="232">+IF(AL40&lt;0,1-AM40/AL40,AM40/AL40-1)</f>
        <v>#DIV/0!</v>
      </c>
      <c r="AN43" s="39" t="e">
        <f t="shared" ref="AN43" si="233">+IF(AM40&lt;0,1-AN40/AM40,AN40/AM40-1)</f>
        <v>#DIV/0!</v>
      </c>
      <c r="AO43" s="39" t="e">
        <f t="shared" ref="AO43" si="234">+IF(AN40&lt;0,1-AO40/AN40,AO40/AN40-1)</f>
        <v>#DIV/0!</v>
      </c>
      <c r="AP43" s="39" t="e">
        <f t="shared" ref="AP43" si="235">+IF(AO40&lt;0,1-AP40/AO40,AP40/AO40-1)</f>
        <v>#DIV/0!</v>
      </c>
      <c r="AQ43" s="39" t="e">
        <f t="shared" ref="AQ43" si="236">+IF(AP40&lt;0,1-AQ40/AP40,AQ40/AP40-1)</f>
        <v>#DIV/0!</v>
      </c>
      <c r="AR43" s="39" t="e">
        <f t="shared" ref="AR43" si="237">+IF(AQ40&lt;0,1-AR40/AQ40,AR40/AQ40-1)</f>
        <v>#DIV/0!</v>
      </c>
      <c r="AS43" s="39" t="e">
        <f t="shared" ref="AS43" si="238">+IF(AR40&lt;0,1-AS40/AR40,AS40/AR40-1)</f>
        <v>#DIV/0!</v>
      </c>
      <c r="AT43" s="39" t="e">
        <f t="shared" ref="AT43" si="239">+IF(AS40&lt;0,1-AT40/AS40,AT40/AS40-1)</f>
        <v>#DIV/0!</v>
      </c>
      <c r="AU43" s="39" t="e">
        <f t="shared" ref="AU43" si="240">+IF(AT40&lt;0,1-AU40/AT40,AU40/AT40-1)</f>
        <v>#DIV/0!</v>
      </c>
      <c r="AV43" s="39" t="e">
        <f t="shared" ref="AV43" si="241">+IF(AU40&lt;0,1-AV40/AU40,AV40/AU40-1)</f>
        <v>#DIV/0!</v>
      </c>
      <c r="AW43" s="39" t="e">
        <f t="shared" ref="AW43" si="242">+IF(AV40&lt;0,1-AW40/AV40,AW40/AV40-1)</f>
        <v>#DIV/0!</v>
      </c>
      <c r="AX43" s="39" t="e">
        <f t="shared" ref="AX43" si="243">+IF(AW40&lt;0,1-AX40/AW40,AX40/AW40-1)</f>
        <v>#DIV/0!</v>
      </c>
      <c r="AY43" s="39" t="e">
        <f t="shared" ref="AY43" si="244">+IF(AX40&lt;0,1-AY40/AX40,AY40/AX40-1)</f>
        <v>#DIV/0!</v>
      </c>
      <c r="AZ43" s="39" t="e">
        <f t="shared" ref="AZ43" si="245">+IF(AY40&lt;0,1-AZ40/AY40,AZ40/AY40-1)</f>
        <v>#DIV/0!</v>
      </c>
      <c r="BA43" s="39" t="e">
        <f t="shared" ref="BA43" si="246">+IF(AZ40&lt;0,1-BA40/AZ40,BA40/AZ40-1)</f>
        <v>#DIV/0!</v>
      </c>
      <c r="BB43" s="39" t="e">
        <f t="shared" ref="BB43" si="247">+IF(BA40&lt;0,1-BB40/BA40,BB40/BA40-1)</f>
        <v>#DIV/0!</v>
      </c>
      <c r="BC43" s="39" t="e">
        <f t="shared" ref="BC43" si="248">+IF(BB40&lt;0,1-BC40/BB40,BC40/BB40-1)</f>
        <v>#DIV/0!</v>
      </c>
      <c r="BD43" s="39" t="e">
        <f t="shared" ref="BD43" si="249">+IF(BC40&lt;0,1-BD40/BC40,BD40/BC40-1)</f>
        <v>#DIV/0!</v>
      </c>
      <c r="BE43" s="39" t="e">
        <f t="shared" ref="BE43" si="250">+IF(BD40&lt;0,1-BE40/BD40,BE40/BD40-1)</f>
        <v>#DIV/0!</v>
      </c>
      <c r="BF43" s="39" t="e">
        <f t="shared" ref="BF43" si="251">+IF(BE40&lt;0,1-BF40/BE40,BF40/BE40-1)</f>
        <v>#DIV/0!</v>
      </c>
      <c r="BG43" s="39">
        <f t="shared" ref="BG43" si="252">+IF(BF40&lt;0,1-BG40/BF40,BG40/BF40-1)</f>
        <v>-0.26664252882334549</v>
      </c>
      <c r="BH43" s="39">
        <f t="shared" ref="BH43" si="253">+IF(BG40&lt;0,1-BH40/BG40,BH40/BG40-1)</f>
        <v>0.13276877435352508</v>
      </c>
      <c r="BI43" s="39">
        <f t="shared" ref="BI43" si="254">+IF(BH40&lt;0,1-BI40/BH40,BI40/BH40-1)</f>
        <v>0.20722213861455829</v>
      </c>
      <c r="BJ43" s="39">
        <f t="shared" ref="BJ43" si="255">+IF(BI40&lt;0,1-BJ40/BI40,BJ40/BI40-1)</f>
        <v>0.1176073462700391</v>
      </c>
      <c r="BK43" s="39">
        <f t="shared" ref="BK43" si="256">+IF(BJ40&lt;0,1-BK40/BJ40,BK40/BJ40-1)</f>
        <v>-0.12987511534555907</v>
      </c>
      <c r="BL43" s="39">
        <f t="shared" ref="BL43" si="257">+IF(BK40&lt;0,1-BL40/BK40,BL40/BK40-1)</f>
        <v>0.1428873476264525</v>
      </c>
      <c r="BM43" s="39">
        <f t="shared" ref="BM43" si="258">+IF(BL40&lt;0,1-BM40/BL40,BM40/BL40-1)</f>
        <v>0.11179203162760043</v>
      </c>
      <c r="BN43" s="39">
        <f t="shared" ref="BN43" si="259">+IF(BM40&lt;0,1-BN40/BM40,BN40/BM40-1)</f>
        <v>-4.5637439680936476E-2</v>
      </c>
      <c r="BO43" s="39">
        <f t="shared" ref="BO43" si="260">+IF(BN40&lt;0,1-BO40/BN40,BO40/BN40-1)</f>
        <v>-0.59504997933830395</v>
      </c>
      <c r="BP43" s="39">
        <f t="shared" ref="BP43" si="261">+IF(BO40&lt;0,1-BP40/BO40,BP40/BO40-1)</f>
        <v>1.1159726883776431</v>
      </c>
      <c r="BQ43" s="39">
        <f t="shared" ref="BQ43" si="262">+IF(BP40&lt;0,1-BQ40/BP40,BQ40/BP40-1)</f>
        <v>8.63187746338967E-2</v>
      </c>
      <c r="BR43" s="39">
        <f t="shared" ref="BR43" si="263">+IF(BQ40&lt;0,1-BR40/BQ40,BR40/BQ40-1)</f>
        <v>0.17163337094312037</v>
      </c>
      <c r="BS43" s="39">
        <f t="shared" ref="BS43" si="264">+IF(BR40&lt;0,1-BS40/BR40,BS40/BR40-1)</f>
        <v>-0.42082239720034997</v>
      </c>
      <c r="BT43" s="39">
        <f t="shared" ref="BT43" si="265">+IF(BS40&lt;0,1-BT40/BS40,BT40/BS40-1)</f>
        <v>0.50222565150296661</v>
      </c>
      <c r="BU43" s="39">
        <f t="shared" ref="BU43" si="266">+IF(BT40&lt;0,1-BU40/BT40,BU40/BT40-1)</f>
        <v>0.13846596803340505</v>
      </c>
      <c r="BV43" s="39">
        <f t="shared" ref="BV43" si="267">+IF(BU40&lt;0,1-BV40/BU40,BV40/BU40-1)</f>
        <v>0.15833292029977319</v>
      </c>
      <c r="BW43" s="39">
        <f t="shared" ref="BW43" si="268">+IF(BV40&lt;0,1-BW40/BV40,BW40/BV40-1)</f>
        <v>-0.21951687810701004</v>
      </c>
      <c r="BX43" s="39">
        <f t="shared" ref="BX43" si="269">+IF(BW40&lt;0,1-BX40/BW40,BX40/BW40-1)</f>
        <v>0.25798847011888415</v>
      </c>
      <c r="BY43" s="39">
        <f t="shared" ref="BY43" si="270">+IF(BX40&lt;0,1-BY40/BX40,BY40/BX40-1)</f>
        <v>0.11509407818132567</v>
      </c>
      <c r="BZ43" s="39">
        <f t="shared" ref="BZ43" si="271">+IF(BY40&lt;0,1-BZ40/BY40,BZ40/BY40-1)</f>
        <v>0.13026472831201019</v>
      </c>
      <c r="CA43" s="39">
        <f t="shared" ref="CA43" si="272">+IF(BZ40&lt;0,1-CA40/BZ40,CA40/BZ40-1)</f>
        <v>-6.0005443836716466E-2</v>
      </c>
      <c r="CB43" s="39">
        <f t="shared" ref="CB43" si="273">+IF(CA40&lt;0,1-CB40/CA40,CB40/CA40-1)</f>
        <v>0.11657023850171955</v>
      </c>
      <c r="CC43" s="39">
        <f t="shared" ref="CC43" si="274">+IF(CB40&lt;0,1-CC40/CB40,CC40/CB40-1)</f>
        <v>8.3527483759788357E-2</v>
      </c>
      <c r="CD43" s="39">
        <f t="shared" ref="CD43" si="275">+IF(CC40&lt;0,1-CD40/CC40,CD40/CC40-1)</f>
        <v>0.3306854691272656</v>
      </c>
      <c r="CE43" s="39">
        <f t="shared" ref="CE43" si="276">+IF(CD40&lt;0,1-CE40/CD40,CE40/CD40-1)</f>
        <v>-0.15564710934721659</v>
      </c>
      <c r="CF43" s="39">
        <f t="shared" ref="CF43" si="277">+IF(CE40&lt;0,1-CF40/CE40,CF40/CE40-1)</f>
        <v>0.11240481665540236</v>
      </c>
      <c r="CG43" s="39">
        <f t="shared" ref="CG43" si="278">+IF(CF40&lt;0,1-CG40/CF40,CG40/CF40-1)</f>
        <v>9.6540582349862181E-3</v>
      </c>
      <c r="CH43" s="39">
        <f t="shared" ref="CH43:CL43" si="279">+IF(CG40&lt;0,1-CH40/CG40,CH40/CG40-1)</f>
        <v>0.3419957655731336</v>
      </c>
      <c r="CI43" s="39">
        <f t="shared" si="279"/>
        <v>-0.18805922464004321</v>
      </c>
      <c r="CJ43" s="39">
        <f t="shared" si="279"/>
        <v>0.1433780442376571</v>
      </c>
      <c r="CK43" s="39">
        <f t="shared" si="279"/>
        <v>4.5347140228218175E-2</v>
      </c>
      <c r="CL43" s="39">
        <f t="shared" si="279"/>
        <v>0.14255489622266992</v>
      </c>
      <c r="CM43" s="40">
        <f t="shared" ref="CM43" si="280">+CM40/CL40-1</f>
        <v>-0.12654935529505551</v>
      </c>
      <c r="CN43" s="40">
        <f t="shared" ref="CN43" si="281">+CN40/CM40-1</f>
        <v>7.420177936124861E-2</v>
      </c>
      <c r="CO43" s="40">
        <f t="shared" ref="CO43" si="282">+CO40/CN40-1</f>
        <v>0.16089466538306341</v>
      </c>
      <c r="CP43" s="40">
        <f t="shared" ref="CP43" si="283">+CP40/CO40-1</f>
        <v>0.15114288961816347</v>
      </c>
      <c r="CQ43" s="40">
        <f t="shared" ref="CQ43" si="284">+CQ40/CP40-1</f>
        <v>-0.18474386441028967</v>
      </c>
      <c r="CR43" s="40">
        <f t="shared" ref="CR43" si="285">+CR40/CQ40-1</f>
        <v>6.9241952661423189E-2</v>
      </c>
      <c r="CS43" s="40">
        <f t="shared" ref="CS43" si="286">+CS40/CR40-1</f>
        <v>0.1752174682615617</v>
      </c>
      <c r="CT43" s="40">
        <f t="shared" ref="CT43" si="287">+CT40/CS40-1</f>
        <v>0.13857549638245636</v>
      </c>
      <c r="CU43" s="40">
        <f t="shared" ref="CU43" si="288">+CU40/CT40-1</f>
        <v>-0.20733241358070775</v>
      </c>
      <c r="CV43" s="40">
        <f t="shared" ref="CV43" si="289">+CV40/CU40-1</f>
        <v>7.4605499287618837E-2</v>
      </c>
      <c r="CW43" s="40">
        <f t="shared" ref="CW43" si="290">+CW40/CV40-1</f>
        <v>0.18250667991815672</v>
      </c>
      <c r="CX43" s="40">
        <f t="shared" ref="CX43" si="291">+CX40/CW40-1</f>
        <v>0.14081661848364924</v>
      </c>
      <c r="CY43" s="40">
        <f t="shared" ref="CY43" si="292">+CY40/CX40-1</f>
        <v>-0.211785610415543</v>
      </c>
      <c r="CZ43" s="40">
        <f t="shared" ref="CZ43" si="293">+CZ40/CY40-1</f>
        <v>7.6472152210284694E-2</v>
      </c>
      <c r="DA43" s="40">
        <f t="shared" ref="DA43" si="294">+DA40/CZ40-1</f>
        <v>0.18427284827479129</v>
      </c>
      <c r="DB43" s="40">
        <f t="shared" ref="DB43" si="295">+DB40/DA40-1</f>
        <v>0.13995760417908998</v>
      </c>
      <c r="DE43" s="122"/>
      <c r="DF43" s="39">
        <v>0.25773534347157789</v>
      </c>
    </row>
    <row r="44" spans="1:110" s="23" customFormat="1" outlineLevel="1" x14ac:dyDescent="0.2">
      <c r="A44" s="23" t="s">
        <v>8</v>
      </c>
      <c r="B44" s="23">
        <f>'Annual Raw'!C14</f>
        <v>0</v>
      </c>
      <c r="C44" s="23">
        <f>'Annual Raw'!D14</f>
        <v>0</v>
      </c>
      <c r="D44" s="23">
        <f>'Annual Raw'!E14</f>
        <v>0</v>
      </c>
      <c r="E44" s="23">
        <f>'Annual Raw'!F14</f>
        <v>0</v>
      </c>
      <c r="F44" s="23">
        <f>'Annual Raw'!G14</f>
        <v>0</v>
      </c>
      <c r="G44" s="23">
        <f>'Annual Raw'!H14</f>
        <v>0</v>
      </c>
      <c r="H44" s="23">
        <f>'Annual Raw'!I14</f>
        <v>0</v>
      </c>
      <c r="I44" s="23">
        <f>'Annual Raw'!J14</f>
        <v>10.430059</v>
      </c>
      <c r="J44" s="23">
        <f>'Annual Raw'!K14</f>
        <v>15.2822528</v>
      </c>
      <c r="K44" s="23">
        <f>'Annual Raw'!L14</f>
        <v>0</v>
      </c>
      <c r="L44" s="23">
        <f>'Annual Raw'!M14</f>
        <v>0</v>
      </c>
      <c r="M44" s="23">
        <f>'Annual Raw'!N14</f>
        <v>0</v>
      </c>
      <c r="N44" s="23">
        <f>'Annual Raw'!O14</f>
        <v>0</v>
      </c>
      <c r="O44" s="23">
        <f>'Annual Raw'!P14</f>
        <v>113.938</v>
      </c>
      <c r="P44" s="23">
        <f>'Annual Raw'!Q14</f>
        <v>161.887</v>
      </c>
      <c r="Q44" s="23">
        <f>'Annual Raw'!R14</f>
        <v>206.06</v>
      </c>
      <c r="R44" s="23">
        <f>'Annual Raw'!S14</f>
        <v>229.09800000000001</v>
      </c>
      <c r="S44" s="23">
        <f>'Annual Raw'!T14</f>
        <v>259.255</v>
      </c>
      <c r="T44" s="23">
        <f>'Annual Raw'!U14</f>
        <v>300.24799999999999</v>
      </c>
      <c r="U44" s="23">
        <f>'Annual Raw'!V14</f>
        <v>365.74599999999998</v>
      </c>
      <c r="V44" s="23">
        <f>'Annual Raw'!W14</f>
        <v>353.72899999999998</v>
      </c>
      <c r="W44" s="23">
        <f>'Annual Raw'!X14</f>
        <v>406.62799999999999</v>
      </c>
      <c r="X44" s="23">
        <f>'Annual Raw'!Y14</f>
        <v>456.77199999999999</v>
      </c>
      <c r="Y44" s="23">
        <f>'Annual Raw'!Z14</f>
        <v>609.54200000000003</v>
      </c>
      <c r="Z44" s="23">
        <f>'Annual Raw'!AA14</f>
        <v>736.726</v>
      </c>
      <c r="AA44" s="23">
        <f>'Annual Raw'!AB14</f>
        <v>879.42399999999998</v>
      </c>
      <c r="AB44" s="76">
        <f t="shared" ref="AB44:AB49" si="296">+SUM(CM44:CP44)</f>
        <v>940.98368000000005</v>
      </c>
      <c r="AC44" s="76">
        <f t="shared" ref="AC44:AC49" si="297">+SUM(CQ44:CT44)</f>
        <v>1006.8525376000001</v>
      </c>
      <c r="AD44" s="76">
        <f t="shared" ref="AD44:AD49" si="298">+SUM(CU44:CX44)</f>
        <v>1077.3322152320002</v>
      </c>
      <c r="AE44" s="76">
        <f t="shared" ref="AE44:AE49" si="299">+SUM(CY44:DB44)</f>
        <v>1152.7454702982402</v>
      </c>
      <c r="AI44" s="23">
        <f>'QTR Raw'!C16</f>
        <v>0</v>
      </c>
      <c r="AJ44" s="23">
        <f>'QTR Raw'!D16</f>
        <v>0</v>
      </c>
      <c r="AK44" s="23">
        <f>'QTR Raw'!E16</f>
        <v>0</v>
      </c>
      <c r="AL44" s="23">
        <f>'QTR Raw'!F16</f>
        <v>0</v>
      </c>
      <c r="AM44" s="23">
        <f>'QTR Raw'!G16</f>
        <v>0</v>
      </c>
      <c r="AN44" s="23">
        <f>'QTR Raw'!H16</f>
        <v>0</v>
      </c>
      <c r="AO44" s="23">
        <f>'QTR Raw'!I16</f>
        <v>0</v>
      </c>
      <c r="AP44" s="23">
        <f>'QTR Raw'!J16</f>
        <v>0</v>
      </c>
      <c r="AQ44" s="23">
        <f>'QTR Raw'!K16</f>
        <v>0</v>
      </c>
      <c r="AR44" s="23">
        <f>'QTR Raw'!L16</f>
        <v>0</v>
      </c>
      <c r="AS44" s="23">
        <f>'QTR Raw'!M16</f>
        <v>0</v>
      </c>
      <c r="AT44" s="23">
        <f>'QTR Raw'!N16</f>
        <v>0</v>
      </c>
      <c r="AU44" s="23">
        <f>'QTR Raw'!O16</f>
        <v>0</v>
      </c>
      <c r="AV44" s="23">
        <f>'QTR Raw'!P16</f>
        <v>0</v>
      </c>
      <c r="AW44" s="23">
        <f>'QTR Raw'!Q16</f>
        <v>0</v>
      </c>
      <c r="AX44" s="23">
        <f>'QTR Raw'!R16</f>
        <v>0</v>
      </c>
      <c r="AY44" s="23">
        <f>'QTR Raw'!S16</f>
        <v>0</v>
      </c>
      <c r="AZ44" s="23">
        <f>'QTR Raw'!T16</f>
        <v>0</v>
      </c>
      <c r="BA44" s="23">
        <f>'QTR Raw'!U16</f>
        <v>0</v>
      </c>
      <c r="BB44" s="23">
        <f>'QTR Raw'!V16</f>
        <v>0</v>
      </c>
      <c r="BC44" s="23">
        <f>'QTR Raw'!W16</f>
        <v>0</v>
      </c>
      <c r="BD44" s="23">
        <f>'QTR Raw'!X16</f>
        <v>0</v>
      </c>
      <c r="BE44" s="23">
        <f>'QTR Raw'!Y16</f>
        <v>0</v>
      </c>
      <c r="BF44" s="23">
        <f>'QTR Raw'!Z16</f>
        <v>68.775000000000006</v>
      </c>
      <c r="BG44" s="23">
        <f>'QTR Raw'!AA16</f>
        <v>71.183999999999997</v>
      </c>
      <c r="BH44" s="23">
        <f>'QTR Raw'!AB16</f>
        <v>78.078999999999994</v>
      </c>
      <c r="BI44" s="23">
        <f>'QTR Raw'!AC16</f>
        <v>86.569000000000003</v>
      </c>
      <c r="BJ44" s="23">
        <f>'QTR Raw'!AD16</f>
        <v>64.415999999999997</v>
      </c>
      <c r="BK44" s="23">
        <f>'QTR Raw'!AE16</f>
        <v>92.007000000000005</v>
      </c>
      <c r="BL44" s="23">
        <f>'QTR Raw'!AF16</f>
        <v>92.399000000000001</v>
      </c>
      <c r="BM44" s="23">
        <f>'QTR Raw'!AG16</f>
        <v>91.480999999999995</v>
      </c>
      <c r="BN44" s="23">
        <f>'QTR Raw'!AH16</f>
        <v>89.858999999999995</v>
      </c>
      <c r="BO44" s="23">
        <f>'QTR Raw'!AI16</f>
        <v>81.248000000000005</v>
      </c>
      <c r="BP44" s="23">
        <f>'QTR Raw'!AJ16</f>
        <v>89.715999999999994</v>
      </c>
      <c r="BQ44" s="23">
        <f>'QTR Raw'!AK16</f>
        <v>88.097999999999999</v>
      </c>
      <c r="BR44" s="23">
        <f>'QTR Raw'!AL16</f>
        <v>97.599000000000004</v>
      </c>
      <c r="BS44" s="23">
        <f>'QTR Raw'!AM16</f>
        <v>93.893000000000001</v>
      </c>
      <c r="BT44" s="23">
        <f>'QTR Raw'!AN16</f>
        <v>105.15900000000001</v>
      </c>
      <c r="BU44" s="23">
        <f>'QTR Raw'!AO16</f>
        <v>102.547</v>
      </c>
      <c r="BV44" s="23">
        <f>'QTR Raw'!AP16</f>
        <v>105.029</v>
      </c>
      <c r="BW44" s="23">
        <f>'QTR Raw'!AQ16</f>
        <v>110.092</v>
      </c>
      <c r="BX44" s="23">
        <f>'QTR Raw'!AR16</f>
        <v>114.79600000000001</v>
      </c>
      <c r="BY44" s="23">
        <f>'QTR Raw'!AS16</f>
        <v>113.229</v>
      </c>
      <c r="BZ44" s="23">
        <f>'QTR Raw'!AT16</f>
        <v>118.655</v>
      </c>
      <c r="CA44" s="23">
        <f>'QTR Raw'!AU16</f>
        <v>134.934</v>
      </c>
      <c r="CB44" s="23">
        <f>'QTR Raw'!AV16</f>
        <v>155.67099999999999</v>
      </c>
      <c r="CC44" s="23">
        <f>'QTR Raw'!AW16</f>
        <v>149.35900000000001</v>
      </c>
      <c r="CD44" s="23">
        <f>'QTR Raw'!AX16</f>
        <v>169.578</v>
      </c>
      <c r="CE44" s="23">
        <f>'QTR Raw'!AY16</f>
        <v>153.899</v>
      </c>
      <c r="CF44" s="23">
        <f>'QTR Raw'!AZ16</f>
        <v>180.29300000000001</v>
      </c>
      <c r="CG44" s="23">
        <f>'QTR Raw'!BA16</f>
        <v>198.893</v>
      </c>
      <c r="CH44" s="23">
        <f>'QTR Raw'!BB16</f>
        <v>203.64099999999999</v>
      </c>
      <c r="CI44" s="23">
        <f>'QTR Raw'!BC16</f>
        <v>218.899</v>
      </c>
      <c r="CJ44" s="23">
        <f>'QTR Raw'!BD16</f>
        <v>230.459</v>
      </c>
      <c r="CK44" s="23">
        <f>'QTR Raw'!BE16</f>
        <v>236.964</v>
      </c>
      <c r="CL44" s="23">
        <f>'QTR Raw'!BF16</f>
        <v>193.102</v>
      </c>
      <c r="CM44" s="24">
        <f t="shared" ref="CM44:DB44" si="300">CI44*107%</f>
        <v>234.22193000000001</v>
      </c>
      <c r="CN44" s="24">
        <f t="shared" si="300"/>
        <v>246.59113000000002</v>
      </c>
      <c r="CO44" s="24">
        <f t="shared" si="300"/>
        <v>253.55148000000003</v>
      </c>
      <c r="CP44" s="24">
        <f t="shared" si="300"/>
        <v>206.61914000000002</v>
      </c>
      <c r="CQ44" s="24">
        <f t="shared" si="300"/>
        <v>250.61746510000003</v>
      </c>
      <c r="CR44" s="24">
        <f t="shared" si="300"/>
        <v>263.85250910000002</v>
      </c>
      <c r="CS44" s="24">
        <f t="shared" si="300"/>
        <v>271.30008360000005</v>
      </c>
      <c r="CT44" s="24">
        <f t="shared" si="300"/>
        <v>221.08247980000002</v>
      </c>
      <c r="CU44" s="24">
        <f t="shared" si="300"/>
        <v>268.16068765700004</v>
      </c>
      <c r="CV44" s="24">
        <f t="shared" si="300"/>
        <v>282.32218473700004</v>
      </c>
      <c r="CW44" s="24">
        <f t="shared" si="300"/>
        <v>290.29108945200005</v>
      </c>
      <c r="CX44" s="24">
        <f t="shared" si="300"/>
        <v>236.55825338600002</v>
      </c>
      <c r="CY44" s="24">
        <f t="shared" si="300"/>
        <v>286.93193579299003</v>
      </c>
      <c r="CZ44" s="24">
        <f t="shared" si="300"/>
        <v>302.08473766859004</v>
      </c>
      <c r="DA44" s="24">
        <f t="shared" si="300"/>
        <v>310.61146571364009</v>
      </c>
      <c r="DB44" s="24">
        <f t="shared" si="300"/>
        <v>253.11733112302002</v>
      </c>
      <c r="DE44" s="123"/>
      <c r="DF44" s="23">
        <v>217.89587</v>
      </c>
    </row>
    <row r="45" spans="1:110" s="23" customFormat="1" outlineLevel="1" x14ac:dyDescent="0.2">
      <c r="A45" s="23" t="s">
        <v>10</v>
      </c>
      <c r="B45" s="23">
        <f>'Annual Raw'!C17</f>
        <v>0</v>
      </c>
      <c r="C45" s="23">
        <f>'Annual Raw'!D17</f>
        <v>0</v>
      </c>
      <c r="D45" s="23">
        <f>'Annual Raw'!E17</f>
        <v>0</v>
      </c>
      <c r="E45" s="23">
        <f>'Annual Raw'!F17</f>
        <v>0</v>
      </c>
      <c r="F45" s="23">
        <f>'Annual Raw'!G17</f>
        <v>0</v>
      </c>
      <c r="G45" s="23">
        <f>'Annual Raw'!H17</f>
        <v>0</v>
      </c>
      <c r="H45" s="23">
        <f>'Annual Raw'!I17</f>
        <v>0</v>
      </c>
      <c r="I45" s="23">
        <f>'Annual Raw'!J17</f>
        <v>10.2726226</v>
      </c>
      <c r="J45" s="23">
        <f>'Annual Raw'!K17</f>
        <v>10.4228092</v>
      </c>
      <c r="K45" s="23">
        <f>'Annual Raw'!L17</f>
        <v>2449.6128549</v>
      </c>
      <c r="L45" s="23">
        <f>'Annual Raw'!M17</f>
        <v>0</v>
      </c>
      <c r="M45" s="23">
        <f>'Annual Raw'!N17</f>
        <v>3433.047</v>
      </c>
      <c r="N45" s="23">
        <f>'Annual Raw'!O17</f>
        <v>3382.1350000000002</v>
      </c>
      <c r="O45" s="23">
        <f>'Annual Raw'!P17</f>
        <v>34.204000000000001</v>
      </c>
      <c r="P45" s="23">
        <f>'Annual Raw'!Q17</f>
        <v>47.426000000000002</v>
      </c>
      <c r="Q45" s="23">
        <f>'Annual Raw'!R17</f>
        <v>81.760000000000005</v>
      </c>
      <c r="R45" s="23">
        <f>'Annual Raw'!S17</f>
        <v>81.683000000000007</v>
      </c>
      <c r="S45" s="23">
        <f>'Annual Raw'!T17</f>
        <v>85.77</v>
      </c>
      <c r="T45" s="23">
        <f>'Annual Raw'!U17</f>
        <v>87.087000000000003</v>
      </c>
      <c r="U45" s="23">
        <f>'Annual Raw'!V17</f>
        <v>98.156999999999996</v>
      </c>
      <c r="V45" s="23">
        <f>'Annual Raw'!W17</f>
        <v>80.802000000000007</v>
      </c>
      <c r="W45" s="23">
        <f>'Annual Raw'!X17</f>
        <v>138.55799999999999</v>
      </c>
      <c r="X45" s="23">
        <f>'Annual Raw'!Y17</f>
        <v>171.524</v>
      </c>
      <c r="Y45" s="23">
        <f>'Annual Raw'!Z17</f>
        <v>194.28700000000001</v>
      </c>
      <c r="Z45" s="23">
        <f>'Annual Raw'!AA17</f>
        <v>282.67399999999998</v>
      </c>
      <c r="AA45" s="23">
        <f>'Annual Raw'!AB17</f>
        <v>320.32299999999998</v>
      </c>
      <c r="AB45" s="76">
        <f t="shared" si="296"/>
        <v>0</v>
      </c>
      <c r="AC45" s="76">
        <f t="shared" si="297"/>
        <v>0</v>
      </c>
      <c r="AD45" s="76">
        <f t="shared" si="298"/>
        <v>0</v>
      </c>
      <c r="AE45" s="76">
        <f t="shared" si="299"/>
        <v>0</v>
      </c>
      <c r="AI45" s="23">
        <f>'QTR Raw'!C17</f>
        <v>0</v>
      </c>
      <c r="AJ45" s="23">
        <f>'QTR Raw'!D17</f>
        <v>0</v>
      </c>
      <c r="AK45" s="23">
        <f>'QTR Raw'!E17</f>
        <v>0</v>
      </c>
      <c r="AL45" s="23">
        <f>'QTR Raw'!F17</f>
        <v>0</v>
      </c>
      <c r="AM45" s="23">
        <f>'QTR Raw'!G17</f>
        <v>0</v>
      </c>
      <c r="AN45" s="23">
        <f>'QTR Raw'!H17</f>
        <v>0</v>
      </c>
      <c r="AO45" s="23">
        <f>'QTR Raw'!I17</f>
        <v>0</v>
      </c>
      <c r="AP45" s="23">
        <f>'QTR Raw'!J17</f>
        <v>0</v>
      </c>
      <c r="AQ45" s="23">
        <f>'QTR Raw'!K17</f>
        <v>0</v>
      </c>
      <c r="AR45" s="23">
        <f>'QTR Raw'!L17</f>
        <v>0</v>
      </c>
      <c r="AS45" s="23">
        <f>'QTR Raw'!M17</f>
        <v>0</v>
      </c>
      <c r="AT45" s="23">
        <f>'QTR Raw'!N17</f>
        <v>0</v>
      </c>
      <c r="AU45" s="23">
        <f>'QTR Raw'!O17</f>
        <v>0</v>
      </c>
      <c r="AV45" s="23">
        <f>'QTR Raw'!P17</f>
        <v>0</v>
      </c>
      <c r="AW45" s="23">
        <f>'QTR Raw'!Q17</f>
        <v>0</v>
      </c>
      <c r="AX45" s="23">
        <f>'QTR Raw'!R17</f>
        <v>0</v>
      </c>
      <c r="AY45" s="23">
        <f>'QTR Raw'!S17</f>
        <v>0</v>
      </c>
      <c r="AZ45" s="23">
        <f>'QTR Raw'!T17</f>
        <v>0</v>
      </c>
      <c r="BA45" s="23">
        <f>'QTR Raw'!U17</f>
        <v>0</v>
      </c>
      <c r="BB45" s="23">
        <f>'QTR Raw'!V17</f>
        <v>0</v>
      </c>
      <c r="BC45" s="23">
        <f>'QTR Raw'!W17</f>
        <v>0</v>
      </c>
      <c r="BD45" s="23">
        <f>'QTR Raw'!X17</f>
        <v>0</v>
      </c>
      <c r="BE45" s="23">
        <f>'QTR Raw'!Y17</f>
        <v>0</v>
      </c>
      <c r="BF45" s="23">
        <f>'QTR Raw'!Z17</f>
        <v>0</v>
      </c>
      <c r="BG45" s="23">
        <f>'QTR Raw'!AA17</f>
        <v>0</v>
      </c>
      <c r="BH45" s="23">
        <f>'QTR Raw'!AB17</f>
        <v>0</v>
      </c>
      <c r="BI45" s="23">
        <f>'QTR Raw'!AC17</f>
        <v>0</v>
      </c>
      <c r="BJ45" s="23">
        <f>'QTR Raw'!AD17</f>
        <v>0</v>
      </c>
      <c r="BK45" s="23">
        <f>'QTR Raw'!AE17</f>
        <v>0</v>
      </c>
      <c r="BL45" s="23">
        <f>'QTR Raw'!AF17</f>
        <v>0</v>
      </c>
      <c r="BM45" s="23">
        <f>'QTR Raw'!AG17</f>
        <v>0</v>
      </c>
      <c r="BN45" s="23">
        <f>'QTR Raw'!AH17</f>
        <v>0</v>
      </c>
      <c r="BO45" s="23">
        <f>'QTR Raw'!AI17</f>
        <v>0</v>
      </c>
      <c r="BP45" s="23">
        <f>'QTR Raw'!AJ17</f>
        <v>0</v>
      </c>
      <c r="BQ45" s="23">
        <f>'QTR Raw'!AK17</f>
        <v>0</v>
      </c>
      <c r="BR45" s="23">
        <f>'QTR Raw'!AL17</f>
        <v>0</v>
      </c>
      <c r="BS45" s="23">
        <f>'QTR Raw'!AM17</f>
        <v>0</v>
      </c>
      <c r="BT45" s="23">
        <f>'QTR Raw'!AN17</f>
        <v>0</v>
      </c>
      <c r="BU45" s="23">
        <f>'QTR Raw'!AO17</f>
        <v>0</v>
      </c>
      <c r="BV45" s="23">
        <f>'QTR Raw'!AP17</f>
        <v>0</v>
      </c>
      <c r="BW45" s="23">
        <f>'QTR Raw'!AQ17</f>
        <v>0</v>
      </c>
      <c r="BX45" s="23">
        <f>'QTR Raw'!AR17</f>
        <v>0</v>
      </c>
      <c r="BY45" s="23">
        <f>'QTR Raw'!AS17</f>
        <v>0</v>
      </c>
      <c r="BZ45" s="23">
        <f>'QTR Raw'!AT17</f>
        <v>0</v>
      </c>
      <c r="CA45" s="23">
        <f>'QTR Raw'!AU17</f>
        <v>0</v>
      </c>
      <c r="CB45" s="23">
        <f>'QTR Raw'!AV17</f>
        <v>0</v>
      </c>
      <c r="CC45" s="23">
        <f>'QTR Raw'!AW17</f>
        <v>0</v>
      </c>
      <c r="CD45" s="23">
        <f>'QTR Raw'!AX17</f>
        <v>0</v>
      </c>
      <c r="CE45" s="23">
        <f>'QTR Raw'!AY17</f>
        <v>0</v>
      </c>
      <c r="CF45" s="23">
        <f>'QTR Raw'!AZ17</f>
        <v>0</v>
      </c>
      <c r="CG45" s="23">
        <f>'QTR Raw'!BA17</f>
        <v>0</v>
      </c>
      <c r="CH45" s="23">
        <f>'QTR Raw'!BB17</f>
        <v>0</v>
      </c>
      <c r="CI45" s="23">
        <f>'QTR Raw'!BC17</f>
        <v>0</v>
      </c>
      <c r="CJ45" s="23">
        <f>'QTR Raw'!BD17</f>
        <v>0</v>
      </c>
      <c r="CK45" s="23">
        <f>'QTR Raw'!BE17</f>
        <v>0</v>
      </c>
      <c r="CL45" s="23">
        <f>'QTR Raw'!BF17</f>
        <v>0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0</v>
      </c>
    </row>
    <row r="46" spans="1:110" s="23" customFormat="1" outlineLevel="1" x14ac:dyDescent="0.2">
      <c r="A46" s="23" t="s">
        <v>12</v>
      </c>
      <c r="B46" s="23">
        <f>'Annual Raw'!C19-'Annual Raw'!C20</f>
        <v>0</v>
      </c>
      <c r="C46" s="23">
        <f>'Annual Raw'!D19-'Annual Raw'!D20</f>
        <v>0</v>
      </c>
      <c r="D46" s="23">
        <f>'Annual Raw'!E19-'Annual Raw'!E20</f>
        <v>0</v>
      </c>
      <c r="E46" s="23">
        <f>'Annual Raw'!F19-'Annual Raw'!F20</f>
        <v>0</v>
      </c>
      <c r="F46" s="23">
        <f>'Annual Raw'!G19-'Annual Raw'!G20</f>
        <v>0</v>
      </c>
      <c r="G46" s="23">
        <f>'Annual Raw'!H19-'Annual Raw'!H20</f>
        <v>0</v>
      </c>
      <c r="H46" s="23">
        <f>'Annual Raw'!I19-'Annual Raw'!I20</f>
        <v>0</v>
      </c>
      <c r="I46" s="23">
        <f>'Annual Raw'!J19-'Annual Raw'!J20</f>
        <v>8.8623113</v>
      </c>
      <c r="J46" s="23">
        <f>'Annual Raw'!K19-'Annual Raw'!K20</f>
        <v>4.6196286999999998</v>
      </c>
      <c r="K46" s="23">
        <f>'Annual Raw'!L19-'Annual Raw'!L20</f>
        <v>0</v>
      </c>
      <c r="L46" s="23">
        <f>'Annual Raw'!M19-'Annual Raw'!M20</f>
        <v>0</v>
      </c>
      <c r="M46" s="23">
        <f>'Annual Raw'!N19-'Annual Raw'!N20</f>
        <v>0</v>
      </c>
      <c r="N46" s="23">
        <f>'Annual Raw'!O19-'Annual Raw'!O20</f>
        <v>0</v>
      </c>
      <c r="O46" s="23">
        <f>'Annual Raw'!P19-'Annual Raw'!P20</f>
        <v>65.673000000000002</v>
      </c>
      <c r="P46" s="23">
        <f>'Annual Raw'!Q19-'Annual Raw'!Q20</f>
        <v>86.144000000000005</v>
      </c>
      <c r="Q46" s="23">
        <f>'Annual Raw'!R19-'Annual Raw'!R20</f>
        <v>57.09</v>
      </c>
      <c r="R46" s="23">
        <f>'Annual Raw'!S19-'Annual Raw'!S20</f>
        <v>63.621000000000002</v>
      </c>
      <c r="S46" s="23">
        <f>'Annual Raw'!T19-'Annual Raw'!T20</f>
        <v>75.878</v>
      </c>
      <c r="T46" s="23">
        <f>'Annual Raw'!U19-'Annual Raw'!U20</f>
        <v>114.43899999999999</v>
      </c>
      <c r="U46" s="23">
        <f>'Annual Raw'!V19-'Annual Raw'!V20</f>
        <v>130.43299999999999</v>
      </c>
      <c r="V46" s="23">
        <f>'Annual Raw'!W19-'Annual Raw'!W20</f>
        <v>66.53</v>
      </c>
      <c r="W46" s="23">
        <f>'Annual Raw'!X19-'Annual Raw'!X20</f>
        <v>86.429000000000002</v>
      </c>
      <c r="X46" s="23">
        <f>'Annual Raw'!Y19-'Annual Raw'!Y20</f>
        <v>115.042</v>
      </c>
      <c r="Y46" s="23">
        <f>'Annual Raw'!Z19-'Annual Raw'!Z20</f>
        <v>158.90899999999999</v>
      </c>
      <c r="Z46" s="23">
        <f>'Annual Raw'!AA19-'Annual Raw'!AA20</f>
        <v>248.50299999999999</v>
      </c>
      <c r="AA46" s="23">
        <f>'Annual Raw'!AB19-'Annual Raw'!AB20</f>
        <v>445.16399999999999</v>
      </c>
      <c r="AB46" s="76">
        <f t="shared" si="296"/>
        <v>0</v>
      </c>
      <c r="AC46" s="76">
        <f t="shared" si="297"/>
        <v>0</v>
      </c>
      <c r="AD46" s="76">
        <f t="shared" si="298"/>
        <v>0</v>
      </c>
      <c r="AE46" s="76">
        <f t="shared" si="299"/>
        <v>0</v>
      </c>
      <c r="AI46" s="23">
        <f>+'QTR Raw'!C21</f>
        <v>0</v>
      </c>
      <c r="AJ46" s="23">
        <f>+'QTR Raw'!D21</f>
        <v>0</v>
      </c>
      <c r="AK46" s="23">
        <f>+'QTR Raw'!E21</f>
        <v>0</v>
      </c>
      <c r="AL46" s="23">
        <f>+'QTR Raw'!F21</f>
        <v>0</v>
      </c>
      <c r="AM46" s="23">
        <f>+'QTR Raw'!G21</f>
        <v>0</v>
      </c>
      <c r="AN46" s="23">
        <f>+'QTR Raw'!H21</f>
        <v>0</v>
      </c>
      <c r="AO46" s="23">
        <f>+'QTR Raw'!I21</f>
        <v>0</v>
      </c>
      <c r="AP46" s="23">
        <f>+'QTR Raw'!J21</f>
        <v>0</v>
      </c>
      <c r="AQ46" s="23">
        <f>+'QTR Raw'!K21</f>
        <v>0</v>
      </c>
      <c r="AR46" s="23">
        <f>+'QTR Raw'!L21</f>
        <v>0</v>
      </c>
      <c r="AS46" s="23">
        <f>+'QTR Raw'!M21</f>
        <v>0</v>
      </c>
      <c r="AT46" s="23">
        <f>+'QTR Raw'!N21</f>
        <v>0</v>
      </c>
      <c r="AU46" s="23">
        <f>+'QTR Raw'!O21</f>
        <v>0</v>
      </c>
      <c r="AV46" s="23">
        <f>+'QTR Raw'!P21</f>
        <v>0</v>
      </c>
      <c r="AW46" s="23">
        <f>+'QTR Raw'!Q21</f>
        <v>0</v>
      </c>
      <c r="AX46" s="23">
        <f>+'QTR Raw'!R21</f>
        <v>0</v>
      </c>
      <c r="AY46" s="23">
        <f>+'QTR Raw'!S21</f>
        <v>0</v>
      </c>
      <c r="AZ46" s="23">
        <f>+'QTR Raw'!T21</f>
        <v>0</v>
      </c>
      <c r="BA46" s="23">
        <f>+'QTR Raw'!U21</f>
        <v>0</v>
      </c>
      <c r="BB46" s="23">
        <f>+'QTR Raw'!V21</f>
        <v>0</v>
      </c>
      <c r="BC46" s="23">
        <f>+'QTR Raw'!W21</f>
        <v>0</v>
      </c>
      <c r="BD46" s="23">
        <f>+'QTR Raw'!X21</f>
        <v>0</v>
      </c>
      <c r="BE46" s="23">
        <f>+'QTR Raw'!Y21</f>
        <v>0</v>
      </c>
      <c r="BF46" s="23">
        <f>+'QTR Raw'!Z21</f>
        <v>0</v>
      </c>
      <c r="BG46" s="23">
        <f>+'QTR Raw'!AA21</f>
        <v>0</v>
      </c>
      <c r="BH46" s="23">
        <f>+'QTR Raw'!AB21</f>
        <v>0</v>
      </c>
      <c r="BI46" s="23">
        <f>+'QTR Raw'!AC21</f>
        <v>0</v>
      </c>
      <c r="BJ46" s="23">
        <f>+'QTR Raw'!AD21</f>
        <v>0</v>
      </c>
      <c r="BK46" s="23">
        <f>+'QTR Raw'!AE21</f>
        <v>0</v>
      </c>
      <c r="BL46" s="23">
        <f>+'QTR Raw'!AF21</f>
        <v>0</v>
      </c>
      <c r="BM46" s="23">
        <f>+'QTR Raw'!AG21</f>
        <v>0</v>
      </c>
      <c r="BN46" s="23">
        <f>+'QTR Raw'!AH21</f>
        <v>0</v>
      </c>
      <c r="BO46" s="23">
        <f>+'QTR Raw'!AI21</f>
        <v>0</v>
      </c>
      <c r="BP46" s="23">
        <f>+'QTR Raw'!AJ21</f>
        <v>0</v>
      </c>
      <c r="BQ46" s="23">
        <f>+'QTR Raw'!AK21</f>
        <v>0</v>
      </c>
      <c r="BR46" s="23">
        <f>+'QTR Raw'!AL21</f>
        <v>0</v>
      </c>
      <c r="BS46" s="23">
        <f>+'QTR Raw'!AM21</f>
        <v>0</v>
      </c>
      <c r="BT46" s="23">
        <f>+'QTR Raw'!AN21</f>
        <v>0</v>
      </c>
      <c r="BU46" s="23">
        <f>+'QTR Raw'!AO21</f>
        <v>0</v>
      </c>
      <c r="BV46" s="23">
        <f>+'QTR Raw'!AP21</f>
        <v>0</v>
      </c>
      <c r="BW46" s="23">
        <f>+'QTR Raw'!AQ21</f>
        <v>0</v>
      </c>
      <c r="BX46" s="23">
        <f>+'QTR Raw'!AR21</f>
        <v>0</v>
      </c>
      <c r="BY46" s="23">
        <f>+'QTR Raw'!AS21</f>
        <v>0</v>
      </c>
      <c r="BZ46" s="23">
        <f>+'QTR Raw'!AT21</f>
        <v>0</v>
      </c>
      <c r="CA46" s="23">
        <f>+'QTR Raw'!AU21</f>
        <v>0</v>
      </c>
      <c r="CB46" s="23">
        <f>+'QTR Raw'!AV21</f>
        <v>0</v>
      </c>
      <c r="CC46" s="23">
        <f>+'QTR Raw'!AW21</f>
        <v>0</v>
      </c>
      <c r="CD46" s="23">
        <f>+'QTR Raw'!AX21</f>
        <v>0</v>
      </c>
      <c r="CE46" s="23">
        <f>+'QTR Raw'!AY21</f>
        <v>0</v>
      </c>
      <c r="CF46" s="23">
        <f>+'QTR Raw'!AZ21</f>
        <v>0</v>
      </c>
      <c r="CG46" s="23">
        <f>+'QTR Raw'!BA21</f>
        <v>0</v>
      </c>
      <c r="CH46" s="23">
        <f>+'QTR Raw'!BB21</f>
        <v>0</v>
      </c>
      <c r="CI46" s="23">
        <f>+'QTR Raw'!BC21</f>
        <v>0</v>
      </c>
      <c r="CJ46" s="23">
        <f>+'QTR Raw'!BD21</f>
        <v>0</v>
      </c>
      <c r="CK46" s="23">
        <f>+'QTR Raw'!BE21</f>
        <v>0</v>
      </c>
      <c r="CL46" s="23">
        <f>+'QTR Raw'!BF21</f>
        <v>0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E46" s="123"/>
      <c r="DF46" s="23">
        <v>0</v>
      </c>
    </row>
    <row r="47" spans="1:110" s="23" customFormat="1" outlineLevel="1" x14ac:dyDescent="0.2">
      <c r="A47" s="23" t="s">
        <v>9</v>
      </c>
      <c r="B47" s="23">
        <f>'Annual Raw'!C15+'Annual Raw'!C16</f>
        <v>0</v>
      </c>
      <c r="C47" s="23">
        <f>'Annual Raw'!D15+'Annual Raw'!D16</f>
        <v>0</v>
      </c>
      <c r="D47" s="23">
        <f>'Annual Raw'!E15+'Annual Raw'!E16</f>
        <v>0</v>
      </c>
      <c r="E47" s="23">
        <f>'Annual Raw'!F15+'Annual Raw'!F16</f>
        <v>0</v>
      </c>
      <c r="F47" s="23">
        <f>'Annual Raw'!G15+'Annual Raw'!G16</f>
        <v>0</v>
      </c>
      <c r="G47" s="23">
        <f>'Annual Raw'!H15+'Annual Raw'!H16</f>
        <v>0</v>
      </c>
      <c r="H47" s="23">
        <f>'Annual Raw'!I15+'Annual Raw'!I16</f>
        <v>0</v>
      </c>
      <c r="I47" s="23">
        <f>'Annual Raw'!J15+'Annual Raw'!J16</f>
        <v>158.67490119999999</v>
      </c>
      <c r="J47" s="23">
        <f>'Annual Raw'!K15+'Annual Raw'!K16</f>
        <v>164.4958767</v>
      </c>
      <c r="K47" s="23">
        <f>'Annual Raw'!L15+'Annual Raw'!L16</f>
        <v>0</v>
      </c>
      <c r="L47" s="23">
        <f>'Annual Raw'!M15+'Annual Raw'!M16</f>
        <v>0</v>
      </c>
      <c r="M47" s="23">
        <f>'Annual Raw'!N15+'Annual Raw'!N16</f>
        <v>0</v>
      </c>
      <c r="N47" s="23">
        <f>'Annual Raw'!O15+'Annual Raw'!O16</f>
        <v>0</v>
      </c>
      <c r="O47" s="23">
        <f>'Annual Raw'!P15+'Annual Raw'!P16</f>
        <v>160.09800000000001</v>
      </c>
      <c r="P47" s="23">
        <f>'Annual Raw'!Q15+'Annual Raw'!Q16</f>
        <v>265.334</v>
      </c>
      <c r="Q47" s="23">
        <f>'Annual Raw'!R15+'Annual Raw'!R16</f>
        <v>377.4</v>
      </c>
      <c r="R47" s="23">
        <f>'Annual Raw'!S15+'Annual Raw'!S16</f>
        <v>327.82499999999999</v>
      </c>
      <c r="S47" s="23">
        <f>'Annual Raw'!T15+'Annual Raw'!T16</f>
        <v>365.327</v>
      </c>
      <c r="T47" s="23">
        <f>'Annual Raw'!U15+'Annual Raw'!U16</f>
        <v>525.94399999999996</v>
      </c>
      <c r="U47" s="23">
        <f>'Annual Raw'!V15+'Annual Raw'!V16</f>
        <v>750.19899999999996</v>
      </c>
      <c r="V47" s="23">
        <f>'Annual Raw'!W15+'Annual Raw'!W16</f>
        <v>505.95</v>
      </c>
      <c r="W47" s="23">
        <f>'Annual Raw'!X15+'Annual Raw'!X16</f>
        <v>628.07600000000002</v>
      </c>
      <c r="X47" s="23">
        <f>'Annual Raw'!Y15+'Annual Raw'!Y16</f>
        <v>718.34100000000001</v>
      </c>
      <c r="Y47" s="23">
        <f>'Annual Raw'!Z15+'Annual Raw'!Z16</f>
        <v>1149.3979999999999</v>
      </c>
      <c r="Z47" s="23">
        <f>'Annual Raw'!AA15+'Annual Raw'!AA16</f>
        <v>2031.4</v>
      </c>
      <c r="AA47" s="23">
        <f>'Annual Raw'!AB15+'Annual Raw'!AB16</f>
        <v>1859.038</v>
      </c>
      <c r="AB47" s="76">
        <f t="shared" si="296"/>
        <v>4249.2889456326538</v>
      </c>
      <c r="AC47" s="76">
        <f t="shared" si="297"/>
        <v>5071.5913514111162</v>
      </c>
      <c r="AD47" s="76">
        <f t="shared" si="298"/>
        <v>5769.3048267147642</v>
      </c>
      <c r="AE47" s="76">
        <f t="shared" si="299"/>
        <v>6679.7373947764863</v>
      </c>
      <c r="AI47" s="23">
        <f>'QTR Raw'!C14</f>
        <v>0</v>
      </c>
      <c r="AJ47" s="23">
        <f>'QTR Raw'!D14</f>
        <v>0</v>
      </c>
      <c r="AK47" s="23">
        <f>'QTR Raw'!E14</f>
        <v>0</v>
      </c>
      <c r="AL47" s="23">
        <f>'QTR Raw'!F14</f>
        <v>0</v>
      </c>
      <c r="AM47" s="23">
        <f>'QTR Raw'!G14</f>
        <v>0</v>
      </c>
      <c r="AN47" s="23">
        <f>'QTR Raw'!H14</f>
        <v>0</v>
      </c>
      <c r="AO47" s="23">
        <f>'QTR Raw'!I14</f>
        <v>0</v>
      </c>
      <c r="AP47" s="23">
        <f>'QTR Raw'!J14</f>
        <v>0</v>
      </c>
      <c r="AQ47" s="23">
        <f>'QTR Raw'!K14</f>
        <v>0</v>
      </c>
      <c r="AR47" s="23">
        <f>'QTR Raw'!L14</f>
        <v>0</v>
      </c>
      <c r="AS47" s="23">
        <f>'QTR Raw'!M14</f>
        <v>0</v>
      </c>
      <c r="AT47" s="23">
        <f>'QTR Raw'!N14</f>
        <v>0</v>
      </c>
      <c r="AU47" s="23">
        <f>'QTR Raw'!O14</f>
        <v>0</v>
      </c>
      <c r="AV47" s="23">
        <f>'QTR Raw'!P14</f>
        <v>0</v>
      </c>
      <c r="AW47" s="23">
        <f>'QTR Raw'!Q14</f>
        <v>0</v>
      </c>
      <c r="AX47" s="23">
        <f>'QTR Raw'!R14</f>
        <v>0</v>
      </c>
      <c r="AY47" s="23">
        <f>'QTR Raw'!S14</f>
        <v>0</v>
      </c>
      <c r="AZ47" s="23">
        <f>'QTR Raw'!T14</f>
        <v>0</v>
      </c>
      <c r="BA47" s="23">
        <f>'QTR Raw'!U14</f>
        <v>0</v>
      </c>
      <c r="BB47" s="23">
        <f>'QTR Raw'!V14</f>
        <v>0</v>
      </c>
      <c r="BC47" s="23">
        <f>'QTR Raw'!W14</f>
        <v>0</v>
      </c>
      <c r="BD47" s="23">
        <f>'QTR Raw'!X14</f>
        <v>0</v>
      </c>
      <c r="BE47" s="23">
        <f>'QTR Raw'!Y14</f>
        <v>0</v>
      </c>
      <c r="BF47" s="23">
        <f>'QTR Raw'!Z14</f>
        <v>201.72399999999999</v>
      </c>
      <c r="BG47" s="23">
        <f>'QTR Raw'!AA14</f>
        <v>207.66800000000001</v>
      </c>
      <c r="BH47" s="23">
        <f>'QTR Raw'!AB14</f>
        <v>181.88300000000001</v>
      </c>
      <c r="BI47" s="23">
        <f>'QTR Raw'!AC14</f>
        <v>161.602</v>
      </c>
      <c r="BJ47" s="23">
        <f>'QTR Raw'!AD14</f>
        <v>296.82100000000003</v>
      </c>
      <c r="BK47" s="23">
        <f>'QTR Raw'!AE14</f>
        <v>203.17</v>
      </c>
      <c r="BL47" s="23">
        <f>'QTR Raw'!AF14</f>
        <v>264.47399999999999</v>
      </c>
      <c r="BM47" s="23">
        <f>'QTR Raw'!AG14</f>
        <v>242.464</v>
      </c>
      <c r="BN47" s="23">
        <f>'QTR Raw'!AH14</f>
        <v>269.553</v>
      </c>
      <c r="BO47" s="23">
        <f>'QTR Raw'!AI14</f>
        <v>126.596</v>
      </c>
      <c r="BP47" s="23">
        <f>'QTR Raw'!AJ14</f>
        <v>161.36099999999999</v>
      </c>
      <c r="BQ47" s="23">
        <f>'QTR Raw'!AK14</f>
        <v>150.73599999999999</v>
      </c>
      <c r="BR47" s="23">
        <f>'QTR Raw'!AL14</f>
        <v>208.06100000000001</v>
      </c>
      <c r="BS47" s="23">
        <f>'QTR Raw'!AM14</f>
        <v>184.13499999999999</v>
      </c>
      <c r="BT47" s="23">
        <f>'QTR Raw'!AN14</f>
        <v>209.857</v>
      </c>
      <c r="BU47" s="23">
        <f>'QTR Raw'!AO14</f>
        <v>193.13499999999999</v>
      </c>
      <c r="BV47" s="23">
        <f>'QTR Raw'!AP14</f>
        <v>234.34800000000001</v>
      </c>
      <c r="BW47" s="23">
        <f>'QTR Raw'!AQ14</f>
        <v>215.27500000000001</v>
      </c>
      <c r="BX47" s="23">
        <f>'QTR Raw'!AR14</f>
        <v>246.279</v>
      </c>
      <c r="BY47" s="23">
        <f>'QTR Raw'!AS14</f>
        <v>235.33699999999999</v>
      </c>
      <c r="BZ47" s="23">
        <f>'QTR Raw'!AT14</f>
        <v>287.245</v>
      </c>
      <c r="CA47" s="23">
        <f>'QTR Raw'!AU14</f>
        <v>271.03899999999999</v>
      </c>
      <c r="CB47" s="23">
        <f>'QTR Raw'!AV14</f>
        <v>288.279</v>
      </c>
      <c r="CC47" s="23">
        <f>'QTR Raw'!AW14</f>
        <v>385.85899999999998</v>
      </c>
      <c r="CD47" s="23">
        <f>'QTR Raw'!AX14</f>
        <v>641.54600000000005</v>
      </c>
      <c r="CE47" s="23">
        <f>'QTR Raw'!AY14</f>
        <v>601.56399999999996</v>
      </c>
      <c r="CF47" s="23">
        <f>'QTR Raw'!AZ14</f>
        <v>667.39300000000003</v>
      </c>
      <c r="CG47" s="23">
        <f>'QTR Raw'!BA14</f>
        <v>570.48800000000006</v>
      </c>
      <c r="CH47" s="23">
        <f>'QTR Raw'!BB14</f>
        <v>803.14800000000002</v>
      </c>
      <c r="CI47" s="23">
        <f>'QTR Raw'!BC14</f>
        <v>574.13</v>
      </c>
      <c r="CJ47" s="23">
        <f>'QTR Raw'!BD14</f>
        <v>626.49099999999999</v>
      </c>
      <c r="CK47" s="23">
        <f>'QTR Raw'!BE14</f>
        <v>688.68899999999996</v>
      </c>
      <c r="CL47" s="23">
        <f>'QTR Raw'!BF14</f>
        <v>868.14700000000005</v>
      </c>
      <c r="CM47" s="24">
        <f t="shared" ref="CM47:DB47" si="301">CM50-CM44-CM45-CM46-CM48-CM49</f>
        <v>851.3430034064969</v>
      </c>
      <c r="CN47" s="24">
        <f t="shared" si="301"/>
        <v>920.86123002757859</v>
      </c>
      <c r="CO47" s="24">
        <f t="shared" si="301"/>
        <v>1118.3884361184166</v>
      </c>
      <c r="CP47" s="24">
        <f t="shared" si="301"/>
        <v>1358.6962760801614</v>
      </c>
      <c r="CQ47" s="24">
        <f t="shared" si="301"/>
        <v>1025.8070284801302</v>
      </c>
      <c r="CR47" s="24">
        <f t="shared" si="301"/>
        <v>1102.5954265775172</v>
      </c>
      <c r="CS47" s="24">
        <f t="shared" si="301"/>
        <v>1336.5205491738209</v>
      </c>
      <c r="CT47" s="24">
        <f t="shared" si="301"/>
        <v>1606.6683471796475</v>
      </c>
      <c r="CU47" s="24">
        <f t="shared" si="301"/>
        <v>1166.5358218688734</v>
      </c>
      <c r="CV47" s="24">
        <f t="shared" si="301"/>
        <v>1255.9801183205484</v>
      </c>
      <c r="CW47" s="24">
        <f t="shared" si="301"/>
        <v>1523.147478692551</v>
      </c>
      <c r="CX47" s="24">
        <f t="shared" si="301"/>
        <v>1823.6414078327914</v>
      </c>
      <c r="CY47" s="24">
        <f t="shared" si="301"/>
        <v>1345.4743076298905</v>
      </c>
      <c r="CZ47" s="24">
        <f t="shared" si="301"/>
        <v>1453.2798108979682</v>
      </c>
      <c r="DA47" s="24">
        <f t="shared" si="301"/>
        <v>1766.6110105699267</v>
      </c>
      <c r="DB47" s="24">
        <f t="shared" si="301"/>
        <v>2114.3722656787008</v>
      </c>
      <c r="DE47" s="123"/>
      <c r="DF47" s="23">
        <v>1212.9313761766984</v>
      </c>
    </row>
    <row r="48" spans="1:110" s="23" customFormat="1" outlineLevel="1" x14ac:dyDescent="0.2">
      <c r="A48" s="23" t="s">
        <v>7</v>
      </c>
      <c r="B48" s="23">
        <f>'Annual Raw'!C13</f>
        <v>0</v>
      </c>
      <c r="C48" s="23">
        <f>'Annual Raw'!D13</f>
        <v>0</v>
      </c>
      <c r="D48" s="23">
        <f>'Annual Raw'!E13</f>
        <v>0</v>
      </c>
      <c r="E48" s="23">
        <f>'Annual Raw'!F13</f>
        <v>0</v>
      </c>
      <c r="F48" s="23">
        <f>'Annual Raw'!G13</f>
        <v>0</v>
      </c>
      <c r="G48" s="23">
        <f>'Annual Raw'!H13</f>
        <v>0</v>
      </c>
      <c r="H48" s="23">
        <f>'Annual Raw'!I13</f>
        <v>0</v>
      </c>
      <c r="I48" s="23">
        <f>'Annual Raw'!J13</f>
        <v>5.5864805000000004</v>
      </c>
      <c r="J48" s="23">
        <f>'Annual Raw'!K13</f>
        <v>7.1327370999999999</v>
      </c>
      <c r="K48" s="23">
        <f>'Annual Raw'!L13</f>
        <v>0</v>
      </c>
      <c r="L48" s="23">
        <f>'Annual Raw'!M13</f>
        <v>0</v>
      </c>
      <c r="M48" s="23">
        <f>'Annual Raw'!N13</f>
        <v>0</v>
      </c>
      <c r="N48" s="23">
        <f>'Annual Raw'!O13</f>
        <v>0</v>
      </c>
      <c r="O48" s="23">
        <f>'Annual Raw'!P13</f>
        <v>55.110999999999997</v>
      </c>
      <c r="P48" s="23">
        <f>'Annual Raw'!Q13</f>
        <v>74.287000000000006</v>
      </c>
      <c r="Q48" s="23">
        <f>'Annual Raw'!R13</f>
        <v>80.540000000000006</v>
      </c>
      <c r="R48" s="23">
        <f>'Annual Raw'!S13</f>
        <v>84.781999999999996</v>
      </c>
      <c r="S48" s="23">
        <f>'Annual Raw'!T13</f>
        <v>89.628</v>
      </c>
      <c r="T48" s="23">
        <f>'Annual Raw'!U13</f>
        <v>107.648</v>
      </c>
      <c r="U48" s="23">
        <f>'Annual Raw'!V13</f>
        <v>128.316</v>
      </c>
      <c r="V48" s="23">
        <f>'Annual Raw'!W13</f>
        <v>116.03400000000001</v>
      </c>
      <c r="W48" s="23">
        <f>'Annual Raw'!X13</f>
        <v>143.982</v>
      </c>
      <c r="X48" s="23">
        <f>'Annual Raw'!Y13</f>
        <v>183.751</v>
      </c>
      <c r="Y48" s="23">
        <f>'Annual Raw'!Z13</f>
        <v>218.17699999999999</v>
      </c>
      <c r="Z48" s="23">
        <f>'Annual Raw'!AA13</f>
        <v>256.45400000000001</v>
      </c>
      <c r="AA48" s="23">
        <f>'Annual Raw'!AB13</f>
        <v>307.60899999999998</v>
      </c>
      <c r="AB48" s="76">
        <f t="shared" si="296"/>
        <v>0</v>
      </c>
      <c r="AC48" s="76">
        <f t="shared" si="297"/>
        <v>0</v>
      </c>
      <c r="AD48" s="76">
        <f t="shared" si="298"/>
        <v>0</v>
      </c>
      <c r="AE48" s="76">
        <f t="shared" si="299"/>
        <v>0</v>
      </c>
      <c r="AI48" s="23">
        <f>'QTR Raw'!C15</f>
        <v>0</v>
      </c>
      <c r="AJ48" s="23">
        <f>'QTR Raw'!D15</f>
        <v>0</v>
      </c>
      <c r="AK48" s="23">
        <f>'QTR Raw'!E15</f>
        <v>0</v>
      </c>
      <c r="AL48" s="23">
        <f>'QTR Raw'!F15</f>
        <v>0</v>
      </c>
      <c r="AM48" s="23">
        <f>'QTR Raw'!G15</f>
        <v>0</v>
      </c>
      <c r="AN48" s="23">
        <f>'QTR Raw'!H15</f>
        <v>0</v>
      </c>
      <c r="AO48" s="23">
        <f>'QTR Raw'!I15</f>
        <v>0</v>
      </c>
      <c r="AP48" s="23">
        <f>'QTR Raw'!J15</f>
        <v>0</v>
      </c>
      <c r="AQ48" s="23">
        <f>'QTR Raw'!K15</f>
        <v>0</v>
      </c>
      <c r="AR48" s="23">
        <f>'QTR Raw'!L15</f>
        <v>0</v>
      </c>
      <c r="AS48" s="23">
        <f>'QTR Raw'!M15</f>
        <v>0</v>
      </c>
      <c r="AT48" s="23">
        <f>'QTR Raw'!N15</f>
        <v>0</v>
      </c>
      <c r="AU48" s="23">
        <f>'QTR Raw'!O15</f>
        <v>0</v>
      </c>
      <c r="AV48" s="23">
        <f>'QTR Raw'!P15</f>
        <v>0</v>
      </c>
      <c r="AW48" s="23">
        <f>'QTR Raw'!Q15</f>
        <v>0</v>
      </c>
      <c r="AX48" s="23">
        <f>'QTR Raw'!R15</f>
        <v>0</v>
      </c>
      <c r="AY48" s="23">
        <f>'QTR Raw'!S15</f>
        <v>0</v>
      </c>
      <c r="AZ48" s="23">
        <f>'QTR Raw'!T15</f>
        <v>0</v>
      </c>
      <c r="BA48" s="23">
        <f>'QTR Raw'!U15</f>
        <v>0</v>
      </c>
      <c r="BB48" s="23">
        <f>'QTR Raw'!V15</f>
        <v>0</v>
      </c>
      <c r="BC48" s="23">
        <f>'QTR Raw'!W15</f>
        <v>0</v>
      </c>
      <c r="BD48" s="23">
        <f>'QTR Raw'!X15</f>
        <v>0</v>
      </c>
      <c r="BE48" s="23">
        <f>'QTR Raw'!Y15</f>
        <v>0</v>
      </c>
      <c r="BF48" s="23">
        <f>'QTR Raw'!Z15</f>
        <v>0</v>
      </c>
      <c r="BG48" s="23">
        <f>'QTR Raw'!AA15</f>
        <v>0</v>
      </c>
      <c r="BH48" s="23">
        <f>'QTR Raw'!AB15</f>
        <v>0</v>
      </c>
      <c r="BI48" s="23">
        <f>'QTR Raw'!AC15</f>
        <v>0</v>
      </c>
      <c r="BJ48" s="23">
        <f>'QTR Raw'!AD15</f>
        <v>0</v>
      </c>
      <c r="BK48" s="23">
        <f>'QTR Raw'!AE15</f>
        <v>0</v>
      </c>
      <c r="BL48" s="23">
        <f>'QTR Raw'!AF15</f>
        <v>0</v>
      </c>
      <c r="BM48" s="23">
        <f>'QTR Raw'!AG15</f>
        <v>0</v>
      </c>
      <c r="BN48" s="23">
        <f>'QTR Raw'!AH15</f>
        <v>0</v>
      </c>
      <c r="BO48" s="23">
        <f>'QTR Raw'!AI15</f>
        <v>0</v>
      </c>
      <c r="BP48" s="23">
        <f>'QTR Raw'!AJ15</f>
        <v>0</v>
      </c>
      <c r="BQ48" s="23">
        <f>'QTR Raw'!AK15</f>
        <v>0</v>
      </c>
      <c r="BR48" s="23">
        <f>'QTR Raw'!AL15</f>
        <v>0</v>
      </c>
      <c r="BS48" s="23">
        <f>'QTR Raw'!AM15</f>
        <v>0</v>
      </c>
      <c r="BT48" s="23">
        <f>'QTR Raw'!AN15</f>
        <v>0</v>
      </c>
      <c r="BU48" s="23">
        <f>'QTR Raw'!AO15</f>
        <v>0</v>
      </c>
      <c r="BV48" s="23">
        <f>'QTR Raw'!AP15</f>
        <v>0</v>
      </c>
      <c r="BW48" s="23">
        <f>'QTR Raw'!AQ15</f>
        <v>0</v>
      </c>
      <c r="BX48" s="23">
        <f>'QTR Raw'!AR15</f>
        <v>0</v>
      </c>
      <c r="BY48" s="23">
        <f>'QTR Raw'!AS15</f>
        <v>0</v>
      </c>
      <c r="BZ48" s="23">
        <f>'QTR Raw'!AT15</f>
        <v>0</v>
      </c>
      <c r="CA48" s="23">
        <f>'QTR Raw'!AU15</f>
        <v>0</v>
      </c>
      <c r="CB48" s="23">
        <f>'QTR Raw'!AV15</f>
        <v>0</v>
      </c>
      <c r="CC48" s="23">
        <f>'QTR Raw'!AW15</f>
        <v>0</v>
      </c>
      <c r="CD48" s="23">
        <f>'QTR Raw'!AX15</f>
        <v>0</v>
      </c>
      <c r="CE48" s="23">
        <f>'QTR Raw'!AY15</f>
        <v>0</v>
      </c>
      <c r="CF48" s="23">
        <f>'QTR Raw'!AZ15</f>
        <v>0</v>
      </c>
      <c r="CG48" s="23">
        <f>'QTR Raw'!BA15</f>
        <v>0</v>
      </c>
      <c r="CH48" s="23">
        <f>'QTR Raw'!BB15</f>
        <v>0</v>
      </c>
      <c r="CI48" s="23">
        <f>'QTR Raw'!BC15</f>
        <v>0</v>
      </c>
      <c r="CJ48" s="23">
        <f>'QTR Raw'!BD15</f>
        <v>0</v>
      </c>
      <c r="CK48" s="23">
        <f>'QTR Raw'!BE15</f>
        <v>0</v>
      </c>
      <c r="CL48" s="23">
        <f>'QTR Raw'!BF15</f>
        <v>0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E48" s="123"/>
      <c r="DF48" s="23">
        <v>0</v>
      </c>
    </row>
    <row r="49" spans="1:110" s="23" customFormat="1" outlineLevel="1" x14ac:dyDescent="0.2">
      <c r="A49" s="23" t="s">
        <v>11</v>
      </c>
      <c r="B49" s="23">
        <f>'Annual Raw'!C18</f>
        <v>0</v>
      </c>
      <c r="C49" s="23">
        <f>'Annual Raw'!D18</f>
        <v>0</v>
      </c>
      <c r="D49" s="23">
        <f>'Annual Raw'!E18</f>
        <v>0</v>
      </c>
      <c r="E49" s="23">
        <f>'Annual Raw'!F18</f>
        <v>0</v>
      </c>
      <c r="F49" s="23">
        <f>'Annual Raw'!G18</f>
        <v>0</v>
      </c>
      <c r="G49" s="23">
        <f>'Annual Raw'!H18</f>
        <v>0</v>
      </c>
      <c r="H49" s="23">
        <f>'Annual Raw'!I18</f>
        <v>0</v>
      </c>
      <c r="I49" s="23">
        <f>'Annual Raw'!J18</f>
        <v>27.1213984</v>
      </c>
      <c r="J49" s="23">
        <f>'Annual Raw'!K18</f>
        <v>26.1392363</v>
      </c>
      <c r="K49" s="23">
        <f>'Annual Raw'!L18</f>
        <v>0</v>
      </c>
      <c r="L49" s="23">
        <f>'Annual Raw'!M18</f>
        <v>0</v>
      </c>
      <c r="M49" s="23">
        <f>'Annual Raw'!N18</f>
        <v>0</v>
      </c>
      <c r="N49" s="23">
        <f>'Annual Raw'!O18</f>
        <v>0</v>
      </c>
      <c r="O49" s="23">
        <f>'Annual Raw'!P18</f>
        <v>95.512</v>
      </c>
      <c r="P49" s="23">
        <f>'Annual Raw'!Q18</f>
        <v>144.56700000000001</v>
      </c>
      <c r="Q49" s="23">
        <f>'Annual Raw'!R18</f>
        <v>175.99</v>
      </c>
      <c r="R49" s="23">
        <f>'Annual Raw'!S18</f>
        <v>187.98</v>
      </c>
      <c r="S49" s="23">
        <f>'Annual Raw'!T18</f>
        <v>254.274</v>
      </c>
      <c r="T49" s="23">
        <f>'Annual Raw'!U18</f>
        <v>277.858</v>
      </c>
      <c r="U49" s="23">
        <f>'Annual Raw'!V18</f>
        <v>344.89</v>
      </c>
      <c r="V49" s="23">
        <f>'Annual Raw'!W18</f>
        <v>302.68</v>
      </c>
      <c r="W49" s="23">
        <f>'Annual Raw'!X18</f>
        <v>396.88799999999998</v>
      </c>
      <c r="X49" s="23">
        <f>'Annual Raw'!Y18</f>
        <v>491.57799999999997</v>
      </c>
      <c r="Y49" s="23">
        <f>'Annual Raw'!Z18</f>
        <v>599.255</v>
      </c>
      <c r="Z49" s="23">
        <f>'Annual Raw'!AA18</f>
        <v>542.28599999999994</v>
      </c>
      <c r="AA49" s="23">
        <f>'Annual Raw'!AB18</f>
        <v>726.56200000000001</v>
      </c>
      <c r="AB49" s="76">
        <f t="shared" si="296"/>
        <v>0</v>
      </c>
      <c r="AC49" s="76">
        <f t="shared" si="297"/>
        <v>0</v>
      </c>
      <c r="AD49" s="76">
        <f t="shared" si="298"/>
        <v>0</v>
      </c>
      <c r="AE49" s="76">
        <f t="shared" si="299"/>
        <v>0</v>
      </c>
      <c r="AI49" s="23">
        <f>'QTR Raw'!C18</f>
        <v>0</v>
      </c>
      <c r="AJ49" s="23">
        <f>'QTR Raw'!D18</f>
        <v>0</v>
      </c>
      <c r="AK49" s="23">
        <f>'QTR Raw'!E18</f>
        <v>0</v>
      </c>
      <c r="AL49" s="23">
        <f>'QTR Raw'!F18</f>
        <v>0</v>
      </c>
      <c r="AM49" s="23">
        <f>'QTR Raw'!G18</f>
        <v>0</v>
      </c>
      <c r="AN49" s="23">
        <f>'QTR Raw'!H18</f>
        <v>0</v>
      </c>
      <c r="AO49" s="23">
        <f>'QTR Raw'!I18</f>
        <v>0</v>
      </c>
      <c r="AP49" s="23">
        <f>'QTR Raw'!J18</f>
        <v>0</v>
      </c>
      <c r="AQ49" s="23">
        <f>'QTR Raw'!K18</f>
        <v>0</v>
      </c>
      <c r="AR49" s="23">
        <f>'QTR Raw'!L18</f>
        <v>0</v>
      </c>
      <c r="AS49" s="23">
        <f>'QTR Raw'!M18</f>
        <v>0</v>
      </c>
      <c r="AT49" s="23">
        <f>'QTR Raw'!N18</f>
        <v>0</v>
      </c>
      <c r="AU49" s="23">
        <f>'QTR Raw'!O18</f>
        <v>0</v>
      </c>
      <c r="AV49" s="23">
        <f>'QTR Raw'!P18</f>
        <v>0</v>
      </c>
      <c r="AW49" s="23">
        <f>'QTR Raw'!Q18</f>
        <v>0</v>
      </c>
      <c r="AX49" s="23">
        <f>'QTR Raw'!R18</f>
        <v>0</v>
      </c>
      <c r="AY49" s="23">
        <f>'QTR Raw'!S18</f>
        <v>0</v>
      </c>
      <c r="AZ49" s="23">
        <f>'QTR Raw'!T18</f>
        <v>0</v>
      </c>
      <c r="BA49" s="23">
        <f>'QTR Raw'!U18</f>
        <v>0</v>
      </c>
      <c r="BB49" s="23">
        <f>'QTR Raw'!V18</f>
        <v>0</v>
      </c>
      <c r="BC49" s="23">
        <f>'QTR Raw'!W18</f>
        <v>0</v>
      </c>
      <c r="BD49" s="23">
        <f>'QTR Raw'!X18</f>
        <v>0</v>
      </c>
      <c r="BE49" s="23">
        <f>'QTR Raw'!Y18</f>
        <v>0</v>
      </c>
      <c r="BF49" s="23">
        <f>'QTR Raw'!Z18</f>
        <v>0</v>
      </c>
      <c r="BG49" s="23">
        <f>'QTR Raw'!AA18</f>
        <v>0</v>
      </c>
      <c r="BH49" s="23">
        <f>'QTR Raw'!AB18</f>
        <v>35.252000000000002</v>
      </c>
      <c r="BI49" s="23">
        <f>'QTR Raw'!AC18</f>
        <v>52.088999999999999</v>
      </c>
      <c r="BJ49" s="23">
        <f>'QTR Raw'!AD18</f>
        <v>85.566000000000003</v>
      </c>
      <c r="BK49" s="23">
        <f>'QTR Raw'!AE18</f>
        <v>81.856999999999999</v>
      </c>
      <c r="BL49" s="23">
        <f>'QTR Raw'!AF18</f>
        <v>57.902000000000001</v>
      </c>
      <c r="BM49" s="23">
        <f>'QTR Raw'!AG18</f>
        <v>90.176000000000002</v>
      </c>
      <c r="BN49" s="23">
        <f>'QTR Raw'!AH18</f>
        <v>68.417000000000002</v>
      </c>
      <c r="BO49" s="23">
        <f>'QTR Raw'!AI18</f>
        <v>29.645</v>
      </c>
      <c r="BP49" s="23">
        <f>'QTR Raw'!AJ18</f>
        <v>60.587000000000003</v>
      </c>
      <c r="BQ49" s="23">
        <f>'QTR Raw'!AK18</f>
        <v>89.265000000000001</v>
      </c>
      <c r="BR49" s="23">
        <f>'QTR Raw'!AL18</f>
        <v>84.676000000000002</v>
      </c>
      <c r="BS49" s="23">
        <f>'QTR Raw'!AM18</f>
        <v>47.86</v>
      </c>
      <c r="BT49" s="23">
        <f>'QTR Raw'!AN18</f>
        <v>83.182000000000002</v>
      </c>
      <c r="BU49" s="23">
        <f>'QTR Raw'!AO18</f>
        <v>129.48500000000001</v>
      </c>
      <c r="BV49" s="23">
        <f>'QTR Raw'!AP18</f>
        <v>95.728999999999999</v>
      </c>
      <c r="BW49" s="23">
        <f>'QTR Raw'!AQ18</f>
        <v>74.91</v>
      </c>
      <c r="BX49" s="23">
        <f>'QTR Raw'!AR18</f>
        <v>106.175</v>
      </c>
      <c r="BY49" s="23">
        <f>'QTR Raw'!AS18</f>
        <v>145.48599999999999</v>
      </c>
      <c r="BZ49" s="23">
        <f>'QTR Raw'!AT18</f>
        <v>112.44199999999999</v>
      </c>
      <c r="CA49" s="23">
        <f>'QTR Raw'!AU18</f>
        <v>105.669</v>
      </c>
      <c r="CB49" s="23">
        <f>'QTR Raw'!AV18</f>
        <v>130.922</v>
      </c>
      <c r="CC49" s="23">
        <f>'QTR Raw'!AW18</f>
        <v>177.94</v>
      </c>
      <c r="CD49" s="23">
        <f>'QTR Raw'!AX18</f>
        <v>134.15899999999999</v>
      </c>
      <c r="CE49" s="23">
        <f>'QTR Raw'!AY18</f>
        <v>102.316</v>
      </c>
      <c r="CF49" s="23">
        <f>'QTR Raw'!AZ18</f>
        <v>123.92</v>
      </c>
      <c r="CG49" s="23">
        <f>'QTR Raw'!BA18</f>
        <v>129.345</v>
      </c>
      <c r="CH49" s="23">
        <f>'QTR Raw'!BB18</f>
        <v>140.02699999999999</v>
      </c>
      <c r="CI49" s="23">
        <f>'QTR Raw'!BC18</f>
        <v>113.071</v>
      </c>
      <c r="CJ49" s="23">
        <f>'QTR Raw'!BD18</f>
        <v>138.87799999999999</v>
      </c>
      <c r="CK49" s="23">
        <f>'QTR Raw'!BE18</f>
        <v>216.298</v>
      </c>
      <c r="CL49" s="23">
        <f>'QTR Raw'!BF18</f>
        <v>185.977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E49" s="123"/>
      <c r="DF49" s="23">
        <v>654.22399999999993</v>
      </c>
    </row>
    <row r="50" spans="1:110" s="22" customFormat="1" x14ac:dyDescent="0.2">
      <c r="A50" s="33" t="s">
        <v>348</v>
      </c>
      <c r="B50" s="22">
        <f t="shared" ref="B50:E50" si="302">+SUM(B44:B49)</f>
        <v>0</v>
      </c>
      <c r="C50" s="22">
        <f t="shared" si="302"/>
        <v>0</v>
      </c>
      <c r="D50" s="22">
        <f t="shared" si="302"/>
        <v>0</v>
      </c>
      <c r="E50" s="22">
        <f t="shared" si="302"/>
        <v>0</v>
      </c>
      <c r="F50" s="22">
        <f t="shared" ref="F50:AE50" si="303">+SUM(F44:F49)</f>
        <v>0</v>
      </c>
      <c r="G50" s="22">
        <f t="shared" si="303"/>
        <v>0</v>
      </c>
      <c r="H50" s="22">
        <f t="shared" si="303"/>
        <v>0</v>
      </c>
      <c r="I50" s="22">
        <f t="shared" si="303"/>
        <v>220.94777299999998</v>
      </c>
      <c r="J50" s="22">
        <f t="shared" si="303"/>
        <v>228.09254079999999</v>
      </c>
      <c r="K50" s="22">
        <f t="shared" si="303"/>
        <v>2449.6128549</v>
      </c>
      <c r="L50" s="22">
        <f t="shared" si="303"/>
        <v>0</v>
      </c>
      <c r="M50" s="22">
        <f t="shared" si="303"/>
        <v>3433.047</v>
      </c>
      <c r="N50" s="22">
        <f t="shared" si="303"/>
        <v>3382.1350000000002</v>
      </c>
      <c r="O50" s="22">
        <f t="shared" si="303"/>
        <v>524.53600000000006</v>
      </c>
      <c r="P50" s="22">
        <f t="shared" si="303"/>
        <v>779.64499999999998</v>
      </c>
      <c r="Q50" s="22">
        <f t="shared" si="303"/>
        <v>978.83999999999992</v>
      </c>
      <c r="R50" s="22">
        <f t="shared" si="303"/>
        <v>974.98900000000003</v>
      </c>
      <c r="S50" s="22">
        <f t="shared" si="303"/>
        <v>1130.1320000000001</v>
      </c>
      <c r="T50" s="22">
        <f t="shared" si="303"/>
        <v>1413.2239999999997</v>
      </c>
      <c r="U50" s="22">
        <f t="shared" si="303"/>
        <v>1817.741</v>
      </c>
      <c r="V50" s="22">
        <f t="shared" si="303"/>
        <v>1425.7250000000001</v>
      </c>
      <c r="W50" s="22">
        <f t="shared" si="303"/>
        <v>1800.5609999999997</v>
      </c>
      <c r="X50" s="22">
        <f t="shared" si="303"/>
        <v>2137.0079999999998</v>
      </c>
      <c r="Y50" s="22">
        <f t="shared" si="303"/>
        <v>2929.5680000000002</v>
      </c>
      <c r="Z50" s="22">
        <f t="shared" ref="Z50:AA50" si="304">+SUM(Z44:Z49)</f>
        <v>4098.0429999999997</v>
      </c>
      <c r="AA50" s="22">
        <f t="shared" si="304"/>
        <v>4538.12</v>
      </c>
      <c r="AB50" s="21">
        <f t="shared" si="303"/>
        <v>5190.2726256326541</v>
      </c>
      <c r="AC50" s="21">
        <f t="shared" si="303"/>
        <v>6078.443889011116</v>
      </c>
      <c r="AD50" s="21">
        <f t="shared" si="303"/>
        <v>6846.6370419467639</v>
      </c>
      <c r="AE50" s="21">
        <f t="shared" si="303"/>
        <v>7832.4828650747268</v>
      </c>
      <c r="AI50" s="22">
        <f t="shared" ref="AI50:BN50" si="305">+SUM(AI44:AI49)</f>
        <v>0</v>
      </c>
      <c r="AJ50" s="22">
        <f t="shared" si="305"/>
        <v>0</v>
      </c>
      <c r="AK50" s="22">
        <f t="shared" si="305"/>
        <v>0</v>
      </c>
      <c r="AL50" s="22">
        <f t="shared" si="305"/>
        <v>0</v>
      </c>
      <c r="AM50" s="22">
        <f t="shared" si="305"/>
        <v>0</v>
      </c>
      <c r="AN50" s="22">
        <f t="shared" si="305"/>
        <v>0</v>
      </c>
      <c r="AO50" s="22">
        <f t="shared" si="305"/>
        <v>0</v>
      </c>
      <c r="AP50" s="22">
        <f t="shared" si="305"/>
        <v>0</v>
      </c>
      <c r="AQ50" s="22">
        <f t="shared" si="305"/>
        <v>0</v>
      </c>
      <c r="AR50" s="22">
        <f t="shared" si="305"/>
        <v>0</v>
      </c>
      <c r="AS50" s="22">
        <f t="shared" si="305"/>
        <v>0</v>
      </c>
      <c r="AT50" s="22">
        <f t="shared" si="305"/>
        <v>0</v>
      </c>
      <c r="AU50" s="22">
        <f t="shared" si="305"/>
        <v>0</v>
      </c>
      <c r="AV50" s="22">
        <f t="shared" si="305"/>
        <v>0</v>
      </c>
      <c r="AW50" s="22">
        <f t="shared" si="305"/>
        <v>0</v>
      </c>
      <c r="AX50" s="22">
        <f t="shared" si="305"/>
        <v>0</v>
      </c>
      <c r="AY50" s="22">
        <f t="shared" si="305"/>
        <v>0</v>
      </c>
      <c r="AZ50" s="22">
        <f t="shared" si="305"/>
        <v>0</v>
      </c>
      <c r="BA50" s="22">
        <f t="shared" si="305"/>
        <v>0</v>
      </c>
      <c r="BB50" s="22">
        <f t="shared" si="305"/>
        <v>0</v>
      </c>
      <c r="BC50" s="22">
        <f t="shared" si="305"/>
        <v>0</v>
      </c>
      <c r="BD50" s="22">
        <f t="shared" si="305"/>
        <v>0</v>
      </c>
      <c r="BE50" s="22">
        <f t="shared" si="305"/>
        <v>0</v>
      </c>
      <c r="BF50" s="22">
        <f t="shared" si="305"/>
        <v>270.49900000000002</v>
      </c>
      <c r="BG50" s="22">
        <f t="shared" si="305"/>
        <v>278.85199999999998</v>
      </c>
      <c r="BH50" s="22">
        <f t="shared" si="305"/>
        <v>295.214</v>
      </c>
      <c r="BI50" s="22">
        <f t="shared" si="305"/>
        <v>300.26</v>
      </c>
      <c r="BJ50" s="22">
        <f t="shared" si="305"/>
        <v>446.803</v>
      </c>
      <c r="BK50" s="22">
        <f t="shared" si="305"/>
        <v>377.03399999999999</v>
      </c>
      <c r="BL50" s="22">
        <f t="shared" si="305"/>
        <v>414.77499999999998</v>
      </c>
      <c r="BM50" s="22">
        <f t="shared" si="305"/>
        <v>424.12099999999998</v>
      </c>
      <c r="BN50" s="22">
        <f t="shared" si="305"/>
        <v>427.82899999999995</v>
      </c>
      <c r="BO50" s="22">
        <f t="shared" ref="BO50:CH50" si="306">+SUM(BO44:BO49)</f>
        <v>237.489</v>
      </c>
      <c r="BP50" s="22">
        <f t="shared" si="306"/>
        <v>311.66399999999999</v>
      </c>
      <c r="BQ50" s="22">
        <f t="shared" si="306"/>
        <v>328.09899999999999</v>
      </c>
      <c r="BR50" s="22">
        <f t="shared" si="306"/>
        <v>390.33600000000001</v>
      </c>
      <c r="BS50" s="22">
        <f t="shared" si="306"/>
        <v>325.88800000000003</v>
      </c>
      <c r="BT50" s="22">
        <f t="shared" si="306"/>
        <v>398.19800000000004</v>
      </c>
      <c r="BU50" s="22">
        <f t="shared" si="306"/>
        <v>425.16700000000003</v>
      </c>
      <c r="BV50" s="22">
        <f t="shared" si="306"/>
        <v>435.10599999999999</v>
      </c>
      <c r="BW50" s="22">
        <f t="shared" si="306"/>
        <v>400.27700000000004</v>
      </c>
      <c r="BX50" s="22">
        <f t="shared" si="306"/>
        <v>467.25</v>
      </c>
      <c r="BY50" s="22">
        <f t="shared" si="306"/>
        <v>494.05199999999996</v>
      </c>
      <c r="BZ50" s="22">
        <f t="shared" si="306"/>
        <v>518.34199999999998</v>
      </c>
      <c r="CA50" s="22">
        <f t="shared" si="306"/>
        <v>511.64199999999994</v>
      </c>
      <c r="CB50" s="22">
        <f t="shared" si="306"/>
        <v>574.87199999999996</v>
      </c>
      <c r="CC50" s="22">
        <f t="shared" si="306"/>
        <v>713.1579999999999</v>
      </c>
      <c r="CD50" s="22">
        <f t="shared" si="306"/>
        <v>945.28300000000002</v>
      </c>
      <c r="CE50" s="22">
        <f t="shared" si="306"/>
        <v>857.779</v>
      </c>
      <c r="CF50" s="22">
        <f t="shared" si="306"/>
        <v>971.60599999999999</v>
      </c>
      <c r="CG50" s="22">
        <f t="shared" si="306"/>
        <v>898.72600000000011</v>
      </c>
      <c r="CH50" s="22">
        <f t="shared" si="306"/>
        <v>1146.816</v>
      </c>
      <c r="CI50" s="22">
        <f t="shared" ref="CI50:CJ50" si="307">+SUM(CI44:CI49)</f>
        <v>906.1</v>
      </c>
      <c r="CJ50" s="22">
        <f t="shared" si="307"/>
        <v>995.82799999999997</v>
      </c>
      <c r="CK50" s="22">
        <f t="shared" ref="CK50:CL50" si="308">+SUM(CK44:CK49)</f>
        <v>1141.951</v>
      </c>
      <c r="CL50" s="22">
        <f t="shared" si="308"/>
        <v>1247.2260000000001</v>
      </c>
      <c r="CM50" s="21">
        <f t="shared" ref="CM50:DB50" si="309">CM51*CM34</f>
        <v>1085.5649334064969</v>
      </c>
      <c r="CN50" s="21">
        <f t="shared" si="309"/>
        <v>1167.4523600275786</v>
      </c>
      <c r="CO50" s="21">
        <f t="shared" si="309"/>
        <v>1371.9399161184167</v>
      </c>
      <c r="CP50" s="21">
        <f t="shared" si="309"/>
        <v>1565.3154160801614</v>
      </c>
      <c r="CQ50" s="21">
        <f t="shared" si="309"/>
        <v>1276.4244935801303</v>
      </c>
      <c r="CR50" s="21">
        <f t="shared" si="309"/>
        <v>1366.4479356775173</v>
      </c>
      <c r="CS50" s="21">
        <f t="shared" si="309"/>
        <v>1607.820632773821</v>
      </c>
      <c r="CT50" s="21">
        <f t="shared" si="309"/>
        <v>1827.7508269796476</v>
      </c>
      <c r="CU50" s="21">
        <f t="shared" si="309"/>
        <v>1434.6965095258734</v>
      </c>
      <c r="CV50" s="21">
        <f t="shared" si="309"/>
        <v>1538.3023030575484</v>
      </c>
      <c r="CW50" s="21">
        <f t="shared" si="309"/>
        <v>1813.438568144551</v>
      </c>
      <c r="CX50" s="21">
        <f t="shared" si="309"/>
        <v>2060.1996612187913</v>
      </c>
      <c r="CY50" s="21">
        <f t="shared" si="309"/>
        <v>1632.4062434228806</v>
      </c>
      <c r="CZ50" s="21">
        <f t="shared" si="309"/>
        <v>1755.3645485665581</v>
      </c>
      <c r="DA50" s="21">
        <f t="shared" si="309"/>
        <v>2077.2224762835667</v>
      </c>
      <c r="DB50" s="21">
        <f t="shared" si="309"/>
        <v>2367.4895968017208</v>
      </c>
      <c r="DE50" s="126"/>
      <c r="DF50" s="22">
        <v>1430.8272461766985</v>
      </c>
    </row>
    <row r="51" spans="1:110" s="44" customFormat="1" x14ac:dyDescent="0.2">
      <c r="A51" s="43" t="s">
        <v>349</v>
      </c>
      <c r="B51" s="44" t="e">
        <f t="shared" ref="B51:E51" si="310">B50/B34</f>
        <v>#DIV/0!</v>
      </c>
      <c r="C51" s="44" t="e">
        <f t="shared" si="310"/>
        <v>#DIV/0!</v>
      </c>
      <c r="D51" s="44" t="e">
        <f t="shared" si="310"/>
        <v>#DIV/0!</v>
      </c>
      <c r="E51" s="44" t="e">
        <f t="shared" si="310"/>
        <v>#DIV/0!</v>
      </c>
      <c r="F51" s="44" t="e">
        <f t="shared" ref="F51:AE51" si="311">F50/F34</f>
        <v>#DIV/0!</v>
      </c>
      <c r="G51" s="44" t="e">
        <f t="shared" si="311"/>
        <v>#DIV/0!</v>
      </c>
      <c r="H51" s="44" t="e">
        <f t="shared" si="311"/>
        <v>#DIV/0!</v>
      </c>
      <c r="I51" s="44">
        <f t="shared" si="311"/>
        <v>0.10343092682336115</v>
      </c>
      <c r="J51" s="44">
        <f t="shared" si="311"/>
        <v>0.10183458224596777</v>
      </c>
      <c r="K51" s="44">
        <f t="shared" si="311"/>
        <v>0.9744178031757077</v>
      </c>
      <c r="L51" s="44" t="e">
        <f t="shared" si="311"/>
        <v>#DIV/0!</v>
      </c>
      <c r="M51" s="44">
        <f t="shared" si="311"/>
        <v>0.90927286711819799</v>
      </c>
      <c r="N51" s="44">
        <f t="shared" si="311"/>
        <v>0.90930489346205778</v>
      </c>
      <c r="O51" s="44">
        <f t="shared" si="311"/>
        <v>0.13651550964808223</v>
      </c>
      <c r="P51" s="44">
        <f t="shared" si="311"/>
        <v>0.16559596237645802</v>
      </c>
      <c r="Q51" s="44">
        <f t="shared" si="311"/>
        <v>0.18871642216922474</v>
      </c>
      <c r="R51" s="44">
        <f t="shared" si="311"/>
        <v>0.17726695632111097</v>
      </c>
      <c r="S51" s="44">
        <f t="shared" si="311"/>
        <v>0.16692482834968292</v>
      </c>
      <c r="T51" s="44">
        <f t="shared" si="311"/>
        <v>0.17697261253824403</v>
      </c>
      <c r="U51" s="44">
        <f t="shared" si="311"/>
        <v>0.2058607320195856</v>
      </c>
      <c r="V51" s="44">
        <f t="shared" si="311"/>
        <v>0.16215730837009115</v>
      </c>
      <c r="W51" s="44">
        <f t="shared" si="311"/>
        <v>0.14754148331813444</v>
      </c>
      <c r="X51" s="44">
        <f t="shared" si="311"/>
        <v>0.15147729146290789</v>
      </c>
      <c r="Y51" s="44">
        <f t="shared" si="311"/>
        <v>0.16239790982471525</v>
      </c>
      <c r="Z51" s="44">
        <f t="shared" ref="Z51:AA51" si="312">Z50/Z34</f>
        <v>0.18288047832962703</v>
      </c>
      <c r="AA51" s="44">
        <f t="shared" si="312"/>
        <v>0.15711648941385534</v>
      </c>
      <c r="AB51" s="52">
        <f t="shared" si="311"/>
        <v>0.14537127737687075</v>
      </c>
      <c r="AC51" s="52">
        <f t="shared" si="311"/>
        <v>0.14282806705448314</v>
      </c>
      <c r="AD51" s="52">
        <f t="shared" si="311"/>
        <v>0.14050005708784469</v>
      </c>
      <c r="AE51" s="52">
        <f t="shared" si="311"/>
        <v>0.14034027080386158</v>
      </c>
      <c r="AI51" s="44" t="e">
        <f t="shared" ref="AI51:BN51" si="313">AI50/AI34</f>
        <v>#DIV/0!</v>
      </c>
      <c r="AJ51" s="44" t="e">
        <f t="shared" si="313"/>
        <v>#DIV/0!</v>
      </c>
      <c r="AK51" s="44" t="e">
        <f t="shared" si="313"/>
        <v>#DIV/0!</v>
      </c>
      <c r="AL51" s="44" t="e">
        <f t="shared" si="313"/>
        <v>#DIV/0!</v>
      </c>
      <c r="AM51" s="44" t="e">
        <f t="shared" si="313"/>
        <v>#DIV/0!</v>
      </c>
      <c r="AN51" s="44" t="e">
        <f t="shared" si="313"/>
        <v>#DIV/0!</v>
      </c>
      <c r="AO51" s="44" t="e">
        <f t="shared" si="313"/>
        <v>#DIV/0!</v>
      </c>
      <c r="AP51" s="44" t="e">
        <f t="shared" si="313"/>
        <v>#DIV/0!</v>
      </c>
      <c r="AQ51" s="44" t="e">
        <f t="shared" si="313"/>
        <v>#DIV/0!</v>
      </c>
      <c r="AR51" s="44" t="e">
        <f t="shared" si="313"/>
        <v>#DIV/0!</v>
      </c>
      <c r="AS51" s="44" t="e">
        <f t="shared" si="313"/>
        <v>#DIV/0!</v>
      </c>
      <c r="AT51" s="44" t="e">
        <f t="shared" si="313"/>
        <v>#DIV/0!</v>
      </c>
      <c r="AU51" s="44" t="e">
        <f t="shared" si="313"/>
        <v>#DIV/0!</v>
      </c>
      <c r="AV51" s="44" t="e">
        <f t="shared" si="313"/>
        <v>#DIV/0!</v>
      </c>
      <c r="AW51" s="44" t="e">
        <f t="shared" si="313"/>
        <v>#DIV/0!</v>
      </c>
      <c r="AX51" s="44" t="e">
        <f t="shared" si="313"/>
        <v>#DIV/0!</v>
      </c>
      <c r="AY51" s="44" t="e">
        <f t="shared" si="313"/>
        <v>#DIV/0!</v>
      </c>
      <c r="AZ51" s="44" t="e">
        <f t="shared" si="313"/>
        <v>#DIV/0!</v>
      </c>
      <c r="BA51" s="44" t="e">
        <f t="shared" si="313"/>
        <v>#DIV/0!</v>
      </c>
      <c r="BB51" s="44" t="e">
        <f t="shared" si="313"/>
        <v>#DIV/0!</v>
      </c>
      <c r="BC51" s="44" t="e">
        <f t="shared" si="313"/>
        <v>#DIV/0!</v>
      </c>
      <c r="BD51" s="44" t="e">
        <f t="shared" si="313"/>
        <v>#DIV/0!</v>
      </c>
      <c r="BE51" s="44" t="e">
        <f t="shared" si="313"/>
        <v>#DIV/0!</v>
      </c>
      <c r="BF51" s="44">
        <f t="shared" si="313"/>
        <v>0.12818363356689222</v>
      </c>
      <c r="BG51" s="44">
        <f t="shared" si="313"/>
        <v>0.16572232067826506</v>
      </c>
      <c r="BH51" s="44">
        <f t="shared" si="313"/>
        <v>0.16293467192462974</v>
      </c>
      <c r="BI51" s="44">
        <f t="shared" si="313"/>
        <v>0.14828840628237913</v>
      </c>
      <c r="BJ51" s="44">
        <f t="shared" si="313"/>
        <v>0.18135866276079773</v>
      </c>
      <c r="BK51" s="44">
        <f t="shared" si="313"/>
        <v>0.19321957809159318</v>
      </c>
      <c r="BL51" s="44">
        <f t="shared" si="313"/>
        <v>0.18500693371776175</v>
      </c>
      <c r="BM51" s="44">
        <f t="shared" si="313"/>
        <v>0.16915399669844977</v>
      </c>
      <c r="BN51" s="44">
        <f t="shared" si="313"/>
        <v>0.20091707402292028</v>
      </c>
      <c r="BO51" s="44">
        <f t="shared" ref="BO51:CH51" si="314">BO50/BO34</f>
        <v>0.24318064294820269</v>
      </c>
      <c r="BP51" s="44">
        <f t="shared" si="314"/>
        <v>0.14745075181602532</v>
      </c>
      <c r="BQ51" s="44">
        <f t="shared" si="314"/>
        <v>0.11946772795793674</v>
      </c>
      <c r="BR51" s="44">
        <f t="shared" si="314"/>
        <v>0.13264368152005224</v>
      </c>
      <c r="BS51" s="44">
        <f t="shared" si="314"/>
        <v>0.17565927206790757</v>
      </c>
      <c r="BT51" s="44">
        <f t="shared" si="314"/>
        <v>0.13244327810400944</v>
      </c>
      <c r="BU51" s="44">
        <f t="shared" si="314"/>
        <v>0.12608763474215273</v>
      </c>
      <c r="BV51" s="44">
        <f t="shared" si="314"/>
        <v>0.1095989855873402</v>
      </c>
      <c r="BW51" s="44">
        <f t="shared" si="314"/>
        <v>0.14627029511901271</v>
      </c>
      <c r="BX51" s="44">
        <f t="shared" si="314"/>
        <v>0.1402160272095615</v>
      </c>
      <c r="BY51" s="44">
        <f t="shared" si="314"/>
        <v>0.13298191044207255</v>
      </c>
      <c r="BZ51" s="44">
        <f t="shared" si="314"/>
        <v>0.11988442255568808</v>
      </c>
      <c r="CA51" s="44">
        <f t="shared" si="314"/>
        <v>0.13154840537648396</v>
      </c>
      <c r="CB51" s="44">
        <f t="shared" si="314"/>
        <v>0.13629997602957253</v>
      </c>
      <c r="CC51" s="44">
        <f t="shared" si="314"/>
        <v>0.16430432648998838</v>
      </c>
      <c r="CD51" s="44">
        <f t="shared" si="314"/>
        <v>0.16904519845240298</v>
      </c>
      <c r="CE51" s="44">
        <f t="shared" si="314"/>
        <v>0.18258269955704839</v>
      </c>
      <c r="CF51" s="44">
        <f t="shared" si="314"/>
        <v>0.17670630287993486</v>
      </c>
      <c r="CG51" s="44">
        <f t="shared" si="314"/>
        <v>0.17197002255235397</v>
      </c>
      <c r="CH51" s="44">
        <f t="shared" si="314"/>
        <v>0.16416392228919302</v>
      </c>
      <c r="CI51" s="44">
        <f t="shared" ref="CI51:CJ51" si="315">CI50/CI34</f>
        <v>0.15342087404351121</v>
      </c>
      <c r="CJ51" s="44">
        <f t="shared" si="315"/>
        <v>0.15374333181364633</v>
      </c>
      <c r="CK51" s="44">
        <f t="shared" ref="CK51:CL51" si="316">CK50/CK34</f>
        <v>0.14954581693758931</v>
      </c>
      <c r="CL51" s="44">
        <f t="shared" si="316"/>
        <v>0.14069933285404204</v>
      </c>
      <c r="CM51" s="52">
        <f>AVERAGE(CI51:CL51)*0.99</f>
        <v>0.14785881552307523</v>
      </c>
      <c r="CN51" s="52">
        <f t="shared" ref="CN51:CP51" si="317">AVERAGE(CJ51:CM51)*0.99</f>
        <v>0.14648220603926734</v>
      </c>
      <c r="CO51" s="52">
        <f t="shared" si="317"/>
        <v>0.14468507741010855</v>
      </c>
      <c r="CP51" s="52">
        <f t="shared" si="317"/>
        <v>0.14348204437705703</v>
      </c>
      <c r="CQ51" s="52">
        <f>AVERAGE(CM51:CP51)*0.99</f>
        <v>0.14417076547900323</v>
      </c>
      <c r="CR51" s="52">
        <f t="shared" ref="CR51:CT51" si="318">AVERAGE(CN51:CQ51)*0.99</f>
        <v>0.14325797309309546</v>
      </c>
      <c r="CS51" s="52">
        <f t="shared" si="318"/>
        <v>0.14245997543891792</v>
      </c>
      <c r="CT51" s="52">
        <f t="shared" si="318"/>
        <v>0.14190926270104823</v>
      </c>
      <c r="CU51" s="52">
        <f>AVERAGE(CQ51:CT51)*0.99</f>
        <v>0.14151999923623607</v>
      </c>
      <c r="CV51" s="52">
        <f>AVERAGE(CR51:CU51)*0.99</f>
        <v>0.14086393459115115</v>
      </c>
      <c r="CW51" s="52">
        <f t="shared" ref="CW51:CX51" si="319">AVERAGE(CS51:CV51)*0.99</f>
        <v>0.14027141006191995</v>
      </c>
      <c r="CX51" s="52">
        <f t="shared" si="319"/>
        <v>0.13972974013111295</v>
      </c>
      <c r="CY51" s="52">
        <f t="shared" ref="CY51:DB51" si="320">AVERAGE(CU51:CX51)</f>
        <v>0.14059627100510502</v>
      </c>
      <c r="CZ51" s="52">
        <f t="shared" si="320"/>
        <v>0.14036533894732228</v>
      </c>
      <c r="DA51" s="52">
        <f t="shared" si="320"/>
        <v>0.14024069003636505</v>
      </c>
      <c r="DB51" s="52">
        <f t="shared" si="320"/>
        <v>0.14023301002997632</v>
      </c>
      <c r="DE51" s="128"/>
      <c r="DF51" s="44">
        <v>0.1598750408591145</v>
      </c>
    </row>
    <row r="52" spans="1:110" s="26" customFormat="1" x14ac:dyDescent="0.2">
      <c r="A52" s="34" t="s">
        <v>13</v>
      </c>
      <c r="B52" s="26">
        <f t="shared" ref="B52:E52" si="321">B40-B50</f>
        <v>0</v>
      </c>
      <c r="C52" s="26">
        <f t="shared" si="321"/>
        <v>0</v>
      </c>
      <c r="D52" s="26">
        <f t="shared" si="321"/>
        <v>0</v>
      </c>
      <c r="E52" s="26">
        <f t="shared" si="321"/>
        <v>0</v>
      </c>
      <c r="F52" s="26">
        <f t="shared" ref="F52:AE52" si="322">F40-F50</f>
        <v>0</v>
      </c>
      <c r="G52" s="26">
        <f t="shared" si="322"/>
        <v>0</v>
      </c>
      <c r="H52" s="26">
        <f t="shared" si="322"/>
        <v>0</v>
      </c>
      <c r="I52" s="26">
        <f t="shared" si="322"/>
        <v>269.57318550000002</v>
      </c>
      <c r="J52" s="26">
        <f t="shared" si="322"/>
        <v>173.13032760000016</v>
      </c>
      <c r="K52" s="26">
        <f t="shared" si="322"/>
        <v>126.19870179999998</v>
      </c>
      <c r="L52" s="26">
        <f t="shared" si="322"/>
        <v>0</v>
      </c>
      <c r="M52" s="26">
        <f t="shared" si="322"/>
        <v>214.78899999999976</v>
      </c>
      <c r="N52" s="26">
        <f t="shared" si="322"/>
        <v>282.35799999999972</v>
      </c>
      <c r="O52" s="26">
        <f t="shared" si="322"/>
        <v>317.76200000000017</v>
      </c>
      <c r="P52" s="26">
        <f t="shared" si="322"/>
        <v>440.03600000000051</v>
      </c>
      <c r="Q52" s="26">
        <f t="shared" si="322"/>
        <v>485.97999999999979</v>
      </c>
      <c r="R52" s="26">
        <f t="shared" si="322"/>
        <v>479.94700000000057</v>
      </c>
      <c r="S52" s="26">
        <f t="shared" si="322"/>
        <v>728.87999999999965</v>
      </c>
      <c r="T52" s="26">
        <f t="shared" si="322"/>
        <v>952.76099999999997</v>
      </c>
      <c r="U52" s="26">
        <f t="shared" si="322"/>
        <v>1135.0259999999989</v>
      </c>
      <c r="V52" s="26">
        <f t="shared" si="322"/>
        <v>1106.115</v>
      </c>
      <c r="W52" s="26">
        <f t="shared" si="322"/>
        <v>1250.1950000000015</v>
      </c>
      <c r="X52" s="26">
        <f t="shared" si="322"/>
        <v>1848.9980000000014</v>
      </c>
      <c r="Y52" s="26">
        <f t="shared" si="322"/>
        <v>2491.8050000000012</v>
      </c>
      <c r="Z52" s="26">
        <f t="shared" ref="Z52:AA52" si="323">Z40-Z50</f>
        <v>2960.24</v>
      </c>
      <c r="AA52" s="26">
        <f t="shared" si="323"/>
        <v>4005.7280000000019</v>
      </c>
      <c r="AB52" s="27">
        <f t="shared" si="322"/>
        <v>4816.6685220918434</v>
      </c>
      <c r="AC52" s="27">
        <f t="shared" si="322"/>
        <v>5632.3306716430707</v>
      </c>
      <c r="AD52" s="27">
        <f t="shared" si="322"/>
        <v>6541.7634058623153</v>
      </c>
      <c r="AE52" s="27">
        <f t="shared" si="322"/>
        <v>7496.2838812493819</v>
      </c>
      <c r="AI52" s="26">
        <f t="shared" ref="AI52:BN52" si="324">AI40-AI50</f>
        <v>0</v>
      </c>
      <c r="AJ52" s="26">
        <f t="shared" si="324"/>
        <v>0</v>
      </c>
      <c r="AK52" s="26">
        <f t="shared" si="324"/>
        <v>0</v>
      </c>
      <c r="AL52" s="26">
        <f t="shared" si="324"/>
        <v>0</v>
      </c>
      <c r="AM52" s="26">
        <f t="shared" si="324"/>
        <v>0</v>
      </c>
      <c r="AN52" s="26">
        <f t="shared" si="324"/>
        <v>0</v>
      </c>
      <c r="AO52" s="26">
        <f t="shared" si="324"/>
        <v>0</v>
      </c>
      <c r="AP52" s="26">
        <f t="shared" si="324"/>
        <v>0</v>
      </c>
      <c r="AQ52" s="26">
        <f t="shared" si="324"/>
        <v>0</v>
      </c>
      <c r="AR52" s="26">
        <f t="shared" si="324"/>
        <v>0</v>
      </c>
      <c r="AS52" s="26">
        <f t="shared" si="324"/>
        <v>0</v>
      </c>
      <c r="AT52" s="26">
        <f t="shared" si="324"/>
        <v>0</v>
      </c>
      <c r="AU52" s="26">
        <f t="shared" si="324"/>
        <v>0</v>
      </c>
      <c r="AV52" s="26">
        <f t="shared" si="324"/>
        <v>0</v>
      </c>
      <c r="AW52" s="26">
        <f t="shared" si="324"/>
        <v>0</v>
      </c>
      <c r="AX52" s="26">
        <f t="shared" si="324"/>
        <v>0</v>
      </c>
      <c r="AY52" s="26">
        <f t="shared" si="324"/>
        <v>0</v>
      </c>
      <c r="AZ52" s="26">
        <f t="shared" si="324"/>
        <v>0</v>
      </c>
      <c r="BA52" s="26">
        <f t="shared" si="324"/>
        <v>0</v>
      </c>
      <c r="BB52" s="26">
        <f t="shared" si="324"/>
        <v>0</v>
      </c>
      <c r="BC52" s="26">
        <f t="shared" si="324"/>
        <v>0</v>
      </c>
      <c r="BD52" s="26">
        <f t="shared" si="324"/>
        <v>0</v>
      </c>
      <c r="BE52" s="26">
        <f t="shared" si="324"/>
        <v>0</v>
      </c>
      <c r="BF52" s="26">
        <f t="shared" si="324"/>
        <v>345.40800000000013</v>
      </c>
      <c r="BG52" s="26">
        <f t="shared" si="324"/>
        <v>172.82799999999986</v>
      </c>
      <c r="BH52" s="26">
        <f t="shared" si="324"/>
        <v>216.435</v>
      </c>
      <c r="BI52" s="26">
        <f t="shared" si="324"/>
        <v>317.4140000000001</v>
      </c>
      <c r="BJ52" s="26">
        <f t="shared" si="324"/>
        <v>243.51400000000024</v>
      </c>
      <c r="BK52" s="26">
        <f t="shared" si="324"/>
        <v>223.62799999999993</v>
      </c>
      <c r="BL52" s="26">
        <f t="shared" si="324"/>
        <v>271.71400000000017</v>
      </c>
      <c r="BM52" s="26">
        <f t="shared" si="324"/>
        <v>339.11199999999997</v>
      </c>
      <c r="BN52" s="26">
        <f t="shared" si="324"/>
        <v>300.57199999999978</v>
      </c>
      <c r="BO52" s="26">
        <f t="shared" ref="BO52:CT52" si="325">BO40-BO50</f>
        <v>57.477000000000004</v>
      </c>
      <c r="BP52" s="26">
        <f t="shared" si="325"/>
        <v>312.47599999999989</v>
      </c>
      <c r="BQ52" s="26">
        <f t="shared" si="325"/>
        <v>349.91600000000022</v>
      </c>
      <c r="BR52" s="26">
        <f t="shared" si="325"/>
        <v>404.04899999999998</v>
      </c>
      <c r="BS52" s="26">
        <f t="shared" si="325"/>
        <v>134.20199999999994</v>
      </c>
      <c r="BT52" s="26">
        <f t="shared" si="325"/>
        <v>292.96099999999984</v>
      </c>
      <c r="BU52" s="26">
        <f t="shared" si="325"/>
        <v>361.69400000000007</v>
      </c>
      <c r="BV52" s="26">
        <f t="shared" si="325"/>
        <v>476.34099999999989</v>
      </c>
      <c r="BW52" s="26">
        <f t="shared" si="325"/>
        <v>311.09199999999987</v>
      </c>
      <c r="BX52" s="26">
        <f t="shared" si="325"/>
        <v>427.64400000000035</v>
      </c>
      <c r="BY52" s="26">
        <f t="shared" si="325"/>
        <v>503.83899999999966</v>
      </c>
      <c r="BZ52" s="26">
        <f t="shared" si="325"/>
        <v>609.53899999999965</v>
      </c>
      <c r="CA52" s="26">
        <f t="shared" si="325"/>
        <v>548.56000000000006</v>
      </c>
      <c r="CB52" s="26">
        <f t="shared" si="325"/>
        <v>608.91800000000001</v>
      </c>
      <c r="CC52" s="26">
        <f t="shared" si="325"/>
        <v>569.51099999999997</v>
      </c>
      <c r="CD52" s="26">
        <f t="shared" si="325"/>
        <v>761.54600000000039</v>
      </c>
      <c r="CE52" s="26">
        <f t="shared" si="325"/>
        <v>583.38699999999994</v>
      </c>
      <c r="CF52" s="26">
        <f t="shared" si="325"/>
        <v>631.55399999999941</v>
      </c>
      <c r="CG52" s="26">
        <f t="shared" si="325"/>
        <v>719.91099999999983</v>
      </c>
      <c r="CH52" s="26">
        <f t="shared" si="325"/>
        <v>1025.3880000000001</v>
      </c>
      <c r="CI52" s="26">
        <f t="shared" ref="CI52:CJ52" si="326">CI40-CI50</f>
        <v>857.60099999999977</v>
      </c>
      <c r="CJ52" s="26">
        <f t="shared" si="326"/>
        <v>1020.7489999999998</v>
      </c>
      <c r="CK52" s="26">
        <f t="shared" ref="CK52:CL52" si="327">CK40-CK50</f>
        <v>966.07199999999921</v>
      </c>
      <c r="CL52" s="26">
        <f t="shared" si="327"/>
        <v>1161.3060000000005</v>
      </c>
      <c r="CM52" s="27">
        <f t="shared" si="325"/>
        <v>1018.168894785993</v>
      </c>
      <c r="CN52" s="27">
        <f t="shared" si="325"/>
        <v>1092.3822615192455</v>
      </c>
      <c r="CO52" s="27">
        <f t="shared" si="325"/>
        <v>1251.4900406832455</v>
      </c>
      <c r="CP52" s="27">
        <f t="shared" si="325"/>
        <v>1454.6273251033581</v>
      </c>
      <c r="CQ52" s="27">
        <f t="shared" si="325"/>
        <v>1185.6023552993424</v>
      </c>
      <c r="CR52" s="27">
        <f t="shared" si="325"/>
        <v>1266.0544597232206</v>
      </c>
      <c r="CS52" s="27">
        <f t="shared" si="325"/>
        <v>1485.9421675415308</v>
      </c>
      <c r="CT52" s="27">
        <f t="shared" si="325"/>
        <v>1694.7316890789825</v>
      </c>
      <c r="CU52" s="27">
        <f t="shared" ref="CU52:DB52" si="328">CU40-CU50</f>
        <v>1357.4612046824768</v>
      </c>
      <c r="CV52" s="27">
        <f t="shared" si="328"/>
        <v>1462.1657315090922</v>
      </c>
      <c r="CW52" s="27">
        <f t="shared" si="328"/>
        <v>1734.6349256114045</v>
      </c>
      <c r="CX52" s="27">
        <f t="shared" si="328"/>
        <v>1987.5015440593447</v>
      </c>
      <c r="CY52" s="27">
        <f t="shared" si="328"/>
        <v>1558.0500913156964</v>
      </c>
      <c r="CZ52" s="27">
        <f t="shared" si="328"/>
        <v>1679.0728486224141</v>
      </c>
      <c r="DA52" s="27">
        <f t="shared" si="328"/>
        <v>1990.0884823068777</v>
      </c>
      <c r="DB52" s="27">
        <f t="shared" si="328"/>
        <v>2269.0724590044001</v>
      </c>
      <c r="DE52" s="121"/>
      <c r="DF52" s="26">
        <v>1220.5077857742865</v>
      </c>
    </row>
    <row r="53" spans="1:110" s="168" customFormat="1" x14ac:dyDescent="0.2">
      <c r="A53" s="165" t="s">
        <v>14</v>
      </c>
      <c r="B53" s="166" t="e">
        <f t="shared" ref="B53:E53" si="329">B52/B34</f>
        <v>#DIV/0!</v>
      </c>
      <c r="C53" s="166" t="e">
        <f t="shared" si="329"/>
        <v>#DIV/0!</v>
      </c>
      <c r="D53" s="166" t="e">
        <f t="shared" si="329"/>
        <v>#DIV/0!</v>
      </c>
      <c r="E53" s="166" t="e">
        <f t="shared" si="329"/>
        <v>#DIV/0!</v>
      </c>
      <c r="F53" s="166" t="e">
        <f t="shared" ref="F53:AE53" si="330">F52/F34</f>
        <v>#DIV/0!</v>
      </c>
      <c r="G53" s="166" t="e">
        <f t="shared" si="330"/>
        <v>#DIV/0!</v>
      </c>
      <c r="H53" s="166" t="e">
        <f t="shared" si="330"/>
        <v>#DIV/0!</v>
      </c>
      <c r="I53" s="166">
        <f t="shared" si="330"/>
        <v>0.12619364316014567</v>
      </c>
      <c r="J53" s="166">
        <f t="shared" si="330"/>
        <v>7.7296059412625739E-2</v>
      </c>
      <c r="K53" s="166">
        <f t="shared" si="330"/>
        <v>5.0199876084746541E-2</v>
      </c>
      <c r="L53" s="166" t="e">
        <f t="shared" si="330"/>
        <v>#DIV/0!</v>
      </c>
      <c r="M53" s="166">
        <f t="shared" si="330"/>
        <v>5.6888766700674477E-2</v>
      </c>
      <c r="N53" s="166">
        <f t="shared" si="330"/>
        <v>7.5913442576407933E-2</v>
      </c>
      <c r="O53" s="166">
        <f t="shared" si="330"/>
        <v>8.2700598961356175E-2</v>
      </c>
      <c r="P53" s="166">
        <f t="shared" si="330"/>
        <v>9.3463287650516785E-2</v>
      </c>
      <c r="Q53" s="166">
        <f t="shared" si="330"/>
        <v>9.3694992895467899E-2</v>
      </c>
      <c r="R53" s="166">
        <f t="shared" si="330"/>
        <v>8.7261234624645356E-2</v>
      </c>
      <c r="S53" s="166">
        <f t="shared" si="330"/>
        <v>0.10765836989618631</v>
      </c>
      <c r="T53" s="166">
        <f t="shared" si="330"/>
        <v>0.11931059994349796</v>
      </c>
      <c r="U53" s="166">
        <f t="shared" si="330"/>
        <v>0.12854267094226401</v>
      </c>
      <c r="V53" s="166">
        <f t="shared" si="330"/>
        <v>0.12580591007928132</v>
      </c>
      <c r="W53" s="166">
        <f t="shared" si="330"/>
        <v>0.10244341887718068</v>
      </c>
      <c r="X53" s="166">
        <f t="shared" si="330"/>
        <v>0.13106231186796399</v>
      </c>
      <c r="Y53" s="166">
        <f t="shared" si="330"/>
        <v>0.1381309202212663</v>
      </c>
      <c r="Z53" s="166">
        <f t="shared" ref="Z53:AA53" si="331">Z52/Z34</f>
        <v>0.13210454530869861</v>
      </c>
      <c r="AA53" s="166">
        <f t="shared" si="331"/>
        <v>0.13868428355944407</v>
      </c>
      <c r="AB53" s="167">
        <f t="shared" si="330"/>
        <v>0.13490722092312171</v>
      </c>
      <c r="AC53" s="167">
        <f t="shared" si="330"/>
        <v>0.13234553407604671</v>
      </c>
      <c r="AD53" s="167">
        <f t="shared" si="330"/>
        <v>0.13424373547885457</v>
      </c>
      <c r="AE53" s="167">
        <f t="shared" si="330"/>
        <v>0.13431635000546199</v>
      </c>
      <c r="AI53" s="166" t="e">
        <f t="shared" ref="AI53:BN53" si="332">AI52/AI34</f>
        <v>#DIV/0!</v>
      </c>
      <c r="AJ53" s="166" t="e">
        <f t="shared" si="332"/>
        <v>#DIV/0!</v>
      </c>
      <c r="AK53" s="166" t="e">
        <f t="shared" si="332"/>
        <v>#DIV/0!</v>
      </c>
      <c r="AL53" s="166" t="e">
        <f t="shared" si="332"/>
        <v>#DIV/0!</v>
      </c>
      <c r="AM53" s="166" t="e">
        <f t="shared" si="332"/>
        <v>#DIV/0!</v>
      </c>
      <c r="AN53" s="166" t="e">
        <f t="shared" si="332"/>
        <v>#DIV/0!</v>
      </c>
      <c r="AO53" s="166" t="e">
        <f t="shared" si="332"/>
        <v>#DIV/0!</v>
      </c>
      <c r="AP53" s="166" t="e">
        <f t="shared" si="332"/>
        <v>#DIV/0!</v>
      </c>
      <c r="AQ53" s="166" t="e">
        <f t="shared" si="332"/>
        <v>#DIV/0!</v>
      </c>
      <c r="AR53" s="166" t="e">
        <f t="shared" si="332"/>
        <v>#DIV/0!</v>
      </c>
      <c r="AS53" s="166" t="e">
        <f t="shared" si="332"/>
        <v>#DIV/0!</v>
      </c>
      <c r="AT53" s="166" t="e">
        <f t="shared" si="332"/>
        <v>#DIV/0!</v>
      </c>
      <c r="AU53" s="166" t="e">
        <f t="shared" si="332"/>
        <v>#DIV/0!</v>
      </c>
      <c r="AV53" s="166" t="e">
        <f t="shared" si="332"/>
        <v>#DIV/0!</v>
      </c>
      <c r="AW53" s="166" t="e">
        <f t="shared" si="332"/>
        <v>#DIV/0!</v>
      </c>
      <c r="AX53" s="166" t="e">
        <f t="shared" si="332"/>
        <v>#DIV/0!</v>
      </c>
      <c r="AY53" s="166" t="e">
        <f t="shared" si="332"/>
        <v>#DIV/0!</v>
      </c>
      <c r="AZ53" s="166" t="e">
        <f t="shared" si="332"/>
        <v>#DIV/0!</v>
      </c>
      <c r="BA53" s="166" t="e">
        <f t="shared" si="332"/>
        <v>#DIV/0!</v>
      </c>
      <c r="BB53" s="166" t="e">
        <f t="shared" si="332"/>
        <v>#DIV/0!</v>
      </c>
      <c r="BC53" s="166" t="e">
        <f t="shared" si="332"/>
        <v>#DIV/0!</v>
      </c>
      <c r="BD53" s="166" t="e">
        <f t="shared" si="332"/>
        <v>#DIV/0!</v>
      </c>
      <c r="BE53" s="166" t="e">
        <f t="shared" si="332"/>
        <v>#DIV/0!</v>
      </c>
      <c r="BF53" s="166">
        <f t="shared" si="332"/>
        <v>0.16368139070042076</v>
      </c>
      <c r="BG53" s="166">
        <f t="shared" si="332"/>
        <v>0.10271203806385887</v>
      </c>
      <c r="BH53" s="166">
        <f t="shared" si="332"/>
        <v>0.11945492326924616</v>
      </c>
      <c r="BI53" s="166">
        <f t="shared" si="332"/>
        <v>0.15676019513659864</v>
      </c>
      <c r="BJ53" s="166">
        <f t="shared" si="332"/>
        <v>9.8843054777011219E-2</v>
      </c>
      <c r="BK53" s="166">
        <f t="shared" si="332"/>
        <v>0.11460321299794392</v>
      </c>
      <c r="BL53" s="166">
        <f t="shared" si="332"/>
        <v>0.1211957663508841</v>
      </c>
      <c r="BM53" s="166">
        <f t="shared" si="332"/>
        <v>0.13524949278249532</v>
      </c>
      <c r="BN53" s="166">
        <f t="shared" si="332"/>
        <v>0.14115463601863631</v>
      </c>
      <c r="BO53" s="166">
        <f t="shared" ref="BO53:CT53" si="333">BO52/BO34</f>
        <v>5.8854489322595349E-2</v>
      </c>
      <c r="BP53" s="166">
        <f t="shared" si="333"/>
        <v>0.1478349155644037</v>
      </c>
      <c r="BQ53" s="166">
        <f t="shared" si="333"/>
        <v>0.12741175528157483</v>
      </c>
      <c r="BR53" s="166">
        <f t="shared" si="333"/>
        <v>0.13730362271093513</v>
      </c>
      <c r="BS53" s="166">
        <f t="shared" si="333"/>
        <v>7.2337200602836924E-2</v>
      </c>
      <c r="BT53" s="166">
        <f t="shared" si="333"/>
        <v>9.7440758609105727E-2</v>
      </c>
      <c r="BU53" s="166">
        <f t="shared" si="333"/>
        <v>0.10726406555642416</v>
      </c>
      <c r="BV53" s="166">
        <f t="shared" si="333"/>
        <v>0.11998568255473196</v>
      </c>
      <c r="BW53" s="166">
        <f t="shared" si="333"/>
        <v>0.11368007317223792</v>
      </c>
      <c r="BX53" s="166">
        <f t="shared" si="333"/>
        <v>0.12833074957732643</v>
      </c>
      <c r="BY53" s="166">
        <f t="shared" si="333"/>
        <v>0.13561623629744107</v>
      </c>
      <c r="BZ53" s="166">
        <f t="shared" si="333"/>
        <v>0.14097686670223813</v>
      </c>
      <c r="CA53" s="166">
        <f t="shared" si="333"/>
        <v>0.14104040179133859</v>
      </c>
      <c r="CB53" s="166">
        <f t="shared" si="333"/>
        <v>0.14437215380810903</v>
      </c>
      <c r="CC53" s="166">
        <f t="shared" si="333"/>
        <v>0.13120952339262798</v>
      </c>
      <c r="CD53" s="166">
        <f t="shared" si="333"/>
        <v>0.13618746417806493</v>
      </c>
      <c r="CE53" s="166">
        <f t="shared" si="333"/>
        <v>0.12417694225026234</v>
      </c>
      <c r="CF53" s="166">
        <f t="shared" si="333"/>
        <v>0.11486093376228046</v>
      </c>
      <c r="CG53" s="166">
        <f t="shared" si="333"/>
        <v>0.13775401057239656</v>
      </c>
      <c r="CH53" s="166">
        <f t="shared" si="333"/>
        <v>0.14678179930195523</v>
      </c>
      <c r="CI53" s="166">
        <f t="shared" ref="CI53:CJ53" si="334">CI52/CI34</f>
        <v>0.14520902218363227</v>
      </c>
      <c r="CJ53" s="166">
        <f t="shared" si="334"/>
        <v>0.15759082111112324</v>
      </c>
      <c r="CK53" s="166">
        <f t="shared" ref="CK53:CL53" si="335">CK52/CK34</f>
        <v>0.12651333241140003</v>
      </c>
      <c r="CL53" s="166">
        <f t="shared" si="335"/>
        <v>0.13100671365045002</v>
      </c>
      <c r="CM53" s="167">
        <f t="shared" si="333"/>
        <v>0.1386791726157599</v>
      </c>
      <c r="CN53" s="167">
        <f t="shared" si="333"/>
        <v>0.13706303484771143</v>
      </c>
      <c r="CO53" s="167">
        <f t="shared" si="333"/>
        <v>0.1319824077475171</v>
      </c>
      <c r="CP53" s="167">
        <f t="shared" si="333"/>
        <v>0.13333600389320602</v>
      </c>
      <c r="CQ53" s="167">
        <f t="shared" si="333"/>
        <v>0.13391250322828821</v>
      </c>
      <c r="CR53" s="167">
        <f t="shared" si="333"/>
        <v>0.13273275255488889</v>
      </c>
      <c r="CS53" s="167">
        <f t="shared" si="333"/>
        <v>0.13166100768741526</v>
      </c>
      <c r="CT53" s="167">
        <f t="shared" si="333"/>
        <v>0.13158146117254008</v>
      </c>
      <c r="CU53" s="167">
        <f t="shared" ref="CU53:DB53" si="336">CU52/CU34</f>
        <v>0.13390142610256328</v>
      </c>
      <c r="CV53" s="167">
        <f t="shared" si="336"/>
        <v>0.13389202990552512</v>
      </c>
      <c r="CW53" s="167">
        <f t="shared" si="336"/>
        <v>0.13417586414692934</v>
      </c>
      <c r="CX53" s="167">
        <f t="shared" si="336"/>
        <v>0.13479910684836538</v>
      </c>
      <c r="CY53" s="167">
        <f t="shared" si="336"/>
        <v>0.13419210675084575</v>
      </c>
      <c r="CZ53" s="167">
        <f t="shared" si="336"/>
        <v>0.13426477691291638</v>
      </c>
      <c r="DA53" s="167">
        <f t="shared" si="336"/>
        <v>0.13435796366476421</v>
      </c>
      <c r="DB53" s="167">
        <f t="shared" si="336"/>
        <v>0.13440348854422293</v>
      </c>
      <c r="DE53" s="169"/>
      <c r="DF53" s="168">
        <v>0.13637476686366803</v>
      </c>
    </row>
    <row r="54" spans="1:110" s="38" customFormat="1" x14ac:dyDescent="0.2">
      <c r="A54" s="39" t="s">
        <v>449</v>
      </c>
      <c r="B54" s="39"/>
      <c r="C54" s="39" t="e">
        <f t="shared" ref="C54:E54" si="337">+IF(B52&lt;0,1-C52/B52,C52/B52-1)</f>
        <v>#DIV/0!</v>
      </c>
      <c r="D54" s="39" t="e">
        <f t="shared" si="337"/>
        <v>#DIV/0!</v>
      </c>
      <c r="E54" s="39" t="e">
        <f t="shared" si="337"/>
        <v>#DIV/0!</v>
      </c>
      <c r="F54" s="39" t="e">
        <f t="shared" ref="F54:Y54" si="338">+IF(E52&lt;0,1-F52/E52,F52/E52-1)</f>
        <v>#DIV/0!</v>
      </c>
      <c r="G54" s="39" t="e">
        <f t="shared" si="338"/>
        <v>#DIV/0!</v>
      </c>
      <c r="H54" s="39" t="e">
        <f t="shared" si="338"/>
        <v>#DIV/0!</v>
      </c>
      <c r="I54" s="39" t="e">
        <f t="shared" si="338"/>
        <v>#DIV/0!</v>
      </c>
      <c r="J54" s="39">
        <f t="shared" si="338"/>
        <v>-0.35776131710251224</v>
      </c>
      <c r="K54" s="39">
        <f t="shared" si="338"/>
        <v>-0.27107686129047748</v>
      </c>
      <c r="L54" s="39">
        <f t="shared" si="338"/>
        <v>-1</v>
      </c>
      <c r="M54" s="39" t="e">
        <f t="shared" si="338"/>
        <v>#DIV/0!</v>
      </c>
      <c r="N54" s="39">
        <f t="shared" si="338"/>
        <v>0.31458314904394569</v>
      </c>
      <c r="O54" s="39">
        <f t="shared" si="338"/>
        <v>0.1253869201510156</v>
      </c>
      <c r="P54" s="39">
        <f t="shared" si="338"/>
        <v>0.38479742700511799</v>
      </c>
      <c r="Q54" s="39">
        <f t="shared" si="338"/>
        <v>0.10440963921133539</v>
      </c>
      <c r="R54" s="39">
        <f t="shared" si="338"/>
        <v>-1.2414091114859138E-2</v>
      </c>
      <c r="S54" s="39">
        <f t="shared" si="338"/>
        <v>0.51866768622368475</v>
      </c>
      <c r="T54" s="39">
        <f t="shared" si="338"/>
        <v>0.30715755679947376</v>
      </c>
      <c r="U54" s="39">
        <f t="shared" si="338"/>
        <v>0.19130191097242544</v>
      </c>
      <c r="V54" s="39">
        <f t="shared" si="338"/>
        <v>-2.5471663204190031E-2</v>
      </c>
      <c r="W54" s="39">
        <f t="shared" si="338"/>
        <v>0.13025770376498058</v>
      </c>
      <c r="X54" s="39">
        <f t="shared" si="338"/>
        <v>0.47896768104175691</v>
      </c>
      <c r="Y54" s="39">
        <f t="shared" si="338"/>
        <v>0.34765153883346511</v>
      </c>
      <c r="Z54" s="39">
        <f t="shared" ref="Z54:AE54" si="339">+IF(Y52&lt;0,1-Z52/Y52,Z52/Y52-1)</f>
        <v>0.18799023198043119</v>
      </c>
      <c r="AA54" s="39">
        <f t="shared" si="339"/>
        <v>0.3531767694511263</v>
      </c>
      <c r="AB54" s="40">
        <f t="shared" si="339"/>
        <v>0.20244522895509665</v>
      </c>
      <c r="AC54" s="40">
        <f t="shared" si="339"/>
        <v>0.16934155751224322</v>
      </c>
      <c r="AD54" s="40">
        <f t="shared" si="339"/>
        <v>0.16146650245482541</v>
      </c>
      <c r="AE54" s="40">
        <f t="shared" si="339"/>
        <v>0.14591180025429917</v>
      </c>
      <c r="AI54" s="39"/>
      <c r="AJ54" s="39"/>
      <c r="AK54" s="39"/>
      <c r="AL54" s="39"/>
      <c r="AM54" s="39" t="e">
        <f>+IF(AI52&lt;0,1-AM52/AI52,AM52/AI52-1)</f>
        <v>#DIV/0!</v>
      </c>
      <c r="AN54" s="39" t="e">
        <f t="shared" ref="AN54" si="340">+IF(AJ52&lt;0,1-AN52/AJ52,AN52/AJ52-1)</f>
        <v>#DIV/0!</v>
      </c>
      <c r="AO54" s="39" t="e">
        <f t="shared" ref="AO54" si="341">+IF(AK52&lt;0,1-AO52/AK52,AO52/AK52-1)</f>
        <v>#DIV/0!</v>
      </c>
      <c r="AP54" s="39" t="e">
        <f t="shared" ref="AP54" si="342">+IF(AL52&lt;0,1-AP52/AL52,AP52/AL52-1)</f>
        <v>#DIV/0!</v>
      </c>
      <c r="AQ54" s="39" t="e">
        <f t="shared" ref="AQ54" si="343">+IF(AM52&lt;0,1-AQ52/AM52,AQ52/AM52-1)</f>
        <v>#DIV/0!</v>
      </c>
      <c r="AR54" s="39" t="e">
        <f t="shared" ref="AR54" si="344">+IF(AN52&lt;0,1-AR52/AN52,AR52/AN52-1)</f>
        <v>#DIV/0!</v>
      </c>
      <c r="AS54" s="39" t="e">
        <f t="shared" ref="AS54" si="345">+IF(AO52&lt;0,1-AS52/AO52,AS52/AO52-1)</f>
        <v>#DIV/0!</v>
      </c>
      <c r="AT54" s="39" t="e">
        <f t="shared" ref="AT54" si="346">+IF(AP52&lt;0,1-AT52/AP52,AT52/AP52-1)</f>
        <v>#DIV/0!</v>
      </c>
      <c r="AU54" s="39" t="e">
        <f t="shared" ref="AU54" si="347">+IF(AQ52&lt;0,1-AU52/AQ52,AU52/AQ52-1)</f>
        <v>#DIV/0!</v>
      </c>
      <c r="AV54" s="39" t="e">
        <f t="shared" ref="AV54" si="348">+IF(AR52&lt;0,1-AV52/AR52,AV52/AR52-1)</f>
        <v>#DIV/0!</v>
      </c>
      <c r="AW54" s="39" t="e">
        <f t="shared" ref="AW54" si="349">+IF(AS52&lt;0,1-AW52/AS52,AW52/AS52-1)</f>
        <v>#DIV/0!</v>
      </c>
      <c r="AX54" s="39" t="e">
        <f t="shared" ref="AX54" si="350">+IF(AT52&lt;0,1-AX52/AT52,AX52/AT52-1)</f>
        <v>#DIV/0!</v>
      </c>
      <c r="AY54" s="39" t="e">
        <f t="shared" ref="AY54" si="351">+IF(AU52&lt;0,1-AY52/AU52,AY52/AU52-1)</f>
        <v>#DIV/0!</v>
      </c>
      <c r="AZ54" s="39" t="e">
        <f t="shared" ref="AZ54" si="352">+IF(AV52&lt;0,1-AZ52/AV52,AZ52/AV52-1)</f>
        <v>#DIV/0!</v>
      </c>
      <c r="BA54" s="39" t="e">
        <f t="shared" ref="BA54" si="353">+IF(AW52&lt;0,1-BA52/AW52,BA52/AW52-1)</f>
        <v>#DIV/0!</v>
      </c>
      <c r="BB54" s="39" t="e">
        <f t="shared" ref="BB54" si="354">+IF(AX52&lt;0,1-BB52/AX52,BB52/AX52-1)</f>
        <v>#DIV/0!</v>
      </c>
      <c r="BC54" s="39" t="e">
        <f t="shared" ref="BC54" si="355">+IF(AY52&lt;0,1-BC52/AY52,BC52/AY52-1)</f>
        <v>#DIV/0!</v>
      </c>
      <c r="BD54" s="39" t="e">
        <f t="shared" ref="BD54" si="356">+IF(AZ52&lt;0,1-BD52/AZ52,BD52/AZ52-1)</f>
        <v>#DIV/0!</v>
      </c>
      <c r="BE54" s="39" t="e">
        <f t="shared" ref="BE54" si="357">+IF(BA52&lt;0,1-BE52/BA52,BE52/BA52-1)</f>
        <v>#DIV/0!</v>
      </c>
      <c r="BF54" s="39" t="e">
        <f t="shared" ref="BF54" si="358">+IF(BB52&lt;0,1-BF52/BB52,BF52/BB52-1)</f>
        <v>#DIV/0!</v>
      </c>
      <c r="BG54" s="39" t="e">
        <f t="shared" ref="BG54" si="359">+IF(BC52&lt;0,1-BG52/BC52,BG52/BC52-1)</f>
        <v>#DIV/0!</v>
      </c>
      <c r="BH54" s="39" t="e">
        <f t="shared" ref="BH54" si="360">+IF(BD52&lt;0,1-BH52/BD52,BH52/BD52-1)</f>
        <v>#DIV/0!</v>
      </c>
      <c r="BI54" s="39" t="e">
        <f t="shared" ref="BI54" si="361">+IF(BE52&lt;0,1-BI52/BE52,BI52/BE52-1)</f>
        <v>#DIV/0!</v>
      </c>
      <c r="BJ54" s="39">
        <f t="shared" ref="BJ54" si="362">+IF(BF52&lt;0,1-BJ52/BF52,BJ52/BF52-1)</f>
        <v>-0.2949960626273852</v>
      </c>
      <c r="BK54" s="39">
        <f t="shared" ref="BK54" si="363">+IF(BG52&lt;0,1-BK52/BG52,BK52/BG52-1)</f>
        <v>0.29393385331080668</v>
      </c>
      <c r="BL54" s="39">
        <f t="shared" ref="BL54" si="364">+IF(BH52&lt;0,1-BL52/BH52,BL52/BH52-1)</f>
        <v>0.25540693510753876</v>
      </c>
      <c r="BM54" s="39">
        <f t="shared" ref="BM54" si="365">+IF(BI52&lt;0,1-BM52/BI52,BM52/BI52-1)</f>
        <v>6.835867353046754E-2</v>
      </c>
      <c r="BN54" s="39">
        <f t="shared" ref="BN54" si="366">+IF(BJ52&lt;0,1-BN52/BJ52,BN52/BJ52-1)</f>
        <v>0.23431096364069215</v>
      </c>
      <c r="BO54" s="39">
        <f t="shared" ref="BO54" si="367">+IF(BK52&lt;0,1-BO52/BK52,BO52/BK52-1)</f>
        <v>-0.7429794122381812</v>
      </c>
      <c r="BP54" s="39">
        <f t="shared" ref="BP54" si="368">+IF(BL52&lt;0,1-BP52/BL52,BP52/BL52-1)</f>
        <v>0.15001803366775235</v>
      </c>
      <c r="BQ54" s="39">
        <f t="shared" ref="BQ54" si="369">+IF(BM52&lt;0,1-BQ52/BM52,BQ52/BM52-1)</f>
        <v>3.1859680577509097E-2</v>
      </c>
      <c r="BR54" s="39">
        <f t="shared" ref="BR54" si="370">+IF(BN52&lt;0,1-BR52/BN52,BR52/BN52-1)</f>
        <v>0.34426693105146278</v>
      </c>
      <c r="BS54" s="39">
        <f t="shared" ref="BS54" si="371">+IF(BO52&lt;0,1-BS52/BO52,BS52/BO52-1)</f>
        <v>1.3348817787984748</v>
      </c>
      <c r="BT54" s="39">
        <f t="shared" ref="BT54" si="372">+IF(BP52&lt;0,1-BT52/BP52,BT52/BP52-1)</f>
        <v>-6.2452796374761754E-2</v>
      </c>
      <c r="BU54" s="39">
        <f t="shared" ref="BU54" si="373">+IF(BQ52&lt;0,1-BU52/BQ52,BU52/BQ52-1)</f>
        <v>3.3659506853072951E-2</v>
      </c>
      <c r="BV54" s="39">
        <f t="shared" ref="BV54" si="374">+IF(BR52&lt;0,1-BV52/BR52,BV52/BR52-1)</f>
        <v>0.17891889350054058</v>
      </c>
      <c r="BW54" s="39">
        <f t="shared" ref="BW54" si="375">+IF(BS52&lt;0,1-BW52/BS52,BW52/BS52-1)</f>
        <v>1.3180876589022521</v>
      </c>
      <c r="BX54" s="39">
        <f t="shared" ref="BX54" si="376">+IF(BT52&lt;0,1-BX52/BT52,BX52/BT52-1)</f>
        <v>0.45973013472783264</v>
      </c>
      <c r="BY54" s="39">
        <f t="shared" ref="BY54" si="377">+IF(BU52&lt;0,1-BY52/BU52,BY52/BU52-1)</f>
        <v>0.39299794854213665</v>
      </c>
      <c r="BZ54" s="39">
        <f t="shared" ref="BZ54" si="378">+IF(BV52&lt;0,1-BZ52/BV52,BZ52/BV52-1)</f>
        <v>0.27962740977576939</v>
      </c>
      <c r="CA54" s="39">
        <f t="shared" ref="CA54" si="379">+IF(BW52&lt;0,1-CA52/BW52,CA52/BW52-1)</f>
        <v>0.76333689069471511</v>
      </c>
      <c r="CB54" s="39">
        <f t="shared" ref="CB54" si="380">+IF(BX52&lt;0,1-CB52/BX52,CB52/BX52-1)</f>
        <v>0.42388996454995165</v>
      </c>
      <c r="CC54" s="39">
        <f t="shared" ref="CC54" si="381">+IF(BY52&lt;0,1-CC52/BY52,CC52/BY52-1)</f>
        <v>0.13034322472059601</v>
      </c>
      <c r="CD54" s="39">
        <f t="shared" ref="CD54" si="382">+IF(BZ52&lt;0,1-CD52/BZ52,CD52/BZ52-1)</f>
        <v>0.24938026935110114</v>
      </c>
      <c r="CE54" s="39">
        <f t="shared" ref="CE54" si="383">+IF(CA52&lt;0,1-CE52/CA52,CE52/CA52-1)</f>
        <v>6.3488041417529395E-2</v>
      </c>
      <c r="CF54" s="39">
        <f t="shared" ref="CF54" si="384">+IF(CB52&lt;0,1-CF52/CB52,CF52/CB52-1)</f>
        <v>3.7174135105218387E-2</v>
      </c>
      <c r="CG54" s="39">
        <f t="shared" ref="CG54" si="385">+IF(CC52&lt;0,1-CG52/CC52,CG52/CC52-1)</f>
        <v>0.26408620729011356</v>
      </c>
      <c r="CH54" s="39">
        <f t="shared" ref="CH54:CL54" si="386">+IF(CD52&lt;0,1-CH52/CD52,CH52/CD52-1)</f>
        <v>0.34645576235709941</v>
      </c>
      <c r="CI54" s="39">
        <f t="shared" si="386"/>
        <v>0.47003789937040064</v>
      </c>
      <c r="CJ54" s="39">
        <f t="shared" si="386"/>
        <v>0.61624975853212982</v>
      </c>
      <c r="CK54" s="39">
        <f t="shared" si="386"/>
        <v>0.34193254443952026</v>
      </c>
      <c r="CL54" s="39">
        <f t="shared" si="386"/>
        <v>0.13255275076361372</v>
      </c>
      <c r="CM54" s="40">
        <f t="shared" ref="CM54" si="387">+CM52/CI52-1</f>
        <v>0.18722913661014062</v>
      </c>
      <c r="CN54" s="40">
        <f t="shared" ref="CN54" si="388">+CN52/CJ52-1</f>
        <v>7.0177155715308803E-2</v>
      </c>
      <c r="CO54" s="40">
        <f t="shared" ref="CO54" si="389">+CO52/CK52-1</f>
        <v>0.29544178972503765</v>
      </c>
      <c r="CP54" s="40">
        <f t="shared" ref="CP54" si="390">+CP52/CL52-1</f>
        <v>0.2525788423579638</v>
      </c>
      <c r="CQ54" s="40">
        <f t="shared" ref="CQ54" si="391">+CQ52/CM52-1</f>
        <v>0.16444566453637544</v>
      </c>
      <c r="CR54" s="40">
        <f t="shared" ref="CR54" si="392">+CR52/CN52-1</f>
        <v>0.15898482090183164</v>
      </c>
      <c r="CS54" s="40">
        <f t="shared" ref="CS54" si="393">+CS52/CO52-1</f>
        <v>0.18733838803086855</v>
      </c>
      <c r="CT54" s="40">
        <f t="shared" ref="CT54" si="394">+CT52/CP52-1</f>
        <v>0.16506245952623222</v>
      </c>
      <c r="CU54" s="40">
        <f t="shared" ref="CU54" si="395">+CU52/CQ52-1</f>
        <v>0.14495488189186601</v>
      </c>
      <c r="CV54" s="40">
        <f t="shared" ref="CV54" si="396">+CV52/CR52-1</f>
        <v>0.15489955450158499</v>
      </c>
      <c r="CW54" s="40">
        <f t="shared" ref="CW54" si="397">+CW52/CS52-1</f>
        <v>0.16736368581647576</v>
      </c>
      <c r="CX54" s="40">
        <f t="shared" ref="CX54" si="398">+CX52/CT52-1</f>
        <v>0.17275292417495924</v>
      </c>
      <c r="CY54" s="40">
        <f t="shared" ref="CY54" si="399">+CY52/CU52-1</f>
        <v>0.14776767537908331</v>
      </c>
      <c r="CZ54" s="40">
        <f t="shared" ref="CZ54" si="400">+CZ52/CV52-1</f>
        <v>0.14834646472630242</v>
      </c>
      <c r="DA54" s="40">
        <f t="shared" ref="DA54" si="401">+DA52/CW52-1</f>
        <v>0.14726646680737954</v>
      </c>
      <c r="DB54" s="40">
        <f t="shared" ref="DB54" si="402">+DB52/CX52-1</f>
        <v>0.14167079053934462</v>
      </c>
      <c r="DE54" s="122"/>
      <c r="DF54" s="38">
        <v>0.19028873536094282</v>
      </c>
    </row>
    <row r="55" spans="1:110" s="38" customFormat="1" x14ac:dyDescent="0.2">
      <c r="A55" s="39" t="s">
        <v>450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40"/>
      <c r="AC55" s="40"/>
      <c r="AD55" s="40"/>
      <c r="AE55" s="40"/>
      <c r="AI55" s="39"/>
      <c r="AJ55" s="39" t="e">
        <f>+IF(AI52&lt;0,1-AJ52/AI52,AJ52/AI52-1)</f>
        <v>#DIV/0!</v>
      </c>
      <c r="AK55" s="39" t="e">
        <f t="shared" ref="AK55:AM55" si="403">+IF(AJ52&lt;0,1-AK52/AJ52,AK52/AJ52-1)</f>
        <v>#DIV/0!</v>
      </c>
      <c r="AL55" s="39" t="e">
        <f t="shared" si="403"/>
        <v>#DIV/0!</v>
      </c>
      <c r="AM55" s="39" t="e">
        <f t="shared" si="403"/>
        <v>#DIV/0!</v>
      </c>
      <c r="AN55" s="39" t="e">
        <f t="shared" ref="AN55" si="404">+IF(AM52&lt;0,1-AN52/AM52,AN52/AM52-1)</f>
        <v>#DIV/0!</v>
      </c>
      <c r="AO55" s="39" t="e">
        <f t="shared" ref="AO55" si="405">+IF(AN52&lt;0,1-AO52/AN52,AO52/AN52-1)</f>
        <v>#DIV/0!</v>
      </c>
      <c r="AP55" s="39" t="e">
        <f t="shared" ref="AP55" si="406">+IF(AO52&lt;0,1-AP52/AO52,AP52/AO52-1)</f>
        <v>#DIV/0!</v>
      </c>
      <c r="AQ55" s="39" t="e">
        <f t="shared" ref="AQ55" si="407">+IF(AP52&lt;0,1-AQ52/AP52,AQ52/AP52-1)</f>
        <v>#DIV/0!</v>
      </c>
      <c r="AR55" s="39" t="e">
        <f t="shared" ref="AR55" si="408">+IF(AQ52&lt;0,1-AR52/AQ52,AR52/AQ52-1)</f>
        <v>#DIV/0!</v>
      </c>
      <c r="AS55" s="39" t="e">
        <f t="shared" ref="AS55" si="409">+IF(AR52&lt;0,1-AS52/AR52,AS52/AR52-1)</f>
        <v>#DIV/0!</v>
      </c>
      <c r="AT55" s="39" t="e">
        <f t="shared" ref="AT55" si="410">+IF(AS52&lt;0,1-AT52/AS52,AT52/AS52-1)</f>
        <v>#DIV/0!</v>
      </c>
      <c r="AU55" s="39" t="e">
        <f t="shared" ref="AU55" si="411">+IF(AT52&lt;0,1-AU52/AT52,AU52/AT52-1)</f>
        <v>#DIV/0!</v>
      </c>
      <c r="AV55" s="39" t="e">
        <f t="shared" ref="AV55" si="412">+IF(AU52&lt;0,1-AV52/AU52,AV52/AU52-1)</f>
        <v>#DIV/0!</v>
      </c>
      <c r="AW55" s="39" t="e">
        <f t="shared" ref="AW55" si="413">+IF(AV52&lt;0,1-AW52/AV52,AW52/AV52-1)</f>
        <v>#DIV/0!</v>
      </c>
      <c r="AX55" s="39" t="e">
        <f t="shared" ref="AX55" si="414">+IF(AW52&lt;0,1-AX52/AW52,AX52/AW52-1)</f>
        <v>#DIV/0!</v>
      </c>
      <c r="AY55" s="39" t="e">
        <f t="shared" ref="AY55" si="415">+IF(AX52&lt;0,1-AY52/AX52,AY52/AX52-1)</f>
        <v>#DIV/0!</v>
      </c>
      <c r="AZ55" s="39" t="e">
        <f t="shared" ref="AZ55" si="416">+IF(AY52&lt;0,1-AZ52/AY52,AZ52/AY52-1)</f>
        <v>#DIV/0!</v>
      </c>
      <c r="BA55" s="39" t="e">
        <f t="shared" ref="BA55" si="417">+IF(AZ52&lt;0,1-BA52/AZ52,BA52/AZ52-1)</f>
        <v>#DIV/0!</v>
      </c>
      <c r="BB55" s="39" t="e">
        <f t="shared" ref="BB55" si="418">+IF(BA52&lt;0,1-BB52/BA52,BB52/BA52-1)</f>
        <v>#DIV/0!</v>
      </c>
      <c r="BC55" s="39" t="e">
        <f t="shared" ref="BC55" si="419">+IF(BB52&lt;0,1-BC52/BB52,BC52/BB52-1)</f>
        <v>#DIV/0!</v>
      </c>
      <c r="BD55" s="39" t="e">
        <f t="shared" ref="BD55" si="420">+IF(BC52&lt;0,1-BD52/BC52,BD52/BC52-1)</f>
        <v>#DIV/0!</v>
      </c>
      <c r="BE55" s="39" t="e">
        <f t="shared" ref="BE55" si="421">+IF(BD52&lt;0,1-BE52/BD52,BE52/BD52-1)</f>
        <v>#DIV/0!</v>
      </c>
      <c r="BF55" s="39" t="e">
        <f t="shared" ref="BF55" si="422">+IF(BE52&lt;0,1-BF52/BE52,BF52/BE52-1)</f>
        <v>#DIV/0!</v>
      </c>
      <c r="BG55" s="39">
        <f t="shared" ref="BG55" si="423">+IF(BF52&lt;0,1-BG52/BF52,BG52/BF52-1)</f>
        <v>-0.49964100426162739</v>
      </c>
      <c r="BH55" s="39">
        <f t="shared" ref="BH55" si="424">+IF(BG52&lt;0,1-BH52/BG52,BH52/BG52-1)</f>
        <v>0.2523144397898498</v>
      </c>
      <c r="BI55" s="39">
        <f t="shared" ref="BI55" si="425">+IF(BH52&lt;0,1-BI52/BH52,BI52/BH52-1)</f>
        <v>0.4665557788712551</v>
      </c>
      <c r="BJ55" s="39">
        <f t="shared" ref="BJ55" si="426">+IF(BI52&lt;0,1-BJ52/BI52,BJ52/BI52-1)</f>
        <v>-0.23281896828747262</v>
      </c>
      <c r="BK55" s="39">
        <f t="shared" ref="BK55" si="427">+IF(BJ52&lt;0,1-BK52/BJ52,BK52/BJ52-1)</f>
        <v>-8.1662655945860529E-2</v>
      </c>
      <c r="BL55" s="39">
        <f t="shared" ref="BL55" si="428">+IF(BK52&lt;0,1-BL52/BK52,BL52/BK52-1)</f>
        <v>0.21502674083746331</v>
      </c>
      <c r="BM55" s="39">
        <f t="shared" ref="BM55" si="429">+IF(BL52&lt;0,1-BM52/BL52,BM52/BL52-1)</f>
        <v>0.24804757944014577</v>
      </c>
      <c r="BN55" s="39">
        <f t="shared" ref="BN55" si="430">+IF(BM52&lt;0,1-BN52/BM52,BN52/BM52-1)</f>
        <v>-0.11364976762839474</v>
      </c>
      <c r="BO55" s="39">
        <f t="shared" ref="BO55" si="431">+IF(BN52&lt;0,1-BO52/BN52,BO52/BN52-1)</f>
        <v>-0.80877460309010807</v>
      </c>
      <c r="BP55" s="39">
        <f t="shared" ref="BP55" si="432">+IF(BO52&lt;0,1-BP52/BO52,BP52/BO52-1)</f>
        <v>4.4365398333246322</v>
      </c>
      <c r="BQ55" s="39">
        <f t="shared" ref="BQ55" si="433">+IF(BP52&lt;0,1-BQ52/BP52,BQ52/BP52-1)</f>
        <v>0.11981720196111167</v>
      </c>
      <c r="BR55" s="39">
        <f t="shared" ref="BR55" si="434">+IF(BQ52&lt;0,1-BR52/BQ52,BR52/BQ52-1)</f>
        <v>0.15470284296802572</v>
      </c>
      <c r="BS55" s="39">
        <f t="shared" ref="BS55" si="435">+IF(BR52&lt;0,1-BS52/BR52,BS52/BR52-1)</f>
        <v>-0.66785711633985001</v>
      </c>
      <c r="BT55" s="39">
        <f t="shared" ref="BT55" si="436">+IF(BS52&lt;0,1-BT52/BS52,BT52/BS52-1)</f>
        <v>1.182985350441871</v>
      </c>
      <c r="BU55" s="39">
        <f t="shared" ref="BU55" si="437">+IF(BT52&lt;0,1-BU52/BT52,BU52/BT52-1)</f>
        <v>0.23461484634473617</v>
      </c>
      <c r="BV55" s="39">
        <f t="shared" ref="BV55" si="438">+IF(BU52&lt;0,1-BV52/BU52,BV52/BU52-1)</f>
        <v>0.31697235784945232</v>
      </c>
      <c r="BW55" s="39">
        <f t="shared" ref="BW55" si="439">+IF(BV52&lt;0,1-BW52/BV52,BW52/BV52-1)</f>
        <v>-0.34691324072460705</v>
      </c>
      <c r="BX55" s="39">
        <f t="shared" ref="BX55" si="440">+IF(BW52&lt;0,1-BX52/BW52,BX52/BW52-1)</f>
        <v>0.3746544430586467</v>
      </c>
      <c r="BY55" s="39">
        <f t="shared" ref="BY55" si="441">+IF(BX52&lt;0,1-BY52/BX52,BY52/BX52-1)</f>
        <v>0.17817390165651625</v>
      </c>
      <c r="BZ55" s="39">
        <f t="shared" ref="BZ55" si="442">+IF(BY52&lt;0,1-BZ52/BY52,BZ52/BY52-1)</f>
        <v>0.20978923822887885</v>
      </c>
      <c r="CA55" s="39">
        <f t="shared" ref="CA55" si="443">+IF(BZ52&lt;0,1-CA52/BZ52,CA52/BZ52-1)</f>
        <v>-0.10004117866124995</v>
      </c>
      <c r="CB55" s="39">
        <f t="shared" ref="CB55" si="444">+IF(CA52&lt;0,1-CB52/CA52,CB52/CA52-1)</f>
        <v>0.11002989645617611</v>
      </c>
      <c r="CC55" s="39">
        <f t="shared" ref="CC55" si="445">+IF(CB52&lt;0,1-CC52/CB52,CC52/CB52-1)</f>
        <v>-6.4716431440686617E-2</v>
      </c>
      <c r="CD55" s="39">
        <f t="shared" ref="CD55" si="446">+IF(CC52&lt;0,1-CD52/CC52,CD52/CC52-1)</f>
        <v>0.33719278468721492</v>
      </c>
      <c r="CE55" s="39">
        <f t="shared" ref="CE55" si="447">+IF(CD52&lt;0,1-CE52/CD52,CE52/CD52-1)</f>
        <v>-0.23394384580839545</v>
      </c>
      <c r="CF55" s="39">
        <f t="shared" ref="CF55" si="448">+IF(CE52&lt;0,1-CF52/CE52,CF52/CE52-1)</f>
        <v>8.2564404074824127E-2</v>
      </c>
      <c r="CG55" s="39">
        <f t="shared" ref="CG55" si="449">+IF(CF52&lt;0,1-CG52/CF52,CG52/CF52-1)</f>
        <v>0.13990410954566124</v>
      </c>
      <c r="CH55" s="39">
        <f t="shared" ref="CH55:CI55" si="450">+IF(CG52&lt;0,1-CH52/CG52,CH52/CG52-1)</f>
        <v>0.42432606252717409</v>
      </c>
      <c r="CI55" s="39">
        <f t="shared" si="450"/>
        <v>-0.16363269318540918</v>
      </c>
      <c r="CJ55" s="39">
        <f>+IF(CI52&gt;1,CJ52/CI52-1,1-CJ52/CI52)</f>
        <v>0.19023765130870895</v>
      </c>
      <c r="CK55" s="39">
        <f>+IF(CJ52&gt;1,CK52/CJ52-1,1-CK52/CJ52)</f>
        <v>-5.3565568028967503E-2</v>
      </c>
      <c r="CL55" s="39">
        <f>+IF(CK52&gt;1,CL52/CK52-1,1-CL52/CK52)</f>
        <v>0.20209052741410738</v>
      </c>
      <c r="CM55" s="40">
        <f t="shared" ref="CM55" si="451">+CM52/CL52-1</f>
        <v>-0.12325528776567718</v>
      </c>
      <c r="CN55" s="40">
        <f t="shared" ref="CN55" si="452">+CN52/CM52-1</f>
        <v>7.2889053194707287E-2</v>
      </c>
      <c r="CO55" s="40">
        <f t="shared" ref="CO55" si="453">+CO52/CN52-1</f>
        <v>0.14565210802921569</v>
      </c>
      <c r="CP55" s="40">
        <f t="shared" ref="CP55" si="454">+CP52/CO52-1</f>
        <v>0.16231634117456561</v>
      </c>
      <c r="CQ55" s="40">
        <f t="shared" ref="CQ55" si="455">+CQ52/CP52-1</f>
        <v>-0.18494425696623029</v>
      </c>
      <c r="CR55" s="40">
        <f t="shared" ref="CR55" si="456">+CR52/CQ52-1</f>
        <v>6.7857578103044158E-2</v>
      </c>
      <c r="CS55" s="40">
        <f t="shared" ref="CS55" si="457">+CS52/CR52-1</f>
        <v>0.17367950180151115</v>
      </c>
      <c r="CT55" s="40">
        <f t="shared" ref="CT55" si="458">+CT52/CS52-1</f>
        <v>0.14050985704436325</v>
      </c>
      <c r="CU55" s="40">
        <f t="shared" ref="CU55" si="459">+CU52/CT52-1</f>
        <v>-0.19901113938560888</v>
      </c>
      <c r="CV55" s="40">
        <f t="shared" ref="CV55" si="460">+CV52/CU52-1</f>
        <v>7.7132610836643911E-2</v>
      </c>
      <c r="CW55" s="40">
        <f t="shared" ref="CW55" si="461">+CW52/CV52-1</f>
        <v>0.18634631371171473</v>
      </c>
      <c r="CX55" s="40">
        <f t="shared" ref="CX55" si="462">+CX52/CW52-1</f>
        <v>0.14577512231215617</v>
      </c>
      <c r="CY55" s="40">
        <f t="shared" ref="CY55" si="463">+CY52/CX52-1</f>
        <v>-0.21607603477203907</v>
      </c>
      <c r="CZ55" s="40">
        <f t="shared" ref="CZ55" si="464">+CZ52/CY52-1</f>
        <v>7.7675780760373403E-2</v>
      </c>
      <c r="DA55" s="40">
        <f t="shared" ref="DA55" si="465">+DA52/CZ52-1</f>
        <v>0.18523057766054318</v>
      </c>
      <c r="DB55" s="40">
        <f t="shared" ref="DB55" si="466">+DB52/DA52-1</f>
        <v>0.1401867199262059</v>
      </c>
      <c r="DE55" s="122"/>
      <c r="DF55" s="38">
        <v>0.26337145241171211</v>
      </c>
    </row>
    <row r="56" spans="1:110" s="23" customFormat="1" x14ac:dyDescent="0.2">
      <c r="A56" s="23" t="s">
        <v>15</v>
      </c>
      <c r="B56" s="23">
        <f>'Annual Raw'!C27</f>
        <v>0</v>
      </c>
      <c r="C56" s="23">
        <f>'Annual Raw'!D27</f>
        <v>0</v>
      </c>
      <c r="D56" s="23">
        <f>'Annual Raw'!E27</f>
        <v>0</v>
      </c>
      <c r="E56" s="23">
        <f>'Annual Raw'!F27</f>
        <v>0</v>
      </c>
      <c r="F56" s="23">
        <f>'Annual Raw'!G27</f>
        <v>0</v>
      </c>
      <c r="G56" s="23">
        <f>'Annual Raw'!H27</f>
        <v>0</v>
      </c>
      <c r="H56" s="23">
        <f>'Annual Raw'!I27</f>
        <v>0</v>
      </c>
      <c r="I56" s="23">
        <f>'Annual Raw'!J27</f>
        <v>3.8375965999999999</v>
      </c>
      <c r="J56" s="23">
        <f>'Annual Raw'!K27</f>
        <v>5.5476755000000004</v>
      </c>
      <c r="K56" s="23">
        <f>'Annual Raw'!L27</f>
        <v>12.242088300000001</v>
      </c>
      <c r="L56" s="23">
        <f>'Annual Raw'!M27</f>
        <v>0</v>
      </c>
      <c r="M56" s="23">
        <f>'Annual Raw'!N27</f>
        <v>40.14</v>
      </c>
      <c r="N56" s="23">
        <f>'Annual Raw'!O27</f>
        <v>45.548999999999999</v>
      </c>
      <c r="O56" s="23">
        <f>'Annual Raw'!P27</f>
        <v>62.579000000000001</v>
      </c>
      <c r="P56" s="23">
        <f>'Annual Raw'!Q27</f>
        <v>97.533000000000001</v>
      </c>
      <c r="Q56" s="23">
        <f>'Annual Raw'!R27</f>
        <v>111.12</v>
      </c>
      <c r="R56" s="23">
        <f>'Annual Raw'!S27</f>
        <v>127.883</v>
      </c>
      <c r="S56" s="23">
        <f>'Annual Raw'!T27</f>
        <v>132.953</v>
      </c>
      <c r="T56" s="23">
        <f>'Annual Raw'!U27</f>
        <v>141.44499999999999</v>
      </c>
      <c r="U56" s="23">
        <f>'Annual Raw'!V27</f>
        <v>160.887</v>
      </c>
      <c r="V56" s="23">
        <f>'Annual Raw'!W27</f>
        <v>176.166</v>
      </c>
      <c r="W56" s="23">
        <f>'Annual Raw'!X27</f>
        <v>201.51900000000001</v>
      </c>
      <c r="X56" s="23">
        <f>'Annual Raw'!Y27</f>
        <v>209.16399999999999</v>
      </c>
      <c r="Y56" s="23">
        <f>'Annual Raw'!Z27</f>
        <v>245.04</v>
      </c>
      <c r="Z56" s="23">
        <f>'Annual Raw'!AA27</f>
        <v>298.10300000000001</v>
      </c>
      <c r="AA56" s="23">
        <f>'Annual Raw'!AB27</f>
        <v>385.86900000000003</v>
      </c>
      <c r="AB56" s="76">
        <f>+SUM(CM56:CP56)</f>
        <v>475.8626928379939</v>
      </c>
      <c r="AC56" s="76">
        <f>+SUM(CQ56:CT56)</f>
        <v>584.50387731166245</v>
      </c>
      <c r="AD56" s="76">
        <f>+SUM(CU56:CX56)</f>
        <v>680.37325085164184</v>
      </c>
      <c r="AE56" s="76">
        <f>+SUM(CY56:DB56)</f>
        <v>764.97226205973254</v>
      </c>
      <c r="AI56" s="23">
        <f>'QTR Raw'!C28</f>
        <v>0</v>
      </c>
      <c r="AJ56" s="23">
        <f>'QTR Raw'!D28</f>
        <v>0</v>
      </c>
      <c r="AK56" s="23">
        <f>'QTR Raw'!E28</f>
        <v>0</v>
      </c>
      <c r="AL56" s="23">
        <f>'QTR Raw'!F28</f>
        <v>0</v>
      </c>
      <c r="AM56" s="23">
        <f>'QTR Raw'!G28</f>
        <v>0</v>
      </c>
      <c r="AN56" s="23">
        <f>'QTR Raw'!H28</f>
        <v>0</v>
      </c>
      <c r="AO56" s="23">
        <f>'QTR Raw'!I28</f>
        <v>0</v>
      </c>
      <c r="AP56" s="23">
        <f>'QTR Raw'!J28</f>
        <v>0</v>
      </c>
      <c r="AQ56" s="23">
        <f>'QTR Raw'!K28</f>
        <v>0</v>
      </c>
      <c r="AR56" s="23">
        <f>'QTR Raw'!L28</f>
        <v>0</v>
      </c>
      <c r="AS56" s="23">
        <f>'QTR Raw'!M28</f>
        <v>0</v>
      </c>
      <c r="AT56" s="23">
        <f>'QTR Raw'!N28</f>
        <v>0</v>
      </c>
      <c r="AU56" s="23">
        <f>'QTR Raw'!O28</f>
        <v>0</v>
      </c>
      <c r="AV56" s="23">
        <f>'QTR Raw'!P28</f>
        <v>0</v>
      </c>
      <c r="AW56" s="23">
        <f>'QTR Raw'!Q28</f>
        <v>0</v>
      </c>
      <c r="AX56" s="23">
        <f>'QTR Raw'!R28</f>
        <v>0</v>
      </c>
      <c r="AY56" s="23">
        <f>'QTR Raw'!S28</f>
        <v>0</v>
      </c>
      <c r="AZ56" s="23">
        <f>'QTR Raw'!T28</f>
        <v>0</v>
      </c>
      <c r="BA56" s="23">
        <f>'QTR Raw'!U28</f>
        <v>0</v>
      </c>
      <c r="BB56" s="23">
        <f>'QTR Raw'!V28</f>
        <v>0</v>
      </c>
      <c r="BC56" s="23">
        <f>'QTR Raw'!W28</f>
        <v>0</v>
      </c>
      <c r="BD56" s="23">
        <f>'QTR Raw'!X28</f>
        <v>0</v>
      </c>
      <c r="BE56" s="23">
        <f>'QTR Raw'!Y28</f>
        <v>0</v>
      </c>
      <c r="BF56" s="23">
        <f>'QTR Raw'!Z28</f>
        <v>33.807000000000002</v>
      </c>
      <c r="BG56" s="23">
        <f>'QTR Raw'!AA28</f>
        <v>35.155000000000001</v>
      </c>
      <c r="BH56" s="23">
        <f>'QTR Raw'!AB28</f>
        <v>36.387999999999998</v>
      </c>
      <c r="BI56" s="23">
        <f>'QTR Raw'!AC28</f>
        <v>35.594999999999999</v>
      </c>
      <c r="BJ56" s="23">
        <f>'QTR Raw'!AD28</f>
        <v>34.307000000000002</v>
      </c>
      <c r="BK56" s="23">
        <f>'QTR Raw'!AE28</f>
        <v>38.499000000000002</v>
      </c>
      <c r="BL56" s="23">
        <f>'QTR Raw'!AF28</f>
        <v>39.530999999999999</v>
      </c>
      <c r="BM56" s="23">
        <f>'QTR Raw'!AG28</f>
        <v>40.677</v>
      </c>
      <c r="BN56" s="23">
        <f>'QTR Raw'!AH28</f>
        <v>42.18</v>
      </c>
      <c r="BO56" s="23">
        <f>'QTR Raw'!AI28</f>
        <v>44.271999999999998</v>
      </c>
      <c r="BP56" s="23">
        <f>'QTR Raw'!AJ28</f>
        <v>45.601999999999997</v>
      </c>
      <c r="BQ56" s="23">
        <f>'QTR Raw'!AK28</f>
        <v>44.96</v>
      </c>
      <c r="BR56" s="23">
        <f>'QTR Raw'!AL28</f>
        <v>46.061999999999998</v>
      </c>
      <c r="BS56" s="23">
        <f>'QTR Raw'!AM28</f>
        <v>49.280999999999999</v>
      </c>
      <c r="BT56" s="23">
        <f>'QTR Raw'!AN28</f>
        <v>50.872999999999998</v>
      </c>
      <c r="BU56" s="23">
        <f>'QTR Raw'!AO28</f>
        <v>51.109000000000002</v>
      </c>
      <c r="BV56" s="23">
        <f>'QTR Raw'!AP28</f>
        <v>50.256</v>
      </c>
      <c r="BW56" s="23">
        <f>'QTR Raw'!AQ28</f>
        <v>50.984999999999999</v>
      </c>
      <c r="BX56" s="23">
        <f>'QTR Raw'!AR28</f>
        <v>52.267000000000003</v>
      </c>
      <c r="BY56" s="23">
        <f>'QTR Raw'!AS28</f>
        <v>52.451999999999998</v>
      </c>
      <c r="BZ56" s="23">
        <f>'QTR Raw'!AT28</f>
        <v>53.46</v>
      </c>
      <c r="CA56" s="23">
        <f>'QTR Raw'!AU28</f>
        <v>57.143999999999998</v>
      </c>
      <c r="CB56" s="23">
        <f>'QTR Raw'!AV28</f>
        <v>60.295999999999999</v>
      </c>
      <c r="CC56" s="23">
        <f>'QTR Raw'!AW28</f>
        <v>61.878</v>
      </c>
      <c r="CD56" s="23">
        <f>'QTR Raw'!AX28</f>
        <v>65.721999999999994</v>
      </c>
      <c r="CE56" s="23">
        <f>'QTR Raw'!AY28</f>
        <v>67.123000000000005</v>
      </c>
      <c r="CF56" s="23">
        <f>'QTR Raw'!AZ28</f>
        <v>72.06</v>
      </c>
      <c r="CG56" s="23">
        <f>'QTR Raw'!BA28</f>
        <v>78.557000000000002</v>
      </c>
      <c r="CH56" s="23">
        <f>'QTR Raw'!BB28</f>
        <v>80.363</v>
      </c>
      <c r="CI56" s="23">
        <f>'QTR Raw'!BC28</f>
        <v>85.703000000000003</v>
      </c>
      <c r="CJ56" s="23">
        <f>'QTR Raw'!BD28</f>
        <v>96.775999999999996</v>
      </c>
      <c r="CK56" s="23">
        <f>'QTR Raw'!BE28</f>
        <v>105.595</v>
      </c>
      <c r="CL56" s="23">
        <f>'QTR Raw'!BF28</f>
        <v>97.795000000000002</v>
      </c>
      <c r="CM56" s="24">
        <f t="shared" ref="CM56:DB56" si="467">CM57*CL158</f>
        <v>108.02016265075983</v>
      </c>
      <c r="CN56" s="24">
        <f t="shared" si="467"/>
        <v>115.46885173850636</v>
      </c>
      <c r="CO56" s="24">
        <f t="shared" si="467"/>
        <v>122.68825325529782</v>
      </c>
      <c r="CP56" s="24">
        <f t="shared" si="467"/>
        <v>129.68542519342989</v>
      </c>
      <c r="CQ56" s="24">
        <f t="shared" si="467"/>
        <v>136.46720828416215</v>
      </c>
      <c r="CR56" s="24">
        <f t="shared" si="467"/>
        <v>143.04023268550617</v>
      </c>
      <c r="CS56" s="24">
        <f t="shared" si="467"/>
        <v>149.41092446414859</v>
      </c>
      <c r="CT56" s="24">
        <f t="shared" si="467"/>
        <v>155.58551187784556</v>
      </c>
      <c r="CU56" s="24">
        <f t="shared" si="467"/>
        <v>161.57003146443114</v>
      </c>
      <c r="CV56" s="24">
        <f t="shared" si="467"/>
        <v>167.37033394339187</v>
      </c>
      <c r="CW56" s="24">
        <f t="shared" si="467"/>
        <v>172.99208993577773</v>
      </c>
      <c r="CX56" s="24">
        <f t="shared" si="467"/>
        <v>178.44079550804113</v>
      </c>
      <c r="CY56" s="24">
        <f t="shared" si="467"/>
        <v>183.72177754522383</v>
      </c>
      <c r="CZ56" s="24">
        <f t="shared" si="467"/>
        <v>188.84019895874528</v>
      </c>
      <c r="DA56" s="24">
        <f t="shared" si="467"/>
        <v>193.80106373388298</v>
      </c>
      <c r="DB56" s="24">
        <f t="shared" si="467"/>
        <v>198.60922182188037</v>
      </c>
      <c r="DE56" s="123"/>
      <c r="DF56" s="23">
        <v>105.40936353173171</v>
      </c>
    </row>
    <row r="57" spans="1:110" s="46" customFormat="1" x14ac:dyDescent="0.2">
      <c r="A57" s="46" t="s">
        <v>483</v>
      </c>
      <c r="B57" s="46" t="e">
        <f t="shared" ref="B57:D57" si="468">+B56/B158</f>
        <v>#DIV/0!</v>
      </c>
      <c r="C57" s="46" t="e">
        <f t="shared" si="468"/>
        <v>#DIV/0!</v>
      </c>
      <c r="D57" s="46" t="e">
        <f t="shared" si="468"/>
        <v>#DIV/0!</v>
      </c>
      <c r="E57" s="46" t="e">
        <f t="shared" ref="E57:AE57" si="469">+E56/E158</f>
        <v>#DIV/0!</v>
      </c>
      <c r="F57" s="46" t="e">
        <f t="shared" si="469"/>
        <v>#DIV/0!</v>
      </c>
      <c r="G57" s="46" t="e">
        <f t="shared" si="469"/>
        <v>#DIV/0!</v>
      </c>
      <c r="H57" s="46" t="e">
        <f t="shared" si="469"/>
        <v>#DIV/0!</v>
      </c>
      <c r="I57" s="46">
        <f t="shared" si="469"/>
        <v>5.3218246582057656E-2</v>
      </c>
      <c r="J57" s="46">
        <f t="shared" si="469"/>
        <v>4.6543303628481116E-2</v>
      </c>
      <c r="K57" s="46">
        <f t="shared" si="469"/>
        <v>4.2341020006000457E-2</v>
      </c>
      <c r="L57" s="46">
        <f t="shared" si="469"/>
        <v>0</v>
      </c>
      <c r="M57" s="46">
        <f t="shared" si="469"/>
        <v>8.4577911132088193E-2</v>
      </c>
      <c r="N57" s="46">
        <f t="shared" si="469"/>
        <v>8.1281908980108245E-2</v>
      </c>
      <c r="O57" s="46">
        <f t="shared" si="469"/>
        <v>8.9709093046359045E-2</v>
      </c>
      <c r="P57" s="46">
        <f t="shared" si="469"/>
        <v>0.11827414553105313</v>
      </c>
      <c r="Q57" s="46">
        <f t="shared" si="469"/>
        <v>0.11280874694171752</v>
      </c>
      <c r="R57" s="46">
        <f t="shared" si="469"/>
        <v>0.11333267162123599</v>
      </c>
      <c r="S57" s="46">
        <f t="shared" si="469"/>
        <v>0.11106006296742117</v>
      </c>
      <c r="T57" s="46">
        <f t="shared" si="469"/>
        <v>0.11088646455270683</v>
      </c>
      <c r="U57" s="46">
        <f t="shared" si="469"/>
        <v>0.11314031587615585</v>
      </c>
      <c r="V57" s="46">
        <f t="shared" si="469"/>
        <v>9.4340511807692429E-2</v>
      </c>
      <c r="W57" s="46">
        <f t="shared" si="469"/>
        <v>0.12063386971932372</v>
      </c>
      <c r="X57" s="46">
        <f t="shared" si="469"/>
        <v>0.1014217981901918</v>
      </c>
      <c r="Y57" s="46">
        <f t="shared" si="469"/>
        <v>0.10858814145174153</v>
      </c>
      <c r="Z57" s="46">
        <f t="shared" si="469"/>
        <v>0.10166731352028655</v>
      </c>
      <c r="AA57" s="46">
        <f t="shared" ref="AA57" si="470">+AA56/AA158</f>
        <v>0.10566556994573902</v>
      </c>
      <c r="AB57" s="110">
        <f t="shared" si="469"/>
        <v>0.10733812807099874</v>
      </c>
      <c r="AC57" s="110">
        <f t="shared" si="469"/>
        <v>0.111359495138746</v>
      </c>
      <c r="AD57" s="110">
        <f t="shared" si="469"/>
        <v>0.11399538210842393</v>
      </c>
      <c r="AE57" s="110">
        <f t="shared" si="469"/>
        <v>0.11584422939773863</v>
      </c>
      <c r="AI57" s="46" t="e">
        <f t="shared" ref="AI57:BN57" si="471">+AI56/AH158</f>
        <v>#DIV/0!</v>
      </c>
      <c r="AJ57" s="46" t="e">
        <f t="shared" si="471"/>
        <v>#DIV/0!</v>
      </c>
      <c r="AK57" s="46" t="e">
        <f t="shared" si="471"/>
        <v>#DIV/0!</v>
      </c>
      <c r="AL57" s="46" t="e">
        <f t="shared" si="471"/>
        <v>#DIV/0!</v>
      </c>
      <c r="AM57" s="46" t="e">
        <f t="shared" si="471"/>
        <v>#DIV/0!</v>
      </c>
      <c r="AN57" s="46" t="e">
        <f t="shared" si="471"/>
        <v>#DIV/0!</v>
      </c>
      <c r="AO57" s="46" t="e">
        <f t="shared" si="471"/>
        <v>#DIV/0!</v>
      </c>
      <c r="AP57" s="46" t="e">
        <f t="shared" si="471"/>
        <v>#DIV/0!</v>
      </c>
      <c r="AQ57" s="46" t="e">
        <f t="shared" si="471"/>
        <v>#DIV/0!</v>
      </c>
      <c r="AR57" s="46" t="e">
        <f t="shared" si="471"/>
        <v>#DIV/0!</v>
      </c>
      <c r="AS57" s="46" t="e">
        <f t="shared" si="471"/>
        <v>#DIV/0!</v>
      </c>
      <c r="AT57" s="46" t="e">
        <f t="shared" si="471"/>
        <v>#DIV/0!</v>
      </c>
      <c r="AU57" s="46" t="e">
        <f t="shared" si="471"/>
        <v>#DIV/0!</v>
      </c>
      <c r="AV57" s="46" t="e">
        <f t="shared" si="471"/>
        <v>#DIV/0!</v>
      </c>
      <c r="AW57" s="46" t="e">
        <f t="shared" si="471"/>
        <v>#DIV/0!</v>
      </c>
      <c r="AX57" s="46" t="e">
        <f t="shared" si="471"/>
        <v>#DIV/0!</v>
      </c>
      <c r="AY57" s="46" t="e">
        <f t="shared" si="471"/>
        <v>#DIV/0!</v>
      </c>
      <c r="AZ57" s="46" t="e">
        <f t="shared" si="471"/>
        <v>#DIV/0!</v>
      </c>
      <c r="BA57" s="46" t="e">
        <f t="shared" si="471"/>
        <v>#DIV/0!</v>
      </c>
      <c r="BB57" s="46" t="e">
        <f t="shared" si="471"/>
        <v>#DIV/0!</v>
      </c>
      <c r="BC57" s="46" t="e">
        <f t="shared" si="471"/>
        <v>#DIV/0!</v>
      </c>
      <c r="BD57" s="46" t="e">
        <f t="shared" si="471"/>
        <v>#DIV/0!</v>
      </c>
      <c r="BE57" s="46" t="e">
        <f t="shared" si="471"/>
        <v>#DIV/0!</v>
      </c>
      <c r="BF57" s="46" t="e">
        <f t="shared" si="471"/>
        <v>#DIV/0!</v>
      </c>
      <c r="BG57" s="46">
        <f t="shared" si="471"/>
        <v>2.9366140768690374E-2</v>
      </c>
      <c r="BH57" s="46">
        <f t="shared" si="471"/>
        <v>3.0396106678740015E-2</v>
      </c>
      <c r="BI57" s="46" t="e">
        <f t="shared" si="471"/>
        <v>#DIV/0!</v>
      </c>
      <c r="BJ57" s="46" t="e">
        <f t="shared" si="471"/>
        <v>#DIV/0!</v>
      </c>
      <c r="BK57" s="46">
        <f t="shared" si="471"/>
        <v>3.0181469820882042E-2</v>
      </c>
      <c r="BL57" s="46">
        <f t="shared" si="471"/>
        <v>3.0990511012994829E-2</v>
      </c>
      <c r="BM57" s="46">
        <f t="shared" si="471"/>
        <v>3.1427677402157912E-2</v>
      </c>
      <c r="BN57" s="46">
        <f t="shared" si="471"/>
        <v>3.258891837704405E-2</v>
      </c>
      <c r="BO57" s="46">
        <f t="shared" ref="BO57:CL57" si="472">+BO56/BN158</f>
        <v>3.1891175828632469E-2</v>
      </c>
      <c r="BP57" s="46">
        <f t="shared" si="472"/>
        <v>3.2849236540867771E-2</v>
      </c>
      <c r="BQ57" s="46">
        <f t="shared" si="472"/>
        <v>2.6441163999320155E-2</v>
      </c>
      <c r="BR57" s="46">
        <f t="shared" si="472"/>
        <v>2.7089254807310604E-2</v>
      </c>
      <c r="BS57" s="46">
        <f t="shared" si="472"/>
        <v>2.6881884661163119E-2</v>
      </c>
      <c r="BT57" s="46">
        <f t="shared" si="472"/>
        <v>2.7750291559979531E-2</v>
      </c>
      <c r="BU57" s="46">
        <f t="shared" si="472"/>
        <v>2.7685089085870414E-2</v>
      </c>
      <c r="BV57" s="46">
        <f t="shared" si="472"/>
        <v>2.7223029937965985E-2</v>
      </c>
      <c r="BW57" s="46">
        <f t="shared" si="472"/>
        <v>3.1176526341214345E-2</v>
      </c>
      <c r="BX57" s="46">
        <f t="shared" si="472"/>
        <v>3.196044919635678E-2</v>
      </c>
      <c r="BY57" s="46">
        <f t="shared" si="472"/>
        <v>3.2332153516704203E-2</v>
      </c>
      <c r="BZ57" s="46">
        <f t="shared" si="472"/>
        <v>3.295349895147958E-2</v>
      </c>
      <c r="CA57" s="46">
        <f t="shared" si="472"/>
        <v>2.8203437479024113E-2</v>
      </c>
      <c r="CB57" s="46">
        <f t="shared" si="472"/>
        <v>2.9759107976957123E-2</v>
      </c>
      <c r="CC57" s="46">
        <f t="shared" si="472"/>
        <v>3.0206389336233656E-2</v>
      </c>
      <c r="CD57" s="46">
        <f t="shared" si="472"/>
        <v>3.2082877920358577E-2</v>
      </c>
      <c r="CE57" s="46">
        <f t="shared" si="472"/>
        <v>3.07371550352738E-2</v>
      </c>
      <c r="CF57" s="46">
        <f t="shared" si="472"/>
        <v>3.2997920114444079E-2</v>
      </c>
      <c r="CG57" s="46">
        <f t="shared" si="472"/>
        <v>3.2368890890504008E-2</v>
      </c>
      <c r="CH57" s="46">
        <f t="shared" si="472"/>
        <v>3.3113041213813837E-2</v>
      </c>
      <c r="CI57" s="46">
        <f t="shared" si="472"/>
        <v>2.9228802697822961E-2</v>
      </c>
      <c r="CJ57" s="46">
        <f t="shared" si="472"/>
        <v>3.3998972048935538E-2</v>
      </c>
      <c r="CK57" s="46">
        <f t="shared" si="472"/>
        <v>3.3178993434898538E-2</v>
      </c>
      <c r="CL57" s="46">
        <f t="shared" si="472"/>
        <v>3.0782271652642398E-2</v>
      </c>
      <c r="CM57" s="47">
        <f t="shared" ref="CM57" si="473">CL57</f>
        <v>3.0782271652642398E-2</v>
      </c>
      <c r="CN57" s="47">
        <f t="shared" ref="CN57" si="474">CM57</f>
        <v>3.0782271652642398E-2</v>
      </c>
      <c r="CO57" s="47">
        <f t="shared" ref="CO57" si="475">CN57</f>
        <v>3.0782271652642398E-2</v>
      </c>
      <c r="CP57" s="47">
        <f t="shared" ref="CP57" si="476">CO57</f>
        <v>3.0782271652642398E-2</v>
      </c>
      <c r="CQ57" s="47">
        <f t="shared" ref="CQ57" si="477">CP57</f>
        <v>3.0782271652642398E-2</v>
      </c>
      <c r="CR57" s="47">
        <f t="shared" ref="CR57" si="478">CQ57</f>
        <v>3.0782271652642398E-2</v>
      </c>
      <c r="CS57" s="47">
        <f t="shared" ref="CS57" si="479">CR57</f>
        <v>3.0782271652642398E-2</v>
      </c>
      <c r="CT57" s="47">
        <f t="shared" ref="CT57" si="480">CS57</f>
        <v>3.0782271652642398E-2</v>
      </c>
      <c r="CU57" s="47">
        <f t="shared" ref="CU57" si="481">CT57</f>
        <v>3.0782271652642398E-2</v>
      </c>
      <c r="CV57" s="47">
        <f t="shared" ref="CV57" si="482">CU57</f>
        <v>3.0782271652642398E-2</v>
      </c>
      <c r="CW57" s="47">
        <f t="shared" ref="CW57" si="483">CV57</f>
        <v>3.0782271652642398E-2</v>
      </c>
      <c r="CX57" s="47">
        <f t="shared" ref="CX57" si="484">CW57</f>
        <v>3.0782271652642398E-2</v>
      </c>
      <c r="CY57" s="47">
        <f t="shared" ref="CY57" si="485">CX57</f>
        <v>3.0782271652642398E-2</v>
      </c>
      <c r="CZ57" s="47">
        <f t="shared" ref="CZ57" si="486">CY57</f>
        <v>3.0782271652642398E-2</v>
      </c>
      <c r="DA57" s="47">
        <f t="shared" ref="DA57" si="487">CZ57</f>
        <v>3.0782271652642398E-2</v>
      </c>
      <c r="DB57" s="47">
        <f t="shared" ref="DB57" si="488">DA57</f>
        <v>3.0782271652642398E-2</v>
      </c>
      <c r="DE57" s="130"/>
      <c r="DF57" s="46">
        <v>3.3178993434898538E-2</v>
      </c>
    </row>
    <row r="58" spans="1:110" s="26" customFormat="1" x14ac:dyDescent="0.2">
      <c r="A58" s="34" t="s">
        <v>16</v>
      </c>
      <c r="B58" s="26">
        <f>B52-B56</f>
        <v>0</v>
      </c>
      <c r="C58" s="26">
        <f t="shared" ref="C58:T58" si="489">C52-C56</f>
        <v>0</v>
      </c>
      <c r="D58" s="26">
        <f>D52-D56</f>
        <v>0</v>
      </c>
      <c r="E58" s="26">
        <f t="shared" si="489"/>
        <v>0</v>
      </c>
      <c r="F58" s="26">
        <f t="shared" si="489"/>
        <v>0</v>
      </c>
      <c r="G58" s="26">
        <f t="shared" si="489"/>
        <v>0</v>
      </c>
      <c r="H58" s="26">
        <f t="shared" si="489"/>
        <v>0</v>
      </c>
      <c r="I58" s="26">
        <f t="shared" si="489"/>
        <v>265.73558890000004</v>
      </c>
      <c r="J58" s="26">
        <f t="shared" si="489"/>
        <v>167.58265210000016</v>
      </c>
      <c r="K58" s="26">
        <f t="shared" si="489"/>
        <v>113.95661349999997</v>
      </c>
      <c r="L58" s="26">
        <f t="shared" si="489"/>
        <v>0</v>
      </c>
      <c r="M58" s="26">
        <f t="shared" si="489"/>
        <v>174.64899999999977</v>
      </c>
      <c r="N58" s="26">
        <f t="shared" si="489"/>
        <v>236.80899999999971</v>
      </c>
      <c r="O58" s="26">
        <f t="shared" si="489"/>
        <v>255.18300000000016</v>
      </c>
      <c r="P58" s="26">
        <f t="shared" si="489"/>
        <v>342.5030000000005</v>
      </c>
      <c r="Q58" s="26">
        <f t="shared" si="489"/>
        <v>374.85999999999979</v>
      </c>
      <c r="R58" s="26">
        <f t="shared" si="489"/>
        <v>352.06400000000059</v>
      </c>
      <c r="S58" s="26">
        <f t="shared" si="489"/>
        <v>595.92699999999968</v>
      </c>
      <c r="T58" s="26">
        <f t="shared" si="489"/>
        <v>811.31600000000003</v>
      </c>
      <c r="U58" s="26">
        <f t="shared" ref="U58:Z58" si="490">U52-U56</f>
        <v>974.13899999999899</v>
      </c>
      <c r="V58" s="26">
        <f t="shared" si="490"/>
        <v>929.94900000000007</v>
      </c>
      <c r="W58" s="26">
        <f t="shared" si="490"/>
        <v>1048.6760000000015</v>
      </c>
      <c r="X58" s="26">
        <f t="shared" si="490"/>
        <v>1639.8340000000014</v>
      </c>
      <c r="Y58" s="26">
        <f t="shared" si="490"/>
        <v>2246.7650000000012</v>
      </c>
      <c r="Z58" s="26">
        <f t="shared" si="490"/>
        <v>2662.1369999999997</v>
      </c>
      <c r="AA58" s="26">
        <f t="shared" ref="AA58" si="491">AA52-AA56</f>
        <v>3619.8590000000017</v>
      </c>
      <c r="AB58" s="27">
        <f t="shared" ref="AA58:AD58" si="492">AB52-AB56</f>
        <v>4340.8058292538499</v>
      </c>
      <c r="AC58" s="27">
        <f t="shared" si="492"/>
        <v>5047.8267943314086</v>
      </c>
      <c r="AD58" s="27">
        <f t="shared" si="492"/>
        <v>5861.390155010673</v>
      </c>
      <c r="AE58" s="27">
        <f t="shared" ref="AE58" si="493">AE52-AE56</f>
        <v>6731.3116191896497</v>
      </c>
      <c r="AI58" s="26">
        <f t="shared" ref="AI58" si="494">AI52-AI56</f>
        <v>0</v>
      </c>
      <c r="AJ58" s="26">
        <f t="shared" ref="AJ58" si="495">AJ52-AJ56</f>
        <v>0</v>
      </c>
      <c r="AK58" s="26">
        <f t="shared" ref="AK58:AM58" si="496">AK52-AK56</f>
        <v>0</v>
      </c>
      <c r="AL58" s="26">
        <f t="shared" si="496"/>
        <v>0</v>
      </c>
      <c r="AM58" s="26">
        <f t="shared" si="496"/>
        <v>0</v>
      </c>
      <c r="AN58" s="26">
        <f t="shared" ref="AN58:AO58" si="497">AN52-AN56</f>
        <v>0</v>
      </c>
      <c r="AO58" s="26">
        <f t="shared" si="497"/>
        <v>0</v>
      </c>
      <c r="AP58" s="26">
        <f t="shared" ref="AP58:CD58" si="498">AP52-AP56</f>
        <v>0</v>
      </c>
      <c r="AQ58" s="26">
        <f t="shared" si="498"/>
        <v>0</v>
      </c>
      <c r="AR58" s="26">
        <f t="shared" si="498"/>
        <v>0</v>
      </c>
      <c r="AS58" s="26">
        <f t="shared" si="498"/>
        <v>0</v>
      </c>
      <c r="AT58" s="26">
        <f t="shared" si="498"/>
        <v>0</v>
      </c>
      <c r="AU58" s="26">
        <f t="shared" si="498"/>
        <v>0</v>
      </c>
      <c r="AV58" s="26">
        <f t="shared" si="498"/>
        <v>0</v>
      </c>
      <c r="AW58" s="26">
        <f t="shared" si="498"/>
        <v>0</v>
      </c>
      <c r="AX58" s="26">
        <f t="shared" si="498"/>
        <v>0</v>
      </c>
      <c r="AY58" s="26">
        <f t="shared" si="498"/>
        <v>0</v>
      </c>
      <c r="AZ58" s="26">
        <f t="shared" si="498"/>
        <v>0</v>
      </c>
      <c r="BA58" s="26">
        <f t="shared" si="498"/>
        <v>0</v>
      </c>
      <c r="BB58" s="26">
        <f t="shared" si="498"/>
        <v>0</v>
      </c>
      <c r="BC58" s="26">
        <f t="shared" si="498"/>
        <v>0</v>
      </c>
      <c r="BD58" s="26">
        <f t="shared" si="498"/>
        <v>0</v>
      </c>
      <c r="BE58" s="26">
        <f t="shared" si="498"/>
        <v>0</v>
      </c>
      <c r="BF58" s="26">
        <f t="shared" si="498"/>
        <v>311.60100000000011</v>
      </c>
      <c r="BG58" s="26">
        <f t="shared" si="498"/>
        <v>137.67299999999986</v>
      </c>
      <c r="BH58" s="26">
        <f t="shared" si="498"/>
        <v>180.047</v>
      </c>
      <c r="BI58" s="26">
        <f t="shared" si="498"/>
        <v>281.81900000000007</v>
      </c>
      <c r="BJ58" s="26">
        <f t="shared" si="498"/>
        <v>209.20700000000022</v>
      </c>
      <c r="BK58" s="26">
        <f t="shared" si="498"/>
        <v>185.12899999999993</v>
      </c>
      <c r="BL58" s="26">
        <f t="shared" si="498"/>
        <v>232.18300000000016</v>
      </c>
      <c r="BM58" s="26">
        <f t="shared" si="498"/>
        <v>298.43499999999995</v>
      </c>
      <c r="BN58" s="26">
        <f t="shared" si="498"/>
        <v>258.39199999999977</v>
      </c>
      <c r="BO58" s="26">
        <f t="shared" si="498"/>
        <v>13.205000000000005</v>
      </c>
      <c r="BP58" s="26">
        <f t="shared" si="498"/>
        <v>266.87399999999991</v>
      </c>
      <c r="BQ58" s="26">
        <f t="shared" si="498"/>
        <v>304.95600000000024</v>
      </c>
      <c r="BR58" s="26">
        <f t="shared" si="498"/>
        <v>357.98699999999997</v>
      </c>
      <c r="BS58" s="26">
        <f t="shared" si="498"/>
        <v>84.920999999999935</v>
      </c>
      <c r="BT58" s="26">
        <f t="shared" si="498"/>
        <v>242.08799999999985</v>
      </c>
      <c r="BU58" s="26">
        <f t="shared" si="498"/>
        <v>310.58500000000009</v>
      </c>
      <c r="BV58" s="26">
        <f t="shared" si="498"/>
        <v>426.08499999999992</v>
      </c>
      <c r="BW58" s="26">
        <f t="shared" si="498"/>
        <v>260.10699999999986</v>
      </c>
      <c r="BX58" s="26">
        <f t="shared" si="498"/>
        <v>375.37700000000035</v>
      </c>
      <c r="BY58" s="26">
        <f t="shared" si="498"/>
        <v>451.38699999999966</v>
      </c>
      <c r="BZ58" s="26">
        <f t="shared" si="498"/>
        <v>556.07899999999961</v>
      </c>
      <c r="CA58" s="26">
        <f t="shared" si="498"/>
        <v>491.41600000000005</v>
      </c>
      <c r="CB58" s="26">
        <f t="shared" si="498"/>
        <v>548.62199999999996</v>
      </c>
      <c r="CC58" s="26">
        <f t="shared" si="498"/>
        <v>507.63299999999998</v>
      </c>
      <c r="CD58" s="26">
        <f t="shared" si="498"/>
        <v>695.82400000000041</v>
      </c>
      <c r="CE58" s="26">
        <f t="shared" ref="CE58:CF58" si="499">CE52-CE56</f>
        <v>516.2639999999999</v>
      </c>
      <c r="CF58" s="26">
        <f t="shared" si="499"/>
        <v>559.49399999999946</v>
      </c>
      <c r="CG58" s="26">
        <f t="shared" ref="CG58:CH58" si="500">CG52-CG56</f>
        <v>641.35399999999981</v>
      </c>
      <c r="CH58" s="26">
        <f t="shared" si="500"/>
        <v>945.02500000000009</v>
      </c>
      <c r="CI58" s="26">
        <f t="shared" ref="CI58:CJ58" si="501">CI52-CI56</f>
        <v>771.8979999999998</v>
      </c>
      <c r="CJ58" s="26">
        <f t="shared" si="501"/>
        <v>923.97299999999984</v>
      </c>
      <c r="CK58" s="26">
        <f t="shared" ref="CK58:CL58" si="502">CK52-CK56</f>
        <v>860.47699999999918</v>
      </c>
      <c r="CL58" s="26">
        <f t="shared" si="502"/>
        <v>1063.5110000000004</v>
      </c>
      <c r="CM58" s="27">
        <f t="shared" ref="CM58:DB58" si="503">CM52-CM56</f>
        <v>910.1487321352331</v>
      </c>
      <c r="CN58" s="27">
        <f t="shared" si="503"/>
        <v>976.91340978073913</v>
      </c>
      <c r="CO58" s="27">
        <f t="shared" si="503"/>
        <v>1128.8017874279476</v>
      </c>
      <c r="CP58" s="27">
        <f t="shared" si="503"/>
        <v>1324.9418999099282</v>
      </c>
      <c r="CQ58" s="27">
        <f t="shared" si="503"/>
        <v>1049.1351470151803</v>
      </c>
      <c r="CR58" s="27">
        <f t="shared" si="503"/>
        <v>1123.0142270377144</v>
      </c>
      <c r="CS58" s="27">
        <f t="shared" si="503"/>
        <v>1336.5312430773822</v>
      </c>
      <c r="CT58" s="27">
        <f t="shared" si="503"/>
        <v>1539.1461772011369</v>
      </c>
      <c r="CU58" s="27">
        <f t="shared" si="503"/>
        <v>1195.8911732180457</v>
      </c>
      <c r="CV58" s="27">
        <f t="shared" si="503"/>
        <v>1294.7953975657003</v>
      </c>
      <c r="CW58" s="27">
        <f t="shared" si="503"/>
        <v>1561.6428356756267</v>
      </c>
      <c r="CX58" s="27">
        <f t="shared" si="503"/>
        <v>1809.0607485513035</v>
      </c>
      <c r="CY58" s="27">
        <f t="shared" si="503"/>
        <v>1374.3283137704725</v>
      </c>
      <c r="CZ58" s="27">
        <f t="shared" si="503"/>
        <v>1490.2326496636688</v>
      </c>
      <c r="DA58" s="27">
        <f t="shared" si="503"/>
        <v>1796.2874185729947</v>
      </c>
      <c r="DB58" s="27">
        <f t="shared" si="503"/>
        <v>2070.4632371825196</v>
      </c>
      <c r="DE58" s="121"/>
      <c r="DF58" s="26">
        <v>1115.0984222425548</v>
      </c>
    </row>
    <row r="59" spans="1:110" s="23" customFormat="1" x14ac:dyDescent="0.2">
      <c r="A59" s="23" t="s">
        <v>17</v>
      </c>
      <c r="B59" s="23">
        <f>'Annual Raw'!C23</f>
        <v>0</v>
      </c>
      <c r="C59" s="23">
        <f>'Annual Raw'!D23</f>
        <v>0</v>
      </c>
      <c r="D59" s="23">
        <f>'Annual Raw'!E23</f>
        <v>0</v>
      </c>
      <c r="E59" s="23">
        <f>'Annual Raw'!F23</f>
        <v>0</v>
      </c>
      <c r="F59" s="23">
        <f>'Annual Raw'!G23</f>
        <v>0</v>
      </c>
      <c r="G59" s="23">
        <f>'Annual Raw'!H23</f>
        <v>0</v>
      </c>
      <c r="H59" s="23">
        <f>'Annual Raw'!I23</f>
        <v>0</v>
      </c>
      <c r="I59" s="23">
        <f>'Annual Raw'!J23</f>
        <v>7.6235131000000003</v>
      </c>
      <c r="J59" s="23">
        <f>'Annual Raw'!K23</f>
        <v>4.3013389000000002</v>
      </c>
      <c r="K59" s="23">
        <f>'Annual Raw'!L23</f>
        <v>0</v>
      </c>
      <c r="L59" s="23">
        <f>'Annual Raw'!M23</f>
        <v>0</v>
      </c>
      <c r="M59" s="23">
        <f>'Annual Raw'!N23</f>
        <v>0</v>
      </c>
      <c r="N59" s="23">
        <f>'Annual Raw'!O23</f>
        <v>0</v>
      </c>
      <c r="O59" s="23">
        <f>'Annual Raw'!P23</f>
        <v>-15.852</v>
      </c>
      <c r="P59" s="23">
        <f>'Annual Raw'!Q23</f>
        <v>11.153</v>
      </c>
      <c r="Q59" s="23">
        <f>'Annual Raw'!R23</f>
        <v>11.86</v>
      </c>
      <c r="R59" s="23">
        <f>'Annual Raw'!S23</f>
        <v>75.212999999999994</v>
      </c>
      <c r="S59" s="23">
        <f>'Annual Raw'!T23</f>
        <v>64.436999999999998</v>
      </c>
      <c r="T59" s="23">
        <f>'Annual Raw'!U23</f>
        <v>63.78</v>
      </c>
      <c r="U59" s="23">
        <f>'Annual Raw'!V23</f>
        <v>92.792000000000002</v>
      </c>
      <c r="V59" s="23">
        <f>'Annual Raw'!W23</f>
        <v>124.315</v>
      </c>
      <c r="W59" s="23">
        <f>'Annual Raw'!X23</f>
        <v>104.92700000000001</v>
      </c>
      <c r="X59" s="23">
        <f>'Annual Raw'!Y23</f>
        <v>136.44200000000001</v>
      </c>
      <c r="Y59" s="23">
        <f>'Annual Raw'!Z23</f>
        <v>220.875</v>
      </c>
      <c r="Z59" s="23">
        <f>'Annual Raw'!AA23</f>
        <v>207.636</v>
      </c>
      <c r="AA59" s="23">
        <f>'Annual Raw'!AB23</f>
        <v>236.25200000000001</v>
      </c>
      <c r="AB59" s="76">
        <f t="shared" ref="AB59:AB60" si="504">+SUM(CM59:CP59)</f>
        <v>0</v>
      </c>
      <c r="AC59" s="76">
        <f t="shared" ref="AC59:AC60" si="505">+SUM(CQ59:CT59)</f>
        <v>0</v>
      </c>
      <c r="AD59" s="76">
        <f t="shared" ref="AD59:AD60" si="506">+SUM(CU59:CX59)</f>
        <v>0</v>
      </c>
      <c r="AE59" s="76">
        <f t="shared" ref="AE59:AE60" si="507">+SUM(CY59:DB59)</f>
        <v>0</v>
      </c>
      <c r="AI59" s="23">
        <f>'QTR Raw'!C23</f>
        <v>0</v>
      </c>
      <c r="AJ59" s="23">
        <f>'QTR Raw'!D23</f>
        <v>0</v>
      </c>
      <c r="AK59" s="23">
        <f>'QTR Raw'!E23</f>
        <v>0</v>
      </c>
      <c r="AL59" s="23">
        <f>'QTR Raw'!F23</f>
        <v>0</v>
      </c>
      <c r="AM59" s="23">
        <f>'QTR Raw'!G23</f>
        <v>0</v>
      </c>
      <c r="AN59" s="23">
        <f>'QTR Raw'!H23</f>
        <v>0</v>
      </c>
      <c r="AO59" s="23">
        <f>'QTR Raw'!I23</f>
        <v>0</v>
      </c>
      <c r="AP59" s="23">
        <f>'QTR Raw'!J23</f>
        <v>0</v>
      </c>
      <c r="AQ59" s="23">
        <f>'QTR Raw'!K23</f>
        <v>0</v>
      </c>
      <c r="AR59" s="23">
        <f>'QTR Raw'!L23</f>
        <v>0</v>
      </c>
      <c r="AS59" s="23">
        <f>'QTR Raw'!M23</f>
        <v>0</v>
      </c>
      <c r="AT59" s="23">
        <f>'QTR Raw'!N23</f>
        <v>0</v>
      </c>
      <c r="AU59" s="23">
        <f>'QTR Raw'!O23</f>
        <v>0</v>
      </c>
      <c r="AV59" s="23">
        <f>'QTR Raw'!P23</f>
        <v>0</v>
      </c>
      <c r="AW59" s="23">
        <f>'QTR Raw'!Q23</f>
        <v>0</v>
      </c>
      <c r="AX59" s="23">
        <f>'QTR Raw'!R23</f>
        <v>0</v>
      </c>
      <c r="AY59" s="23">
        <f>'QTR Raw'!S23</f>
        <v>0</v>
      </c>
      <c r="AZ59" s="23">
        <f>'QTR Raw'!T23</f>
        <v>0</v>
      </c>
      <c r="BA59" s="23">
        <f>'QTR Raw'!U23</f>
        <v>0</v>
      </c>
      <c r="BB59" s="23">
        <f>'QTR Raw'!V23</f>
        <v>0</v>
      </c>
      <c r="BC59" s="23">
        <f>'QTR Raw'!W23</f>
        <v>0</v>
      </c>
      <c r="BD59" s="23">
        <f>'QTR Raw'!X23</f>
        <v>0</v>
      </c>
      <c r="BE59" s="23">
        <f>'QTR Raw'!Y23</f>
        <v>0</v>
      </c>
      <c r="BF59" s="23">
        <f>'QTR Raw'!Z23</f>
        <v>18.204000000000001</v>
      </c>
      <c r="BG59" s="23">
        <f>'QTR Raw'!AA23</f>
        <v>23.094999999999999</v>
      </c>
      <c r="BH59" s="23">
        <f>'QTR Raw'!AB23</f>
        <v>-2.2639999999999998</v>
      </c>
      <c r="BI59" s="23">
        <f>'QTR Raw'!AC23</f>
        <v>23.824000000000002</v>
      </c>
      <c r="BJ59" s="23">
        <f>'QTR Raw'!AD23</f>
        <v>21.695</v>
      </c>
      <c r="BK59" s="23">
        <f>'QTR Raw'!AE23</f>
        <v>33.558999999999997</v>
      </c>
      <c r="BL59" s="23">
        <f>'QTR Raw'!AF23</f>
        <v>12.43</v>
      </c>
      <c r="BM59" s="23">
        <f>'QTR Raw'!AG23</f>
        <v>0.34599999999999997</v>
      </c>
      <c r="BN59" s="23">
        <f>'QTR Raw'!AH23</f>
        <v>46.457000000000001</v>
      </c>
      <c r="BO59" s="23">
        <f>'QTR Raw'!AI23</f>
        <v>33.628</v>
      </c>
      <c r="BP59" s="23">
        <f>'QTR Raw'!AJ23</f>
        <v>32.741</v>
      </c>
      <c r="BQ59" s="23">
        <f>'QTR Raw'!AK23</f>
        <v>32.503</v>
      </c>
      <c r="BR59" s="23">
        <f>'QTR Raw'!AL23</f>
        <v>23.135000000000002</v>
      </c>
      <c r="BS59" s="23">
        <f>'QTR Raw'!AM23</f>
        <v>23.968</v>
      </c>
      <c r="BT59" s="23">
        <f>'QTR Raw'!AN23</f>
        <v>27.481999999999999</v>
      </c>
      <c r="BU59" s="23">
        <f>'QTR Raw'!AO23</f>
        <v>21.649000000000001</v>
      </c>
      <c r="BV59" s="23">
        <f>'QTR Raw'!AP23</f>
        <v>16.824000000000002</v>
      </c>
      <c r="BW59" s="23">
        <f>'QTR Raw'!AQ23</f>
        <v>44.347000000000001</v>
      </c>
      <c r="BX59" s="23">
        <f>'QTR Raw'!AR23</f>
        <v>-2.2160000000000002</v>
      </c>
      <c r="BY59" s="23">
        <f>'QTR Raw'!AS23</f>
        <v>39.68</v>
      </c>
      <c r="BZ59" s="23">
        <f>'QTR Raw'!AT23</f>
        <v>51.515000000000001</v>
      </c>
      <c r="CA59" s="23">
        <f>'QTR Raw'!AU23</f>
        <v>63.997999999999998</v>
      </c>
      <c r="CB59" s="23">
        <f>'QTR Raw'!AV23</f>
        <v>35.322000000000003</v>
      </c>
      <c r="CC59" s="23">
        <f>'QTR Raw'!AW23</f>
        <v>70.986999999999995</v>
      </c>
      <c r="CD59" s="23">
        <f>'QTR Raw'!AX23</f>
        <v>53.838000000000001</v>
      </c>
      <c r="CE59" s="23">
        <f>'QTR Raw'!AY23</f>
        <v>58.405000000000001</v>
      </c>
      <c r="CF59" s="23">
        <f>'QTR Raw'!AZ23</f>
        <v>76.156000000000006</v>
      </c>
      <c r="CG59" s="23">
        <f>'QTR Raw'!BA23</f>
        <v>25.004999999999999</v>
      </c>
      <c r="CH59" s="23">
        <f>'QTR Raw'!BB23</f>
        <v>48.07</v>
      </c>
      <c r="CI59" s="23">
        <f>'QTR Raw'!BC23</f>
        <v>79.944999999999993</v>
      </c>
      <c r="CJ59" s="23">
        <f>'QTR Raw'!BD23</f>
        <v>45.433</v>
      </c>
      <c r="CK59" s="23">
        <f>'QTR Raw'!BE23</f>
        <v>50.456000000000003</v>
      </c>
      <c r="CL59" s="23">
        <f>'QTR Raw'!BF23</f>
        <v>60.417999999999999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E59" s="123"/>
      <c r="DF59" s="23">
        <v>236.25200000000001</v>
      </c>
    </row>
    <row r="60" spans="1:110" s="23" customFormat="1" x14ac:dyDescent="0.2">
      <c r="A60" s="23" t="s">
        <v>18</v>
      </c>
      <c r="B60" s="23">
        <f>'Annual Raw'!C25</f>
        <v>0</v>
      </c>
      <c r="C60" s="23">
        <f>'Annual Raw'!D25</f>
        <v>0</v>
      </c>
      <c r="D60" s="23">
        <f>'Annual Raw'!E25</f>
        <v>0</v>
      </c>
      <c r="E60" s="23">
        <f>'Annual Raw'!F25</f>
        <v>0</v>
      </c>
      <c r="F60" s="23">
        <f>'Annual Raw'!G25</f>
        <v>0</v>
      </c>
      <c r="G60" s="23">
        <f>'Annual Raw'!H25</f>
        <v>0</v>
      </c>
      <c r="H60" s="23">
        <f>'Annual Raw'!I25</f>
        <v>0</v>
      </c>
      <c r="I60" s="23">
        <f>'Annual Raw'!J25</f>
        <v>39.328625000000002</v>
      </c>
      <c r="J60" s="23">
        <f>'Annual Raw'!K25</f>
        <v>73.716538799999995</v>
      </c>
      <c r="K60" s="23">
        <f>'Annual Raw'!L25</f>
        <v>0</v>
      </c>
      <c r="L60" s="23">
        <f>'Annual Raw'!M25</f>
        <v>0</v>
      </c>
      <c r="M60" s="23">
        <f>'Annual Raw'!N25</f>
        <v>123.373</v>
      </c>
      <c r="N60" s="23">
        <f>'Annual Raw'!O25</f>
        <v>120.688</v>
      </c>
      <c r="O60" s="23">
        <f>'Annual Raw'!P25</f>
        <v>94.572000000000003</v>
      </c>
      <c r="P60" s="23">
        <f>'Annual Raw'!Q25</f>
        <v>108.46</v>
      </c>
      <c r="Q60" s="23">
        <f>'Annual Raw'!R25</f>
        <v>116.05</v>
      </c>
      <c r="R60" s="23">
        <f>'Annual Raw'!S25</f>
        <v>65.948999999999998</v>
      </c>
      <c r="S60" s="23">
        <f>'Annual Raw'!T25</f>
        <v>93.68</v>
      </c>
      <c r="T60" s="23">
        <f>'Annual Raw'!U25</f>
        <v>116.706</v>
      </c>
      <c r="U60" s="23">
        <f>'Annual Raw'!V25</f>
        <v>49.534999999999997</v>
      </c>
      <c r="V60" s="23">
        <f>'Annual Raw'!W25</f>
        <v>42.686999999999998</v>
      </c>
      <c r="W60" s="23">
        <f>'Annual Raw'!X25</f>
        <v>35.19</v>
      </c>
      <c r="X60" s="23">
        <f>'Annual Raw'!Y25</f>
        <v>59.756999999999998</v>
      </c>
      <c r="Y60" s="23">
        <f>'Annual Raw'!Z25</f>
        <v>108.34</v>
      </c>
      <c r="Z60" s="23">
        <f>'Annual Raw'!AA25</f>
        <v>168.928</v>
      </c>
      <c r="AA60" s="23">
        <f>'Annual Raw'!AB25</f>
        <v>243.036</v>
      </c>
      <c r="AB60" s="76">
        <f t="shared" si="504"/>
        <v>-6.7268002279259882</v>
      </c>
      <c r="AC60" s="76">
        <f t="shared" si="505"/>
        <v>-21.160998351739824</v>
      </c>
      <c r="AD60" s="76">
        <f t="shared" si="506"/>
        <v>-30.330580059885889</v>
      </c>
      <c r="AE60" s="76">
        <f t="shared" si="507"/>
        <v>-42.143998043301217</v>
      </c>
      <c r="AI60" s="23">
        <f>'QTR Raw'!C25</f>
        <v>0</v>
      </c>
      <c r="AJ60" s="23">
        <f>'QTR Raw'!D25</f>
        <v>0</v>
      </c>
      <c r="AK60" s="23">
        <f>'QTR Raw'!E25</f>
        <v>0</v>
      </c>
      <c r="AL60" s="23">
        <f>'QTR Raw'!F25</f>
        <v>0</v>
      </c>
      <c r="AM60" s="23">
        <f>'QTR Raw'!G25</f>
        <v>0</v>
      </c>
      <c r="AN60" s="23">
        <f>'QTR Raw'!H25</f>
        <v>0</v>
      </c>
      <c r="AO60" s="23">
        <f>'QTR Raw'!I25</f>
        <v>0</v>
      </c>
      <c r="AP60" s="23">
        <f>'QTR Raw'!J25</f>
        <v>0</v>
      </c>
      <c r="AQ60" s="23">
        <f>'QTR Raw'!K25</f>
        <v>0</v>
      </c>
      <c r="AR60" s="23">
        <f>'QTR Raw'!L25</f>
        <v>0</v>
      </c>
      <c r="AS60" s="23">
        <f>'QTR Raw'!M25</f>
        <v>0</v>
      </c>
      <c r="AT60" s="23">
        <f>'QTR Raw'!N25</f>
        <v>0</v>
      </c>
      <c r="AU60" s="23">
        <f>'QTR Raw'!O25</f>
        <v>0</v>
      </c>
      <c r="AV60" s="23">
        <f>'QTR Raw'!P25</f>
        <v>0</v>
      </c>
      <c r="AW60" s="23">
        <f>'QTR Raw'!Q25</f>
        <v>0</v>
      </c>
      <c r="AX60" s="23">
        <f>'QTR Raw'!R25</f>
        <v>0</v>
      </c>
      <c r="AY60" s="23">
        <f>'QTR Raw'!S25</f>
        <v>0</v>
      </c>
      <c r="AZ60" s="23">
        <f>'QTR Raw'!T25</f>
        <v>0</v>
      </c>
      <c r="BA60" s="23">
        <f>'QTR Raw'!U25</f>
        <v>0</v>
      </c>
      <c r="BB60" s="23">
        <f>'QTR Raw'!V25</f>
        <v>0</v>
      </c>
      <c r="BC60" s="23">
        <f>'QTR Raw'!W25</f>
        <v>0</v>
      </c>
      <c r="BD60" s="23">
        <f>'QTR Raw'!X25</f>
        <v>0</v>
      </c>
      <c r="BE60" s="23">
        <f>'QTR Raw'!Y25</f>
        <v>0</v>
      </c>
      <c r="BF60" s="23">
        <f>'QTR Raw'!Z25</f>
        <v>38.83</v>
      </c>
      <c r="BG60" s="23">
        <f>'QTR Raw'!AA25</f>
        <v>37.167999999999999</v>
      </c>
      <c r="BH60" s="23">
        <f>'QTR Raw'!AB25</f>
        <v>36.167000000000002</v>
      </c>
      <c r="BI60" s="23">
        <f>'QTR Raw'!AC25</f>
        <v>17.158999999999999</v>
      </c>
      <c r="BJ60" s="23">
        <f>'QTR Raw'!AD25</f>
        <v>26.212</v>
      </c>
      <c r="BK60" s="23">
        <f>'QTR Raw'!AE25</f>
        <v>12.321</v>
      </c>
      <c r="BL60" s="23">
        <f>'QTR Raw'!AF25</f>
        <v>12.708</v>
      </c>
      <c r="BM60" s="23">
        <f>'QTR Raw'!AG25</f>
        <v>8.5809999999999995</v>
      </c>
      <c r="BN60" s="23">
        <f>'QTR Raw'!AH25</f>
        <v>15.925000000000001</v>
      </c>
      <c r="BO60" s="23">
        <f>'QTR Raw'!AI25</f>
        <v>16.295999999999999</v>
      </c>
      <c r="BP60" s="23">
        <f>'QTR Raw'!AJ25</f>
        <v>11.382</v>
      </c>
      <c r="BQ60" s="23">
        <f>'QTR Raw'!AK25</f>
        <v>6.5350000000000001</v>
      </c>
      <c r="BR60" s="23">
        <f>'QTR Raw'!AL25</f>
        <v>13.202999999999999</v>
      </c>
      <c r="BS60" s="23">
        <f>'QTR Raw'!AM25</f>
        <v>9.7680000000000007</v>
      </c>
      <c r="BT60" s="23">
        <f>'QTR Raw'!AN25</f>
        <v>5.0919999999999996</v>
      </c>
      <c r="BU60" s="23">
        <f>'QTR Raw'!AO25</f>
        <v>7.8150000000000004</v>
      </c>
      <c r="BV60" s="23">
        <f>'QTR Raw'!AP25</f>
        <v>12.515000000000001</v>
      </c>
      <c r="BW60" s="23">
        <f>'QTR Raw'!AQ25</f>
        <v>8.4320000000000004</v>
      </c>
      <c r="BX60" s="23">
        <f>'QTR Raw'!AR25</f>
        <v>13.903</v>
      </c>
      <c r="BY60" s="23">
        <f>'QTR Raw'!AS25</f>
        <v>9.2620000000000005</v>
      </c>
      <c r="BZ60" s="23">
        <f>'QTR Raw'!AT25</f>
        <v>28.16</v>
      </c>
      <c r="CA60" s="23">
        <f>'QTR Raw'!AU25</f>
        <v>24.922000000000001</v>
      </c>
      <c r="CB60" s="23">
        <f>'QTR Raw'!AV25</f>
        <v>26.792000000000002</v>
      </c>
      <c r="CC60" s="23">
        <f>'QTR Raw'!AW25</f>
        <v>32.225000000000001</v>
      </c>
      <c r="CD60" s="23">
        <f>'QTR Raw'!AX25</f>
        <v>24.401</v>
      </c>
      <c r="CE60" s="23">
        <f>'QTR Raw'!AY25</f>
        <v>41.301000000000002</v>
      </c>
      <c r="CF60" s="23">
        <f>'QTR Raw'!AZ25</f>
        <v>45.302999999999997</v>
      </c>
      <c r="CG60" s="23">
        <f>'QTR Raw'!BA25</f>
        <v>49.786000000000001</v>
      </c>
      <c r="CH60" s="23">
        <f>'QTR Raw'!BB25</f>
        <v>32.537999999999997</v>
      </c>
      <c r="CI60" s="23">
        <f>'QTR Raw'!BC25</f>
        <v>51.256</v>
      </c>
      <c r="CJ60" s="23">
        <f>'QTR Raw'!BD25</f>
        <v>48.405000000000001</v>
      </c>
      <c r="CK60" s="23">
        <f>'QTR Raw'!BE25</f>
        <v>68.733999999999995</v>
      </c>
      <c r="CL60" s="23">
        <f>'QTR Raw'!BF25</f>
        <v>74.641000000000005</v>
      </c>
      <c r="CM60" s="24">
        <f t="shared" ref="CM60:DB60" si="508">CM61*CL192</f>
        <v>22.869794991239718</v>
      </c>
      <c r="CN60" s="24">
        <f t="shared" si="508"/>
        <v>-9.3469097659265827</v>
      </c>
      <c r="CO60" s="24">
        <f t="shared" si="508"/>
        <v>-10.35669134378338</v>
      </c>
      <c r="CP60" s="24">
        <f t="shared" si="508"/>
        <v>-9.8929941094557439</v>
      </c>
      <c r="CQ60" s="24">
        <f t="shared" si="508"/>
        <v>-3.9681559967087088</v>
      </c>
      <c r="CR60" s="24">
        <f t="shared" si="508"/>
        <v>-5.6041289724649683</v>
      </c>
      <c r="CS60" s="24">
        <f t="shared" si="508"/>
        <v>-5.8624755730809461</v>
      </c>
      <c r="CT60" s="24">
        <f t="shared" si="508"/>
        <v>-5.7262378094852027</v>
      </c>
      <c r="CU60" s="24">
        <f t="shared" si="508"/>
        <v>-5.8256645956247128</v>
      </c>
      <c r="CV60" s="24">
        <f t="shared" si="508"/>
        <v>-7.9556178017157171</v>
      </c>
      <c r="CW60" s="24">
        <f t="shared" si="508"/>
        <v>-8.3149243995473423</v>
      </c>
      <c r="CX60" s="24">
        <f t="shared" si="508"/>
        <v>-8.2343732629981208</v>
      </c>
      <c r="CY60" s="24">
        <f t="shared" si="508"/>
        <v>-8.4430954845973467</v>
      </c>
      <c r="CZ60" s="24">
        <f t="shared" si="508"/>
        <v>-10.934587955757198</v>
      </c>
      <c r="DA60" s="24">
        <f t="shared" si="508"/>
        <v>-11.403260642829609</v>
      </c>
      <c r="DB60" s="24">
        <f t="shared" si="508"/>
        <v>-11.363053960117062</v>
      </c>
      <c r="DE60" s="123"/>
      <c r="DF60" s="23">
        <v>17.693486843892138</v>
      </c>
    </row>
    <row r="61" spans="1:110" s="46" customFormat="1" x14ac:dyDescent="0.2">
      <c r="A61" s="46" t="s">
        <v>482</v>
      </c>
      <c r="B61" s="46" t="e">
        <f t="shared" ref="B61:D61" si="509">+B60/B152</f>
        <v>#DIV/0!</v>
      </c>
      <c r="C61" s="46" t="e">
        <f t="shared" si="509"/>
        <v>#DIV/0!</v>
      </c>
      <c r="D61" s="46" t="e">
        <f t="shared" si="509"/>
        <v>#DIV/0!</v>
      </c>
      <c r="E61" s="46" t="e">
        <f t="shared" ref="E61:AE61" si="510">+E60/E152</f>
        <v>#DIV/0!</v>
      </c>
      <c r="F61" s="46" t="e">
        <f t="shared" si="510"/>
        <v>#DIV/0!</v>
      </c>
      <c r="G61" s="46" t="e">
        <f t="shared" si="510"/>
        <v>#DIV/0!</v>
      </c>
      <c r="H61" s="46" t="e">
        <f t="shared" si="510"/>
        <v>#DIV/0!</v>
      </c>
      <c r="I61" s="46">
        <f t="shared" si="510"/>
        <v>7.8489255553272269E-2</v>
      </c>
      <c r="J61" s="46">
        <f t="shared" si="510"/>
        <v>0.15305492955455952</v>
      </c>
      <c r="K61" s="46">
        <f t="shared" si="510"/>
        <v>0</v>
      </c>
      <c r="L61" s="46">
        <f t="shared" si="510"/>
        <v>0</v>
      </c>
      <c r="M61" s="46">
        <f t="shared" si="510"/>
        <v>0.12571250980751791</v>
      </c>
      <c r="N61" s="46">
        <f t="shared" si="510"/>
        <v>0.2220043448749055</v>
      </c>
      <c r="O61" s="46">
        <f t="shared" si="510"/>
        <v>0.21256290555681673</v>
      </c>
      <c r="P61" s="46">
        <f t="shared" si="510"/>
        <v>0.19882530650554348</v>
      </c>
      <c r="Q61" s="46">
        <f t="shared" si="510"/>
        <v>0.1458390931711363</v>
      </c>
      <c r="R61" s="46">
        <f t="shared" si="510"/>
        <v>7.7069334237066286E-2</v>
      </c>
      <c r="S61" s="46">
        <f t="shared" si="510"/>
        <v>0.11705551890281693</v>
      </c>
      <c r="T61" s="46">
        <f t="shared" si="510"/>
        <v>0.42840624185537723</v>
      </c>
      <c r="U61" s="46">
        <f t="shared" si="510"/>
        <v>0.31539303951406489</v>
      </c>
      <c r="V61" s="46">
        <f t="shared" si="510"/>
        <v>0.17165088364798842</v>
      </c>
      <c r="W61" s="46">
        <f t="shared" si="510"/>
        <v>0.42328742406928493</v>
      </c>
      <c r="X61" s="46">
        <f t="shared" si="510"/>
        <v>0.8183872469801966</v>
      </c>
      <c r="Y61" s="46">
        <f t="shared" si="510"/>
        <v>1.2068082072760489</v>
      </c>
      <c r="Z61" s="46">
        <f t="shared" si="510"/>
        <v>1.5497412938974717</v>
      </c>
      <c r="AA61" s="46">
        <f t="shared" ref="AA61" si="511">+AA60/AA152</f>
        <v>1.8343724054645631</v>
      </c>
      <c r="AB61" s="110">
        <f t="shared" si="510"/>
        <v>-5.0772135466269061E-2</v>
      </c>
      <c r="AC61" s="110">
        <f t="shared" si="510"/>
        <v>-0.15971770210385555</v>
      </c>
      <c r="AD61" s="110">
        <f t="shared" si="510"/>
        <v>-0.22892731572107999</v>
      </c>
      <c r="AE61" s="110">
        <f t="shared" si="510"/>
        <v>-0.31809191669787318</v>
      </c>
      <c r="AI61" s="46" t="e">
        <f t="shared" ref="AI61:BN61" si="512">(AI60-AI59)/AH192</f>
        <v>#DIV/0!</v>
      </c>
      <c r="AJ61" s="46" t="e">
        <f t="shared" si="512"/>
        <v>#DIV/0!</v>
      </c>
      <c r="AK61" s="46" t="e">
        <f t="shared" si="512"/>
        <v>#DIV/0!</v>
      </c>
      <c r="AL61" s="46" t="e">
        <f t="shared" si="512"/>
        <v>#DIV/0!</v>
      </c>
      <c r="AM61" s="46" t="e">
        <f t="shared" si="512"/>
        <v>#DIV/0!</v>
      </c>
      <c r="AN61" s="46" t="e">
        <f t="shared" si="512"/>
        <v>#DIV/0!</v>
      </c>
      <c r="AO61" s="46" t="e">
        <f t="shared" si="512"/>
        <v>#DIV/0!</v>
      </c>
      <c r="AP61" s="46" t="e">
        <f t="shared" si="512"/>
        <v>#DIV/0!</v>
      </c>
      <c r="AQ61" s="46" t="e">
        <f t="shared" si="512"/>
        <v>#DIV/0!</v>
      </c>
      <c r="AR61" s="46" t="e">
        <f t="shared" si="512"/>
        <v>#DIV/0!</v>
      </c>
      <c r="AS61" s="46" t="e">
        <f t="shared" si="512"/>
        <v>#DIV/0!</v>
      </c>
      <c r="AT61" s="46" t="e">
        <f t="shared" si="512"/>
        <v>#DIV/0!</v>
      </c>
      <c r="AU61" s="46" t="e">
        <f t="shared" si="512"/>
        <v>#DIV/0!</v>
      </c>
      <c r="AV61" s="46" t="e">
        <f t="shared" si="512"/>
        <v>#DIV/0!</v>
      </c>
      <c r="AW61" s="46" t="e">
        <f t="shared" si="512"/>
        <v>#DIV/0!</v>
      </c>
      <c r="AX61" s="46" t="e">
        <f t="shared" si="512"/>
        <v>#DIV/0!</v>
      </c>
      <c r="AY61" s="46" t="e">
        <f t="shared" si="512"/>
        <v>#DIV/0!</v>
      </c>
      <c r="AZ61" s="46" t="e">
        <f t="shared" si="512"/>
        <v>#DIV/0!</v>
      </c>
      <c r="BA61" s="46" t="e">
        <f t="shared" si="512"/>
        <v>#DIV/0!</v>
      </c>
      <c r="BB61" s="46" t="e">
        <f t="shared" si="512"/>
        <v>#DIV/0!</v>
      </c>
      <c r="BC61" s="46" t="e">
        <f t="shared" si="512"/>
        <v>#DIV/0!</v>
      </c>
      <c r="BD61" s="46" t="e">
        <f t="shared" si="512"/>
        <v>#DIV/0!</v>
      </c>
      <c r="BE61" s="46" t="e">
        <f t="shared" si="512"/>
        <v>#DIV/0!</v>
      </c>
      <c r="BF61" s="46" t="e">
        <f t="shared" si="512"/>
        <v>#DIV/0!</v>
      </c>
      <c r="BG61" s="46">
        <f t="shared" si="512"/>
        <v>1.9626191684842944E-2</v>
      </c>
      <c r="BH61" s="46">
        <f t="shared" si="512"/>
        <v>0.13316246113776678</v>
      </c>
      <c r="BI61" s="46" t="e">
        <f t="shared" si="512"/>
        <v>#DIV/0!</v>
      </c>
      <c r="BJ61" s="46">
        <f t="shared" si="512"/>
        <v>-2.3363470848677934E-2</v>
      </c>
      <c r="BK61" s="46">
        <f t="shared" si="512"/>
        <v>0.17037696645888983</v>
      </c>
      <c r="BL61" s="46">
        <f t="shared" si="512"/>
        <v>-4.3742266274836875E-4</v>
      </c>
      <c r="BM61" s="46">
        <f t="shared" si="512"/>
        <v>-1.9340111179218362E-2</v>
      </c>
      <c r="BN61" s="46">
        <f t="shared" si="512"/>
        <v>6.8997964939187362E-2</v>
      </c>
      <c r="BO61" s="46">
        <f t="shared" ref="BO61:CL61" si="513">(BO60-BO59)/BN192</f>
        <v>8.7008468918016654E-2</v>
      </c>
      <c r="BP61" s="46">
        <f t="shared" si="513"/>
        <v>1.5232446994393673E-2</v>
      </c>
      <c r="BQ61" s="46">
        <f t="shared" si="513"/>
        <v>3.7833931651825262E-2</v>
      </c>
      <c r="BR61" s="46">
        <f t="shared" si="513"/>
        <v>2.4156749891528106E-2</v>
      </c>
      <c r="BS61" s="46">
        <f t="shared" si="513"/>
        <v>1.5677442148030383E-2</v>
      </c>
      <c r="BT61" s="46">
        <f t="shared" si="513"/>
        <v>1.2817607333115369E-2</v>
      </c>
      <c r="BU61" s="46">
        <f t="shared" si="513"/>
        <v>2.0701120649794319E-2</v>
      </c>
      <c r="BV61" s="46">
        <f t="shared" si="513"/>
        <v>5.7631771948089151E-3</v>
      </c>
      <c r="BW61" s="46">
        <f t="shared" si="513"/>
        <v>3.3009078760406381E-2</v>
      </c>
      <c r="BX61" s="46">
        <f t="shared" si="513"/>
        <v>-7.9967392512839772E-3</v>
      </c>
      <c r="BY61" s="46">
        <f t="shared" si="513"/>
        <v>1.8274513008079283E-2</v>
      </c>
      <c r="BZ61" s="46">
        <f t="shared" si="513"/>
        <v>1.279334181045517E-2</v>
      </c>
      <c r="CA61" s="46">
        <f t="shared" si="513"/>
        <v>1.980818362464009E-2</v>
      </c>
      <c r="CB61" s="46">
        <f t="shared" si="513"/>
        <v>3.1441595867709952E-3</v>
      </c>
      <c r="CC61" s="46">
        <f t="shared" si="513"/>
        <v>2.5358391225245601E-2</v>
      </c>
      <c r="CD61" s="46">
        <f t="shared" si="513"/>
        <v>1.5843920629169738E-2</v>
      </c>
      <c r="CE61" s="46">
        <f t="shared" si="513"/>
        <v>8.0112374654625444E-3</v>
      </c>
      <c r="CF61" s="46">
        <f t="shared" si="513"/>
        <v>9.3904075904541195E-3</v>
      </c>
      <c r="CG61" s="46">
        <f t="shared" si="513"/>
        <v>-1.0243193697259291E-2</v>
      </c>
      <c r="CH61" s="46">
        <f t="shared" si="513"/>
        <v>4.9424100979728221E-3</v>
      </c>
      <c r="CI61" s="46">
        <f t="shared" si="513"/>
        <v>1.1900821098165905E-2</v>
      </c>
      <c r="CJ61" s="46">
        <f t="shared" si="513"/>
        <v>-8.0663874905910937E-4</v>
      </c>
      <c r="CK61" s="46">
        <f t="shared" si="513"/>
        <v>-6.8475317154456797E-3</v>
      </c>
      <c r="CL61" s="46">
        <f t="shared" si="513"/>
        <v>-5.5044234326488452E-3</v>
      </c>
      <c r="CM61" s="47">
        <f t="shared" ref="CM61" si="514">+CL61</f>
        <v>-5.5044234326488452E-3</v>
      </c>
      <c r="CN61" s="47">
        <v>2.5000000000000001E-3</v>
      </c>
      <c r="CO61" s="47">
        <f t="shared" ref="CO61" si="515">+CN61</f>
        <v>2.5000000000000001E-3</v>
      </c>
      <c r="CP61" s="47">
        <f t="shared" ref="CP61" si="516">+CO61</f>
        <v>2.5000000000000001E-3</v>
      </c>
      <c r="CQ61" s="47">
        <v>1E-3</v>
      </c>
      <c r="CR61" s="47">
        <f t="shared" ref="CR61" si="517">+CQ61</f>
        <v>1E-3</v>
      </c>
      <c r="CS61" s="47">
        <f t="shared" ref="CS61" si="518">+CR61</f>
        <v>1E-3</v>
      </c>
      <c r="CT61" s="47">
        <f t="shared" ref="CT61" si="519">+CS61</f>
        <v>1E-3</v>
      </c>
      <c r="CU61" s="47">
        <f t="shared" ref="CU61" si="520">+CT61</f>
        <v>1E-3</v>
      </c>
      <c r="CV61" s="47">
        <f t="shared" ref="CV61" si="521">+CU61</f>
        <v>1E-3</v>
      </c>
      <c r="CW61" s="47">
        <f t="shared" ref="CW61" si="522">+CV61</f>
        <v>1E-3</v>
      </c>
      <c r="CX61" s="47">
        <f t="shared" ref="CX61" si="523">+CW61</f>
        <v>1E-3</v>
      </c>
      <c r="CY61" s="47">
        <f t="shared" ref="CY61" si="524">+CX61</f>
        <v>1E-3</v>
      </c>
      <c r="CZ61" s="47">
        <f t="shared" ref="CZ61" si="525">+CY61</f>
        <v>1E-3</v>
      </c>
      <c r="DA61" s="47">
        <f t="shared" ref="DA61" si="526">+CZ61</f>
        <v>1E-3</v>
      </c>
      <c r="DB61" s="47">
        <f t="shared" ref="DB61" si="527">+DA61</f>
        <v>1E-3</v>
      </c>
      <c r="DE61" s="130"/>
      <c r="DF61" s="46">
        <v>-6.8475317154456797E-3</v>
      </c>
    </row>
    <row r="62" spans="1:110" s="26" customFormat="1" x14ac:dyDescent="0.2">
      <c r="A62" s="26" t="s">
        <v>20</v>
      </c>
      <c r="B62" s="26">
        <f>B58+B59-B60</f>
        <v>0</v>
      </c>
      <c r="C62" s="26">
        <f t="shared" ref="C62:T62" si="528">C58+C59-C60</f>
        <v>0</v>
      </c>
      <c r="D62" s="26">
        <f>D58+D59-D60</f>
        <v>0</v>
      </c>
      <c r="E62" s="26">
        <f t="shared" si="528"/>
        <v>0</v>
      </c>
      <c r="F62" s="26">
        <f t="shared" si="528"/>
        <v>0</v>
      </c>
      <c r="G62" s="26">
        <f t="shared" si="528"/>
        <v>0</v>
      </c>
      <c r="H62" s="26">
        <f t="shared" si="528"/>
        <v>0</v>
      </c>
      <c r="I62" s="26">
        <f t="shared" si="528"/>
        <v>234.03047700000008</v>
      </c>
      <c r="J62" s="26">
        <f t="shared" si="528"/>
        <v>98.167452200000156</v>
      </c>
      <c r="K62" s="26">
        <f t="shared" si="528"/>
        <v>113.95661349999997</v>
      </c>
      <c r="L62" s="26">
        <f t="shared" si="528"/>
        <v>0</v>
      </c>
      <c r="M62" s="26">
        <f t="shared" si="528"/>
        <v>51.275999999999769</v>
      </c>
      <c r="N62" s="26">
        <f t="shared" si="528"/>
        <v>116.12099999999971</v>
      </c>
      <c r="O62" s="26">
        <f t="shared" si="528"/>
        <v>144.75900000000016</v>
      </c>
      <c r="P62" s="26">
        <f t="shared" si="528"/>
        <v>245.19600000000054</v>
      </c>
      <c r="Q62" s="26">
        <f t="shared" si="528"/>
        <v>270.66999999999979</v>
      </c>
      <c r="R62" s="26">
        <f t="shared" si="528"/>
        <v>361.3280000000006</v>
      </c>
      <c r="S62" s="26">
        <f t="shared" si="528"/>
        <v>566.68399999999974</v>
      </c>
      <c r="T62" s="26">
        <f t="shared" si="528"/>
        <v>758.39</v>
      </c>
      <c r="U62" s="26">
        <f t="shared" ref="U62:Z62" si="529">U58+U59-U60</f>
        <v>1017.3959999999989</v>
      </c>
      <c r="V62" s="26">
        <f t="shared" si="529"/>
        <v>1011.5770000000001</v>
      </c>
      <c r="W62" s="26">
        <f t="shared" si="529"/>
        <v>1118.4130000000014</v>
      </c>
      <c r="X62" s="26">
        <f t="shared" si="529"/>
        <v>1716.5190000000014</v>
      </c>
      <c r="Y62" s="26">
        <f t="shared" si="529"/>
        <v>2359.3000000000011</v>
      </c>
      <c r="Z62" s="26">
        <f t="shared" si="529"/>
        <v>2700.8449999999998</v>
      </c>
      <c r="AA62" s="26">
        <f t="shared" ref="AA62" si="530">AA58+AA59-AA60</f>
        <v>3613.0750000000016</v>
      </c>
      <c r="AB62" s="27">
        <f t="shared" ref="AB62:AD62" si="531">AB58+AB59-AB60</f>
        <v>4347.532629481776</v>
      </c>
      <c r="AC62" s="27">
        <f t="shared" si="531"/>
        <v>5068.9877926831487</v>
      </c>
      <c r="AD62" s="27">
        <f t="shared" si="531"/>
        <v>5891.7207350705585</v>
      </c>
      <c r="AE62" s="27">
        <f t="shared" ref="AE62" si="532">AE58+AE59-AE60</f>
        <v>6773.4556172329512</v>
      </c>
      <c r="AI62" s="26">
        <f>AI58+AI59-AI60</f>
        <v>0</v>
      </c>
      <c r="AJ62" s="26">
        <f t="shared" ref="AJ62" si="533">AJ58+AJ59-AJ60</f>
        <v>0</v>
      </c>
      <c r="AK62" s="26">
        <f t="shared" ref="AK62:AM62" si="534">AK58+AK59-AK60</f>
        <v>0</v>
      </c>
      <c r="AL62" s="26">
        <f t="shared" si="534"/>
        <v>0</v>
      </c>
      <c r="AM62" s="26">
        <f t="shared" si="534"/>
        <v>0</v>
      </c>
      <c r="AN62" s="26">
        <f t="shared" ref="AN62:AO62" si="535">AN58+AN59-AN60</f>
        <v>0</v>
      </c>
      <c r="AO62" s="26">
        <f t="shared" si="535"/>
        <v>0</v>
      </c>
      <c r="AP62" s="26">
        <f t="shared" ref="AP62:CD62" si="536">AP58+AP59-AP60</f>
        <v>0</v>
      </c>
      <c r="AQ62" s="26">
        <f t="shared" si="536"/>
        <v>0</v>
      </c>
      <c r="AR62" s="26">
        <f t="shared" si="536"/>
        <v>0</v>
      </c>
      <c r="AS62" s="26">
        <f t="shared" si="536"/>
        <v>0</v>
      </c>
      <c r="AT62" s="26">
        <f t="shared" si="536"/>
        <v>0</v>
      </c>
      <c r="AU62" s="26">
        <f t="shared" si="536"/>
        <v>0</v>
      </c>
      <c r="AV62" s="26">
        <f t="shared" si="536"/>
        <v>0</v>
      </c>
      <c r="AW62" s="26">
        <f t="shared" si="536"/>
        <v>0</v>
      </c>
      <c r="AX62" s="26">
        <f t="shared" si="536"/>
        <v>0</v>
      </c>
      <c r="AY62" s="26">
        <f t="shared" si="536"/>
        <v>0</v>
      </c>
      <c r="AZ62" s="26">
        <f t="shared" si="536"/>
        <v>0</v>
      </c>
      <c r="BA62" s="26">
        <f t="shared" si="536"/>
        <v>0</v>
      </c>
      <c r="BB62" s="26">
        <f t="shared" si="536"/>
        <v>0</v>
      </c>
      <c r="BC62" s="26">
        <f t="shared" si="536"/>
        <v>0</v>
      </c>
      <c r="BD62" s="26">
        <f t="shared" si="536"/>
        <v>0</v>
      </c>
      <c r="BE62" s="26">
        <f t="shared" si="536"/>
        <v>0</v>
      </c>
      <c r="BF62" s="26">
        <f t="shared" si="536"/>
        <v>290.97500000000014</v>
      </c>
      <c r="BG62" s="26">
        <f t="shared" si="536"/>
        <v>123.59999999999985</v>
      </c>
      <c r="BH62" s="26">
        <f t="shared" si="536"/>
        <v>141.61599999999999</v>
      </c>
      <c r="BI62" s="26">
        <f t="shared" si="536"/>
        <v>288.48400000000009</v>
      </c>
      <c r="BJ62" s="26">
        <f t="shared" si="536"/>
        <v>204.69000000000023</v>
      </c>
      <c r="BK62" s="26">
        <f t="shared" si="536"/>
        <v>206.36699999999993</v>
      </c>
      <c r="BL62" s="26">
        <f t="shared" si="536"/>
        <v>231.90500000000017</v>
      </c>
      <c r="BM62" s="26">
        <f t="shared" si="536"/>
        <v>290.19999999999993</v>
      </c>
      <c r="BN62" s="26">
        <f t="shared" si="536"/>
        <v>288.92399999999975</v>
      </c>
      <c r="BO62" s="26">
        <f t="shared" si="536"/>
        <v>30.537000000000006</v>
      </c>
      <c r="BP62" s="26">
        <f t="shared" si="536"/>
        <v>288.23299999999989</v>
      </c>
      <c r="BQ62" s="26">
        <f t="shared" si="536"/>
        <v>330.92400000000021</v>
      </c>
      <c r="BR62" s="26">
        <f t="shared" si="536"/>
        <v>367.91899999999998</v>
      </c>
      <c r="BS62" s="26">
        <f t="shared" si="536"/>
        <v>99.120999999999938</v>
      </c>
      <c r="BT62" s="26">
        <f t="shared" si="536"/>
        <v>264.47799999999984</v>
      </c>
      <c r="BU62" s="26">
        <f t="shared" si="536"/>
        <v>324.4190000000001</v>
      </c>
      <c r="BV62" s="26">
        <f t="shared" si="536"/>
        <v>430.39399999999995</v>
      </c>
      <c r="BW62" s="26">
        <f t="shared" si="536"/>
        <v>296.02199999999982</v>
      </c>
      <c r="BX62" s="26">
        <f t="shared" si="536"/>
        <v>359.25800000000032</v>
      </c>
      <c r="BY62" s="26">
        <f t="shared" si="536"/>
        <v>481.80499999999967</v>
      </c>
      <c r="BZ62" s="26">
        <f t="shared" si="536"/>
        <v>579.43399999999963</v>
      </c>
      <c r="CA62" s="26">
        <f t="shared" si="536"/>
        <v>530.49200000000008</v>
      </c>
      <c r="CB62" s="26">
        <f t="shared" si="536"/>
        <v>557.15199999999993</v>
      </c>
      <c r="CC62" s="26">
        <f t="shared" si="536"/>
        <v>546.39499999999998</v>
      </c>
      <c r="CD62" s="26">
        <f t="shared" si="536"/>
        <v>725.26100000000042</v>
      </c>
      <c r="CE62" s="26">
        <f t="shared" ref="CE62:CF62" si="537">CE58+CE59-CE60</f>
        <v>533.36799999999982</v>
      </c>
      <c r="CF62" s="26">
        <f t="shared" si="537"/>
        <v>590.34699999999941</v>
      </c>
      <c r="CG62" s="26">
        <f t="shared" ref="CG62:CH62" si="538">CG58+CG59-CG60</f>
        <v>616.57299999999987</v>
      </c>
      <c r="CH62" s="26">
        <f t="shared" si="538"/>
        <v>960.55700000000013</v>
      </c>
      <c r="CI62" s="26">
        <f t="shared" ref="CI62:CJ62" si="539">CI58+CI59-CI60</f>
        <v>800.58699999999988</v>
      </c>
      <c r="CJ62" s="26">
        <f t="shared" si="539"/>
        <v>921.00099999999986</v>
      </c>
      <c r="CK62" s="26">
        <f t="shared" ref="CK62:CL62" si="540">CK58+CK59-CK60</f>
        <v>842.19899999999916</v>
      </c>
      <c r="CL62" s="26">
        <f t="shared" si="540"/>
        <v>1049.2880000000002</v>
      </c>
      <c r="CM62" s="27">
        <f t="shared" ref="CM62:DB62" si="541">CM58+CM59-CM60</f>
        <v>887.2789371439934</v>
      </c>
      <c r="CN62" s="27">
        <f t="shared" si="541"/>
        <v>986.26031954666576</v>
      </c>
      <c r="CO62" s="27">
        <f t="shared" si="541"/>
        <v>1139.1584787717309</v>
      </c>
      <c r="CP62" s="27">
        <f t="shared" si="541"/>
        <v>1334.8348940193839</v>
      </c>
      <c r="CQ62" s="27">
        <f t="shared" si="541"/>
        <v>1053.103303011889</v>
      </c>
      <c r="CR62" s="27">
        <f t="shared" si="541"/>
        <v>1128.6183560101792</v>
      </c>
      <c r="CS62" s="27">
        <f t="shared" si="541"/>
        <v>1342.3937186504631</v>
      </c>
      <c r="CT62" s="27">
        <f t="shared" si="541"/>
        <v>1544.872415010622</v>
      </c>
      <c r="CU62" s="27">
        <f t="shared" si="541"/>
        <v>1201.7168378136703</v>
      </c>
      <c r="CV62" s="27">
        <f t="shared" si="541"/>
        <v>1302.7510153674161</v>
      </c>
      <c r="CW62" s="27">
        <f t="shared" si="541"/>
        <v>1569.9577600751741</v>
      </c>
      <c r="CX62" s="27">
        <f t="shared" si="541"/>
        <v>1817.2951218143016</v>
      </c>
      <c r="CY62" s="27">
        <f t="shared" si="541"/>
        <v>1382.7714092550698</v>
      </c>
      <c r="CZ62" s="27">
        <f t="shared" si="541"/>
        <v>1501.167237619426</v>
      </c>
      <c r="DA62" s="27">
        <f t="shared" si="541"/>
        <v>1807.6906792158243</v>
      </c>
      <c r="DB62" s="27">
        <f t="shared" si="541"/>
        <v>2081.8262911426368</v>
      </c>
      <c r="DE62" s="121"/>
      <c r="DF62" s="26">
        <v>1097.4049353986627</v>
      </c>
    </row>
    <row r="63" spans="1:110" s="23" customFormat="1" x14ac:dyDescent="0.2">
      <c r="A63" s="23" t="s">
        <v>21</v>
      </c>
      <c r="B63" s="23">
        <f>'Annual Raw'!C30</f>
        <v>0</v>
      </c>
      <c r="C63" s="23">
        <f>'Annual Raw'!D30</f>
        <v>0</v>
      </c>
      <c r="D63" s="23">
        <f>'Annual Raw'!E30</f>
        <v>0</v>
      </c>
      <c r="E63" s="23">
        <f>'Annual Raw'!F30</f>
        <v>0</v>
      </c>
      <c r="F63" s="23">
        <f>'Annual Raw'!G30</f>
        <v>0</v>
      </c>
      <c r="G63" s="23">
        <f>'Annual Raw'!H30</f>
        <v>0</v>
      </c>
      <c r="H63" s="23">
        <f>'Annual Raw'!I30</f>
        <v>0</v>
      </c>
      <c r="I63" s="23">
        <f>'Annual Raw'!J30</f>
        <v>80.365563199999997</v>
      </c>
      <c r="J63" s="23">
        <f>'Annual Raw'!K30</f>
        <v>33.353116300000003</v>
      </c>
      <c r="K63" s="23">
        <f>'Annual Raw'!L30</f>
        <v>0</v>
      </c>
      <c r="L63" s="23">
        <f>'Annual Raw'!M30</f>
        <v>0</v>
      </c>
      <c r="M63" s="23">
        <f>'Annual Raw'!N30</f>
        <v>18.039000000000001</v>
      </c>
      <c r="N63" s="23">
        <f>'Annual Raw'!O30</f>
        <v>39.229999999999997</v>
      </c>
      <c r="O63" s="23">
        <f>'Annual Raw'!P30</f>
        <v>51.518000000000001</v>
      </c>
      <c r="P63" s="23">
        <f>'Annual Raw'!Q30</f>
        <v>84.870999999999995</v>
      </c>
      <c r="Q63" s="23">
        <f>'Annual Raw'!R30</f>
        <v>82.71</v>
      </c>
      <c r="R63" s="23">
        <f>'Annual Raw'!S30</f>
        <v>128.25200000000001</v>
      </c>
      <c r="S63" s="23">
        <f>'Annual Raw'!T30</f>
        <v>208.22800000000001</v>
      </c>
      <c r="T63" s="23">
        <f>'Annual Raw'!U30</f>
        <v>255.75800000000001</v>
      </c>
      <c r="U63" s="23">
        <f>'Annual Raw'!V30</f>
        <v>244.37</v>
      </c>
      <c r="V63" s="23">
        <f>'Annual Raw'!W30</f>
        <v>170.34399999999999</v>
      </c>
      <c r="W63" s="23">
        <f>'Annual Raw'!X30</f>
        <v>270.62700000000001</v>
      </c>
      <c r="X63" s="23">
        <f>'Annual Raw'!Y30</f>
        <v>424.17</v>
      </c>
      <c r="Y63" s="23">
        <f>'Annual Raw'!Z30</f>
        <v>556.38300000000004</v>
      </c>
      <c r="Z63" s="23">
        <f>'Annual Raw'!AA30</f>
        <v>655.30799999999999</v>
      </c>
      <c r="AA63" s="23">
        <f>'Annual Raw'!AB30</f>
        <v>904.64800000000002</v>
      </c>
      <c r="AB63" s="24">
        <f>+SUM(CM63:CP63)</f>
        <v>1105.8858366708389</v>
      </c>
      <c r="AC63" s="24">
        <f>+SUM(CQ63:CT63)</f>
        <v>1310.0146556276609</v>
      </c>
      <c r="AD63" s="24">
        <f>+SUM(CU63:CX63)</f>
        <v>1524.2364759250395</v>
      </c>
      <c r="AE63" s="24">
        <f>+SUM(CY63:DB63)</f>
        <v>1752.7379115823364</v>
      </c>
      <c r="AI63" s="23">
        <f>'QTR Raw'!C29</f>
        <v>0</v>
      </c>
      <c r="AJ63" s="23">
        <f>'QTR Raw'!D29</f>
        <v>0</v>
      </c>
      <c r="AK63" s="23">
        <f>'QTR Raw'!E29</f>
        <v>0</v>
      </c>
      <c r="AL63" s="23">
        <f>'QTR Raw'!F29</f>
        <v>0</v>
      </c>
      <c r="AM63" s="23">
        <f>'QTR Raw'!G29</f>
        <v>0</v>
      </c>
      <c r="AN63" s="23">
        <f>'QTR Raw'!H29</f>
        <v>0</v>
      </c>
      <c r="AO63" s="23">
        <f>'QTR Raw'!I29</f>
        <v>0</v>
      </c>
      <c r="AP63" s="23">
        <f>'QTR Raw'!J29</f>
        <v>0</v>
      </c>
      <c r="AQ63" s="23">
        <f>'QTR Raw'!K29</f>
        <v>0</v>
      </c>
      <c r="AR63" s="23">
        <f>'QTR Raw'!L29</f>
        <v>0</v>
      </c>
      <c r="AS63" s="23">
        <f>'QTR Raw'!M29</f>
        <v>0</v>
      </c>
      <c r="AT63" s="23">
        <f>'QTR Raw'!N29</f>
        <v>0</v>
      </c>
      <c r="AU63" s="23">
        <f>'QTR Raw'!O29</f>
        <v>0</v>
      </c>
      <c r="AV63" s="23">
        <f>'QTR Raw'!P29</f>
        <v>0</v>
      </c>
      <c r="AW63" s="23">
        <f>'QTR Raw'!Q29</f>
        <v>0</v>
      </c>
      <c r="AX63" s="23">
        <f>'QTR Raw'!R29</f>
        <v>0</v>
      </c>
      <c r="AY63" s="23">
        <f>'QTR Raw'!S29</f>
        <v>0</v>
      </c>
      <c r="AZ63" s="23">
        <f>'QTR Raw'!T29</f>
        <v>0</v>
      </c>
      <c r="BA63" s="23">
        <f>'QTR Raw'!U29</f>
        <v>0</v>
      </c>
      <c r="BB63" s="23">
        <f>'QTR Raw'!V29</f>
        <v>0</v>
      </c>
      <c r="BC63" s="23">
        <f>'QTR Raw'!W29</f>
        <v>0</v>
      </c>
      <c r="BD63" s="23">
        <f>'QTR Raw'!X29</f>
        <v>0</v>
      </c>
      <c r="BE63" s="23">
        <f>'QTR Raw'!Y29</f>
        <v>0</v>
      </c>
      <c r="BF63" s="23">
        <f>'QTR Raw'!Z29</f>
        <v>102.032</v>
      </c>
      <c r="BG63" s="23">
        <f>'QTR Raw'!AA29</f>
        <v>43.148000000000003</v>
      </c>
      <c r="BH63" s="23">
        <f>'QTR Raw'!AB29</f>
        <v>49.07</v>
      </c>
      <c r="BI63" s="23">
        <f>'QTR Raw'!AC29</f>
        <v>96.741</v>
      </c>
      <c r="BJ63" s="23">
        <f>'QTR Raw'!AD29</f>
        <v>66.799000000000007</v>
      </c>
      <c r="BK63" s="23">
        <f>'QTR Raw'!AE29</f>
        <v>71.313000000000002</v>
      </c>
      <c r="BL63" s="23">
        <f>'QTR Raw'!AF29</f>
        <v>36.493000000000002</v>
      </c>
      <c r="BM63" s="23">
        <f>'QTR Raw'!AG29</f>
        <v>68.569000000000003</v>
      </c>
      <c r="BN63" s="23">
        <f>'QTR Raw'!AH29</f>
        <v>67.995000000000005</v>
      </c>
      <c r="BO63" s="23">
        <f>'QTR Raw'!AI29</f>
        <v>-78.468000000000004</v>
      </c>
      <c r="BP63" s="23">
        <f>'QTR Raw'!AJ29</f>
        <v>66.42</v>
      </c>
      <c r="BQ63" s="23">
        <f>'QTR Raw'!AK29</f>
        <v>86.394000000000005</v>
      </c>
      <c r="BR63" s="23">
        <f>'QTR Raw'!AL29</f>
        <v>97.561999999999998</v>
      </c>
      <c r="BS63" s="23">
        <f>'QTR Raw'!AM29</f>
        <v>23.265000000000001</v>
      </c>
      <c r="BT63" s="23">
        <f>'QTR Raw'!AN29</f>
        <v>66.366</v>
      </c>
      <c r="BU63" s="23">
        <f>'QTR Raw'!AO29</f>
        <v>76.311999999999998</v>
      </c>
      <c r="BV63" s="23">
        <f>'QTR Raw'!AP29</f>
        <v>104.684</v>
      </c>
      <c r="BW63" s="23">
        <f>'QTR Raw'!AQ29</f>
        <v>72.197000000000003</v>
      </c>
      <c r="BX63" s="23">
        <f>'QTR Raw'!AR29</f>
        <v>87.825000000000003</v>
      </c>
      <c r="BY63" s="23">
        <f>'QTR Raw'!AS29</f>
        <v>119.929</v>
      </c>
      <c r="BZ63" s="23">
        <f>'QTR Raw'!AT29</f>
        <v>144.36099999999999</v>
      </c>
      <c r="CA63" s="23">
        <f>'QTR Raw'!AU29</f>
        <v>127.33</v>
      </c>
      <c r="CB63" s="23">
        <f>'QTR Raw'!AV29</f>
        <v>127.38500000000001</v>
      </c>
      <c r="CC63" s="23">
        <f>'QTR Raw'!AW29</f>
        <v>129.88399999999999</v>
      </c>
      <c r="CD63" s="23">
        <f>'QTR Raw'!AX29</f>
        <v>171.78399999999999</v>
      </c>
      <c r="CE63" s="23">
        <f>'QTR Raw'!AY29</f>
        <v>131.749</v>
      </c>
      <c r="CF63" s="23">
        <f>'QTR Raw'!AZ29</f>
        <v>145.13900000000001</v>
      </c>
      <c r="CG63" s="23">
        <f>'QTR Raw'!BA29</f>
        <v>152.22499999999999</v>
      </c>
      <c r="CH63" s="23">
        <f>'QTR Raw'!BB29</f>
        <v>226.19499999999999</v>
      </c>
      <c r="CI63" s="23">
        <f>'QTR Raw'!BC29</f>
        <v>200.89099999999999</v>
      </c>
      <c r="CJ63" s="23">
        <f>'QTR Raw'!BD29</f>
        <v>228.042</v>
      </c>
      <c r="CK63" s="23">
        <f>'QTR Raw'!BE29</f>
        <v>212.03100000000001</v>
      </c>
      <c r="CL63" s="23">
        <f>'QTR Raw'!BF29</f>
        <v>263.68400000000003</v>
      </c>
      <c r="CM63" s="24">
        <f t="shared" ref="CM63:DB63" si="542">+CM62*CM64</f>
        <v>224.39387840022258</v>
      </c>
      <c r="CN63" s="24">
        <f t="shared" si="542"/>
        <v>249.91735862406176</v>
      </c>
      <c r="CO63" s="24">
        <f t="shared" si="542"/>
        <v>290.32892803975562</v>
      </c>
      <c r="CP63" s="24">
        <f t="shared" si="542"/>
        <v>341.24567160679902</v>
      </c>
      <c r="CQ63" s="24">
        <f t="shared" si="542"/>
        <v>270.37827611396125</v>
      </c>
      <c r="CR63" s="24">
        <f t="shared" si="542"/>
        <v>290.8615387763935</v>
      </c>
      <c r="CS63" s="24">
        <f t="shared" si="542"/>
        <v>347.41742358950449</v>
      </c>
      <c r="CT63" s="24">
        <f t="shared" si="542"/>
        <v>401.35741714780175</v>
      </c>
      <c r="CU63" s="24">
        <f t="shared" si="542"/>
        <v>310.36234185048841</v>
      </c>
      <c r="CV63" s="24">
        <f t="shared" si="542"/>
        <v>336.95154006228495</v>
      </c>
      <c r="CW63" s="24">
        <f t="shared" si="542"/>
        <v>406.42912370864207</v>
      </c>
      <c r="CX63" s="24">
        <f t="shared" si="542"/>
        <v>470.49347030362401</v>
      </c>
      <c r="CY63" s="24">
        <f t="shared" si="542"/>
        <v>357.68446227361596</v>
      </c>
      <c r="CZ63" s="24">
        <f t="shared" si="542"/>
        <v>388.46267456740566</v>
      </c>
      <c r="DA63" s="24">
        <f t="shared" si="542"/>
        <v>467.84055797799522</v>
      </c>
      <c r="DB63" s="24">
        <f t="shared" si="542"/>
        <v>538.75021676331971</v>
      </c>
      <c r="DE63" s="123"/>
      <c r="DF63" s="23">
        <v>270.44829080423091</v>
      </c>
    </row>
    <row r="64" spans="1:110" s="90" customFormat="1" x14ac:dyDescent="0.2">
      <c r="A64" s="90" t="s">
        <v>106</v>
      </c>
      <c r="B64" s="90" t="e">
        <f t="shared" ref="B64:E64" si="543">B63/B62</f>
        <v>#DIV/0!</v>
      </c>
      <c r="C64" s="90" t="e">
        <f t="shared" si="543"/>
        <v>#DIV/0!</v>
      </c>
      <c r="D64" s="90" t="e">
        <f t="shared" si="543"/>
        <v>#DIV/0!</v>
      </c>
      <c r="E64" s="90" t="e">
        <f t="shared" si="543"/>
        <v>#DIV/0!</v>
      </c>
      <c r="F64" s="90" t="e">
        <f t="shared" ref="F64:T64" si="544">F63/F62</f>
        <v>#DIV/0!</v>
      </c>
      <c r="G64" s="90" t="e">
        <f t="shared" si="544"/>
        <v>#DIV/0!</v>
      </c>
      <c r="H64" s="90" t="e">
        <f t="shared" si="544"/>
        <v>#DIV/0!</v>
      </c>
      <c r="I64" s="90">
        <f t="shared" si="544"/>
        <v>0.34339785240876969</v>
      </c>
      <c r="J64" s="90">
        <f t="shared" si="544"/>
        <v>0.33975737938118711</v>
      </c>
      <c r="K64" s="90">
        <f t="shared" si="544"/>
        <v>0</v>
      </c>
      <c r="L64" s="90" t="e">
        <f t="shared" si="544"/>
        <v>#DIV/0!</v>
      </c>
      <c r="M64" s="90">
        <f t="shared" si="544"/>
        <v>0.35180201263749283</v>
      </c>
      <c r="N64" s="90">
        <f t="shared" si="544"/>
        <v>0.33783725596576064</v>
      </c>
      <c r="O64" s="90">
        <f t="shared" si="544"/>
        <v>0.35588806222756403</v>
      </c>
      <c r="P64" s="90">
        <f t="shared" si="544"/>
        <v>0.34613533662865548</v>
      </c>
      <c r="Q64" s="90">
        <f t="shared" si="544"/>
        <v>0.30557505449440298</v>
      </c>
      <c r="R64" s="90">
        <f t="shared" si="544"/>
        <v>0.35494619846787351</v>
      </c>
      <c r="S64" s="90">
        <f t="shared" si="544"/>
        <v>0.36744993682546201</v>
      </c>
      <c r="T64" s="90">
        <f t="shared" si="544"/>
        <v>0.33723809649388836</v>
      </c>
      <c r="U64" s="90">
        <f t="shared" ref="U64:Z64" si="545">U63/U62</f>
        <v>0.24019162646599776</v>
      </c>
      <c r="V64" s="90">
        <f t="shared" si="545"/>
        <v>0.16839449690928124</v>
      </c>
      <c r="W64" s="90">
        <f t="shared" si="545"/>
        <v>0.24197411868424248</v>
      </c>
      <c r="X64" s="90">
        <f t="shared" si="545"/>
        <v>0.24711057669620884</v>
      </c>
      <c r="Y64" s="90">
        <f t="shared" si="545"/>
        <v>0.23582545670325936</v>
      </c>
      <c r="Z64" s="90">
        <f t="shared" si="545"/>
        <v>0.24263073223380091</v>
      </c>
      <c r="AA64" s="90">
        <f t="shared" ref="AA64" si="546">AA63/AA62</f>
        <v>0.25038173854680557</v>
      </c>
      <c r="AB64" s="91">
        <f t="shared" ref="AA64:AD64" si="547">AB63/AB62</f>
        <v>0.25437091125470401</v>
      </c>
      <c r="AC64" s="91">
        <f t="shared" si="547"/>
        <v>0.25843712970045163</v>
      </c>
      <c r="AD64" s="91">
        <f t="shared" si="547"/>
        <v>0.25870820163827496</v>
      </c>
      <c r="AE64" s="91">
        <f t="shared" ref="AE64" si="548">AE63/AE62</f>
        <v>0.25876568927727822</v>
      </c>
      <c r="AI64" s="90" t="e">
        <f t="shared" ref="AI64" si="549">AI63/AI62</f>
        <v>#DIV/0!</v>
      </c>
      <c r="AJ64" s="90" t="e">
        <f t="shared" ref="AJ64" si="550">AJ63/AJ62</f>
        <v>#DIV/0!</v>
      </c>
      <c r="AK64" s="90" t="e">
        <f t="shared" ref="AK64:AM64" si="551">AK63/AK62</f>
        <v>#DIV/0!</v>
      </c>
      <c r="AL64" s="90" t="e">
        <f t="shared" si="551"/>
        <v>#DIV/0!</v>
      </c>
      <c r="AM64" s="90" t="e">
        <f t="shared" si="551"/>
        <v>#DIV/0!</v>
      </c>
      <c r="AN64" s="90" t="e">
        <f t="shared" ref="AN64:AO64" si="552">AN63/AN62</f>
        <v>#DIV/0!</v>
      </c>
      <c r="AO64" s="90" t="e">
        <f t="shared" si="552"/>
        <v>#DIV/0!</v>
      </c>
      <c r="AP64" s="90" t="e">
        <f t="shared" ref="AP64:CD64" si="553">AP63/AP62</f>
        <v>#DIV/0!</v>
      </c>
      <c r="AQ64" s="90" t="e">
        <f t="shared" si="553"/>
        <v>#DIV/0!</v>
      </c>
      <c r="AR64" s="90" t="e">
        <f t="shared" si="553"/>
        <v>#DIV/0!</v>
      </c>
      <c r="AS64" s="90" t="e">
        <f t="shared" si="553"/>
        <v>#DIV/0!</v>
      </c>
      <c r="AT64" s="90" t="e">
        <f t="shared" si="553"/>
        <v>#DIV/0!</v>
      </c>
      <c r="AU64" s="90" t="e">
        <f t="shared" si="553"/>
        <v>#DIV/0!</v>
      </c>
      <c r="AV64" s="90" t="e">
        <f t="shared" si="553"/>
        <v>#DIV/0!</v>
      </c>
      <c r="AW64" s="90" t="e">
        <f t="shared" si="553"/>
        <v>#DIV/0!</v>
      </c>
      <c r="AX64" s="90" t="e">
        <f t="shared" si="553"/>
        <v>#DIV/0!</v>
      </c>
      <c r="AY64" s="90" t="e">
        <f t="shared" si="553"/>
        <v>#DIV/0!</v>
      </c>
      <c r="AZ64" s="90" t="e">
        <f t="shared" si="553"/>
        <v>#DIV/0!</v>
      </c>
      <c r="BA64" s="90" t="e">
        <f t="shared" si="553"/>
        <v>#DIV/0!</v>
      </c>
      <c r="BB64" s="90" t="e">
        <f t="shared" si="553"/>
        <v>#DIV/0!</v>
      </c>
      <c r="BC64" s="90" t="e">
        <f t="shared" si="553"/>
        <v>#DIV/0!</v>
      </c>
      <c r="BD64" s="90" t="e">
        <f t="shared" si="553"/>
        <v>#DIV/0!</v>
      </c>
      <c r="BE64" s="90" t="e">
        <f t="shared" si="553"/>
        <v>#DIV/0!</v>
      </c>
      <c r="BF64" s="90">
        <f t="shared" si="553"/>
        <v>0.35065555460091058</v>
      </c>
      <c r="BG64" s="90">
        <f t="shared" si="553"/>
        <v>0.34909385113268654</v>
      </c>
      <c r="BH64" s="90">
        <f t="shared" si="553"/>
        <v>0.34650039543554406</v>
      </c>
      <c r="BI64" s="90">
        <f t="shared" si="553"/>
        <v>0.33534268798269562</v>
      </c>
      <c r="BJ64" s="90">
        <f t="shared" si="553"/>
        <v>0.32634227368215318</v>
      </c>
      <c r="BK64" s="90">
        <f t="shared" si="553"/>
        <v>0.34556397098373298</v>
      </c>
      <c r="BL64" s="90">
        <f t="shared" si="553"/>
        <v>0.15736185075785333</v>
      </c>
      <c r="BM64" s="90">
        <f t="shared" si="553"/>
        <v>0.23628187456926264</v>
      </c>
      <c r="BN64" s="90">
        <f t="shared" si="553"/>
        <v>0.2353387049881632</v>
      </c>
      <c r="BO64" s="90">
        <f t="shared" si="553"/>
        <v>-2.5696040868454659</v>
      </c>
      <c r="BP64" s="90">
        <f t="shared" si="553"/>
        <v>0.23043856879677216</v>
      </c>
      <c r="BQ64" s="90">
        <f t="shared" si="553"/>
        <v>0.26106900678101302</v>
      </c>
      <c r="BR64" s="90">
        <f t="shared" si="553"/>
        <v>0.26517249720726571</v>
      </c>
      <c r="BS64" s="90">
        <f t="shared" si="553"/>
        <v>0.23471312839862404</v>
      </c>
      <c r="BT64" s="90">
        <f t="shared" si="553"/>
        <v>0.25093202459183767</v>
      </c>
      <c r="BU64" s="90">
        <f t="shared" si="553"/>
        <v>0.2352266667488648</v>
      </c>
      <c r="BV64" s="90">
        <f t="shared" si="553"/>
        <v>0.24322829779225549</v>
      </c>
      <c r="BW64" s="90">
        <f t="shared" si="553"/>
        <v>0.24389065677551008</v>
      </c>
      <c r="BX64" s="90">
        <f t="shared" si="553"/>
        <v>0.24446219708398956</v>
      </c>
      <c r="BY64" s="90">
        <f t="shared" si="553"/>
        <v>0.24891605525056834</v>
      </c>
      <c r="BZ64" s="90">
        <f t="shared" si="553"/>
        <v>0.24914140350756098</v>
      </c>
      <c r="CA64" s="90">
        <f t="shared" si="553"/>
        <v>0.24002246970736596</v>
      </c>
      <c r="CB64" s="90">
        <f t="shared" si="553"/>
        <v>0.22863599161449663</v>
      </c>
      <c r="CC64" s="90">
        <f t="shared" si="553"/>
        <v>0.23771081360554175</v>
      </c>
      <c r="CD64" s="90">
        <f t="shared" si="553"/>
        <v>0.23685817933130265</v>
      </c>
      <c r="CE64" s="90">
        <f t="shared" ref="CE64:CF64" si="554">CE63/CE62</f>
        <v>0.24701331913425634</v>
      </c>
      <c r="CF64" s="90">
        <f t="shared" si="554"/>
        <v>0.24585370976730661</v>
      </c>
      <c r="CG64" s="90">
        <f t="shared" ref="CG64:CH64" si="555">CG63/CG62</f>
        <v>0.24688885176613318</v>
      </c>
      <c r="CH64" s="90">
        <f t="shared" si="555"/>
        <v>0.23548316237349784</v>
      </c>
      <c r="CI64" s="90">
        <f t="shared" ref="CI64:CJ64" si="556">CI63/CI62</f>
        <v>0.25092963038370597</v>
      </c>
      <c r="CJ64" s="90">
        <f t="shared" si="556"/>
        <v>0.24760233702243542</v>
      </c>
      <c r="CK64" s="90">
        <f t="shared" ref="CK64:CL64" si="557">CK63/CK62</f>
        <v>0.25175878859984424</v>
      </c>
      <c r="CL64" s="90">
        <f t="shared" si="557"/>
        <v>0.25129802304038545</v>
      </c>
      <c r="CM64" s="91">
        <f>AVERAGE(CI64:CL64)*1.01</f>
        <v>0.2529011667092087</v>
      </c>
      <c r="CN64" s="91">
        <f t="shared" ref="CN64:CP64" si="558">AVERAGE(CJ64:CM64)*1.01</f>
        <v>0.25339897963139812</v>
      </c>
      <c r="CO64" s="91">
        <f t="shared" si="558"/>
        <v>0.25486263189016117</v>
      </c>
      <c r="CP64" s="91">
        <f t="shared" si="558"/>
        <v>0.25564635232096622</v>
      </c>
      <c r="CQ64" s="91">
        <f>AVERAGE(CM64:CP64)*1.01</f>
        <v>0.25674430546431287</v>
      </c>
      <c r="CR64" s="91">
        <f t="shared" ref="CR64:CT64" si="559">AVERAGE(CN64:CQ64)*1.01</f>
        <v>0.25771469799997665</v>
      </c>
      <c r="CS64" s="91">
        <f t="shared" si="559"/>
        <v>0.25880441688804279</v>
      </c>
      <c r="CT64" s="91">
        <f t="shared" si="559"/>
        <v>0.25979971760000786</v>
      </c>
      <c r="CU64" s="91">
        <f t="shared" ref="CU64:DB64" si="560">AVERAGE(CQ64:CT64)</f>
        <v>0.25826578448808502</v>
      </c>
      <c r="CV64" s="91">
        <f t="shared" si="560"/>
        <v>0.25864615424402809</v>
      </c>
      <c r="CW64" s="91">
        <f t="shared" si="560"/>
        <v>0.25887901830504095</v>
      </c>
      <c r="CX64" s="91">
        <f t="shared" si="560"/>
        <v>0.25889766865929048</v>
      </c>
      <c r="CY64" s="91">
        <f t="shared" si="560"/>
        <v>0.25867215642411112</v>
      </c>
      <c r="CZ64" s="91">
        <f t="shared" si="560"/>
        <v>0.2587737494081177</v>
      </c>
      <c r="DA64" s="91">
        <f t="shared" si="560"/>
        <v>0.25880564819914009</v>
      </c>
      <c r="DB64" s="91">
        <f t="shared" si="560"/>
        <v>0.25878730567266484</v>
      </c>
      <c r="DE64" s="127"/>
      <c r="DF64" s="90">
        <v>0.24644347959487087</v>
      </c>
    </row>
    <row r="65" spans="1:110" s="26" customFormat="1" x14ac:dyDescent="0.2">
      <c r="A65" s="26" t="s">
        <v>22</v>
      </c>
      <c r="B65" s="26">
        <f t="shared" ref="B65:E65" si="561">B62-B63</f>
        <v>0</v>
      </c>
      <c r="C65" s="26">
        <f t="shared" si="561"/>
        <v>0</v>
      </c>
      <c r="D65" s="26">
        <f t="shared" si="561"/>
        <v>0</v>
      </c>
      <c r="E65" s="26">
        <f t="shared" si="561"/>
        <v>0</v>
      </c>
      <c r="F65" s="26">
        <f t="shared" ref="F65:T65" si="562">F62-F63</f>
        <v>0</v>
      </c>
      <c r="G65" s="26">
        <f t="shared" si="562"/>
        <v>0</v>
      </c>
      <c r="H65" s="26">
        <f t="shared" si="562"/>
        <v>0</v>
      </c>
      <c r="I65" s="26">
        <f t="shared" si="562"/>
        <v>153.66491380000008</v>
      </c>
      <c r="J65" s="26">
        <f t="shared" si="562"/>
        <v>64.814335900000145</v>
      </c>
      <c r="K65" s="26">
        <f t="shared" si="562"/>
        <v>113.95661349999997</v>
      </c>
      <c r="L65" s="26">
        <f t="shared" si="562"/>
        <v>0</v>
      </c>
      <c r="M65" s="26">
        <f t="shared" si="562"/>
        <v>33.236999999999767</v>
      </c>
      <c r="N65" s="26">
        <f t="shared" si="562"/>
        <v>76.890999999999707</v>
      </c>
      <c r="O65" s="26">
        <f t="shared" si="562"/>
        <v>93.241000000000156</v>
      </c>
      <c r="P65" s="26">
        <f t="shared" si="562"/>
        <v>160.32500000000056</v>
      </c>
      <c r="Q65" s="26">
        <f t="shared" si="562"/>
        <v>187.95999999999981</v>
      </c>
      <c r="R65" s="26">
        <f t="shared" si="562"/>
        <v>233.07600000000059</v>
      </c>
      <c r="S65" s="26">
        <f t="shared" si="562"/>
        <v>358.45599999999973</v>
      </c>
      <c r="T65" s="26">
        <f t="shared" si="562"/>
        <v>502.63199999999995</v>
      </c>
      <c r="U65" s="26">
        <f t="shared" ref="U65:Z65" si="563">U62-U63</f>
        <v>773.02599999999893</v>
      </c>
      <c r="V65" s="26">
        <f t="shared" si="563"/>
        <v>841.23300000000017</v>
      </c>
      <c r="W65" s="26">
        <f t="shared" si="563"/>
        <v>847.78600000000142</v>
      </c>
      <c r="X65" s="26">
        <f t="shared" si="563"/>
        <v>1292.3490000000013</v>
      </c>
      <c r="Y65" s="26">
        <f t="shared" si="563"/>
        <v>1802.9170000000011</v>
      </c>
      <c r="Z65" s="26">
        <f t="shared" si="563"/>
        <v>2045.5369999999998</v>
      </c>
      <c r="AA65" s="26">
        <f t="shared" ref="AA65" si="564">AA62-AA63</f>
        <v>2708.4270000000015</v>
      </c>
      <c r="AB65" s="27">
        <f t="shared" ref="AA65:AD65" si="565">AB62-AB63</f>
        <v>3241.6467928109369</v>
      </c>
      <c r="AC65" s="27">
        <f t="shared" si="565"/>
        <v>3758.9731370554878</v>
      </c>
      <c r="AD65" s="27">
        <f t="shared" si="565"/>
        <v>4367.484259145519</v>
      </c>
      <c r="AE65" s="27">
        <f t="shared" ref="AE65" si="566">AE62-AE63</f>
        <v>5020.7177056506152</v>
      </c>
      <c r="AI65" s="26">
        <f>AI62-AI63</f>
        <v>0</v>
      </c>
      <c r="AJ65" s="26">
        <f t="shared" ref="AJ65" si="567">AJ62-AJ63</f>
        <v>0</v>
      </c>
      <c r="AK65" s="26">
        <f t="shared" ref="AK65:AM65" si="568">AK62-AK63</f>
        <v>0</v>
      </c>
      <c r="AL65" s="26">
        <f t="shared" si="568"/>
        <v>0</v>
      </c>
      <c r="AM65" s="26">
        <f t="shared" si="568"/>
        <v>0</v>
      </c>
      <c r="AN65" s="26">
        <f t="shared" ref="AN65:AO65" si="569">AN62-AN63</f>
        <v>0</v>
      </c>
      <c r="AO65" s="26">
        <f t="shared" si="569"/>
        <v>0</v>
      </c>
      <c r="AP65" s="26">
        <f t="shared" ref="AP65:CD65" si="570">AP62-AP63</f>
        <v>0</v>
      </c>
      <c r="AQ65" s="26">
        <f t="shared" si="570"/>
        <v>0</v>
      </c>
      <c r="AR65" s="26">
        <f t="shared" si="570"/>
        <v>0</v>
      </c>
      <c r="AS65" s="26">
        <f t="shared" si="570"/>
        <v>0</v>
      </c>
      <c r="AT65" s="26">
        <f t="shared" si="570"/>
        <v>0</v>
      </c>
      <c r="AU65" s="26">
        <f t="shared" si="570"/>
        <v>0</v>
      </c>
      <c r="AV65" s="26">
        <f t="shared" si="570"/>
        <v>0</v>
      </c>
      <c r="AW65" s="26">
        <f t="shared" si="570"/>
        <v>0</v>
      </c>
      <c r="AX65" s="26">
        <f t="shared" si="570"/>
        <v>0</v>
      </c>
      <c r="AY65" s="26">
        <f t="shared" si="570"/>
        <v>0</v>
      </c>
      <c r="AZ65" s="26">
        <f t="shared" si="570"/>
        <v>0</v>
      </c>
      <c r="BA65" s="26">
        <f t="shared" si="570"/>
        <v>0</v>
      </c>
      <c r="BB65" s="26">
        <f t="shared" si="570"/>
        <v>0</v>
      </c>
      <c r="BC65" s="26">
        <f t="shared" si="570"/>
        <v>0</v>
      </c>
      <c r="BD65" s="26">
        <f t="shared" si="570"/>
        <v>0</v>
      </c>
      <c r="BE65" s="26">
        <f t="shared" si="570"/>
        <v>0</v>
      </c>
      <c r="BF65" s="26">
        <f t="shared" si="570"/>
        <v>188.94300000000015</v>
      </c>
      <c r="BG65" s="26">
        <f t="shared" si="570"/>
        <v>80.451999999999856</v>
      </c>
      <c r="BH65" s="26">
        <f t="shared" si="570"/>
        <v>92.545999999999992</v>
      </c>
      <c r="BI65" s="26">
        <f t="shared" si="570"/>
        <v>191.74300000000011</v>
      </c>
      <c r="BJ65" s="26">
        <f t="shared" si="570"/>
        <v>137.89100000000022</v>
      </c>
      <c r="BK65" s="26">
        <f t="shared" si="570"/>
        <v>135.05399999999992</v>
      </c>
      <c r="BL65" s="26">
        <f t="shared" si="570"/>
        <v>195.41200000000018</v>
      </c>
      <c r="BM65" s="26">
        <f t="shared" si="570"/>
        <v>221.63099999999991</v>
      </c>
      <c r="BN65" s="26">
        <f t="shared" si="570"/>
        <v>220.92899999999975</v>
      </c>
      <c r="BO65" s="26">
        <f t="shared" si="570"/>
        <v>109.00500000000001</v>
      </c>
      <c r="BP65" s="26">
        <f t="shared" si="570"/>
        <v>221.81299999999987</v>
      </c>
      <c r="BQ65" s="26">
        <f t="shared" si="570"/>
        <v>244.5300000000002</v>
      </c>
      <c r="BR65" s="26">
        <f t="shared" si="570"/>
        <v>270.35699999999997</v>
      </c>
      <c r="BS65" s="26">
        <f t="shared" si="570"/>
        <v>75.855999999999938</v>
      </c>
      <c r="BT65" s="26">
        <f t="shared" si="570"/>
        <v>198.11199999999985</v>
      </c>
      <c r="BU65" s="26">
        <f t="shared" si="570"/>
        <v>248.10700000000008</v>
      </c>
      <c r="BV65" s="26">
        <f t="shared" si="570"/>
        <v>325.70999999999992</v>
      </c>
      <c r="BW65" s="26">
        <f t="shared" si="570"/>
        <v>223.82499999999982</v>
      </c>
      <c r="BX65" s="26">
        <f t="shared" si="570"/>
        <v>271.43300000000033</v>
      </c>
      <c r="BY65" s="26">
        <f t="shared" si="570"/>
        <v>361.87599999999964</v>
      </c>
      <c r="BZ65" s="26">
        <f t="shared" si="570"/>
        <v>435.07299999999964</v>
      </c>
      <c r="CA65" s="26">
        <f t="shared" si="570"/>
        <v>403.16200000000009</v>
      </c>
      <c r="CB65" s="26">
        <f t="shared" si="570"/>
        <v>429.76699999999994</v>
      </c>
      <c r="CC65" s="26">
        <f t="shared" si="570"/>
        <v>416.51099999999997</v>
      </c>
      <c r="CD65" s="26">
        <f t="shared" si="570"/>
        <v>553.47700000000043</v>
      </c>
      <c r="CE65" s="26">
        <f t="shared" ref="CE65:CF65" si="571">CE62-CE63</f>
        <v>401.6189999999998</v>
      </c>
      <c r="CF65" s="26">
        <f t="shared" si="571"/>
        <v>445.2079999999994</v>
      </c>
      <c r="CG65" s="26">
        <f t="shared" ref="CG65:CH65" si="572">CG62-CG63</f>
        <v>464.34799999999984</v>
      </c>
      <c r="CH65" s="26">
        <f t="shared" si="572"/>
        <v>734.36200000000008</v>
      </c>
      <c r="CI65" s="26">
        <f t="shared" ref="CI65:CJ65" si="573">CI62-CI63</f>
        <v>599.69599999999991</v>
      </c>
      <c r="CJ65" s="26">
        <f t="shared" si="573"/>
        <v>692.95899999999983</v>
      </c>
      <c r="CK65" s="26">
        <f t="shared" ref="CK65:CL65" si="574">CK62-CK63</f>
        <v>630.16799999999921</v>
      </c>
      <c r="CL65" s="26">
        <f t="shared" si="574"/>
        <v>785.60400000000027</v>
      </c>
      <c r="CM65" s="27">
        <f t="shared" ref="CM65:DB65" si="575">CM62-CM63</f>
        <v>662.88505874377086</v>
      </c>
      <c r="CN65" s="27">
        <f t="shared" si="575"/>
        <v>736.34296092260399</v>
      </c>
      <c r="CO65" s="27">
        <f t="shared" si="575"/>
        <v>848.82955073197525</v>
      </c>
      <c r="CP65" s="27">
        <f t="shared" si="575"/>
        <v>993.58922241258483</v>
      </c>
      <c r="CQ65" s="27">
        <f t="shared" si="575"/>
        <v>782.72502689792782</v>
      </c>
      <c r="CR65" s="27">
        <f t="shared" si="575"/>
        <v>837.7568172337858</v>
      </c>
      <c r="CS65" s="27">
        <f t="shared" si="575"/>
        <v>994.97629506095859</v>
      </c>
      <c r="CT65" s="27">
        <f t="shared" si="575"/>
        <v>1143.5149978628203</v>
      </c>
      <c r="CU65" s="27">
        <f t="shared" si="575"/>
        <v>891.35449596318188</v>
      </c>
      <c r="CV65" s="27">
        <f t="shared" si="575"/>
        <v>965.79947530513118</v>
      </c>
      <c r="CW65" s="27">
        <f t="shared" si="575"/>
        <v>1163.5286363665321</v>
      </c>
      <c r="CX65" s="27">
        <f t="shared" si="575"/>
        <v>1346.8016515106776</v>
      </c>
      <c r="CY65" s="27">
        <f t="shared" si="575"/>
        <v>1025.0869469814538</v>
      </c>
      <c r="CZ65" s="27">
        <f t="shared" si="575"/>
        <v>1112.7045630520204</v>
      </c>
      <c r="DA65" s="27">
        <f t="shared" si="575"/>
        <v>1339.8501212378292</v>
      </c>
      <c r="DB65" s="27">
        <f t="shared" si="575"/>
        <v>1543.0760743793171</v>
      </c>
      <c r="DE65" s="121"/>
      <c r="DF65" s="26">
        <v>826.95664459443174</v>
      </c>
    </row>
    <row r="66" spans="1:110" s="45" customFormat="1" x14ac:dyDescent="0.2">
      <c r="A66" s="45" t="s">
        <v>107</v>
      </c>
      <c r="B66" s="45" t="e">
        <f t="shared" ref="B66:E66" si="576">+B65/B34</f>
        <v>#DIV/0!</v>
      </c>
      <c r="C66" s="45" t="e">
        <f t="shared" si="576"/>
        <v>#DIV/0!</v>
      </c>
      <c r="D66" s="45" t="e">
        <f t="shared" si="576"/>
        <v>#DIV/0!</v>
      </c>
      <c r="E66" s="45" t="e">
        <f t="shared" si="576"/>
        <v>#DIV/0!</v>
      </c>
      <c r="F66" s="45" t="e">
        <f t="shared" ref="F66:AE66" si="577">+F65/F34</f>
        <v>#DIV/0!</v>
      </c>
      <c r="G66" s="45" t="e">
        <f t="shared" si="577"/>
        <v>#DIV/0!</v>
      </c>
      <c r="H66" s="45" t="e">
        <f t="shared" si="577"/>
        <v>#DIV/0!</v>
      </c>
      <c r="I66" s="45">
        <f t="shared" si="577"/>
        <v>7.1934214311206973E-2</v>
      </c>
      <c r="J66" s="45">
        <f t="shared" si="577"/>
        <v>2.893711822743809E-2</v>
      </c>
      <c r="K66" s="45">
        <f t="shared" si="577"/>
        <v>4.5330164218356124E-2</v>
      </c>
      <c r="L66" s="45" t="e">
        <f t="shared" si="577"/>
        <v>#DIV/0!</v>
      </c>
      <c r="M66" s="45">
        <f t="shared" si="577"/>
        <v>8.8031134687079245E-3</v>
      </c>
      <c r="N66" s="45">
        <f t="shared" si="577"/>
        <v>2.0672552267485128E-2</v>
      </c>
      <c r="O66" s="45">
        <f t="shared" si="577"/>
        <v>2.4266861826636982E-2</v>
      </c>
      <c r="P66" s="45">
        <f t="shared" si="577"/>
        <v>3.4052899291351475E-2</v>
      </c>
      <c r="Q66" s="45">
        <f t="shared" si="577"/>
        <v>3.6237933381275234E-2</v>
      </c>
      <c r="R66" s="45">
        <f t="shared" si="577"/>
        <v>4.2376553080598213E-2</v>
      </c>
      <c r="S66" s="45">
        <f t="shared" si="577"/>
        <v>5.2945325210607158E-2</v>
      </c>
      <c r="T66" s="45">
        <f t="shared" si="577"/>
        <v>6.2942674470092982E-2</v>
      </c>
      <c r="U66" s="45">
        <f t="shared" si="577"/>
        <v>8.7545859520235261E-2</v>
      </c>
      <c r="V66" s="45">
        <f t="shared" si="577"/>
        <v>9.5679095893034707E-2</v>
      </c>
      <c r="W66" s="45">
        <f t="shared" si="577"/>
        <v>6.946923985155079E-2</v>
      </c>
      <c r="X66" s="45">
        <f t="shared" si="577"/>
        <v>9.1605425035749879E-2</v>
      </c>
      <c r="Y66" s="45">
        <f t="shared" si="577"/>
        <v>9.9943047025174453E-2</v>
      </c>
      <c r="Z66" s="45">
        <f t="shared" ref="Z66:AA66" si="578">+Z65/Z34</f>
        <v>9.1284738837769719E-2</v>
      </c>
      <c r="AA66" s="45">
        <f t="shared" si="578"/>
        <v>9.3769786183199255E-2</v>
      </c>
      <c r="AB66" s="48">
        <f t="shared" si="577"/>
        <v>9.0793368492492491E-2</v>
      </c>
      <c r="AC66" s="48">
        <f t="shared" si="577"/>
        <v>8.8326367254285304E-2</v>
      </c>
      <c r="AD66" s="48">
        <f t="shared" si="577"/>
        <v>8.962528376788749E-2</v>
      </c>
      <c r="AE66" s="48">
        <f t="shared" si="577"/>
        <v>8.9959837075753057E-2</v>
      </c>
      <c r="AI66" s="45" t="e">
        <f t="shared" ref="AI66:BN66" si="579">+AI65/AI34</f>
        <v>#DIV/0!</v>
      </c>
      <c r="AJ66" s="45" t="e">
        <f t="shared" si="579"/>
        <v>#DIV/0!</v>
      </c>
      <c r="AK66" s="45" t="e">
        <f t="shared" si="579"/>
        <v>#DIV/0!</v>
      </c>
      <c r="AL66" s="45" t="e">
        <f t="shared" si="579"/>
        <v>#DIV/0!</v>
      </c>
      <c r="AM66" s="45" t="e">
        <f t="shared" si="579"/>
        <v>#DIV/0!</v>
      </c>
      <c r="AN66" s="45" t="e">
        <f t="shared" si="579"/>
        <v>#DIV/0!</v>
      </c>
      <c r="AO66" s="45" t="e">
        <f t="shared" si="579"/>
        <v>#DIV/0!</v>
      </c>
      <c r="AP66" s="45" t="e">
        <f t="shared" si="579"/>
        <v>#DIV/0!</v>
      </c>
      <c r="AQ66" s="45" t="e">
        <f t="shared" si="579"/>
        <v>#DIV/0!</v>
      </c>
      <c r="AR66" s="45" t="e">
        <f t="shared" si="579"/>
        <v>#DIV/0!</v>
      </c>
      <c r="AS66" s="45" t="e">
        <f t="shared" si="579"/>
        <v>#DIV/0!</v>
      </c>
      <c r="AT66" s="45" t="e">
        <f t="shared" si="579"/>
        <v>#DIV/0!</v>
      </c>
      <c r="AU66" s="45" t="e">
        <f t="shared" si="579"/>
        <v>#DIV/0!</v>
      </c>
      <c r="AV66" s="45" t="e">
        <f t="shared" si="579"/>
        <v>#DIV/0!</v>
      </c>
      <c r="AW66" s="45" t="e">
        <f t="shared" si="579"/>
        <v>#DIV/0!</v>
      </c>
      <c r="AX66" s="45" t="e">
        <f t="shared" si="579"/>
        <v>#DIV/0!</v>
      </c>
      <c r="AY66" s="45" t="e">
        <f t="shared" si="579"/>
        <v>#DIV/0!</v>
      </c>
      <c r="AZ66" s="45" t="e">
        <f t="shared" si="579"/>
        <v>#DIV/0!</v>
      </c>
      <c r="BA66" s="45" t="e">
        <f t="shared" si="579"/>
        <v>#DIV/0!</v>
      </c>
      <c r="BB66" s="45" t="e">
        <f t="shared" si="579"/>
        <v>#DIV/0!</v>
      </c>
      <c r="BC66" s="45" t="e">
        <f t="shared" si="579"/>
        <v>#DIV/0!</v>
      </c>
      <c r="BD66" s="45" t="e">
        <f t="shared" si="579"/>
        <v>#DIV/0!</v>
      </c>
      <c r="BE66" s="45" t="e">
        <f t="shared" si="579"/>
        <v>#DIV/0!</v>
      </c>
      <c r="BF66" s="45">
        <f t="shared" si="579"/>
        <v>8.9536006702536169E-2</v>
      </c>
      <c r="BG66" s="45">
        <f t="shared" si="579"/>
        <v>4.7812790093697578E-2</v>
      </c>
      <c r="BH66" s="45">
        <f t="shared" si="579"/>
        <v>5.1078038805533549E-2</v>
      </c>
      <c r="BI66" s="45">
        <f t="shared" si="579"/>
        <v>9.4695476872717774E-2</v>
      </c>
      <c r="BJ66" s="45">
        <f t="shared" si="579"/>
        <v>5.5970365836283995E-2</v>
      </c>
      <c r="BK66" s="45">
        <f t="shared" si="579"/>
        <v>6.9211468725849684E-2</v>
      </c>
      <c r="BL66" s="45">
        <f t="shared" si="579"/>
        <v>8.7161894838539672E-2</v>
      </c>
      <c r="BM66" s="45">
        <f t="shared" si="579"/>
        <v>8.8394041894351169E-2</v>
      </c>
      <c r="BN66" s="45">
        <f t="shared" si="579"/>
        <v>0.10375268681367954</v>
      </c>
      <c r="BO66" s="45">
        <f t="shared" ref="BO66:CT66" si="580">+BO65/BO34</f>
        <v>0.1116174053727492</v>
      </c>
      <c r="BP66" s="45">
        <f t="shared" si="580"/>
        <v>0.10494151911214643</v>
      </c>
      <c r="BQ66" s="45">
        <f t="shared" si="580"/>
        <v>8.9038502151955037E-2</v>
      </c>
      <c r="BR66" s="45">
        <f t="shared" si="580"/>
        <v>9.1872509337383057E-2</v>
      </c>
      <c r="BS66" s="45">
        <f t="shared" si="580"/>
        <v>4.0887696822169528E-2</v>
      </c>
      <c r="BT66" s="45">
        <f t="shared" si="580"/>
        <v>6.5893356349709178E-2</v>
      </c>
      <c r="BU66" s="45">
        <f t="shared" si="580"/>
        <v>7.357867565679202E-2</v>
      </c>
      <c r="BV66" s="45">
        <f t="shared" si="580"/>
        <v>8.2043193142941187E-2</v>
      </c>
      <c r="BW66" s="45">
        <f t="shared" si="580"/>
        <v>8.1790731930670491E-2</v>
      </c>
      <c r="BX66" s="45">
        <f t="shared" si="580"/>
        <v>8.145373336238193E-2</v>
      </c>
      <c r="BY66" s="45">
        <f t="shared" si="580"/>
        <v>9.740464935499786E-2</v>
      </c>
      <c r="BZ66" s="45">
        <f t="shared" si="580"/>
        <v>0.1006256011949077</v>
      </c>
      <c r="CA66" s="45">
        <f t="shared" si="580"/>
        <v>0.10365708485306922</v>
      </c>
      <c r="CB66" s="45">
        <f t="shared" si="580"/>
        <v>0.10189612957023701</v>
      </c>
      <c r="CC66" s="45">
        <f t="shared" si="580"/>
        <v>9.5959884528633979E-2</v>
      </c>
      <c r="CD66" s="45">
        <f t="shared" si="580"/>
        <v>9.8978432177285233E-2</v>
      </c>
      <c r="CE66" s="45">
        <f t="shared" si="580"/>
        <v>8.5486682715946866E-2</v>
      </c>
      <c r="CF66" s="45">
        <f t="shared" si="580"/>
        <v>8.0970125434147097E-2</v>
      </c>
      <c r="CG66" s="45">
        <f t="shared" si="580"/>
        <v>8.8852371058743634E-2</v>
      </c>
      <c r="CH66" s="45">
        <f t="shared" si="580"/>
        <v>0.10512213493719688</v>
      </c>
      <c r="CI66" s="45">
        <f t="shared" ref="CI66:CJ66" si="581">+CI65/CI34</f>
        <v>0.10154054130934496</v>
      </c>
      <c r="CJ66" s="45">
        <f t="shared" si="581"/>
        <v>0.10698416339995714</v>
      </c>
      <c r="CK66" s="45">
        <f t="shared" ref="CK66:CL66" si="582">+CK65/CK34</f>
        <v>8.2524546471719598E-2</v>
      </c>
      <c r="CL66" s="45">
        <f t="shared" si="582"/>
        <v>8.8623840977871585E-2</v>
      </c>
      <c r="CM66" s="48">
        <f t="shared" si="580"/>
        <v>9.0287919771167041E-2</v>
      </c>
      <c r="CN66" s="48">
        <f t="shared" si="580"/>
        <v>9.2390186538216484E-2</v>
      </c>
      <c r="CO66" s="48">
        <f t="shared" si="580"/>
        <v>8.9517746231273801E-2</v>
      </c>
      <c r="CP66" s="48">
        <f t="shared" si="580"/>
        <v>9.1075710005955338E-2</v>
      </c>
      <c r="CQ66" s="48">
        <f t="shared" si="580"/>
        <v>8.840794489216959E-2</v>
      </c>
      <c r="CR66" s="48">
        <f t="shared" si="580"/>
        <v>8.7830162019549254E-2</v>
      </c>
      <c r="CS66" s="48">
        <f t="shared" si="580"/>
        <v>8.8159273284204392E-2</v>
      </c>
      <c r="CT66" s="48">
        <f t="shared" si="580"/>
        <v>8.8784186465100987E-2</v>
      </c>
      <c r="CU66" s="48">
        <f t="shared" ref="CU66:DB66" si="583">+CU65/CU34</f>
        <v>8.7924161486677255E-2</v>
      </c>
      <c r="CV66" s="48">
        <f t="shared" si="583"/>
        <v>8.8439257906032381E-2</v>
      </c>
      <c r="CW66" s="48">
        <f t="shared" si="583"/>
        <v>9.0000182712308321E-2</v>
      </c>
      <c r="CX66" s="48">
        <f t="shared" si="583"/>
        <v>9.1344663488785671E-2</v>
      </c>
      <c r="CY66" s="48">
        <f t="shared" si="583"/>
        <v>8.8288931007392948E-2</v>
      </c>
      <c r="CZ66" s="48">
        <f t="shared" si="583"/>
        <v>8.8975907180403505E-2</v>
      </c>
      <c r="DA66" s="48">
        <f t="shared" si="583"/>
        <v>9.0458055260350279E-2</v>
      </c>
      <c r="DB66" s="48">
        <f t="shared" si="583"/>
        <v>9.1400698405507755E-2</v>
      </c>
      <c r="DE66" s="129"/>
      <c r="DF66" s="45">
        <v>9.2400901434137137E-2</v>
      </c>
    </row>
    <row r="67" spans="1:110" s="39" customFormat="1" x14ac:dyDescent="0.2">
      <c r="A67" s="39" t="s">
        <v>451</v>
      </c>
      <c r="C67" s="39" t="e">
        <f t="shared" ref="C67:E67" si="584">+IF(B65&lt;0,1-C65/B65,C65/B65-1)</f>
        <v>#DIV/0!</v>
      </c>
      <c r="D67" s="39" t="e">
        <f t="shared" si="584"/>
        <v>#DIV/0!</v>
      </c>
      <c r="E67" s="39" t="e">
        <f t="shared" si="584"/>
        <v>#DIV/0!</v>
      </c>
      <c r="F67" s="39" t="e">
        <f t="shared" ref="F67:AE67" si="585">+IF(E65&lt;0,1-F65/E65,F65/E65-1)</f>
        <v>#DIV/0!</v>
      </c>
      <c r="G67" s="39" t="e">
        <f t="shared" si="585"/>
        <v>#DIV/0!</v>
      </c>
      <c r="H67" s="39" t="e">
        <f t="shared" si="585"/>
        <v>#DIV/0!</v>
      </c>
      <c r="I67" s="39" t="e">
        <f t="shared" si="585"/>
        <v>#DIV/0!</v>
      </c>
      <c r="J67" s="39">
        <f t="shared" si="585"/>
        <v>-0.57820992250476821</v>
      </c>
      <c r="K67" s="39">
        <f t="shared" si="585"/>
        <v>0.75820074243790447</v>
      </c>
      <c r="L67" s="39">
        <f t="shared" si="585"/>
        <v>-1</v>
      </c>
      <c r="M67" s="39" t="e">
        <f t="shared" si="585"/>
        <v>#DIV/0!</v>
      </c>
      <c r="N67" s="39">
        <f t="shared" si="585"/>
        <v>1.3134157715798733</v>
      </c>
      <c r="O67" s="39">
        <f t="shared" si="585"/>
        <v>0.2126386703255323</v>
      </c>
      <c r="P67" s="39">
        <f t="shared" si="585"/>
        <v>0.71946890316491974</v>
      </c>
      <c r="Q67" s="39">
        <f t="shared" si="585"/>
        <v>0.17236862622796911</v>
      </c>
      <c r="R67" s="39">
        <f t="shared" si="585"/>
        <v>0.24002979357310505</v>
      </c>
      <c r="S67" s="39">
        <f t="shared" si="585"/>
        <v>0.53793612383942935</v>
      </c>
      <c r="T67" s="39">
        <f t="shared" si="585"/>
        <v>0.40221393978619502</v>
      </c>
      <c r="U67" s="39">
        <f t="shared" si="585"/>
        <v>0.53795619857072174</v>
      </c>
      <c r="V67" s="39">
        <f t="shared" si="585"/>
        <v>8.823377221464912E-2</v>
      </c>
      <c r="W67" s="39">
        <f t="shared" si="585"/>
        <v>7.7897562268731679E-3</v>
      </c>
      <c r="X67" s="39">
        <f t="shared" si="585"/>
        <v>0.52438115279091546</v>
      </c>
      <c r="Y67" s="39">
        <f t="shared" si="585"/>
        <v>0.39506975282992385</v>
      </c>
      <c r="Z67" s="39">
        <f t="shared" ref="Z67:AA67" si="586">+IF(Y65&lt;0,1-Z65/Y65,Z65/Y65-1)</f>
        <v>0.13457080941607336</v>
      </c>
      <c r="AA67" s="39">
        <f t="shared" si="586"/>
        <v>0.32406649207518701</v>
      </c>
      <c r="AB67" s="40">
        <f t="shared" si="585"/>
        <v>0.19687434544513671</v>
      </c>
      <c r="AC67" s="40">
        <f t="shared" si="585"/>
        <v>0.15958751132042992</v>
      </c>
      <c r="AD67" s="40">
        <f t="shared" si="585"/>
        <v>0.16188227473386396</v>
      </c>
      <c r="AE67" s="40">
        <f t="shared" si="585"/>
        <v>0.14956744151675516</v>
      </c>
      <c r="AM67" s="39" t="e">
        <f>+IF(AI65&lt;0,1-AM65/AI65,AM65/AI65-1)</f>
        <v>#DIV/0!</v>
      </c>
      <c r="AN67" s="39" t="e">
        <f t="shared" ref="AN67" si="587">+IF(AJ65&lt;0,1-AN65/AJ65,AN65/AJ65-1)</f>
        <v>#DIV/0!</v>
      </c>
      <c r="AO67" s="39" t="e">
        <f t="shared" ref="AO67" si="588">+IF(AK65&lt;0,1-AO65/AK65,AO65/AK65-1)</f>
        <v>#DIV/0!</v>
      </c>
      <c r="AP67" s="39" t="e">
        <f t="shared" ref="AP67" si="589">+IF(AL65&lt;0,1-AP65/AL65,AP65/AL65-1)</f>
        <v>#DIV/0!</v>
      </c>
      <c r="AQ67" s="39" t="e">
        <f t="shared" ref="AQ67" si="590">+IF(AM65&lt;0,1-AQ65/AM65,AQ65/AM65-1)</f>
        <v>#DIV/0!</v>
      </c>
      <c r="AR67" s="39" t="e">
        <f t="shared" ref="AR67" si="591">+IF(AN65&lt;0,1-AR65/AN65,AR65/AN65-1)</f>
        <v>#DIV/0!</v>
      </c>
      <c r="AS67" s="39" t="e">
        <f t="shared" ref="AS67" si="592">+IF(AO65&lt;0,1-AS65/AO65,AS65/AO65-1)</f>
        <v>#DIV/0!</v>
      </c>
      <c r="AT67" s="39" t="e">
        <f t="shared" ref="AT67" si="593">+IF(AP65&lt;0,1-AT65/AP65,AT65/AP65-1)</f>
        <v>#DIV/0!</v>
      </c>
      <c r="AU67" s="39" t="e">
        <f t="shared" ref="AU67" si="594">+IF(AQ65&lt;0,1-AU65/AQ65,AU65/AQ65-1)</f>
        <v>#DIV/0!</v>
      </c>
      <c r="AV67" s="39" t="e">
        <f t="shared" ref="AV67" si="595">+IF(AR65&lt;0,1-AV65/AR65,AV65/AR65-1)</f>
        <v>#DIV/0!</v>
      </c>
      <c r="AW67" s="39" t="e">
        <f t="shared" ref="AW67" si="596">+IF(AS65&lt;0,1-AW65/AS65,AW65/AS65-1)</f>
        <v>#DIV/0!</v>
      </c>
      <c r="AX67" s="39" t="e">
        <f t="shared" ref="AX67" si="597">+IF(AT65&lt;0,1-AX65/AT65,AX65/AT65-1)</f>
        <v>#DIV/0!</v>
      </c>
      <c r="AY67" s="39" t="e">
        <f t="shared" ref="AY67" si="598">+IF(AU65&lt;0,1-AY65/AU65,AY65/AU65-1)</f>
        <v>#DIV/0!</v>
      </c>
      <c r="AZ67" s="39" t="e">
        <f t="shared" ref="AZ67" si="599">+IF(AV65&lt;0,1-AZ65/AV65,AZ65/AV65-1)</f>
        <v>#DIV/0!</v>
      </c>
      <c r="BA67" s="39" t="e">
        <f t="shared" ref="BA67" si="600">+IF(AW65&lt;0,1-BA65/AW65,BA65/AW65-1)</f>
        <v>#DIV/0!</v>
      </c>
      <c r="BB67" s="39" t="e">
        <f t="shared" ref="BB67" si="601">+IF(AX65&lt;0,1-BB65/AX65,BB65/AX65-1)</f>
        <v>#DIV/0!</v>
      </c>
      <c r="BC67" s="39" t="e">
        <f t="shared" ref="BC67" si="602">+IF(AY65&lt;0,1-BC65/AY65,BC65/AY65-1)</f>
        <v>#DIV/0!</v>
      </c>
      <c r="BD67" s="39" t="e">
        <f t="shared" ref="BD67" si="603">+IF(AZ65&lt;0,1-BD65/AZ65,BD65/AZ65-1)</f>
        <v>#DIV/0!</v>
      </c>
      <c r="BE67" s="39" t="e">
        <f t="shared" ref="BE67" si="604">+IF(BA65&lt;0,1-BE65/BA65,BE65/BA65-1)</f>
        <v>#DIV/0!</v>
      </c>
      <c r="BF67" s="39" t="e">
        <f t="shared" ref="BF67" si="605">+IF(BB65&lt;0,1-BF65/BB65,BF65/BB65-1)</f>
        <v>#DIV/0!</v>
      </c>
      <c r="BG67" s="39" t="e">
        <f t="shared" ref="BG67" si="606">+IF(BC65&lt;0,1-BG65/BC65,BG65/BC65-1)</f>
        <v>#DIV/0!</v>
      </c>
      <c r="BH67" s="39" t="e">
        <f t="shared" ref="BH67" si="607">+IF(BD65&lt;0,1-BH65/BD65,BH65/BD65-1)</f>
        <v>#DIV/0!</v>
      </c>
      <c r="BI67" s="39" t="e">
        <f t="shared" ref="BI67" si="608">+IF(BE65&lt;0,1-BI65/BE65,BI65/BE65-1)</f>
        <v>#DIV/0!</v>
      </c>
      <c r="BJ67" s="39">
        <f t="shared" ref="BJ67" si="609">+IF(BF65&lt;0,1-BJ65/BF65,BJ65/BF65-1)</f>
        <v>-0.27019789036905251</v>
      </c>
      <c r="BK67" s="39">
        <f t="shared" ref="BK67" si="610">+IF(BG65&lt;0,1-BK65/BG65,BK65/BG65-1)</f>
        <v>0.67869039924427188</v>
      </c>
      <c r="BL67" s="39">
        <f t="shared" ref="BL67" si="611">+IF(BH65&lt;0,1-BL65/BH65,BL65/BH65-1)</f>
        <v>1.1115121128952108</v>
      </c>
      <c r="BM67" s="39">
        <f t="shared" ref="BM67" si="612">+IF(BI65&lt;0,1-BM65/BI65,BM65/BI65-1)</f>
        <v>0.15587531226693963</v>
      </c>
      <c r="BN67" s="39">
        <f t="shared" ref="BN67" si="613">+IF(BJ65&lt;0,1-BN65/BJ65,BN65/BJ65-1)</f>
        <v>0.60220028863377162</v>
      </c>
      <c r="BO67" s="39">
        <f t="shared" ref="BO67" si="614">+IF(BK65&lt;0,1-BO65/BK65,BO65/BK65-1)</f>
        <v>-0.19287840419387747</v>
      </c>
      <c r="BP67" s="39">
        <f t="shared" ref="BP67" si="615">+IF(BL65&lt;0,1-BP65/BL65,BP65/BL65-1)</f>
        <v>0.13510429246924271</v>
      </c>
      <c r="BQ67" s="39">
        <f t="shared" ref="BQ67" si="616">+IF(BM65&lt;0,1-BQ65/BM65,BQ65/BM65-1)</f>
        <v>0.10332038388131748</v>
      </c>
      <c r="BR67" s="39">
        <f t="shared" ref="BR67" si="617">+IF(BN65&lt;0,1-BR65/BN65,BR65/BN65-1)</f>
        <v>0.22372798500875968</v>
      </c>
      <c r="BS67" s="39">
        <f t="shared" ref="BS67" si="618">+IF(BO65&lt;0,1-BS65/BO65,BS65/BO65-1)</f>
        <v>-0.30410531626989656</v>
      </c>
      <c r="BT67" s="39">
        <f t="shared" ref="BT67" si="619">+IF(BP65&lt;0,1-BT65/BP65,BT65/BP65-1)</f>
        <v>-0.10685126660745781</v>
      </c>
      <c r="BU67" s="39">
        <f t="shared" ref="BU67" si="620">+IF(BQ65&lt;0,1-BU65/BQ65,BU65/BQ65-1)</f>
        <v>1.4628061996482478E-2</v>
      </c>
      <c r="BV67" s="39">
        <f t="shared" ref="BV67" si="621">+IF(BR65&lt;0,1-BV65/BR65,BV65/BR65-1)</f>
        <v>0.20474039880602302</v>
      </c>
      <c r="BW67" s="39">
        <f t="shared" ref="BW67" si="622">+IF(BS65&lt;0,1-BW65/BS65,BW65/BS65-1)</f>
        <v>1.9506565070660198</v>
      </c>
      <c r="BX67" s="39">
        <f t="shared" ref="BX67" si="623">+IF(BT65&lt;0,1-BX65/BT65,BX65/BT65-1)</f>
        <v>0.37009873203036947</v>
      </c>
      <c r="BY67" s="39">
        <f t="shared" ref="BY67" si="624">+IF(BU65&lt;0,1-BY65/BU65,BY65/BU65-1)</f>
        <v>0.45854812641319875</v>
      </c>
      <c r="BZ67" s="39">
        <f t="shared" ref="BZ67" si="625">+IF(BV65&lt;0,1-BZ65/BV65,BZ65/BV65-1)</f>
        <v>0.33576801449141791</v>
      </c>
      <c r="CA67" s="39">
        <f t="shared" ref="CA67" si="626">+IF(BW65&lt;0,1-CA65/BW65,CA65/BW65-1)</f>
        <v>0.80123757399754458</v>
      </c>
      <c r="CB67" s="39">
        <f t="shared" ref="CB67" si="627">+IF(BX65&lt;0,1-CB65/BX65,CB65/BX65-1)</f>
        <v>0.58332627204503296</v>
      </c>
      <c r="CC67" s="39">
        <f t="shared" ref="CC67" si="628">+IF(BY65&lt;0,1-CC65/BY65,CC65/BY65-1)</f>
        <v>0.15097713028772386</v>
      </c>
      <c r="CD67" s="39">
        <f t="shared" ref="CD67" si="629">+IF(BZ65&lt;0,1-CD65/BZ65,CD65/BZ65-1)</f>
        <v>0.272147432729682</v>
      </c>
      <c r="CE67" s="39">
        <f t="shared" ref="CE67" si="630">+IF(CA65&lt;0,1-CE65/CA65,CE65/CA65-1)</f>
        <v>-3.82724562334813E-3</v>
      </c>
      <c r="CF67" s="39">
        <f t="shared" ref="CF67" si="631">+IF(CB65&lt;0,1-CF65/CB65,CF65/CB65-1)</f>
        <v>3.592877070598588E-2</v>
      </c>
      <c r="CG67" s="39">
        <f t="shared" ref="CG67" si="632">+IF(CC65&lt;0,1-CG65/CC65,CG65/CC65-1)</f>
        <v>0.11485170859833205</v>
      </c>
      <c r="CH67" s="39">
        <f t="shared" ref="CH67:CL67" si="633">+IF(CD65&lt;0,1-CH65/CD65,CH65/CD65-1)</f>
        <v>0.32681574844121708</v>
      </c>
      <c r="CI67" s="39">
        <f t="shared" si="633"/>
        <v>0.49319628802422244</v>
      </c>
      <c r="CJ67" s="39">
        <f t="shared" si="633"/>
        <v>0.5564837109845302</v>
      </c>
      <c r="CK67" s="39">
        <f t="shared" si="633"/>
        <v>0.35710286250828993</v>
      </c>
      <c r="CL67" s="39">
        <f t="shared" si="633"/>
        <v>6.9777575637083977E-2</v>
      </c>
      <c r="CM67" s="40">
        <f t="shared" ref="CM67" si="634">+CM65/CI65-1</f>
        <v>0.10536848460515147</v>
      </c>
      <c r="CN67" s="40">
        <f t="shared" ref="CN67" si="635">+CN65/CJ65-1</f>
        <v>6.2606822225563352E-2</v>
      </c>
      <c r="CO67" s="40">
        <f t="shared" ref="CO67" si="636">+CO65/CK65-1</f>
        <v>0.34698929607973805</v>
      </c>
      <c r="CP67" s="40">
        <f t="shared" ref="CP67" si="637">+CP65/CL65-1</f>
        <v>0.26474562554745718</v>
      </c>
      <c r="CQ67" s="40">
        <f t="shared" ref="CQ67" si="638">+CQ65/CM65-1</f>
        <v>0.18078544171936062</v>
      </c>
      <c r="CR67" s="40">
        <f t="shared" ref="CR67" si="639">+CR65/CN65-1</f>
        <v>0.13772638796480763</v>
      </c>
      <c r="CS67" s="40">
        <f t="shared" ref="CS67" si="640">+CS65/CO65-1</f>
        <v>0.17217443031166368</v>
      </c>
      <c r="CT67" s="40">
        <f t="shared" ref="CT67" si="641">+CT65/CP65-1</f>
        <v>0.1508931176670707</v>
      </c>
      <c r="CU67" s="40">
        <f t="shared" ref="CU67" si="642">+CU65/CQ65-1</f>
        <v>0.13878369201476937</v>
      </c>
      <c r="CV67" s="40">
        <f t="shared" ref="CV67" si="643">+CV65/CR65-1</f>
        <v>0.15283988794520731</v>
      </c>
      <c r="CW67" s="40">
        <f t="shared" ref="CW67" si="644">+CW65/CS65-1</f>
        <v>0.16940337387158233</v>
      </c>
      <c r="CX67" s="40">
        <f t="shared" ref="CX67" si="645">+CX65/CT65-1</f>
        <v>0.17777349140832532</v>
      </c>
      <c r="CY67" s="40">
        <f t="shared" ref="CY67" si="646">+CY65/CU65-1</f>
        <v>0.15003284509578085</v>
      </c>
      <c r="CZ67" s="40">
        <f t="shared" ref="CZ67" si="647">+CZ65/CV65-1</f>
        <v>0.15210723499355439</v>
      </c>
      <c r="DA67" s="40">
        <f t="shared" ref="DA67" si="648">+DA65/CW65-1</f>
        <v>0.1515403053782276</v>
      </c>
      <c r="DB67" s="40">
        <f t="shared" ref="DB67" si="649">+DB65/CX65-1</f>
        <v>0.14573372600819345</v>
      </c>
      <c r="DE67" s="122"/>
      <c r="DF67" s="39">
        <v>0.12608855658984486</v>
      </c>
    </row>
    <row r="68" spans="1:110" s="39" customFormat="1" x14ac:dyDescent="0.2">
      <c r="A68" s="39" t="s">
        <v>452</v>
      </c>
      <c r="AB68" s="40"/>
      <c r="AC68" s="40"/>
      <c r="AD68" s="40"/>
      <c r="AE68" s="40"/>
      <c r="AJ68" s="39" t="e">
        <f>+IF(AI65&lt;0,1-AJ65/AI65,AJ65/AI65-1)</f>
        <v>#DIV/0!</v>
      </c>
      <c r="AK68" s="39" t="e">
        <f t="shared" ref="AK68:AM68" si="650">+IF(AJ65&lt;0,1-AK65/AJ65,AK65/AJ65-1)</f>
        <v>#DIV/0!</v>
      </c>
      <c r="AL68" s="39" t="e">
        <f t="shared" si="650"/>
        <v>#DIV/0!</v>
      </c>
      <c r="AM68" s="39" t="e">
        <f t="shared" si="650"/>
        <v>#DIV/0!</v>
      </c>
      <c r="AN68" s="39" t="e">
        <f t="shared" ref="AN68" si="651">+IF(AM65&lt;0,1-AN65/AM65,AN65/AM65-1)</f>
        <v>#DIV/0!</v>
      </c>
      <c r="AO68" s="39" t="e">
        <f t="shared" ref="AO68" si="652">+IF(AN65&lt;0,1-AO65/AN65,AO65/AN65-1)</f>
        <v>#DIV/0!</v>
      </c>
      <c r="AP68" s="39" t="e">
        <f t="shared" ref="AP68" si="653">+IF(AO65&lt;0,1-AP65/AO65,AP65/AO65-1)</f>
        <v>#DIV/0!</v>
      </c>
      <c r="AQ68" s="39" t="e">
        <f t="shared" ref="AQ68" si="654">+IF(AP65&lt;0,1-AQ65/AP65,AQ65/AP65-1)</f>
        <v>#DIV/0!</v>
      </c>
      <c r="AR68" s="39" t="e">
        <f t="shared" ref="AR68" si="655">+IF(AQ65&lt;0,1-AR65/AQ65,AR65/AQ65-1)</f>
        <v>#DIV/0!</v>
      </c>
      <c r="AS68" s="39" t="e">
        <f t="shared" ref="AS68" si="656">+IF(AR65&lt;0,1-AS65/AR65,AS65/AR65-1)</f>
        <v>#DIV/0!</v>
      </c>
      <c r="AT68" s="39" t="e">
        <f t="shared" ref="AT68" si="657">+IF(AS65&lt;0,1-AT65/AS65,AT65/AS65-1)</f>
        <v>#DIV/0!</v>
      </c>
      <c r="AU68" s="39" t="e">
        <f t="shared" ref="AU68" si="658">+IF(AT65&lt;0,1-AU65/AT65,AU65/AT65-1)</f>
        <v>#DIV/0!</v>
      </c>
      <c r="AV68" s="39" t="e">
        <f t="shared" ref="AV68" si="659">+IF(AU65&lt;0,1-AV65/AU65,AV65/AU65-1)</f>
        <v>#DIV/0!</v>
      </c>
      <c r="AW68" s="39" t="e">
        <f t="shared" ref="AW68" si="660">+IF(AV65&lt;0,1-AW65/AV65,AW65/AV65-1)</f>
        <v>#DIV/0!</v>
      </c>
      <c r="AX68" s="39" t="e">
        <f t="shared" ref="AX68" si="661">+IF(AW65&lt;0,1-AX65/AW65,AX65/AW65-1)</f>
        <v>#DIV/0!</v>
      </c>
      <c r="AY68" s="39" t="e">
        <f t="shared" ref="AY68" si="662">+IF(AX65&lt;0,1-AY65/AX65,AY65/AX65-1)</f>
        <v>#DIV/0!</v>
      </c>
      <c r="AZ68" s="39" t="e">
        <f t="shared" ref="AZ68" si="663">+IF(AY65&lt;0,1-AZ65/AY65,AZ65/AY65-1)</f>
        <v>#DIV/0!</v>
      </c>
      <c r="BA68" s="39" t="e">
        <f t="shared" ref="BA68" si="664">+IF(AZ65&lt;0,1-BA65/AZ65,BA65/AZ65-1)</f>
        <v>#DIV/0!</v>
      </c>
      <c r="BB68" s="39" t="e">
        <f t="shared" ref="BB68" si="665">+IF(BA65&lt;0,1-BB65/BA65,BB65/BA65-1)</f>
        <v>#DIV/0!</v>
      </c>
      <c r="BC68" s="39" t="e">
        <f t="shared" ref="BC68" si="666">+IF(BB65&lt;0,1-BC65/BB65,BC65/BB65-1)</f>
        <v>#DIV/0!</v>
      </c>
      <c r="BD68" s="39" t="e">
        <f t="shared" ref="BD68" si="667">+IF(BC65&lt;0,1-BD65/BC65,BD65/BC65-1)</f>
        <v>#DIV/0!</v>
      </c>
      <c r="BE68" s="39" t="e">
        <f t="shared" ref="BE68" si="668">+IF(BD65&lt;0,1-BE65/BD65,BE65/BD65-1)</f>
        <v>#DIV/0!</v>
      </c>
      <c r="BF68" s="39" t="e">
        <f t="shared" ref="BF68" si="669">+IF(BE65&lt;0,1-BF65/BE65,BF65/BE65-1)</f>
        <v>#DIV/0!</v>
      </c>
      <c r="BG68" s="39">
        <f t="shared" ref="BG68" si="670">+IF(BF65&lt;0,1-BG65/BF65,BG65/BF65-1)</f>
        <v>-0.57419962634233723</v>
      </c>
      <c r="BH68" s="39">
        <f t="shared" ref="BH68" si="671">+IF(BG65&lt;0,1-BH65/BG65,BH65/BG65-1)</f>
        <v>0.15032566002088399</v>
      </c>
      <c r="BI68" s="39">
        <f t="shared" ref="BI68" si="672">+IF(BH65&lt;0,1-BI65/BH65,BI65/BH65-1)</f>
        <v>1.0718669634560123</v>
      </c>
      <c r="BJ68" s="39">
        <f t="shared" ref="BJ68" si="673">+IF(BI65&lt;0,1-BJ65/BI65,BJ65/BI65-1)</f>
        <v>-0.280855102924226</v>
      </c>
      <c r="BK68" s="39">
        <f t="shared" ref="BK68" si="674">+IF(BJ65&lt;0,1-BK65/BJ65,BK65/BJ65-1)</f>
        <v>-2.0574221667841286E-2</v>
      </c>
      <c r="BL68" s="39">
        <f t="shared" ref="BL68" si="675">+IF(BK65&lt;0,1-BL65/BK65,BL65/BK65-1)</f>
        <v>0.44691752928458461</v>
      </c>
      <c r="BM68" s="39">
        <f t="shared" ref="BM68" si="676">+IF(BL65&lt;0,1-BM65/BL65,BM65/BL65-1)</f>
        <v>0.1341729269440961</v>
      </c>
      <c r="BN68" s="39">
        <f t="shared" ref="BN68" si="677">+IF(BM65&lt;0,1-BN65/BM65,BN65/BM65-1)</f>
        <v>-3.167426939372997E-3</v>
      </c>
      <c r="BO68" s="39">
        <f t="shared" ref="BO68" si="678">+IF(BN65&lt;0,1-BO65/BN65,BO65/BN65-1)</f>
        <v>-0.50660619475034907</v>
      </c>
      <c r="BP68" s="39">
        <f t="shared" ref="BP68" si="679">+IF(BO65&lt;0,1-BP65/BO65,BP65/BO65-1)</f>
        <v>1.034888307875784</v>
      </c>
      <c r="BQ68" s="39">
        <f t="shared" ref="BQ68" si="680">+IF(BP65&lt;0,1-BQ65/BP65,BQ65/BP65-1)</f>
        <v>0.10241509740186716</v>
      </c>
      <c r="BR68" s="39">
        <f t="shared" ref="BR68" si="681">+IF(BQ65&lt;0,1-BR65/BQ65,BR65/BQ65-1)</f>
        <v>0.10561894246104675</v>
      </c>
      <c r="BS68" s="39">
        <f t="shared" ref="BS68" si="682">+IF(BR65&lt;0,1-BS65/BR65,BS65/BR65-1)</f>
        <v>-0.71942283721153899</v>
      </c>
      <c r="BT68" s="39">
        <f t="shared" ref="BT68" si="683">+IF(BS65&lt;0,1-BT65/BS65,BT65/BS65-1)</f>
        <v>1.6116852984602406</v>
      </c>
      <c r="BU68" s="39">
        <f t="shared" ref="BU68" si="684">+IF(BT65&lt;0,1-BU65/BT65,BU65/BT65-1)</f>
        <v>0.25235725246325447</v>
      </c>
      <c r="BV68" s="39">
        <f t="shared" ref="BV68" si="685">+IF(BU65&lt;0,1-BV65/BU65,BV65/BU65-1)</f>
        <v>0.31278037298423578</v>
      </c>
      <c r="BW68" s="39">
        <f t="shared" ref="BW68" si="686">+IF(BV65&lt;0,1-BW65/BV65,BW65/BV65-1)</f>
        <v>-0.31280894046851537</v>
      </c>
      <c r="BX68" s="39">
        <f t="shared" ref="BX68" si="687">+IF(BW65&lt;0,1-BX65/BW65,BX65/BW65-1)</f>
        <v>0.21270188763543185</v>
      </c>
      <c r="BY68" s="39">
        <f t="shared" ref="BY68" si="688">+IF(BX65&lt;0,1-BY65/BX65,BY65/BX65-1)</f>
        <v>0.33320561611889188</v>
      </c>
      <c r="BZ68" s="39">
        <f t="shared" ref="BZ68" si="689">+IF(BY65&lt;0,1-BZ65/BY65,BZ65/BY65-1)</f>
        <v>0.20227094363815246</v>
      </c>
      <c r="CA68" s="39">
        <f t="shared" ref="CA68" si="690">+IF(BZ65&lt;0,1-CA65/BZ65,CA65/BZ65-1)</f>
        <v>-7.3346311998215397E-2</v>
      </c>
      <c r="CB68" s="39">
        <f t="shared" ref="CB68" si="691">+IF(CA65&lt;0,1-CB65/CA65,CB65/CA65-1)</f>
        <v>6.5990842390899473E-2</v>
      </c>
      <c r="CC68" s="39">
        <f t="shared" ref="CC68" si="692">+IF(CB65&lt;0,1-CC65/CB65,CC65/CB65-1)</f>
        <v>-3.0844620457131322E-2</v>
      </c>
      <c r="CD68" s="39">
        <f t="shared" ref="CD68" si="693">+IF(CC65&lt;0,1-CD65/CC65,CD65/CC65-1)</f>
        <v>0.32884125509290385</v>
      </c>
      <c r="CE68" s="39">
        <f t="shared" ref="CE68" si="694">+IF(CD65&lt;0,1-CE65/CD65,CE65/CD65-1)</f>
        <v>-0.27437093140275115</v>
      </c>
      <c r="CF68" s="39">
        <f t="shared" ref="CF68" si="695">+IF(CE65&lt;0,1-CF65/CE65,CF65/CE65-1)</f>
        <v>0.10853321182513676</v>
      </c>
      <c r="CG68" s="39">
        <f t="shared" ref="CG68" si="696">+IF(CF65&lt;0,1-CG65/CF65,CG65/CF65-1)</f>
        <v>4.2991141219386186E-2</v>
      </c>
      <c r="CH68" s="39">
        <f t="shared" ref="CH68:CL68" si="697">+IF(CG65&lt;0,1-CH65/CG65,CH65/CG65-1)</f>
        <v>0.58149060618329429</v>
      </c>
      <c r="CI68" s="39">
        <f t="shared" si="697"/>
        <v>-0.18337822490815181</v>
      </c>
      <c r="CJ68" s="39">
        <f t="shared" si="697"/>
        <v>0.1555171286785304</v>
      </c>
      <c r="CK68" s="39">
        <f t="shared" si="697"/>
        <v>-9.061286454177031E-2</v>
      </c>
      <c r="CL68" s="39">
        <f t="shared" si="697"/>
        <v>0.2466580340480653</v>
      </c>
      <c r="CM68" s="40">
        <f t="shared" ref="CM68" si="698">+CM65/CL65-1</f>
        <v>-0.15620966957427584</v>
      </c>
      <c r="CN68" s="40">
        <f t="shared" ref="CN68" si="699">+CN65/CM65-1</f>
        <v>0.11081544411039035</v>
      </c>
      <c r="CO68" s="40">
        <f t="shared" ref="CO68" si="700">+CO65/CN65-1</f>
        <v>0.15276385567457695</v>
      </c>
      <c r="CP68" s="40">
        <f t="shared" ref="CP68" si="701">+CP65/CO65-1</f>
        <v>0.17054032998236024</v>
      </c>
      <c r="CQ68" s="40">
        <f t="shared" ref="CQ68" si="702">+CQ65/CP65-1</f>
        <v>-0.21222472099953626</v>
      </c>
      <c r="CR68" s="40">
        <f t="shared" ref="CR68" si="703">+CR65/CQ65-1</f>
        <v>7.0307947803787796E-2</v>
      </c>
      <c r="CS68" s="40">
        <f t="shared" ref="CS68" si="704">+CS65/CR65-1</f>
        <v>0.18766720197670317</v>
      </c>
      <c r="CT68" s="40">
        <f t="shared" ref="CT68" si="705">+CT65/CS65-1</f>
        <v>0.14928868510657467</v>
      </c>
      <c r="CU68" s="40">
        <f t="shared" ref="CU68" si="706">+CU65/CT65-1</f>
        <v>-0.22051350648737922</v>
      </c>
      <c r="CV68" s="40">
        <f t="shared" ref="CV68" si="707">+CV65/CU65-1</f>
        <v>8.3518936269576294E-2</v>
      </c>
      <c r="CW68" s="40">
        <f t="shared" ref="CW68" si="708">+CW65/CV65-1</f>
        <v>0.20473107111487199</v>
      </c>
      <c r="CX68" s="40">
        <f t="shared" ref="CX68" si="709">+CX65/CW65-1</f>
        <v>0.15751482981671217</v>
      </c>
      <c r="CY68" s="40">
        <f t="shared" ref="CY68" si="710">+CY65/CX65-1</f>
        <v>-0.23887311406870015</v>
      </c>
      <c r="CZ68" s="40">
        <f t="shared" ref="CZ68" si="711">+CZ65/CY65-1</f>
        <v>8.5473350654373004E-2</v>
      </c>
      <c r="DA68" s="40">
        <f t="shared" ref="DA68" si="712">+DA65/CZ65-1</f>
        <v>0.20413824633088118</v>
      </c>
      <c r="DB68" s="40">
        <f t="shared" ref="DB68" si="713">+DB65/DA65-1</f>
        <v>0.15167812423208682</v>
      </c>
      <c r="DE68" s="122"/>
      <c r="DF68" s="39">
        <v>0.31227965335344354</v>
      </c>
    </row>
    <row r="69" spans="1:110" s="75" customFormat="1" x14ac:dyDescent="0.2">
      <c r="A69" s="23" t="s">
        <v>23</v>
      </c>
      <c r="B69" s="75">
        <f>'Annual Raw'!C32</f>
        <v>0</v>
      </c>
      <c r="C69" s="75">
        <f>'Annual Raw'!D32</f>
        <v>0</v>
      </c>
      <c r="D69" s="75">
        <f>'Annual Raw'!E32</f>
        <v>0</v>
      </c>
      <c r="E69" s="75">
        <f>'Annual Raw'!F32</f>
        <v>0</v>
      </c>
      <c r="F69" s="75">
        <f>'Annual Raw'!G32</f>
        <v>0</v>
      </c>
      <c r="G69" s="75">
        <f>'Annual Raw'!H32</f>
        <v>0</v>
      </c>
      <c r="H69" s="75">
        <f>'Annual Raw'!I32</f>
        <v>0</v>
      </c>
      <c r="I69" s="75">
        <f>'Annual Raw'!J32</f>
        <v>0</v>
      </c>
      <c r="J69" s="75">
        <f>'Annual Raw'!K32</f>
        <v>0</v>
      </c>
      <c r="K69" s="75">
        <f>'Annual Raw'!L32</f>
        <v>0</v>
      </c>
      <c r="L69" s="75">
        <f>'Annual Raw'!M32</f>
        <v>0</v>
      </c>
      <c r="M69" s="75">
        <f>'Annual Raw'!N32</f>
        <v>0</v>
      </c>
      <c r="N69" s="75">
        <f>'Annual Raw'!O32</f>
        <v>0</v>
      </c>
      <c r="O69" s="75">
        <f>'Annual Raw'!P32</f>
        <v>0</v>
      </c>
      <c r="P69" s="75">
        <f>'Annual Raw'!Q32</f>
        <v>0</v>
      </c>
      <c r="Q69" s="75">
        <f>'Annual Raw'!R32</f>
        <v>0</v>
      </c>
      <c r="R69" s="75">
        <f>'Annual Raw'!S32</f>
        <v>-0.254</v>
      </c>
      <c r="S69" s="75">
        <f>'Annual Raw'!T32</f>
        <v>-0.54800000000000004</v>
      </c>
      <c r="T69" s="75">
        <f>'Annual Raw'!U32</f>
        <v>-0.60299999999999998</v>
      </c>
      <c r="U69" s="75">
        <f>'Annual Raw'!V32</f>
        <v>-6.5609999999999999</v>
      </c>
      <c r="V69" s="75">
        <f>'Annual Raw'!W32</f>
        <v>-3.819</v>
      </c>
      <c r="W69" s="75">
        <f>'Annual Raw'!X32</f>
        <v>-8.7070000000000007</v>
      </c>
      <c r="X69" s="75">
        <f>'Annual Raw'!Y32</f>
        <v>-12.303000000000001</v>
      </c>
      <c r="Y69" s="75">
        <f>'Annual Raw'!Z32</f>
        <v>-18.872</v>
      </c>
      <c r="Z69" s="75">
        <f>'Annual Raw'!AA32</f>
        <v>-25.547000000000001</v>
      </c>
      <c r="AA69" s="75">
        <f>'Annual Raw'!AB32</f>
        <v>-36.393999999999998</v>
      </c>
      <c r="AB69" s="76">
        <f t="shared" ref="AB69:AB70" si="714">+SUM(CM69:CP69)</f>
        <v>-51.351999999999997</v>
      </c>
      <c r="AC69" s="76">
        <f t="shared" ref="AC69:AC70" si="715">+SUM(CQ69:CT69)</f>
        <v>-51.351999999999997</v>
      </c>
      <c r="AD69" s="76">
        <f t="shared" ref="AD69:AD70" si="716">+SUM(CU69:CX69)</f>
        <v>-51.351999999999997</v>
      </c>
      <c r="AE69" s="76">
        <f t="shared" ref="AE69:AE70" si="717">+SUM(CY69:DB69)</f>
        <v>-51.351999999999997</v>
      </c>
      <c r="AI69" s="75">
        <f>'QTR Raw'!C34</f>
        <v>0</v>
      </c>
      <c r="AJ69" s="75">
        <f>'QTR Raw'!D34</f>
        <v>0</v>
      </c>
      <c r="AK69" s="75">
        <f>'QTR Raw'!E34</f>
        <v>0</v>
      </c>
      <c r="AL69" s="75">
        <f>'QTR Raw'!F34</f>
        <v>0</v>
      </c>
      <c r="AM69" s="75">
        <f>'QTR Raw'!G34</f>
        <v>0</v>
      </c>
      <c r="AN69" s="75">
        <f>'QTR Raw'!H34</f>
        <v>0</v>
      </c>
      <c r="AO69" s="75">
        <f>'QTR Raw'!I34</f>
        <v>0</v>
      </c>
      <c r="AP69" s="75">
        <f>'QTR Raw'!J34</f>
        <v>0</v>
      </c>
      <c r="AQ69" s="75">
        <f>'QTR Raw'!K34</f>
        <v>0</v>
      </c>
      <c r="AR69" s="75">
        <f>'QTR Raw'!L34</f>
        <v>0</v>
      </c>
      <c r="AS69" s="75">
        <f>'QTR Raw'!M34</f>
        <v>0</v>
      </c>
      <c r="AT69" s="75">
        <f>'QTR Raw'!N34</f>
        <v>0</v>
      </c>
      <c r="AU69" s="75">
        <f>'QTR Raw'!O34</f>
        <v>0</v>
      </c>
      <c r="AV69" s="75">
        <f>'QTR Raw'!P34</f>
        <v>0</v>
      </c>
      <c r="AW69" s="75">
        <f>'QTR Raw'!Q34</f>
        <v>0</v>
      </c>
      <c r="AX69" s="75">
        <f>'QTR Raw'!R34</f>
        <v>0</v>
      </c>
      <c r="AY69" s="75">
        <f>'QTR Raw'!S34</f>
        <v>0</v>
      </c>
      <c r="AZ69" s="75">
        <f>'QTR Raw'!T34</f>
        <v>0</v>
      </c>
      <c r="BA69" s="75">
        <f>'QTR Raw'!U34</f>
        <v>0</v>
      </c>
      <c r="BB69" s="75">
        <f>'QTR Raw'!V34</f>
        <v>0</v>
      </c>
      <c r="BC69" s="75">
        <f>'QTR Raw'!W34</f>
        <v>0</v>
      </c>
      <c r="BD69" s="75">
        <f>'QTR Raw'!X34</f>
        <v>0</v>
      </c>
      <c r="BE69" s="75">
        <f>'QTR Raw'!Y34</f>
        <v>0</v>
      </c>
      <c r="BF69" s="75">
        <f>'QTR Raw'!Z34</f>
        <v>0</v>
      </c>
      <c r="BG69" s="75">
        <f>'QTR Raw'!AA34</f>
        <v>0</v>
      </c>
      <c r="BH69" s="75">
        <f>'QTR Raw'!AB34</f>
        <v>-0.30399999999999999</v>
      </c>
      <c r="BI69" s="75">
        <f>'QTR Raw'!AC34</f>
        <v>-0.28799999999999998</v>
      </c>
      <c r="BJ69" s="75">
        <f>'QTR Raw'!AD34</f>
        <v>0.21099999999999999</v>
      </c>
      <c r="BK69" s="75">
        <f>'QTR Raw'!AE34</f>
        <v>-0.76100000000000001</v>
      </c>
      <c r="BL69" s="75">
        <f>'QTR Raw'!AF34</f>
        <v>-1.9670000000000001</v>
      </c>
      <c r="BM69" s="75">
        <f>'QTR Raw'!AG34</f>
        <v>-2.6219999999999999</v>
      </c>
      <c r="BN69" s="75">
        <f>'QTR Raw'!AH34</f>
        <v>-1.2110000000000001</v>
      </c>
      <c r="BO69" s="75">
        <f>'QTR Raw'!AI34</f>
        <v>4.7E-2</v>
      </c>
      <c r="BP69" s="75">
        <f>'QTR Raw'!AJ34</f>
        <v>-1.002</v>
      </c>
      <c r="BQ69" s="75">
        <f>'QTR Raw'!AK34</f>
        <v>-1.115</v>
      </c>
      <c r="BR69" s="75">
        <f>'QTR Raw'!AL34</f>
        <v>-1.7589999999999999</v>
      </c>
      <c r="BS69" s="75">
        <f>'QTR Raw'!AM34</f>
        <v>-1.2769999999999999</v>
      </c>
      <c r="BT69" s="75">
        <f>'QTR Raw'!AN34</f>
        <v>-2.6</v>
      </c>
      <c r="BU69" s="75">
        <f>'QTR Raw'!AO34</f>
        <v>-1.647</v>
      </c>
      <c r="BV69" s="75">
        <f>'QTR Raw'!AP34</f>
        <v>-3.1829999999999998</v>
      </c>
      <c r="BW69" s="75">
        <f>'QTR Raw'!AQ34</f>
        <v>-2.7890000000000001</v>
      </c>
      <c r="BX69" s="75">
        <f>'QTR Raw'!AR34</f>
        <v>-2.6589999999999998</v>
      </c>
      <c r="BY69" s="75">
        <f>'QTR Raw'!AS34</f>
        <v>-3.1869999999999998</v>
      </c>
      <c r="BZ69" s="75">
        <f>'QTR Raw'!AT34</f>
        <v>-3.6680000000000001</v>
      </c>
      <c r="CA69" s="75">
        <f>'QTR Raw'!AU34</f>
        <v>-3.5390000000000001</v>
      </c>
      <c r="CB69" s="75">
        <f>'QTR Raw'!AV34</f>
        <v>-4.1989999999999998</v>
      </c>
      <c r="CC69" s="75">
        <f>'QTR Raw'!AW34</f>
        <v>-3.661</v>
      </c>
      <c r="CD69" s="75">
        <f>'QTR Raw'!AX34</f>
        <v>-7.4729999999999999</v>
      </c>
      <c r="CE69" s="75">
        <f>'QTR Raw'!AY34</f>
        <v>-5.665</v>
      </c>
      <c r="CF69" s="75">
        <f>'QTR Raw'!AZ34</f>
        <v>-5.3970000000000002</v>
      </c>
      <c r="CG69" s="75">
        <f>'QTR Raw'!BA34</f>
        <v>-6.7910000000000004</v>
      </c>
      <c r="CH69" s="75">
        <f>'QTR Raw'!BB34</f>
        <v>-7.694</v>
      </c>
      <c r="CI69" s="75">
        <f>'QTR Raw'!BC34</f>
        <v>-7.5750000000000002</v>
      </c>
      <c r="CJ69" s="75">
        <f>'QTR Raw'!BD34</f>
        <v>-7.5030000000000001</v>
      </c>
      <c r="CK69" s="75">
        <f>'QTR Raw'!BE34</f>
        <v>-8.4779999999999998</v>
      </c>
      <c r="CL69" s="75">
        <f>'QTR Raw'!BF34</f>
        <v>-12.837999999999999</v>
      </c>
      <c r="CM69" s="76">
        <f t="shared" ref="CM69:CM70" si="718">+CL69</f>
        <v>-12.837999999999999</v>
      </c>
      <c r="CN69" s="76">
        <f t="shared" ref="CN69:CN70" si="719">+CM69</f>
        <v>-12.837999999999999</v>
      </c>
      <c r="CO69" s="76">
        <f t="shared" ref="CO69:CO70" si="720">+CN69</f>
        <v>-12.837999999999999</v>
      </c>
      <c r="CP69" s="76">
        <f t="shared" ref="CP69:CP70" si="721">+CO69</f>
        <v>-12.837999999999999</v>
      </c>
      <c r="CQ69" s="76">
        <f t="shared" ref="CQ69:CQ70" si="722">+CP69</f>
        <v>-12.837999999999999</v>
      </c>
      <c r="CR69" s="76">
        <f t="shared" ref="CR69:CR70" si="723">+CQ69</f>
        <v>-12.837999999999999</v>
      </c>
      <c r="CS69" s="76">
        <f t="shared" ref="CS69:CS70" si="724">+CR69</f>
        <v>-12.837999999999999</v>
      </c>
      <c r="CT69" s="76">
        <f t="shared" ref="CT69:CT70" si="725">+CS69</f>
        <v>-12.837999999999999</v>
      </c>
      <c r="CU69" s="76">
        <f t="shared" ref="CU69:CU70" si="726">+CT69</f>
        <v>-12.837999999999999</v>
      </c>
      <c r="CV69" s="76">
        <f t="shared" ref="CV69:CV70" si="727">+CU69</f>
        <v>-12.837999999999999</v>
      </c>
      <c r="CW69" s="76">
        <f t="shared" ref="CW69:CW70" si="728">+CV69</f>
        <v>-12.837999999999999</v>
      </c>
      <c r="CX69" s="76">
        <f t="shared" ref="CX69:CX70" si="729">+CW69</f>
        <v>-12.837999999999999</v>
      </c>
      <c r="CY69" s="76">
        <f t="shared" ref="CY69:CY70" si="730">+CX69</f>
        <v>-12.837999999999999</v>
      </c>
      <c r="CZ69" s="76">
        <f t="shared" ref="CZ69:CZ70" si="731">+CY69</f>
        <v>-12.837999999999999</v>
      </c>
      <c r="DA69" s="76">
        <f t="shared" ref="DA69:DA70" si="732">+CZ69</f>
        <v>-12.837999999999999</v>
      </c>
      <c r="DB69" s="76">
        <f t="shared" ref="DB69:DB70" si="733">+DA69</f>
        <v>-12.837999999999999</v>
      </c>
      <c r="DE69" s="131"/>
      <c r="DF69" s="75">
        <v>-8.4779999999999998</v>
      </c>
    </row>
    <row r="70" spans="1:110" s="75" customFormat="1" x14ac:dyDescent="0.2">
      <c r="A70" s="23" t="s">
        <v>24</v>
      </c>
      <c r="B70" s="75">
        <f>'Annual Raw'!C33+'Annual Raw'!C28</f>
        <v>0</v>
      </c>
      <c r="C70" s="75">
        <f>'Annual Raw'!D33+'Annual Raw'!D28</f>
        <v>0</v>
      </c>
      <c r="D70" s="75">
        <f>'Annual Raw'!E33+'Annual Raw'!E28</f>
        <v>0</v>
      </c>
      <c r="E70" s="75">
        <f>'Annual Raw'!F33+'Annual Raw'!F28</f>
        <v>0</v>
      </c>
      <c r="F70" s="75">
        <f>'Annual Raw'!G33+'Annual Raw'!G28</f>
        <v>0</v>
      </c>
      <c r="G70" s="75">
        <f>'Annual Raw'!H33+'Annual Raw'!H28</f>
        <v>0</v>
      </c>
      <c r="H70" s="75">
        <f>'Annual Raw'!I33+'Annual Raw'!I28</f>
        <v>0</v>
      </c>
      <c r="I70" s="75">
        <f>'Annual Raw'!J33+'Annual Raw'!J28</f>
        <v>0</v>
      </c>
      <c r="J70" s="75">
        <f>'Annual Raw'!K33+'Annual Raw'!K28</f>
        <v>0</v>
      </c>
      <c r="K70" s="75">
        <f>'Annual Raw'!L33+'Annual Raw'!L28</f>
        <v>0</v>
      </c>
      <c r="L70" s="75">
        <f>'Annual Raw'!M33+'Annual Raw'!M28</f>
        <v>0</v>
      </c>
      <c r="M70" s="75">
        <f>'Annual Raw'!N33+'Annual Raw'!N28</f>
        <v>0</v>
      </c>
      <c r="N70" s="75">
        <f>'Annual Raw'!O33+'Annual Raw'!O28</f>
        <v>0</v>
      </c>
      <c r="O70" s="75">
        <f>'Annual Raw'!P33+'Annual Raw'!P28</f>
        <v>0</v>
      </c>
      <c r="P70" s="75">
        <f>'Annual Raw'!Q33+'Annual Raw'!Q28</f>
        <v>0</v>
      </c>
      <c r="Q70" s="75">
        <f>'Annual Raw'!R33+'Annual Raw'!R28</f>
        <v>0</v>
      </c>
      <c r="R70" s="75">
        <f>'Annual Raw'!S33+'Annual Raw'!S28</f>
        <v>-0.32900000000000001</v>
      </c>
      <c r="S70" s="75">
        <f>'Annual Raw'!T33+'Annual Raw'!T28</f>
        <v>0.105</v>
      </c>
      <c r="T70" s="75">
        <f>'Annual Raw'!U33+'Annual Raw'!U28</f>
        <v>-2.3260000000000001</v>
      </c>
      <c r="U70" s="75">
        <f>'Annual Raw'!V33+'Annual Raw'!V28</f>
        <v>-7.4080000000000004</v>
      </c>
      <c r="V70" s="75">
        <f>'Annual Raw'!W33+'Annual Raw'!W28</f>
        <v>0.57799999999999996</v>
      </c>
      <c r="W70" s="75">
        <f>'Annual Raw'!X33+'Annual Raw'!X28</f>
        <v>-2.5550000000000002</v>
      </c>
      <c r="X70" s="75">
        <f>'Annual Raw'!Y33+'Annual Raw'!Y28</f>
        <v>-9.2629999999999999</v>
      </c>
      <c r="Y70" s="75">
        <f>'Annual Raw'!Z33+'Annual Raw'!Z28</f>
        <v>0</v>
      </c>
      <c r="Z70" s="75">
        <f>'Annual Raw'!AA33+'Annual Raw'!AA28</f>
        <v>0</v>
      </c>
      <c r="AA70" s="75">
        <f>'Annual Raw'!AB33+'Annual Raw'!AB28</f>
        <v>0</v>
      </c>
      <c r="AB70" s="76">
        <f t="shared" si="714"/>
        <v>0</v>
      </c>
      <c r="AC70" s="76">
        <f t="shared" si="715"/>
        <v>0</v>
      </c>
      <c r="AD70" s="76">
        <f t="shared" si="716"/>
        <v>0</v>
      </c>
      <c r="AE70" s="76">
        <f t="shared" si="717"/>
        <v>0</v>
      </c>
      <c r="AI70" s="75">
        <f>'QTR Raw'!C35</f>
        <v>0</v>
      </c>
      <c r="AJ70" s="75">
        <f>'QTR Raw'!D35</f>
        <v>0</v>
      </c>
      <c r="AK70" s="75">
        <f>'QTR Raw'!E35</f>
        <v>0</v>
      </c>
      <c r="AL70" s="75">
        <f>'QTR Raw'!F35</f>
        <v>0</v>
      </c>
      <c r="AM70" s="75">
        <f>'QTR Raw'!G35</f>
        <v>0</v>
      </c>
      <c r="AN70" s="75">
        <f>'QTR Raw'!H35</f>
        <v>0</v>
      </c>
      <c r="AO70" s="75">
        <f>'QTR Raw'!I35</f>
        <v>0</v>
      </c>
      <c r="AP70" s="75">
        <f>'QTR Raw'!J35</f>
        <v>0</v>
      </c>
      <c r="AQ70" s="75">
        <f>'QTR Raw'!K35</f>
        <v>0</v>
      </c>
      <c r="AR70" s="75">
        <f>'QTR Raw'!L35</f>
        <v>0</v>
      </c>
      <c r="AS70" s="75">
        <f>'QTR Raw'!M35</f>
        <v>0</v>
      </c>
      <c r="AT70" s="75">
        <f>'QTR Raw'!N35</f>
        <v>0</v>
      </c>
      <c r="AU70" s="75">
        <f>'QTR Raw'!O35</f>
        <v>0</v>
      </c>
      <c r="AV70" s="75">
        <f>'QTR Raw'!P35</f>
        <v>0</v>
      </c>
      <c r="AW70" s="75">
        <f>'QTR Raw'!Q35</f>
        <v>0</v>
      </c>
      <c r="AX70" s="75">
        <f>'QTR Raw'!R35</f>
        <v>0</v>
      </c>
      <c r="AY70" s="75">
        <f>'QTR Raw'!S35</f>
        <v>0</v>
      </c>
      <c r="AZ70" s="75">
        <f>'QTR Raw'!T35</f>
        <v>0</v>
      </c>
      <c r="BA70" s="75">
        <f>'QTR Raw'!U35</f>
        <v>0</v>
      </c>
      <c r="BB70" s="75">
        <f>'QTR Raw'!V35</f>
        <v>0</v>
      </c>
      <c r="BC70" s="75">
        <f>'QTR Raw'!W35</f>
        <v>0</v>
      </c>
      <c r="BD70" s="75">
        <f>'QTR Raw'!X35</f>
        <v>0</v>
      </c>
      <c r="BE70" s="75">
        <f>'QTR Raw'!Y35</f>
        <v>0</v>
      </c>
      <c r="BF70" s="75">
        <f>'QTR Raw'!Z35</f>
        <v>-0.224</v>
      </c>
      <c r="BG70" s="75">
        <f>'QTR Raw'!AA35</f>
        <v>-3.45</v>
      </c>
      <c r="BH70" s="75">
        <f>'QTR Raw'!AB35</f>
        <v>-3.0369999999999999</v>
      </c>
      <c r="BI70" s="75">
        <f>'QTR Raw'!AC35</f>
        <v>1.881</v>
      </c>
      <c r="BJ70" s="75">
        <f>'QTR Raw'!AD35</f>
        <v>2.2799999999999998</v>
      </c>
      <c r="BK70" s="75">
        <f>'QTR Raw'!AE35</f>
        <v>0.219</v>
      </c>
      <c r="BL70" s="75">
        <f>'QTR Raw'!AF35</f>
        <v>-1.617</v>
      </c>
      <c r="BM70" s="75">
        <f>'QTR Raw'!AG35</f>
        <v>-0.22900000000000001</v>
      </c>
      <c r="BN70" s="75">
        <f>'QTR Raw'!AH35</f>
        <v>-5.7809999999999997</v>
      </c>
      <c r="BO70" s="75">
        <f>'QTR Raw'!AI35</f>
        <v>-1.1679999999999999</v>
      </c>
      <c r="BP70" s="75">
        <f>'QTR Raw'!AJ35</f>
        <v>-0.26300000000000001</v>
      </c>
      <c r="BQ70" s="75">
        <f>'QTR Raw'!AK35</f>
        <v>0.49199999999999999</v>
      </c>
      <c r="BR70" s="75">
        <f>'QTR Raw'!AL35</f>
        <v>0.70899999999999996</v>
      </c>
      <c r="BS70" s="75">
        <f>'QTR Raw'!AM35</f>
        <v>-2.14</v>
      </c>
      <c r="BT70" s="75">
        <f>'QTR Raw'!AN35</f>
        <v>-0.30599999999999999</v>
      </c>
      <c r="BU70" s="75">
        <f>'QTR Raw'!AO35</f>
        <v>0.26400000000000001</v>
      </c>
      <c r="BV70" s="75">
        <f>'QTR Raw'!AP35</f>
        <v>-0.373</v>
      </c>
      <c r="BW70" s="75">
        <f>'QTR Raw'!AQ35</f>
        <v>-1.2789999999999999</v>
      </c>
      <c r="BX70" s="75">
        <f>'QTR Raw'!AR35</f>
        <v>-0.80600000000000005</v>
      </c>
      <c r="BY70" s="75">
        <f>'QTR Raw'!AS35</f>
        <v>-0.80700000000000005</v>
      </c>
      <c r="BZ70" s="75">
        <f>'QTR Raw'!AT35</f>
        <v>-6.3710000000000004</v>
      </c>
      <c r="CA70" s="75">
        <f>'QTR Raw'!AU35</f>
        <v>0</v>
      </c>
      <c r="CB70" s="75">
        <f>'QTR Raw'!AV35</f>
        <v>0</v>
      </c>
      <c r="CC70" s="75">
        <f>'QTR Raw'!AW35</f>
        <v>0</v>
      </c>
      <c r="CD70" s="75">
        <f>'QTR Raw'!AX35</f>
        <v>0</v>
      </c>
      <c r="CE70" s="75">
        <f>'QTR Raw'!AY35</f>
        <v>0</v>
      </c>
      <c r="CF70" s="75">
        <f>'QTR Raw'!AZ35</f>
        <v>0</v>
      </c>
      <c r="CG70" s="75">
        <f>'QTR Raw'!BA35</f>
        <v>0</v>
      </c>
      <c r="CH70" s="75">
        <f>'QTR Raw'!BB35</f>
        <v>0</v>
      </c>
      <c r="CI70" s="75">
        <f>'QTR Raw'!BC35</f>
        <v>0</v>
      </c>
      <c r="CJ70" s="75">
        <f>'QTR Raw'!BD35</f>
        <v>0</v>
      </c>
      <c r="CK70" s="75">
        <f>'QTR Raw'!BE35</f>
        <v>0</v>
      </c>
      <c r="CL70" s="75">
        <f>'QTR Raw'!BF35</f>
        <v>0</v>
      </c>
      <c r="CM70" s="76">
        <f t="shared" si="718"/>
        <v>0</v>
      </c>
      <c r="CN70" s="76">
        <f t="shared" si="719"/>
        <v>0</v>
      </c>
      <c r="CO70" s="76">
        <f t="shared" si="720"/>
        <v>0</v>
      </c>
      <c r="CP70" s="76">
        <f t="shared" si="721"/>
        <v>0</v>
      </c>
      <c r="CQ70" s="76">
        <f t="shared" si="722"/>
        <v>0</v>
      </c>
      <c r="CR70" s="76">
        <f t="shared" si="723"/>
        <v>0</v>
      </c>
      <c r="CS70" s="76">
        <f t="shared" si="724"/>
        <v>0</v>
      </c>
      <c r="CT70" s="76">
        <f t="shared" si="725"/>
        <v>0</v>
      </c>
      <c r="CU70" s="76">
        <f t="shared" si="726"/>
        <v>0</v>
      </c>
      <c r="CV70" s="76">
        <f t="shared" si="727"/>
        <v>0</v>
      </c>
      <c r="CW70" s="76">
        <f t="shared" si="728"/>
        <v>0</v>
      </c>
      <c r="CX70" s="76">
        <f t="shared" si="729"/>
        <v>0</v>
      </c>
      <c r="CY70" s="76">
        <f t="shared" si="730"/>
        <v>0</v>
      </c>
      <c r="CZ70" s="76">
        <f t="shared" si="731"/>
        <v>0</v>
      </c>
      <c r="DA70" s="76">
        <f t="shared" si="732"/>
        <v>0</v>
      </c>
      <c r="DB70" s="76">
        <f t="shared" si="733"/>
        <v>0</v>
      </c>
      <c r="DE70" s="131"/>
      <c r="DF70" s="75">
        <v>0</v>
      </c>
    </row>
    <row r="71" spans="1:110" s="23" customFormat="1" x14ac:dyDescent="0.2">
      <c r="A71" s="23" t="s">
        <v>19</v>
      </c>
      <c r="B71" s="75">
        <f>'Annual Raw'!C29+'Annual Raw'!C31+'Annual Raw'!C34+'Annual Raw'!C36</f>
        <v>0</v>
      </c>
      <c r="C71" s="75">
        <f>'Annual Raw'!D29+'Annual Raw'!D31+'Annual Raw'!D34+'Annual Raw'!D36</f>
        <v>0</v>
      </c>
      <c r="D71" s="75">
        <f>'Annual Raw'!E29+'Annual Raw'!E31+'Annual Raw'!E34+'Annual Raw'!E36</f>
        <v>0</v>
      </c>
      <c r="E71" s="75">
        <f>'Annual Raw'!F29+'Annual Raw'!F31+'Annual Raw'!F34+'Annual Raw'!F36</f>
        <v>0</v>
      </c>
      <c r="F71" s="75">
        <f>'Annual Raw'!G29+'Annual Raw'!G31+'Annual Raw'!G34+'Annual Raw'!G36</f>
        <v>0</v>
      </c>
      <c r="G71" s="75">
        <f>'Annual Raw'!H29+'Annual Raw'!H31+'Annual Raw'!H34+'Annual Raw'!H36</f>
        <v>0</v>
      </c>
      <c r="H71" s="75">
        <f>'Annual Raw'!I29+'Annual Raw'!I31+'Annual Raw'!I34+'Annual Raw'!I36</f>
        <v>0</v>
      </c>
      <c r="I71" s="75">
        <f>'Annual Raw'!J29+'Annual Raw'!J31+'Annual Raw'!J34+'Annual Raw'!J36</f>
        <v>0</v>
      </c>
      <c r="J71" s="75">
        <f>'Annual Raw'!K29+'Annual Raw'!K31+'Annual Raw'!K34+'Annual Raw'!K36</f>
        <v>0</v>
      </c>
      <c r="K71" s="75">
        <f>'Annual Raw'!L29+'Annual Raw'!L31+'Annual Raw'!L34+'Annual Raw'!L36</f>
        <v>0</v>
      </c>
      <c r="L71" s="75">
        <f>'Annual Raw'!M29+'Annual Raw'!M31+'Annual Raw'!M34+'Annual Raw'!M36</f>
        <v>0</v>
      </c>
      <c r="M71" s="75">
        <f>'Annual Raw'!N29+'Annual Raw'!N31+'Annual Raw'!N34+'Annual Raw'!N36</f>
        <v>0</v>
      </c>
      <c r="N71" s="75">
        <f>'Annual Raw'!O29+'Annual Raw'!O31+'Annual Raw'!O34+'Annual Raw'!O36</f>
        <v>0</v>
      </c>
      <c r="O71" s="75">
        <f>'Annual Raw'!P29+'Annual Raw'!P31+'Annual Raw'!P34+'Annual Raw'!P36</f>
        <v>0</v>
      </c>
      <c r="P71" s="75">
        <f>'Annual Raw'!Q29+'Annual Raw'!Q31+'Annual Raw'!Q34+'Annual Raw'!Q36</f>
        <v>0</v>
      </c>
      <c r="Q71" s="75">
        <f>'Annual Raw'!R29+'Annual Raw'!R31+'Annual Raw'!R34+'Annual Raw'!R36</f>
        <v>0</v>
      </c>
      <c r="R71" s="75">
        <f>'Annual Raw'!S29+'Annual Raw'!S31+'Annual Raw'!S34+'Annual Raw'!S36</f>
        <v>0</v>
      </c>
      <c r="S71" s="75">
        <f>'Annual Raw'!T29+'Annual Raw'!T31+'Annual Raw'!T34+'Annual Raw'!T36</f>
        <v>0</v>
      </c>
      <c r="T71" s="75">
        <f>'Annual Raw'!U29+'Annual Raw'!U31+'Annual Raw'!U34+'Annual Raw'!U36</f>
        <v>0</v>
      </c>
      <c r="U71" s="75">
        <f>'Annual Raw'!V29+'Annual Raw'!V31+'Annual Raw'!V34+'Annual Raw'!V36</f>
        <v>0</v>
      </c>
      <c r="V71" s="75">
        <f>'Annual Raw'!W29+'Annual Raw'!W31+'Annual Raw'!W34+'Annual Raw'!W36</f>
        <v>44.101999999999997</v>
      </c>
      <c r="W71" s="75">
        <f>'Annual Raw'!X29+'Annual Raw'!X31+'Annual Raw'!X34+'Annual Raw'!X36</f>
        <v>72.052999999999997</v>
      </c>
      <c r="X71" s="75">
        <f>'Annual Raw'!Y29+'Annual Raw'!Y31+'Annual Raw'!Y34+'Annual Raw'!Y36</f>
        <v>0</v>
      </c>
      <c r="Y71" s="75">
        <f>'Annual Raw'!Z29+'Annual Raw'!Z31+'Annual Raw'!Z34+'Annual Raw'!Z36</f>
        <v>0</v>
      </c>
      <c r="Z71" s="75">
        <f>'Annual Raw'!AA29+'Annual Raw'!AA31+'Annual Raw'!AA34+'Annual Raw'!AA36</f>
        <v>0</v>
      </c>
      <c r="AA71" s="75">
        <f>'Annual Raw'!AB29+'Annual Raw'!AB31+'Annual Raw'!AB34+'Annual Raw'!AB36</f>
        <v>0</v>
      </c>
      <c r="AB71" s="76">
        <f>+SUM(CM71:CP71)</f>
        <v>0</v>
      </c>
      <c r="AC71" s="76">
        <f>+SUM(CQ71:CT71)</f>
        <v>0</v>
      </c>
      <c r="AD71" s="76">
        <f>+SUM(CU71:CX71)</f>
        <v>0</v>
      </c>
      <c r="AE71" s="76">
        <f>+SUM(CY71:DB71)</f>
        <v>0</v>
      </c>
      <c r="AI71" s="75">
        <f>'QTR Raw'!C26+'QTR Raw'!C31+'QTR Raw'!C32+'QTR Raw'!C33+'QTR Raw'!C36+'QTR Raw'!C37+'QTR Raw'!C39</f>
        <v>0</v>
      </c>
      <c r="AJ71" s="75">
        <f>'QTR Raw'!D26+'QTR Raw'!D31+'QTR Raw'!D32+'QTR Raw'!D33+'QTR Raw'!D36+'QTR Raw'!D37+'QTR Raw'!D39</f>
        <v>0</v>
      </c>
      <c r="AK71" s="75">
        <f>'QTR Raw'!E26+'QTR Raw'!E31+'QTR Raw'!E32+'QTR Raw'!E33+'QTR Raw'!E36+'QTR Raw'!E37+'QTR Raw'!E39</f>
        <v>0</v>
      </c>
      <c r="AL71" s="75">
        <f>'QTR Raw'!F26+'QTR Raw'!F31+'QTR Raw'!F32+'QTR Raw'!F33+'QTR Raw'!F36+'QTR Raw'!F37+'QTR Raw'!F39</f>
        <v>0</v>
      </c>
      <c r="AM71" s="75">
        <f>'QTR Raw'!G26+'QTR Raw'!G31+'QTR Raw'!G32+'QTR Raw'!G33+'QTR Raw'!G36+'QTR Raw'!G37+'QTR Raw'!G39</f>
        <v>0</v>
      </c>
      <c r="AN71" s="75">
        <f>'QTR Raw'!H26+'QTR Raw'!H31+'QTR Raw'!H32+'QTR Raw'!H33+'QTR Raw'!H36+'QTR Raw'!H37+'QTR Raw'!H39</f>
        <v>0</v>
      </c>
      <c r="AO71" s="75">
        <f>'QTR Raw'!I26+'QTR Raw'!I31+'QTR Raw'!I32+'QTR Raw'!I33+'QTR Raw'!I36+'QTR Raw'!I37+'QTR Raw'!I39</f>
        <v>0</v>
      </c>
      <c r="AP71" s="75">
        <f>'QTR Raw'!J26+'QTR Raw'!J31+'QTR Raw'!J32+'QTR Raw'!J33+'QTR Raw'!J36+'QTR Raw'!J37+'QTR Raw'!J39</f>
        <v>0</v>
      </c>
      <c r="AQ71" s="75">
        <f>'QTR Raw'!K26+'QTR Raw'!K31+'QTR Raw'!K32+'QTR Raw'!K33+'QTR Raw'!K36+'QTR Raw'!K37+'QTR Raw'!K39</f>
        <v>0</v>
      </c>
      <c r="AR71" s="75">
        <f>'QTR Raw'!L26+'QTR Raw'!L31+'QTR Raw'!L32+'QTR Raw'!L33+'QTR Raw'!L36+'QTR Raw'!L37+'QTR Raw'!L39</f>
        <v>0</v>
      </c>
      <c r="AS71" s="75">
        <f>'QTR Raw'!M26+'QTR Raw'!M31+'QTR Raw'!M32+'QTR Raw'!M33+'QTR Raw'!M36+'QTR Raw'!M37+'QTR Raw'!M39</f>
        <v>0</v>
      </c>
      <c r="AT71" s="75">
        <f>'QTR Raw'!N26+'QTR Raw'!N31+'QTR Raw'!N32+'QTR Raw'!N33+'QTR Raw'!N36+'QTR Raw'!N37+'QTR Raw'!N39</f>
        <v>0</v>
      </c>
      <c r="AU71" s="75">
        <f>'QTR Raw'!O26+'QTR Raw'!O31+'QTR Raw'!O32+'QTR Raw'!O33+'QTR Raw'!O36+'QTR Raw'!O37+'QTR Raw'!O39</f>
        <v>0</v>
      </c>
      <c r="AV71" s="75">
        <f>'QTR Raw'!P26+'QTR Raw'!P31+'QTR Raw'!P32+'QTR Raw'!P33+'QTR Raw'!P36+'QTR Raw'!P37+'QTR Raw'!P39</f>
        <v>0</v>
      </c>
      <c r="AW71" s="75">
        <f>'QTR Raw'!Q26+'QTR Raw'!Q31+'QTR Raw'!Q32+'QTR Raw'!Q33+'QTR Raw'!Q36+'QTR Raw'!Q37+'QTR Raw'!Q39</f>
        <v>0</v>
      </c>
      <c r="AX71" s="75">
        <f>'QTR Raw'!R26+'QTR Raw'!R31+'QTR Raw'!R32+'QTR Raw'!R33+'QTR Raw'!R36+'QTR Raw'!R37+'QTR Raw'!R39</f>
        <v>0</v>
      </c>
      <c r="AY71" s="75">
        <f>'QTR Raw'!S26+'QTR Raw'!S31+'QTR Raw'!S32+'QTR Raw'!S33+'QTR Raw'!S36+'QTR Raw'!S37+'QTR Raw'!S39</f>
        <v>0</v>
      </c>
      <c r="AZ71" s="75">
        <f>'QTR Raw'!T26+'QTR Raw'!T31+'QTR Raw'!T32+'QTR Raw'!T33+'QTR Raw'!T36+'QTR Raw'!T37+'QTR Raw'!T39</f>
        <v>0</v>
      </c>
      <c r="BA71" s="75">
        <f>'QTR Raw'!U26+'QTR Raw'!U31+'QTR Raw'!U32+'QTR Raw'!U33+'QTR Raw'!U36+'QTR Raw'!U37+'QTR Raw'!U39</f>
        <v>0</v>
      </c>
      <c r="BB71" s="75">
        <f>'QTR Raw'!V26+'QTR Raw'!V31+'QTR Raw'!V32+'QTR Raw'!V33+'QTR Raw'!V36+'QTR Raw'!V37+'QTR Raw'!V39</f>
        <v>0</v>
      </c>
      <c r="BC71" s="75">
        <f>'QTR Raw'!W26+'QTR Raw'!W31+'QTR Raw'!W32+'QTR Raw'!W33+'QTR Raw'!W36+'QTR Raw'!W37+'QTR Raw'!W39</f>
        <v>0</v>
      </c>
      <c r="BD71" s="75">
        <f>'QTR Raw'!X26+'QTR Raw'!X31+'QTR Raw'!X32+'QTR Raw'!X33+'QTR Raw'!X36+'QTR Raw'!X37+'QTR Raw'!X39</f>
        <v>0</v>
      </c>
      <c r="BE71" s="75">
        <f>'QTR Raw'!Y26+'QTR Raw'!Y31+'QTR Raw'!Y32+'QTR Raw'!Y33+'QTR Raw'!Y36+'QTR Raw'!Y37+'QTR Raw'!Y39</f>
        <v>0</v>
      </c>
      <c r="BF71" s="75">
        <f>'QTR Raw'!Z26+'QTR Raw'!Z31+'QTR Raw'!Z32+'QTR Raw'!Z33+'QTR Raw'!Z36+'QTR Raw'!Z37+'QTR Raw'!Z39</f>
        <v>0</v>
      </c>
      <c r="BG71" s="75">
        <f>'QTR Raw'!AA26+'QTR Raw'!AA31+'QTR Raw'!AA32+'QTR Raw'!AA33+'QTR Raw'!AA36+'QTR Raw'!AA37+'QTR Raw'!AA39</f>
        <v>0</v>
      </c>
      <c r="BH71" s="75">
        <f>'QTR Raw'!AB26+'QTR Raw'!AB31+'QTR Raw'!AB32+'QTR Raw'!AB33+'QTR Raw'!AB36+'QTR Raw'!AB37+'QTR Raw'!AB39</f>
        <v>0</v>
      </c>
      <c r="BI71" s="75">
        <f>'QTR Raw'!AC26+'QTR Raw'!AC31+'QTR Raw'!AC32+'QTR Raw'!AC33+'QTR Raw'!AC36+'QTR Raw'!AC37+'QTR Raw'!AC39</f>
        <v>0</v>
      </c>
      <c r="BJ71" s="75">
        <f>'QTR Raw'!AD26+'QTR Raw'!AD31+'QTR Raw'!AD32+'QTR Raw'!AD33+'QTR Raw'!AD36+'QTR Raw'!AD37+'QTR Raw'!AD39</f>
        <v>0</v>
      </c>
      <c r="BK71" s="75">
        <f>'QTR Raw'!AE26+'QTR Raw'!AE31+'QTR Raw'!AE32+'QTR Raw'!AE33+'QTR Raw'!AE36+'QTR Raw'!AE37+'QTR Raw'!AE39</f>
        <v>0</v>
      </c>
      <c r="BL71" s="75">
        <f>'QTR Raw'!AF26+'QTR Raw'!AF31+'QTR Raw'!AF32+'QTR Raw'!AF33+'QTR Raw'!AF36+'QTR Raw'!AF37+'QTR Raw'!AF39</f>
        <v>0</v>
      </c>
      <c r="BM71" s="75">
        <f>'QTR Raw'!AG26+'QTR Raw'!AG31+'QTR Raw'!AG32+'QTR Raw'!AG33+'QTR Raw'!AG36+'QTR Raw'!AG37+'QTR Raw'!AG39</f>
        <v>0</v>
      </c>
      <c r="BN71" s="75">
        <f>'QTR Raw'!AH26+'QTR Raw'!AH31+'QTR Raw'!AH32+'QTR Raw'!AH33+'QTR Raw'!AH36+'QTR Raw'!AH37+'QTR Raw'!AH39</f>
        <v>0</v>
      </c>
      <c r="BO71" s="75">
        <f>'QTR Raw'!AI26+'QTR Raw'!AI31+'QTR Raw'!AI32+'QTR Raw'!AI33+'QTR Raw'!AI36+'QTR Raw'!AI37+'QTR Raw'!AI39</f>
        <v>9.718</v>
      </c>
      <c r="BP71" s="75">
        <f>'QTR Raw'!AJ26+'QTR Raw'!AJ31+'QTR Raw'!AJ32+'QTR Raw'!AJ33+'QTR Raw'!AJ36+'QTR Raw'!AJ37+'QTR Raw'!AJ39</f>
        <v>0</v>
      </c>
      <c r="BQ71" s="75">
        <f>'QTR Raw'!AK26+'QTR Raw'!AK31+'QTR Raw'!AK32+'QTR Raw'!AK33+'QTR Raw'!AK36+'QTR Raw'!AK37+'QTR Raw'!AK39</f>
        <v>18.594999999999999</v>
      </c>
      <c r="BR71" s="75">
        <f>'QTR Raw'!AL26+'QTR Raw'!AL31+'QTR Raw'!AL32+'QTR Raw'!AL33+'QTR Raw'!AL36+'QTR Raw'!AL37+'QTR Raw'!AL39</f>
        <v>12.125999999999999</v>
      </c>
      <c r="BS71" s="75">
        <f>'QTR Raw'!AM26+'QTR Raw'!AM31+'QTR Raw'!AM32+'QTR Raw'!AM33+'QTR Raw'!AM36+'QTR Raw'!AM37+'QTR Raw'!AM39</f>
        <v>1.546</v>
      </c>
      <c r="BT71" s="75">
        <f>'QTR Raw'!AN26+'QTR Raw'!AN31+'QTR Raw'!AN32+'QTR Raw'!AN33+'QTR Raw'!AN36+'QTR Raw'!AN37+'QTR Raw'!AN39</f>
        <v>2.722</v>
      </c>
      <c r="BU71" s="75">
        <f>'QTR Raw'!AO26+'QTR Raw'!AO31+'QTR Raw'!AO32+'QTR Raw'!AO33+'QTR Raw'!AO36+'QTR Raw'!AO37+'QTR Raw'!AO39</f>
        <v>67.784999999999997</v>
      </c>
      <c r="BV71" s="75">
        <f>'QTR Raw'!AP26+'QTR Raw'!AP31+'QTR Raw'!AP32+'QTR Raw'!AP33+'QTR Raw'!AP36+'QTR Raw'!AP37+'QTR Raw'!AP39</f>
        <v>0</v>
      </c>
      <c r="BW71" s="75">
        <f>'QTR Raw'!AQ26+'QTR Raw'!AQ31+'QTR Raw'!AQ32+'QTR Raw'!AQ33+'QTR Raw'!AQ36+'QTR Raw'!AQ37+'QTR Raw'!AQ39</f>
        <v>0</v>
      </c>
      <c r="BX71" s="75">
        <f>'QTR Raw'!AR26+'QTR Raw'!AR31+'QTR Raw'!AR32+'QTR Raw'!AR33+'QTR Raw'!AR36+'QTR Raw'!AR37+'QTR Raw'!AR39</f>
        <v>0</v>
      </c>
      <c r="BY71" s="75">
        <f>'QTR Raw'!AS26+'QTR Raw'!AS31+'QTR Raw'!AS32+'QTR Raw'!AS33+'QTR Raw'!AS36+'QTR Raw'!AS37+'QTR Raw'!AS39</f>
        <v>0</v>
      </c>
      <c r="BZ71" s="75">
        <f>'QTR Raw'!AT26+'QTR Raw'!AT31+'QTR Raw'!AT32+'QTR Raw'!AT33+'QTR Raw'!AT36+'QTR Raw'!AT37+'QTR Raw'!AT39</f>
        <v>0</v>
      </c>
      <c r="CA71" s="75">
        <f>'QTR Raw'!AU26+'QTR Raw'!AU31+'QTR Raw'!AU32+'QTR Raw'!AU33+'QTR Raw'!AU36+'QTR Raw'!AU37+'QTR Raw'!AU39</f>
        <v>0</v>
      </c>
      <c r="CB71" s="75">
        <f>'QTR Raw'!AV26+'QTR Raw'!AV31+'QTR Raw'!AV32+'QTR Raw'!AV33+'QTR Raw'!AV36+'QTR Raw'!AV37+'QTR Raw'!AV39</f>
        <v>0</v>
      </c>
      <c r="CC71" s="75">
        <f>'QTR Raw'!AW26+'QTR Raw'!AW31+'QTR Raw'!AW32+'QTR Raw'!AW33+'QTR Raw'!AW36+'QTR Raw'!AW37+'QTR Raw'!AW39</f>
        <v>0</v>
      </c>
      <c r="CD71" s="75">
        <f>'QTR Raw'!AX26+'QTR Raw'!AX31+'QTR Raw'!AX32+'QTR Raw'!AX33+'QTR Raw'!AX36+'QTR Raw'!AX37+'QTR Raw'!AX39</f>
        <v>0</v>
      </c>
      <c r="CE71" s="75">
        <f>'QTR Raw'!AY26+'QTR Raw'!AY31+'QTR Raw'!AY32+'QTR Raw'!AY33+'QTR Raw'!AY36+'QTR Raw'!AY37+'QTR Raw'!AY39</f>
        <v>0</v>
      </c>
      <c r="CF71" s="75">
        <f>'QTR Raw'!AZ26+'QTR Raw'!AZ31+'QTR Raw'!AZ32+'QTR Raw'!AZ33+'QTR Raw'!AZ36+'QTR Raw'!AZ37+'QTR Raw'!AZ39</f>
        <v>0</v>
      </c>
      <c r="CG71" s="75">
        <f>'QTR Raw'!BA26+'QTR Raw'!BA31+'QTR Raw'!BA32+'QTR Raw'!BA33+'QTR Raw'!BA36+'QTR Raw'!BA37+'QTR Raw'!BA39</f>
        <v>0</v>
      </c>
      <c r="CH71" s="75">
        <f>'QTR Raw'!BB26+'QTR Raw'!BB31+'QTR Raw'!BB32+'QTR Raw'!BB33+'QTR Raw'!BB36+'QTR Raw'!BB37+'QTR Raw'!BB39</f>
        <v>0</v>
      </c>
      <c r="CI71" s="75">
        <f>'QTR Raw'!BC26+'QTR Raw'!BC31+'QTR Raw'!BC32+'QTR Raw'!BC33+'QTR Raw'!BC36+'QTR Raw'!BC37+'QTR Raw'!BC39</f>
        <v>0</v>
      </c>
      <c r="CJ71" s="75">
        <f>'QTR Raw'!BD26+'QTR Raw'!BD31+'QTR Raw'!BD32+'QTR Raw'!BD33+'QTR Raw'!BD36+'QTR Raw'!BD37+'QTR Raw'!BD39</f>
        <v>0</v>
      </c>
      <c r="CK71" s="75">
        <f>'QTR Raw'!BE26+'QTR Raw'!BE31+'QTR Raw'!BE32+'QTR Raw'!BE33+'QTR Raw'!BE36+'QTR Raw'!BE37+'QTR Raw'!BE39</f>
        <v>0</v>
      </c>
      <c r="CL71" s="75">
        <f>'QTR Raw'!BF26+'QTR Raw'!BF31+'QTR Raw'!BF32+'QTR Raw'!BF33+'QTR Raw'!BF36+'QTR Raw'!BF37+'QTR Raw'!BF39</f>
        <v>0</v>
      </c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E71" s="123"/>
      <c r="DF71" s="23">
        <v>0</v>
      </c>
    </row>
    <row r="72" spans="1:110" s="26" customFormat="1" x14ac:dyDescent="0.2">
      <c r="A72" s="35" t="s">
        <v>25</v>
      </c>
      <c r="B72" s="26">
        <f>B65+B69+B70+B71</f>
        <v>0</v>
      </c>
      <c r="C72" s="26">
        <f>C65+C69+C70+C71</f>
        <v>0</v>
      </c>
      <c r="D72" s="26">
        <f>D65+D69+D70+D71</f>
        <v>0</v>
      </c>
      <c r="E72" s="26">
        <f t="shared" ref="E72:U72" si="734">E65+E69+E70+E71</f>
        <v>0</v>
      </c>
      <c r="F72" s="26">
        <f t="shared" si="734"/>
        <v>0</v>
      </c>
      <c r="G72" s="26">
        <f t="shared" si="734"/>
        <v>0</v>
      </c>
      <c r="H72" s="26">
        <f t="shared" si="734"/>
        <v>0</v>
      </c>
      <c r="I72" s="26">
        <f t="shared" si="734"/>
        <v>153.66491380000008</v>
      </c>
      <c r="J72" s="26">
        <f t="shared" si="734"/>
        <v>64.814335900000145</v>
      </c>
      <c r="K72" s="26">
        <f t="shared" si="734"/>
        <v>113.95661349999997</v>
      </c>
      <c r="L72" s="26">
        <f t="shared" si="734"/>
        <v>0</v>
      </c>
      <c r="M72" s="26">
        <f t="shared" si="734"/>
        <v>33.236999999999767</v>
      </c>
      <c r="N72" s="26">
        <f t="shared" si="734"/>
        <v>76.890999999999707</v>
      </c>
      <c r="O72" s="26">
        <f t="shared" si="734"/>
        <v>93.241000000000156</v>
      </c>
      <c r="P72" s="26">
        <f t="shared" si="734"/>
        <v>160.32500000000056</v>
      </c>
      <c r="Q72" s="26">
        <f t="shared" si="734"/>
        <v>187.95999999999981</v>
      </c>
      <c r="R72" s="26">
        <f t="shared" si="734"/>
        <v>232.49300000000059</v>
      </c>
      <c r="S72" s="26">
        <f t="shared" si="734"/>
        <v>358.01299999999975</v>
      </c>
      <c r="T72" s="26">
        <f t="shared" si="734"/>
        <v>499.70299999999992</v>
      </c>
      <c r="U72" s="26">
        <f t="shared" si="734"/>
        <v>759.05699999999888</v>
      </c>
      <c r="V72" s="26">
        <f>V65+V69+V70+V71</f>
        <v>882.09400000000016</v>
      </c>
      <c r="W72" s="26">
        <f>W65+W69+W70+W71</f>
        <v>908.57700000000148</v>
      </c>
      <c r="X72" s="26">
        <f>X65+X69+X70+X71</f>
        <v>1270.7830000000013</v>
      </c>
      <c r="Y72" s="26">
        <f>Y65+Y69+Y70+Y71</f>
        <v>1784.045000000001</v>
      </c>
      <c r="Z72" s="26">
        <f>Z65+Z69+Z70+Z71</f>
        <v>2019.9899999999998</v>
      </c>
      <c r="AA72" s="26">
        <f>AA65+AA69+AA70+AA71</f>
        <v>2672.0330000000017</v>
      </c>
      <c r="AB72" s="27">
        <f t="shared" ref="AA72:AD72" si="735">AB65+AB69+AB70+AB71</f>
        <v>3190.294792810937</v>
      </c>
      <c r="AC72" s="27">
        <f t="shared" si="735"/>
        <v>3707.6211370554879</v>
      </c>
      <c r="AD72" s="27">
        <f t="shared" si="735"/>
        <v>4316.1322591455191</v>
      </c>
      <c r="AE72" s="27">
        <f t="shared" ref="AE72" si="736">AE65+AE69+AE70+AE71</f>
        <v>4969.3657056506154</v>
      </c>
      <c r="AI72" s="26">
        <f t="shared" ref="AI72" si="737">AI65+AI69+AI70+AI71</f>
        <v>0</v>
      </c>
      <c r="AJ72" s="26">
        <f t="shared" ref="AJ72" si="738">AJ65+AJ69+AJ70+AJ71</f>
        <v>0</v>
      </c>
      <c r="AK72" s="26">
        <f t="shared" ref="AK72:AM72" si="739">AK65+AK69+AK70+AK71</f>
        <v>0</v>
      </c>
      <c r="AL72" s="26">
        <f t="shared" si="739"/>
        <v>0</v>
      </c>
      <c r="AM72" s="26">
        <f t="shared" si="739"/>
        <v>0</v>
      </c>
      <c r="AN72" s="26">
        <f t="shared" ref="AN72:AO72" si="740">AN65+AN69+AN70+AN71</f>
        <v>0</v>
      </c>
      <c r="AO72" s="26">
        <f t="shared" si="740"/>
        <v>0</v>
      </c>
      <c r="AP72" s="26">
        <f t="shared" ref="AP72:CD72" si="741">AP65+AP69+AP70+AP71</f>
        <v>0</v>
      </c>
      <c r="AQ72" s="26">
        <f t="shared" si="741"/>
        <v>0</v>
      </c>
      <c r="AR72" s="26">
        <f t="shared" si="741"/>
        <v>0</v>
      </c>
      <c r="AS72" s="26">
        <f t="shared" si="741"/>
        <v>0</v>
      </c>
      <c r="AT72" s="26">
        <f t="shared" si="741"/>
        <v>0</v>
      </c>
      <c r="AU72" s="26">
        <f t="shared" si="741"/>
        <v>0</v>
      </c>
      <c r="AV72" s="26">
        <f t="shared" si="741"/>
        <v>0</v>
      </c>
      <c r="AW72" s="26">
        <f t="shared" si="741"/>
        <v>0</v>
      </c>
      <c r="AX72" s="26">
        <f t="shared" si="741"/>
        <v>0</v>
      </c>
      <c r="AY72" s="26">
        <f t="shared" si="741"/>
        <v>0</v>
      </c>
      <c r="AZ72" s="26">
        <f t="shared" si="741"/>
        <v>0</v>
      </c>
      <c r="BA72" s="26">
        <f t="shared" si="741"/>
        <v>0</v>
      </c>
      <c r="BB72" s="26">
        <f t="shared" si="741"/>
        <v>0</v>
      </c>
      <c r="BC72" s="26">
        <f t="shared" si="741"/>
        <v>0</v>
      </c>
      <c r="BD72" s="26">
        <f t="shared" si="741"/>
        <v>0</v>
      </c>
      <c r="BE72" s="26">
        <f t="shared" si="741"/>
        <v>0</v>
      </c>
      <c r="BF72" s="26">
        <f t="shared" si="741"/>
        <v>188.71900000000016</v>
      </c>
      <c r="BG72" s="26">
        <f t="shared" si="741"/>
        <v>77.001999999999853</v>
      </c>
      <c r="BH72" s="26">
        <f t="shared" si="741"/>
        <v>89.204999999999984</v>
      </c>
      <c r="BI72" s="26">
        <f t="shared" si="741"/>
        <v>193.3360000000001</v>
      </c>
      <c r="BJ72" s="26">
        <f t="shared" si="741"/>
        <v>140.38200000000023</v>
      </c>
      <c r="BK72" s="26">
        <f t="shared" si="741"/>
        <v>134.51199999999992</v>
      </c>
      <c r="BL72" s="26">
        <f t="shared" si="741"/>
        <v>191.82800000000017</v>
      </c>
      <c r="BM72" s="26">
        <f t="shared" si="741"/>
        <v>218.77999999999989</v>
      </c>
      <c r="BN72" s="26">
        <f t="shared" si="741"/>
        <v>213.93699999999973</v>
      </c>
      <c r="BO72" s="26">
        <f t="shared" si="741"/>
        <v>117.602</v>
      </c>
      <c r="BP72" s="26">
        <f t="shared" si="741"/>
        <v>220.54799999999986</v>
      </c>
      <c r="BQ72" s="26">
        <f t="shared" si="741"/>
        <v>262.50200000000018</v>
      </c>
      <c r="BR72" s="26">
        <f t="shared" si="741"/>
        <v>281.43299999999994</v>
      </c>
      <c r="BS72" s="26">
        <f t="shared" si="741"/>
        <v>73.984999999999943</v>
      </c>
      <c r="BT72" s="26">
        <f t="shared" si="741"/>
        <v>197.92799999999986</v>
      </c>
      <c r="BU72" s="26">
        <f t="shared" si="741"/>
        <v>314.50900000000013</v>
      </c>
      <c r="BV72" s="26">
        <f t="shared" si="741"/>
        <v>322.15399999999994</v>
      </c>
      <c r="BW72" s="26">
        <f t="shared" si="741"/>
        <v>219.75699999999983</v>
      </c>
      <c r="BX72" s="26">
        <f t="shared" si="741"/>
        <v>267.96800000000036</v>
      </c>
      <c r="BY72" s="26">
        <f t="shared" si="741"/>
        <v>357.88199999999961</v>
      </c>
      <c r="BZ72" s="26">
        <f t="shared" si="741"/>
        <v>425.03399999999965</v>
      </c>
      <c r="CA72" s="26">
        <f t="shared" si="741"/>
        <v>399.6230000000001</v>
      </c>
      <c r="CB72" s="26">
        <f t="shared" si="741"/>
        <v>425.56799999999993</v>
      </c>
      <c r="CC72" s="26">
        <f t="shared" si="741"/>
        <v>412.84999999999997</v>
      </c>
      <c r="CD72" s="26">
        <f t="shared" si="741"/>
        <v>546.00400000000047</v>
      </c>
      <c r="CE72" s="26">
        <f t="shared" ref="CE72:CF72" si="742">CE65+CE69+CE70+CE71</f>
        <v>395.95399999999978</v>
      </c>
      <c r="CF72" s="26">
        <f t="shared" si="742"/>
        <v>439.81099999999941</v>
      </c>
      <c r="CG72" s="26">
        <f t="shared" ref="CG72:CH72" si="743">CG65+CG69+CG70+CG71</f>
        <v>457.55699999999985</v>
      </c>
      <c r="CH72" s="26">
        <f t="shared" si="743"/>
        <v>726.66800000000012</v>
      </c>
      <c r="CI72" s="26">
        <f t="shared" ref="CI72:CJ72" si="744">CI65+CI69+CI70+CI71</f>
        <v>592.12099999999987</v>
      </c>
      <c r="CJ72" s="26">
        <f t="shared" si="744"/>
        <v>685.45599999999979</v>
      </c>
      <c r="CK72" s="26">
        <f t="shared" ref="CK72:CL72" si="745">CK65+CK69+CK70+CK71</f>
        <v>621.68999999999926</v>
      </c>
      <c r="CL72" s="26">
        <f t="shared" si="745"/>
        <v>772.7660000000003</v>
      </c>
      <c r="CM72" s="27">
        <f t="shared" ref="CM72:DB72" si="746">CM65+CM69+CM70+CM71</f>
        <v>650.04705874377089</v>
      </c>
      <c r="CN72" s="27">
        <f t="shared" si="746"/>
        <v>723.50496092260403</v>
      </c>
      <c r="CO72" s="27">
        <f t="shared" si="746"/>
        <v>835.99155073197528</v>
      </c>
      <c r="CP72" s="27">
        <f t="shared" si="746"/>
        <v>980.75122241258487</v>
      </c>
      <c r="CQ72" s="27">
        <f t="shared" si="746"/>
        <v>769.88702689792785</v>
      </c>
      <c r="CR72" s="27">
        <f t="shared" si="746"/>
        <v>824.91881723378583</v>
      </c>
      <c r="CS72" s="27">
        <f t="shared" si="746"/>
        <v>982.13829506095863</v>
      </c>
      <c r="CT72" s="27">
        <f t="shared" si="746"/>
        <v>1130.6769978628204</v>
      </c>
      <c r="CU72" s="27">
        <f t="shared" si="746"/>
        <v>878.51649596318191</v>
      </c>
      <c r="CV72" s="27">
        <f t="shared" si="746"/>
        <v>952.96147530513122</v>
      </c>
      <c r="CW72" s="27">
        <f t="shared" si="746"/>
        <v>1150.6906363665321</v>
      </c>
      <c r="CX72" s="27">
        <f t="shared" si="746"/>
        <v>1333.9636515106777</v>
      </c>
      <c r="CY72" s="27">
        <f t="shared" si="746"/>
        <v>1012.2489469814539</v>
      </c>
      <c r="CZ72" s="27">
        <f t="shared" si="746"/>
        <v>1099.8665630520204</v>
      </c>
      <c r="DA72" s="27">
        <f t="shared" si="746"/>
        <v>1327.0121212378292</v>
      </c>
      <c r="DB72" s="27">
        <f t="shared" si="746"/>
        <v>1530.2380743793171</v>
      </c>
      <c r="DE72" s="121"/>
      <c r="DF72" s="26">
        <v>818.47864459443178</v>
      </c>
    </row>
    <row r="73" spans="1:110" s="25" customFormat="1" x14ac:dyDescent="0.2">
      <c r="A73" s="151" t="s">
        <v>486</v>
      </c>
      <c r="AB73" s="17"/>
      <c r="AC73" s="17"/>
      <c r="AD73" s="17"/>
      <c r="AE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E73" s="119"/>
    </row>
    <row r="74" spans="1:110" s="1" customFormat="1" x14ac:dyDescent="0.2">
      <c r="AB74" s="20"/>
      <c r="AC74" s="20"/>
      <c r="AD74" s="20"/>
      <c r="AE74" s="20"/>
      <c r="BV74" s="183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E74" s="119"/>
    </row>
    <row r="75" spans="1:110" s="22" customFormat="1" x14ac:dyDescent="0.2">
      <c r="A75" s="22" t="s">
        <v>434</v>
      </c>
      <c r="B75" s="22">
        <f>'Annual Raw'!C35</f>
        <v>0</v>
      </c>
      <c r="C75" s="22">
        <f>'Annual Raw'!D35</f>
        <v>0</v>
      </c>
      <c r="D75" s="22">
        <f>'Annual Raw'!E35</f>
        <v>0</v>
      </c>
      <c r="E75" s="22">
        <f>'Annual Raw'!F35</f>
        <v>0</v>
      </c>
      <c r="F75" s="22">
        <f>'Annual Raw'!G35</f>
        <v>0</v>
      </c>
      <c r="G75" s="22">
        <f>'Annual Raw'!H35</f>
        <v>0</v>
      </c>
      <c r="H75" s="22">
        <f>'Annual Raw'!I35</f>
        <v>0</v>
      </c>
      <c r="I75" s="22">
        <f>'Annual Raw'!J35</f>
        <v>153.66491379999999</v>
      </c>
      <c r="J75" s="22">
        <f>'Annual Raw'!K35</f>
        <v>64.814335900000003</v>
      </c>
      <c r="K75" s="22">
        <f>'Annual Raw'!L35</f>
        <v>113.9566135</v>
      </c>
      <c r="L75" s="22">
        <f>'Annual Raw'!M35</f>
        <v>0</v>
      </c>
      <c r="M75" s="22">
        <f>'Annual Raw'!N35</f>
        <v>33.237000000000002</v>
      </c>
      <c r="N75" s="22">
        <f>'Annual Raw'!O35</f>
        <v>76.891000000000005</v>
      </c>
      <c r="O75" s="22">
        <f>'Annual Raw'!P35</f>
        <v>93.241</v>
      </c>
      <c r="P75" s="22">
        <f>'Annual Raw'!Q35</f>
        <v>160.32499999999999</v>
      </c>
      <c r="Q75" s="22">
        <f>'Annual Raw'!R35</f>
        <v>187.96</v>
      </c>
      <c r="R75" s="22">
        <f>'Annual Raw'!S35</f>
        <v>232.49299999999999</v>
      </c>
      <c r="S75" s="22">
        <f>'Annual Raw'!T35</f>
        <v>358.01299999999998</v>
      </c>
      <c r="T75" s="22">
        <f>'Annual Raw'!U35</f>
        <v>499.70299999999997</v>
      </c>
      <c r="U75" s="22">
        <f>'Annual Raw'!V35</f>
        <v>759.05700000000002</v>
      </c>
      <c r="V75" s="22">
        <f>'Annual Raw'!W35</f>
        <v>882.09400000000005</v>
      </c>
      <c r="W75" s="22">
        <f>'Annual Raw'!X35</f>
        <v>908.577</v>
      </c>
      <c r="X75" s="22">
        <f>'Annual Raw'!Y35</f>
        <v>1270.7829999999999</v>
      </c>
      <c r="Y75" s="22">
        <f>'Annual Raw'!Z35</f>
        <v>1784.0450000000001</v>
      </c>
      <c r="Z75" s="22">
        <f>'Annual Raw'!AA35</f>
        <v>2019.99</v>
      </c>
      <c r="AA75" s="22">
        <f>'Annual Raw'!AB35</f>
        <v>2672.0329999999999</v>
      </c>
      <c r="AB75" s="21">
        <f t="shared" ref="AA75:AD75" si="747">+AB72</f>
        <v>3190.294792810937</v>
      </c>
      <c r="AC75" s="21">
        <f t="shared" si="747"/>
        <v>3707.6211370554879</v>
      </c>
      <c r="AD75" s="21">
        <f t="shared" si="747"/>
        <v>4316.1322591455191</v>
      </c>
      <c r="AE75" s="21">
        <f t="shared" ref="AE75" si="748">+AE72</f>
        <v>4969.3657056506154</v>
      </c>
      <c r="AI75" s="22">
        <f>'QTR Raw'!C42</f>
        <v>0</v>
      </c>
      <c r="AJ75" s="22">
        <f>'QTR Raw'!D42</f>
        <v>0</v>
      </c>
      <c r="AK75" s="22">
        <f>'QTR Raw'!E42</f>
        <v>0</v>
      </c>
      <c r="AL75" s="22">
        <f>'QTR Raw'!F42</f>
        <v>0</v>
      </c>
      <c r="AM75" s="22">
        <f>'QTR Raw'!G42</f>
        <v>0</v>
      </c>
      <c r="AN75" s="22">
        <f>'QTR Raw'!H42</f>
        <v>0</v>
      </c>
      <c r="AO75" s="22">
        <f>'QTR Raw'!I42</f>
        <v>0</v>
      </c>
      <c r="AP75" s="22">
        <f>'QTR Raw'!J42</f>
        <v>0</v>
      </c>
      <c r="AQ75" s="22">
        <f>'QTR Raw'!K42</f>
        <v>0</v>
      </c>
      <c r="AR75" s="22">
        <f>'QTR Raw'!L42</f>
        <v>0</v>
      </c>
      <c r="AS75" s="22">
        <f>'QTR Raw'!M42</f>
        <v>0</v>
      </c>
      <c r="AT75" s="22">
        <f>'QTR Raw'!N42</f>
        <v>0</v>
      </c>
      <c r="AU75" s="22">
        <f>'QTR Raw'!O42</f>
        <v>0</v>
      </c>
      <c r="AV75" s="22">
        <f>'QTR Raw'!P42</f>
        <v>0</v>
      </c>
      <c r="AW75" s="22">
        <f>'QTR Raw'!Q42</f>
        <v>0</v>
      </c>
      <c r="AX75" s="22">
        <f>'QTR Raw'!R42</f>
        <v>0</v>
      </c>
      <c r="AY75" s="22">
        <f>'QTR Raw'!S42</f>
        <v>0</v>
      </c>
      <c r="AZ75" s="22">
        <f>'QTR Raw'!T42</f>
        <v>0</v>
      </c>
      <c r="BA75" s="22">
        <f>'QTR Raw'!U42</f>
        <v>0</v>
      </c>
      <c r="BB75" s="22">
        <f>'QTR Raw'!V42</f>
        <v>0</v>
      </c>
      <c r="BC75" s="22">
        <f>'QTR Raw'!W42</f>
        <v>0</v>
      </c>
      <c r="BD75" s="22">
        <f>'QTR Raw'!X42</f>
        <v>0</v>
      </c>
      <c r="BE75" s="22">
        <f>'QTR Raw'!Y42</f>
        <v>0</v>
      </c>
      <c r="BF75" s="22">
        <f>'QTR Raw'!Z42</f>
        <v>188.71899999999999</v>
      </c>
      <c r="BG75" s="22">
        <f>'QTR Raw'!AA42</f>
        <v>77.001999999999995</v>
      </c>
      <c r="BH75" s="22">
        <f>'QTR Raw'!AB42</f>
        <v>89.204999999999998</v>
      </c>
      <c r="BI75" s="22">
        <f>'QTR Raw'!AC42</f>
        <v>193.33600000000001</v>
      </c>
      <c r="BJ75" s="22">
        <f>'QTR Raw'!AD42</f>
        <v>140.38200000000001</v>
      </c>
      <c r="BK75" s="22">
        <f>'QTR Raw'!AE42</f>
        <v>134.512</v>
      </c>
      <c r="BL75" s="22">
        <f>'QTR Raw'!AF42</f>
        <v>191.828</v>
      </c>
      <c r="BM75" s="22">
        <f>'QTR Raw'!AG42</f>
        <v>218.78</v>
      </c>
      <c r="BN75" s="22">
        <f>'QTR Raw'!AH42</f>
        <v>213.93700000000001</v>
      </c>
      <c r="BO75" s="22">
        <f>'QTR Raw'!AI42</f>
        <v>117.602</v>
      </c>
      <c r="BP75" s="22">
        <f>'QTR Raw'!AJ42</f>
        <v>220.548</v>
      </c>
      <c r="BQ75" s="22">
        <f>'QTR Raw'!AK42</f>
        <v>262.50200000000001</v>
      </c>
      <c r="BR75" s="22">
        <f>'QTR Raw'!AL42</f>
        <v>281.43200000000002</v>
      </c>
      <c r="BS75" s="22">
        <f>'QTR Raw'!AM42</f>
        <v>73.984999999999999</v>
      </c>
      <c r="BT75" s="22">
        <f>'QTR Raw'!AN42</f>
        <v>197.928</v>
      </c>
      <c r="BU75" s="22">
        <f>'QTR Raw'!AO42</f>
        <v>314.50900000000001</v>
      </c>
      <c r="BV75" s="22">
        <f>'QTR Raw'!AP42</f>
        <v>322.154</v>
      </c>
      <c r="BW75" s="22">
        <f>'QTR Raw'!AQ42</f>
        <v>219.75700000000001</v>
      </c>
      <c r="BX75" s="22">
        <f>'QTR Raw'!AR42</f>
        <v>267.96800000000002</v>
      </c>
      <c r="BY75" s="22">
        <f>'QTR Raw'!AS42</f>
        <v>357.88200000000001</v>
      </c>
      <c r="BZ75" s="22">
        <f>'QTR Raw'!AT42</f>
        <v>425.03399999999999</v>
      </c>
      <c r="CA75" s="22">
        <f>'QTR Raw'!AU42</f>
        <v>399.62299999999999</v>
      </c>
      <c r="CB75" s="22">
        <f>'QTR Raw'!AV42</f>
        <v>425.56799999999998</v>
      </c>
      <c r="CC75" s="22">
        <f>'QTR Raw'!AW42</f>
        <v>412.85</v>
      </c>
      <c r="CD75" s="22">
        <f>'QTR Raw'!AX42</f>
        <v>546.00400000000002</v>
      </c>
      <c r="CE75" s="22">
        <f>'QTR Raw'!AY42</f>
        <v>395.95400000000001</v>
      </c>
      <c r="CF75" s="22">
        <f>'QTR Raw'!AZ42</f>
        <v>439.81099999999998</v>
      </c>
      <c r="CG75" s="22">
        <f>'QTR Raw'!BA42</f>
        <v>457.55700000000002</v>
      </c>
      <c r="CH75" s="22">
        <f>'QTR Raw'!BB42</f>
        <v>726.66800000000001</v>
      </c>
      <c r="CI75" s="22">
        <f>'QTR Raw'!BC42</f>
        <v>592.12099999999998</v>
      </c>
      <c r="CJ75" s="22">
        <f>'QTR Raw'!BD42</f>
        <v>685.45600000000002</v>
      </c>
      <c r="CK75" s="22">
        <f>'QTR Raw'!BE42</f>
        <v>621.69000000000005</v>
      </c>
      <c r="CL75" s="22">
        <f>'QTR Raw'!BF42</f>
        <v>772.76599999999996</v>
      </c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9"/>
      <c r="DF75" s="22">
        <v>2672.0330000000008</v>
      </c>
    </row>
    <row r="76" spans="1:110" s="25" customFormat="1" x14ac:dyDescent="0.2">
      <c r="A76" s="36" t="s">
        <v>435</v>
      </c>
      <c r="B76" s="25">
        <f t="shared" ref="B76:V76" si="749">B75-B72</f>
        <v>0</v>
      </c>
      <c r="C76" s="25">
        <f>C75-C72</f>
        <v>0</v>
      </c>
      <c r="D76" s="25">
        <f t="shared" si="749"/>
        <v>0</v>
      </c>
      <c r="E76" s="25">
        <f t="shared" si="749"/>
        <v>0</v>
      </c>
      <c r="F76" s="25">
        <f t="shared" si="749"/>
        <v>0</v>
      </c>
      <c r="G76" s="25">
        <f t="shared" si="749"/>
        <v>0</v>
      </c>
      <c r="H76" s="25">
        <f t="shared" si="749"/>
        <v>0</v>
      </c>
      <c r="I76" s="25">
        <f t="shared" si="749"/>
        <v>0</v>
      </c>
      <c r="J76" s="25">
        <f t="shared" si="749"/>
        <v>-1.4210854715202004E-13</v>
      </c>
      <c r="K76" s="25">
        <f t="shared" si="749"/>
        <v>0</v>
      </c>
      <c r="L76" s="25">
        <f t="shared" si="749"/>
        <v>0</v>
      </c>
      <c r="M76" s="25">
        <f t="shared" si="749"/>
        <v>2.3447910280083306E-13</v>
      </c>
      <c r="N76" s="25">
        <f t="shared" si="749"/>
        <v>2.9842794901924208E-13</v>
      </c>
      <c r="O76" s="25">
        <f t="shared" si="749"/>
        <v>-1.5631940186722204E-13</v>
      </c>
      <c r="P76" s="25">
        <f t="shared" si="749"/>
        <v>-5.6843418860808015E-13</v>
      </c>
      <c r="Q76" s="25">
        <f t="shared" si="749"/>
        <v>0</v>
      </c>
      <c r="R76" s="25">
        <f t="shared" si="749"/>
        <v>-5.9685589803848416E-13</v>
      </c>
      <c r="S76" s="25">
        <f t="shared" si="749"/>
        <v>0</v>
      </c>
      <c r="T76" s="25">
        <f t="shared" si="749"/>
        <v>0</v>
      </c>
      <c r="U76" s="25">
        <f t="shared" si="749"/>
        <v>1.1368683772161603E-12</v>
      </c>
      <c r="V76" s="25">
        <f t="shared" si="749"/>
        <v>0</v>
      </c>
      <c r="W76" s="25">
        <f t="shared" ref="W76" si="750">W75-W72</f>
        <v>-1.4779288903810084E-12</v>
      </c>
      <c r="X76" s="25">
        <f t="shared" ref="X76:Y76" si="751">X75-X72</f>
        <v>0</v>
      </c>
      <c r="Y76" s="25">
        <f t="shared" si="751"/>
        <v>0</v>
      </c>
      <c r="Z76" s="25">
        <f t="shared" ref="Z76:AA76" si="752">Z75-Z72</f>
        <v>0</v>
      </c>
      <c r="AA76" s="25">
        <f t="shared" si="752"/>
        <v>0</v>
      </c>
      <c r="AB76" s="17">
        <f t="shared" ref="AA76:AD76" si="753">AB75-AB72</f>
        <v>0</v>
      </c>
      <c r="AC76" s="17">
        <f t="shared" si="753"/>
        <v>0</v>
      </c>
      <c r="AD76" s="17">
        <f t="shared" si="753"/>
        <v>0</v>
      </c>
      <c r="AE76" s="17">
        <f t="shared" ref="AE76" si="754">AE75-AE72</f>
        <v>0</v>
      </c>
      <c r="AI76" s="25">
        <f t="shared" ref="AI76" si="755">AI75-AI72</f>
        <v>0</v>
      </c>
      <c r="AJ76" s="25">
        <f t="shared" ref="AJ76" si="756">AJ75-AJ72</f>
        <v>0</v>
      </c>
      <c r="AK76" s="25">
        <f t="shared" ref="AK76:AM76" si="757">AK75-AK72</f>
        <v>0</v>
      </c>
      <c r="AL76" s="25">
        <f t="shared" si="757"/>
        <v>0</v>
      </c>
      <c r="AM76" s="25">
        <f t="shared" si="757"/>
        <v>0</v>
      </c>
      <c r="AN76" s="25">
        <f t="shared" ref="AN76:AO76" si="758">AN75-AN72</f>
        <v>0</v>
      </c>
      <c r="AO76" s="25">
        <f t="shared" si="758"/>
        <v>0</v>
      </c>
      <c r="AP76" s="25">
        <f t="shared" ref="AP76:CD76" si="759">AP75-AP72</f>
        <v>0</v>
      </c>
      <c r="AQ76" s="25">
        <f t="shared" si="759"/>
        <v>0</v>
      </c>
      <c r="AR76" s="25">
        <f t="shared" si="759"/>
        <v>0</v>
      </c>
      <c r="AS76" s="25">
        <f t="shared" si="759"/>
        <v>0</v>
      </c>
      <c r="AT76" s="25">
        <f t="shared" si="759"/>
        <v>0</v>
      </c>
      <c r="AU76" s="25">
        <f t="shared" si="759"/>
        <v>0</v>
      </c>
      <c r="AV76" s="25">
        <f t="shared" si="759"/>
        <v>0</v>
      </c>
      <c r="AW76" s="25">
        <f t="shared" si="759"/>
        <v>0</v>
      </c>
      <c r="AX76" s="25">
        <f t="shared" si="759"/>
        <v>0</v>
      </c>
      <c r="AY76" s="25">
        <f t="shared" si="759"/>
        <v>0</v>
      </c>
      <c r="AZ76" s="25">
        <f t="shared" si="759"/>
        <v>0</v>
      </c>
      <c r="BA76" s="25">
        <f t="shared" si="759"/>
        <v>0</v>
      </c>
      <c r="BB76" s="25">
        <f t="shared" si="759"/>
        <v>0</v>
      </c>
      <c r="BC76" s="25">
        <f t="shared" si="759"/>
        <v>0</v>
      </c>
      <c r="BD76" s="25">
        <f t="shared" si="759"/>
        <v>0</v>
      </c>
      <c r="BE76" s="25">
        <f t="shared" si="759"/>
        <v>0</v>
      </c>
      <c r="BF76" s="25">
        <f t="shared" si="759"/>
        <v>0</v>
      </c>
      <c r="BG76" s="25">
        <f t="shared" si="759"/>
        <v>1.4210854715202004E-13</v>
      </c>
      <c r="BH76" s="25">
        <f t="shared" si="759"/>
        <v>0</v>
      </c>
      <c r="BI76" s="25">
        <f t="shared" si="759"/>
        <v>0</v>
      </c>
      <c r="BJ76" s="25">
        <f t="shared" si="759"/>
        <v>-2.2737367544323206E-13</v>
      </c>
      <c r="BK76" s="25">
        <f t="shared" si="759"/>
        <v>0</v>
      </c>
      <c r="BL76" s="25">
        <f t="shared" si="759"/>
        <v>0</v>
      </c>
      <c r="BM76" s="25">
        <f t="shared" si="759"/>
        <v>0</v>
      </c>
      <c r="BN76" s="25">
        <f t="shared" si="759"/>
        <v>2.8421709430404007E-13</v>
      </c>
      <c r="BO76" s="25">
        <f t="shared" si="759"/>
        <v>0</v>
      </c>
      <c r="BP76" s="25">
        <f t="shared" si="759"/>
        <v>0</v>
      </c>
      <c r="BQ76" s="25">
        <f t="shared" si="759"/>
        <v>0</v>
      </c>
      <c r="BR76" s="25">
        <f t="shared" si="759"/>
        <v>-9.9999999991950972E-4</v>
      </c>
      <c r="BS76" s="25">
        <f t="shared" si="759"/>
        <v>0</v>
      </c>
      <c r="BT76" s="25">
        <f t="shared" si="759"/>
        <v>0</v>
      </c>
      <c r="BU76" s="25">
        <f t="shared" si="759"/>
        <v>0</v>
      </c>
      <c r="BV76" s="25">
        <f t="shared" si="759"/>
        <v>0</v>
      </c>
      <c r="BW76" s="25">
        <f t="shared" si="759"/>
        <v>0</v>
      </c>
      <c r="BX76" s="25">
        <f t="shared" si="759"/>
        <v>0</v>
      </c>
      <c r="BY76" s="25">
        <f t="shared" si="759"/>
        <v>0</v>
      </c>
      <c r="BZ76" s="25">
        <f t="shared" si="759"/>
        <v>0</v>
      </c>
      <c r="CA76" s="25">
        <f t="shared" si="759"/>
        <v>0</v>
      </c>
      <c r="CB76" s="25">
        <f t="shared" si="759"/>
        <v>0</v>
      </c>
      <c r="CC76" s="25">
        <f t="shared" si="759"/>
        <v>0</v>
      </c>
      <c r="CD76" s="25">
        <f t="shared" si="759"/>
        <v>0</v>
      </c>
      <c r="CE76" s="25">
        <f t="shared" ref="CE76:CF76" si="760">CE75-CE72</f>
        <v>0</v>
      </c>
      <c r="CF76" s="25">
        <f t="shared" si="760"/>
        <v>5.6843418860808015E-13</v>
      </c>
      <c r="CG76" s="25">
        <f t="shared" ref="CG76:CH76" si="761">CG75-CG72</f>
        <v>0</v>
      </c>
      <c r="CH76" s="25">
        <f t="shared" si="761"/>
        <v>0</v>
      </c>
      <c r="CI76" s="25">
        <f t="shared" ref="CI76:CJ76" si="762">CI75-CI72</f>
        <v>0</v>
      </c>
      <c r="CJ76" s="25">
        <f t="shared" si="762"/>
        <v>0</v>
      </c>
      <c r="CK76" s="25">
        <f t="shared" ref="CK76:CL76" si="763">CK75-CK72</f>
        <v>0</v>
      </c>
      <c r="CL76" s="25">
        <f t="shared" si="763"/>
        <v>0</v>
      </c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E76" s="119"/>
      <c r="DF76" s="25">
        <v>0</v>
      </c>
    </row>
    <row r="77" spans="1:110" s="1" customFormat="1" x14ac:dyDescent="0.2">
      <c r="A77" s="150" t="s">
        <v>487</v>
      </c>
      <c r="AB77" s="20"/>
      <c r="AC77" s="20"/>
      <c r="AD77" s="20"/>
      <c r="AE77" s="20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E77" s="119"/>
    </row>
    <row r="78" spans="1:110" s="38" customFormat="1" x14ac:dyDescent="0.2">
      <c r="A78" s="38" t="s">
        <v>350</v>
      </c>
      <c r="B78" s="39" t="e">
        <f t="shared" ref="B78:AE78" si="764">(B72-B71)/B144</f>
        <v>#DIV/0!</v>
      </c>
      <c r="C78" s="39" t="e">
        <f t="shared" si="764"/>
        <v>#DIV/0!</v>
      </c>
      <c r="D78" s="39" t="e">
        <f t="shared" si="764"/>
        <v>#DIV/0!</v>
      </c>
      <c r="E78" s="39" t="e">
        <f t="shared" si="764"/>
        <v>#DIV/0!</v>
      </c>
      <c r="F78" s="39" t="e">
        <f t="shared" si="764"/>
        <v>#DIV/0!</v>
      </c>
      <c r="G78" s="39" t="e">
        <f t="shared" si="764"/>
        <v>#DIV/0!</v>
      </c>
      <c r="H78" s="39" t="e">
        <f t="shared" si="764"/>
        <v>#DIV/0!</v>
      </c>
      <c r="I78" s="39">
        <f t="shared" si="764"/>
        <v>0.31097316387474111</v>
      </c>
      <c r="J78" s="39">
        <f t="shared" si="764"/>
        <v>0.11743074640240377</v>
      </c>
      <c r="K78" s="39">
        <f t="shared" si="764"/>
        <v>0.12859952290644114</v>
      </c>
      <c r="L78" s="39">
        <f t="shared" si="764"/>
        <v>0</v>
      </c>
      <c r="M78" s="39">
        <f t="shared" si="764"/>
        <v>3.151110525412603E-2</v>
      </c>
      <c r="N78" s="39">
        <f t="shared" si="764"/>
        <v>5.9442581331452984E-2</v>
      </c>
      <c r="O78" s="39">
        <f t="shared" si="764"/>
        <v>6.8451395552175387E-2</v>
      </c>
      <c r="P78" s="39">
        <f t="shared" si="764"/>
        <v>9.8856392014537317E-2</v>
      </c>
      <c r="Q78" s="39">
        <f t="shared" si="764"/>
        <v>0.10526197889832206</v>
      </c>
      <c r="R78" s="39">
        <f t="shared" si="764"/>
        <v>0.11662301741171402</v>
      </c>
      <c r="S78" s="39">
        <f t="shared" si="764"/>
        <v>0.15250046962475586</v>
      </c>
      <c r="T78" s="39">
        <f t="shared" si="764"/>
        <v>0.17552191727652877</v>
      </c>
      <c r="U78" s="39">
        <f t="shared" si="764"/>
        <v>0.1978558106982688</v>
      </c>
      <c r="V78" s="39">
        <f t="shared" si="764"/>
        <v>0.17627315447818026</v>
      </c>
      <c r="W78" s="39">
        <f t="shared" si="764"/>
        <v>0.15089521678592155</v>
      </c>
      <c r="X78" s="39">
        <f t="shared" si="764"/>
        <v>0.19146351771159184</v>
      </c>
      <c r="Y78" s="39">
        <f t="shared" si="764"/>
        <v>0.21790836695722837</v>
      </c>
      <c r="Z78" s="39">
        <f t="shared" si="764"/>
        <v>0.20553303781877491</v>
      </c>
      <c r="AA78" s="39">
        <f t="shared" ref="AA78" si="765">(AA72-AA71)/AA144</f>
        <v>0.22251039590372762</v>
      </c>
      <c r="AB78" s="40">
        <f t="shared" si="764"/>
        <v>0.20990340902956731</v>
      </c>
      <c r="AC78" s="40">
        <f t="shared" si="764"/>
        <v>0.19610307141107386</v>
      </c>
      <c r="AD78" s="40">
        <f t="shared" si="764"/>
        <v>0.18585893756088714</v>
      </c>
      <c r="AE78" s="40">
        <f t="shared" si="764"/>
        <v>0.17626871051736001</v>
      </c>
      <c r="AF78" s="39"/>
      <c r="AG78" s="39"/>
      <c r="AH78" s="39"/>
      <c r="AI78" s="39"/>
      <c r="AJ78" s="39"/>
      <c r="AK78" s="39"/>
      <c r="AL78" s="39" t="e">
        <f t="shared" ref="AL78:BQ78" si="766">(SUM(AI72:AL72)-SUM(AI71:AL71))/AL144</f>
        <v>#DIV/0!</v>
      </c>
      <c r="AM78" s="39" t="e">
        <f t="shared" si="766"/>
        <v>#DIV/0!</v>
      </c>
      <c r="AN78" s="39" t="e">
        <f t="shared" si="766"/>
        <v>#DIV/0!</v>
      </c>
      <c r="AO78" s="39" t="e">
        <f t="shared" si="766"/>
        <v>#DIV/0!</v>
      </c>
      <c r="AP78" s="39" t="e">
        <f t="shared" si="766"/>
        <v>#DIV/0!</v>
      </c>
      <c r="AQ78" s="39" t="e">
        <f t="shared" si="766"/>
        <v>#DIV/0!</v>
      </c>
      <c r="AR78" s="39" t="e">
        <f t="shared" si="766"/>
        <v>#DIV/0!</v>
      </c>
      <c r="AS78" s="39" t="e">
        <f t="shared" si="766"/>
        <v>#DIV/0!</v>
      </c>
      <c r="AT78" s="39" t="e">
        <f t="shared" si="766"/>
        <v>#DIV/0!</v>
      </c>
      <c r="AU78" s="39" t="e">
        <f t="shared" si="766"/>
        <v>#DIV/0!</v>
      </c>
      <c r="AV78" s="39" t="e">
        <f t="shared" si="766"/>
        <v>#DIV/0!</v>
      </c>
      <c r="AW78" s="39" t="e">
        <f t="shared" si="766"/>
        <v>#DIV/0!</v>
      </c>
      <c r="AX78" s="39" t="e">
        <f t="shared" si="766"/>
        <v>#DIV/0!</v>
      </c>
      <c r="AY78" s="39" t="e">
        <f t="shared" si="766"/>
        <v>#DIV/0!</v>
      </c>
      <c r="AZ78" s="39" t="e">
        <f t="shared" si="766"/>
        <v>#DIV/0!</v>
      </c>
      <c r="BA78" s="39" t="e">
        <f t="shared" si="766"/>
        <v>#DIV/0!</v>
      </c>
      <c r="BB78" s="39" t="e">
        <f t="shared" si="766"/>
        <v>#DIV/0!</v>
      </c>
      <c r="BC78" s="39" t="e">
        <f t="shared" si="766"/>
        <v>#DIV/0!</v>
      </c>
      <c r="BD78" s="39" t="e">
        <f t="shared" si="766"/>
        <v>#DIV/0!</v>
      </c>
      <c r="BE78" s="39" t="e">
        <f t="shared" si="766"/>
        <v>#DIV/0!</v>
      </c>
      <c r="BF78" s="39">
        <f t="shared" si="766"/>
        <v>8.0387405281691859E-2</v>
      </c>
      <c r="BG78" s="39">
        <f t="shared" si="766"/>
        <v>0.1095927982146488</v>
      </c>
      <c r="BH78" s="39" t="e">
        <f t="shared" si="766"/>
        <v>#DIV/0!</v>
      </c>
      <c r="BI78" s="39">
        <f t="shared" si="766"/>
        <v>2.8357988165680461</v>
      </c>
      <c r="BJ78" s="39">
        <f t="shared" si="766"/>
        <v>0.17559989532676146</v>
      </c>
      <c r="BK78" s="39">
        <f t="shared" si="766"/>
        <v>0.18696668452141185</v>
      </c>
      <c r="BL78" s="39">
        <f t="shared" si="766"/>
        <v>0.18765049811143542</v>
      </c>
      <c r="BM78" s="39">
        <f t="shared" si="766"/>
        <v>0.18347248295490745</v>
      </c>
      <c r="BN78" s="39">
        <f t="shared" si="766"/>
        <v>0.19785581069826905</v>
      </c>
      <c r="BO78" s="39">
        <f t="shared" si="766"/>
        <v>0.18523668461718801</v>
      </c>
      <c r="BP78" s="39">
        <f t="shared" si="766"/>
        <v>0.18063703264570996</v>
      </c>
      <c r="BQ78" s="39">
        <f t="shared" si="766"/>
        <v>0.17565722672939846</v>
      </c>
      <c r="BR78" s="39">
        <f t="shared" ref="BR78:CW78" si="767">(SUM(BO72:BR72)-SUM(BO71:BR71))/BR144</f>
        <v>0.17704178008136412</v>
      </c>
      <c r="BS78" s="39">
        <f t="shared" si="767"/>
        <v>0.16698705965813468</v>
      </c>
      <c r="BT78" s="39">
        <f t="shared" si="767"/>
        <v>0.15971997934106166</v>
      </c>
      <c r="BU78" s="39">
        <f t="shared" si="767"/>
        <v>0.15060746422458704</v>
      </c>
      <c r="BV78" s="39">
        <f t="shared" si="767"/>
        <v>0.15089503640231386</v>
      </c>
      <c r="BW78" s="39">
        <f t="shared" si="767"/>
        <v>0.17070206322618658</v>
      </c>
      <c r="BX78" s="39">
        <f t="shared" si="767"/>
        <v>0.18113676627046185</v>
      </c>
      <c r="BY78" s="39">
        <f t="shared" si="767"/>
        <v>0.18862052701799042</v>
      </c>
      <c r="BZ78" s="39">
        <f t="shared" si="767"/>
        <v>0.19144212317018278</v>
      </c>
      <c r="CA78" s="39">
        <f t="shared" si="767"/>
        <v>0.20613074353082275</v>
      </c>
      <c r="CB78" s="39">
        <f t="shared" si="767"/>
        <v>0.22349930480775049</v>
      </c>
      <c r="CC78" s="39">
        <f t="shared" si="767"/>
        <v>0.21859607449123822</v>
      </c>
      <c r="CD78" s="39">
        <f t="shared" si="767"/>
        <v>0.21790836695722832</v>
      </c>
      <c r="CE78" s="39">
        <f t="shared" si="767"/>
        <v>0.20742837542851708</v>
      </c>
      <c r="CF78" s="39">
        <f t="shared" si="767"/>
        <v>0.20882309545485855</v>
      </c>
      <c r="CG78" s="39">
        <f t="shared" si="767"/>
        <v>0.20320620006021081</v>
      </c>
      <c r="CH78" s="39">
        <f t="shared" si="767"/>
        <v>0.20553303781877483</v>
      </c>
      <c r="CI78" s="39">
        <f t="shared" si="767"/>
        <v>0.21267942115373092</v>
      </c>
      <c r="CJ78" s="39">
        <f t="shared" si="767"/>
        <v>0.23238310387982616</v>
      </c>
      <c r="CK78" s="39">
        <f t="shared" si="767"/>
        <v>0.23413629387845933</v>
      </c>
      <c r="CL78" s="39">
        <f t="shared" si="767"/>
        <v>0.22251039590372745</v>
      </c>
      <c r="CM78" s="40">
        <f t="shared" si="767"/>
        <v>0.21566003238070103</v>
      </c>
      <c r="CN78" s="40">
        <f t="shared" si="767"/>
        <v>0.20684363619885493</v>
      </c>
      <c r="CO78" s="40">
        <f t="shared" si="767"/>
        <v>0.20975414896688727</v>
      </c>
      <c r="CP78" s="40">
        <f t="shared" si="767"/>
        <v>0.20990340902956717</v>
      </c>
      <c r="CQ78" s="40">
        <f t="shared" si="767"/>
        <v>0.20728818098046914</v>
      </c>
      <c r="CR78" s="40">
        <f t="shared" si="767"/>
        <v>0.20314483189294985</v>
      </c>
      <c r="CS78" s="40">
        <f t="shared" si="767"/>
        <v>0.20014246183447693</v>
      </c>
      <c r="CT78" s="40">
        <f t="shared" si="767"/>
        <v>0.19610307141107411</v>
      </c>
      <c r="CU78" s="40">
        <f t="shared" si="767"/>
        <v>0.19288597325733647</v>
      </c>
      <c r="CV78" s="40">
        <f t="shared" si="767"/>
        <v>0.19019669152747051</v>
      </c>
      <c r="CW78" s="40">
        <f t="shared" si="767"/>
        <v>0.18789845995606877</v>
      </c>
      <c r="CX78" s="40">
        <f t="shared" ref="CX78:DB78" si="768">(SUM(CU72:CX72)-SUM(CU71:CX71))/CX144</f>
        <v>0.18585893756088728</v>
      </c>
      <c r="CY78" s="40">
        <f t="shared" si="768"/>
        <v>0.18361411199445885</v>
      </c>
      <c r="CZ78" s="40">
        <f t="shared" si="768"/>
        <v>0.1814413667760669</v>
      </c>
      <c r="DA78" s="40">
        <f t="shared" si="768"/>
        <v>0.17902391841899878</v>
      </c>
      <c r="DB78" s="40">
        <f t="shared" si="768"/>
        <v>0.17626871051736021</v>
      </c>
      <c r="DE78" s="122"/>
      <c r="DF78" s="38">
        <v>0.22584097901996725</v>
      </c>
    </row>
    <row r="79" spans="1:110" s="38" customFormat="1" x14ac:dyDescent="0.2">
      <c r="A79" s="38" t="s">
        <v>351</v>
      </c>
      <c r="B79" s="39" t="e">
        <f t="shared" ref="B79:AE79" si="769">+B58/B153</f>
        <v>#DIV/0!</v>
      </c>
      <c r="C79" s="39" t="e">
        <f t="shared" si="769"/>
        <v>#DIV/0!</v>
      </c>
      <c r="D79" s="39" t="e">
        <f t="shared" si="769"/>
        <v>#DIV/0!</v>
      </c>
      <c r="E79" s="39" t="e">
        <f t="shared" si="769"/>
        <v>#DIV/0!</v>
      </c>
      <c r="F79" s="39" t="e">
        <f t="shared" si="769"/>
        <v>#DIV/0!</v>
      </c>
      <c r="G79" s="39" t="e">
        <f t="shared" si="769"/>
        <v>#DIV/0!</v>
      </c>
      <c r="H79" s="39" t="e">
        <f t="shared" si="769"/>
        <v>#DIV/0!</v>
      </c>
      <c r="I79" s="39">
        <f t="shared" si="769"/>
        <v>0.26701399436349671</v>
      </c>
      <c r="J79" s="39">
        <f t="shared" si="769"/>
        <v>0.16213943587584184</v>
      </c>
      <c r="K79" s="39">
        <f t="shared" si="769"/>
        <v>5.732762034506101E-2</v>
      </c>
      <c r="L79" s="39">
        <f t="shared" si="769"/>
        <v>0</v>
      </c>
      <c r="M79" s="39">
        <f t="shared" si="769"/>
        <v>8.5773669174490502E-2</v>
      </c>
      <c r="N79" s="39">
        <f t="shared" si="769"/>
        <v>0.12889928656303209</v>
      </c>
      <c r="O79" s="39">
        <f t="shared" si="769"/>
        <v>0.14121430255298387</v>
      </c>
      <c r="P79" s="39">
        <f t="shared" si="769"/>
        <v>0.15803160327540147</v>
      </c>
      <c r="Q79" s="39">
        <f t="shared" si="769"/>
        <v>0.14505955467498385</v>
      </c>
      <c r="R79" s="39">
        <f t="shared" si="769"/>
        <v>0.12343144349269945</v>
      </c>
      <c r="S79" s="39">
        <f t="shared" si="769"/>
        <v>0.18906481402753567</v>
      </c>
      <c r="T79" s="39">
        <f t="shared" si="769"/>
        <v>0.25938879064799242</v>
      </c>
      <c r="U79" s="39">
        <f t="shared" si="769"/>
        <v>0.2430199729423147</v>
      </c>
      <c r="V79" s="39">
        <f t="shared" si="769"/>
        <v>0.18519516458778676</v>
      </c>
      <c r="W79" s="39">
        <f t="shared" si="769"/>
        <v>0.18554246625852433</v>
      </c>
      <c r="X79" s="39">
        <f t="shared" si="769"/>
        <v>0.24302470714781363</v>
      </c>
      <c r="Y79" s="39">
        <f t="shared" si="769"/>
        <v>0.26961886401423735</v>
      </c>
      <c r="Z79" s="39">
        <f t="shared" si="769"/>
        <v>0.26571341478264715</v>
      </c>
      <c r="AA79" s="39">
        <f t="shared" ref="AA79" si="770">+AA58/AA153</f>
        <v>0.29527551379736755</v>
      </c>
      <c r="AB79" s="40">
        <f t="shared" si="769"/>
        <v>0.28096642061427929</v>
      </c>
      <c r="AC79" s="40">
        <f t="shared" si="769"/>
        <v>0.26349536467726997</v>
      </c>
      <c r="AD79" s="40">
        <f t="shared" si="769"/>
        <v>0.24970448807292217</v>
      </c>
      <c r="AE79" s="40">
        <f t="shared" si="769"/>
        <v>0.23666241369505109</v>
      </c>
      <c r="AF79" s="39"/>
      <c r="AG79" s="39"/>
      <c r="AH79" s="39"/>
      <c r="AI79" s="39"/>
      <c r="AJ79" s="39"/>
      <c r="AK79" s="39"/>
      <c r="AL79" s="39" t="e">
        <f t="shared" ref="AL79:BQ79" si="771">+SUM(AI58:AL58)/AL153</f>
        <v>#DIV/0!</v>
      </c>
      <c r="AM79" s="39" t="e">
        <f t="shared" si="771"/>
        <v>#DIV/0!</v>
      </c>
      <c r="AN79" s="39" t="e">
        <f t="shared" si="771"/>
        <v>#DIV/0!</v>
      </c>
      <c r="AO79" s="39" t="e">
        <f t="shared" si="771"/>
        <v>#DIV/0!</v>
      </c>
      <c r="AP79" s="39" t="e">
        <f t="shared" si="771"/>
        <v>#DIV/0!</v>
      </c>
      <c r="AQ79" s="39" t="e">
        <f t="shared" si="771"/>
        <v>#DIV/0!</v>
      </c>
      <c r="AR79" s="39" t="e">
        <f t="shared" si="771"/>
        <v>#DIV/0!</v>
      </c>
      <c r="AS79" s="39" t="e">
        <f t="shared" si="771"/>
        <v>#DIV/0!</v>
      </c>
      <c r="AT79" s="39" t="e">
        <f t="shared" si="771"/>
        <v>#DIV/0!</v>
      </c>
      <c r="AU79" s="39" t="e">
        <f t="shared" si="771"/>
        <v>#DIV/0!</v>
      </c>
      <c r="AV79" s="39" t="e">
        <f t="shared" si="771"/>
        <v>#DIV/0!</v>
      </c>
      <c r="AW79" s="39" t="e">
        <f t="shared" si="771"/>
        <v>#DIV/0!</v>
      </c>
      <c r="AX79" s="39" t="e">
        <f t="shared" si="771"/>
        <v>#DIV/0!</v>
      </c>
      <c r="AY79" s="39" t="e">
        <f t="shared" si="771"/>
        <v>#DIV/0!</v>
      </c>
      <c r="AZ79" s="39" t="e">
        <f t="shared" si="771"/>
        <v>#DIV/0!</v>
      </c>
      <c r="BA79" s="39" t="e">
        <f t="shared" si="771"/>
        <v>#DIV/0!</v>
      </c>
      <c r="BB79" s="39" t="e">
        <f t="shared" si="771"/>
        <v>#DIV/0!</v>
      </c>
      <c r="BC79" s="39" t="e">
        <f t="shared" si="771"/>
        <v>#DIV/0!</v>
      </c>
      <c r="BD79" s="39" t="e">
        <f t="shared" si="771"/>
        <v>#DIV/0!</v>
      </c>
      <c r="BE79" s="39" t="e">
        <f t="shared" si="771"/>
        <v>#DIV/0!</v>
      </c>
      <c r="BF79" s="39">
        <f t="shared" si="771"/>
        <v>0.10119011665403421</v>
      </c>
      <c r="BG79" s="39">
        <f t="shared" si="771"/>
        <v>0.14233909650471238</v>
      </c>
      <c r="BH79" s="39" t="e">
        <f t="shared" si="771"/>
        <v>#DIV/0!</v>
      </c>
      <c r="BI79" s="39">
        <f t="shared" si="771"/>
        <v>4.7127281003020629</v>
      </c>
      <c r="BJ79" s="39">
        <f t="shared" si="771"/>
        <v>0.26539094617795772</v>
      </c>
      <c r="BK79" s="39">
        <f t="shared" si="771"/>
        <v>0.26908615262385105</v>
      </c>
      <c r="BL79" s="39">
        <f t="shared" si="771"/>
        <v>0.24814927126446215</v>
      </c>
      <c r="BM79" s="39">
        <f t="shared" si="771"/>
        <v>0.23843752497273951</v>
      </c>
      <c r="BN79" s="39">
        <f t="shared" si="771"/>
        <v>0.24515750884039172</v>
      </c>
      <c r="BO79" s="39">
        <f t="shared" si="771"/>
        <v>0.19608665098230926</v>
      </c>
      <c r="BP79" s="39">
        <f t="shared" si="771"/>
        <v>0.18836142266883865</v>
      </c>
      <c r="BQ79" s="39">
        <f t="shared" si="771"/>
        <v>0.17923944892753038</v>
      </c>
      <c r="BR79" s="39">
        <f t="shared" ref="BR79:CW79" si="772">+SUM(BO58:BR58)/BR153</f>
        <v>0.1877985937937498</v>
      </c>
      <c r="BS79" s="39">
        <f t="shared" si="772"/>
        <v>0.19914633459452663</v>
      </c>
      <c r="BT79" s="39">
        <f t="shared" si="772"/>
        <v>0.19231951298452782</v>
      </c>
      <c r="BU79" s="39">
        <f t="shared" si="772"/>
        <v>0.18227597761455949</v>
      </c>
      <c r="BV79" s="39">
        <f t="shared" si="772"/>
        <v>0.18819695021856184</v>
      </c>
      <c r="BW79" s="39">
        <f t="shared" si="772"/>
        <v>0.2109890435534631</v>
      </c>
      <c r="BX79" s="39">
        <f t="shared" si="772"/>
        <v>0.22996399590334624</v>
      </c>
      <c r="BY79" s="39">
        <f t="shared" si="772"/>
        <v>0.23921376229049807</v>
      </c>
      <c r="BZ79" s="39">
        <f t="shared" si="772"/>
        <v>0.24348650083392576</v>
      </c>
      <c r="CA79" s="39">
        <f t="shared" si="772"/>
        <v>0.26223590274547104</v>
      </c>
      <c r="CB79" s="39">
        <f t="shared" si="772"/>
        <v>0.27671369911907223</v>
      </c>
      <c r="CC79" s="39">
        <f t="shared" si="772"/>
        <v>0.26929003051505657</v>
      </c>
      <c r="CD79" s="39">
        <f t="shared" si="772"/>
        <v>0.26922645373308784</v>
      </c>
      <c r="CE79" s="39">
        <f t="shared" si="772"/>
        <v>0.25986081677209788</v>
      </c>
      <c r="CF79" s="39">
        <f t="shared" si="772"/>
        <v>0.25984330156604946</v>
      </c>
      <c r="CG79" s="39">
        <f t="shared" si="772"/>
        <v>0.26144995343510247</v>
      </c>
      <c r="CH79" s="39">
        <f t="shared" si="772"/>
        <v>0.26571341478264709</v>
      </c>
      <c r="CI79" s="39">
        <f t="shared" si="772"/>
        <v>0.27497738420946127</v>
      </c>
      <c r="CJ79" s="39">
        <f t="shared" si="772"/>
        <v>0.30341541904052038</v>
      </c>
      <c r="CK79" s="39">
        <f t="shared" si="772"/>
        <v>0.30608100955236417</v>
      </c>
      <c r="CL79" s="39">
        <f t="shared" si="772"/>
        <v>0.29527551379736738</v>
      </c>
      <c r="CM79" s="40">
        <f t="shared" si="772"/>
        <v>0.29111632453626574</v>
      </c>
      <c r="CN79" s="40">
        <f t="shared" si="772"/>
        <v>0.27954984019203671</v>
      </c>
      <c r="CO79" s="40">
        <f t="shared" si="772"/>
        <v>0.2819428152050325</v>
      </c>
      <c r="CP79" s="40">
        <f t="shared" si="772"/>
        <v>0.28096642061427918</v>
      </c>
      <c r="CQ79" s="40">
        <f t="shared" si="772"/>
        <v>0.27619893274558693</v>
      </c>
      <c r="CR79" s="40">
        <f t="shared" si="772"/>
        <v>0.27140315975053819</v>
      </c>
      <c r="CS79" s="40">
        <f t="shared" si="772"/>
        <v>0.26813985363506254</v>
      </c>
      <c r="CT79" s="40">
        <f t="shared" si="772"/>
        <v>0.26349536467727025</v>
      </c>
      <c r="CU79" s="40">
        <f t="shared" si="772"/>
        <v>0.25926646154260136</v>
      </c>
      <c r="CV79" s="40">
        <f t="shared" si="772"/>
        <v>0.25567929568134101</v>
      </c>
      <c r="CW79" s="40">
        <f t="shared" si="772"/>
        <v>0.25255832785598414</v>
      </c>
      <c r="CX79" s="40">
        <f t="shared" ref="CX79:DB79" si="773">+SUM(CU58:CX58)/CX153</f>
        <v>0.24970448807292234</v>
      </c>
      <c r="CY79" s="40">
        <f t="shared" si="773"/>
        <v>0.24666898566721332</v>
      </c>
      <c r="CZ79" s="40">
        <f t="shared" si="773"/>
        <v>0.24370379262460673</v>
      </c>
      <c r="DA79" s="40">
        <f t="shared" si="773"/>
        <v>0.24040593776681346</v>
      </c>
      <c r="DB79" s="40">
        <f t="shared" si="773"/>
        <v>0.23666241369505128</v>
      </c>
      <c r="DE79" s="122"/>
      <c r="DF79" s="38">
        <v>0.29951808243413636</v>
      </c>
    </row>
    <row r="80" spans="1:110" s="1" customFormat="1" x14ac:dyDescent="0.2">
      <c r="A80" s="150" t="s">
        <v>488</v>
      </c>
      <c r="AB80" s="20"/>
      <c r="AC80" s="20"/>
      <c r="AD80" s="20"/>
      <c r="AE80" s="20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E80" s="119"/>
    </row>
    <row r="81" spans="1:110" s="8" customFormat="1" x14ac:dyDescent="0.2">
      <c r="A81" s="12" t="s">
        <v>26</v>
      </c>
      <c r="AB81" s="58"/>
      <c r="AC81" s="58"/>
      <c r="AD81" s="58"/>
      <c r="AE81" s="58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E81" s="132"/>
    </row>
    <row r="82" spans="1:110" s="9" customFormat="1" x14ac:dyDescent="0.2">
      <c r="A82" s="9" t="s">
        <v>453</v>
      </c>
      <c r="N82" s="9">
        <f>N34-SUM(AI34:AL34)</f>
        <v>3719.473</v>
      </c>
      <c r="O82" s="9">
        <f>O34-SUM(AM34:AP34)</f>
        <v>3842.3180000000002</v>
      </c>
      <c r="P82" s="9">
        <f>P34-SUM(AQ34:AT34)</f>
        <v>4708.116</v>
      </c>
      <c r="Q82" s="9">
        <f>Q34-SUM(AU34:AX34)</f>
        <v>5186.83</v>
      </c>
      <c r="R82" s="9">
        <f>R34-SUM(AY34:BB34)</f>
        <v>5500.1170000000002</v>
      </c>
      <c r="S82" s="9">
        <f>S34-SUM(BC34:BF34)</f>
        <v>4660.0590000000002</v>
      </c>
      <c r="T82" s="9">
        <f>T34-SUM(BG34:BJ34)</f>
        <v>2.569999999999709</v>
      </c>
      <c r="U82" s="9">
        <f>U34-SUM(BK34:BN34)</f>
        <v>0</v>
      </c>
      <c r="V82" s="9">
        <f>V34-SUM(BO34:BR34)</f>
        <v>12.876000000000204</v>
      </c>
      <c r="W82" s="9">
        <f>W34-SUM(BS34:BV34)</f>
        <v>0</v>
      </c>
      <c r="X82" s="9">
        <f>X34-SUM(BW34:BZ34)</f>
        <v>0</v>
      </c>
      <c r="Y82" s="9">
        <f>Y34-SUM(CA34:CD34)</f>
        <v>0</v>
      </c>
      <c r="Z82" s="9">
        <f>Z34-SUM(CE34:CH34)</f>
        <v>0</v>
      </c>
      <c r="AA82" s="9">
        <f>AA34-SUM(CF34:CI34)</f>
        <v>5267.5330000000031</v>
      </c>
      <c r="AB82" s="15">
        <f>AB34-SUM(CM34:CP34)</f>
        <v>0</v>
      </c>
      <c r="AC82" s="15">
        <f>AC34-SUM(CQ34:CT34)</f>
        <v>0</v>
      </c>
      <c r="AD82" s="15">
        <f>AD34-SUM(CU34:CX34)</f>
        <v>0</v>
      </c>
      <c r="AE82" s="15">
        <f>AE34-SUM(CY34:DB34)</f>
        <v>0</v>
      </c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E82" s="133"/>
      <c r="DF82" s="9">
        <v>0</v>
      </c>
    </row>
    <row r="83" spans="1:110" s="9" customFormat="1" x14ac:dyDescent="0.2">
      <c r="A83" s="9" t="s">
        <v>454</v>
      </c>
      <c r="N83" s="9">
        <f>N40-SUM(AI40:AL40)</f>
        <v>3664.4929999999999</v>
      </c>
      <c r="O83" s="9">
        <f>O40-SUM(AM40:AP40)</f>
        <v>842.29800000000023</v>
      </c>
      <c r="P83" s="9">
        <f>P40-SUM(AQ40:AT40)</f>
        <v>1219.6810000000005</v>
      </c>
      <c r="Q83" s="9">
        <f>Q40-SUM(AU40:AX40)</f>
        <v>1464.8199999999997</v>
      </c>
      <c r="R83" s="9">
        <f>R40-SUM(AY40:BB40)</f>
        <v>1454.9360000000006</v>
      </c>
      <c r="S83" s="9">
        <f>S40-SUM(BC40:BF40)</f>
        <v>1243.1049999999996</v>
      </c>
      <c r="T83" s="9">
        <f>T40-SUM(BG40:BJ40)</f>
        <v>94.664999999999509</v>
      </c>
      <c r="U83" s="9">
        <f>U40-SUM(BK40:BN40)</f>
        <v>173.98199999999906</v>
      </c>
      <c r="V83" s="9">
        <f>V40-SUM(BO40:BR40)</f>
        <v>140.33399999999983</v>
      </c>
      <c r="W83" s="9">
        <f>W40-SUM(BS40:BV40)</f>
        <v>201.19900000000143</v>
      </c>
      <c r="X83" s="9">
        <f>X40-SUM(BW40:BZ40)</f>
        <v>253.97100000000137</v>
      </c>
      <c r="Y83" s="9">
        <f>Y40-SUM(CA40:CD40)</f>
        <v>187.88300000000072</v>
      </c>
      <c r="Z83" s="9">
        <f>Z40-SUM(CE40:CH40)</f>
        <v>223.11599999999999</v>
      </c>
      <c r="AA83" s="9">
        <f>AA40-SUM(CF40:CI40)</f>
        <v>1386.1460000000015</v>
      </c>
      <c r="AB83" s="15">
        <f>AB40-SUM(CM40:CP40)</f>
        <v>0</v>
      </c>
      <c r="AC83" s="15">
        <f>AC40-SUM(CQ40:CT40)</f>
        <v>0</v>
      </c>
      <c r="AD83" s="15">
        <f>AD40-SUM(CU40:CX40)</f>
        <v>0</v>
      </c>
      <c r="AE83" s="15">
        <f>AE40-SUM(CY40:DB40)</f>
        <v>0</v>
      </c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E83" s="133"/>
      <c r="DF83" s="9">
        <v>0</v>
      </c>
    </row>
    <row r="84" spans="1:110" s="9" customFormat="1" x14ac:dyDescent="0.2">
      <c r="A84" s="9" t="s">
        <v>455</v>
      </c>
      <c r="N84" s="9">
        <f>N52-SUM(AI52:AL52)</f>
        <v>282.35799999999972</v>
      </c>
      <c r="O84" s="9">
        <f>O52-SUM(AM52:AP52)</f>
        <v>317.76200000000017</v>
      </c>
      <c r="P84" s="9">
        <f>P52-SUM(AQ52:AT52)</f>
        <v>440.03600000000051</v>
      </c>
      <c r="Q84" s="9">
        <f>Q52-SUM(AU52:AX52)</f>
        <v>485.97999999999979</v>
      </c>
      <c r="R84" s="9">
        <f>R52-SUM(AY52:BB52)</f>
        <v>479.94700000000057</v>
      </c>
      <c r="S84" s="9">
        <f>S52-SUM(BC52:BF52)</f>
        <v>383.47199999999953</v>
      </c>
      <c r="T84" s="9">
        <f>T52-SUM(BG52:BJ52)</f>
        <v>2.5699999999998226</v>
      </c>
      <c r="U84" s="9">
        <f>U52-SUM(BK52:BN52)</f>
        <v>0</v>
      </c>
      <c r="V84" s="9">
        <f>V52-SUM(BO52:BR52)</f>
        <v>-17.803000000000111</v>
      </c>
      <c r="W84" s="9">
        <f>W52-SUM(BS52:BV52)</f>
        <v>-15.002999999998337</v>
      </c>
      <c r="X84" s="9">
        <f>X52-SUM(BW52:BZ52)</f>
        <v>-3.1159999999981665</v>
      </c>
      <c r="Y84" s="9">
        <f>Y52-SUM(CA52:CD52)</f>
        <v>3.2700000000008913</v>
      </c>
      <c r="Z84" s="9">
        <f>Z52-SUM(CE52:CH52)</f>
        <v>0</v>
      </c>
      <c r="AA84" s="9">
        <f>AA52-SUM(CF52:CI52)</f>
        <v>771.27400000000307</v>
      </c>
      <c r="AB84" s="15">
        <f>AB52-SUM(CM52:CP52)</f>
        <v>0</v>
      </c>
      <c r="AC84" s="15">
        <f>AC52-SUM(CQ52:CT52)</f>
        <v>0</v>
      </c>
      <c r="AD84" s="15">
        <f>AD52-SUM(CU52:CX52)</f>
        <v>0</v>
      </c>
      <c r="AE84" s="15">
        <f>AE52-SUM(CY52:DB52)</f>
        <v>0</v>
      </c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E84" s="133"/>
      <c r="DF84" s="9">
        <v>0</v>
      </c>
    </row>
    <row r="85" spans="1:110" s="9" customFormat="1" x14ac:dyDescent="0.2">
      <c r="A85" s="9" t="s">
        <v>456</v>
      </c>
      <c r="N85" s="9">
        <f>N72-SUM(AI72:AL72)</f>
        <v>76.890999999999707</v>
      </c>
      <c r="O85" s="9">
        <f>O72-SUM(AM72:AP72)</f>
        <v>93.241000000000156</v>
      </c>
      <c r="P85" s="9">
        <f>P72-SUM(AQ72:AT72)</f>
        <v>160.32500000000056</v>
      </c>
      <c r="Q85" s="9">
        <f>Q72-SUM(AU72:AX72)</f>
        <v>187.95999999999981</v>
      </c>
      <c r="R85" s="9">
        <f>R72-SUM(AY72:BB72)</f>
        <v>232.49300000000059</v>
      </c>
      <c r="S85" s="9">
        <f>S72-SUM(BC72:BF72)</f>
        <v>169.29399999999958</v>
      </c>
      <c r="T85" s="9">
        <f>T72-SUM(BG72:BJ72)</f>
        <v>-0.22200000000020736</v>
      </c>
      <c r="U85" s="9">
        <f>U72-SUM(BK72:BN72)</f>
        <v>-9.0949470177292824E-13</v>
      </c>
      <c r="V85" s="9">
        <f>V72-SUM(BO72:BR72)</f>
        <v>9.0000000001282388E-3</v>
      </c>
      <c r="W85" s="9">
        <f>W65-SUM(BS65:BV65)</f>
        <v>1.0000000016816557E-3</v>
      </c>
      <c r="X85" s="9">
        <f>X65-SUM(BW65:BZ65)</f>
        <v>0.14200000000187174</v>
      </c>
      <c r="Y85" s="9">
        <f>Y65-SUM(CA65:CD65)</f>
        <v>0</v>
      </c>
      <c r="Z85" s="9">
        <f>Z65-SUM(CE65:CH65)</f>
        <v>0</v>
      </c>
      <c r="AA85" s="9">
        <f>AA65-SUM(CF65:CI65)</f>
        <v>464.81300000000238</v>
      </c>
      <c r="AB85" s="15">
        <f>AB65-SUM(CM65:CP65)</f>
        <v>0</v>
      </c>
      <c r="AC85" s="15">
        <f>AC65-SUM(CQ65:CT65)</f>
        <v>-5.0022208597511053E-12</v>
      </c>
      <c r="AD85" s="15">
        <f>AD65-SUM(CU65:CX65)</f>
        <v>0</v>
      </c>
      <c r="AE85" s="15">
        <f>AE65-SUM(CY65:DB65)</f>
        <v>0</v>
      </c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E85" s="133"/>
      <c r="DF85" s="9">
        <v>0</v>
      </c>
    </row>
    <row r="86" spans="1:110" s="8" customFormat="1" x14ac:dyDescent="0.2">
      <c r="A86" s="149" t="s">
        <v>489</v>
      </c>
      <c r="AB86" s="58"/>
      <c r="AC86" s="58"/>
      <c r="AD86" s="58"/>
      <c r="AE86" s="58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E86" s="132"/>
    </row>
    <row r="87" spans="1:110" s="3" customFormat="1" x14ac:dyDescent="0.2">
      <c r="A87" s="3" t="s">
        <v>27</v>
      </c>
      <c r="B87" s="3">
        <f>'Annual Raw'!C104</f>
        <v>0</v>
      </c>
      <c r="C87" s="3">
        <f>'Annual Raw'!D104</f>
        <v>0</v>
      </c>
      <c r="D87" s="3">
        <f>'Annual Raw'!E104</f>
        <v>0</v>
      </c>
      <c r="E87" s="3">
        <f t="shared" ref="E87:Y87" si="774">+F87</f>
        <v>150.55099999999999</v>
      </c>
      <c r="F87" s="3">
        <f t="shared" si="774"/>
        <v>150.55099999999999</v>
      </c>
      <c r="G87" s="3">
        <f t="shared" si="774"/>
        <v>150.55099999999999</v>
      </c>
      <c r="H87" s="3">
        <f t="shared" si="774"/>
        <v>150.55099999999999</v>
      </c>
      <c r="I87" s="3">
        <f t="shared" si="774"/>
        <v>150.55099999999999</v>
      </c>
      <c r="J87" s="3">
        <f t="shared" si="774"/>
        <v>150.55099999999999</v>
      </c>
      <c r="K87" s="3">
        <f t="shared" si="774"/>
        <v>150.55099999999999</v>
      </c>
      <c r="L87" s="3">
        <f t="shared" si="774"/>
        <v>150.55099999999999</v>
      </c>
      <c r="M87" s="3">
        <f t="shared" si="774"/>
        <v>150.55099999999999</v>
      </c>
      <c r="N87" s="3">
        <f t="shared" si="774"/>
        <v>150.55099999999999</v>
      </c>
      <c r="O87" s="3">
        <f t="shared" si="774"/>
        <v>150.55099999999999</v>
      </c>
      <c r="P87" s="3">
        <f t="shared" si="774"/>
        <v>150.55099999999999</v>
      </c>
      <c r="Q87" s="3">
        <f t="shared" si="774"/>
        <v>150.55099999999999</v>
      </c>
      <c r="R87" s="3">
        <f t="shared" si="774"/>
        <v>150.55099999999999</v>
      </c>
      <c r="S87" s="3">
        <f t="shared" si="774"/>
        <v>150.55099999999999</v>
      </c>
      <c r="T87" s="3">
        <f t="shared" si="774"/>
        <v>150.55099999999999</v>
      </c>
      <c r="U87" s="3">
        <f t="shared" si="774"/>
        <v>150.55099999999999</v>
      </c>
      <c r="V87" s="3">
        <f t="shared" si="774"/>
        <v>150.55099999999999</v>
      </c>
      <c r="W87" s="3">
        <f t="shared" si="774"/>
        <v>150.55099999999999</v>
      </c>
      <c r="X87" s="3">
        <f t="shared" si="774"/>
        <v>150.55099999999999</v>
      </c>
      <c r="Y87" s="3">
        <f t="shared" si="774"/>
        <v>150.55099999999999</v>
      </c>
      <c r="Z87" s="3">
        <f>+AA87</f>
        <v>150.55099999999999</v>
      </c>
      <c r="AA87" s="3">
        <f>+AB87</f>
        <v>150.55099999999999</v>
      </c>
      <c r="AB87" s="37">
        <f>CP87</f>
        <v>150.55099999999999</v>
      </c>
      <c r="AC87" s="37">
        <f>CT87</f>
        <v>150.55099999999999</v>
      </c>
      <c r="AD87" s="37">
        <f>CX87</f>
        <v>150.55099999999999</v>
      </c>
      <c r="AE87" s="37">
        <f>DB87</f>
        <v>150.55099999999999</v>
      </c>
      <c r="AI87" s="3">
        <f t="shared" ref="AI87:CH87" si="775">+AJ87</f>
        <v>150.53</v>
      </c>
      <c r="AJ87" s="3">
        <f t="shared" si="775"/>
        <v>150.53</v>
      </c>
      <c r="AK87" s="3">
        <f t="shared" si="775"/>
        <v>150.53</v>
      </c>
      <c r="AL87" s="3">
        <f t="shared" si="775"/>
        <v>150.53</v>
      </c>
      <c r="AM87" s="3">
        <f t="shared" si="775"/>
        <v>150.53</v>
      </c>
      <c r="AN87" s="3">
        <f t="shared" si="775"/>
        <v>150.53</v>
      </c>
      <c r="AO87" s="3">
        <f t="shared" si="775"/>
        <v>150.53</v>
      </c>
      <c r="AP87" s="3">
        <f t="shared" si="775"/>
        <v>150.53</v>
      </c>
      <c r="AQ87" s="3">
        <f t="shared" si="775"/>
        <v>150.53</v>
      </c>
      <c r="AR87" s="3">
        <f t="shared" si="775"/>
        <v>150.53</v>
      </c>
      <c r="AS87" s="3">
        <f t="shared" si="775"/>
        <v>150.53</v>
      </c>
      <c r="AT87" s="3">
        <f t="shared" si="775"/>
        <v>150.53</v>
      </c>
      <c r="AU87" s="3">
        <f t="shared" si="775"/>
        <v>150.53</v>
      </c>
      <c r="AV87" s="3">
        <f t="shared" si="775"/>
        <v>150.53</v>
      </c>
      <c r="AW87" s="3">
        <f t="shared" si="775"/>
        <v>150.53</v>
      </c>
      <c r="AX87" s="3">
        <f t="shared" si="775"/>
        <v>150.53</v>
      </c>
      <c r="AY87" s="3">
        <f t="shared" si="775"/>
        <v>150.53</v>
      </c>
      <c r="AZ87" s="3">
        <f t="shared" si="775"/>
        <v>150.53</v>
      </c>
      <c r="BA87" s="3">
        <f t="shared" si="775"/>
        <v>150.53</v>
      </c>
      <c r="BB87" s="3">
        <f t="shared" si="775"/>
        <v>150.53</v>
      </c>
      <c r="BC87" s="3">
        <f t="shared" si="775"/>
        <v>150.53</v>
      </c>
      <c r="BD87" s="3">
        <f t="shared" si="775"/>
        <v>150.53</v>
      </c>
      <c r="BE87" s="3">
        <f t="shared" si="775"/>
        <v>150.53</v>
      </c>
      <c r="BF87" s="3">
        <f t="shared" si="775"/>
        <v>150.53</v>
      </c>
      <c r="BG87" s="3">
        <f t="shared" si="775"/>
        <v>150.53</v>
      </c>
      <c r="BH87" s="3">
        <f t="shared" si="775"/>
        <v>150.53</v>
      </c>
      <c r="BI87" s="3">
        <f t="shared" si="775"/>
        <v>150.53</v>
      </c>
      <c r="BJ87" s="3">
        <f t="shared" si="775"/>
        <v>150.53</v>
      </c>
      <c r="BK87" s="3">
        <f t="shared" si="775"/>
        <v>150.53</v>
      </c>
      <c r="BL87" s="3">
        <f t="shared" si="775"/>
        <v>150.53</v>
      </c>
      <c r="BM87" s="3">
        <f t="shared" si="775"/>
        <v>150.53</v>
      </c>
      <c r="BN87" s="3">
        <f t="shared" si="775"/>
        <v>150.53</v>
      </c>
      <c r="BO87" s="3">
        <f t="shared" si="775"/>
        <v>150.53</v>
      </c>
      <c r="BP87" s="3">
        <f t="shared" si="775"/>
        <v>150.53</v>
      </c>
      <c r="BQ87" s="3">
        <f t="shared" si="775"/>
        <v>150.53</v>
      </c>
      <c r="BR87" s="3">
        <f t="shared" si="775"/>
        <v>150.53</v>
      </c>
      <c r="BS87" s="3">
        <f t="shared" si="775"/>
        <v>150.53</v>
      </c>
      <c r="BT87" s="3">
        <f t="shared" si="775"/>
        <v>150.53</v>
      </c>
      <c r="BU87" s="3">
        <f t="shared" si="775"/>
        <v>150.53</v>
      </c>
      <c r="BV87" s="3">
        <f t="shared" si="775"/>
        <v>150.53</v>
      </c>
      <c r="BW87" s="3">
        <f t="shared" si="775"/>
        <v>150.53</v>
      </c>
      <c r="BX87" s="3">
        <f t="shared" si="775"/>
        <v>150.53</v>
      </c>
      <c r="BY87" s="3">
        <f t="shared" si="775"/>
        <v>150.53</v>
      </c>
      <c r="BZ87" s="3">
        <f t="shared" si="775"/>
        <v>150.53</v>
      </c>
      <c r="CA87" s="3">
        <f t="shared" si="775"/>
        <v>150.53</v>
      </c>
      <c r="CB87" s="3">
        <f t="shared" si="775"/>
        <v>150.53</v>
      </c>
      <c r="CC87" s="3">
        <f t="shared" si="775"/>
        <v>150.53</v>
      </c>
      <c r="CD87" s="3">
        <f t="shared" si="775"/>
        <v>150.53</v>
      </c>
      <c r="CE87" s="3">
        <f t="shared" si="775"/>
        <v>150.53</v>
      </c>
      <c r="CF87" s="3">
        <f t="shared" si="775"/>
        <v>150.53</v>
      </c>
      <c r="CG87" s="3">
        <f t="shared" si="775"/>
        <v>150.53</v>
      </c>
      <c r="CH87" s="3">
        <f t="shared" si="775"/>
        <v>150.53</v>
      </c>
      <c r="CI87" s="3">
        <f>+CJ87</f>
        <v>150.53</v>
      </c>
      <c r="CJ87" s="3">
        <f>'QTR Raw'!BD45</f>
        <v>150.53</v>
      </c>
      <c r="CK87" s="3">
        <f>'QTR Raw'!BE45</f>
        <v>150.53800000000001</v>
      </c>
      <c r="CL87" s="3">
        <f>'QTR Raw'!BF45</f>
        <v>150.55099999999999</v>
      </c>
      <c r="CM87" s="37">
        <f t="shared" ref="CM87:CM88" si="776">+CL87</f>
        <v>150.55099999999999</v>
      </c>
      <c r="CN87" s="37">
        <f t="shared" ref="CN87:CN88" si="777">+CM87</f>
        <v>150.55099999999999</v>
      </c>
      <c r="CO87" s="37">
        <f t="shared" ref="CO87:CO88" si="778">+CN87</f>
        <v>150.55099999999999</v>
      </c>
      <c r="CP87" s="37">
        <f t="shared" ref="CP87:CP88" si="779">+CO87</f>
        <v>150.55099999999999</v>
      </c>
      <c r="CQ87" s="37">
        <f t="shared" ref="CQ87:CQ88" si="780">+CP87</f>
        <v>150.55099999999999</v>
      </c>
      <c r="CR87" s="37">
        <f t="shared" ref="CR87:CR88" si="781">+CQ87</f>
        <v>150.55099999999999</v>
      </c>
      <c r="CS87" s="37">
        <f t="shared" ref="CS87:CS88" si="782">+CR87</f>
        <v>150.55099999999999</v>
      </c>
      <c r="CT87" s="37">
        <f t="shared" ref="CT87:CT88" si="783">+CS87</f>
        <v>150.55099999999999</v>
      </c>
      <c r="CU87" s="37">
        <f t="shared" ref="CU87:CU88" si="784">+CT87</f>
        <v>150.55099999999999</v>
      </c>
      <c r="CV87" s="37">
        <f t="shared" ref="CV87:CV88" si="785">+CU87</f>
        <v>150.55099999999999</v>
      </c>
      <c r="CW87" s="37">
        <f t="shared" ref="CW87:CW88" si="786">+CV87</f>
        <v>150.55099999999999</v>
      </c>
      <c r="CX87" s="37">
        <f t="shared" ref="CX87:CX88" si="787">+CW87</f>
        <v>150.55099999999999</v>
      </c>
      <c r="CY87" s="37">
        <f t="shared" ref="CY87:CY88" si="788">+CX87</f>
        <v>150.55099999999999</v>
      </c>
      <c r="CZ87" s="37">
        <f t="shared" ref="CZ87:CZ88" si="789">+CY87</f>
        <v>150.55099999999999</v>
      </c>
      <c r="DA87" s="37">
        <f t="shared" ref="DA87:DA88" si="790">+CZ87</f>
        <v>150.55099999999999</v>
      </c>
      <c r="DB87" s="37">
        <f t="shared" ref="DB87:DB88" si="791">+DA87</f>
        <v>150.55099999999999</v>
      </c>
      <c r="DE87" s="134"/>
      <c r="DF87" s="3">
        <v>150.53800000000001</v>
      </c>
    </row>
    <row r="88" spans="1:110" s="3" customFormat="1" x14ac:dyDescent="0.2">
      <c r="A88" s="3" t="s">
        <v>28</v>
      </c>
      <c r="B88" s="3">
        <f>'Annual Raw'!C105</f>
        <v>0</v>
      </c>
      <c r="C88" s="3">
        <f>'Annual Raw'!D105</f>
        <v>0</v>
      </c>
      <c r="D88" s="3">
        <f>'Annual Raw'!E105</f>
        <v>0</v>
      </c>
      <c r="E88" s="3">
        <f t="shared" ref="E88:Y88" si="792">+F88</f>
        <v>10</v>
      </c>
      <c r="F88" s="3">
        <f t="shared" si="792"/>
        <v>10</v>
      </c>
      <c r="G88" s="3">
        <f t="shared" si="792"/>
        <v>10</v>
      </c>
      <c r="H88" s="3">
        <f t="shared" si="792"/>
        <v>10</v>
      </c>
      <c r="I88" s="3">
        <f t="shared" si="792"/>
        <v>10</v>
      </c>
      <c r="J88" s="3">
        <f t="shared" si="792"/>
        <v>10</v>
      </c>
      <c r="K88" s="3">
        <f t="shared" si="792"/>
        <v>10</v>
      </c>
      <c r="L88" s="3">
        <f t="shared" si="792"/>
        <v>10</v>
      </c>
      <c r="M88" s="3">
        <f t="shared" si="792"/>
        <v>10</v>
      </c>
      <c r="N88" s="3">
        <f t="shared" si="792"/>
        <v>10</v>
      </c>
      <c r="O88" s="3">
        <f t="shared" si="792"/>
        <v>10</v>
      </c>
      <c r="P88" s="3">
        <f t="shared" si="792"/>
        <v>10</v>
      </c>
      <c r="Q88" s="3">
        <f t="shared" si="792"/>
        <v>10</v>
      </c>
      <c r="R88" s="3">
        <f t="shared" si="792"/>
        <v>10</v>
      </c>
      <c r="S88" s="3">
        <f t="shared" si="792"/>
        <v>10</v>
      </c>
      <c r="T88" s="3">
        <f t="shared" si="792"/>
        <v>10</v>
      </c>
      <c r="U88" s="3">
        <f t="shared" si="792"/>
        <v>10</v>
      </c>
      <c r="V88" s="3">
        <f t="shared" si="792"/>
        <v>10</v>
      </c>
      <c r="W88" s="3">
        <f t="shared" si="792"/>
        <v>10</v>
      </c>
      <c r="X88" s="3">
        <f t="shared" si="792"/>
        <v>10</v>
      </c>
      <c r="Y88" s="3">
        <f t="shared" si="792"/>
        <v>10</v>
      </c>
      <c r="Z88" s="3">
        <f>+AA88</f>
        <v>10</v>
      </c>
      <c r="AA88" s="3">
        <f>+AB88</f>
        <v>10</v>
      </c>
      <c r="AB88" s="37">
        <f>CP88</f>
        <v>10</v>
      </c>
      <c r="AC88" s="37">
        <f>CT88</f>
        <v>10</v>
      </c>
      <c r="AD88" s="37">
        <f>CX88</f>
        <v>10</v>
      </c>
      <c r="AE88" s="37">
        <f>DB88</f>
        <v>10</v>
      </c>
      <c r="AI88" s="3">
        <f t="shared" ref="AI88:CH88" si="793">AJ88</f>
        <v>10</v>
      </c>
      <c r="AJ88" s="3">
        <f t="shared" si="793"/>
        <v>10</v>
      </c>
      <c r="AK88" s="3">
        <f t="shared" si="793"/>
        <v>10</v>
      </c>
      <c r="AL88" s="3">
        <f t="shared" si="793"/>
        <v>10</v>
      </c>
      <c r="AM88" s="3">
        <f t="shared" si="793"/>
        <v>10</v>
      </c>
      <c r="AN88" s="3">
        <f t="shared" si="793"/>
        <v>10</v>
      </c>
      <c r="AO88" s="3">
        <f t="shared" si="793"/>
        <v>10</v>
      </c>
      <c r="AP88" s="3">
        <f t="shared" si="793"/>
        <v>10</v>
      </c>
      <c r="AQ88" s="3">
        <f t="shared" si="793"/>
        <v>10</v>
      </c>
      <c r="AR88" s="3">
        <f t="shared" si="793"/>
        <v>10</v>
      </c>
      <c r="AS88" s="3">
        <f t="shared" si="793"/>
        <v>10</v>
      </c>
      <c r="AT88" s="3">
        <f t="shared" si="793"/>
        <v>10</v>
      </c>
      <c r="AU88" s="3">
        <f t="shared" si="793"/>
        <v>10</v>
      </c>
      <c r="AV88" s="3">
        <f t="shared" si="793"/>
        <v>10</v>
      </c>
      <c r="AW88" s="3">
        <f t="shared" si="793"/>
        <v>10</v>
      </c>
      <c r="AX88" s="3">
        <f t="shared" si="793"/>
        <v>10</v>
      </c>
      <c r="AY88" s="3">
        <f t="shared" si="793"/>
        <v>10</v>
      </c>
      <c r="AZ88" s="3">
        <f t="shared" si="793"/>
        <v>10</v>
      </c>
      <c r="BA88" s="3">
        <f t="shared" si="793"/>
        <v>10</v>
      </c>
      <c r="BB88" s="3">
        <f t="shared" si="793"/>
        <v>10</v>
      </c>
      <c r="BC88" s="3">
        <f t="shared" si="793"/>
        <v>10</v>
      </c>
      <c r="BD88" s="3">
        <f t="shared" si="793"/>
        <v>10</v>
      </c>
      <c r="BE88" s="3">
        <f t="shared" si="793"/>
        <v>10</v>
      </c>
      <c r="BF88" s="3">
        <f t="shared" si="793"/>
        <v>10</v>
      </c>
      <c r="BG88" s="3">
        <f t="shared" si="793"/>
        <v>10</v>
      </c>
      <c r="BH88" s="3">
        <f t="shared" si="793"/>
        <v>10</v>
      </c>
      <c r="BI88" s="3">
        <f t="shared" si="793"/>
        <v>10</v>
      </c>
      <c r="BJ88" s="3">
        <f t="shared" si="793"/>
        <v>10</v>
      </c>
      <c r="BK88" s="3">
        <f t="shared" si="793"/>
        <v>10</v>
      </c>
      <c r="BL88" s="3">
        <f t="shared" si="793"/>
        <v>10</v>
      </c>
      <c r="BM88" s="3">
        <f t="shared" si="793"/>
        <v>10</v>
      </c>
      <c r="BN88" s="3">
        <f t="shared" si="793"/>
        <v>10</v>
      </c>
      <c r="BO88" s="3">
        <f t="shared" si="793"/>
        <v>10</v>
      </c>
      <c r="BP88" s="3">
        <f t="shared" si="793"/>
        <v>10</v>
      </c>
      <c r="BQ88" s="3">
        <f t="shared" si="793"/>
        <v>10</v>
      </c>
      <c r="BR88" s="3">
        <f t="shared" si="793"/>
        <v>10</v>
      </c>
      <c r="BS88" s="3">
        <f t="shared" si="793"/>
        <v>10</v>
      </c>
      <c r="BT88" s="3">
        <f t="shared" si="793"/>
        <v>10</v>
      </c>
      <c r="BU88" s="3">
        <f t="shared" si="793"/>
        <v>10</v>
      </c>
      <c r="BV88" s="3">
        <f t="shared" si="793"/>
        <v>10</v>
      </c>
      <c r="BW88" s="3">
        <f t="shared" si="793"/>
        <v>10</v>
      </c>
      <c r="BX88" s="3">
        <f t="shared" si="793"/>
        <v>10</v>
      </c>
      <c r="BY88" s="3">
        <f t="shared" si="793"/>
        <v>10</v>
      </c>
      <c r="BZ88" s="3">
        <f t="shared" si="793"/>
        <v>10</v>
      </c>
      <c r="CA88" s="3">
        <f t="shared" si="793"/>
        <v>10</v>
      </c>
      <c r="CB88" s="3">
        <f t="shared" si="793"/>
        <v>10</v>
      </c>
      <c r="CC88" s="3">
        <f t="shared" si="793"/>
        <v>10</v>
      </c>
      <c r="CD88" s="3">
        <f t="shared" si="793"/>
        <v>10</v>
      </c>
      <c r="CE88" s="3">
        <f t="shared" si="793"/>
        <v>10</v>
      </c>
      <c r="CF88" s="3">
        <f t="shared" si="793"/>
        <v>10</v>
      </c>
      <c r="CG88" s="3">
        <f t="shared" si="793"/>
        <v>10</v>
      </c>
      <c r="CH88" s="3">
        <f t="shared" si="793"/>
        <v>10</v>
      </c>
      <c r="CI88" s="3">
        <f>CJ88</f>
        <v>10</v>
      </c>
      <c r="CJ88" s="3">
        <f>'QTR Raw'!BD46</f>
        <v>10</v>
      </c>
      <c r="CK88" s="3">
        <f>'QTR Raw'!BE46</f>
        <v>10</v>
      </c>
      <c r="CL88" s="3">
        <f>'QTR Raw'!BF46</f>
        <v>10</v>
      </c>
      <c r="CM88" s="37">
        <f t="shared" si="776"/>
        <v>10</v>
      </c>
      <c r="CN88" s="37">
        <f t="shared" si="777"/>
        <v>10</v>
      </c>
      <c r="CO88" s="37">
        <f t="shared" si="778"/>
        <v>10</v>
      </c>
      <c r="CP88" s="37">
        <f t="shared" si="779"/>
        <v>10</v>
      </c>
      <c r="CQ88" s="37">
        <f t="shared" si="780"/>
        <v>10</v>
      </c>
      <c r="CR88" s="37">
        <f t="shared" si="781"/>
        <v>10</v>
      </c>
      <c r="CS88" s="37">
        <f t="shared" si="782"/>
        <v>10</v>
      </c>
      <c r="CT88" s="37">
        <f t="shared" si="783"/>
        <v>10</v>
      </c>
      <c r="CU88" s="37">
        <f t="shared" si="784"/>
        <v>10</v>
      </c>
      <c r="CV88" s="37">
        <f t="shared" si="785"/>
        <v>10</v>
      </c>
      <c r="CW88" s="37">
        <f t="shared" si="786"/>
        <v>10</v>
      </c>
      <c r="CX88" s="37">
        <f t="shared" si="787"/>
        <v>10</v>
      </c>
      <c r="CY88" s="37">
        <f t="shared" si="788"/>
        <v>10</v>
      </c>
      <c r="CZ88" s="37">
        <f t="shared" si="789"/>
        <v>10</v>
      </c>
      <c r="DA88" s="37">
        <f t="shared" si="790"/>
        <v>10</v>
      </c>
      <c r="DB88" s="37">
        <f t="shared" si="791"/>
        <v>10</v>
      </c>
      <c r="DE88" s="134"/>
      <c r="DF88" s="3">
        <v>10</v>
      </c>
    </row>
    <row r="89" spans="1:110" s="3" customFormat="1" x14ac:dyDescent="0.2">
      <c r="A89" s="3" t="s">
        <v>29</v>
      </c>
      <c r="B89" s="3" t="e">
        <f>B87/B88</f>
        <v>#DIV/0!</v>
      </c>
      <c r="C89" s="3" t="e">
        <f t="shared" ref="C89:W89" si="794">C87/C88</f>
        <v>#DIV/0!</v>
      </c>
      <c r="D89" s="3" t="e">
        <f t="shared" si="794"/>
        <v>#DIV/0!</v>
      </c>
      <c r="E89" s="3">
        <f t="shared" si="794"/>
        <v>15.055099999999999</v>
      </c>
      <c r="F89" s="3">
        <f t="shared" si="794"/>
        <v>15.055099999999999</v>
      </c>
      <c r="G89" s="3">
        <f t="shared" si="794"/>
        <v>15.055099999999999</v>
      </c>
      <c r="H89" s="3">
        <f t="shared" si="794"/>
        <v>15.055099999999999</v>
      </c>
      <c r="I89" s="3">
        <f t="shared" si="794"/>
        <v>15.055099999999999</v>
      </c>
      <c r="J89" s="3">
        <f t="shared" si="794"/>
        <v>15.055099999999999</v>
      </c>
      <c r="K89" s="3">
        <f t="shared" si="794"/>
        <v>15.055099999999999</v>
      </c>
      <c r="L89" s="3">
        <f t="shared" si="794"/>
        <v>15.055099999999999</v>
      </c>
      <c r="M89" s="3">
        <f t="shared" si="794"/>
        <v>15.055099999999999</v>
      </c>
      <c r="N89" s="3">
        <f t="shared" si="794"/>
        <v>15.055099999999999</v>
      </c>
      <c r="O89" s="3">
        <f t="shared" si="794"/>
        <v>15.055099999999999</v>
      </c>
      <c r="P89" s="3">
        <f t="shared" si="794"/>
        <v>15.055099999999999</v>
      </c>
      <c r="Q89" s="3">
        <f t="shared" si="794"/>
        <v>15.055099999999999</v>
      </c>
      <c r="R89" s="3">
        <f t="shared" si="794"/>
        <v>15.055099999999999</v>
      </c>
      <c r="S89" s="3">
        <f t="shared" si="794"/>
        <v>15.055099999999999</v>
      </c>
      <c r="T89" s="3">
        <f t="shared" si="794"/>
        <v>15.055099999999999</v>
      </c>
      <c r="U89" s="3">
        <f t="shared" si="794"/>
        <v>15.055099999999999</v>
      </c>
      <c r="V89" s="3">
        <f>V87/V88</f>
        <v>15.055099999999999</v>
      </c>
      <c r="W89" s="3">
        <f t="shared" si="794"/>
        <v>15.055099999999999</v>
      </c>
      <c r="X89" s="3">
        <f t="shared" ref="X89:Y89" si="795">X87/X88</f>
        <v>15.055099999999999</v>
      </c>
      <c r="Y89" s="3">
        <f t="shared" si="795"/>
        <v>15.055099999999999</v>
      </c>
      <c r="Z89" s="3">
        <f t="shared" ref="Z89:AA89" si="796">Z87/Z88</f>
        <v>15.055099999999999</v>
      </c>
      <c r="AA89" s="3">
        <f t="shared" si="796"/>
        <v>15.055099999999999</v>
      </c>
      <c r="AB89" s="37">
        <f t="shared" ref="AA89:AD89" si="797">AB87/AB88</f>
        <v>15.055099999999999</v>
      </c>
      <c r="AC89" s="37">
        <f t="shared" si="797"/>
        <v>15.055099999999999</v>
      </c>
      <c r="AD89" s="37">
        <f t="shared" si="797"/>
        <v>15.055099999999999</v>
      </c>
      <c r="AE89" s="37">
        <f t="shared" ref="AE89" si="798">AE87/AE88</f>
        <v>15.055099999999999</v>
      </c>
      <c r="AI89" s="3">
        <f t="shared" ref="AI89" si="799">AI87/AI88</f>
        <v>15.053000000000001</v>
      </c>
      <c r="AJ89" s="3">
        <f t="shared" ref="AJ89" si="800">AJ87/AJ88</f>
        <v>15.053000000000001</v>
      </c>
      <c r="AK89" s="3">
        <f t="shared" ref="AK89:AM89" si="801">AK87/AK88</f>
        <v>15.053000000000001</v>
      </c>
      <c r="AL89" s="3">
        <f t="shared" si="801"/>
        <v>15.053000000000001</v>
      </c>
      <c r="AM89" s="3">
        <f t="shared" si="801"/>
        <v>15.053000000000001</v>
      </c>
      <c r="AN89" s="3">
        <f t="shared" ref="AN89:AO89" si="802">AN87/AN88</f>
        <v>15.053000000000001</v>
      </c>
      <c r="AO89" s="3">
        <f t="shared" si="802"/>
        <v>15.053000000000001</v>
      </c>
      <c r="AP89" s="3">
        <f t="shared" ref="AP89:CD89" si="803">AP87/AP88</f>
        <v>15.053000000000001</v>
      </c>
      <c r="AQ89" s="3">
        <f t="shared" si="803"/>
        <v>15.053000000000001</v>
      </c>
      <c r="AR89" s="3">
        <f t="shared" si="803"/>
        <v>15.053000000000001</v>
      </c>
      <c r="AS89" s="3">
        <f t="shared" si="803"/>
        <v>15.053000000000001</v>
      </c>
      <c r="AT89" s="3">
        <f t="shared" si="803"/>
        <v>15.053000000000001</v>
      </c>
      <c r="AU89" s="3">
        <f t="shared" si="803"/>
        <v>15.053000000000001</v>
      </c>
      <c r="AV89" s="3">
        <f t="shared" si="803"/>
        <v>15.053000000000001</v>
      </c>
      <c r="AW89" s="3">
        <f t="shared" si="803"/>
        <v>15.053000000000001</v>
      </c>
      <c r="AX89" s="3">
        <f t="shared" si="803"/>
        <v>15.053000000000001</v>
      </c>
      <c r="AY89" s="3">
        <f t="shared" si="803"/>
        <v>15.053000000000001</v>
      </c>
      <c r="AZ89" s="3">
        <f t="shared" si="803"/>
        <v>15.053000000000001</v>
      </c>
      <c r="BA89" s="3">
        <f t="shared" si="803"/>
        <v>15.053000000000001</v>
      </c>
      <c r="BB89" s="3">
        <f t="shared" si="803"/>
        <v>15.053000000000001</v>
      </c>
      <c r="BC89" s="3">
        <f t="shared" si="803"/>
        <v>15.053000000000001</v>
      </c>
      <c r="BD89" s="3">
        <f t="shared" si="803"/>
        <v>15.053000000000001</v>
      </c>
      <c r="BE89" s="3">
        <f t="shared" si="803"/>
        <v>15.053000000000001</v>
      </c>
      <c r="BF89" s="3">
        <f t="shared" si="803"/>
        <v>15.053000000000001</v>
      </c>
      <c r="BG89" s="3">
        <f t="shared" si="803"/>
        <v>15.053000000000001</v>
      </c>
      <c r="BH89" s="3">
        <f t="shared" si="803"/>
        <v>15.053000000000001</v>
      </c>
      <c r="BI89" s="3">
        <f t="shared" si="803"/>
        <v>15.053000000000001</v>
      </c>
      <c r="BJ89" s="3">
        <f t="shared" si="803"/>
        <v>15.053000000000001</v>
      </c>
      <c r="BK89" s="3">
        <f t="shared" si="803"/>
        <v>15.053000000000001</v>
      </c>
      <c r="BL89" s="3">
        <f t="shared" si="803"/>
        <v>15.053000000000001</v>
      </c>
      <c r="BM89" s="3">
        <f t="shared" si="803"/>
        <v>15.053000000000001</v>
      </c>
      <c r="BN89" s="3">
        <f t="shared" si="803"/>
        <v>15.053000000000001</v>
      </c>
      <c r="BO89" s="3">
        <f t="shared" si="803"/>
        <v>15.053000000000001</v>
      </c>
      <c r="BP89" s="3">
        <f t="shared" si="803"/>
        <v>15.053000000000001</v>
      </c>
      <c r="BQ89" s="3">
        <f t="shared" si="803"/>
        <v>15.053000000000001</v>
      </c>
      <c r="BR89" s="3">
        <f t="shared" si="803"/>
        <v>15.053000000000001</v>
      </c>
      <c r="BS89" s="3">
        <f t="shared" si="803"/>
        <v>15.053000000000001</v>
      </c>
      <c r="BT89" s="3">
        <f t="shared" si="803"/>
        <v>15.053000000000001</v>
      </c>
      <c r="BU89" s="3">
        <f t="shared" si="803"/>
        <v>15.053000000000001</v>
      </c>
      <c r="BV89" s="3">
        <f t="shared" si="803"/>
        <v>15.053000000000001</v>
      </c>
      <c r="BW89" s="3">
        <f t="shared" si="803"/>
        <v>15.053000000000001</v>
      </c>
      <c r="BX89" s="3">
        <f t="shared" si="803"/>
        <v>15.053000000000001</v>
      </c>
      <c r="BY89" s="3">
        <f t="shared" si="803"/>
        <v>15.053000000000001</v>
      </c>
      <c r="BZ89" s="3">
        <f t="shared" si="803"/>
        <v>15.053000000000001</v>
      </c>
      <c r="CA89" s="3">
        <f t="shared" si="803"/>
        <v>15.053000000000001</v>
      </c>
      <c r="CB89" s="3">
        <f t="shared" si="803"/>
        <v>15.053000000000001</v>
      </c>
      <c r="CC89" s="3">
        <f t="shared" si="803"/>
        <v>15.053000000000001</v>
      </c>
      <c r="CD89" s="3">
        <f t="shared" si="803"/>
        <v>15.053000000000001</v>
      </c>
      <c r="CE89" s="3">
        <f t="shared" ref="CE89:CF89" si="804">CE87/CE88</f>
        <v>15.053000000000001</v>
      </c>
      <c r="CF89" s="3">
        <f t="shared" si="804"/>
        <v>15.053000000000001</v>
      </c>
      <c r="CG89" s="3">
        <f t="shared" ref="CG89:CH89" si="805">CG87/CG88</f>
        <v>15.053000000000001</v>
      </c>
      <c r="CH89" s="3">
        <f t="shared" si="805"/>
        <v>15.053000000000001</v>
      </c>
      <c r="CI89" s="3">
        <f t="shared" ref="CI89:CJ89" si="806">CI87/CI88</f>
        <v>15.053000000000001</v>
      </c>
      <c r="CJ89" s="3">
        <f t="shared" si="806"/>
        <v>15.053000000000001</v>
      </c>
      <c r="CK89" s="3">
        <f t="shared" ref="CK89:CL89" si="807">CK87/CK88</f>
        <v>15.053800000000001</v>
      </c>
      <c r="CL89" s="3">
        <f t="shared" si="807"/>
        <v>15.055099999999999</v>
      </c>
      <c r="CM89" s="37">
        <f t="shared" ref="CM89:DB89" si="808">CM87/CM88</f>
        <v>15.055099999999999</v>
      </c>
      <c r="CN89" s="37">
        <f t="shared" si="808"/>
        <v>15.055099999999999</v>
      </c>
      <c r="CO89" s="37">
        <f t="shared" si="808"/>
        <v>15.055099999999999</v>
      </c>
      <c r="CP89" s="37">
        <f t="shared" si="808"/>
        <v>15.055099999999999</v>
      </c>
      <c r="CQ89" s="37">
        <f t="shared" si="808"/>
        <v>15.055099999999999</v>
      </c>
      <c r="CR89" s="37">
        <f t="shared" si="808"/>
        <v>15.055099999999999</v>
      </c>
      <c r="CS89" s="37">
        <f t="shared" si="808"/>
        <v>15.055099999999999</v>
      </c>
      <c r="CT89" s="37">
        <f t="shared" si="808"/>
        <v>15.055099999999999</v>
      </c>
      <c r="CU89" s="37">
        <f t="shared" si="808"/>
        <v>15.055099999999999</v>
      </c>
      <c r="CV89" s="37">
        <f t="shared" si="808"/>
        <v>15.055099999999999</v>
      </c>
      <c r="CW89" s="37">
        <f t="shared" si="808"/>
        <v>15.055099999999999</v>
      </c>
      <c r="CX89" s="37">
        <f t="shared" si="808"/>
        <v>15.055099999999999</v>
      </c>
      <c r="CY89" s="37">
        <f t="shared" si="808"/>
        <v>15.055099999999999</v>
      </c>
      <c r="CZ89" s="37">
        <f t="shared" si="808"/>
        <v>15.055099999999999</v>
      </c>
      <c r="DA89" s="37">
        <f t="shared" si="808"/>
        <v>15.055099999999999</v>
      </c>
      <c r="DB89" s="37">
        <f t="shared" si="808"/>
        <v>15.055099999999999</v>
      </c>
      <c r="DE89" s="134"/>
      <c r="DF89" s="3">
        <v>15.053800000000001</v>
      </c>
    </row>
    <row r="90" spans="1:110" s="53" customFormat="1" x14ac:dyDescent="0.2">
      <c r="A90" s="53" t="s">
        <v>30</v>
      </c>
      <c r="B90" s="53" t="e">
        <f t="shared" ref="B90:AE90" si="809">(B72-B71)/B89</f>
        <v>#DIV/0!</v>
      </c>
      <c r="C90" s="53" t="e">
        <f t="shared" si="809"/>
        <v>#DIV/0!</v>
      </c>
      <c r="D90" s="53" t="e">
        <f t="shared" si="809"/>
        <v>#DIV/0!</v>
      </c>
      <c r="E90" s="53">
        <f t="shared" si="809"/>
        <v>0</v>
      </c>
      <c r="F90" s="53">
        <f t="shared" si="809"/>
        <v>0</v>
      </c>
      <c r="G90" s="53">
        <f t="shared" si="809"/>
        <v>0</v>
      </c>
      <c r="H90" s="53">
        <f t="shared" si="809"/>
        <v>0</v>
      </c>
      <c r="I90" s="53">
        <f t="shared" si="809"/>
        <v>10.206834481338555</v>
      </c>
      <c r="J90" s="53">
        <f t="shared" si="809"/>
        <v>4.3051415068647936</v>
      </c>
      <c r="K90" s="53">
        <f t="shared" si="809"/>
        <v>7.5693029936699174</v>
      </c>
      <c r="L90" s="53">
        <f t="shared" si="809"/>
        <v>0</v>
      </c>
      <c r="M90" s="53">
        <f t="shared" si="809"/>
        <v>2.2076904172008005</v>
      </c>
      <c r="N90" s="53">
        <f t="shared" si="809"/>
        <v>5.1073058299180811</v>
      </c>
      <c r="O90" s="53">
        <f t="shared" si="809"/>
        <v>6.1933165505377019</v>
      </c>
      <c r="P90" s="53">
        <f t="shared" si="809"/>
        <v>10.649215216106207</v>
      </c>
      <c r="Q90" s="53">
        <f t="shared" si="809"/>
        <v>12.48480581331242</v>
      </c>
      <c r="R90" s="53">
        <f t="shared" si="809"/>
        <v>15.442806756514443</v>
      </c>
      <c r="S90" s="53">
        <f t="shared" si="809"/>
        <v>23.780180802518732</v>
      </c>
      <c r="T90" s="53">
        <f t="shared" si="809"/>
        <v>33.191609487814759</v>
      </c>
      <c r="U90" s="53">
        <f t="shared" si="809"/>
        <v>50.418595691825288</v>
      </c>
      <c r="V90" s="53">
        <f t="shared" si="809"/>
        <v>55.661669467489439</v>
      </c>
      <c r="W90" s="53">
        <f t="shared" si="809"/>
        <v>55.564160981992913</v>
      </c>
      <c r="X90" s="53">
        <f t="shared" si="809"/>
        <v>84.408804989671367</v>
      </c>
      <c r="Y90" s="53">
        <f t="shared" si="809"/>
        <v>118.50103951484886</v>
      </c>
      <c r="Z90" s="53">
        <f t="shared" si="809"/>
        <v>134.1731373421631</v>
      </c>
      <c r="AA90" s="53">
        <f t="shared" ref="AA90" si="810">(AA72-AA71)/AA89</f>
        <v>177.48357699384275</v>
      </c>
      <c r="AB90" s="54">
        <f t="shared" si="809"/>
        <v>211.90791112718861</v>
      </c>
      <c r="AC90" s="54">
        <f t="shared" si="809"/>
        <v>246.27011026532458</v>
      </c>
      <c r="AD90" s="54">
        <f t="shared" si="809"/>
        <v>286.6890461800665</v>
      </c>
      <c r="AE90" s="54">
        <f t="shared" si="809"/>
        <v>330.07855847192087</v>
      </c>
      <c r="AI90" s="53">
        <f t="shared" ref="AI90:BN90" si="811">(AI72-AI71)/AI89</f>
        <v>0</v>
      </c>
      <c r="AJ90" s="53">
        <f t="shared" si="811"/>
        <v>0</v>
      </c>
      <c r="AK90" s="53">
        <f t="shared" si="811"/>
        <v>0</v>
      </c>
      <c r="AL90" s="53">
        <f t="shared" si="811"/>
        <v>0</v>
      </c>
      <c r="AM90" s="53">
        <f t="shared" si="811"/>
        <v>0</v>
      </c>
      <c r="AN90" s="53">
        <f t="shared" si="811"/>
        <v>0</v>
      </c>
      <c r="AO90" s="53">
        <f t="shared" si="811"/>
        <v>0</v>
      </c>
      <c r="AP90" s="53">
        <f t="shared" si="811"/>
        <v>0</v>
      </c>
      <c r="AQ90" s="53">
        <f t="shared" si="811"/>
        <v>0</v>
      </c>
      <c r="AR90" s="53">
        <f t="shared" si="811"/>
        <v>0</v>
      </c>
      <c r="AS90" s="53">
        <f t="shared" si="811"/>
        <v>0</v>
      </c>
      <c r="AT90" s="53">
        <f t="shared" si="811"/>
        <v>0</v>
      </c>
      <c r="AU90" s="53">
        <f t="shared" si="811"/>
        <v>0</v>
      </c>
      <c r="AV90" s="53">
        <f t="shared" si="811"/>
        <v>0</v>
      </c>
      <c r="AW90" s="53">
        <f t="shared" si="811"/>
        <v>0</v>
      </c>
      <c r="AX90" s="53">
        <f t="shared" si="811"/>
        <v>0</v>
      </c>
      <c r="AY90" s="53">
        <f t="shared" si="811"/>
        <v>0</v>
      </c>
      <c r="AZ90" s="53">
        <f t="shared" si="811"/>
        <v>0</v>
      </c>
      <c r="BA90" s="53">
        <f t="shared" si="811"/>
        <v>0</v>
      </c>
      <c r="BB90" s="53">
        <f t="shared" si="811"/>
        <v>0</v>
      </c>
      <c r="BC90" s="53">
        <f t="shared" si="811"/>
        <v>0</v>
      </c>
      <c r="BD90" s="53">
        <f t="shared" si="811"/>
        <v>0</v>
      </c>
      <c r="BE90" s="53">
        <f t="shared" si="811"/>
        <v>0</v>
      </c>
      <c r="BF90" s="53">
        <f t="shared" si="811"/>
        <v>12.536969374875451</v>
      </c>
      <c r="BG90" s="53">
        <f t="shared" si="811"/>
        <v>5.1153922806085061</v>
      </c>
      <c r="BH90" s="53">
        <f t="shared" si="811"/>
        <v>5.9260612502491181</v>
      </c>
      <c r="BI90" s="53">
        <f t="shared" si="811"/>
        <v>12.843685644057668</v>
      </c>
      <c r="BJ90" s="53">
        <f t="shared" si="811"/>
        <v>9.3258486680396082</v>
      </c>
      <c r="BK90" s="53">
        <f t="shared" si="811"/>
        <v>8.9358931774397075</v>
      </c>
      <c r="BL90" s="53">
        <f t="shared" si="811"/>
        <v>12.743506277818385</v>
      </c>
      <c r="BM90" s="53">
        <f t="shared" si="811"/>
        <v>14.533979937553967</v>
      </c>
      <c r="BN90" s="53">
        <f t="shared" si="811"/>
        <v>14.212250049823936</v>
      </c>
      <c r="BO90" s="53">
        <f t="shared" ref="BO90:CT90" si="812">(BO72-BO71)/BO89</f>
        <v>7.1669434664186538</v>
      </c>
      <c r="BP90" s="53">
        <f t="shared" si="812"/>
        <v>14.651431608317269</v>
      </c>
      <c r="BQ90" s="53">
        <f t="shared" si="812"/>
        <v>16.203215305919098</v>
      </c>
      <c r="BR90" s="53">
        <f t="shared" si="812"/>
        <v>17.890586594034406</v>
      </c>
      <c r="BS90" s="53">
        <f t="shared" si="812"/>
        <v>4.8122633362120464</v>
      </c>
      <c r="BT90" s="53">
        <f t="shared" si="812"/>
        <v>12.967913372749607</v>
      </c>
      <c r="BU90" s="53">
        <f t="shared" si="812"/>
        <v>16.390354082242752</v>
      </c>
      <c r="BV90" s="53">
        <f t="shared" si="812"/>
        <v>21.401315352421438</v>
      </c>
      <c r="BW90" s="53">
        <f t="shared" si="812"/>
        <v>14.598883943399976</v>
      </c>
      <c r="BX90" s="53">
        <f t="shared" si="812"/>
        <v>17.801634225735757</v>
      </c>
      <c r="BY90" s="53">
        <f t="shared" si="812"/>
        <v>23.774795721783004</v>
      </c>
      <c r="BZ90" s="53">
        <f t="shared" si="812"/>
        <v>28.235833388693258</v>
      </c>
      <c r="CA90" s="53">
        <f t="shared" si="812"/>
        <v>26.547731349232716</v>
      </c>
      <c r="CB90" s="53">
        <f t="shared" si="812"/>
        <v>28.271308044907986</v>
      </c>
      <c r="CC90" s="53">
        <f t="shared" si="812"/>
        <v>27.426426625921739</v>
      </c>
      <c r="CD90" s="53">
        <f t="shared" si="812"/>
        <v>36.272105228193745</v>
      </c>
      <c r="CE90" s="53">
        <f t="shared" si="812"/>
        <v>26.30399255962265</v>
      </c>
      <c r="CF90" s="53">
        <f t="shared" si="812"/>
        <v>29.217498173121594</v>
      </c>
      <c r="CG90" s="53">
        <f t="shared" si="812"/>
        <v>30.396399388826136</v>
      </c>
      <c r="CH90" s="53">
        <f t="shared" si="812"/>
        <v>48.273965322527076</v>
      </c>
      <c r="CI90" s="53">
        <f t="shared" si="812"/>
        <v>39.335747027170655</v>
      </c>
      <c r="CJ90" s="53">
        <f t="shared" si="812"/>
        <v>45.536172191589699</v>
      </c>
      <c r="CK90" s="53">
        <f t="shared" ref="CK90:CL90" si="813">(CK72-CK71)/CK89</f>
        <v>41.29787827658128</v>
      </c>
      <c r="CL90" s="53">
        <f t="shared" si="813"/>
        <v>51.329184130294742</v>
      </c>
      <c r="CM90" s="54">
        <f t="shared" si="812"/>
        <v>43.177863896205999</v>
      </c>
      <c r="CN90" s="54">
        <f t="shared" si="812"/>
        <v>48.057134188587526</v>
      </c>
      <c r="CO90" s="54">
        <f t="shared" si="812"/>
        <v>55.528794277817838</v>
      </c>
      <c r="CP90" s="54">
        <f t="shared" si="812"/>
        <v>65.144118764577115</v>
      </c>
      <c r="CQ90" s="54">
        <f t="shared" si="812"/>
        <v>51.137955038354306</v>
      </c>
      <c r="CR90" s="54">
        <f t="shared" si="812"/>
        <v>54.793313709891386</v>
      </c>
      <c r="CS90" s="54">
        <f t="shared" si="812"/>
        <v>65.236251838975406</v>
      </c>
      <c r="CT90" s="54">
        <f t="shared" si="812"/>
        <v>75.102589678103797</v>
      </c>
      <c r="CU90" s="54">
        <f t="shared" ref="CU90:DB90" si="814">(CU72-CU71)/CU89</f>
        <v>58.353414853649724</v>
      </c>
      <c r="CV90" s="54">
        <f t="shared" si="814"/>
        <v>63.298249450693206</v>
      </c>
      <c r="CW90" s="54">
        <f t="shared" si="814"/>
        <v>76.431949064870523</v>
      </c>
      <c r="CX90" s="54">
        <f t="shared" si="814"/>
        <v>88.605432810853316</v>
      </c>
      <c r="CY90" s="54">
        <f t="shared" si="814"/>
        <v>67.236281856743162</v>
      </c>
      <c r="CZ90" s="54">
        <f t="shared" si="814"/>
        <v>73.056078209511753</v>
      </c>
      <c r="DA90" s="54">
        <f t="shared" si="814"/>
        <v>88.143693581432814</v>
      </c>
      <c r="DB90" s="54">
        <f t="shared" si="814"/>
        <v>101.64250482423346</v>
      </c>
      <c r="DE90" s="132"/>
      <c r="DF90" s="53">
        <v>54.370235063202095</v>
      </c>
    </row>
    <row r="91" spans="1:110" s="3" customFormat="1" x14ac:dyDescent="0.2">
      <c r="A91" s="3" t="s">
        <v>31</v>
      </c>
      <c r="B91" s="3">
        <f>'Annual Raw'!C110</f>
        <v>0</v>
      </c>
      <c r="C91" s="3">
        <f>'Annual Raw'!D110</f>
        <v>0</v>
      </c>
      <c r="D91" s="3">
        <f>'Annual Raw'!E110</f>
        <v>0</v>
      </c>
      <c r="E91" s="3">
        <f>'Annual Raw'!F110</f>
        <v>0</v>
      </c>
      <c r="F91" s="3">
        <f>'Annual Raw'!G110</f>
        <v>0</v>
      </c>
      <c r="G91" s="3">
        <f>'Annual Raw'!H110</f>
        <v>0</v>
      </c>
      <c r="H91" s="3">
        <f>'Annual Raw'!I110</f>
        <v>0</v>
      </c>
      <c r="I91" s="3">
        <f>'Annual Raw'!J110</f>
        <v>1.25</v>
      </c>
      <c r="J91" s="3">
        <f>'Annual Raw'!K110</f>
        <v>0.5</v>
      </c>
      <c r="K91" s="3">
        <f>'Annual Raw'!L110</f>
        <v>0</v>
      </c>
      <c r="L91" s="3">
        <f>'Annual Raw'!M110</f>
        <v>0</v>
      </c>
      <c r="M91" s="3">
        <f>'Annual Raw'!N110</f>
        <v>0.5</v>
      </c>
      <c r="N91" s="3">
        <f>'Annual Raw'!O110</f>
        <v>0.5</v>
      </c>
      <c r="O91" s="3">
        <f>'Annual Raw'!P110</f>
        <v>0.5</v>
      </c>
      <c r="P91" s="3">
        <f>'Annual Raw'!Q110</f>
        <v>1.5</v>
      </c>
      <c r="Q91" s="3">
        <f>'Annual Raw'!R110</f>
        <v>1.75</v>
      </c>
      <c r="R91" s="3">
        <f>'Annual Raw'!S110</f>
        <v>1</v>
      </c>
      <c r="S91" s="3">
        <f>'Annual Raw'!T110</f>
        <v>1</v>
      </c>
      <c r="T91" s="3">
        <f>'Annual Raw'!U110</f>
        <v>3</v>
      </c>
      <c r="U91" s="3">
        <f>'Annual Raw'!V110</f>
        <v>7</v>
      </c>
      <c r="V91" s="3">
        <f>'Annual Raw'!W110</f>
        <v>10</v>
      </c>
      <c r="W91" s="3">
        <f>'Annual Raw'!X110</f>
        <v>14</v>
      </c>
      <c r="X91" s="3">
        <f>'Annual Raw'!Y110</f>
        <v>20</v>
      </c>
      <c r="Y91" s="3">
        <f>'Annual Raw'!Z110</f>
        <v>30</v>
      </c>
      <c r="Z91" s="3">
        <f>'Annual Raw'!AA110</f>
        <v>35</v>
      </c>
      <c r="AA91" s="3">
        <f>'Annual Raw'!AB110</f>
        <v>47</v>
      </c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3" customFormat="1" x14ac:dyDescent="0.2">
      <c r="A92" s="3" t="s">
        <v>32</v>
      </c>
      <c r="B92" s="3" t="e">
        <f>B91/B90</f>
        <v>#DIV/0!</v>
      </c>
      <c r="C92" s="3" t="e">
        <f t="shared" ref="C92:U92" si="815">C91/C90</f>
        <v>#DIV/0!</v>
      </c>
      <c r="D92" s="3" t="e">
        <f t="shared" si="815"/>
        <v>#DIV/0!</v>
      </c>
      <c r="E92" s="3" t="e">
        <f t="shared" si="815"/>
        <v>#DIV/0!</v>
      </c>
      <c r="F92" s="3" t="e">
        <f t="shared" si="815"/>
        <v>#DIV/0!</v>
      </c>
      <c r="G92" s="3" t="e">
        <f t="shared" si="815"/>
        <v>#DIV/0!</v>
      </c>
      <c r="H92" s="3" t="e">
        <f t="shared" si="815"/>
        <v>#DIV/0!</v>
      </c>
      <c r="I92" s="3">
        <f t="shared" si="815"/>
        <v>0.12246696096477418</v>
      </c>
      <c r="J92" s="3">
        <f t="shared" si="815"/>
        <v>0.11614020101376958</v>
      </c>
      <c r="K92" s="3">
        <f t="shared" si="815"/>
        <v>0</v>
      </c>
      <c r="L92" s="3" t="e">
        <f t="shared" si="815"/>
        <v>#DIV/0!</v>
      </c>
      <c r="M92" s="3">
        <f t="shared" si="815"/>
        <v>0.22648103017721369</v>
      </c>
      <c r="N92" s="3">
        <f t="shared" si="815"/>
        <v>9.7898973872105041E-2</v>
      </c>
      <c r="O92" s="3">
        <f t="shared" si="815"/>
        <v>8.0732188629465448E-2</v>
      </c>
      <c r="P92" s="3">
        <f t="shared" si="815"/>
        <v>0.14085544986745624</v>
      </c>
      <c r="Q92" s="3">
        <f t="shared" si="815"/>
        <v>0.14017038199616955</v>
      </c>
      <c r="R92" s="3">
        <f t="shared" si="815"/>
        <v>6.4755067894517085E-2</v>
      </c>
      <c r="S92" s="3">
        <f t="shared" si="815"/>
        <v>4.2051824933731483E-2</v>
      </c>
      <c r="T92" s="3">
        <f t="shared" si="815"/>
        <v>9.0384288267230745E-2</v>
      </c>
      <c r="U92" s="3">
        <f t="shared" si="815"/>
        <v>0.13883766304770281</v>
      </c>
      <c r="V92" s="3">
        <f>V91/V90</f>
        <v>0.17965684636607504</v>
      </c>
      <c r="W92" s="3">
        <f t="shared" ref="W92" si="816">W91/W90</f>
        <v>0.25196097183105282</v>
      </c>
      <c r="X92" s="3">
        <f t="shared" ref="X92:Y92" si="817">X91/X90</f>
        <v>0.23694210577258246</v>
      </c>
      <c r="Y92" s="3">
        <f t="shared" si="817"/>
        <v>0.25316233615183459</v>
      </c>
      <c r="Z92" s="3">
        <f t="shared" ref="Z92:AA92" si="818">Z91/Z90</f>
        <v>0.26085698444051708</v>
      </c>
      <c r="AA92" s="3">
        <f t="shared" si="818"/>
        <v>0.26481323396829287</v>
      </c>
      <c r="AB92" s="37">
        <f t="shared" ref="AA92:AD92" si="819">AB91/AB90</f>
        <v>0</v>
      </c>
      <c r="AC92" s="37">
        <f t="shared" si="819"/>
        <v>0</v>
      </c>
      <c r="AD92" s="37">
        <f t="shared" si="819"/>
        <v>0</v>
      </c>
      <c r="AE92" s="37">
        <f t="shared" ref="AE92" si="820">AE91/AE90</f>
        <v>0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  <c r="DF92" s="3">
        <v>0</v>
      </c>
    </row>
    <row r="93" spans="1:110" s="3" customFormat="1" x14ac:dyDescent="0.2">
      <c r="A93" s="3" t="s">
        <v>33</v>
      </c>
      <c r="B93" s="3" t="e">
        <f>+B90</f>
        <v>#DIV/0!</v>
      </c>
      <c r="C93" s="3" t="e">
        <f t="shared" ref="C93:U93" si="821">+C90</f>
        <v>#DIV/0!</v>
      </c>
      <c r="D93" s="3" t="e">
        <f t="shared" si="821"/>
        <v>#DIV/0!</v>
      </c>
      <c r="E93" s="3">
        <f t="shared" si="821"/>
        <v>0</v>
      </c>
      <c r="F93" s="3">
        <f t="shared" si="821"/>
        <v>0</v>
      </c>
      <c r="G93" s="3">
        <f t="shared" si="821"/>
        <v>0</v>
      </c>
      <c r="H93" s="3">
        <f t="shared" si="821"/>
        <v>0</v>
      </c>
      <c r="I93" s="3">
        <f t="shared" si="821"/>
        <v>10.206834481338555</v>
      </c>
      <c r="J93" s="3">
        <f t="shared" si="821"/>
        <v>4.3051415068647936</v>
      </c>
      <c r="K93" s="3">
        <f t="shared" si="821"/>
        <v>7.5693029936699174</v>
      </c>
      <c r="L93" s="3">
        <f t="shared" si="821"/>
        <v>0</v>
      </c>
      <c r="M93" s="3">
        <f t="shared" si="821"/>
        <v>2.2076904172008005</v>
      </c>
      <c r="N93" s="3">
        <f t="shared" si="821"/>
        <v>5.1073058299180811</v>
      </c>
      <c r="O93" s="3">
        <f t="shared" si="821"/>
        <v>6.1933165505377019</v>
      </c>
      <c r="P93" s="3">
        <f t="shared" si="821"/>
        <v>10.649215216106207</v>
      </c>
      <c r="Q93" s="3">
        <f t="shared" si="821"/>
        <v>12.48480581331242</v>
      </c>
      <c r="R93" s="3">
        <f t="shared" si="821"/>
        <v>15.442806756514443</v>
      </c>
      <c r="S93" s="3">
        <f t="shared" si="821"/>
        <v>23.780180802518732</v>
      </c>
      <c r="T93" s="3">
        <f>+T90</f>
        <v>33.191609487814759</v>
      </c>
      <c r="U93" s="3">
        <f t="shared" si="821"/>
        <v>50.418595691825288</v>
      </c>
      <c r="V93" s="3">
        <f>+V90</f>
        <v>55.661669467489439</v>
      </c>
      <c r="W93" s="3">
        <f t="shared" ref="W93" si="822">+W90</f>
        <v>55.564160981992913</v>
      </c>
      <c r="X93" s="3">
        <f t="shared" ref="X93:Y93" si="823">+X90</f>
        <v>84.408804989671367</v>
      </c>
      <c r="Y93" s="3">
        <f t="shared" si="823"/>
        <v>118.50103951484886</v>
      </c>
      <c r="Z93" s="3">
        <f t="shared" ref="Z93:AA93" si="824">+Z90</f>
        <v>134.1731373421631</v>
      </c>
      <c r="AA93" s="3">
        <f t="shared" si="824"/>
        <v>177.48357699384275</v>
      </c>
      <c r="AB93" s="37">
        <f t="shared" ref="AA93:AD93" si="825">+AB90</f>
        <v>211.90791112718861</v>
      </c>
      <c r="AC93" s="37">
        <f t="shared" si="825"/>
        <v>246.27011026532458</v>
      </c>
      <c r="AD93" s="37">
        <f t="shared" si="825"/>
        <v>286.6890461800665</v>
      </c>
      <c r="AE93" s="37">
        <f t="shared" ref="AE93" si="826">+AE90</f>
        <v>330.07855847192087</v>
      </c>
      <c r="AL93" s="3">
        <f>SUM(AI90:AL90)</f>
        <v>0</v>
      </c>
      <c r="AM93" s="3">
        <f t="shared" ref="AM93" si="827">SUM(AJ90:AM90)</f>
        <v>0</v>
      </c>
      <c r="AN93" s="3">
        <f t="shared" ref="AN93" si="828">SUM(AK90:AN90)</f>
        <v>0</v>
      </c>
      <c r="AO93" s="3">
        <f t="shared" ref="AO93" si="829">SUM(AL90:AO90)</f>
        <v>0</v>
      </c>
      <c r="AP93" s="3">
        <f t="shared" ref="AP93" si="830">SUM(AM90:AP90)</f>
        <v>0</v>
      </c>
      <c r="AQ93" s="3">
        <f t="shared" ref="AQ93" si="831">SUM(AN90:AQ90)</f>
        <v>0</v>
      </c>
      <c r="AR93" s="3">
        <f t="shared" ref="AR93" si="832">SUM(AO90:AR90)</f>
        <v>0</v>
      </c>
      <c r="AS93" s="3">
        <f t="shared" ref="AS93" si="833">SUM(AP90:AS90)</f>
        <v>0</v>
      </c>
      <c r="AT93" s="3">
        <f t="shared" ref="AT93" si="834">SUM(AQ90:AT90)</f>
        <v>0</v>
      </c>
      <c r="AU93" s="3">
        <f t="shared" ref="AU93" si="835">SUM(AR90:AU90)</f>
        <v>0</v>
      </c>
      <c r="AV93" s="3">
        <f t="shared" ref="AV93" si="836">SUM(AS90:AV90)</f>
        <v>0</v>
      </c>
      <c r="AW93" s="3">
        <f t="shared" ref="AW93" si="837">SUM(AT90:AW90)</f>
        <v>0</v>
      </c>
      <c r="AX93" s="3">
        <f t="shared" ref="AX93" si="838">SUM(AU90:AX90)</f>
        <v>0</v>
      </c>
      <c r="AY93" s="3">
        <f t="shared" ref="AY93" si="839">SUM(AV90:AY90)</f>
        <v>0</v>
      </c>
      <c r="AZ93" s="3">
        <f t="shared" ref="AZ93" si="840">SUM(AW90:AZ90)</f>
        <v>0</v>
      </c>
      <c r="BA93" s="3">
        <f t="shared" ref="BA93" si="841">SUM(AX90:BA90)</f>
        <v>0</v>
      </c>
      <c r="BB93" s="3">
        <f t="shared" ref="BB93" si="842">SUM(AY90:BB90)</f>
        <v>0</v>
      </c>
      <c r="BC93" s="3">
        <f t="shared" ref="BC93" si="843">SUM(AZ90:BC90)</f>
        <v>0</v>
      </c>
      <c r="BD93" s="3">
        <f t="shared" ref="BD93" si="844">SUM(BA90:BD90)</f>
        <v>0</v>
      </c>
      <c r="BE93" s="3">
        <f t="shared" ref="BE93" si="845">SUM(BB90:BE90)</f>
        <v>0</v>
      </c>
      <c r="BF93" s="3">
        <f t="shared" ref="BF93" si="846">SUM(BC90:BF90)</f>
        <v>12.536969374875451</v>
      </c>
      <c r="BG93" s="3">
        <f t="shared" ref="BG93" si="847">SUM(BD90:BG90)</f>
        <v>17.652361655483958</v>
      </c>
      <c r="BH93" s="3">
        <f t="shared" ref="BH93" si="848">SUM(BE90:BH90)</f>
        <v>23.578422905733078</v>
      </c>
      <c r="BI93" s="3">
        <f t="shared" ref="BI93" si="849">SUM(BF90:BI90)</f>
        <v>36.42210854979075</v>
      </c>
      <c r="BJ93" s="3">
        <f t="shared" ref="BJ93" si="850">SUM(BG90:BJ90)</f>
        <v>33.2109878429549</v>
      </c>
      <c r="BK93" s="3">
        <f t="shared" ref="BK93" si="851">SUM(BH90:BK90)</f>
        <v>37.031488739786099</v>
      </c>
      <c r="BL93" s="3">
        <f t="shared" ref="BL93" si="852">SUM(BI90:BL90)</f>
        <v>43.848933767355369</v>
      </c>
      <c r="BM93" s="3">
        <f t="shared" ref="BM93" si="853">SUM(BJ90:BM90)</f>
        <v>45.539228060851663</v>
      </c>
      <c r="BN93" s="3">
        <f t="shared" ref="BN93" si="854">SUM(BK90:BN90)</f>
        <v>50.425629442635994</v>
      </c>
      <c r="BO93" s="3">
        <f t="shared" ref="BO93" si="855">SUM(BL90:BO90)</f>
        <v>48.656679731614936</v>
      </c>
      <c r="BP93" s="3">
        <f t="shared" ref="BP93" si="856">SUM(BM90:BP90)</f>
        <v>50.56460506211382</v>
      </c>
      <c r="BQ93" s="3">
        <f t="shared" ref="BQ93" si="857">SUM(BN90:BQ90)</f>
        <v>52.233840430478963</v>
      </c>
      <c r="BR93" s="3">
        <f t="shared" ref="BR93" si="858">SUM(BO90:BR90)</f>
        <v>55.91217697468943</v>
      </c>
      <c r="BS93" s="3">
        <f t="shared" ref="BS93" si="859">SUM(BP90:BS90)</f>
        <v>53.55749684448282</v>
      </c>
      <c r="BT93" s="3">
        <f t="shared" ref="BT93" si="860">SUM(BQ90:BT90)</f>
        <v>51.873978608915159</v>
      </c>
      <c r="BU93" s="3">
        <f t="shared" ref="BU93" si="861">SUM(BR90:BU90)</f>
        <v>52.061117385238809</v>
      </c>
      <c r="BV93" s="3">
        <f t="shared" ref="BV93" si="862">SUM(BS90:BV90)</f>
        <v>55.571846143625848</v>
      </c>
      <c r="BW93" s="3">
        <f t="shared" ref="BW93" si="863">SUM(BT90:BW90)</f>
        <v>65.358466750813761</v>
      </c>
      <c r="BX93" s="3">
        <f t="shared" ref="BX93" si="864">SUM(BU90:BX90)</f>
        <v>70.192187603799923</v>
      </c>
      <c r="BY93" s="3">
        <f t="shared" ref="BY93" si="865">SUM(BV90:BY90)</f>
        <v>77.576629243340179</v>
      </c>
      <c r="BZ93" s="3">
        <f t="shared" ref="BZ93" si="866">SUM(BW90:BZ90)</f>
        <v>84.41114727961201</v>
      </c>
      <c r="CA93" s="3">
        <f t="shared" ref="CA93" si="867">SUM(BX90:CA90)</f>
        <v>96.359994685444747</v>
      </c>
      <c r="CB93" s="3">
        <f t="shared" ref="CB93" si="868">SUM(BY90:CB90)</f>
        <v>106.82966850461696</v>
      </c>
      <c r="CC93" s="3">
        <f t="shared" ref="CC93" si="869">SUM(BZ90:CC90)</f>
        <v>110.48129940875569</v>
      </c>
      <c r="CD93" s="3">
        <f t="shared" ref="CD93" si="870">SUM(CA90:CD90)</f>
        <v>118.51757124825619</v>
      </c>
      <c r="CE93" s="3">
        <f t="shared" ref="CE93" si="871">SUM(CB90:CE90)</f>
        <v>118.27383245864613</v>
      </c>
      <c r="CF93" s="3">
        <f t="shared" ref="CF93" si="872">SUM(CC90:CF90)</f>
        <v>119.22002258685974</v>
      </c>
      <c r="CG93" s="3">
        <f t="shared" ref="CG93" si="873">SUM(CD90:CG90)</f>
        <v>122.18999534976413</v>
      </c>
      <c r="CH93" s="3">
        <f t="shared" ref="CH93:CL93" si="874">SUM(CE90:CH90)</f>
        <v>134.19185544409746</v>
      </c>
      <c r="CI93" s="3">
        <f t="shared" si="874"/>
        <v>147.22360991164544</v>
      </c>
      <c r="CJ93" s="3">
        <f t="shared" si="874"/>
        <v>163.54228393011357</v>
      </c>
      <c r="CK93" s="3">
        <f t="shared" si="874"/>
        <v>174.44376281786873</v>
      </c>
      <c r="CL93" s="3">
        <f t="shared" si="874"/>
        <v>177.49898162563639</v>
      </c>
      <c r="CM93" s="37">
        <f t="shared" ref="CM93" si="875">SUM(CJ90:CM90)</f>
        <v>181.34109849467171</v>
      </c>
      <c r="CN93" s="37">
        <f t="shared" ref="CN93" si="876">SUM(CK90:CN90)</f>
        <v>183.86206049166955</v>
      </c>
      <c r="CO93" s="37">
        <f t="shared" ref="CO93" si="877">SUM(CL90:CO90)</f>
        <v>198.0929764929061</v>
      </c>
      <c r="CP93" s="37">
        <f t="shared" ref="CP93" si="878">SUM(CM90:CP90)</f>
        <v>211.90791112718847</v>
      </c>
      <c r="CQ93" s="37">
        <f t="shared" ref="CQ93" si="879">SUM(CN90:CQ90)</f>
        <v>219.86800226933678</v>
      </c>
      <c r="CR93" s="37">
        <f t="shared" ref="CR93" si="880">SUM(CO90:CR90)</f>
        <v>226.60418179064064</v>
      </c>
      <c r="CS93" s="37">
        <f t="shared" ref="CS93" si="881">SUM(CP90:CS90)</f>
        <v>236.31163935179819</v>
      </c>
      <c r="CT93" s="37">
        <f t="shared" ref="CT93" si="882">SUM(CQ90:CT90)</f>
        <v>246.27011026532489</v>
      </c>
      <c r="CU93" s="37">
        <f t="shared" ref="CU93" si="883">SUM(CR90:CU90)</f>
        <v>253.48557008062033</v>
      </c>
      <c r="CV93" s="37">
        <f t="shared" ref="CV93" si="884">SUM(CS90:CV90)</f>
        <v>261.99050582142212</v>
      </c>
      <c r="CW93" s="37">
        <f t="shared" ref="CW93" si="885">SUM(CT90:CW90)</f>
        <v>273.18620304731729</v>
      </c>
      <c r="CX93" s="37">
        <f t="shared" ref="CX93" si="886">SUM(CU90:CX90)</f>
        <v>286.68904618006678</v>
      </c>
      <c r="CY93" s="37">
        <f t="shared" ref="CY93" si="887">SUM(CV90:CY90)</f>
        <v>295.57191318316023</v>
      </c>
      <c r="CZ93" s="37">
        <f t="shared" ref="CZ93" si="888">SUM(CW90:CZ90)</f>
        <v>305.3297419419788</v>
      </c>
      <c r="DA93" s="37">
        <f t="shared" ref="DA93" si="889">SUM(CX90:DA90)</f>
        <v>317.04148645854104</v>
      </c>
      <c r="DB93" s="37">
        <f t="shared" ref="DB93" si="890">SUM(CY90:DB90)</f>
        <v>330.07855847192116</v>
      </c>
      <c r="DE93" s="134"/>
      <c r="DF93" s="3">
        <v>180.54003255854374</v>
      </c>
    </row>
    <row r="94" spans="1:110" s="97" customFormat="1" x14ac:dyDescent="0.2">
      <c r="A94" s="97" t="s">
        <v>425</v>
      </c>
      <c r="C94" s="101" t="e">
        <f t="shared" ref="C94:AA94" si="891">+C93/B93-1</f>
        <v>#DIV/0!</v>
      </c>
      <c r="D94" s="101" t="e">
        <f t="shared" si="891"/>
        <v>#DIV/0!</v>
      </c>
      <c r="E94" s="101" t="e">
        <f t="shared" si="891"/>
        <v>#DIV/0!</v>
      </c>
      <c r="F94" s="101" t="e">
        <f t="shared" si="891"/>
        <v>#DIV/0!</v>
      </c>
      <c r="G94" s="101" t="e">
        <f t="shared" si="891"/>
        <v>#DIV/0!</v>
      </c>
      <c r="H94" s="101" t="e">
        <f t="shared" si="891"/>
        <v>#DIV/0!</v>
      </c>
      <c r="I94" s="101" t="e">
        <f t="shared" si="891"/>
        <v>#DIV/0!</v>
      </c>
      <c r="J94" s="101">
        <f t="shared" si="891"/>
        <v>-0.5782099225047681</v>
      </c>
      <c r="K94" s="101">
        <f t="shared" si="891"/>
        <v>0.75820074243790403</v>
      </c>
      <c r="L94" s="101">
        <f t="shared" si="891"/>
        <v>-1</v>
      </c>
      <c r="M94" s="101" t="e">
        <f t="shared" si="891"/>
        <v>#DIV/0!</v>
      </c>
      <c r="N94" s="101">
        <f t="shared" si="891"/>
        <v>1.3134157715798729</v>
      </c>
      <c r="O94" s="101">
        <f t="shared" si="891"/>
        <v>0.21263867032553252</v>
      </c>
      <c r="P94" s="101">
        <f t="shared" si="891"/>
        <v>0.71946890316491974</v>
      </c>
      <c r="Q94" s="101">
        <f t="shared" si="891"/>
        <v>0.17236862622796911</v>
      </c>
      <c r="R94" s="101">
        <f t="shared" si="891"/>
        <v>0.23692806980208991</v>
      </c>
      <c r="S94" s="101">
        <f t="shared" si="891"/>
        <v>0.5398872224109923</v>
      </c>
      <c r="T94" s="101">
        <f t="shared" si="891"/>
        <v>0.39576775145036724</v>
      </c>
      <c r="U94" s="101">
        <f t="shared" si="891"/>
        <v>0.51901629567963159</v>
      </c>
      <c r="V94" s="101">
        <f t="shared" si="891"/>
        <v>0.10399087288570086</v>
      </c>
      <c r="W94" s="101">
        <f t="shared" si="891"/>
        <v>-1.7518066998237769E-3</v>
      </c>
      <c r="X94" s="101">
        <f t="shared" si="891"/>
        <v>0.51912318116395828</v>
      </c>
      <c r="Y94" s="101">
        <f t="shared" si="891"/>
        <v>0.40389429194441462</v>
      </c>
      <c r="Z94" s="101">
        <f t="shared" si="891"/>
        <v>0.13225282994543219</v>
      </c>
      <c r="AA94" s="101">
        <f t="shared" si="891"/>
        <v>0.32279516235229</v>
      </c>
      <c r="AB94" s="174">
        <f t="shared" ref="AB94" si="892">+AB93/AA93-1</f>
        <v>0.1939578563629023</v>
      </c>
      <c r="AC94" s="174">
        <f t="shared" ref="AC94" si="893">+AC93/AB93-1</f>
        <v>0.16215628267654214</v>
      </c>
      <c r="AD94" s="174">
        <f t="shared" ref="AD94" si="894">+AD93/AC93-1</f>
        <v>0.16412440742888235</v>
      </c>
      <c r="AE94" s="174">
        <f t="shared" ref="AE94" si="895">+AE93/AD93-1</f>
        <v>0.15134694844462904</v>
      </c>
      <c r="AL94" s="176"/>
      <c r="AM94" s="176"/>
      <c r="AN94" s="176"/>
      <c r="AO94" s="176"/>
      <c r="AP94" s="176" t="e">
        <f t="shared" ref="AP94:CL94" si="896">+IF(AL93&lt;0,1-AP93/AL93,AP93/AL93-1)</f>
        <v>#DIV/0!</v>
      </c>
      <c r="AQ94" s="176" t="e">
        <f t="shared" si="896"/>
        <v>#DIV/0!</v>
      </c>
      <c r="AR94" s="176" t="e">
        <f t="shared" si="896"/>
        <v>#DIV/0!</v>
      </c>
      <c r="AS94" s="176" t="e">
        <f t="shared" si="896"/>
        <v>#DIV/0!</v>
      </c>
      <c r="AT94" s="176" t="e">
        <f t="shared" si="896"/>
        <v>#DIV/0!</v>
      </c>
      <c r="AU94" s="176" t="e">
        <f t="shared" si="896"/>
        <v>#DIV/0!</v>
      </c>
      <c r="AV94" s="176" t="e">
        <f t="shared" si="896"/>
        <v>#DIV/0!</v>
      </c>
      <c r="AW94" s="176" t="e">
        <f t="shared" si="896"/>
        <v>#DIV/0!</v>
      </c>
      <c r="AX94" s="176" t="e">
        <f t="shared" si="896"/>
        <v>#DIV/0!</v>
      </c>
      <c r="AY94" s="176" t="e">
        <f t="shared" si="896"/>
        <v>#DIV/0!</v>
      </c>
      <c r="AZ94" s="176" t="e">
        <f t="shared" si="896"/>
        <v>#DIV/0!</v>
      </c>
      <c r="BA94" s="176" t="e">
        <f t="shared" si="896"/>
        <v>#DIV/0!</v>
      </c>
      <c r="BB94" s="176" t="e">
        <f t="shared" si="896"/>
        <v>#DIV/0!</v>
      </c>
      <c r="BC94" s="176" t="e">
        <f t="shared" si="896"/>
        <v>#DIV/0!</v>
      </c>
      <c r="BD94" s="176" t="e">
        <f t="shared" si="896"/>
        <v>#DIV/0!</v>
      </c>
      <c r="BE94" s="176" t="e">
        <f t="shared" si="896"/>
        <v>#DIV/0!</v>
      </c>
      <c r="BF94" s="176" t="e">
        <f t="shared" si="896"/>
        <v>#DIV/0!</v>
      </c>
      <c r="BG94" s="176" t="e">
        <f t="shared" si="896"/>
        <v>#DIV/0!</v>
      </c>
      <c r="BH94" s="176" t="e">
        <f t="shared" si="896"/>
        <v>#DIV/0!</v>
      </c>
      <c r="BI94" s="176" t="e">
        <f t="shared" si="896"/>
        <v>#DIV/0!</v>
      </c>
      <c r="BJ94" s="176">
        <f t="shared" si="896"/>
        <v>1.649044346356221</v>
      </c>
      <c r="BK94" s="176">
        <f t="shared" si="896"/>
        <v>1.097820646467536</v>
      </c>
      <c r="BL94" s="176">
        <f t="shared" si="896"/>
        <v>0.8597059668776037</v>
      </c>
      <c r="BM94" s="176">
        <f t="shared" si="896"/>
        <v>0.25031827848729238</v>
      </c>
      <c r="BN94" s="176">
        <f t="shared" si="896"/>
        <v>0.51834175126268822</v>
      </c>
      <c r="BO94" s="176">
        <f t="shared" si="896"/>
        <v>0.31392718433539235</v>
      </c>
      <c r="BP94" s="176">
        <f t="shared" si="896"/>
        <v>0.15315472276678554</v>
      </c>
      <c r="BQ94" s="176">
        <f t="shared" si="896"/>
        <v>0.14700759443444333</v>
      </c>
      <c r="BR94" s="176">
        <f t="shared" si="896"/>
        <v>0.10880474061895273</v>
      </c>
      <c r="BS94" s="176">
        <f t="shared" si="896"/>
        <v>0.10072239083924894</v>
      </c>
      <c r="BT94" s="176">
        <f t="shared" si="896"/>
        <v>2.5895061282351417E-2</v>
      </c>
      <c r="BU94" s="176">
        <f t="shared" si="896"/>
        <v>-3.3067268999690258E-3</v>
      </c>
      <c r="BV94" s="176">
        <f t="shared" si="896"/>
        <v>-6.0868821333436296E-3</v>
      </c>
      <c r="BW94" s="176">
        <f t="shared" si="896"/>
        <v>0.22034207350276125</v>
      </c>
      <c r="BX94" s="176">
        <f t="shared" si="896"/>
        <v>0.35312905402896089</v>
      </c>
      <c r="BY94" s="176">
        <f t="shared" si="896"/>
        <v>0.49010688090486387</v>
      </c>
      <c r="BZ94" s="176">
        <f t="shared" si="896"/>
        <v>0.51895524689697692</v>
      </c>
      <c r="CA94" s="176">
        <f t="shared" si="896"/>
        <v>0.47433070994195248</v>
      </c>
      <c r="CB94" s="176">
        <f t="shared" si="896"/>
        <v>0.52195952500607956</v>
      </c>
      <c r="CC94" s="176">
        <f t="shared" si="896"/>
        <v>0.42415699787884664</v>
      </c>
      <c r="CD94" s="176">
        <f t="shared" si="896"/>
        <v>0.40405118361519965</v>
      </c>
      <c r="CE94" s="176">
        <f t="shared" si="896"/>
        <v>0.22741634476772643</v>
      </c>
      <c r="CF94" s="176">
        <f t="shared" si="896"/>
        <v>0.11598233202143926</v>
      </c>
      <c r="CG94" s="176">
        <f t="shared" si="896"/>
        <v>0.10597898471205447</v>
      </c>
      <c r="CH94" s="176">
        <f t="shared" si="896"/>
        <v>0.13225282994543219</v>
      </c>
      <c r="CI94" s="176">
        <f t="shared" si="896"/>
        <v>0.24476908248594609</v>
      </c>
      <c r="CJ94" s="176">
        <f t="shared" si="896"/>
        <v>0.37176860380949939</v>
      </c>
      <c r="CK94" s="176">
        <f t="shared" si="896"/>
        <v>0.42764358340901976</v>
      </c>
      <c r="CL94" s="176">
        <f t="shared" si="896"/>
        <v>0.322725444388688</v>
      </c>
      <c r="CM94" s="102">
        <f t="shared" ref="CM94:DB94" si="897">+IF(CI93&lt;0,1-CM93/CI93,CM93/CI93-1)</f>
        <v>0.23173924755344255</v>
      </c>
      <c r="CN94" s="102">
        <f t="shared" si="897"/>
        <v>0.12424784632602548</v>
      </c>
      <c r="CO94" s="102">
        <f t="shared" si="897"/>
        <v>0.13556927053751289</v>
      </c>
      <c r="CP94" s="102">
        <f t="shared" si="897"/>
        <v>0.19385423615626185</v>
      </c>
      <c r="CQ94" s="102">
        <f t="shared" si="897"/>
        <v>0.21245544498450863</v>
      </c>
      <c r="CR94" s="102">
        <f t="shared" si="897"/>
        <v>0.2324684123775913</v>
      </c>
      <c r="CS94" s="102">
        <f t="shared" si="897"/>
        <v>0.19293295267467858</v>
      </c>
      <c r="CT94" s="102">
        <f t="shared" si="897"/>
        <v>0.16215628267654436</v>
      </c>
      <c r="CU94" s="102">
        <f t="shared" si="897"/>
        <v>0.15289886415624165</v>
      </c>
      <c r="CV94" s="102">
        <f t="shared" si="897"/>
        <v>0.15615918360886583</v>
      </c>
      <c r="CW94" s="102">
        <f t="shared" si="897"/>
        <v>0.15604209676961256</v>
      </c>
      <c r="CX94" s="102">
        <f t="shared" si="897"/>
        <v>0.16412440742888212</v>
      </c>
      <c r="CY94" s="102">
        <f t="shared" si="897"/>
        <v>0.16603052824330189</v>
      </c>
      <c r="CZ94" s="102">
        <f t="shared" si="897"/>
        <v>0.16542292624182942</v>
      </c>
      <c r="DA94" s="102">
        <f t="shared" si="897"/>
        <v>0.16053257053991032</v>
      </c>
      <c r="DB94" s="102">
        <f t="shared" si="897"/>
        <v>0.15134694844462881</v>
      </c>
      <c r="DE94" s="135"/>
      <c r="DF94" s="97">
        <v>0.34538740790982159</v>
      </c>
    </row>
    <row r="95" spans="1:110" s="144" customFormat="1" x14ac:dyDescent="0.2">
      <c r="A95" s="144" t="s">
        <v>424</v>
      </c>
      <c r="AB95" s="145"/>
      <c r="AC95" s="145"/>
      <c r="AD95" s="145"/>
      <c r="AE95" s="145"/>
      <c r="CM95" s="145"/>
      <c r="CN95" s="145"/>
      <c r="CO95" s="145"/>
      <c r="CP95" s="145">
        <v>210.4</v>
      </c>
      <c r="CQ95" s="145"/>
      <c r="CR95" s="145"/>
      <c r="CS95" s="145"/>
      <c r="CT95" s="145">
        <v>246.9</v>
      </c>
      <c r="CU95" s="145"/>
      <c r="CV95" s="145"/>
      <c r="CW95" s="145"/>
      <c r="CX95" s="145">
        <v>287.2</v>
      </c>
      <c r="CY95" s="145"/>
      <c r="CZ95" s="145"/>
      <c r="DA95" s="145"/>
      <c r="DB95" s="145"/>
      <c r="DE95" s="146"/>
      <c r="DF95" s="144">
        <v>179.8</v>
      </c>
    </row>
    <row r="96" spans="1:110" s="144" customFormat="1" x14ac:dyDescent="0.2">
      <c r="A96" s="144" t="s">
        <v>436</v>
      </c>
      <c r="AB96" s="145"/>
      <c r="AC96" s="145"/>
      <c r="AD96" s="145"/>
      <c r="AE96" s="145"/>
      <c r="CM96" s="145"/>
      <c r="CN96" s="145"/>
      <c r="CO96" s="145"/>
      <c r="CP96" s="145">
        <f>+CP93/CP95-1</f>
        <v>7.1668779809337391E-3</v>
      </c>
      <c r="CQ96" s="145"/>
      <c r="CR96" s="145"/>
      <c r="CS96" s="145"/>
      <c r="CT96" s="145">
        <f>+CT93/CT95-1</f>
        <v>-2.5511937410900298E-3</v>
      </c>
      <c r="CU96" s="145"/>
      <c r="CV96" s="145"/>
      <c r="CW96" s="145"/>
      <c r="CX96" s="145">
        <f>+CX93/CX95-1</f>
        <v>-1.7790871167591149E-3</v>
      </c>
      <c r="CY96" s="145"/>
      <c r="CZ96" s="145"/>
      <c r="DA96" s="145"/>
      <c r="DB96" s="145"/>
      <c r="DE96" s="146"/>
      <c r="DF96" s="144">
        <v>4.1158651754378273E-3</v>
      </c>
    </row>
    <row r="97" spans="1:110" s="3" customFormat="1" x14ac:dyDescent="0.2">
      <c r="A97" s="3" t="s">
        <v>34</v>
      </c>
      <c r="B97" s="3">
        <f>'Annual Raw'!C112</f>
        <v>0</v>
      </c>
      <c r="C97" s="3">
        <f>'Annual Raw'!D112</f>
        <v>0</v>
      </c>
      <c r="D97" s="3">
        <f>'Annual Raw'!E112</f>
        <v>0</v>
      </c>
      <c r="E97" s="3">
        <f>'Annual Raw'!F112</f>
        <v>0</v>
      </c>
      <c r="F97" s="3">
        <f>'Annual Raw'!G112</f>
        <v>0</v>
      </c>
      <c r="G97" s="3">
        <f>'Annual Raw'!H112</f>
        <v>0</v>
      </c>
      <c r="H97" s="3">
        <f>'Annual Raw'!I112</f>
        <v>0</v>
      </c>
      <c r="I97" s="3">
        <f>'Annual Raw'!J112</f>
        <v>0</v>
      </c>
      <c r="J97" s="3">
        <f>'Annual Raw'!K112</f>
        <v>0</v>
      </c>
      <c r="K97" s="3">
        <f>'Annual Raw'!L112</f>
        <v>0</v>
      </c>
      <c r="L97" s="3">
        <f>'Annual Raw'!M112</f>
        <v>0</v>
      </c>
      <c r="M97" s="3">
        <f>'Annual Raw'!N112</f>
        <v>0</v>
      </c>
      <c r="N97" s="3">
        <f>'Annual Raw'!O112</f>
        <v>15</v>
      </c>
      <c r="O97" s="3">
        <f>'Annual Raw'!P112</f>
        <v>0</v>
      </c>
      <c r="P97" s="3">
        <f>'Annual Raw'!Q112</f>
        <v>0</v>
      </c>
      <c r="Q97" s="3">
        <f>'Annual Raw'!R112</f>
        <v>0</v>
      </c>
      <c r="R97" s="3">
        <f>'Annual Raw'!S112</f>
        <v>0</v>
      </c>
      <c r="S97" s="3">
        <f>'Annual Raw'!T112</f>
        <v>0</v>
      </c>
      <c r="T97" s="3">
        <f>'Annual Raw'!U112</f>
        <v>0</v>
      </c>
      <c r="U97" s="3">
        <f>'Annual Raw'!V112</f>
        <v>68.58</v>
      </c>
      <c r="V97" s="3">
        <f>'Annual Raw'!W112</f>
        <v>68.42</v>
      </c>
      <c r="W97" s="3">
        <f>'Annual Raw'!X112</f>
        <v>68.08</v>
      </c>
      <c r="X97" s="3">
        <f>'Annual Raw'!Y112</f>
        <v>66.2</v>
      </c>
      <c r="Y97" s="3">
        <f>'Annual Raw'!Z112</f>
        <v>65.239999999999995</v>
      </c>
      <c r="Z97" s="3">
        <f>'Annual Raw'!AA112</f>
        <v>63.04</v>
      </c>
      <c r="AA97" s="3">
        <f>'Annual Raw'!AB112</f>
        <v>61.5</v>
      </c>
      <c r="AB97" s="37"/>
      <c r="AC97" s="37"/>
      <c r="AD97" s="37"/>
      <c r="AE97" s="37"/>
      <c r="AI97" s="3">
        <f>'QTR Raw'!C49</f>
        <v>0</v>
      </c>
      <c r="AJ97" s="3">
        <f>'QTR Raw'!D49</f>
        <v>0</v>
      </c>
      <c r="AK97" s="3">
        <f>'QTR Raw'!E49</f>
        <v>0</v>
      </c>
      <c r="AL97" s="3">
        <f>'QTR Raw'!F49</f>
        <v>0</v>
      </c>
      <c r="AM97" s="3">
        <f>'QTR Raw'!G49</f>
        <v>0</v>
      </c>
      <c r="AN97" s="3">
        <f>'QTR Raw'!H49</f>
        <v>0</v>
      </c>
      <c r="AO97" s="3">
        <f>'QTR Raw'!I49</f>
        <v>0</v>
      </c>
      <c r="AP97" s="3">
        <f>'QTR Raw'!J49</f>
        <v>0</v>
      </c>
      <c r="AQ97" s="3">
        <f>'QTR Raw'!K49</f>
        <v>0</v>
      </c>
      <c r="AR97" s="3">
        <f>'QTR Raw'!L49</f>
        <v>0</v>
      </c>
      <c r="AS97" s="3">
        <f>'QTR Raw'!M49</f>
        <v>0</v>
      </c>
      <c r="AT97" s="3">
        <f>'QTR Raw'!N49</f>
        <v>0</v>
      </c>
      <c r="AU97" s="3">
        <f>'QTR Raw'!O49</f>
        <v>0</v>
      </c>
      <c r="AV97" s="3">
        <f>'QTR Raw'!P49</f>
        <v>0</v>
      </c>
      <c r="AW97" s="3">
        <f>'QTR Raw'!Q49</f>
        <v>0</v>
      </c>
      <c r="AX97" s="3">
        <f>'QTR Raw'!R49</f>
        <v>0</v>
      </c>
      <c r="AY97" s="3">
        <f>'QTR Raw'!S49</f>
        <v>0</v>
      </c>
      <c r="AZ97" s="3">
        <f>'QTR Raw'!T49</f>
        <v>0</v>
      </c>
      <c r="BA97" s="3">
        <f>'QTR Raw'!U49</f>
        <v>0</v>
      </c>
      <c r="BB97" s="3">
        <f>'QTR Raw'!V49</f>
        <v>0</v>
      </c>
      <c r="BC97" s="3">
        <f>'QTR Raw'!W49</f>
        <v>0</v>
      </c>
      <c r="BD97" s="3">
        <f>'QTR Raw'!X49</f>
        <v>0</v>
      </c>
      <c r="BE97" s="3">
        <f>'QTR Raw'!Y49</f>
        <v>0</v>
      </c>
      <c r="BF97" s="3">
        <f>'QTR Raw'!Z49</f>
        <v>0</v>
      </c>
      <c r="BG97" s="3">
        <f>'QTR Raw'!AA49</f>
        <v>0</v>
      </c>
      <c r="BH97" s="3">
        <f>'QTR Raw'!AB49</f>
        <v>0</v>
      </c>
      <c r="BI97" s="3">
        <f>'QTR Raw'!AC49</f>
        <v>0</v>
      </c>
      <c r="BJ97" s="3">
        <f>'QTR Raw'!AD49</f>
        <v>0</v>
      </c>
      <c r="BK97" s="3">
        <f>'QTR Raw'!AE49</f>
        <v>68.69</v>
      </c>
      <c r="BL97" s="3">
        <f>'QTR Raw'!AF49</f>
        <v>68.69</v>
      </c>
      <c r="BM97" s="3">
        <f>'QTR Raw'!AG49</f>
        <v>68.599999999999994</v>
      </c>
      <c r="BN97" s="3">
        <f>'QTR Raw'!AH49</f>
        <v>68.58</v>
      </c>
      <c r="BO97" s="3">
        <f>'QTR Raw'!AI49</f>
        <v>68.55</v>
      </c>
      <c r="BP97" s="3">
        <f>'QTR Raw'!AJ49</f>
        <v>68.53</v>
      </c>
      <c r="BQ97" s="3">
        <f>'QTR Raw'!AK49</f>
        <v>68.44</v>
      </c>
      <c r="BR97" s="3">
        <f>'QTR Raw'!AL49</f>
        <v>68.42</v>
      </c>
      <c r="BS97" s="3">
        <f>'QTR Raw'!AM49</f>
        <v>68.400000000000006</v>
      </c>
      <c r="BT97" s="3">
        <f>'QTR Raw'!AN49</f>
        <v>68.36</v>
      </c>
      <c r="BU97" s="3">
        <f>'QTR Raw'!AO49</f>
        <v>68.150000000000006</v>
      </c>
      <c r="BV97" s="3">
        <f>'QTR Raw'!AP49</f>
        <v>68.08</v>
      </c>
      <c r="BW97" s="3">
        <f>'QTR Raw'!AQ49</f>
        <v>67.989999999999995</v>
      </c>
      <c r="BX97" s="3">
        <f>'QTR Raw'!AR49</f>
        <v>67.97</v>
      </c>
      <c r="BY97" s="3">
        <f>'QTR Raw'!AS49</f>
        <v>66.61</v>
      </c>
      <c r="BZ97" s="3">
        <f>'QTR Raw'!AT49</f>
        <v>66.2</v>
      </c>
      <c r="CA97" s="3">
        <f>'QTR Raw'!AU49</f>
        <v>65.989999999999995</v>
      </c>
      <c r="CB97" s="3">
        <f>'QTR Raw'!AV49</f>
        <v>65.91</v>
      </c>
      <c r="CC97" s="3">
        <f>'QTR Raw'!AW49</f>
        <v>65.790000000000006</v>
      </c>
      <c r="CD97" s="3">
        <f>'QTR Raw'!AX49</f>
        <v>65.239999999999995</v>
      </c>
      <c r="CE97" s="3">
        <f>'QTR Raw'!AY49</f>
        <v>65.02</v>
      </c>
      <c r="CF97" s="3">
        <f>'QTR Raw'!AZ49</f>
        <v>63.06</v>
      </c>
      <c r="CG97" s="3">
        <f>'QTR Raw'!BA49</f>
        <v>63.05</v>
      </c>
      <c r="CH97" s="3">
        <f>'QTR Raw'!BB49</f>
        <v>63.04</v>
      </c>
      <c r="CI97" s="3">
        <f>'QTR Raw'!BC49</f>
        <v>63.01</v>
      </c>
      <c r="CJ97" s="3">
        <f>'QTR Raw'!BD49</f>
        <v>61.52</v>
      </c>
      <c r="CK97" s="3">
        <f>'QTR Raw'!BE49</f>
        <v>61.5</v>
      </c>
      <c r="CL97" s="3">
        <f>'QTR Raw'!BF49</f>
        <v>61.5</v>
      </c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</row>
    <row r="98" spans="1:110" s="3" customFormat="1" x14ac:dyDescent="0.2">
      <c r="A98" s="3" t="s">
        <v>35</v>
      </c>
      <c r="B98" s="3">
        <f>'Annual Raw'!C113</f>
        <v>0</v>
      </c>
      <c r="C98" s="3">
        <f>'Annual Raw'!D113</f>
        <v>0</v>
      </c>
      <c r="D98" s="3">
        <f>'Annual Raw'!E113</f>
        <v>0</v>
      </c>
      <c r="E98" s="3">
        <f>'Annual Raw'!F113</f>
        <v>0</v>
      </c>
      <c r="F98" s="3">
        <f>'Annual Raw'!G113</f>
        <v>0</v>
      </c>
      <c r="G98" s="3">
        <f>'Annual Raw'!H113</f>
        <v>0</v>
      </c>
      <c r="H98" s="3">
        <f>'Annual Raw'!I113</f>
        <v>0</v>
      </c>
      <c r="I98" s="3">
        <f>'Annual Raw'!J113</f>
        <v>0</v>
      </c>
      <c r="J98" s="3">
        <f>'Annual Raw'!K113</f>
        <v>0</v>
      </c>
      <c r="K98" s="3">
        <f>'Annual Raw'!L113</f>
        <v>0</v>
      </c>
      <c r="L98" s="3">
        <f>'Annual Raw'!M113</f>
        <v>0</v>
      </c>
      <c r="M98" s="3">
        <f>'Annual Raw'!N113</f>
        <v>0</v>
      </c>
      <c r="N98" s="3">
        <f>'Annual Raw'!O113</f>
        <v>0</v>
      </c>
      <c r="O98" s="3">
        <f>'Annual Raw'!P113</f>
        <v>0</v>
      </c>
      <c r="P98" s="3">
        <f>'Annual Raw'!Q113</f>
        <v>0</v>
      </c>
      <c r="Q98" s="3">
        <f>'Annual Raw'!R113</f>
        <v>0</v>
      </c>
      <c r="R98" s="3">
        <f>'Annual Raw'!S113</f>
        <v>0</v>
      </c>
      <c r="S98" s="3">
        <f>'Annual Raw'!T113</f>
        <v>0</v>
      </c>
      <c r="T98" s="3">
        <f>'Annual Raw'!U113</f>
        <v>0</v>
      </c>
      <c r="U98" s="3">
        <f>'Annual Raw'!V113</f>
        <v>0</v>
      </c>
      <c r="V98" s="3">
        <f>'Annual Raw'!W113</f>
        <v>0</v>
      </c>
      <c r="W98" s="3">
        <f>'Annual Raw'!X113</f>
        <v>0</v>
      </c>
      <c r="X98" s="3">
        <f>'Annual Raw'!Y113</f>
        <v>0</v>
      </c>
      <c r="Y98" s="3">
        <f>'Annual Raw'!Z113</f>
        <v>0</v>
      </c>
      <c r="Z98" s="3">
        <f>'Annual Raw'!AA113</f>
        <v>0</v>
      </c>
      <c r="AA98" s="3">
        <f>'Annual Raw'!AB113</f>
        <v>0</v>
      </c>
      <c r="AB98" s="37"/>
      <c r="AC98" s="37"/>
      <c r="AD98" s="37"/>
      <c r="AE98" s="37"/>
      <c r="AI98" s="3">
        <f>'QTR Raw'!C50</f>
        <v>0</v>
      </c>
      <c r="AJ98" s="3">
        <f>'QTR Raw'!D50</f>
        <v>0</v>
      </c>
      <c r="AK98" s="3">
        <f>'QTR Raw'!E50</f>
        <v>0</v>
      </c>
      <c r="AL98" s="3">
        <f>'QTR Raw'!F50</f>
        <v>0</v>
      </c>
      <c r="AM98" s="3">
        <f>'QTR Raw'!G50</f>
        <v>0</v>
      </c>
      <c r="AN98" s="3">
        <f>'QTR Raw'!H50</f>
        <v>0</v>
      </c>
      <c r="AO98" s="3">
        <f>'QTR Raw'!I50</f>
        <v>0</v>
      </c>
      <c r="AP98" s="3">
        <f>'QTR Raw'!J50</f>
        <v>0</v>
      </c>
      <c r="AQ98" s="3">
        <f>'QTR Raw'!K50</f>
        <v>0</v>
      </c>
      <c r="AR98" s="3">
        <f>'QTR Raw'!L50</f>
        <v>0</v>
      </c>
      <c r="AS98" s="3">
        <f>'QTR Raw'!M50</f>
        <v>0</v>
      </c>
      <c r="AT98" s="3">
        <f>'QTR Raw'!N50</f>
        <v>0</v>
      </c>
      <c r="AU98" s="3">
        <f>'QTR Raw'!O50</f>
        <v>0</v>
      </c>
      <c r="AV98" s="3">
        <f>'QTR Raw'!P50</f>
        <v>0</v>
      </c>
      <c r="AW98" s="3">
        <f>'QTR Raw'!Q50</f>
        <v>0</v>
      </c>
      <c r="AX98" s="3">
        <f>'QTR Raw'!R50</f>
        <v>0</v>
      </c>
      <c r="AY98" s="3">
        <f>'QTR Raw'!S50</f>
        <v>0</v>
      </c>
      <c r="AZ98" s="3">
        <f>'QTR Raw'!T50</f>
        <v>0</v>
      </c>
      <c r="BA98" s="3">
        <f>'QTR Raw'!U50</f>
        <v>0</v>
      </c>
      <c r="BB98" s="3">
        <f>'QTR Raw'!V50</f>
        <v>0</v>
      </c>
      <c r="BC98" s="3">
        <f>'QTR Raw'!W50</f>
        <v>0</v>
      </c>
      <c r="BD98" s="3">
        <f>'QTR Raw'!X50</f>
        <v>0</v>
      </c>
      <c r="BE98" s="3">
        <f>'QTR Raw'!Y50</f>
        <v>0</v>
      </c>
      <c r="BF98" s="3">
        <f>'QTR Raw'!Z50</f>
        <v>0</v>
      </c>
      <c r="BG98" s="3">
        <f>'QTR Raw'!AA50</f>
        <v>0</v>
      </c>
      <c r="BH98" s="3">
        <f>'QTR Raw'!AB50</f>
        <v>0</v>
      </c>
      <c r="BI98" s="3">
        <f>'QTR Raw'!AC50</f>
        <v>0</v>
      </c>
      <c r="BJ98" s="3">
        <f>'QTR Raw'!AD50</f>
        <v>0</v>
      </c>
      <c r="BK98" s="3">
        <f>'QTR Raw'!AE50</f>
        <v>0</v>
      </c>
      <c r="BL98" s="3">
        <f>'QTR Raw'!AF50</f>
        <v>0</v>
      </c>
      <c r="BM98" s="3">
        <f>'QTR Raw'!AG50</f>
        <v>0</v>
      </c>
      <c r="BN98" s="3">
        <f>'QTR Raw'!AH50</f>
        <v>0</v>
      </c>
      <c r="BO98" s="3">
        <f>'QTR Raw'!AI50</f>
        <v>0</v>
      </c>
      <c r="BP98" s="3">
        <f>'QTR Raw'!AJ50</f>
        <v>0</v>
      </c>
      <c r="BQ98" s="3">
        <f>'QTR Raw'!AK50</f>
        <v>0</v>
      </c>
      <c r="BR98" s="3">
        <f>'QTR Raw'!AL50</f>
        <v>0</v>
      </c>
      <c r="BS98" s="3">
        <f>'QTR Raw'!AM50</f>
        <v>0</v>
      </c>
      <c r="BT98" s="3">
        <f>'QTR Raw'!AN50</f>
        <v>0</v>
      </c>
      <c r="BU98" s="3">
        <f>'QTR Raw'!AO50</f>
        <v>0</v>
      </c>
      <c r="BV98" s="3">
        <f>'QTR Raw'!AP50</f>
        <v>0</v>
      </c>
      <c r="BW98" s="3">
        <f>'QTR Raw'!AQ50</f>
        <v>0</v>
      </c>
      <c r="BX98" s="3">
        <f>'QTR Raw'!AR50</f>
        <v>0</v>
      </c>
      <c r="BY98" s="3">
        <f>'QTR Raw'!AS50</f>
        <v>0</v>
      </c>
      <c r="BZ98" s="3">
        <f>'QTR Raw'!AT50</f>
        <v>0</v>
      </c>
      <c r="CA98" s="3">
        <f>'QTR Raw'!AU50</f>
        <v>0</v>
      </c>
      <c r="CB98" s="3">
        <f>'QTR Raw'!AV50</f>
        <v>0</v>
      </c>
      <c r="CC98" s="3">
        <f>'QTR Raw'!AW50</f>
        <v>0</v>
      </c>
      <c r="CD98" s="3">
        <f>'QTR Raw'!AX50</f>
        <v>0</v>
      </c>
      <c r="CE98" s="3">
        <f>'QTR Raw'!AY50</f>
        <v>0</v>
      </c>
      <c r="CF98" s="3">
        <f>'QTR Raw'!AZ50</f>
        <v>0</v>
      </c>
      <c r="CG98" s="3">
        <f>'QTR Raw'!BA50</f>
        <v>0</v>
      </c>
      <c r="CH98" s="3">
        <f>'QTR Raw'!BB50</f>
        <v>0</v>
      </c>
      <c r="CI98" s="3">
        <f>'QTR Raw'!BC50</f>
        <v>0</v>
      </c>
      <c r="CJ98" s="3">
        <f>'QTR Raw'!BD50</f>
        <v>0</v>
      </c>
      <c r="CK98" s="3">
        <f>'QTR Raw'!BE50</f>
        <v>0</v>
      </c>
      <c r="CL98" s="3">
        <f>'QTR Raw'!BF50</f>
        <v>0</v>
      </c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3" customFormat="1" x14ac:dyDescent="0.2">
      <c r="AB99" s="37"/>
      <c r="AC99" s="37"/>
      <c r="AD99" s="37"/>
      <c r="AE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36</v>
      </c>
      <c r="AB100" s="37"/>
      <c r="AC100" s="37"/>
      <c r="AD100" s="37"/>
      <c r="AE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13" customFormat="1" x14ac:dyDescent="0.2">
      <c r="A101" s="13" t="s">
        <v>457</v>
      </c>
      <c r="B101" s="13">
        <f>'Annual Raw'!C106</f>
        <v>0</v>
      </c>
      <c r="C101" s="13">
        <f>'Annual Raw'!D106</f>
        <v>0</v>
      </c>
      <c r="D101" s="13">
        <f>'Annual Raw'!E106</f>
        <v>0</v>
      </c>
      <c r="E101" s="13">
        <f>'Annual Raw'!F106</f>
        <v>0</v>
      </c>
      <c r="F101" s="13">
        <f>'Annual Raw'!G106</f>
        <v>0</v>
      </c>
      <c r="G101" s="13">
        <f>'Annual Raw'!H106</f>
        <v>0</v>
      </c>
      <c r="H101" s="13">
        <f>'Annual Raw'!I106</f>
        <v>0</v>
      </c>
      <c r="I101" s="13">
        <f>'Annual Raw'!J106</f>
        <v>0</v>
      </c>
      <c r="J101" s="13">
        <f>'Annual Raw'!K106</f>
        <v>0</v>
      </c>
      <c r="K101" s="13">
        <f>'Annual Raw'!L106</f>
        <v>0</v>
      </c>
      <c r="L101" s="13">
        <f>'Annual Raw'!M106</f>
        <v>0</v>
      </c>
      <c r="M101" s="13">
        <f>'Annual Raw'!N106</f>
        <v>0</v>
      </c>
      <c r="N101" s="13">
        <f>'Annual Raw'!O106</f>
        <v>0</v>
      </c>
      <c r="O101" s="13">
        <f>'Annual Raw'!P106</f>
        <v>0</v>
      </c>
      <c r="P101" s="13">
        <f>'Annual Raw'!Q106</f>
        <v>0</v>
      </c>
      <c r="Q101" s="13">
        <f>'Annual Raw'!R106</f>
        <v>0</v>
      </c>
      <c r="R101" s="13">
        <f>'Annual Raw'!S106</f>
        <v>0</v>
      </c>
      <c r="S101" s="13">
        <f>'Annual Raw'!T106</f>
        <v>0</v>
      </c>
      <c r="T101" s="13">
        <f>'Annual Raw'!U106</f>
        <v>0</v>
      </c>
      <c r="U101" s="13">
        <f>'Annual Raw'!V106</f>
        <v>741.9</v>
      </c>
      <c r="V101" s="13">
        <f>'Annual Raw'!W106</f>
        <v>1380.15</v>
      </c>
      <c r="W101" s="13">
        <f>'Annual Raw'!X106</f>
        <v>2365.15</v>
      </c>
      <c r="X101" s="13">
        <f>'Annual Raw'!Y106</f>
        <v>2878.5</v>
      </c>
      <c r="Y101" s="13">
        <f>'Annual Raw'!Z106</f>
        <v>5066.3</v>
      </c>
      <c r="Z101" s="13">
        <f>'Annual Raw'!AA106</f>
        <v>5148.3500000000004</v>
      </c>
      <c r="AA101" s="13">
        <f>'Annual Raw'!AB106</f>
        <v>6841.05</v>
      </c>
      <c r="AB101" s="37">
        <f>+CP101</f>
        <v>9660</v>
      </c>
      <c r="AC101" s="37">
        <f>+CT101</f>
        <v>9660</v>
      </c>
      <c r="AD101" s="37">
        <f>+CX101</f>
        <v>9660</v>
      </c>
      <c r="AE101" s="37">
        <f>+DB101</f>
        <v>9660</v>
      </c>
      <c r="AJ101" s="13">
        <f>'QTR Share Price'!HP21</f>
        <v>0</v>
      </c>
      <c r="AK101" s="13">
        <f>'QTR Share Price'!HQ21</f>
        <v>0</v>
      </c>
      <c r="AL101" s="13">
        <f>'QTR Share Price'!HR21</f>
        <v>0</v>
      </c>
      <c r="AM101" s="13">
        <f>'QTR Share Price'!HS21</f>
        <v>0</v>
      </c>
      <c r="AN101" s="13">
        <f>'QTR Share Price'!HT21</f>
        <v>0</v>
      </c>
      <c r="AO101" s="13">
        <f>'QTR Share Price'!HU21</f>
        <v>0</v>
      </c>
      <c r="AP101" s="13">
        <f>'QTR Share Price'!HV21</f>
        <v>0</v>
      </c>
      <c r="AQ101" s="13">
        <f>'QTR Share Price'!HW21</f>
        <v>0</v>
      </c>
      <c r="AR101" s="13">
        <f>'QTR Share Price'!HX21</f>
        <v>0</v>
      </c>
      <c r="AS101" s="13">
        <f>'QTR Share Price'!HY21</f>
        <v>0</v>
      </c>
      <c r="AT101" s="13">
        <f>'QTR Share Price'!HZ21</f>
        <v>0</v>
      </c>
      <c r="AU101" s="13">
        <f>'QTR Share Price'!IA21</f>
        <v>0</v>
      </c>
      <c r="AV101" s="13">
        <f>'QTR Share Price'!IB21</f>
        <v>0</v>
      </c>
      <c r="AW101" s="13">
        <f>'QTR Share Price'!IC21</f>
        <v>0</v>
      </c>
      <c r="AX101" s="13">
        <f>'QTR Share Price'!ID21</f>
        <v>0</v>
      </c>
      <c r="AY101" s="13">
        <f>'QTR Share Price'!IE21</f>
        <v>0</v>
      </c>
      <c r="AZ101" s="13">
        <f>'QTR Share Price'!IF21</f>
        <v>0</v>
      </c>
      <c r="BA101" s="13">
        <f>'QTR Share Price'!IG21</f>
        <v>0</v>
      </c>
      <c r="BB101" s="13">
        <f>'QTR Share Price'!IH21</f>
        <v>0</v>
      </c>
      <c r="BC101" s="13">
        <f>'QTR Share Price'!II21</f>
        <v>0</v>
      </c>
      <c r="BD101" s="13">
        <f>'QTR Share Price'!IJ21</f>
        <v>0</v>
      </c>
      <c r="BE101" s="13">
        <f>'QTR Share Price'!IK21</f>
        <v>0</v>
      </c>
      <c r="BF101" s="13">
        <f>'QTR Share Price'!IL21</f>
        <v>0</v>
      </c>
      <c r="BG101" s="13">
        <f>'QTR Share Price'!IM21</f>
        <v>0</v>
      </c>
      <c r="BH101" s="13">
        <f>'QTR Share Price'!IN21</f>
        <v>0</v>
      </c>
      <c r="BI101" s="13">
        <f>'QTR Share Price'!IO21</f>
        <v>0</v>
      </c>
      <c r="BJ101" s="13">
        <f>'QTR Share Price'!IP21</f>
        <v>0</v>
      </c>
      <c r="BK101" s="13">
        <f>'QTR Share Price'!IQ21</f>
        <v>620.6</v>
      </c>
      <c r="BL101" s="13">
        <f>'QTR Share Price'!IR21</f>
        <v>682.85</v>
      </c>
      <c r="BM101" s="13">
        <f>'QTR Share Price'!IS21</f>
        <v>991.7</v>
      </c>
      <c r="BN101" s="13">
        <f>'QTR Share Price'!IT21</f>
        <v>741.9</v>
      </c>
      <c r="BO101" s="13">
        <f>'QTR Share Price'!IU21</f>
        <v>789.6</v>
      </c>
      <c r="BP101" s="13">
        <f>'QTR Share Price'!IV21</f>
        <v>820.3</v>
      </c>
      <c r="BQ101" s="13">
        <f>'QTR Share Price'!IW21</f>
        <v>1035.95</v>
      </c>
      <c r="BR101" s="13">
        <f>'QTR Share Price'!IX21</f>
        <v>1380.15</v>
      </c>
      <c r="BS101" s="13">
        <f>'QTR Share Price'!IY21</f>
        <v>1976.75</v>
      </c>
      <c r="BT101" s="13">
        <f>'QTR Share Price'!IZ21</f>
        <v>2392.4499999999998</v>
      </c>
      <c r="BU101" s="13">
        <f>'QTR Share Price'!JA21</f>
        <v>2463.75</v>
      </c>
      <c r="BV101" s="13">
        <f>'QTR Share Price'!JB21</f>
        <v>2365.15</v>
      </c>
      <c r="BW101" s="13">
        <f>'QTR Share Price'!JC21</f>
        <v>2199.4</v>
      </c>
      <c r="BX101" s="13">
        <f>'QTR Share Price'!JD21</f>
        <v>2559.4499999999998</v>
      </c>
      <c r="BY101" s="13">
        <f>'QTR Share Price'!JE21</f>
        <v>2570.5500000000002</v>
      </c>
      <c r="BZ101" s="13">
        <f>'QTR Share Price'!JF21</f>
        <v>2878.5</v>
      </c>
      <c r="CA101" s="13">
        <f>'QTR Share Price'!JG21</f>
        <v>3552.15</v>
      </c>
      <c r="CB101" s="13">
        <f>'QTR Share Price'!JH21</f>
        <v>5338.25</v>
      </c>
      <c r="CC101" s="13">
        <f>'QTR Share Price'!JI21</f>
        <v>5491.35</v>
      </c>
      <c r="CD101" s="13">
        <f>'QTR Share Price'!JJ21</f>
        <v>5066.3</v>
      </c>
      <c r="CE101" s="13">
        <f>'QTR Share Price'!JK21</f>
        <v>6735.9</v>
      </c>
      <c r="CF101" s="13">
        <f>'QTR Share Price'!JL21</f>
        <v>6955.25</v>
      </c>
      <c r="CG101" s="13">
        <f>'QTR Share Price'!JM21</f>
        <v>7271.55</v>
      </c>
      <c r="CH101" s="13">
        <f>'QTR Share Price'!JN21</f>
        <v>5148.3500000000004</v>
      </c>
      <c r="CI101" s="13">
        <f>'QTR Share Price'!JO21</f>
        <v>6548.65</v>
      </c>
      <c r="CJ101" s="13">
        <f>'QTR Share Price'!JP21</f>
        <v>7287.45</v>
      </c>
      <c r="CK101" s="13">
        <f>'QTR Share Price'!JQ21</f>
        <v>7627.6</v>
      </c>
      <c r="CL101" s="13">
        <f>'QTR Share Price'!JR21</f>
        <v>6841.05</v>
      </c>
      <c r="CM101" s="37">
        <v>9660</v>
      </c>
      <c r="CN101" s="37">
        <f t="shared" ref="CN101" si="898">+CM101</f>
        <v>9660</v>
      </c>
      <c r="CO101" s="37">
        <f t="shared" ref="CO101" si="899">+CN101</f>
        <v>9660</v>
      </c>
      <c r="CP101" s="37">
        <f t="shared" ref="CP101" si="900">+CO101</f>
        <v>9660</v>
      </c>
      <c r="CQ101" s="37">
        <f t="shared" ref="CQ101" si="901">+CP101</f>
        <v>9660</v>
      </c>
      <c r="CR101" s="37">
        <f t="shared" ref="CR101" si="902">+CQ101</f>
        <v>9660</v>
      </c>
      <c r="CS101" s="37">
        <f t="shared" ref="CS101" si="903">+CR101</f>
        <v>9660</v>
      </c>
      <c r="CT101" s="37">
        <f t="shared" ref="CT101" si="904">+CS101</f>
        <v>9660</v>
      </c>
      <c r="CU101" s="37">
        <f t="shared" ref="CU101" si="905">+CT101</f>
        <v>9660</v>
      </c>
      <c r="CV101" s="37">
        <f t="shared" ref="CV101" si="906">+CU101</f>
        <v>9660</v>
      </c>
      <c r="CW101" s="37">
        <f t="shared" ref="CW101" si="907">+CV101</f>
        <v>9660</v>
      </c>
      <c r="CX101" s="37">
        <f t="shared" ref="CX101" si="908">+CW101</f>
        <v>9660</v>
      </c>
      <c r="CY101" s="37">
        <f t="shared" ref="CY101" si="909">+CX101</f>
        <v>9660</v>
      </c>
      <c r="CZ101" s="37">
        <f t="shared" ref="CZ101" si="910">+CY101</f>
        <v>9660</v>
      </c>
      <c r="DA101" s="37">
        <f t="shared" ref="DA101" si="911">+CZ101</f>
        <v>9660</v>
      </c>
      <c r="DB101" s="37">
        <f t="shared" ref="DB101" si="912">+DA101</f>
        <v>9660</v>
      </c>
      <c r="DE101" s="134"/>
      <c r="DF101" s="13">
        <v>6841.05</v>
      </c>
    </row>
    <row r="102" spans="1:110" s="13" customFormat="1" x14ac:dyDescent="0.2">
      <c r="A102" s="13" t="s">
        <v>458</v>
      </c>
      <c r="B102" s="13">
        <f>'Annual Raw'!C107</f>
        <v>0</v>
      </c>
      <c r="C102" s="13">
        <f>'Annual Raw'!D107</f>
        <v>0</v>
      </c>
      <c r="D102" s="13">
        <f>'Annual Raw'!E107</f>
        <v>0</v>
      </c>
      <c r="E102" s="13">
        <f>'Annual Raw'!F107</f>
        <v>0</v>
      </c>
      <c r="F102" s="13">
        <f>'Annual Raw'!G107</f>
        <v>0</v>
      </c>
      <c r="G102" s="13">
        <f>'Annual Raw'!H107</f>
        <v>0</v>
      </c>
      <c r="H102" s="13">
        <f>'Annual Raw'!I107</f>
        <v>0</v>
      </c>
      <c r="I102" s="13">
        <f>'Annual Raw'!J107</f>
        <v>0</v>
      </c>
      <c r="J102" s="13">
        <f>'Annual Raw'!K107</f>
        <v>0</v>
      </c>
      <c r="K102" s="13">
        <f>'Annual Raw'!L107</f>
        <v>0</v>
      </c>
      <c r="L102" s="13">
        <f>'Annual Raw'!M107</f>
        <v>0</v>
      </c>
      <c r="M102" s="13">
        <f>'Annual Raw'!N107</f>
        <v>0</v>
      </c>
      <c r="N102" s="13">
        <f>'Annual Raw'!O107</f>
        <v>0</v>
      </c>
      <c r="O102" s="13">
        <f>'Annual Raw'!P107</f>
        <v>0</v>
      </c>
      <c r="P102" s="13">
        <f>'Annual Raw'!Q107</f>
        <v>0</v>
      </c>
      <c r="Q102" s="13">
        <f>'Annual Raw'!R107</f>
        <v>0</v>
      </c>
      <c r="R102" s="13">
        <f>'Annual Raw'!S107</f>
        <v>0</v>
      </c>
      <c r="S102" s="13">
        <f>'Annual Raw'!T107</f>
        <v>0</v>
      </c>
      <c r="T102" s="13">
        <f>'Annual Raw'!U107</f>
        <v>0</v>
      </c>
      <c r="U102" s="13">
        <f>'Annual Raw'!V107</f>
        <v>1180</v>
      </c>
      <c r="V102" s="13">
        <f>'Annual Raw'!W107</f>
        <v>1444</v>
      </c>
      <c r="W102" s="13">
        <f>'Annual Raw'!X107</f>
        <v>2770.85</v>
      </c>
      <c r="X102" s="13">
        <f>'Annual Raw'!Y107</f>
        <v>3142</v>
      </c>
      <c r="Y102" s="13">
        <f>'Annual Raw'!Z107</f>
        <v>5722.9</v>
      </c>
      <c r="Z102" s="13">
        <f>'Annual Raw'!AA107</f>
        <v>7607.15</v>
      </c>
      <c r="AA102" s="13">
        <f>'Annual Raw'!AB107</f>
        <v>8724.35</v>
      </c>
      <c r="AB102" s="37">
        <f>+MAX(CM102:CP102)</f>
        <v>11654.935111995366</v>
      </c>
      <c r="AC102" s="37">
        <f>+MAX(CQ102:CT102)</f>
        <v>13544.856064592868</v>
      </c>
      <c r="AD102" s="37">
        <f>+MAX(CU102:CX102)</f>
        <v>15767.897539903674</v>
      </c>
      <c r="AE102" s="37">
        <f>+MAX(CY102:DB102)</f>
        <v>18154.320715955662</v>
      </c>
      <c r="AJ102" s="13">
        <f>'QTR Share Price'!HP19</f>
        <v>0</v>
      </c>
      <c r="AK102" s="13">
        <f>'QTR Share Price'!HQ19</f>
        <v>0</v>
      </c>
      <c r="AL102" s="13">
        <f>'QTR Share Price'!HR19</f>
        <v>0</v>
      </c>
      <c r="AM102" s="13">
        <f>'QTR Share Price'!HS19</f>
        <v>0</v>
      </c>
      <c r="AN102" s="13">
        <f>'QTR Share Price'!HT19</f>
        <v>0</v>
      </c>
      <c r="AO102" s="13">
        <f>'QTR Share Price'!HU19</f>
        <v>0</v>
      </c>
      <c r="AP102" s="13">
        <f>'QTR Share Price'!HV19</f>
        <v>0</v>
      </c>
      <c r="AQ102" s="13">
        <f>'QTR Share Price'!HW19</f>
        <v>0</v>
      </c>
      <c r="AR102" s="13">
        <f>'QTR Share Price'!HX19</f>
        <v>0</v>
      </c>
      <c r="AS102" s="13">
        <f>'QTR Share Price'!HY19</f>
        <v>0</v>
      </c>
      <c r="AT102" s="13">
        <f>'QTR Share Price'!HZ19</f>
        <v>0</v>
      </c>
      <c r="AU102" s="13">
        <f>'QTR Share Price'!IA19</f>
        <v>0</v>
      </c>
      <c r="AV102" s="13">
        <f>'QTR Share Price'!IB19</f>
        <v>0</v>
      </c>
      <c r="AW102" s="13">
        <f>'QTR Share Price'!IC19</f>
        <v>0</v>
      </c>
      <c r="AX102" s="13">
        <f>'QTR Share Price'!ID19</f>
        <v>0</v>
      </c>
      <c r="AY102" s="13">
        <f>'QTR Share Price'!IE19</f>
        <v>0</v>
      </c>
      <c r="AZ102" s="13">
        <f>'QTR Share Price'!IF19</f>
        <v>0</v>
      </c>
      <c r="BA102" s="13">
        <f>'QTR Share Price'!IG19</f>
        <v>0</v>
      </c>
      <c r="BB102" s="13">
        <f>'QTR Share Price'!IH19</f>
        <v>0</v>
      </c>
      <c r="BC102" s="13">
        <f>'QTR Share Price'!II19</f>
        <v>0</v>
      </c>
      <c r="BD102" s="13">
        <f>'QTR Share Price'!IJ19</f>
        <v>0</v>
      </c>
      <c r="BE102" s="13">
        <f>'QTR Share Price'!IK19</f>
        <v>0</v>
      </c>
      <c r="BF102" s="13">
        <f>'QTR Share Price'!IL19</f>
        <v>0</v>
      </c>
      <c r="BG102" s="13">
        <f>'QTR Share Price'!IM19</f>
        <v>0</v>
      </c>
      <c r="BH102" s="13">
        <f>'QTR Share Price'!IN19</f>
        <v>0</v>
      </c>
      <c r="BI102" s="13">
        <f>'QTR Share Price'!IO19</f>
        <v>0</v>
      </c>
      <c r="BJ102" s="13">
        <f>'QTR Share Price'!IP19</f>
        <v>0</v>
      </c>
      <c r="BK102" s="13">
        <f>'QTR Share Price'!IQ19</f>
        <v>677.7</v>
      </c>
      <c r="BL102" s="13">
        <f>'QTR Share Price'!IR19</f>
        <v>709</v>
      </c>
      <c r="BM102" s="13">
        <f>'QTR Share Price'!IS19</f>
        <v>1090.8</v>
      </c>
      <c r="BN102" s="13">
        <f>'QTR Share Price'!IT19</f>
        <v>1180</v>
      </c>
      <c r="BO102" s="13">
        <f>'QTR Share Price'!IU19</f>
        <v>839.1</v>
      </c>
      <c r="BP102" s="13">
        <f>'QTR Share Price'!IV19</f>
        <v>939.95</v>
      </c>
      <c r="BQ102" s="13">
        <f>'QTR Share Price'!IW19</f>
        <v>1093.2</v>
      </c>
      <c r="BR102" s="13">
        <f>'QTR Share Price'!IX19</f>
        <v>1444</v>
      </c>
      <c r="BS102" s="13">
        <f>'QTR Share Price'!IY19</f>
        <v>2012</v>
      </c>
      <c r="BT102" s="13">
        <f>'QTR Share Price'!IZ19</f>
        <v>2625</v>
      </c>
      <c r="BU102" s="13">
        <f>'QTR Share Price'!JA19</f>
        <v>2647.4</v>
      </c>
      <c r="BV102" s="13">
        <f>'QTR Share Price'!JB19</f>
        <v>2770.85</v>
      </c>
      <c r="BW102" s="13">
        <f>'QTR Share Price'!JC19</f>
        <v>2820.05</v>
      </c>
      <c r="BX102" s="13">
        <f>'QTR Share Price'!JD19</f>
        <v>2719</v>
      </c>
      <c r="BY102" s="13">
        <f>'QTR Share Price'!JE19</f>
        <v>3025</v>
      </c>
      <c r="BZ102" s="13">
        <f>'QTR Share Price'!JF19</f>
        <v>3142</v>
      </c>
      <c r="CA102" s="13">
        <f>'QTR Share Price'!JG19</f>
        <v>3635</v>
      </c>
      <c r="CB102" s="13">
        <f>'QTR Share Price'!JH19</f>
        <v>5398.15</v>
      </c>
      <c r="CC102" s="13">
        <f>'QTR Share Price'!JI19</f>
        <v>5722.9</v>
      </c>
      <c r="CD102" s="13">
        <f>'QTR Share Price'!JJ19</f>
        <v>5531.6</v>
      </c>
      <c r="CE102" s="13">
        <f>'QTR Share Price'!JK19</f>
        <v>7330</v>
      </c>
      <c r="CF102" s="13">
        <f>'QTR Share Price'!JL19</f>
        <v>7117.35</v>
      </c>
      <c r="CG102" s="13">
        <f>'QTR Share Price'!JM19</f>
        <v>7607.15</v>
      </c>
      <c r="CH102" s="13">
        <f>'QTR Share Price'!JN19</f>
        <v>7449.45</v>
      </c>
      <c r="CI102" s="13">
        <f>'QTR Share Price'!JO19</f>
        <v>6583.4</v>
      </c>
      <c r="CJ102" s="13">
        <f>'QTR Share Price'!JP19</f>
        <v>7711.3</v>
      </c>
      <c r="CK102" s="13">
        <f>'QTR Share Price'!JQ19</f>
        <v>7899.5</v>
      </c>
      <c r="CL102" s="13">
        <f>'QTR Share Price'!JR19</f>
        <v>8724.35</v>
      </c>
      <c r="CM102" s="37">
        <f t="shared" ref="CM102:DB102" si="913">+CM93*CM110</f>
        <v>9973.7604172069441</v>
      </c>
      <c r="CN102" s="37">
        <f t="shared" si="913"/>
        <v>10112.413327041826</v>
      </c>
      <c r="CO102" s="37">
        <f t="shared" si="913"/>
        <v>10895.113707109836</v>
      </c>
      <c r="CP102" s="37">
        <f t="shared" si="913"/>
        <v>11654.935111995366</v>
      </c>
      <c r="CQ102" s="37">
        <f t="shared" si="913"/>
        <v>12092.740124813523</v>
      </c>
      <c r="CR102" s="37">
        <f t="shared" si="913"/>
        <v>12463.229998485234</v>
      </c>
      <c r="CS102" s="37">
        <f t="shared" si="913"/>
        <v>12997.140164348901</v>
      </c>
      <c r="CT102" s="37">
        <f t="shared" si="913"/>
        <v>13544.856064592868</v>
      </c>
      <c r="CU102" s="37">
        <f t="shared" si="913"/>
        <v>13941.706354434118</v>
      </c>
      <c r="CV102" s="37">
        <f t="shared" si="913"/>
        <v>14409.477820178217</v>
      </c>
      <c r="CW102" s="37">
        <f t="shared" si="913"/>
        <v>15025.241167602451</v>
      </c>
      <c r="CX102" s="37">
        <f t="shared" si="913"/>
        <v>15767.897539903674</v>
      </c>
      <c r="CY102" s="37">
        <f t="shared" si="913"/>
        <v>16256.455225073812</v>
      </c>
      <c r="CZ102" s="37">
        <f t="shared" si="913"/>
        <v>16793.135806808834</v>
      </c>
      <c r="DA102" s="37">
        <f t="shared" si="913"/>
        <v>17437.281755219756</v>
      </c>
      <c r="DB102" s="37">
        <f t="shared" si="913"/>
        <v>18154.320715955662</v>
      </c>
      <c r="DE102" s="134"/>
      <c r="DF102" s="13">
        <v>8724.35</v>
      </c>
    </row>
    <row r="103" spans="1:110" s="13" customFormat="1" x14ac:dyDescent="0.2">
      <c r="A103" s="13" t="s">
        <v>459</v>
      </c>
      <c r="B103" s="13">
        <f>'Annual Raw'!C108</f>
        <v>0</v>
      </c>
      <c r="C103" s="13">
        <f>'Annual Raw'!D108</f>
        <v>0</v>
      </c>
      <c r="D103" s="13">
        <f>'Annual Raw'!E108</f>
        <v>0</v>
      </c>
      <c r="E103" s="13">
        <f>'Annual Raw'!F108</f>
        <v>0</v>
      </c>
      <c r="F103" s="13">
        <f>'Annual Raw'!G108</f>
        <v>0</v>
      </c>
      <c r="G103" s="13">
        <f>'Annual Raw'!H108</f>
        <v>0</v>
      </c>
      <c r="H103" s="13">
        <f>'Annual Raw'!I108</f>
        <v>0</v>
      </c>
      <c r="I103" s="13">
        <f>'Annual Raw'!J108</f>
        <v>0</v>
      </c>
      <c r="J103" s="13">
        <f>'Annual Raw'!K108</f>
        <v>0</v>
      </c>
      <c r="K103" s="13">
        <f>'Annual Raw'!L108</f>
        <v>0</v>
      </c>
      <c r="L103" s="13">
        <f>'Annual Raw'!M108</f>
        <v>0</v>
      </c>
      <c r="M103" s="13">
        <f>'Annual Raw'!N108</f>
        <v>0</v>
      </c>
      <c r="N103" s="13">
        <f>'Annual Raw'!O108</f>
        <v>0</v>
      </c>
      <c r="O103" s="13">
        <f>'Annual Raw'!P108</f>
        <v>0</v>
      </c>
      <c r="P103" s="13">
        <f>'Annual Raw'!Q108</f>
        <v>0</v>
      </c>
      <c r="Q103" s="13">
        <f>'Annual Raw'!R108</f>
        <v>0</v>
      </c>
      <c r="R103" s="13">
        <f>'Annual Raw'!S108</f>
        <v>0</v>
      </c>
      <c r="S103" s="13">
        <f>'Annual Raw'!T108</f>
        <v>0</v>
      </c>
      <c r="T103" s="13">
        <f>'Annual Raw'!U108</f>
        <v>0</v>
      </c>
      <c r="U103" s="13">
        <f>'Annual Raw'!V108</f>
        <v>525.04999999999995</v>
      </c>
      <c r="V103" s="13">
        <f>'Annual Raw'!W108</f>
        <v>624.1</v>
      </c>
      <c r="W103" s="13">
        <f>'Annual Raw'!X108</f>
        <v>1322.3</v>
      </c>
      <c r="X103" s="13">
        <f>'Annual Raw'!Y108</f>
        <v>2045</v>
      </c>
      <c r="Y103" s="13">
        <f>'Annual Raw'!Z108</f>
        <v>2880.1</v>
      </c>
      <c r="Z103" s="13">
        <f>'Annual Raw'!AA108</f>
        <v>4557.45</v>
      </c>
      <c r="AA103" s="13">
        <f>'Annual Raw'!AB108</f>
        <v>4574.55</v>
      </c>
      <c r="AB103" s="37">
        <f>+MIN(CM103:CP103)</f>
        <v>6709.6206443028532</v>
      </c>
      <c r="AC103" s="37">
        <f>+MIN(CQ103:CT103)</f>
        <v>8135.1160839654613</v>
      </c>
      <c r="AD103" s="37">
        <f>+MIN(CU103:CX103)</f>
        <v>9378.9660929829515</v>
      </c>
      <c r="AE103" s="37">
        <f>+MIN(CY103:DB103)</f>
        <v>10936.160787776929</v>
      </c>
      <c r="AJ103" s="13">
        <f>+'QTR Share Price'!HP20</f>
        <v>0</v>
      </c>
      <c r="AK103" s="13">
        <f>+'QTR Share Price'!HQ20</f>
        <v>0</v>
      </c>
      <c r="AL103" s="13">
        <f>+'QTR Share Price'!HR20</f>
        <v>0</v>
      </c>
      <c r="AM103" s="13">
        <f>+'QTR Share Price'!HS20</f>
        <v>0</v>
      </c>
      <c r="AN103" s="13">
        <f>+'QTR Share Price'!HT20</f>
        <v>0</v>
      </c>
      <c r="AO103" s="13">
        <f>+'QTR Share Price'!HU20</f>
        <v>0</v>
      </c>
      <c r="AP103" s="13">
        <f>+'QTR Share Price'!HV20</f>
        <v>0</v>
      </c>
      <c r="AQ103" s="13">
        <f>+'QTR Share Price'!HW20</f>
        <v>0</v>
      </c>
      <c r="AR103" s="13">
        <f>+'QTR Share Price'!HX20</f>
        <v>0</v>
      </c>
      <c r="AS103" s="13">
        <f>+'QTR Share Price'!HY20</f>
        <v>0</v>
      </c>
      <c r="AT103" s="13">
        <f>+'QTR Share Price'!HZ20</f>
        <v>0</v>
      </c>
      <c r="AU103" s="13">
        <f>+'QTR Share Price'!IA20</f>
        <v>0</v>
      </c>
      <c r="AV103" s="13">
        <f>+'QTR Share Price'!IB20</f>
        <v>0</v>
      </c>
      <c r="AW103" s="13">
        <f>+'QTR Share Price'!IC20</f>
        <v>0</v>
      </c>
      <c r="AX103" s="13">
        <f>+'QTR Share Price'!ID20</f>
        <v>0</v>
      </c>
      <c r="AY103" s="13">
        <f>+'QTR Share Price'!IE20</f>
        <v>0</v>
      </c>
      <c r="AZ103" s="13">
        <f>+'QTR Share Price'!IF20</f>
        <v>0</v>
      </c>
      <c r="BA103" s="13">
        <f>+'QTR Share Price'!IG20</f>
        <v>0</v>
      </c>
      <c r="BB103" s="13">
        <f>+'QTR Share Price'!IH20</f>
        <v>0</v>
      </c>
      <c r="BC103" s="13">
        <f>+'QTR Share Price'!II20</f>
        <v>0</v>
      </c>
      <c r="BD103" s="13">
        <f>+'QTR Share Price'!IJ20</f>
        <v>0</v>
      </c>
      <c r="BE103" s="13">
        <f>+'QTR Share Price'!IK20</f>
        <v>0</v>
      </c>
      <c r="BF103" s="13">
        <f>+'QTR Share Price'!IL20</f>
        <v>0</v>
      </c>
      <c r="BG103" s="13">
        <f>+'QTR Share Price'!IM20</f>
        <v>0</v>
      </c>
      <c r="BH103" s="13">
        <f>+'QTR Share Price'!IN20</f>
        <v>0</v>
      </c>
      <c r="BI103" s="13">
        <f>+'QTR Share Price'!IO20</f>
        <v>0</v>
      </c>
      <c r="BJ103" s="13">
        <f>+'QTR Share Price'!IP20</f>
        <v>0</v>
      </c>
      <c r="BK103" s="13">
        <f>+'QTR Share Price'!IQ20</f>
        <v>578</v>
      </c>
      <c r="BL103" s="13">
        <f>+'QTR Share Price'!IR20</f>
        <v>525.04999999999995</v>
      </c>
      <c r="BM103" s="13">
        <f>+'QTR Share Price'!IS20</f>
        <v>656</v>
      </c>
      <c r="BN103" s="13">
        <f>+'QTR Share Price'!IT20</f>
        <v>571.70000000000005</v>
      </c>
      <c r="BO103" s="13">
        <f>+'QTR Share Price'!IU20</f>
        <v>624.1</v>
      </c>
      <c r="BP103" s="13">
        <f>+'QTR Share Price'!IV20</f>
        <v>792</v>
      </c>
      <c r="BQ103" s="13">
        <f>+'QTR Share Price'!IW20</f>
        <v>801</v>
      </c>
      <c r="BR103" s="13">
        <f>+'QTR Share Price'!IX20</f>
        <v>1030.4000000000001</v>
      </c>
      <c r="BS103" s="13">
        <f>+'QTR Share Price'!IY20</f>
        <v>1322.3</v>
      </c>
      <c r="BT103" s="13">
        <f>+'QTR Share Price'!IZ20</f>
        <v>1761.25</v>
      </c>
      <c r="BU103" s="13">
        <f>+'QTR Share Price'!JA20</f>
        <v>2123</v>
      </c>
      <c r="BV103" s="13">
        <f>+'QTR Share Price'!JB20</f>
        <v>2131.35</v>
      </c>
      <c r="BW103" s="13">
        <f>+'QTR Share Price'!JC20</f>
        <v>2045</v>
      </c>
      <c r="BX103" s="13">
        <f>+'QTR Share Price'!JD20</f>
        <v>2105</v>
      </c>
      <c r="BY103" s="13">
        <f>+'QTR Share Price'!JE20</f>
        <v>2500.15</v>
      </c>
      <c r="BZ103" s="13">
        <f>+'QTR Share Price'!JF20</f>
        <v>2546.8000000000002</v>
      </c>
      <c r="CA103" s="13">
        <f>+'QTR Share Price'!JG20</f>
        <v>2880.1</v>
      </c>
      <c r="CB103" s="13">
        <f>+'QTR Share Price'!JH20</f>
        <v>3492</v>
      </c>
      <c r="CC103" s="13">
        <f>+'QTR Share Price'!JI20</f>
        <v>4811.1000000000004</v>
      </c>
      <c r="CD103" s="13">
        <f>+'QTR Share Price'!JJ20</f>
        <v>3812.35</v>
      </c>
      <c r="CE103" s="13">
        <f>+'QTR Share Price'!JK20</f>
        <v>5001.05</v>
      </c>
      <c r="CF103" s="13">
        <f>+'QTR Share Price'!JL20</f>
        <v>5936.4</v>
      </c>
      <c r="CG103" s="13">
        <f>+'QTR Share Price'!JM20</f>
        <v>6258.85</v>
      </c>
      <c r="CH103" s="13">
        <f>+'QTR Share Price'!JN20</f>
        <v>4557.45</v>
      </c>
      <c r="CI103" s="13">
        <f>+'QTR Share Price'!JO20</f>
        <v>4574.55</v>
      </c>
      <c r="CJ103" s="13">
        <f>+'QTR Share Price'!JP20</f>
        <v>6565</v>
      </c>
      <c r="CK103" s="13">
        <f>+'QTR Share Price'!JQ20</f>
        <v>6930.4</v>
      </c>
      <c r="CL103" s="13">
        <f>+'QTR Share Price'!JR20</f>
        <v>6660.5</v>
      </c>
      <c r="CM103" s="37">
        <f t="shared" ref="CM103:DB103" si="914">+CM111*CM93</f>
        <v>6709.6206443028532</v>
      </c>
      <c r="CN103" s="37">
        <f t="shared" si="914"/>
        <v>6802.8962381917736</v>
      </c>
      <c r="CO103" s="37">
        <f t="shared" si="914"/>
        <v>7329.4401302375254</v>
      </c>
      <c r="CP103" s="37">
        <f t="shared" si="914"/>
        <v>7840.5927117059737</v>
      </c>
      <c r="CQ103" s="37">
        <f t="shared" si="914"/>
        <v>8135.1160839654613</v>
      </c>
      <c r="CR103" s="37">
        <f t="shared" si="914"/>
        <v>8384.3547262537031</v>
      </c>
      <c r="CS103" s="37">
        <f t="shared" si="914"/>
        <v>8743.5306560165336</v>
      </c>
      <c r="CT103" s="37">
        <f t="shared" si="914"/>
        <v>9111.994079817021</v>
      </c>
      <c r="CU103" s="37">
        <f t="shared" si="914"/>
        <v>9378.9660929829515</v>
      </c>
      <c r="CV103" s="37">
        <f t="shared" si="914"/>
        <v>9693.6487153926191</v>
      </c>
      <c r="CW103" s="37">
        <f t="shared" si="914"/>
        <v>10107.88951275074</v>
      </c>
      <c r="CX103" s="37">
        <f t="shared" si="914"/>
        <v>10607.494708662471</v>
      </c>
      <c r="CY103" s="37">
        <f t="shared" si="914"/>
        <v>10936.160787776929</v>
      </c>
      <c r="CZ103" s="37">
        <f t="shared" si="914"/>
        <v>11297.200451853216</v>
      </c>
      <c r="DA103" s="37">
        <f t="shared" si="914"/>
        <v>11730.534998966019</v>
      </c>
      <c r="DB103" s="37">
        <f t="shared" si="914"/>
        <v>12212.906663461083</v>
      </c>
      <c r="DE103" s="134"/>
      <c r="DF103" s="13">
        <v>6660.5</v>
      </c>
    </row>
    <row r="104" spans="1:110" s="14" customFormat="1" x14ac:dyDescent="0.2">
      <c r="AB104" s="16"/>
      <c r="AC104" s="16"/>
      <c r="AD104" s="16"/>
      <c r="AE104" s="16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</row>
    <row r="105" spans="1:110" s="51" customFormat="1" x14ac:dyDescent="0.2">
      <c r="A105" s="51" t="s">
        <v>346</v>
      </c>
      <c r="AB105" s="48">
        <f t="shared" ref="AB105:AD105" si="915">+AB102/AB101-1</f>
        <v>0.20651502194569016</v>
      </c>
      <c r="AC105" s="48">
        <f t="shared" si="915"/>
        <v>0.40215901289781253</v>
      </c>
      <c r="AD105" s="48">
        <f t="shared" si="915"/>
        <v>0.63228753001073223</v>
      </c>
      <c r="AE105" s="48">
        <f t="shared" ref="AE105" si="916">+AE102/AE101-1</f>
        <v>0.87932926666207689</v>
      </c>
      <c r="CM105" s="48">
        <f t="shared" ref="CM105:DB105" si="917">+CM102/CM101-1</f>
        <v>3.2480374452064531E-2</v>
      </c>
      <c r="CN105" s="48">
        <f t="shared" si="917"/>
        <v>4.6833677747601055E-2</v>
      </c>
      <c r="CO105" s="48">
        <f t="shared" si="917"/>
        <v>0.12785856181261246</v>
      </c>
      <c r="CP105" s="48">
        <f t="shared" si="917"/>
        <v>0.20651502194569016</v>
      </c>
      <c r="CQ105" s="48">
        <f t="shared" si="917"/>
        <v>0.2518364518440499</v>
      </c>
      <c r="CR105" s="48">
        <f t="shared" si="917"/>
        <v>0.29018944083698073</v>
      </c>
      <c r="CS105" s="48">
        <f t="shared" si="917"/>
        <v>0.3454596443425364</v>
      </c>
      <c r="CT105" s="48">
        <f t="shared" si="917"/>
        <v>0.40215901289781253</v>
      </c>
      <c r="CU105" s="48">
        <f t="shared" si="917"/>
        <v>0.44324082344038485</v>
      </c>
      <c r="CV105" s="48">
        <f t="shared" si="917"/>
        <v>0.49166437061886303</v>
      </c>
      <c r="CW105" s="48">
        <f t="shared" si="917"/>
        <v>0.555407988364643</v>
      </c>
      <c r="CX105" s="48">
        <f t="shared" si="917"/>
        <v>0.63228753001073223</v>
      </c>
      <c r="CY105" s="48">
        <f t="shared" si="917"/>
        <v>0.68286285973848981</v>
      </c>
      <c r="CZ105" s="48">
        <f t="shared" si="917"/>
        <v>0.73841985577731206</v>
      </c>
      <c r="DA105" s="48">
        <f t="shared" si="917"/>
        <v>0.80510163097512999</v>
      </c>
      <c r="DB105" s="48">
        <f t="shared" si="917"/>
        <v>0.87932926666207689</v>
      </c>
      <c r="DE105" s="129"/>
      <c r="DF105" s="51">
        <v>0.27529399726650161</v>
      </c>
    </row>
    <row r="106" spans="1:110" s="51" customFormat="1" x14ac:dyDescent="0.2">
      <c r="A106" s="51" t="s">
        <v>347</v>
      </c>
      <c r="AB106" s="48">
        <f t="shared" ref="AB106:AD106" si="918">+AB103/AB101-1</f>
        <v>-0.30542229355042927</v>
      </c>
      <c r="AC106" s="48">
        <f t="shared" si="918"/>
        <v>-0.15785547785036635</v>
      </c>
      <c r="AD106" s="48">
        <f t="shared" si="918"/>
        <v>-2.9092536958286619E-2</v>
      </c>
      <c r="AE106" s="48">
        <f t="shared" ref="AE106" si="919">+AE103/AE101-1</f>
        <v>0.13210774200589337</v>
      </c>
      <c r="CM106" s="48">
        <f t="shared" ref="CM106:DB106" si="920">+CM103/CM101-1</f>
        <v>-0.30542229355042927</v>
      </c>
      <c r="CN106" s="48">
        <f t="shared" si="920"/>
        <v>-0.29576643496979571</v>
      </c>
      <c r="CO106" s="48">
        <f t="shared" si="920"/>
        <v>-0.24125878568969716</v>
      </c>
      <c r="CP106" s="48">
        <f t="shared" si="920"/>
        <v>-0.18834443978199034</v>
      </c>
      <c r="CQ106" s="48">
        <f t="shared" si="920"/>
        <v>-0.15785547785036635</v>
      </c>
      <c r="CR106" s="48">
        <f t="shared" si="920"/>
        <v>-0.13205437616421289</v>
      </c>
      <c r="CS106" s="48">
        <f t="shared" si="920"/>
        <v>-9.4872602896839187E-2</v>
      </c>
      <c r="CT106" s="48">
        <f t="shared" si="920"/>
        <v>-5.6729391323289802E-2</v>
      </c>
      <c r="CU106" s="48">
        <f t="shared" si="920"/>
        <v>-2.9092536958286619E-2</v>
      </c>
      <c r="CV106" s="48">
        <f t="shared" si="920"/>
        <v>3.4833038708714792E-3</v>
      </c>
      <c r="CW106" s="48">
        <f t="shared" si="920"/>
        <v>4.6365373990759906E-2</v>
      </c>
      <c r="CX106" s="48">
        <f t="shared" si="920"/>
        <v>9.8084338370856283E-2</v>
      </c>
      <c r="CY106" s="48">
        <f t="shared" si="920"/>
        <v>0.13210774200589337</v>
      </c>
      <c r="CZ106" s="48">
        <f t="shared" si="920"/>
        <v>0.16948244843200988</v>
      </c>
      <c r="DA106" s="48">
        <f t="shared" si="920"/>
        <v>0.21434109720145123</v>
      </c>
      <c r="DB106" s="48">
        <f t="shared" si="920"/>
        <v>0.26427605211812444</v>
      </c>
      <c r="DE106" s="129"/>
      <c r="DF106" s="51">
        <v>-0.33130879031727589</v>
      </c>
    </row>
    <row r="107" spans="1:110" s="14" customFormat="1" x14ac:dyDescent="0.2">
      <c r="AB107" s="16"/>
      <c r="AC107" s="16"/>
      <c r="AD107" s="16"/>
      <c r="AE107" s="16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E107" s="134"/>
    </row>
    <row r="108" spans="1:110" s="13" customFormat="1" x14ac:dyDescent="0.2">
      <c r="A108" s="13" t="s">
        <v>40</v>
      </c>
      <c r="AB108" s="37"/>
      <c r="AC108" s="37"/>
      <c r="AD108" s="37"/>
      <c r="AE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E108" s="134"/>
    </row>
    <row r="109" spans="1:110" s="13" customFormat="1" x14ac:dyDescent="0.2">
      <c r="A109" s="13" t="s">
        <v>460</v>
      </c>
      <c r="B109" s="13" t="e">
        <f t="shared" ref="B109:D109" si="921">+B101/B93</f>
        <v>#DIV/0!</v>
      </c>
      <c r="C109" s="13" t="e">
        <f t="shared" si="921"/>
        <v>#DIV/0!</v>
      </c>
      <c r="D109" s="13" t="e">
        <f t="shared" si="921"/>
        <v>#DIV/0!</v>
      </c>
      <c r="E109" s="13" t="e">
        <f t="shared" ref="E109:AE109" si="922">+E101/E93</f>
        <v>#DIV/0!</v>
      </c>
      <c r="F109" s="13" t="e">
        <f t="shared" si="922"/>
        <v>#DIV/0!</v>
      </c>
      <c r="G109" s="13" t="e">
        <f t="shared" si="922"/>
        <v>#DIV/0!</v>
      </c>
      <c r="H109" s="13" t="e">
        <f t="shared" si="922"/>
        <v>#DIV/0!</v>
      </c>
      <c r="I109" s="13">
        <f t="shared" si="922"/>
        <v>0</v>
      </c>
      <c r="J109" s="13">
        <f t="shared" si="922"/>
        <v>0</v>
      </c>
      <c r="K109" s="13">
        <f t="shared" si="922"/>
        <v>0</v>
      </c>
      <c r="L109" s="13" t="e">
        <f t="shared" si="922"/>
        <v>#DIV/0!</v>
      </c>
      <c r="M109" s="13">
        <f t="shared" si="922"/>
        <v>0</v>
      </c>
      <c r="N109" s="13">
        <f t="shared" si="922"/>
        <v>0</v>
      </c>
      <c r="O109" s="13">
        <f t="shared" si="922"/>
        <v>0</v>
      </c>
      <c r="P109" s="13">
        <f t="shared" si="922"/>
        <v>0</v>
      </c>
      <c r="Q109" s="13">
        <f t="shared" si="922"/>
        <v>0</v>
      </c>
      <c r="R109" s="13">
        <f t="shared" si="922"/>
        <v>0</v>
      </c>
      <c r="S109" s="13">
        <f t="shared" si="922"/>
        <v>0</v>
      </c>
      <c r="T109" s="13">
        <f t="shared" si="922"/>
        <v>0</v>
      </c>
      <c r="U109" s="13">
        <f t="shared" si="922"/>
        <v>14.714808887870102</v>
      </c>
      <c r="V109" s="13">
        <f t="shared" si="922"/>
        <v>24.795339651213848</v>
      </c>
      <c r="W109" s="13">
        <f t="shared" si="922"/>
        <v>42.566106609015328</v>
      </c>
      <c r="X109" s="13">
        <f t="shared" si="922"/>
        <v>34.101892573318935</v>
      </c>
      <c r="Y109" s="13">
        <f t="shared" si="922"/>
        <v>42.753211454867987</v>
      </c>
      <c r="Z109" s="13">
        <f t="shared" ref="Z109:AA109" si="923">+Z101/Z93</f>
        <v>38.370944452695319</v>
      </c>
      <c r="AA109" s="13">
        <f t="shared" si="923"/>
        <v>38.544693068910426</v>
      </c>
      <c r="AB109" s="37">
        <f t="shared" si="922"/>
        <v>45.585839380022016</v>
      </c>
      <c r="AC109" s="37">
        <f t="shared" si="922"/>
        <v>39.225223026832545</v>
      </c>
      <c r="AD109" s="37">
        <f t="shared" si="922"/>
        <v>33.695043911557931</v>
      </c>
      <c r="AE109" s="37">
        <f t="shared" si="922"/>
        <v>29.265760383589889</v>
      </c>
      <c r="AL109" s="13" t="e">
        <f t="shared" ref="AL109:BQ109" si="924">+AL101/AL93</f>
        <v>#DIV/0!</v>
      </c>
      <c r="AM109" s="13" t="e">
        <f t="shared" si="924"/>
        <v>#DIV/0!</v>
      </c>
      <c r="AN109" s="13" t="e">
        <f t="shared" si="924"/>
        <v>#DIV/0!</v>
      </c>
      <c r="AO109" s="13" t="e">
        <f t="shared" si="924"/>
        <v>#DIV/0!</v>
      </c>
      <c r="AP109" s="13" t="e">
        <f t="shared" si="924"/>
        <v>#DIV/0!</v>
      </c>
      <c r="AQ109" s="13" t="e">
        <f t="shared" si="924"/>
        <v>#DIV/0!</v>
      </c>
      <c r="AR109" s="13" t="e">
        <f t="shared" si="924"/>
        <v>#DIV/0!</v>
      </c>
      <c r="AS109" s="13" t="e">
        <f t="shared" si="924"/>
        <v>#DIV/0!</v>
      </c>
      <c r="AT109" s="13" t="e">
        <f t="shared" si="924"/>
        <v>#DIV/0!</v>
      </c>
      <c r="AU109" s="13" t="e">
        <f t="shared" si="924"/>
        <v>#DIV/0!</v>
      </c>
      <c r="AV109" s="13" t="e">
        <f t="shared" si="924"/>
        <v>#DIV/0!</v>
      </c>
      <c r="AW109" s="13" t="e">
        <f t="shared" si="924"/>
        <v>#DIV/0!</v>
      </c>
      <c r="AX109" s="13" t="e">
        <f t="shared" si="924"/>
        <v>#DIV/0!</v>
      </c>
      <c r="AY109" s="13" t="e">
        <f t="shared" si="924"/>
        <v>#DIV/0!</v>
      </c>
      <c r="AZ109" s="13" t="e">
        <f t="shared" si="924"/>
        <v>#DIV/0!</v>
      </c>
      <c r="BA109" s="13" t="e">
        <f t="shared" si="924"/>
        <v>#DIV/0!</v>
      </c>
      <c r="BB109" s="13" t="e">
        <f t="shared" si="924"/>
        <v>#DIV/0!</v>
      </c>
      <c r="BC109" s="13" t="e">
        <f t="shared" si="924"/>
        <v>#DIV/0!</v>
      </c>
      <c r="BD109" s="13" t="e">
        <f t="shared" si="924"/>
        <v>#DIV/0!</v>
      </c>
      <c r="BE109" s="13" t="e">
        <f t="shared" si="924"/>
        <v>#DIV/0!</v>
      </c>
      <c r="BF109" s="13">
        <f t="shared" si="924"/>
        <v>0</v>
      </c>
      <c r="BG109" s="13">
        <f t="shared" si="924"/>
        <v>0</v>
      </c>
      <c r="BH109" s="13">
        <f t="shared" si="924"/>
        <v>0</v>
      </c>
      <c r="BI109" s="13">
        <f t="shared" si="924"/>
        <v>0</v>
      </c>
      <c r="BJ109" s="13">
        <f t="shared" si="924"/>
        <v>0</v>
      </c>
      <c r="BK109" s="13">
        <f t="shared" si="924"/>
        <v>16.758710522303044</v>
      </c>
      <c r="BL109" s="13">
        <f t="shared" si="924"/>
        <v>15.572784588627052</v>
      </c>
      <c r="BM109" s="13">
        <f t="shared" si="924"/>
        <v>21.776829389265092</v>
      </c>
      <c r="BN109" s="13">
        <f t="shared" si="924"/>
        <v>14.712756354265892</v>
      </c>
      <c r="BO109" s="13">
        <f t="shared" si="924"/>
        <v>16.227987695735706</v>
      </c>
      <c r="BP109" s="13">
        <f t="shared" si="924"/>
        <v>16.222810382724028</v>
      </c>
      <c r="BQ109" s="13">
        <f t="shared" si="924"/>
        <v>19.832928068515386</v>
      </c>
      <c r="BR109" s="13">
        <f t="shared" ref="BR109:DB109" si="925">+BR101/BR93</f>
        <v>24.684247236961859</v>
      </c>
      <c r="BS109" s="13">
        <f t="shared" si="925"/>
        <v>36.908931829655387</v>
      </c>
      <c r="BT109" s="13">
        <f t="shared" si="925"/>
        <v>46.120426158884001</v>
      </c>
      <c r="BU109" s="13">
        <f t="shared" si="925"/>
        <v>47.324185951847461</v>
      </c>
      <c r="BV109" s="13">
        <f t="shared" si="925"/>
        <v>42.560220041768133</v>
      </c>
      <c r="BW109" s="13">
        <f t="shared" si="925"/>
        <v>33.651340206395155</v>
      </c>
      <c r="BX109" s="13">
        <f t="shared" si="925"/>
        <v>36.46345964378294</v>
      </c>
      <c r="BY109" s="13">
        <f t="shared" si="925"/>
        <v>33.135623770617457</v>
      </c>
      <c r="BZ109" s="13">
        <f t="shared" si="925"/>
        <v>34.100946294035857</v>
      </c>
      <c r="CA109" s="13">
        <f t="shared" si="925"/>
        <v>36.863327064260986</v>
      </c>
      <c r="CB109" s="13">
        <f t="shared" si="925"/>
        <v>49.969732890908404</v>
      </c>
      <c r="CC109" s="13">
        <f t="shared" si="925"/>
        <v>49.703886806067096</v>
      </c>
      <c r="CD109" s="13">
        <f t="shared" si="925"/>
        <v>42.747247911347522</v>
      </c>
      <c r="CE109" s="13">
        <f t="shared" si="925"/>
        <v>56.951735307597936</v>
      </c>
      <c r="CF109" s="13">
        <f t="shared" si="925"/>
        <v>58.339613171375106</v>
      </c>
      <c r="CG109" s="13">
        <f t="shared" si="925"/>
        <v>59.510191314644622</v>
      </c>
      <c r="CH109" s="13">
        <f t="shared" si="925"/>
        <v>38.365592181149431</v>
      </c>
      <c r="CI109" s="13">
        <f t="shared" ref="CI109:CJ109" si="926">+CI101/CI93</f>
        <v>44.480976956957491</v>
      </c>
      <c r="CJ109" s="13">
        <f t="shared" si="926"/>
        <v>44.560035636497176</v>
      </c>
      <c r="CK109" s="13">
        <f t="shared" ref="CK109:CL109" si="927">+CK101/CK93</f>
        <v>43.725266394097098</v>
      </c>
      <c r="CL109" s="13">
        <f t="shared" si="927"/>
        <v>38.541347884623242</v>
      </c>
      <c r="CM109" s="37">
        <f t="shared" si="925"/>
        <v>53.269777674164892</v>
      </c>
      <c r="CN109" s="37">
        <f t="shared" si="925"/>
        <v>52.539387267650447</v>
      </c>
      <c r="CO109" s="37">
        <f t="shared" si="925"/>
        <v>48.764979814142649</v>
      </c>
      <c r="CP109" s="37">
        <f t="shared" si="925"/>
        <v>45.585839380022044</v>
      </c>
      <c r="CQ109" s="37">
        <f t="shared" si="925"/>
        <v>43.935451726925535</v>
      </c>
      <c r="CR109" s="37">
        <f t="shared" si="925"/>
        <v>42.629398644217716</v>
      </c>
      <c r="CS109" s="37">
        <f t="shared" si="925"/>
        <v>40.878223461600697</v>
      </c>
      <c r="CT109" s="37">
        <f t="shared" si="925"/>
        <v>39.225223026832495</v>
      </c>
      <c r="CU109" s="37">
        <f t="shared" si="925"/>
        <v>38.108678126836431</v>
      </c>
      <c r="CV109" s="37">
        <f t="shared" si="925"/>
        <v>36.871565134442108</v>
      </c>
      <c r="CW109" s="37">
        <f t="shared" si="925"/>
        <v>35.3604973173804</v>
      </c>
      <c r="CX109" s="37">
        <f t="shared" si="925"/>
        <v>33.695043911557896</v>
      </c>
      <c r="CY109" s="37">
        <f t="shared" si="925"/>
        <v>32.682401707140166</v>
      </c>
      <c r="CZ109" s="37">
        <f t="shared" si="925"/>
        <v>31.637926716735215</v>
      </c>
      <c r="DA109" s="37">
        <f t="shared" si="925"/>
        <v>30.469198551600979</v>
      </c>
      <c r="DB109" s="37">
        <f t="shared" si="925"/>
        <v>29.265760383589861</v>
      </c>
      <c r="DE109" s="134"/>
      <c r="DF109" s="13">
        <v>37.89215002928313</v>
      </c>
    </row>
    <row r="110" spans="1:110" s="13" customFormat="1" x14ac:dyDescent="0.2">
      <c r="A110" s="13" t="s">
        <v>461</v>
      </c>
      <c r="B110" s="13" t="e">
        <f t="shared" ref="B110:D110" si="928">+B102/B93</f>
        <v>#DIV/0!</v>
      </c>
      <c r="C110" s="13" t="e">
        <f t="shared" si="928"/>
        <v>#DIV/0!</v>
      </c>
      <c r="D110" s="13" t="e">
        <f t="shared" si="928"/>
        <v>#DIV/0!</v>
      </c>
      <c r="E110" s="13" t="e">
        <f t="shared" ref="E110:AE110" si="929">+E102/E93</f>
        <v>#DIV/0!</v>
      </c>
      <c r="F110" s="13" t="e">
        <f t="shared" si="929"/>
        <v>#DIV/0!</v>
      </c>
      <c r="G110" s="13" t="e">
        <f t="shared" si="929"/>
        <v>#DIV/0!</v>
      </c>
      <c r="H110" s="13" t="e">
        <f t="shared" si="929"/>
        <v>#DIV/0!</v>
      </c>
      <c r="I110" s="13">
        <f t="shared" si="929"/>
        <v>0</v>
      </c>
      <c r="J110" s="13">
        <f t="shared" si="929"/>
        <v>0</v>
      </c>
      <c r="K110" s="13">
        <f t="shared" si="929"/>
        <v>0</v>
      </c>
      <c r="L110" s="13" t="e">
        <f t="shared" si="929"/>
        <v>#DIV/0!</v>
      </c>
      <c r="M110" s="13">
        <f t="shared" si="929"/>
        <v>0</v>
      </c>
      <c r="N110" s="13">
        <f t="shared" si="929"/>
        <v>0</v>
      </c>
      <c r="O110" s="13">
        <f t="shared" si="929"/>
        <v>0</v>
      </c>
      <c r="P110" s="13">
        <f t="shared" si="929"/>
        <v>0</v>
      </c>
      <c r="Q110" s="13">
        <f t="shared" si="929"/>
        <v>0</v>
      </c>
      <c r="R110" s="13">
        <f t="shared" si="929"/>
        <v>0</v>
      </c>
      <c r="S110" s="13">
        <f t="shared" si="929"/>
        <v>0</v>
      </c>
      <c r="T110" s="13">
        <f t="shared" si="929"/>
        <v>0</v>
      </c>
      <c r="U110" s="13">
        <f t="shared" si="929"/>
        <v>23.404063199469903</v>
      </c>
      <c r="V110" s="13">
        <f t="shared" si="929"/>
        <v>25.942448615261235</v>
      </c>
      <c r="W110" s="13">
        <f t="shared" si="929"/>
        <v>49.867575628433762</v>
      </c>
      <c r="X110" s="13">
        <f t="shared" si="929"/>
        <v>37.223604816872708</v>
      </c>
      <c r="Y110" s="13">
        <f t="shared" si="929"/>
        <v>48.2940911187778</v>
      </c>
      <c r="Z110" s="13">
        <f t="shared" ref="Z110:AA110" si="930">+Z102/Z93</f>
        <v>56.696520262476554</v>
      </c>
      <c r="AA110" s="13">
        <f t="shared" si="930"/>
        <v>49.15581569726119</v>
      </c>
      <c r="AB110" s="60">
        <f t="shared" si="929"/>
        <v>54.999999999999964</v>
      </c>
      <c r="AC110" s="60">
        <f t="shared" si="929"/>
        <v>55.000000000000071</v>
      </c>
      <c r="AD110" s="60">
        <f t="shared" si="929"/>
        <v>55.000000000000057</v>
      </c>
      <c r="AE110" s="60">
        <f t="shared" si="929"/>
        <v>55.000000000000043</v>
      </c>
      <c r="AL110" s="13" t="e">
        <f t="shared" ref="AL110:BQ110" si="931">+AL102/AL93</f>
        <v>#DIV/0!</v>
      </c>
      <c r="AM110" s="13" t="e">
        <f t="shared" si="931"/>
        <v>#DIV/0!</v>
      </c>
      <c r="AN110" s="13" t="e">
        <f t="shared" si="931"/>
        <v>#DIV/0!</v>
      </c>
      <c r="AO110" s="13" t="e">
        <f t="shared" si="931"/>
        <v>#DIV/0!</v>
      </c>
      <c r="AP110" s="13" t="e">
        <f t="shared" si="931"/>
        <v>#DIV/0!</v>
      </c>
      <c r="AQ110" s="13" t="e">
        <f t="shared" si="931"/>
        <v>#DIV/0!</v>
      </c>
      <c r="AR110" s="13" t="e">
        <f t="shared" si="931"/>
        <v>#DIV/0!</v>
      </c>
      <c r="AS110" s="13" t="e">
        <f t="shared" si="931"/>
        <v>#DIV/0!</v>
      </c>
      <c r="AT110" s="13" t="e">
        <f t="shared" si="931"/>
        <v>#DIV/0!</v>
      </c>
      <c r="AU110" s="13" t="e">
        <f t="shared" si="931"/>
        <v>#DIV/0!</v>
      </c>
      <c r="AV110" s="13" t="e">
        <f t="shared" si="931"/>
        <v>#DIV/0!</v>
      </c>
      <c r="AW110" s="13" t="e">
        <f t="shared" si="931"/>
        <v>#DIV/0!</v>
      </c>
      <c r="AX110" s="13" t="e">
        <f t="shared" si="931"/>
        <v>#DIV/0!</v>
      </c>
      <c r="AY110" s="13" t="e">
        <f t="shared" si="931"/>
        <v>#DIV/0!</v>
      </c>
      <c r="AZ110" s="13" t="e">
        <f t="shared" si="931"/>
        <v>#DIV/0!</v>
      </c>
      <c r="BA110" s="13" t="e">
        <f t="shared" si="931"/>
        <v>#DIV/0!</v>
      </c>
      <c r="BB110" s="13" t="e">
        <f t="shared" si="931"/>
        <v>#DIV/0!</v>
      </c>
      <c r="BC110" s="13" t="e">
        <f t="shared" si="931"/>
        <v>#DIV/0!</v>
      </c>
      <c r="BD110" s="13" t="e">
        <f t="shared" si="931"/>
        <v>#DIV/0!</v>
      </c>
      <c r="BE110" s="13" t="e">
        <f t="shared" si="931"/>
        <v>#DIV/0!</v>
      </c>
      <c r="BF110" s="13">
        <f t="shared" si="931"/>
        <v>0</v>
      </c>
      <c r="BG110" s="13">
        <f t="shared" si="931"/>
        <v>0</v>
      </c>
      <c r="BH110" s="13">
        <f t="shared" si="931"/>
        <v>0</v>
      </c>
      <c r="BI110" s="13">
        <f t="shared" si="931"/>
        <v>0</v>
      </c>
      <c r="BJ110" s="13">
        <f t="shared" si="931"/>
        <v>0</v>
      </c>
      <c r="BK110" s="13">
        <f t="shared" si="931"/>
        <v>18.300641509772436</v>
      </c>
      <c r="BL110" s="13">
        <f t="shared" si="931"/>
        <v>16.16915028679297</v>
      </c>
      <c r="BM110" s="13">
        <f t="shared" si="931"/>
        <v>23.952975191903157</v>
      </c>
      <c r="BN110" s="13">
        <f t="shared" si="931"/>
        <v>23.400798622501352</v>
      </c>
      <c r="BO110" s="13">
        <f t="shared" si="931"/>
        <v>17.245319751129472</v>
      </c>
      <c r="BP110" s="13">
        <f t="shared" si="931"/>
        <v>18.589090112448435</v>
      </c>
      <c r="BQ110" s="13">
        <f t="shared" si="931"/>
        <v>20.928960822917148</v>
      </c>
      <c r="BR110" s="13">
        <f t="shared" ref="BR110:CH110" si="932">+BR102/BR93</f>
        <v>25.826216722945276</v>
      </c>
      <c r="BS110" s="13">
        <f t="shared" si="932"/>
        <v>37.567102992926088</v>
      </c>
      <c r="BT110" s="13">
        <f t="shared" si="932"/>
        <v>50.603405992631195</v>
      </c>
      <c r="BU110" s="13">
        <f t="shared" si="932"/>
        <v>50.851770629699026</v>
      </c>
      <c r="BV110" s="13">
        <f t="shared" si="932"/>
        <v>49.86067932382015</v>
      </c>
      <c r="BW110" s="13">
        <f t="shared" si="932"/>
        <v>43.147432003748598</v>
      </c>
      <c r="BX110" s="13">
        <f t="shared" si="932"/>
        <v>38.736504628512307</v>
      </c>
      <c r="BY110" s="13">
        <f t="shared" si="932"/>
        <v>38.993702478503742</v>
      </c>
      <c r="BZ110" s="13">
        <f t="shared" si="932"/>
        <v>37.222571914490416</v>
      </c>
      <c r="CA110" s="13">
        <f t="shared" si="932"/>
        <v>37.723123707779422</v>
      </c>
      <c r="CB110" s="13">
        <f t="shared" si="932"/>
        <v>50.530438552907263</v>
      </c>
      <c r="CC110" s="13">
        <f t="shared" si="932"/>
        <v>51.799716609293043</v>
      </c>
      <c r="CD110" s="13">
        <f t="shared" si="932"/>
        <v>46.673248040268035</v>
      </c>
      <c r="CE110" s="13">
        <f t="shared" si="932"/>
        <v>61.974824419111464</v>
      </c>
      <c r="CF110" s="13">
        <f t="shared" si="932"/>
        <v>59.699284109886293</v>
      </c>
      <c r="CG110" s="13">
        <f t="shared" si="932"/>
        <v>62.256733689405806</v>
      </c>
      <c r="CH110" s="13">
        <f t="shared" si="932"/>
        <v>55.513428705092629</v>
      </c>
      <c r="CI110" s="13">
        <f t="shared" ref="CI110:CJ110" si="933">+CI102/CI93</f>
        <v>44.717012467979501</v>
      </c>
      <c r="CJ110" s="13">
        <f t="shared" si="933"/>
        <v>47.151720122089436</v>
      </c>
      <c r="CK110" s="13">
        <f t="shared" ref="CK110:CL110" si="934">+CK102/CK93</f>
        <v>45.28393490484163</v>
      </c>
      <c r="CL110" s="13">
        <f t="shared" si="934"/>
        <v>49.151549603819994</v>
      </c>
      <c r="CM110" s="60">
        <v>55</v>
      </c>
      <c r="CN110" s="60">
        <f t="shared" ref="CN110:CN111" si="935">+CM110</f>
        <v>55</v>
      </c>
      <c r="CO110" s="60">
        <f t="shared" ref="CO110:CO111" si="936">+CN110</f>
        <v>55</v>
      </c>
      <c r="CP110" s="60">
        <f t="shared" ref="CP110:CP111" si="937">+CO110</f>
        <v>55</v>
      </c>
      <c r="CQ110" s="60">
        <f t="shared" ref="CQ110:CQ111" si="938">+CP110</f>
        <v>55</v>
      </c>
      <c r="CR110" s="60">
        <f t="shared" ref="CR110:CR111" si="939">+CQ110</f>
        <v>55</v>
      </c>
      <c r="CS110" s="60">
        <f t="shared" ref="CS110:CS111" si="940">+CR110</f>
        <v>55</v>
      </c>
      <c r="CT110" s="60">
        <f t="shared" ref="CT110:CT111" si="941">+CS110</f>
        <v>55</v>
      </c>
      <c r="CU110" s="60">
        <f t="shared" ref="CU110:CU111" si="942">+CT110</f>
        <v>55</v>
      </c>
      <c r="CV110" s="60">
        <f t="shared" ref="CV110:CV111" si="943">+CU110</f>
        <v>55</v>
      </c>
      <c r="CW110" s="60">
        <f t="shared" ref="CW110:CW111" si="944">+CV110</f>
        <v>55</v>
      </c>
      <c r="CX110" s="60">
        <f t="shared" ref="CX110:CX111" si="945">+CW110</f>
        <v>55</v>
      </c>
      <c r="CY110" s="60">
        <f t="shared" ref="CY110:CY111" si="946">+CX110</f>
        <v>55</v>
      </c>
      <c r="CZ110" s="60">
        <f t="shared" ref="CZ110:CZ111" si="947">+CY110</f>
        <v>55</v>
      </c>
      <c r="DA110" s="60">
        <f t="shared" ref="DA110:DA111" si="948">+CZ110</f>
        <v>55</v>
      </c>
      <c r="DB110" s="60">
        <f t="shared" ref="DB110:DB111" si="949">+DA110</f>
        <v>55</v>
      </c>
      <c r="DE110" s="136"/>
      <c r="DF110" s="13">
        <v>48.323631475866463</v>
      </c>
    </row>
    <row r="111" spans="1:110" s="13" customFormat="1" x14ac:dyDescent="0.2">
      <c r="A111" s="13" t="s">
        <v>462</v>
      </c>
      <c r="B111" s="13" t="e">
        <f t="shared" ref="B111:D111" si="950">+B103/B93</f>
        <v>#DIV/0!</v>
      </c>
      <c r="C111" s="13" t="e">
        <f t="shared" si="950"/>
        <v>#DIV/0!</v>
      </c>
      <c r="D111" s="13" t="e">
        <f t="shared" si="950"/>
        <v>#DIV/0!</v>
      </c>
      <c r="E111" s="13" t="e">
        <f t="shared" ref="E111:AE111" si="951">+E103/E93</f>
        <v>#DIV/0!</v>
      </c>
      <c r="F111" s="13" t="e">
        <f t="shared" si="951"/>
        <v>#DIV/0!</v>
      </c>
      <c r="G111" s="13" t="e">
        <f t="shared" si="951"/>
        <v>#DIV/0!</v>
      </c>
      <c r="H111" s="13" t="e">
        <f t="shared" si="951"/>
        <v>#DIV/0!</v>
      </c>
      <c r="I111" s="13">
        <f t="shared" si="951"/>
        <v>0</v>
      </c>
      <c r="J111" s="13">
        <f t="shared" si="951"/>
        <v>0</v>
      </c>
      <c r="K111" s="13">
        <f t="shared" si="951"/>
        <v>0</v>
      </c>
      <c r="L111" s="13" t="e">
        <f t="shared" si="951"/>
        <v>#DIV/0!</v>
      </c>
      <c r="M111" s="13">
        <f t="shared" si="951"/>
        <v>0</v>
      </c>
      <c r="N111" s="13">
        <f t="shared" si="951"/>
        <v>0</v>
      </c>
      <c r="O111" s="13">
        <f t="shared" si="951"/>
        <v>0</v>
      </c>
      <c r="P111" s="13">
        <f t="shared" si="951"/>
        <v>0</v>
      </c>
      <c r="Q111" s="13">
        <f t="shared" si="951"/>
        <v>0</v>
      </c>
      <c r="R111" s="13">
        <f t="shared" si="951"/>
        <v>0</v>
      </c>
      <c r="S111" s="13">
        <f t="shared" si="951"/>
        <v>0</v>
      </c>
      <c r="T111" s="13">
        <f t="shared" si="951"/>
        <v>0</v>
      </c>
      <c r="U111" s="13">
        <f t="shared" si="951"/>
        <v>10.413816426170907</v>
      </c>
      <c r="V111" s="13">
        <f t="shared" si="951"/>
        <v>11.212383781706743</v>
      </c>
      <c r="W111" s="13">
        <f t="shared" si="951"/>
        <v>23.797713789442938</v>
      </c>
      <c r="X111" s="13">
        <f t="shared" si="951"/>
        <v>24.227330315246558</v>
      </c>
      <c r="Y111" s="13">
        <f t="shared" si="951"/>
        <v>24.304428145029959</v>
      </c>
      <c r="Z111" s="13">
        <f t="shared" ref="Z111:AA111" si="952">+Z103/Z93</f>
        <v>33.966933249669559</v>
      </c>
      <c r="AA111" s="13">
        <f t="shared" si="952"/>
        <v>25.774497435099025</v>
      </c>
      <c r="AB111" s="60">
        <f t="shared" si="951"/>
        <v>31.662907763154212</v>
      </c>
      <c r="AC111" s="60">
        <f t="shared" si="951"/>
        <v>33.033306702144699</v>
      </c>
      <c r="AD111" s="60">
        <f t="shared" si="951"/>
        <v>32.714769601249841</v>
      </c>
      <c r="AE111" s="60">
        <f t="shared" si="951"/>
        <v>33.131993905951475</v>
      </c>
      <c r="AL111" s="13" t="e">
        <f t="shared" ref="AL111:BQ111" si="953">+AL103/AL93</f>
        <v>#DIV/0!</v>
      </c>
      <c r="AM111" s="13" t="e">
        <f t="shared" si="953"/>
        <v>#DIV/0!</v>
      </c>
      <c r="AN111" s="13" t="e">
        <f t="shared" si="953"/>
        <v>#DIV/0!</v>
      </c>
      <c r="AO111" s="13" t="e">
        <f t="shared" si="953"/>
        <v>#DIV/0!</v>
      </c>
      <c r="AP111" s="13" t="e">
        <f t="shared" si="953"/>
        <v>#DIV/0!</v>
      </c>
      <c r="AQ111" s="13" t="e">
        <f t="shared" si="953"/>
        <v>#DIV/0!</v>
      </c>
      <c r="AR111" s="13" t="e">
        <f t="shared" si="953"/>
        <v>#DIV/0!</v>
      </c>
      <c r="AS111" s="13" t="e">
        <f t="shared" si="953"/>
        <v>#DIV/0!</v>
      </c>
      <c r="AT111" s="13" t="e">
        <f t="shared" si="953"/>
        <v>#DIV/0!</v>
      </c>
      <c r="AU111" s="13" t="e">
        <f t="shared" si="953"/>
        <v>#DIV/0!</v>
      </c>
      <c r="AV111" s="13" t="e">
        <f t="shared" si="953"/>
        <v>#DIV/0!</v>
      </c>
      <c r="AW111" s="13" t="e">
        <f t="shared" si="953"/>
        <v>#DIV/0!</v>
      </c>
      <c r="AX111" s="13" t="e">
        <f t="shared" si="953"/>
        <v>#DIV/0!</v>
      </c>
      <c r="AY111" s="13" t="e">
        <f t="shared" si="953"/>
        <v>#DIV/0!</v>
      </c>
      <c r="AZ111" s="13" t="e">
        <f t="shared" si="953"/>
        <v>#DIV/0!</v>
      </c>
      <c r="BA111" s="13" t="e">
        <f t="shared" si="953"/>
        <v>#DIV/0!</v>
      </c>
      <c r="BB111" s="13" t="e">
        <f t="shared" si="953"/>
        <v>#DIV/0!</v>
      </c>
      <c r="BC111" s="13" t="e">
        <f t="shared" si="953"/>
        <v>#DIV/0!</v>
      </c>
      <c r="BD111" s="13" t="e">
        <f t="shared" si="953"/>
        <v>#DIV/0!</v>
      </c>
      <c r="BE111" s="13" t="e">
        <f t="shared" si="953"/>
        <v>#DIV/0!</v>
      </c>
      <c r="BF111" s="13">
        <f t="shared" si="953"/>
        <v>0</v>
      </c>
      <c r="BG111" s="13">
        <f t="shared" si="953"/>
        <v>0</v>
      </c>
      <c r="BH111" s="13">
        <f t="shared" si="953"/>
        <v>0</v>
      </c>
      <c r="BI111" s="13">
        <f t="shared" si="953"/>
        <v>0</v>
      </c>
      <c r="BJ111" s="13">
        <f t="shared" si="953"/>
        <v>0</v>
      </c>
      <c r="BK111" s="13">
        <f t="shared" si="953"/>
        <v>15.608338191896809</v>
      </c>
      <c r="BL111" s="13">
        <f t="shared" si="953"/>
        <v>11.974065385163113</v>
      </c>
      <c r="BM111" s="13">
        <f t="shared" si="953"/>
        <v>14.405162931690935</v>
      </c>
      <c r="BN111" s="13">
        <f t="shared" si="953"/>
        <v>11.337488620749173</v>
      </c>
      <c r="BO111" s="13">
        <f t="shared" si="953"/>
        <v>12.826604763055538</v>
      </c>
      <c r="BP111" s="13">
        <f t="shared" si="953"/>
        <v>15.663130346357955</v>
      </c>
      <c r="BQ111" s="13">
        <f t="shared" si="953"/>
        <v>15.334886223158284</v>
      </c>
      <c r="BR111" s="13">
        <f t="shared" ref="BR111:CH111" si="954">+BR103/BR93</f>
        <v>18.428901462134913</v>
      </c>
      <c r="BS111" s="13">
        <f t="shared" si="954"/>
        <v>24.689354019655152</v>
      </c>
      <c r="BT111" s="13">
        <f t="shared" si="954"/>
        <v>33.952475735055884</v>
      </c>
      <c r="BU111" s="13">
        <f t="shared" si="954"/>
        <v>40.778994125123148</v>
      </c>
      <c r="BV111" s="13">
        <f t="shared" si="954"/>
        <v>38.353053711613434</v>
      </c>
      <c r="BW111" s="13">
        <f t="shared" si="954"/>
        <v>31.288983687404787</v>
      </c>
      <c r="BX111" s="13">
        <f t="shared" si="954"/>
        <v>29.98909240272836</v>
      </c>
      <c r="BY111" s="13">
        <f t="shared" si="954"/>
        <v>32.228133967481369</v>
      </c>
      <c r="BZ111" s="13">
        <f t="shared" si="954"/>
        <v>30.171370512993061</v>
      </c>
      <c r="CA111" s="13">
        <f t="shared" si="954"/>
        <v>29.88895972235915</v>
      </c>
      <c r="CB111" s="13">
        <f t="shared" si="954"/>
        <v>32.687548776294136</v>
      </c>
      <c r="CC111" s="13">
        <f t="shared" si="954"/>
        <v>43.546736196503481</v>
      </c>
      <c r="CD111" s="13">
        <f t="shared" si="954"/>
        <v>32.166960222415909</v>
      </c>
      <c r="CE111" s="13">
        <f t="shared" si="954"/>
        <v>42.283655615443031</v>
      </c>
      <c r="CF111" s="13">
        <f t="shared" si="954"/>
        <v>49.793649348413233</v>
      </c>
      <c r="CG111" s="13">
        <f t="shared" si="954"/>
        <v>51.222278731448384</v>
      </c>
      <c r="CH111" s="13">
        <f t="shared" si="954"/>
        <v>33.962195283144979</v>
      </c>
      <c r="CI111" s="13">
        <f t="shared" ref="CI111:CJ111" si="955">+CI103/CI93</f>
        <v>31.072122214265523</v>
      </c>
      <c r="CJ111" s="13">
        <f t="shared" si="955"/>
        <v>40.142523647312018</v>
      </c>
      <c r="CK111" s="13">
        <f t="shared" ref="CK111:CL111" si="956">+CK103/CK93</f>
        <v>39.728562879234687</v>
      </c>
      <c r="CL111" s="13">
        <f t="shared" si="956"/>
        <v>37.524158950092904</v>
      </c>
      <c r="CM111" s="60">
        <v>37</v>
      </c>
      <c r="CN111" s="60">
        <f t="shared" si="935"/>
        <v>37</v>
      </c>
      <c r="CO111" s="60">
        <f t="shared" si="936"/>
        <v>37</v>
      </c>
      <c r="CP111" s="60">
        <f t="shared" si="937"/>
        <v>37</v>
      </c>
      <c r="CQ111" s="60">
        <f t="shared" si="938"/>
        <v>37</v>
      </c>
      <c r="CR111" s="60">
        <f t="shared" si="939"/>
        <v>37</v>
      </c>
      <c r="CS111" s="60">
        <f t="shared" si="940"/>
        <v>37</v>
      </c>
      <c r="CT111" s="60">
        <f t="shared" si="941"/>
        <v>37</v>
      </c>
      <c r="CU111" s="60">
        <f t="shared" si="942"/>
        <v>37</v>
      </c>
      <c r="CV111" s="60">
        <f t="shared" si="943"/>
        <v>37</v>
      </c>
      <c r="CW111" s="60">
        <f t="shared" si="944"/>
        <v>37</v>
      </c>
      <c r="CX111" s="60">
        <f t="shared" si="945"/>
        <v>37</v>
      </c>
      <c r="CY111" s="60">
        <f t="shared" si="946"/>
        <v>37</v>
      </c>
      <c r="CZ111" s="60">
        <f t="shared" si="947"/>
        <v>37</v>
      </c>
      <c r="DA111" s="60">
        <f t="shared" si="948"/>
        <v>37</v>
      </c>
      <c r="DB111" s="60">
        <f t="shared" si="949"/>
        <v>37</v>
      </c>
      <c r="DE111" s="136"/>
      <c r="DF111" s="13">
        <v>36.892094820245468</v>
      </c>
    </row>
    <row r="112" spans="1:110" s="13" customFormat="1" x14ac:dyDescent="0.2">
      <c r="AB112" s="60"/>
      <c r="AC112" s="60"/>
      <c r="AD112" s="60"/>
      <c r="AE112" s="60"/>
      <c r="CM112" s="60"/>
      <c r="CN112" s="60"/>
      <c r="CO112" s="60"/>
      <c r="CP112" s="60"/>
      <c r="CQ112" s="60"/>
      <c r="CR112" s="60"/>
      <c r="CS112" s="60"/>
      <c r="CT112" s="60"/>
      <c r="CU112" s="60"/>
      <c r="CV112" s="60"/>
      <c r="CW112" s="60"/>
      <c r="CX112" s="60"/>
      <c r="CY112" s="60"/>
      <c r="CZ112" s="60"/>
      <c r="DA112" s="60"/>
      <c r="DB112" s="60"/>
      <c r="DE112" s="136"/>
    </row>
    <row r="113" spans="1:110" s="13" customFormat="1" x14ac:dyDescent="0.2">
      <c r="A113" s="13" t="s">
        <v>463</v>
      </c>
      <c r="B113" s="13" t="e">
        <f t="shared" ref="B113:AD113" si="957">+B102/C93</f>
        <v>#DIV/0!</v>
      </c>
      <c r="C113" s="13" t="e">
        <f t="shared" si="957"/>
        <v>#DIV/0!</v>
      </c>
      <c r="D113" s="13" t="e">
        <f t="shared" si="957"/>
        <v>#DIV/0!</v>
      </c>
      <c r="E113" s="13" t="e">
        <f t="shared" si="957"/>
        <v>#DIV/0!</v>
      </c>
      <c r="F113" s="13" t="e">
        <f t="shared" si="957"/>
        <v>#DIV/0!</v>
      </c>
      <c r="G113" s="13" t="e">
        <f t="shared" si="957"/>
        <v>#DIV/0!</v>
      </c>
      <c r="H113" s="13">
        <f t="shared" si="957"/>
        <v>0</v>
      </c>
      <c r="I113" s="13">
        <f t="shared" si="957"/>
        <v>0</v>
      </c>
      <c r="J113" s="13">
        <f t="shared" si="957"/>
        <v>0</v>
      </c>
      <c r="K113" s="13" t="e">
        <f t="shared" si="957"/>
        <v>#DIV/0!</v>
      </c>
      <c r="L113" s="13">
        <f t="shared" si="957"/>
        <v>0</v>
      </c>
      <c r="M113" s="13">
        <f t="shared" si="957"/>
        <v>0</v>
      </c>
      <c r="N113" s="13">
        <f t="shared" si="957"/>
        <v>0</v>
      </c>
      <c r="O113" s="13">
        <f t="shared" si="957"/>
        <v>0</v>
      </c>
      <c r="P113" s="13">
        <f t="shared" si="957"/>
        <v>0</v>
      </c>
      <c r="Q113" s="13">
        <f t="shared" si="957"/>
        <v>0</v>
      </c>
      <c r="R113" s="13">
        <f t="shared" si="957"/>
        <v>0</v>
      </c>
      <c r="S113" s="13">
        <f t="shared" si="957"/>
        <v>0</v>
      </c>
      <c r="T113" s="13">
        <f t="shared" si="957"/>
        <v>0</v>
      </c>
      <c r="U113" s="13">
        <f t="shared" si="957"/>
        <v>21.199507871196854</v>
      </c>
      <c r="V113" s="13">
        <f t="shared" si="957"/>
        <v>25.987974523145734</v>
      </c>
      <c r="W113" s="13">
        <f t="shared" si="957"/>
        <v>32.826551688998009</v>
      </c>
      <c r="X113" s="13">
        <f t="shared" si="957"/>
        <v>26.514535339635476</v>
      </c>
      <c r="Y113" s="13">
        <f t="shared" si="957"/>
        <v>42.653098178703857</v>
      </c>
      <c r="Z113" s="13">
        <f t="shared" ref="Z113:AA113" si="958">+Z102/AA93</f>
        <v>42.861148782593595</v>
      </c>
      <c r="AA113" s="13">
        <f t="shared" si="958"/>
        <v>41.17047803261854</v>
      </c>
      <c r="AB113" s="37">
        <f t="shared" si="957"/>
        <v>47.325820821043457</v>
      </c>
      <c r="AC113" s="37">
        <f t="shared" si="957"/>
        <v>47.245809510578511</v>
      </c>
      <c r="AD113" s="37">
        <f t="shared" si="957"/>
        <v>47.77013573041588</v>
      </c>
      <c r="AE113" s="37"/>
      <c r="AL113" s="13" t="e">
        <f t="shared" ref="AL113:BQ113" si="959">+AL102/AP93</f>
        <v>#DIV/0!</v>
      </c>
      <c r="AM113" s="13" t="e">
        <f t="shared" si="959"/>
        <v>#DIV/0!</v>
      </c>
      <c r="AN113" s="13" t="e">
        <f t="shared" si="959"/>
        <v>#DIV/0!</v>
      </c>
      <c r="AO113" s="13" t="e">
        <f t="shared" si="959"/>
        <v>#DIV/0!</v>
      </c>
      <c r="AP113" s="13" t="e">
        <f t="shared" si="959"/>
        <v>#DIV/0!</v>
      </c>
      <c r="AQ113" s="13" t="e">
        <f t="shared" si="959"/>
        <v>#DIV/0!</v>
      </c>
      <c r="AR113" s="13" t="e">
        <f t="shared" si="959"/>
        <v>#DIV/0!</v>
      </c>
      <c r="AS113" s="13" t="e">
        <f t="shared" si="959"/>
        <v>#DIV/0!</v>
      </c>
      <c r="AT113" s="13" t="e">
        <f t="shared" si="959"/>
        <v>#DIV/0!</v>
      </c>
      <c r="AU113" s="13" t="e">
        <f t="shared" si="959"/>
        <v>#DIV/0!</v>
      </c>
      <c r="AV113" s="13" t="e">
        <f t="shared" si="959"/>
        <v>#DIV/0!</v>
      </c>
      <c r="AW113" s="13" t="e">
        <f t="shared" si="959"/>
        <v>#DIV/0!</v>
      </c>
      <c r="AX113" s="13" t="e">
        <f t="shared" si="959"/>
        <v>#DIV/0!</v>
      </c>
      <c r="AY113" s="13" t="e">
        <f t="shared" si="959"/>
        <v>#DIV/0!</v>
      </c>
      <c r="AZ113" s="13" t="e">
        <f t="shared" si="959"/>
        <v>#DIV/0!</v>
      </c>
      <c r="BA113" s="13" t="e">
        <f t="shared" si="959"/>
        <v>#DIV/0!</v>
      </c>
      <c r="BB113" s="13">
        <f t="shared" si="959"/>
        <v>0</v>
      </c>
      <c r="BC113" s="13">
        <f t="shared" si="959"/>
        <v>0</v>
      </c>
      <c r="BD113" s="13">
        <f t="shared" si="959"/>
        <v>0</v>
      </c>
      <c r="BE113" s="13">
        <f t="shared" si="959"/>
        <v>0</v>
      </c>
      <c r="BF113" s="13">
        <f t="shared" si="959"/>
        <v>0</v>
      </c>
      <c r="BG113" s="13">
        <f t="shared" si="959"/>
        <v>0</v>
      </c>
      <c r="BH113" s="13">
        <f t="shared" si="959"/>
        <v>0</v>
      </c>
      <c r="BI113" s="13">
        <f t="shared" si="959"/>
        <v>0</v>
      </c>
      <c r="BJ113" s="13">
        <f t="shared" si="959"/>
        <v>0</v>
      </c>
      <c r="BK113" s="13">
        <f t="shared" si="959"/>
        <v>13.928200685663738</v>
      </c>
      <c r="BL113" s="13">
        <f t="shared" si="959"/>
        <v>14.021665928747209</v>
      </c>
      <c r="BM113" s="13">
        <f t="shared" si="959"/>
        <v>20.88301359827847</v>
      </c>
      <c r="BN113" s="13">
        <f t="shared" si="959"/>
        <v>21.104526130938662</v>
      </c>
      <c r="BO113" s="13">
        <f t="shared" si="959"/>
        <v>15.667274414196958</v>
      </c>
      <c r="BP113" s="13">
        <f t="shared" si="959"/>
        <v>18.119874842961408</v>
      </c>
      <c r="BQ113" s="13">
        <f t="shared" si="959"/>
        <v>20.998396786427051</v>
      </c>
      <c r="BR113" s="13">
        <f t="shared" ref="BR113:CL113" si="960">+BR102/BV93</f>
        <v>25.984380584873342</v>
      </c>
      <c r="BS113" s="13">
        <f t="shared" si="960"/>
        <v>30.784075882180161</v>
      </c>
      <c r="BT113" s="13">
        <f t="shared" si="960"/>
        <v>37.397324255183818</v>
      </c>
      <c r="BU113" s="13">
        <f t="shared" si="960"/>
        <v>34.126257170773826</v>
      </c>
      <c r="BV113" s="13">
        <f t="shared" si="960"/>
        <v>32.825640798620547</v>
      </c>
      <c r="BW113" s="13">
        <f t="shared" si="960"/>
        <v>29.265775794256772</v>
      </c>
      <c r="BX113" s="13">
        <f t="shared" si="960"/>
        <v>25.451731134806341</v>
      </c>
      <c r="BY113" s="13">
        <f t="shared" si="960"/>
        <v>27.3801993295552</v>
      </c>
      <c r="BZ113" s="13">
        <f t="shared" si="960"/>
        <v>26.51083689032507</v>
      </c>
      <c r="CA113" s="13">
        <f t="shared" si="960"/>
        <v>30.733763542083242</v>
      </c>
      <c r="CB113" s="13">
        <f t="shared" si="960"/>
        <v>45.278887580037882</v>
      </c>
      <c r="CC113" s="13">
        <f t="shared" si="960"/>
        <v>46.836076747678234</v>
      </c>
      <c r="CD113" s="13">
        <f t="shared" si="960"/>
        <v>41.221577730582851</v>
      </c>
      <c r="CE113" s="13">
        <f t="shared" si="960"/>
        <v>49.788209950829319</v>
      </c>
      <c r="CF113" s="13">
        <f t="shared" si="960"/>
        <v>43.51993765136271</v>
      </c>
      <c r="CG113" s="13">
        <f t="shared" si="960"/>
        <v>43.608036636668899</v>
      </c>
      <c r="CH113" s="13">
        <f t="shared" si="960"/>
        <v>41.968973183810462</v>
      </c>
      <c r="CI113" s="13">
        <f t="shared" si="960"/>
        <v>36.303960076614608</v>
      </c>
      <c r="CJ113" s="13">
        <f t="shared" si="960"/>
        <v>41.940680852694918</v>
      </c>
      <c r="CK113" s="13">
        <f t="shared" si="960"/>
        <v>39.877738927724621</v>
      </c>
      <c r="CL113" s="13">
        <f t="shared" si="960"/>
        <v>41.170478032618568</v>
      </c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E113" s="134"/>
      <c r="DF113" s="13">
        <v>41.212787156139946</v>
      </c>
    </row>
    <row r="114" spans="1:110" s="98" customFormat="1" x14ac:dyDescent="0.2">
      <c r="A114" s="98" t="s">
        <v>426</v>
      </c>
      <c r="AB114" s="99"/>
      <c r="AC114" s="99"/>
      <c r="AD114" s="99"/>
      <c r="AE114" s="99"/>
      <c r="AL114" s="175"/>
      <c r="AM114" s="175"/>
      <c r="AN114" s="175"/>
      <c r="AO114" s="175" t="e">
        <f t="shared" ref="AO114:CI114" si="961">+CORREL(AL93:AO93,AL110:AO110)</f>
        <v>#DIV/0!</v>
      </c>
      <c r="AP114" s="175" t="e">
        <f t="shared" si="961"/>
        <v>#DIV/0!</v>
      </c>
      <c r="AQ114" s="175" t="e">
        <f t="shared" si="961"/>
        <v>#DIV/0!</v>
      </c>
      <c r="AR114" s="175" t="e">
        <f t="shared" si="961"/>
        <v>#DIV/0!</v>
      </c>
      <c r="AS114" s="175" t="e">
        <f t="shared" si="961"/>
        <v>#DIV/0!</v>
      </c>
      <c r="AT114" s="175" t="e">
        <f t="shared" si="961"/>
        <v>#DIV/0!</v>
      </c>
      <c r="AU114" s="175" t="e">
        <f t="shared" si="961"/>
        <v>#DIV/0!</v>
      </c>
      <c r="AV114" s="175" t="e">
        <f t="shared" si="961"/>
        <v>#DIV/0!</v>
      </c>
      <c r="AW114" s="175" t="e">
        <f t="shared" si="961"/>
        <v>#DIV/0!</v>
      </c>
      <c r="AX114" s="175" t="e">
        <f t="shared" si="961"/>
        <v>#DIV/0!</v>
      </c>
      <c r="AY114" s="175" t="e">
        <f t="shared" si="961"/>
        <v>#DIV/0!</v>
      </c>
      <c r="AZ114" s="175" t="e">
        <f t="shared" si="961"/>
        <v>#DIV/0!</v>
      </c>
      <c r="BA114" s="175" t="e">
        <f t="shared" si="961"/>
        <v>#DIV/0!</v>
      </c>
      <c r="BB114" s="175" t="e">
        <f t="shared" si="961"/>
        <v>#DIV/0!</v>
      </c>
      <c r="BC114" s="175" t="e">
        <f t="shared" si="961"/>
        <v>#DIV/0!</v>
      </c>
      <c r="BD114" s="175" t="e">
        <f t="shared" si="961"/>
        <v>#DIV/0!</v>
      </c>
      <c r="BE114" s="175" t="e">
        <f t="shared" si="961"/>
        <v>#DIV/0!</v>
      </c>
      <c r="BF114" s="175" t="e">
        <f t="shared" si="961"/>
        <v>#DIV/0!</v>
      </c>
      <c r="BG114" s="175" t="e">
        <f t="shared" si="961"/>
        <v>#DIV/0!</v>
      </c>
      <c r="BH114" s="175" t="e">
        <f t="shared" si="961"/>
        <v>#DIV/0!</v>
      </c>
      <c r="BI114" s="175" t="e">
        <f t="shared" si="961"/>
        <v>#DIV/0!</v>
      </c>
      <c r="BJ114" s="175" t="e">
        <f t="shared" si="961"/>
        <v>#DIV/0!</v>
      </c>
      <c r="BK114" s="175">
        <f t="shared" si="961"/>
        <v>0.47930790903375559</v>
      </c>
      <c r="BL114" s="175">
        <f t="shared" si="961"/>
        <v>0.66892282472474451</v>
      </c>
      <c r="BM114" s="175">
        <f t="shared" si="961"/>
        <v>0.81869690489736957</v>
      </c>
      <c r="BN114" s="175">
        <f t="shared" si="961"/>
        <v>0.62859237879568786</v>
      </c>
      <c r="BO114" s="175">
        <f t="shared" si="961"/>
        <v>0.3678238057782694</v>
      </c>
      <c r="BP114" s="175">
        <f t="shared" si="961"/>
        <v>-0.39853041984612642</v>
      </c>
      <c r="BQ114" s="175">
        <f t="shared" si="961"/>
        <v>0.53465066017802065</v>
      </c>
      <c r="BR114" s="175">
        <f t="shared" si="961"/>
        <v>0.99333097326003783</v>
      </c>
      <c r="BS114" s="175">
        <f t="shared" si="961"/>
        <v>0.48838574269657181</v>
      </c>
      <c r="BT114" s="175">
        <f t="shared" si="961"/>
        <v>-0.4142301057401061</v>
      </c>
      <c r="BU114" s="175">
        <f t="shared" si="961"/>
        <v>-0.99031027122923443</v>
      </c>
      <c r="BV114" s="175">
        <f t="shared" si="961"/>
        <v>-0.17542505556222679</v>
      </c>
      <c r="BW114" s="175">
        <f t="shared" si="961"/>
        <v>-0.98640610743944179</v>
      </c>
      <c r="BX114" s="175">
        <f t="shared" si="961"/>
        <v>-0.99182645555959292</v>
      </c>
      <c r="BY114" s="175">
        <f t="shared" si="961"/>
        <v>-0.93526399903146218</v>
      </c>
      <c r="BZ114" s="175">
        <f t="shared" si="961"/>
        <v>-0.85078965382592886</v>
      </c>
      <c r="CA114" s="175">
        <f t="shared" si="961"/>
        <v>-0.68249562861213886</v>
      </c>
      <c r="CB114" s="175">
        <f t="shared" si="961"/>
        <v>0.7538662078613072</v>
      </c>
      <c r="CC114" s="175">
        <f t="shared" si="961"/>
        <v>0.9170926073892619</v>
      </c>
      <c r="CD114" s="175">
        <f t="shared" si="961"/>
        <v>0.64083009557442883</v>
      </c>
      <c r="CE114" s="175">
        <f t="shared" si="961"/>
        <v>0.27397993451696223</v>
      </c>
      <c r="CF114" s="175">
        <f t="shared" si="961"/>
        <v>0.31589919451602499</v>
      </c>
      <c r="CG114" s="175">
        <f t="shared" si="961"/>
        <v>0.43129512645442136</v>
      </c>
      <c r="CH114" s="175">
        <f t="shared" si="961"/>
        <v>-0.87392743555130104</v>
      </c>
      <c r="CI114" s="175">
        <f t="shared" si="961"/>
        <v>-0.95747123807799661</v>
      </c>
      <c r="CJ114" s="175">
        <f>+CORREL(CG93:CJ93,CG110:CJ110)</f>
        <v>-0.87207665357465736</v>
      </c>
      <c r="CK114" s="175">
        <f>+CORREL(CH93:CK93,CH110:CK110)</f>
        <v>-0.71577398689873517</v>
      </c>
      <c r="CL114" s="175">
        <f>+CORREL(CI93:CL93,CI110:CL110)</f>
        <v>0.63339234882979967</v>
      </c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  <c r="DA114" s="99"/>
      <c r="DB114" s="99"/>
      <c r="DE114" s="137"/>
      <c r="DF114" s="98">
        <v>0.66157025243025447</v>
      </c>
    </row>
    <row r="115" spans="1:110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0" s="162" customFormat="1" x14ac:dyDescent="0.2">
      <c r="A116" s="49" t="s">
        <v>505</v>
      </c>
      <c r="E116" s="162">
        <f t="shared" ref="E116:AE116" si="962">+E$144/E$89</f>
        <v>0</v>
      </c>
      <c r="F116" s="162">
        <f t="shared" si="962"/>
        <v>0</v>
      </c>
      <c r="G116" s="162">
        <f t="shared" si="962"/>
        <v>0</v>
      </c>
      <c r="H116" s="162">
        <f t="shared" si="962"/>
        <v>0</v>
      </c>
      <c r="I116" s="162">
        <f t="shared" si="962"/>
        <v>32.822235700858847</v>
      </c>
      <c r="J116" s="162">
        <f t="shared" si="962"/>
        <v>36.661109962736887</v>
      </c>
      <c r="K116" s="162">
        <f t="shared" si="962"/>
        <v>58.859495141181398</v>
      </c>
      <c r="L116" s="162">
        <f t="shared" si="962"/>
        <v>63.013663144050852</v>
      </c>
      <c r="M116" s="162">
        <f t="shared" si="962"/>
        <v>70.060710324076226</v>
      </c>
      <c r="N116" s="162">
        <f t="shared" si="962"/>
        <v>85.919987246846588</v>
      </c>
      <c r="O116" s="162">
        <f t="shared" si="962"/>
        <v>90.477579026376461</v>
      </c>
      <c r="P116" s="162">
        <f t="shared" si="962"/>
        <v>107.72409349655598</v>
      </c>
      <c r="Q116" s="162">
        <f t="shared" si="962"/>
        <v>118.606983679949</v>
      </c>
      <c r="R116" s="162">
        <f t="shared" si="962"/>
        <v>132.41645688172113</v>
      </c>
      <c r="S116" s="162">
        <f t="shared" si="962"/>
        <v>155.93513161652862</v>
      </c>
      <c r="T116" s="162">
        <f t="shared" si="962"/>
        <v>189.10236398296922</v>
      </c>
      <c r="U116" s="162">
        <f t="shared" si="962"/>
        <v>254.82494304255701</v>
      </c>
      <c r="V116" s="162">
        <f t="shared" si="962"/>
        <v>315.76940704478881</v>
      </c>
      <c r="W116" s="162">
        <f t="shared" si="962"/>
        <v>368.23010142742328</v>
      </c>
      <c r="X116" s="162">
        <f t="shared" si="962"/>
        <v>440.86103712363251</v>
      </c>
      <c r="Y116" s="162">
        <f t="shared" si="962"/>
        <v>543.81133303664546</v>
      </c>
      <c r="Z116" s="162">
        <f t="shared" si="962"/>
        <v>652.80569375161906</v>
      </c>
      <c r="AA116" s="162">
        <f t="shared" si="962"/>
        <v>797.64172938074137</v>
      </c>
      <c r="AB116" s="21">
        <f t="shared" si="962"/>
        <v>1009.5496405079298</v>
      </c>
      <c r="AC116" s="21">
        <f t="shared" si="962"/>
        <v>1255.8197507732548</v>
      </c>
      <c r="AD116" s="21">
        <f t="shared" si="962"/>
        <v>1542.5087969533215</v>
      </c>
      <c r="AE116" s="21">
        <f t="shared" si="962"/>
        <v>1872.5873554252425</v>
      </c>
      <c r="AL116" s="162">
        <f t="shared" ref="AL116:BQ116" si="963">+AL$144/AL$89</f>
        <v>0</v>
      </c>
      <c r="AM116" s="162">
        <f t="shared" si="963"/>
        <v>0</v>
      </c>
      <c r="AN116" s="162">
        <f t="shared" si="963"/>
        <v>0</v>
      </c>
      <c r="AO116" s="162">
        <f t="shared" si="963"/>
        <v>0</v>
      </c>
      <c r="AP116" s="162">
        <f t="shared" si="963"/>
        <v>0</v>
      </c>
      <c r="AQ116" s="162">
        <f t="shared" si="963"/>
        <v>0</v>
      </c>
      <c r="AR116" s="162">
        <f t="shared" si="963"/>
        <v>0</v>
      </c>
      <c r="AS116" s="162">
        <f t="shared" si="963"/>
        <v>0</v>
      </c>
      <c r="AT116" s="162">
        <f t="shared" si="963"/>
        <v>0</v>
      </c>
      <c r="AU116" s="162">
        <f t="shared" si="963"/>
        <v>0</v>
      </c>
      <c r="AV116" s="162">
        <f t="shared" si="963"/>
        <v>0</v>
      </c>
      <c r="AW116" s="162">
        <f t="shared" si="963"/>
        <v>0</v>
      </c>
      <c r="AX116" s="162">
        <f t="shared" si="963"/>
        <v>0</v>
      </c>
      <c r="AY116" s="162">
        <f t="shared" si="963"/>
        <v>0</v>
      </c>
      <c r="AZ116" s="162">
        <f t="shared" si="963"/>
        <v>0</v>
      </c>
      <c r="BA116" s="162">
        <f t="shared" si="963"/>
        <v>0</v>
      </c>
      <c r="BB116" s="162">
        <f t="shared" si="963"/>
        <v>0</v>
      </c>
      <c r="BC116" s="162">
        <f t="shared" si="963"/>
        <v>0</v>
      </c>
      <c r="BD116" s="162">
        <f t="shared" si="963"/>
        <v>0</v>
      </c>
      <c r="BE116" s="162">
        <f t="shared" si="963"/>
        <v>0</v>
      </c>
      <c r="BF116" s="162">
        <f t="shared" si="963"/>
        <v>155.95688567063044</v>
      </c>
      <c r="BG116" s="162">
        <f t="shared" si="963"/>
        <v>161.07227795123896</v>
      </c>
      <c r="BH116" s="162">
        <f t="shared" si="963"/>
        <v>0</v>
      </c>
      <c r="BI116" s="162">
        <f t="shared" si="963"/>
        <v>12.843685644057668</v>
      </c>
      <c r="BJ116" s="162">
        <f t="shared" si="963"/>
        <v>189.12874510064438</v>
      </c>
      <c r="BK116" s="162">
        <f t="shared" si="963"/>
        <v>198.06463827808406</v>
      </c>
      <c r="BL116" s="162">
        <f t="shared" si="963"/>
        <v>233.67342058061513</v>
      </c>
      <c r="BM116" s="162">
        <f t="shared" si="963"/>
        <v>248.20740051816909</v>
      </c>
      <c r="BN116" s="162">
        <f t="shared" si="963"/>
        <v>254.86049292499831</v>
      </c>
      <c r="BO116" s="162">
        <f t="shared" si="963"/>
        <v>262.67302198897227</v>
      </c>
      <c r="BP116" s="162">
        <f t="shared" si="963"/>
        <v>279.92380256427288</v>
      </c>
      <c r="BQ116" s="162">
        <f t="shared" si="963"/>
        <v>297.36231980336146</v>
      </c>
      <c r="BR116" s="162">
        <f t="shared" ref="BR116:DB116" si="964">+BR$144/BR$89</f>
        <v>315.81345911114062</v>
      </c>
      <c r="BS116" s="162">
        <f t="shared" si="964"/>
        <v>320.72842622733003</v>
      </c>
      <c r="BT116" s="162">
        <f t="shared" si="964"/>
        <v>324.78077459642594</v>
      </c>
      <c r="BU116" s="162">
        <f t="shared" si="964"/>
        <v>345.67421776390086</v>
      </c>
      <c r="BV116" s="162">
        <f t="shared" si="964"/>
        <v>368.28147213180097</v>
      </c>
      <c r="BW116" s="162">
        <f t="shared" si="964"/>
        <v>382.88035607520089</v>
      </c>
      <c r="BX116" s="162">
        <f t="shared" si="964"/>
        <v>387.50933368763697</v>
      </c>
      <c r="BY116" s="162">
        <f t="shared" si="964"/>
        <v>411.28412940942002</v>
      </c>
      <c r="BZ116" s="162">
        <f t="shared" si="964"/>
        <v>440.92254035740382</v>
      </c>
      <c r="CA116" s="162">
        <f t="shared" si="964"/>
        <v>467.47027170663659</v>
      </c>
      <c r="CB116" s="162">
        <f t="shared" si="964"/>
        <v>477.98658074802358</v>
      </c>
      <c r="CC116" s="162">
        <f t="shared" si="964"/>
        <v>505.41300737394539</v>
      </c>
      <c r="CD116" s="162">
        <f t="shared" si="964"/>
        <v>543.88719856507009</v>
      </c>
      <c r="CE116" s="162">
        <f t="shared" si="964"/>
        <v>570.19119112469286</v>
      </c>
      <c r="CF116" s="162">
        <f t="shared" si="964"/>
        <v>570.91397063708223</v>
      </c>
      <c r="CG116" s="162">
        <f t="shared" si="964"/>
        <v>601.31037002590836</v>
      </c>
      <c r="CH116" s="162">
        <f t="shared" si="964"/>
        <v>652.8967647644987</v>
      </c>
      <c r="CI116" s="162">
        <f t="shared" si="964"/>
        <v>692.23251179166937</v>
      </c>
      <c r="CJ116" s="162">
        <f t="shared" si="964"/>
        <v>703.76150933368763</v>
      </c>
      <c r="CK116" s="162">
        <f t="shared" si="964"/>
        <v>745.02198780374374</v>
      </c>
      <c r="CL116" s="162">
        <f t="shared" si="964"/>
        <v>797.64172938074137</v>
      </c>
      <c r="CM116" s="21">
        <f t="shared" si="964"/>
        <v>840.81959327694733</v>
      </c>
      <c r="CN116" s="21">
        <f t="shared" si="964"/>
        <v>888.87672746553494</v>
      </c>
      <c r="CO116" s="21">
        <f t="shared" si="964"/>
        <v>944.40552174335266</v>
      </c>
      <c r="CP116" s="21">
        <f t="shared" si="964"/>
        <v>1009.5496405079298</v>
      </c>
      <c r="CQ116" s="21">
        <f t="shared" si="964"/>
        <v>1060.687595546284</v>
      </c>
      <c r="CR116" s="21">
        <f t="shared" si="964"/>
        <v>1115.4809092561754</v>
      </c>
      <c r="CS116" s="21">
        <f t="shared" si="964"/>
        <v>1180.7171610951509</v>
      </c>
      <c r="CT116" s="21">
        <f t="shared" si="964"/>
        <v>1255.8197507732548</v>
      </c>
      <c r="CU116" s="21">
        <f t="shared" si="964"/>
        <v>1314.1731656269044</v>
      </c>
      <c r="CV116" s="21">
        <f t="shared" si="964"/>
        <v>1377.4714150775976</v>
      </c>
      <c r="CW116" s="21">
        <f t="shared" si="964"/>
        <v>1453.9033641424683</v>
      </c>
      <c r="CX116" s="21">
        <f t="shared" si="964"/>
        <v>1542.5087969533215</v>
      </c>
      <c r="CY116" s="21">
        <f t="shared" si="964"/>
        <v>1609.7450788100646</v>
      </c>
      <c r="CZ116" s="21">
        <f t="shared" si="964"/>
        <v>1682.8011570195763</v>
      </c>
      <c r="DA116" s="21">
        <f t="shared" si="964"/>
        <v>1770.944850601009</v>
      </c>
      <c r="DB116" s="21">
        <f t="shared" si="964"/>
        <v>1872.5873554252425</v>
      </c>
      <c r="DE116" s="22"/>
      <c r="DF116" s="162">
        <v>799.39222286694587</v>
      </c>
    </row>
    <row r="117" spans="1:110" s="162" customFormat="1" x14ac:dyDescent="0.2">
      <c r="A117" s="49" t="s">
        <v>501</v>
      </c>
      <c r="AB117" s="21"/>
      <c r="AC117" s="21"/>
      <c r="AD117" s="21"/>
      <c r="AE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E117" s="22"/>
    </row>
    <row r="118" spans="1:110" s="162" customFormat="1" x14ac:dyDescent="0.2">
      <c r="A118" s="49" t="s">
        <v>502</v>
      </c>
      <c r="E118" s="162" t="e">
        <f t="shared" ref="E118:AE120" si="965">+E101/E$116</f>
        <v>#DIV/0!</v>
      </c>
      <c r="F118" s="162" t="e">
        <f t="shared" si="965"/>
        <v>#DIV/0!</v>
      </c>
      <c r="G118" s="162" t="e">
        <f t="shared" si="965"/>
        <v>#DIV/0!</v>
      </c>
      <c r="H118" s="162" t="e">
        <f t="shared" si="965"/>
        <v>#DIV/0!</v>
      </c>
      <c r="I118" s="162">
        <f t="shared" si="965"/>
        <v>0</v>
      </c>
      <c r="J118" s="162">
        <f t="shared" si="965"/>
        <v>0</v>
      </c>
      <c r="K118" s="162">
        <f t="shared" si="965"/>
        <v>0</v>
      </c>
      <c r="L118" s="162">
        <f t="shared" si="965"/>
        <v>0</v>
      </c>
      <c r="M118" s="162">
        <f t="shared" si="965"/>
        <v>0</v>
      </c>
      <c r="N118" s="162">
        <f t="shared" si="965"/>
        <v>0</v>
      </c>
      <c r="O118" s="162">
        <f t="shared" si="965"/>
        <v>0</v>
      </c>
      <c r="P118" s="162">
        <f t="shared" si="965"/>
        <v>0</v>
      </c>
      <c r="Q118" s="162">
        <f t="shared" si="965"/>
        <v>0</v>
      </c>
      <c r="R118" s="162">
        <f t="shared" si="965"/>
        <v>0</v>
      </c>
      <c r="S118" s="162">
        <f t="shared" si="965"/>
        <v>0</v>
      </c>
      <c r="T118" s="162">
        <f t="shared" si="965"/>
        <v>0</v>
      </c>
      <c r="U118" s="162">
        <f t="shared" si="965"/>
        <v>2.9114104417796303</v>
      </c>
      <c r="V118" s="162">
        <f t="shared" si="965"/>
        <v>4.3707527366773666</v>
      </c>
      <c r="W118" s="162">
        <f t="shared" si="965"/>
        <v>6.4230218845000158</v>
      </c>
      <c r="X118" s="162">
        <f t="shared" si="965"/>
        <v>6.5292683127104523</v>
      </c>
      <c r="Y118" s="162">
        <f t="shared" si="965"/>
        <v>9.3162824903073513</v>
      </c>
      <c r="Z118" s="162">
        <f t="shared" si="965"/>
        <v>7.8864967773379373</v>
      </c>
      <c r="AA118" s="162">
        <f t="shared" ref="AA118" si="966">+AA101/AA$116</f>
        <v>8.5765949147509257</v>
      </c>
      <c r="AB118" s="21">
        <f t="shared" si="965"/>
        <v>9.5686230893409174</v>
      </c>
      <c r="AC118" s="21">
        <f t="shared" si="965"/>
        <v>7.692186712346242</v>
      </c>
      <c r="AD118" s="21">
        <f t="shared" si="965"/>
        <v>6.2625250624695949</v>
      </c>
      <c r="AE118" s="21">
        <f t="shared" si="965"/>
        <v>5.1586378451254298</v>
      </c>
      <c r="AL118" s="162" t="e">
        <f t="shared" ref="AL118:CI120" si="967">+AL101/AL$116</f>
        <v>#DIV/0!</v>
      </c>
      <c r="AM118" s="162" t="e">
        <f t="shared" si="967"/>
        <v>#DIV/0!</v>
      </c>
      <c r="AN118" s="162" t="e">
        <f t="shared" si="967"/>
        <v>#DIV/0!</v>
      </c>
      <c r="AO118" s="162" t="e">
        <f t="shared" si="967"/>
        <v>#DIV/0!</v>
      </c>
      <c r="AP118" s="162" t="e">
        <f t="shared" si="967"/>
        <v>#DIV/0!</v>
      </c>
      <c r="AQ118" s="162" t="e">
        <f t="shared" si="967"/>
        <v>#DIV/0!</v>
      </c>
      <c r="AR118" s="162" t="e">
        <f t="shared" si="967"/>
        <v>#DIV/0!</v>
      </c>
      <c r="AS118" s="162" t="e">
        <f t="shared" si="967"/>
        <v>#DIV/0!</v>
      </c>
      <c r="AT118" s="162" t="e">
        <f t="shared" si="967"/>
        <v>#DIV/0!</v>
      </c>
      <c r="AU118" s="162" t="e">
        <f t="shared" si="967"/>
        <v>#DIV/0!</v>
      </c>
      <c r="AV118" s="162" t="e">
        <f t="shared" si="967"/>
        <v>#DIV/0!</v>
      </c>
      <c r="AW118" s="162" t="e">
        <f t="shared" si="967"/>
        <v>#DIV/0!</v>
      </c>
      <c r="AX118" s="162" t="e">
        <f t="shared" si="967"/>
        <v>#DIV/0!</v>
      </c>
      <c r="AY118" s="162" t="e">
        <f t="shared" si="967"/>
        <v>#DIV/0!</v>
      </c>
      <c r="AZ118" s="162" t="e">
        <f t="shared" si="967"/>
        <v>#DIV/0!</v>
      </c>
      <c r="BA118" s="162" t="e">
        <f t="shared" si="967"/>
        <v>#DIV/0!</v>
      </c>
      <c r="BB118" s="162" t="e">
        <f t="shared" si="967"/>
        <v>#DIV/0!</v>
      </c>
      <c r="BC118" s="162" t="e">
        <f t="shared" si="967"/>
        <v>#DIV/0!</v>
      </c>
      <c r="BD118" s="162" t="e">
        <f t="shared" si="967"/>
        <v>#DIV/0!</v>
      </c>
      <c r="BE118" s="162" t="e">
        <f t="shared" si="967"/>
        <v>#DIV/0!</v>
      </c>
      <c r="BF118" s="162">
        <f t="shared" si="967"/>
        <v>0</v>
      </c>
      <c r="BG118" s="162">
        <f t="shared" si="967"/>
        <v>0</v>
      </c>
      <c r="BH118" s="162" t="e">
        <f t="shared" si="967"/>
        <v>#DIV/0!</v>
      </c>
      <c r="BI118" s="162">
        <f t="shared" si="967"/>
        <v>0</v>
      </c>
      <c r="BJ118" s="162">
        <f t="shared" si="967"/>
        <v>0</v>
      </c>
      <c r="BK118" s="162">
        <f t="shared" si="967"/>
        <v>3.1333205432090989</v>
      </c>
      <c r="BL118" s="162">
        <f t="shared" si="967"/>
        <v>2.922240785037951</v>
      </c>
      <c r="BM118" s="162">
        <f t="shared" si="967"/>
        <v>3.9954489589338671</v>
      </c>
      <c r="BN118" s="162">
        <f t="shared" si="967"/>
        <v>2.9110043360793867</v>
      </c>
      <c r="BO118" s="162">
        <f t="shared" si="967"/>
        <v>3.0060186387666015</v>
      </c>
      <c r="BP118" s="162">
        <f t="shared" si="967"/>
        <v>2.9304403287092819</v>
      </c>
      <c r="BQ118" s="162">
        <f t="shared" si="967"/>
        <v>3.4837971424390584</v>
      </c>
      <c r="BR118" s="162">
        <f t="shared" si="967"/>
        <v>4.3701430708002214</v>
      </c>
      <c r="BS118" s="162">
        <f t="shared" si="967"/>
        <v>6.1633140013566914</v>
      </c>
      <c r="BT118" s="162">
        <f t="shared" si="967"/>
        <v>7.3663535132979128</v>
      </c>
      <c r="BU118" s="162">
        <f t="shared" si="967"/>
        <v>7.1273756427005708</v>
      </c>
      <c r="BV118" s="162">
        <f t="shared" si="967"/>
        <v>6.4221259524930909</v>
      </c>
      <c r="BW118" s="162">
        <f t="shared" si="967"/>
        <v>5.7443532035579796</v>
      </c>
      <c r="BX118" s="162">
        <f t="shared" si="967"/>
        <v>6.6048731669083303</v>
      </c>
      <c r="BY118" s="162">
        <f t="shared" si="967"/>
        <v>6.2500588186837156</v>
      </c>
      <c r="BZ118" s="162">
        <f t="shared" si="967"/>
        <v>6.5283575606426023</v>
      </c>
      <c r="CA118" s="162">
        <f t="shared" si="967"/>
        <v>7.5986650167760192</v>
      </c>
      <c r="CB118" s="162">
        <f t="shared" si="967"/>
        <v>11.168200562547012</v>
      </c>
      <c r="CC118" s="162">
        <f t="shared" si="967"/>
        <v>10.865074542763114</v>
      </c>
      <c r="CD118" s="162">
        <f t="shared" si="967"/>
        <v>9.3149829842775258</v>
      </c>
      <c r="CE118" s="162">
        <f t="shared" si="967"/>
        <v>11.813405932689957</v>
      </c>
      <c r="CF118" s="162">
        <f t="shared" si="967"/>
        <v>12.182658610085587</v>
      </c>
      <c r="CG118" s="162">
        <f t="shared" si="967"/>
        <v>12.092839841905096</v>
      </c>
      <c r="CH118" s="162">
        <f t="shared" si="967"/>
        <v>7.8853967087078791</v>
      </c>
      <c r="CI118" s="162">
        <f t="shared" si="967"/>
        <v>9.4601884315581621</v>
      </c>
      <c r="CJ118" s="162">
        <f>+CJ101/CJ$116</f>
        <v>10.354999390204878</v>
      </c>
      <c r="CK118" s="162">
        <f>+CK101/CK$116</f>
        <v>10.238087096577463</v>
      </c>
      <c r="CL118" s="162">
        <f>+CL101/CL$116</f>
        <v>8.5765949147509257</v>
      </c>
      <c r="CM118" s="21">
        <f t="shared" ref="CM118:DB118" si="968">+CM101/CM$116</f>
        <v>11.48879031511604</v>
      </c>
      <c r="CN118" s="21">
        <f t="shared" si="968"/>
        <v>10.867648686836111</v>
      </c>
      <c r="CO118" s="21">
        <f t="shared" si="968"/>
        <v>10.228656840302929</v>
      </c>
      <c r="CP118" s="21">
        <f t="shared" si="968"/>
        <v>9.5686230893409174</v>
      </c>
      <c r="CQ118" s="21">
        <f t="shared" si="968"/>
        <v>9.1072998690296068</v>
      </c>
      <c r="CR118" s="21">
        <f t="shared" si="968"/>
        <v>8.6599420212771534</v>
      </c>
      <c r="CS118" s="21">
        <f t="shared" si="968"/>
        <v>8.1814682790246369</v>
      </c>
      <c r="CT118" s="21">
        <f t="shared" si="968"/>
        <v>7.692186712346242</v>
      </c>
      <c r="CU118" s="21">
        <f t="shared" si="968"/>
        <v>7.3506294700454164</v>
      </c>
      <c r="CV118" s="21">
        <f t="shared" si="968"/>
        <v>7.0128497000105225</v>
      </c>
      <c r="CW118" s="21">
        <f t="shared" si="968"/>
        <v>6.6441829892164792</v>
      </c>
      <c r="CX118" s="21">
        <f t="shared" si="968"/>
        <v>6.2625250624695949</v>
      </c>
      <c r="CY118" s="21">
        <f t="shared" si="968"/>
        <v>6.0009501673027277</v>
      </c>
      <c r="CZ118" s="21">
        <f t="shared" si="968"/>
        <v>5.7404286654454824</v>
      </c>
      <c r="DA118" s="21">
        <f t="shared" si="968"/>
        <v>5.4547153157940897</v>
      </c>
      <c r="DB118" s="21">
        <f t="shared" si="968"/>
        <v>5.1586378451254298</v>
      </c>
      <c r="DE118" s="22"/>
      <c r="DF118" s="162">
        <v>8.5578140546141555</v>
      </c>
    </row>
    <row r="119" spans="1:110" s="162" customFormat="1" x14ac:dyDescent="0.2">
      <c r="A119" s="49" t="s">
        <v>503</v>
      </c>
      <c r="E119" s="162" t="e">
        <f t="shared" si="965"/>
        <v>#DIV/0!</v>
      </c>
      <c r="F119" s="162" t="e">
        <f t="shared" si="965"/>
        <v>#DIV/0!</v>
      </c>
      <c r="G119" s="162" t="e">
        <f t="shared" si="965"/>
        <v>#DIV/0!</v>
      </c>
      <c r="H119" s="162" t="e">
        <f t="shared" si="965"/>
        <v>#DIV/0!</v>
      </c>
      <c r="I119" s="162">
        <f t="shared" si="965"/>
        <v>0</v>
      </c>
      <c r="J119" s="162">
        <f t="shared" si="965"/>
        <v>0</v>
      </c>
      <c r="K119" s="162">
        <f t="shared" si="965"/>
        <v>0</v>
      </c>
      <c r="L119" s="162">
        <f t="shared" si="965"/>
        <v>0</v>
      </c>
      <c r="M119" s="162">
        <f t="shared" si="965"/>
        <v>0</v>
      </c>
      <c r="N119" s="162">
        <f t="shared" si="965"/>
        <v>0</v>
      </c>
      <c r="O119" s="162">
        <f t="shared" si="965"/>
        <v>0</v>
      </c>
      <c r="P119" s="162">
        <f t="shared" si="965"/>
        <v>0</v>
      </c>
      <c r="Q119" s="162">
        <f t="shared" si="965"/>
        <v>0</v>
      </c>
      <c r="R119" s="162">
        <f t="shared" si="965"/>
        <v>0</v>
      </c>
      <c r="S119" s="162">
        <f t="shared" si="965"/>
        <v>0</v>
      </c>
      <c r="T119" s="162">
        <f t="shared" si="965"/>
        <v>0</v>
      </c>
      <c r="U119" s="162">
        <f t="shared" si="965"/>
        <v>4.6306298979646359</v>
      </c>
      <c r="V119" s="162">
        <f t="shared" si="965"/>
        <v>4.5729572523001973</v>
      </c>
      <c r="W119" s="162">
        <f t="shared" si="965"/>
        <v>7.5247786350408497</v>
      </c>
      <c r="X119" s="162">
        <f t="shared" si="965"/>
        <v>7.1269623201446031</v>
      </c>
      <c r="Y119" s="162">
        <f t="shared" si="965"/>
        <v>10.523686529376457</v>
      </c>
      <c r="Z119" s="162">
        <f t="shared" si="965"/>
        <v>11.653008043300531</v>
      </c>
      <c r="AA119" s="162">
        <f t="shared" ref="AA119" si="969">+AA102/AA$116</f>
        <v>10.937680011768258</v>
      </c>
      <c r="AB119" s="21">
        <f t="shared" si="965"/>
        <v>11.544687496626194</v>
      </c>
      <c r="AC119" s="21">
        <f t="shared" si="965"/>
        <v>10.785668927609077</v>
      </c>
      <c r="AD119" s="21">
        <f t="shared" si="965"/>
        <v>10.222241565848803</v>
      </c>
      <c r="AE119" s="21">
        <f t="shared" si="965"/>
        <v>9.6947790784548094</v>
      </c>
      <c r="AL119" s="162" t="e">
        <f t="shared" si="967"/>
        <v>#DIV/0!</v>
      </c>
      <c r="AM119" s="162" t="e">
        <f t="shared" si="967"/>
        <v>#DIV/0!</v>
      </c>
      <c r="AN119" s="162" t="e">
        <f t="shared" si="967"/>
        <v>#DIV/0!</v>
      </c>
      <c r="AO119" s="162" t="e">
        <f t="shared" si="967"/>
        <v>#DIV/0!</v>
      </c>
      <c r="AP119" s="162" t="e">
        <f t="shared" si="967"/>
        <v>#DIV/0!</v>
      </c>
      <c r="AQ119" s="162" t="e">
        <f t="shared" si="967"/>
        <v>#DIV/0!</v>
      </c>
      <c r="AR119" s="162" t="e">
        <f t="shared" si="967"/>
        <v>#DIV/0!</v>
      </c>
      <c r="AS119" s="162" t="e">
        <f t="shared" si="967"/>
        <v>#DIV/0!</v>
      </c>
      <c r="AT119" s="162" t="e">
        <f t="shared" si="967"/>
        <v>#DIV/0!</v>
      </c>
      <c r="AU119" s="162" t="e">
        <f t="shared" si="967"/>
        <v>#DIV/0!</v>
      </c>
      <c r="AV119" s="162" t="e">
        <f t="shared" si="967"/>
        <v>#DIV/0!</v>
      </c>
      <c r="AW119" s="162" t="e">
        <f t="shared" si="967"/>
        <v>#DIV/0!</v>
      </c>
      <c r="AX119" s="162" t="e">
        <f t="shared" si="967"/>
        <v>#DIV/0!</v>
      </c>
      <c r="AY119" s="162" t="e">
        <f t="shared" si="967"/>
        <v>#DIV/0!</v>
      </c>
      <c r="AZ119" s="162" t="e">
        <f t="shared" si="967"/>
        <v>#DIV/0!</v>
      </c>
      <c r="BA119" s="162" t="e">
        <f t="shared" si="967"/>
        <v>#DIV/0!</v>
      </c>
      <c r="BB119" s="162" t="e">
        <f t="shared" si="967"/>
        <v>#DIV/0!</v>
      </c>
      <c r="BC119" s="162" t="e">
        <f t="shared" si="967"/>
        <v>#DIV/0!</v>
      </c>
      <c r="BD119" s="162" t="e">
        <f t="shared" si="967"/>
        <v>#DIV/0!</v>
      </c>
      <c r="BE119" s="162" t="e">
        <f t="shared" si="967"/>
        <v>#DIV/0!</v>
      </c>
      <c r="BF119" s="162">
        <f t="shared" si="967"/>
        <v>0</v>
      </c>
      <c r="BG119" s="162">
        <f t="shared" si="967"/>
        <v>0</v>
      </c>
      <c r="BH119" s="162" t="e">
        <f t="shared" si="967"/>
        <v>#DIV/0!</v>
      </c>
      <c r="BI119" s="162">
        <f t="shared" si="967"/>
        <v>0</v>
      </c>
      <c r="BJ119" s="162">
        <f t="shared" si="967"/>
        <v>0</v>
      </c>
      <c r="BK119" s="162">
        <f t="shared" si="967"/>
        <v>3.4216102676970777</v>
      </c>
      <c r="BL119" s="162">
        <f t="shared" si="967"/>
        <v>3.0341491053553593</v>
      </c>
      <c r="BM119" s="162">
        <f t="shared" si="967"/>
        <v>4.3947118326157728</v>
      </c>
      <c r="BN119" s="162">
        <f t="shared" si="967"/>
        <v>4.6299839824419413</v>
      </c>
      <c r="BO119" s="162">
        <f t="shared" si="967"/>
        <v>3.1944658558625321</v>
      </c>
      <c r="BP119" s="162">
        <f t="shared" si="967"/>
        <v>3.3578780774963914</v>
      </c>
      <c r="BQ119" s="162">
        <f t="shared" si="967"/>
        <v>3.676323216481856</v>
      </c>
      <c r="BR119" s="162">
        <f t="shared" si="967"/>
        <v>4.5723193813973255</v>
      </c>
      <c r="BS119" s="162">
        <f t="shared" si="967"/>
        <v>6.2732200686630399</v>
      </c>
      <c r="BT119" s="162">
        <f t="shared" si="967"/>
        <v>8.0823749597304122</v>
      </c>
      <c r="BU119" s="162">
        <f t="shared" si="967"/>
        <v>7.6586562258693016</v>
      </c>
      <c r="BV119" s="162">
        <f t="shared" si="967"/>
        <v>7.5237290216119401</v>
      </c>
      <c r="BW119" s="162">
        <f t="shared" si="967"/>
        <v>7.3653556659514781</v>
      </c>
      <c r="BX119" s="162">
        <f t="shared" si="967"/>
        <v>7.0166051850294995</v>
      </c>
      <c r="BY119" s="162">
        <f t="shared" si="967"/>
        <v>7.3550127118780955</v>
      </c>
      <c r="BZ119" s="162">
        <f t="shared" si="967"/>
        <v>7.1259681971648616</v>
      </c>
      <c r="CA119" s="162">
        <f t="shared" si="967"/>
        <v>7.775895538189781</v>
      </c>
      <c r="CB119" s="162">
        <f t="shared" si="967"/>
        <v>11.293517888205526</v>
      </c>
      <c r="CC119" s="162">
        <f t="shared" si="967"/>
        <v>11.323214710550051</v>
      </c>
      <c r="CD119" s="162">
        <f t="shared" si="967"/>
        <v>10.170491261044464</v>
      </c>
      <c r="CE119" s="162">
        <f t="shared" si="967"/>
        <v>12.85533714672388</v>
      </c>
      <c r="CF119" s="162">
        <f t="shared" si="967"/>
        <v>12.466589304265506</v>
      </c>
      <c r="CG119" s="162">
        <f t="shared" si="967"/>
        <v>12.650954281184664</v>
      </c>
      <c r="CH119" s="162">
        <f t="shared" si="967"/>
        <v>11.409843641493664</v>
      </c>
      <c r="CI119" s="162">
        <f t="shared" si="967"/>
        <v>9.5103883274140486</v>
      </c>
      <c r="CJ119" s="162">
        <f t="shared" ref="CJ119:CL120" si="970">+CJ102/CJ$116</f>
        <v>10.957263075243999</v>
      </c>
      <c r="CK119" s="162">
        <f t="shared" ref="CK119" si="971">+CK102/CK$116</f>
        <v>10.603042768290637</v>
      </c>
      <c r="CL119" s="162">
        <f t="shared" si="970"/>
        <v>10.937680011768258</v>
      </c>
      <c r="CM119" s="94">
        <f t="shared" ref="CM119:DB119" si="972">+CL119</f>
        <v>10.937680011768258</v>
      </c>
      <c r="CN119" s="94">
        <f t="shared" si="972"/>
        <v>10.937680011768258</v>
      </c>
      <c r="CO119" s="94">
        <f t="shared" si="972"/>
        <v>10.937680011768258</v>
      </c>
      <c r="CP119" s="94">
        <f t="shared" si="972"/>
        <v>10.937680011768258</v>
      </c>
      <c r="CQ119" s="94">
        <f t="shared" si="972"/>
        <v>10.937680011768258</v>
      </c>
      <c r="CR119" s="94">
        <f t="shared" si="972"/>
        <v>10.937680011768258</v>
      </c>
      <c r="CS119" s="94">
        <f t="shared" si="972"/>
        <v>10.937680011768258</v>
      </c>
      <c r="CT119" s="94">
        <f t="shared" si="972"/>
        <v>10.937680011768258</v>
      </c>
      <c r="CU119" s="94">
        <f t="shared" si="972"/>
        <v>10.937680011768258</v>
      </c>
      <c r="CV119" s="94">
        <f t="shared" si="972"/>
        <v>10.937680011768258</v>
      </c>
      <c r="CW119" s="94">
        <f t="shared" si="972"/>
        <v>10.937680011768258</v>
      </c>
      <c r="CX119" s="94">
        <f t="shared" si="972"/>
        <v>10.937680011768258</v>
      </c>
      <c r="CY119" s="94">
        <f t="shared" si="972"/>
        <v>10.937680011768258</v>
      </c>
      <c r="CZ119" s="94">
        <f t="shared" si="972"/>
        <v>10.937680011768258</v>
      </c>
      <c r="DA119" s="94">
        <f t="shared" si="972"/>
        <v>10.937680011768258</v>
      </c>
      <c r="DB119" s="94">
        <f t="shared" si="972"/>
        <v>10.937680011768258</v>
      </c>
      <c r="DC119" s="94"/>
      <c r="DE119" s="22"/>
      <c r="DF119" s="162">
        <v>10.913728893572332</v>
      </c>
    </row>
    <row r="120" spans="1:110" s="162" customFormat="1" x14ac:dyDescent="0.2">
      <c r="A120" s="49" t="s">
        <v>504</v>
      </c>
      <c r="E120" s="162" t="e">
        <f t="shared" si="965"/>
        <v>#DIV/0!</v>
      </c>
      <c r="F120" s="162" t="e">
        <f t="shared" si="965"/>
        <v>#DIV/0!</v>
      </c>
      <c r="G120" s="162" t="e">
        <f t="shared" si="965"/>
        <v>#DIV/0!</v>
      </c>
      <c r="H120" s="162" t="e">
        <f t="shared" si="965"/>
        <v>#DIV/0!</v>
      </c>
      <c r="I120" s="162">
        <f t="shared" si="965"/>
        <v>0</v>
      </c>
      <c r="J120" s="162">
        <f t="shared" si="965"/>
        <v>0</v>
      </c>
      <c r="K120" s="162">
        <f t="shared" si="965"/>
        <v>0</v>
      </c>
      <c r="L120" s="162">
        <f t="shared" si="965"/>
        <v>0</v>
      </c>
      <c r="M120" s="162">
        <f t="shared" si="965"/>
        <v>0</v>
      </c>
      <c r="N120" s="162">
        <f t="shared" si="965"/>
        <v>0</v>
      </c>
      <c r="O120" s="162">
        <f t="shared" si="965"/>
        <v>0</v>
      </c>
      <c r="P120" s="162">
        <f t="shared" si="965"/>
        <v>0</v>
      </c>
      <c r="Q120" s="162">
        <f t="shared" si="965"/>
        <v>0</v>
      </c>
      <c r="R120" s="162">
        <f t="shared" si="965"/>
        <v>0</v>
      </c>
      <c r="S120" s="162">
        <f t="shared" si="965"/>
        <v>0</v>
      </c>
      <c r="T120" s="162">
        <f t="shared" si="965"/>
        <v>0</v>
      </c>
      <c r="U120" s="162">
        <f t="shared" si="965"/>
        <v>2.0604340914629931</v>
      </c>
      <c r="V120" s="162">
        <f t="shared" si="965"/>
        <v>1.9764422584214358</v>
      </c>
      <c r="W120" s="162">
        <f t="shared" si="965"/>
        <v>3.5909611812673066</v>
      </c>
      <c r="X120" s="162">
        <f t="shared" si="965"/>
        <v>4.6386498869177952</v>
      </c>
      <c r="Y120" s="162">
        <f t="shared" si="965"/>
        <v>5.2961382469127773</v>
      </c>
      <c r="Z120" s="162">
        <f t="shared" si="965"/>
        <v>6.9813269761921353</v>
      </c>
      <c r="AA120" s="162">
        <f t="shared" ref="AA120" si="973">+AA103/AA$116</f>
        <v>5.7350936285034964</v>
      </c>
      <c r="AB120" s="21">
        <f t="shared" si="965"/>
        <v>6.6461522792748209</v>
      </c>
      <c r="AC120" s="21">
        <f t="shared" si="965"/>
        <v>6.4779329031545876</v>
      </c>
      <c r="AD120" s="21">
        <f t="shared" si="965"/>
        <v>6.0803323206375026</v>
      </c>
      <c r="AE120" s="21">
        <f t="shared" si="965"/>
        <v>5.8401338426710971</v>
      </c>
      <c r="AL120" s="162" t="e">
        <f t="shared" si="967"/>
        <v>#DIV/0!</v>
      </c>
      <c r="AM120" s="162" t="e">
        <f t="shared" si="967"/>
        <v>#DIV/0!</v>
      </c>
      <c r="AN120" s="162" t="e">
        <f t="shared" si="967"/>
        <v>#DIV/0!</v>
      </c>
      <c r="AO120" s="162" t="e">
        <f t="shared" si="967"/>
        <v>#DIV/0!</v>
      </c>
      <c r="AP120" s="162" t="e">
        <f t="shared" si="967"/>
        <v>#DIV/0!</v>
      </c>
      <c r="AQ120" s="162" t="e">
        <f t="shared" si="967"/>
        <v>#DIV/0!</v>
      </c>
      <c r="AR120" s="162" t="e">
        <f t="shared" si="967"/>
        <v>#DIV/0!</v>
      </c>
      <c r="AS120" s="162" t="e">
        <f t="shared" si="967"/>
        <v>#DIV/0!</v>
      </c>
      <c r="AT120" s="162" t="e">
        <f t="shared" si="967"/>
        <v>#DIV/0!</v>
      </c>
      <c r="AU120" s="162" t="e">
        <f t="shared" si="967"/>
        <v>#DIV/0!</v>
      </c>
      <c r="AV120" s="162" t="e">
        <f t="shared" si="967"/>
        <v>#DIV/0!</v>
      </c>
      <c r="AW120" s="162" t="e">
        <f t="shared" si="967"/>
        <v>#DIV/0!</v>
      </c>
      <c r="AX120" s="162" t="e">
        <f t="shared" si="967"/>
        <v>#DIV/0!</v>
      </c>
      <c r="AY120" s="162" t="e">
        <f t="shared" si="967"/>
        <v>#DIV/0!</v>
      </c>
      <c r="AZ120" s="162" t="e">
        <f t="shared" si="967"/>
        <v>#DIV/0!</v>
      </c>
      <c r="BA120" s="162" t="e">
        <f t="shared" si="967"/>
        <v>#DIV/0!</v>
      </c>
      <c r="BB120" s="162" t="e">
        <f t="shared" si="967"/>
        <v>#DIV/0!</v>
      </c>
      <c r="BC120" s="162" t="e">
        <f t="shared" si="967"/>
        <v>#DIV/0!</v>
      </c>
      <c r="BD120" s="162" t="e">
        <f t="shared" si="967"/>
        <v>#DIV/0!</v>
      </c>
      <c r="BE120" s="162" t="e">
        <f t="shared" si="967"/>
        <v>#DIV/0!</v>
      </c>
      <c r="BF120" s="162">
        <f t="shared" si="967"/>
        <v>0</v>
      </c>
      <c r="BG120" s="162">
        <f t="shared" si="967"/>
        <v>0</v>
      </c>
      <c r="BH120" s="162" t="e">
        <f t="shared" si="967"/>
        <v>#DIV/0!</v>
      </c>
      <c r="BI120" s="162">
        <f t="shared" si="967"/>
        <v>0</v>
      </c>
      <c r="BJ120" s="162">
        <f t="shared" si="967"/>
        <v>0</v>
      </c>
      <c r="BK120" s="162">
        <f t="shared" si="967"/>
        <v>2.9182392426278749</v>
      </c>
      <c r="BL120" s="162">
        <f t="shared" si="967"/>
        <v>2.2469393339447548</v>
      </c>
      <c r="BM120" s="162">
        <f t="shared" si="967"/>
        <v>2.6429510104473293</v>
      </c>
      <c r="BN120" s="162">
        <f t="shared" si="967"/>
        <v>2.2431880023407276</v>
      </c>
      <c r="BO120" s="162">
        <f t="shared" si="967"/>
        <v>2.3759577412034396</v>
      </c>
      <c r="BP120" s="162">
        <f t="shared" si="967"/>
        <v>2.8293413877090718</v>
      </c>
      <c r="BQ120" s="162">
        <f t="shared" si="967"/>
        <v>2.6936835861708439</v>
      </c>
      <c r="BR120" s="162">
        <f t="shared" si="967"/>
        <v>3.2626855198004185</v>
      </c>
      <c r="BS120" s="162">
        <f t="shared" si="967"/>
        <v>4.1228026326009628</v>
      </c>
      <c r="BT120" s="162">
        <f t="shared" si="967"/>
        <v>5.4228887229810239</v>
      </c>
      <c r="BU120" s="162">
        <f t="shared" si="967"/>
        <v>6.1416208988141294</v>
      </c>
      <c r="BV120" s="162">
        <f t="shared" si="967"/>
        <v>5.787285435953808</v>
      </c>
      <c r="BW120" s="162">
        <f t="shared" si="967"/>
        <v>5.3410940716904918</v>
      </c>
      <c r="BX120" s="162">
        <f t="shared" si="967"/>
        <v>5.432127221216291</v>
      </c>
      <c r="BY120" s="162">
        <f t="shared" si="967"/>
        <v>6.0788876137527348</v>
      </c>
      <c r="BZ120" s="162">
        <f t="shared" si="967"/>
        <v>5.7760712299616399</v>
      </c>
      <c r="CA120" s="162">
        <f t="shared" si="967"/>
        <v>6.1610334909327058</v>
      </c>
      <c r="CB120" s="162">
        <f t="shared" si="967"/>
        <v>7.305644427371174</v>
      </c>
      <c r="CC120" s="162">
        <f t="shared" si="967"/>
        <v>9.5191455894611749</v>
      </c>
      <c r="CD120" s="162">
        <f t="shared" si="967"/>
        <v>7.0094497720447713</v>
      </c>
      <c r="CE120" s="162">
        <f t="shared" si="967"/>
        <v>8.7708299914902401</v>
      </c>
      <c r="CF120" s="162">
        <f t="shared" si="967"/>
        <v>10.398063990929453</v>
      </c>
      <c r="CG120" s="162">
        <f t="shared" si="967"/>
        <v>10.408684619442582</v>
      </c>
      <c r="CH120" s="162">
        <f t="shared" si="967"/>
        <v>6.9803531675392545</v>
      </c>
      <c r="CI120" s="162">
        <f t="shared" si="967"/>
        <v>6.6084009665479746</v>
      </c>
      <c r="CJ120" s="162">
        <f t="shared" si="970"/>
        <v>9.3284442427316865</v>
      </c>
      <c r="CK120" s="162">
        <f t="shared" ref="CK120" si="974">+CK103/CK$116</f>
        <v>9.30227578977928</v>
      </c>
      <c r="CL120" s="162">
        <f t="shared" si="970"/>
        <v>8.350240157534083</v>
      </c>
      <c r="CM120" s="94">
        <f t="shared" ref="CM120:DB120" si="975">+CL120</f>
        <v>8.350240157534083</v>
      </c>
      <c r="CN120" s="94">
        <f t="shared" si="975"/>
        <v>8.350240157534083</v>
      </c>
      <c r="CO120" s="94">
        <f t="shared" si="975"/>
        <v>8.350240157534083</v>
      </c>
      <c r="CP120" s="94">
        <f t="shared" si="975"/>
        <v>8.350240157534083</v>
      </c>
      <c r="CQ120" s="94">
        <f t="shared" si="975"/>
        <v>8.350240157534083</v>
      </c>
      <c r="CR120" s="94">
        <f t="shared" si="975"/>
        <v>8.350240157534083</v>
      </c>
      <c r="CS120" s="94">
        <f t="shared" si="975"/>
        <v>8.350240157534083</v>
      </c>
      <c r="CT120" s="94">
        <f t="shared" si="975"/>
        <v>8.350240157534083</v>
      </c>
      <c r="CU120" s="94">
        <f t="shared" si="975"/>
        <v>8.350240157534083</v>
      </c>
      <c r="CV120" s="94">
        <f t="shared" si="975"/>
        <v>8.350240157534083</v>
      </c>
      <c r="CW120" s="94">
        <f t="shared" si="975"/>
        <v>8.350240157534083</v>
      </c>
      <c r="CX120" s="94">
        <f t="shared" si="975"/>
        <v>8.350240157534083</v>
      </c>
      <c r="CY120" s="94">
        <f t="shared" si="975"/>
        <v>8.350240157534083</v>
      </c>
      <c r="CZ120" s="94">
        <f t="shared" si="975"/>
        <v>8.350240157534083</v>
      </c>
      <c r="DA120" s="94">
        <f t="shared" si="975"/>
        <v>8.350240157534083</v>
      </c>
      <c r="DB120" s="94">
        <f t="shared" si="975"/>
        <v>8.350240157534083</v>
      </c>
      <c r="DC120" s="94"/>
      <c r="DE120" s="22"/>
      <c r="DF120" s="162">
        <v>8.331954964626421</v>
      </c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177" customFormat="1" x14ac:dyDescent="0.2">
      <c r="A122" s="177" t="s">
        <v>510</v>
      </c>
      <c r="E122" s="177">
        <f t="shared" ref="E122:Y122" si="976">+E34</f>
        <v>0</v>
      </c>
      <c r="F122" s="177">
        <f t="shared" si="976"/>
        <v>0</v>
      </c>
      <c r="G122" s="177">
        <f t="shared" si="976"/>
        <v>0</v>
      </c>
      <c r="H122" s="177">
        <f t="shared" si="976"/>
        <v>0</v>
      </c>
      <c r="I122" s="177">
        <f t="shared" si="976"/>
        <v>2136.1867265999999</v>
      </c>
      <c r="J122" s="177">
        <f t="shared" si="976"/>
        <v>2239.8338145000002</v>
      </c>
      <c r="K122" s="177">
        <f t="shared" si="976"/>
        <v>2513.9245679999999</v>
      </c>
      <c r="L122" s="177">
        <f t="shared" si="976"/>
        <v>0</v>
      </c>
      <c r="M122" s="177">
        <f t="shared" si="976"/>
        <v>3775.596</v>
      </c>
      <c r="N122" s="177">
        <f t="shared" si="976"/>
        <v>3719.473</v>
      </c>
      <c r="O122" s="177">
        <f t="shared" si="976"/>
        <v>3842.3180000000002</v>
      </c>
      <c r="P122" s="177">
        <f t="shared" si="976"/>
        <v>4708.116</v>
      </c>
      <c r="Q122" s="177">
        <f t="shared" si="976"/>
        <v>5186.83</v>
      </c>
      <c r="R122" s="177">
        <f t="shared" si="976"/>
        <v>5500.1170000000002</v>
      </c>
      <c r="S122" s="177">
        <f t="shared" si="976"/>
        <v>6770.3050000000003</v>
      </c>
      <c r="T122" s="177">
        <f t="shared" si="976"/>
        <v>7985.5519999999997</v>
      </c>
      <c r="U122" s="177">
        <f t="shared" si="976"/>
        <v>8829.9549999999999</v>
      </c>
      <c r="V122" s="177">
        <f t="shared" si="976"/>
        <v>8792.2340000000004</v>
      </c>
      <c r="W122" s="177">
        <f t="shared" si="976"/>
        <v>12203.761</v>
      </c>
      <c r="X122" s="177">
        <f t="shared" si="976"/>
        <v>14107.778</v>
      </c>
      <c r="Y122" s="177">
        <f t="shared" si="976"/>
        <v>18039.444</v>
      </c>
      <c r="Z122" s="177">
        <f>+Z34</f>
        <v>22408.312999999998</v>
      </c>
      <c r="AA122" s="177">
        <f>+AA34</f>
        <v>28883.792000000001</v>
      </c>
      <c r="AB122" s="178">
        <f t="shared" ref="AA122:AE122" si="977">+AB34</f>
        <v>35703.563450000001</v>
      </c>
      <c r="AC122" s="178">
        <f t="shared" si="977"/>
        <v>42557.769032135926</v>
      </c>
      <c r="AD122" s="178">
        <f t="shared" si="977"/>
        <v>48730.492953935587</v>
      </c>
      <c r="AE122" s="178">
        <f t="shared" si="977"/>
        <v>55810.658054246887</v>
      </c>
      <c r="AL122" s="177">
        <f t="shared" ref="AL122:BQ122" si="978">+SUM(AI32:AL32)</f>
        <v>0</v>
      </c>
      <c r="AM122" s="177">
        <f t="shared" si="978"/>
        <v>0</v>
      </c>
      <c r="AN122" s="177">
        <f t="shared" si="978"/>
        <v>0</v>
      </c>
      <c r="AO122" s="177">
        <f t="shared" si="978"/>
        <v>0</v>
      </c>
      <c r="AP122" s="177">
        <f t="shared" si="978"/>
        <v>0</v>
      </c>
      <c r="AQ122" s="177">
        <f t="shared" si="978"/>
        <v>0</v>
      </c>
      <c r="AR122" s="177">
        <f t="shared" si="978"/>
        <v>0</v>
      </c>
      <c r="AS122" s="177">
        <f t="shared" si="978"/>
        <v>0</v>
      </c>
      <c r="AT122" s="177">
        <f t="shared" si="978"/>
        <v>0</v>
      </c>
      <c r="AU122" s="177">
        <f t="shared" si="978"/>
        <v>0</v>
      </c>
      <c r="AV122" s="177">
        <f t="shared" si="978"/>
        <v>0</v>
      </c>
      <c r="AW122" s="177">
        <f t="shared" si="978"/>
        <v>0</v>
      </c>
      <c r="AX122" s="177">
        <f t="shared" si="978"/>
        <v>0</v>
      </c>
      <c r="AY122" s="177">
        <f t="shared" si="978"/>
        <v>0</v>
      </c>
      <c r="AZ122" s="177">
        <f t="shared" si="978"/>
        <v>0</v>
      </c>
      <c r="BA122" s="177">
        <f t="shared" si="978"/>
        <v>0</v>
      </c>
      <c r="BB122" s="177">
        <f t="shared" si="978"/>
        <v>0</v>
      </c>
      <c r="BC122" s="177">
        <f t="shared" si="978"/>
        <v>0</v>
      </c>
      <c r="BD122" s="177">
        <f t="shared" si="978"/>
        <v>0</v>
      </c>
      <c r="BE122" s="177">
        <f t="shared" si="978"/>
        <v>0</v>
      </c>
      <c r="BF122" s="177">
        <f t="shared" si="978"/>
        <v>2110.2460000000001</v>
      </c>
      <c r="BG122" s="177">
        <f t="shared" si="978"/>
        <v>3792.8919999999998</v>
      </c>
      <c r="BH122" s="177">
        <f t="shared" si="978"/>
        <v>5604.7469999999994</v>
      </c>
      <c r="BI122" s="177">
        <f t="shared" si="978"/>
        <v>7629.5849999999991</v>
      </c>
      <c r="BJ122" s="177">
        <f t="shared" si="978"/>
        <v>7982.982</v>
      </c>
      <c r="BK122" s="177">
        <f t="shared" si="978"/>
        <v>8251.66</v>
      </c>
      <c r="BL122" s="177">
        <f t="shared" si="978"/>
        <v>8681.7479999999996</v>
      </c>
      <c r="BM122" s="177">
        <f t="shared" si="978"/>
        <v>9164.2170000000006</v>
      </c>
      <c r="BN122" s="177">
        <f t="shared" si="978"/>
        <v>8829.9549999999999</v>
      </c>
      <c r="BO122" s="177">
        <f t="shared" si="978"/>
        <v>7855.2259999999997</v>
      </c>
      <c r="BP122" s="177">
        <f t="shared" si="978"/>
        <v>7726.9650000000001</v>
      </c>
      <c r="BQ122" s="177">
        <f t="shared" si="978"/>
        <v>7965.9979999999996</v>
      </c>
      <c r="BR122" s="177">
        <f t="shared" ref="BR122:CW122" si="979">+SUM(BO32:BR32)</f>
        <v>8779.3580000000002</v>
      </c>
      <c r="BS122" s="177">
        <f t="shared" si="979"/>
        <v>9657.991</v>
      </c>
      <c r="BT122" s="177">
        <f t="shared" si="979"/>
        <v>10550.864</v>
      </c>
      <c r="BU122" s="177">
        <f t="shared" si="979"/>
        <v>11176.52</v>
      </c>
      <c r="BV122" s="177">
        <f t="shared" si="979"/>
        <v>12203.760999999999</v>
      </c>
      <c r="BW122" s="177">
        <f t="shared" si="979"/>
        <v>13085.09</v>
      </c>
      <c r="BX122" s="177">
        <f t="shared" si="979"/>
        <v>13410.893</v>
      </c>
      <c r="BY122" s="177">
        <f t="shared" si="979"/>
        <v>13754.079000000002</v>
      </c>
      <c r="BZ122" s="177">
        <f t="shared" si="979"/>
        <v>14107.777999999998</v>
      </c>
      <c r="CA122" s="177">
        <f t="shared" si="979"/>
        <v>15260.602999999999</v>
      </c>
      <c r="CB122" s="177">
        <f t="shared" si="979"/>
        <v>16145.941999999999</v>
      </c>
      <c r="CC122" s="177">
        <f t="shared" si="979"/>
        <v>16771.23</v>
      </c>
      <c r="CD122" s="177">
        <f t="shared" si="979"/>
        <v>18039.444</v>
      </c>
      <c r="CE122" s="177">
        <f t="shared" si="979"/>
        <v>18848.092000000001</v>
      </c>
      <c r="CF122" s="177">
        <f t="shared" si="979"/>
        <v>20128.817999999999</v>
      </c>
      <c r="CG122" s="177">
        <f t="shared" si="979"/>
        <v>21014.409999999996</v>
      </c>
      <c r="CH122" s="177">
        <f t="shared" si="979"/>
        <v>22408.312999999998</v>
      </c>
      <c r="CI122" s="177">
        <f t="shared" si="979"/>
        <v>23616.258999999998</v>
      </c>
      <c r="CJ122" s="177">
        <f t="shared" si="979"/>
        <v>24595.046999999999</v>
      </c>
      <c r="CK122" s="177">
        <f t="shared" si="979"/>
        <v>27005.113000000001</v>
      </c>
      <c r="CL122" s="177">
        <f t="shared" si="979"/>
        <v>28883.792000000001</v>
      </c>
      <c r="CM122" s="178">
        <f t="shared" si="979"/>
        <v>30319.718000000001</v>
      </c>
      <c r="CN122" s="178">
        <f t="shared" si="979"/>
        <v>31812.433119999998</v>
      </c>
      <c r="CO122" s="178">
        <f t="shared" si="979"/>
        <v>33658.554020000003</v>
      </c>
      <c r="CP122" s="178">
        <f t="shared" si="979"/>
        <v>35703.563450000001</v>
      </c>
      <c r="CQ122" s="178">
        <f t="shared" si="979"/>
        <v>37215.221249999995</v>
      </c>
      <c r="CR122" s="178">
        <f t="shared" si="979"/>
        <v>38783.667802559998</v>
      </c>
      <c r="CS122" s="178">
        <f t="shared" si="979"/>
        <v>40587.540690943992</v>
      </c>
      <c r="CT122" s="178">
        <f t="shared" si="979"/>
        <v>42557.769032135926</v>
      </c>
      <c r="CU122" s="178">
        <f t="shared" si="979"/>
        <v>43841.974334374012</v>
      </c>
      <c r="CV122" s="178">
        <f t="shared" si="979"/>
        <v>45224.085372015463</v>
      </c>
      <c r="CW122" s="178">
        <f t="shared" si="979"/>
        <v>46866.033297510046</v>
      </c>
      <c r="CX122" s="178">
        <f t="shared" ref="CX122:DB122" si="980">+SUM(CU32:CX32)</f>
        <v>48730.492953935587</v>
      </c>
      <c r="CY122" s="178">
        <f t="shared" si="980"/>
        <v>50203.322014352139</v>
      </c>
      <c r="CZ122" s="178">
        <f t="shared" si="980"/>
        <v>51788.522127030417</v>
      </c>
      <c r="DA122" s="178">
        <f t="shared" si="980"/>
        <v>53672.291086684694</v>
      </c>
      <c r="DB122" s="178">
        <f t="shared" si="980"/>
        <v>55810.658054246887</v>
      </c>
      <c r="DE122" s="179"/>
      <c r="DF122" s="177">
        <v>28968.97492495086</v>
      </c>
    </row>
    <row r="123" spans="1:110" s="163" customFormat="1" x14ac:dyDescent="0.2">
      <c r="A123" s="163" t="s">
        <v>511</v>
      </c>
      <c r="E123" s="163">
        <f t="shared" ref="E123:AE123" si="981">+E122/E89</f>
        <v>0</v>
      </c>
      <c r="F123" s="163">
        <f t="shared" si="981"/>
        <v>0</v>
      </c>
      <c r="G123" s="163">
        <f t="shared" si="981"/>
        <v>0</v>
      </c>
      <c r="H123" s="163">
        <f t="shared" si="981"/>
        <v>0</v>
      </c>
      <c r="I123" s="163">
        <f t="shared" si="981"/>
        <v>141.89123463809605</v>
      </c>
      <c r="J123" s="163">
        <f t="shared" si="981"/>
        <v>148.77575137328881</v>
      </c>
      <c r="K123" s="163">
        <f t="shared" si="981"/>
        <v>166.98159215149684</v>
      </c>
      <c r="L123" s="163">
        <f t="shared" si="981"/>
        <v>0</v>
      </c>
      <c r="M123" s="163">
        <f t="shared" si="981"/>
        <v>250.78518242987428</v>
      </c>
      <c r="N123" s="163">
        <f t="shared" si="981"/>
        <v>247.05734269450221</v>
      </c>
      <c r="O123" s="163">
        <f t="shared" si="981"/>
        <v>255.21703608743883</v>
      </c>
      <c r="P123" s="163">
        <f t="shared" si="981"/>
        <v>312.725654429396</v>
      </c>
      <c r="Q123" s="163">
        <f t="shared" si="981"/>
        <v>344.52311841170103</v>
      </c>
      <c r="R123" s="163">
        <f t="shared" si="981"/>
        <v>365.33247869492732</v>
      </c>
      <c r="S123" s="163">
        <f t="shared" si="981"/>
        <v>449.70176219354244</v>
      </c>
      <c r="T123" s="163">
        <f t="shared" si="981"/>
        <v>530.42171755750542</v>
      </c>
      <c r="U123" s="163">
        <f t="shared" si="981"/>
        <v>586.50922278829103</v>
      </c>
      <c r="V123" s="163">
        <f t="shared" si="981"/>
        <v>584.00369310067686</v>
      </c>
      <c r="W123" s="163">
        <f t="shared" si="981"/>
        <v>810.60643901402193</v>
      </c>
      <c r="X123" s="163">
        <f t="shared" si="981"/>
        <v>937.07633957927885</v>
      </c>
      <c r="Y123" s="163">
        <f t="shared" si="981"/>
        <v>1198.228108747202</v>
      </c>
      <c r="Z123" s="163">
        <f t="shared" ref="Z123:AA123" si="982">+Z122/Z89</f>
        <v>1488.4200702751891</v>
      </c>
      <c r="AA123" s="163">
        <f t="shared" si="982"/>
        <v>1918.5387011710318</v>
      </c>
      <c r="AB123" s="94">
        <f t="shared" si="981"/>
        <v>2371.5261572490385</v>
      </c>
      <c r="AC123" s="94">
        <f t="shared" si="981"/>
        <v>2826.8008204618986</v>
      </c>
      <c r="AD123" s="94">
        <f t="shared" si="981"/>
        <v>3236.8096494832707</v>
      </c>
      <c r="AE123" s="94">
        <f t="shared" si="981"/>
        <v>3707.0931481190355</v>
      </c>
      <c r="AL123" s="163">
        <f t="shared" ref="AL123:BQ123" si="983">+AL122/AL89</f>
        <v>0</v>
      </c>
      <c r="AM123" s="163">
        <f t="shared" si="983"/>
        <v>0</v>
      </c>
      <c r="AN123" s="163">
        <f t="shared" si="983"/>
        <v>0</v>
      </c>
      <c r="AO123" s="163">
        <f t="shared" si="983"/>
        <v>0</v>
      </c>
      <c r="AP123" s="163">
        <f t="shared" si="983"/>
        <v>0</v>
      </c>
      <c r="AQ123" s="163">
        <f t="shared" si="983"/>
        <v>0</v>
      </c>
      <c r="AR123" s="163">
        <f t="shared" si="983"/>
        <v>0</v>
      </c>
      <c r="AS123" s="163">
        <f t="shared" si="983"/>
        <v>0</v>
      </c>
      <c r="AT123" s="163">
        <f t="shared" si="983"/>
        <v>0</v>
      </c>
      <c r="AU123" s="163">
        <f t="shared" si="983"/>
        <v>0</v>
      </c>
      <c r="AV123" s="163">
        <f t="shared" si="983"/>
        <v>0</v>
      </c>
      <c r="AW123" s="163">
        <f t="shared" si="983"/>
        <v>0</v>
      </c>
      <c r="AX123" s="163">
        <f t="shared" si="983"/>
        <v>0</v>
      </c>
      <c r="AY123" s="163">
        <f t="shared" si="983"/>
        <v>0</v>
      </c>
      <c r="AZ123" s="163">
        <f t="shared" si="983"/>
        <v>0</v>
      </c>
      <c r="BA123" s="163">
        <f t="shared" si="983"/>
        <v>0</v>
      </c>
      <c r="BB123" s="163">
        <f t="shared" si="983"/>
        <v>0</v>
      </c>
      <c r="BC123" s="163">
        <f t="shared" si="983"/>
        <v>0</v>
      </c>
      <c r="BD123" s="163">
        <f t="shared" si="983"/>
        <v>0</v>
      </c>
      <c r="BE123" s="163">
        <f t="shared" si="983"/>
        <v>0</v>
      </c>
      <c r="BF123" s="163">
        <f t="shared" si="983"/>
        <v>140.18773666378794</v>
      </c>
      <c r="BG123" s="163">
        <f t="shared" si="983"/>
        <v>251.96917557961865</v>
      </c>
      <c r="BH123" s="163">
        <f t="shared" si="983"/>
        <v>372.33421909253963</v>
      </c>
      <c r="BI123" s="163">
        <f t="shared" si="983"/>
        <v>506.84813658406955</v>
      </c>
      <c r="BJ123" s="163">
        <f t="shared" si="983"/>
        <v>530.32498505281342</v>
      </c>
      <c r="BK123" s="163">
        <f t="shared" si="983"/>
        <v>548.1737859562877</v>
      </c>
      <c r="BL123" s="163">
        <f t="shared" si="983"/>
        <v>576.74536637215169</v>
      </c>
      <c r="BM123" s="163">
        <f t="shared" si="983"/>
        <v>608.79671826214042</v>
      </c>
      <c r="BN123" s="163">
        <f t="shared" si="983"/>
        <v>586.59104497442365</v>
      </c>
      <c r="BO123" s="163">
        <f t="shared" si="983"/>
        <v>521.8379060652361</v>
      </c>
      <c r="BP123" s="163">
        <f t="shared" si="983"/>
        <v>513.31727894771802</v>
      </c>
      <c r="BQ123" s="163">
        <f t="shared" si="983"/>
        <v>529.19670497575225</v>
      </c>
      <c r="BR123" s="163">
        <f t="shared" ref="BR123:CW123" si="984">+BR122/BR89</f>
        <v>583.22978808210985</v>
      </c>
      <c r="BS123" s="163">
        <f t="shared" si="984"/>
        <v>641.59908323922139</v>
      </c>
      <c r="BT123" s="163">
        <f t="shared" si="984"/>
        <v>700.91436922872515</v>
      </c>
      <c r="BU123" s="163">
        <f t="shared" si="984"/>
        <v>742.47791137979141</v>
      </c>
      <c r="BV123" s="163">
        <f t="shared" si="984"/>
        <v>810.71952434730599</v>
      </c>
      <c r="BW123" s="163">
        <f t="shared" si="984"/>
        <v>869.26792001594367</v>
      </c>
      <c r="BX123" s="163">
        <f t="shared" si="984"/>
        <v>890.91164551916552</v>
      </c>
      <c r="BY123" s="163">
        <f t="shared" si="984"/>
        <v>913.71015744369902</v>
      </c>
      <c r="BZ123" s="163">
        <f t="shared" si="984"/>
        <v>937.20706835846659</v>
      </c>
      <c r="CA123" s="163">
        <f t="shared" si="984"/>
        <v>1013.7914701388427</v>
      </c>
      <c r="CB123" s="163">
        <f t="shared" si="984"/>
        <v>1072.6062578887929</v>
      </c>
      <c r="CC123" s="163">
        <f t="shared" si="984"/>
        <v>1114.1453530857636</v>
      </c>
      <c r="CD123" s="163">
        <f t="shared" si="984"/>
        <v>1198.3952700458378</v>
      </c>
      <c r="CE123" s="163">
        <f t="shared" si="984"/>
        <v>1252.1153258486679</v>
      </c>
      <c r="CF123" s="163">
        <f t="shared" si="984"/>
        <v>1337.1964392479904</v>
      </c>
      <c r="CG123" s="163">
        <f t="shared" si="984"/>
        <v>1396.028034278881</v>
      </c>
      <c r="CH123" s="163">
        <f t="shared" si="984"/>
        <v>1488.6277154055667</v>
      </c>
      <c r="CI123" s="163">
        <f t="shared" si="984"/>
        <v>1568.8739121769745</v>
      </c>
      <c r="CJ123" s="163">
        <f t="shared" si="984"/>
        <v>1633.8966983325581</v>
      </c>
      <c r="CK123" s="163">
        <f t="shared" ref="CK123:CL123" si="985">+CK122/CK89</f>
        <v>1793.906721226534</v>
      </c>
      <c r="CL123" s="163">
        <f t="shared" si="985"/>
        <v>1918.5387011710318</v>
      </c>
      <c r="CM123" s="50">
        <f t="shared" si="984"/>
        <v>2013.9167458203533</v>
      </c>
      <c r="CN123" s="50">
        <f t="shared" si="984"/>
        <v>2113.0668756766809</v>
      </c>
      <c r="CO123" s="50">
        <f t="shared" si="984"/>
        <v>2235.6911624632189</v>
      </c>
      <c r="CP123" s="50">
        <f t="shared" si="984"/>
        <v>2371.5261572490385</v>
      </c>
      <c r="CQ123" s="50">
        <f t="shared" si="984"/>
        <v>2471.9345105645261</v>
      </c>
      <c r="CR123" s="50">
        <f t="shared" si="984"/>
        <v>2576.1149246806731</v>
      </c>
      <c r="CS123" s="50">
        <f t="shared" si="984"/>
        <v>2695.9329855626329</v>
      </c>
      <c r="CT123" s="50">
        <f t="shared" si="984"/>
        <v>2826.8008204618986</v>
      </c>
      <c r="CU123" s="50">
        <f t="shared" si="984"/>
        <v>2912.1011706580503</v>
      </c>
      <c r="CV123" s="50">
        <f t="shared" si="984"/>
        <v>3003.904681603939</v>
      </c>
      <c r="CW123" s="50">
        <f t="shared" si="984"/>
        <v>3112.9672534563069</v>
      </c>
      <c r="CX123" s="50">
        <f t="shared" ref="CX123:DB123" si="986">+CX122/CX89</f>
        <v>3236.8096494832707</v>
      </c>
      <c r="CY123" s="50">
        <f t="shared" si="986"/>
        <v>3334.6388940858674</v>
      </c>
      <c r="CZ123" s="50">
        <f t="shared" si="986"/>
        <v>3439.9321244648272</v>
      </c>
      <c r="DA123" s="50">
        <f t="shared" si="986"/>
        <v>3565.05709604617</v>
      </c>
      <c r="DB123" s="50">
        <f t="shared" si="986"/>
        <v>3707.0931481190355</v>
      </c>
      <c r="DE123" s="164"/>
      <c r="DF123" s="163">
        <v>1924.3629465617225</v>
      </c>
    </row>
    <row r="124" spans="1:110" s="163" customFormat="1" x14ac:dyDescent="0.2">
      <c r="AB124" s="94"/>
      <c r="AC124" s="94"/>
      <c r="AD124" s="94"/>
      <c r="AE124" s="94"/>
      <c r="CM124" s="94"/>
      <c r="CN124" s="94"/>
      <c r="CO124" s="94"/>
      <c r="CP124" s="94"/>
      <c r="CQ124" s="94"/>
      <c r="CR124" s="94"/>
      <c r="CS124" s="94"/>
      <c r="CT124" s="94"/>
      <c r="CU124" s="94"/>
      <c r="CV124" s="94"/>
      <c r="CW124" s="94"/>
      <c r="CX124" s="94"/>
      <c r="CY124" s="94"/>
      <c r="CZ124" s="94"/>
      <c r="DA124" s="94"/>
      <c r="DB124" s="94"/>
      <c r="DE124" s="164"/>
    </row>
    <row r="125" spans="1:110" s="163" customFormat="1" x14ac:dyDescent="0.2">
      <c r="A125" s="163" t="s">
        <v>506</v>
      </c>
      <c r="AB125" s="94"/>
      <c r="AC125" s="94"/>
      <c r="AD125" s="94"/>
      <c r="AE125" s="94"/>
      <c r="CM125" s="94"/>
      <c r="CN125" s="94"/>
      <c r="CO125" s="94"/>
      <c r="CP125" s="94"/>
      <c r="CQ125" s="94"/>
      <c r="CR125" s="94"/>
      <c r="CS125" s="94"/>
      <c r="CT125" s="94"/>
      <c r="CU125" s="94"/>
      <c r="CV125" s="94"/>
      <c r="CW125" s="94"/>
      <c r="CX125" s="94"/>
      <c r="CY125" s="94"/>
      <c r="CZ125" s="94"/>
      <c r="DA125" s="94"/>
      <c r="DB125" s="94"/>
      <c r="DE125" s="164"/>
    </row>
    <row r="126" spans="1:110" s="163" customFormat="1" x14ac:dyDescent="0.2">
      <c r="A126" s="163" t="s">
        <v>507</v>
      </c>
      <c r="E126" s="163" t="e">
        <f t="shared" ref="E126:AE128" si="987">+E101/E$123</f>
        <v>#DIV/0!</v>
      </c>
      <c r="F126" s="163" t="e">
        <f t="shared" si="987"/>
        <v>#DIV/0!</v>
      </c>
      <c r="G126" s="163" t="e">
        <f t="shared" si="987"/>
        <v>#DIV/0!</v>
      </c>
      <c r="H126" s="163" t="e">
        <f t="shared" si="987"/>
        <v>#DIV/0!</v>
      </c>
      <c r="I126" s="163">
        <f t="shared" si="987"/>
        <v>0</v>
      </c>
      <c r="J126" s="163">
        <f t="shared" si="987"/>
        <v>0</v>
      </c>
      <c r="K126" s="163">
        <f t="shared" si="987"/>
        <v>0</v>
      </c>
      <c r="L126" s="163" t="e">
        <f t="shared" si="987"/>
        <v>#DIV/0!</v>
      </c>
      <c r="M126" s="163">
        <f t="shared" si="987"/>
        <v>0</v>
      </c>
      <c r="N126" s="163">
        <f t="shared" si="987"/>
        <v>0</v>
      </c>
      <c r="O126" s="163">
        <f t="shared" si="987"/>
        <v>0</v>
      </c>
      <c r="P126" s="163">
        <f t="shared" si="987"/>
        <v>0</v>
      </c>
      <c r="Q126" s="163">
        <f t="shared" si="987"/>
        <v>0</v>
      </c>
      <c r="R126" s="163">
        <f t="shared" si="987"/>
        <v>0</v>
      </c>
      <c r="S126" s="163">
        <f t="shared" si="987"/>
        <v>0</v>
      </c>
      <c r="T126" s="163">
        <f t="shared" si="987"/>
        <v>0</v>
      </c>
      <c r="U126" s="163">
        <f t="shared" si="987"/>
        <v>1.2649417454562339</v>
      </c>
      <c r="V126" s="163">
        <f t="shared" si="987"/>
        <v>2.363255603183446</v>
      </c>
      <c r="W126" s="163">
        <f t="shared" si="987"/>
        <v>2.9177537781180733</v>
      </c>
      <c r="X126" s="163">
        <f t="shared" si="987"/>
        <v>3.0717881547328005</v>
      </c>
      <c r="Y126" s="163">
        <f t="shared" si="987"/>
        <v>4.2281598662353455</v>
      </c>
      <c r="Z126" s="163">
        <f>+Z101/Z$123</f>
        <v>3.4589361584247778</v>
      </c>
      <c r="AA126" s="163">
        <f>+AA101/AA$123</f>
        <v>3.5657607510468154</v>
      </c>
      <c r="AB126" s="50">
        <f t="shared" ref="AA126:AE126" si="988">+AB101/AB$123</f>
        <v>4.0733263558878745</v>
      </c>
      <c r="AC126" s="50">
        <f t="shared" si="988"/>
        <v>3.4172906453386265</v>
      </c>
      <c r="AD126" s="50">
        <f t="shared" si="988"/>
        <v>2.9844201686503675</v>
      </c>
      <c r="AE126" s="50">
        <f t="shared" si="988"/>
        <v>2.6058152881595236</v>
      </c>
      <c r="AL126" s="163" t="e">
        <f t="shared" ref="AL126:BQ126" si="989">+AL101/AL123</f>
        <v>#DIV/0!</v>
      </c>
      <c r="AM126" s="163" t="e">
        <f t="shared" si="989"/>
        <v>#DIV/0!</v>
      </c>
      <c r="AN126" s="163" t="e">
        <f t="shared" si="989"/>
        <v>#DIV/0!</v>
      </c>
      <c r="AO126" s="163" t="e">
        <f t="shared" si="989"/>
        <v>#DIV/0!</v>
      </c>
      <c r="AP126" s="163" t="e">
        <f t="shared" si="989"/>
        <v>#DIV/0!</v>
      </c>
      <c r="AQ126" s="163" t="e">
        <f t="shared" si="989"/>
        <v>#DIV/0!</v>
      </c>
      <c r="AR126" s="163" t="e">
        <f t="shared" si="989"/>
        <v>#DIV/0!</v>
      </c>
      <c r="AS126" s="163" t="e">
        <f t="shared" si="989"/>
        <v>#DIV/0!</v>
      </c>
      <c r="AT126" s="163" t="e">
        <f t="shared" si="989"/>
        <v>#DIV/0!</v>
      </c>
      <c r="AU126" s="163" t="e">
        <f t="shared" si="989"/>
        <v>#DIV/0!</v>
      </c>
      <c r="AV126" s="163" t="e">
        <f t="shared" si="989"/>
        <v>#DIV/0!</v>
      </c>
      <c r="AW126" s="163" t="e">
        <f t="shared" si="989"/>
        <v>#DIV/0!</v>
      </c>
      <c r="AX126" s="163" t="e">
        <f t="shared" si="989"/>
        <v>#DIV/0!</v>
      </c>
      <c r="AY126" s="163" t="e">
        <f t="shared" si="989"/>
        <v>#DIV/0!</v>
      </c>
      <c r="AZ126" s="163" t="e">
        <f t="shared" si="989"/>
        <v>#DIV/0!</v>
      </c>
      <c r="BA126" s="163" t="e">
        <f t="shared" si="989"/>
        <v>#DIV/0!</v>
      </c>
      <c r="BB126" s="163" t="e">
        <f t="shared" si="989"/>
        <v>#DIV/0!</v>
      </c>
      <c r="BC126" s="163" t="e">
        <f t="shared" si="989"/>
        <v>#DIV/0!</v>
      </c>
      <c r="BD126" s="163" t="e">
        <f t="shared" si="989"/>
        <v>#DIV/0!</v>
      </c>
      <c r="BE126" s="163" t="e">
        <f t="shared" si="989"/>
        <v>#DIV/0!</v>
      </c>
      <c r="BF126" s="163">
        <f t="shared" si="989"/>
        <v>0</v>
      </c>
      <c r="BG126" s="163">
        <f t="shared" si="989"/>
        <v>0</v>
      </c>
      <c r="BH126" s="163">
        <f t="shared" si="989"/>
        <v>0</v>
      </c>
      <c r="BI126" s="163">
        <f t="shared" si="989"/>
        <v>0</v>
      </c>
      <c r="BJ126" s="163">
        <f t="shared" si="989"/>
        <v>0</v>
      </c>
      <c r="BK126" s="163">
        <f t="shared" si="989"/>
        <v>1.1321227243972729</v>
      </c>
      <c r="BL126" s="163">
        <f t="shared" si="989"/>
        <v>1.1839713672868644</v>
      </c>
      <c r="BM126" s="163">
        <f t="shared" si="989"/>
        <v>1.6289509622044089</v>
      </c>
      <c r="BN126" s="163">
        <f t="shared" si="989"/>
        <v>1.2647653017484235</v>
      </c>
      <c r="BO126" s="163">
        <f t="shared" si="989"/>
        <v>1.5131135374080902</v>
      </c>
      <c r="BP126" s="163">
        <f t="shared" si="989"/>
        <v>1.5980369912378276</v>
      </c>
      <c r="BQ126" s="163">
        <f t="shared" si="989"/>
        <v>1.957589664220353</v>
      </c>
      <c r="BR126" s="163">
        <f t="shared" ref="BR126:DB126" si="990">+BR101/BR123</f>
        <v>2.3663914776000707</v>
      </c>
      <c r="BS126" s="163">
        <f t="shared" si="990"/>
        <v>3.0809738536720528</v>
      </c>
      <c r="BT126" s="163">
        <f t="shared" si="990"/>
        <v>3.4133270839241221</v>
      </c>
      <c r="BU126" s="163">
        <f t="shared" si="990"/>
        <v>3.3182805336544829</v>
      </c>
      <c r="BV126" s="163">
        <f t="shared" si="990"/>
        <v>2.9173467876009709</v>
      </c>
      <c r="BW126" s="163">
        <f t="shared" si="990"/>
        <v>2.5301750465606276</v>
      </c>
      <c r="BX126" s="163">
        <f t="shared" si="990"/>
        <v>2.8728438031680668</v>
      </c>
      <c r="BY126" s="163">
        <f t="shared" si="990"/>
        <v>2.8133100842302854</v>
      </c>
      <c r="BZ126" s="163">
        <f t="shared" si="990"/>
        <v>3.0713596783277994</v>
      </c>
      <c r="CA126" s="163">
        <f t="shared" si="990"/>
        <v>3.5038270735435555</v>
      </c>
      <c r="CB126" s="163">
        <f t="shared" si="990"/>
        <v>4.9768961916251158</v>
      </c>
      <c r="CC126" s="163">
        <f t="shared" si="990"/>
        <v>4.92875546695144</v>
      </c>
      <c r="CD126" s="163">
        <f t="shared" si="990"/>
        <v>4.227570090297684</v>
      </c>
      <c r="CE126" s="163">
        <f t="shared" si="990"/>
        <v>5.3796162868899415</v>
      </c>
      <c r="CF126" s="163">
        <f t="shared" si="990"/>
        <v>5.2013674250519832</v>
      </c>
      <c r="CG126" s="163">
        <f t="shared" si="990"/>
        <v>5.2087421036326988</v>
      </c>
      <c r="CH126" s="163">
        <f t="shared" si="990"/>
        <v>3.4584536796678993</v>
      </c>
      <c r="CI126" s="163">
        <f t="shared" si="990"/>
        <v>4.1741085431862857</v>
      </c>
      <c r="CJ126" s="163">
        <f t="shared" si="990"/>
        <v>4.4601656931169922</v>
      </c>
      <c r="CK126" s="163">
        <f t="shared" ref="CK126:CL126" si="991">+CK101/CK123</f>
        <v>4.251949061646215</v>
      </c>
      <c r="CL126" s="163">
        <f t="shared" si="991"/>
        <v>3.5657607510468154</v>
      </c>
      <c r="CM126" s="50">
        <f t="shared" si="990"/>
        <v>4.7966233063249462</v>
      </c>
      <c r="CN126" s="50">
        <f t="shared" si="990"/>
        <v>4.5715543181313256</v>
      </c>
      <c r="CO126" s="50">
        <f t="shared" si="990"/>
        <v>4.3208114618822826</v>
      </c>
      <c r="CP126" s="50">
        <f t="shared" si="990"/>
        <v>4.0733263558878745</v>
      </c>
      <c r="CQ126" s="50">
        <f t="shared" si="990"/>
        <v>3.9078705195122279</v>
      </c>
      <c r="CR126" s="50">
        <f t="shared" si="990"/>
        <v>3.7498327063950465</v>
      </c>
      <c r="CS126" s="50">
        <f t="shared" si="990"/>
        <v>3.5831751203504001</v>
      </c>
      <c r="CT126" s="50">
        <f t="shared" si="990"/>
        <v>3.4172906453386265</v>
      </c>
      <c r="CU126" s="50">
        <f t="shared" si="990"/>
        <v>3.3171924441818486</v>
      </c>
      <c r="CV126" s="50">
        <f t="shared" si="990"/>
        <v>3.2158144228604582</v>
      </c>
      <c r="CW126" s="50">
        <f t="shared" si="990"/>
        <v>3.1031486082208435</v>
      </c>
      <c r="CX126" s="50">
        <f t="shared" si="990"/>
        <v>2.9844201686503675</v>
      </c>
      <c r="CY126" s="50">
        <f t="shared" si="990"/>
        <v>2.8968653898724823</v>
      </c>
      <c r="CZ126" s="50">
        <f t="shared" si="990"/>
        <v>2.8081949441089247</v>
      </c>
      <c r="DA126" s="50">
        <f t="shared" si="990"/>
        <v>2.7096340226117084</v>
      </c>
      <c r="DB126" s="50">
        <f t="shared" si="990"/>
        <v>2.6058152881595236</v>
      </c>
      <c r="DE126" s="106"/>
      <c r="DF126" s="163">
        <v>3.5549686779320755</v>
      </c>
    </row>
    <row r="127" spans="1:110" s="163" customFormat="1" x14ac:dyDescent="0.2">
      <c r="A127" s="163" t="s">
        <v>508</v>
      </c>
      <c r="E127" s="163" t="e">
        <f t="shared" si="987"/>
        <v>#DIV/0!</v>
      </c>
      <c r="F127" s="163" t="e">
        <f t="shared" si="987"/>
        <v>#DIV/0!</v>
      </c>
      <c r="G127" s="163" t="e">
        <f t="shared" si="987"/>
        <v>#DIV/0!</v>
      </c>
      <c r="H127" s="163" t="e">
        <f t="shared" si="987"/>
        <v>#DIV/0!</v>
      </c>
      <c r="I127" s="163">
        <f t="shared" si="987"/>
        <v>0</v>
      </c>
      <c r="J127" s="163">
        <f t="shared" si="987"/>
        <v>0</v>
      </c>
      <c r="K127" s="163">
        <f t="shared" si="987"/>
        <v>0</v>
      </c>
      <c r="L127" s="163" t="e">
        <f t="shared" si="987"/>
        <v>#DIV/0!</v>
      </c>
      <c r="M127" s="163">
        <f t="shared" si="987"/>
        <v>0</v>
      </c>
      <c r="N127" s="163">
        <f t="shared" si="987"/>
        <v>0</v>
      </c>
      <c r="O127" s="163">
        <f t="shared" si="987"/>
        <v>0</v>
      </c>
      <c r="P127" s="163">
        <f t="shared" si="987"/>
        <v>0</v>
      </c>
      <c r="Q127" s="163">
        <f t="shared" si="987"/>
        <v>0</v>
      </c>
      <c r="R127" s="163">
        <f t="shared" si="987"/>
        <v>0</v>
      </c>
      <c r="S127" s="163">
        <f t="shared" si="987"/>
        <v>0</v>
      </c>
      <c r="T127" s="163">
        <f t="shared" si="987"/>
        <v>0</v>
      </c>
      <c r="U127" s="163">
        <f t="shared" si="987"/>
        <v>2.0119035714225042</v>
      </c>
      <c r="V127" s="163">
        <f t="shared" si="987"/>
        <v>2.4725871035734488</v>
      </c>
      <c r="W127" s="163">
        <f t="shared" si="987"/>
        <v>3.4182432641052207</v>
      </c>
      <c r="X127" s="163">
        <f t="shared" si="987"/>
        <v>3.3529818941012537</v>
      </c>
      <c r="Y127" s="163">
        <f t="shared" si="987"/>
        <v>4.7761356608330052</v>
      </c>
      <c r="Z127" s="163">
        <f t="shared" ref="Z127:AA128" si="992">+Z102/Z$123</f>
        <v>5.1108891581887486</v>
      </c>
      <c r="AA127" s="163">
        <f t="shared" si="992"/>
        <v>4.5473932814984961</v>
      </c>
      <c r="AB127" s="94">
        <f t="shared" si="987"/>
        <v>4.9145294376660162</v>
      </c>
      <c r="AC127" s="94">
        <f t="shared" si="987"/>
        <v>4.7915848780529364</v>
      </c>
      <c r="AD127" s="94">
        <f t="shared" si="987"/>
        <v>4.8714318256005216</v>
      </c>
      <c r="AE127" s="94">
        <f t="shared" si="987"/>
        <v>4.8971849345536658</v>
      </c>
      <c r="AL127" s="163" t="e">
        <f t="shared" ref="AL127:BQ127" si="993">+AL102/AL123</f>
        <v>#DIV/0!</v>
      </c>
      <c r="AM127" s="163" t="e">
        <f t="shared" si="993"/>
        <v>#DIV/0!</v>
      </c>
      <c r="AN127" s="163" t="e">
        <f t="shared" si="993"/>
        <v>#DIV/0!</v>
      </c>
      <c r="AO127" s="163" t="e">
        <f t="shared" si="993"/>
        <v>#DIV/0!</v>
      </c>
      <c r="AP127" s="163" t="e">
        <f t="shared" si="993"/>
        <v>#DIV/0!</v>
      </c>
      <c r="AQ127" s="163" t="e">
        <f t="shared" si="993"/>
        <v>#DIV/0!</v>
      </c>
      <c r="AR127" s="163" t="e">
        <f t="shared" si="993"/>
        <v>#DIV/0!</v>
      </c>
      <c r="AS127" s="163" t="e">
        <f t="shared" si="993"/>
        <v>#DIV/0!</v>
      </c>
      <c r="AT127" s="163" t="e">
        <f t="shared" si="993"/>
        <v>#DIV/0!</v>
      </c>
      <c r="AU127" s="163" t="e">
        <f t="shared" si="993"/>
        <v>#DIV/0!</v>
      </c>
      <c r="AV127" s="163" t="e">
        <f t="shared" si="993"/>
        <v>#DIV/0!</v>
      </c>
      <c r="AW127" s="163" t="e">
        <f t="shared" si="993"/>
        <v>#DIV/0!</v>
      </c>
      <c r="AX127" s="163" t="e">
        <f t="shared" si="993"/>
        <v>#DIV/0!</v>
      </c>
      <c r="AY127" s="163" t="e">
        <f t="shared" si="993"/>
        <v>#DIV/0!</v>
      </c>
      <c r="AZ127" s="163" t="e">
        <f t="shared" si="993"/>
        <v>#DIV/0!</v>
      </c>
      <c r="BA127" s="163" t="e">
        <f t="shared" si="993"/>
        <v>#DIV/0!</v>
      </c>
      <c r="BB127" s="163" t="e">
        <f t="shared" si="993"/>
        <v>#DIV/0!</v>
      </c>
      <c r="BC127" s="163" t="e">
        <f t="shared" si="993"/>
        <v>#DIV/0!</v>
      </c>
      <c r="BD127" s="163" t="e">
        <f t="shared" si="993"/>
        <v>#DIV/0!</v>
      </c>
      <c r="BE127" s="163" t="e">
        <f t="shared" si="993"/>
        <v>#DIV/0!</v>
      </c>
      <c r="BF127" s="163">
        <f t="shared" si="993"/>
        <v>0</v>
      </c>
      <c r="BG127" s="163">
        <f t="shared" si="993"/>
        <v>0</v>
      </c>
      <c r="BH127" s="163">
        <f t="shared" si="993"/>
        <v>0</v>
      </c>
      <c r="BI127" s="163">
        <f t="shared" si="993"/>
        <v>0</v>
      </c>
      <c r="BJ127" s="163">
        <f t="shared" si="993"/>
        <v>0</v>
      </c>
      <c r="BK127" s="163">
        <f t="shared" si="993"/>
        <v>1.2362867713890298</v>
      </c>
      <c r="BL127" s="163">
        <f t="shared" si="993"/>
        <v>1.2293120003022433</v>
      </c>
      <c r="BM127" s="163">
        <f t="shared" si="993"/>
        <v>1.7917310775159514</v>
      </c>
      <c r="BN127" s="163">
        <f t="shared" si="993"/>
        <v>2.0116229357907263</v>
      </c>
      <c r="BO127" s="163">
        <f t="shared" si="993"/>
        <v>1.6079705790769103</v>
      </c>
      <c r="BP127" s="163">
        <f t="shared" si="993"/>
        <v>1.8311286967133928</v>
      </c>
      <c r="BQ127" s="163">
        <f t="shared" si="993"/>
        <v>2.0657724995662821</v>
      </c>
      <c r="BR127" s="163">
        <f t="shared" ref="BR127:CJ127" si="994">+BR102/BR123</f>
        <v>2.4758680532221149</v>
      </c>
      <c r="BS127" s="163">
        <f t="shared" si="994"/>
        <v>3.1359147052425294</v>
      </c>
      <c r="BT127" s="163">
        <f t="shared" si="994"/>
        <v>3.7451079835736678</v>
      </c>
      <c r="BU127" s="163">
        <f t="shared" si="994"/>
        <v>3.5656279593290221</v>
      </c>
      <c r="BV127" s="163">
        <f t="shared" si="994"/>
        <v>3.4177664615031391</v>
      </c>
      <c r="BW127" s="163">
        <f t="shared" si="994"/>
        <v>3.2441666545663805</v>
      </c>
      <c r="BX127" s="163">
        <f t="shared" si="994"/>
        <v>3.0519300243466265</v>
      </c>
      <c r="BY127" s="163">
        <f t="shared" si="994"/>
        <v>3.3106778723606283</v>
      </c>
      <c r="BZ127" s="163">
        <f t="shared" si="994"/>
        <v>3.3525141946520569</v>
      </c>
      <c r="CA127" s="163">
        <f t="shared" si="994"/>
        <v>3.5855499943219811</v>
      </c>
      <c r="CB127" s="163">
        <f t="shared" si="994"/>
        <v>5.0327414746070556</v>
      </c>
      <c r="CC127" s="163">
        <f t="shared" si="994"/>
        <v>5.136582928026149</v>
      </c>
      <c r="CD127" s="163">
        <f t="shared" si="994"/>
        <v>4.6158393130076529</v>
      </c>
      <c r="CE127" s="163">
        <f t="shared" si="994"/>
        <v>5.8540933480163408</v>
      </c>
      <c r="CF127" s="163">
        <f t="shared" si="994"/>
        <v>5.3225911998409448</v>
      </c>
      <c r="CG127" s="163">
        <f t="shared" si="994"/>
        <v>5.4491384221588905</v>
      </c>
      <c r="CH127" s="163">
        <f t="shared" si="994"/>
        <v>5.004239759146528</v>
      </c>
      <c r="CI127" s="163">
        <f t="shared" si="994"/>
        <v>4.1962581880559497</v>
      </c>
      <c r="CJ127" s="163">
        <f t="shared" si="994"/>
        <v>4.7195762179271306</v>
      </c>
      <c r="CK127" s="163">
        <f t="shared" ref="CK127:CL127" si="995">+CK102/CK123</f>
        <v>4.4035177005184165</v>
      </c>
      <c r="CL127" s="163">
        <f t="shared" si="995"/>
        <v>4.5473932814984961</v>
      </c>
      <c r="CM127" s="94">
        <f t="shared" ref="CM127:DB127" si="996">+CL127</f>
        <v>4.5473932814984961</v>
      </c>
      <c r="CN127" s="94">
        <f t="shared" si="996"/>
        <v>4.5473932814984961</v>
      </c>
      <c r="CO127" s="94">
        <f t="shared" si="996"/>
        <v>4.5473932814984961</v>
      </c>
      <c r="CP127" s="94">
        <f t="shared" si="996"/>
        <v>4.5473932814984961</v>
      </c>
      <c r="CQ127" s="94">
        <f t="shared" si="996"/>
        <v>4.5473932814984961</v>
      </c>
      <c r="CR127" s="94">
        <f t="shared" si="996"/>
        <v>4.5473932814984961</v>
      </c>
      <c r="CS127" s="94">
        <f t="shared" si="996"/>
        <v>4.5473932814984961</v>
      </c>
      <c r="CT127" s="94">
        <f t="shared" si="996"/>
        <v>4.5473932814984961</v>
      </c>
      <c r="CU127" s="94">
        <f t="shared" si="996"/>
        <v>4.5473932814984961</v>
      </c>
      <c r="CV127" s="94">
        <f t="shared" si="996"/>
        <v>4.5473932814984961</v>
      </c>
      <c r="CW127" s="94">
        <f t="shared" si="996"/>
        <v>4.5473932814984961</v>
      </c>
      <c r="CX127" s="94">
        <f t="shared" si="996"/>
        <v>4.5473932814984961</v>
      </c>
      <c r="CY127" s="94">
        <f t="shared" si="996"/>
        <v>4.5473932814984961</v>
      </c>
      <c r="CZ127" s="94">
        <f t="shared" si="996"/>
        <v>4.5473932814984961</v>
      </c>
      <c r="DA127" s="94">
        <f t="shared" si="996"/>
        <v>4.5473932814984961</v>
      </c>
      <c r="DB127" s="94">
        <f t="shared" si="996"/>
        <v>4.5473932814984961</v>
      </c>
      <c r="DE127" s="164"/>
      <c r="DF127" s="163">
        <v>4.5336302154372072</v>
      </c>
    </row>
    <row r="128" spans="1:110" s="163" customFormat="1" x14ac:dyDescent="0.2">
      <c r="A128" s="163" t="s">
        <v>509</v>
      </c>
      <c r="E128" s="163" t="e">
        <f t="shared" si="987"/>
        <v>#DIV/0!</v>
      </c>
      <c r="F128" s="163" t="e">
        <f t="shared" si="987"/>
        <v>#DIV/0!</v>
      </c>
      <c r="G128" s="163" t="e">
        <f t="shared" si="987"/>
        <v>#DIV/0!</v>
      </c>
      <c r="H128" s="163" t="e">
        <f t="shared" si="987"/>
        <v>#DIV/0!</v>
      </c>
      <c r="I128" s="163">
        <f t="shared" si="987"/>
        <v>0</v>
      </c>
      <c r="J128" s="163">
        <f t="shared" si="987"/>
        <v>0</v>
      </c>
      <c r="K128" s="163">
        <f t="shared" si="987"/>
        <v>0</v>
      </c>
      <c r="L128" s="163" t="e">
        <f t="shared" si="987"/>
        <v>#DIV/0!</v>
      </c>
      <c r="M128" s="163">
        <f t="shared" si="987"/>
        <v>0</v>
      </c>
      <c r="N128" s="163">
        <f t="shared" si="987"/>
        <v>0</v>
      </c>
      <c r="O128" s="163">
        <f t="shared" si="987"/>
        <v>0</v>
      </c>
      <c r="P128" s="163">
        <f t="shared" si="987"/>
        <v>0</v>
      </c>
      <c r="Q128" s="163">
        <f t="shared" si="987"/>
        <v>0</v>
      </c>
      <c r="R128" s="163">
        <f t="shared" si="987"/>
        <v>0</v>
      </c>
      <c r="S128" s="163">
        <f t="shared" si="987"/>
        <v>0</v>
      </c>
      <c r="T128" s="163">
        <f t="shared" si="987"/>
        <v>0</v>
      </c>
      <c r="U128" s="163">
        <f t="shared" si="987"/>
        <v>0.8952118391316829</v>
      </c>
      <c r="V128" s="163">
        <f t="shared" si="987"/>
        <v>1.0686576255818487</v>
      </c>
      <c r="W128" s="163">
        <f t="shared" si="987"/>
        <v>1.6312478366300354</v>
      </c>
      <c r="X128" s="163">
        <f t="shared" si="987"/>
        <v>2.1823195332390402</v>
      </c>
      <c r="Y128" s="163">
        <f t="shared" si="987"/>
        <v>2.4036324794710966</v>
      </c>
      <c r="Z128" s="163">
        <f t="shared" si="992"/>
        <v>3.0619380180471416</v>
      </c>
      <c r="AA128" s="163">
        <f t="shared" si="992"/>
        <v>2.3843928700566739</v>
      </c>
      <c r="AB128" s="94">
        <f t="shared" si="987"/>
        <v>2.8292416778931875</v>
      </c>
      <c r="AC128" s="94">
        <f t="shared" si="987"/>
        <v>2.8778525975651106</v>
      </c>
      <c r="AD128" s="94">
        <f t="shared" si="987"/>
        <v>2.897595814594851</v>
      </c>
      <c r="AE128" s="94">
        <f t="shared" si="987"/>
        <v>2.9500636619627145</v>
      </c>
      <c r="AL128" s="163" t="e">
        <f t="shared" ref="AL128:BQ128" si="997">+AL103/AL123</f>
        <v>#DIV/0!</v>
      </c>
      <c r="AM128" s="163" t="e">
        <f t="shared" si="997"/>
        <v>#DIV/0!</v>
      </c>
      <c r="AN128" s="163" t="e">
        <f t="shared" si="997"/>
        <v>#DIV/0!</v>
      </c>
      <c r="AO128" s="163" t="e">
        <f t="shared" si="997"/>
        <v>#DIV/0!</v>
      </c>
      <c r="AP128" s="163" t="e">
        <f t="shared" si="997"/>
        <v>#DIV/0!</v>
      </c>
      <c r="AQ128" s="163" t="e">
        <f t="shared" si="997"/>
        <v>#DIV/0!</v>
      </c>
      <c r="AR128" s="163" t="e">
        <f t="shared" si="997"/>
        <v>#DIV/0!</v>
      </c>
      <c r="AS128" s="163" t="e">
        <f t="shared" si="997"/>
        <v>#DIV/0!</v>
      </c>
      <c r="AT128" s="163" t="e">
        <f t="shared" si="997"/>
        <v>#DIV/0!</v>
      </c>
      <c r="AU128" s="163" t="e">
        <f t="shared" si="997"/>
        <v>#DIV/0!</v>
      </c>
      <c r="AV128" s="163" t="e">
        <f t="shared" si="997"/>
        <v>#DIV/0!</v>
      </c>
      <c r="AW128" s="163" t="e">
        <f t="shared" si="997"/>
        <v>#DIV/0!</v>
      </c>
      <c r="AX128" s="163" t="e">
        <f t="shared" si="997"/>
        <v>#DIV/0!</v>
      </c>
      <c r="AY128" s="163" t="e">
        <f t="shared" si="997"/>
        <v>#DIV/0!</v>
      </c>
      <c r="AZ128" s="163" t="e">
        <f t="shared" si="997"/>
        <v>#DIV/0!</v>
      </c>
      <c r="BA128" s="163" t="e">
        <f t="shared" si="997"/>
        <v>#DIV/0!</v>
      </c>
      <c r="BB128" s="163" t="e">
        <f t="shared" si="997"/>
        <v>#DIV/0!</v>
      </c>
      <c r="BC128" s="163" t="e">
        <f t="shared" si="997"/>
        <v>#DIV/0!</v>
      </c>
      <c r="BD128" s="163" t="e">
        <f t="shared" si="997"/>
        <v>#DIV/0!</v>
      </c>
      <c r="BE128" s="163" t="e">
        <f t="shared" si="997"/>
        <v>#DIV/0!</v>
      </c>
      <c r="BF128" s="163">
        <f t="shared" si="997"/>
        <v>0</v>
      </c>
      <c r="BG128" s="163">
        <f t="shared" si="997"/>
        <v>0</v>
      </c>
      <c r="BH128" s="163">
        <f t="shared" si="997"/>
        <v>0</v>
      </c>
      <c r="BI128" s="163">
        <f t="shared" si="997"/>
        <v>0</v>
      </c>
      <c r="BJ128" s="163">
        <f t="shared" si="997"/>
        <v>0</v>
      </c>
      <c r="BK128" s="163">
        <f t="shared" si="997"/>
        <v>1.0544101429288169</v>
      </c>
      <c r="BL128" s="163">
        <f t="shared" si="997"/>
        <v>0.91036708851719716</v>
      </c>
      <c r="BM128" s="163">
        <f t="shared" si="997"/>
        <v>1.077535374817074</v>
      </c>
      <c r="BN128" s="163">
        <f t="shared" si="997"/>
        <v>0.97461426473860868</v>
      </c>
      <c r="BO128" s="163">
        <f t="shared" si="997"/>
        <v>1.195965246575974</v>
      </c>
      <c r="BP128" s="163">
        <f t="shared" si="997"/>
        <v>1.5429053968796287</v>
      </c>
      <c r="BQ128" s="163">
        <f t="shared" si="997"/>
        <v>1.5136148665867104</v>
      </c>
      <c r="BR128" s="163">
        <f t="shared" ref="BR128:CJ128" si="998">+BR103/BR123</f>
        <v>1.7667136025208223</v>
      </c>
      <c r="BS128" s="163">
        <f t="shared" si="998"/>
        <v>2.0609443413231592</v>
      </c>
      <c r="BT128" s="163">
        <f t="shared" si="998"/>
        <v>2.5127891185025226</v>
      </c>
      <c r="BU128" s="163">
        <f t="shared" si="998"/>
        <v>2.8593443218461561</v>
      </c>
      <c r="BV128" s="163">
        <f t="shared" si="998"/>
        <v>2.6289609858796812</v>
      </c>
      <c r="BW128" s="163">
        <f t="shared" si="998"/>
        <v>2.3525543194582537</v>
      </c>
      <c r="BX128" s="163">
        <f t="shared" si="998"/>
        <v>2.3627483270502569</v>
      </c>
      <c r="BY128" s="163">
        <f t="shared" si="998"/>
        <v>2.7362615810189834</v>
      </c>
      <c r="BZ128" s="163">
        <f t="shared" si="998"/>
        <v>2.7174357577784405</v>
      </c>
      <c r="CA128" s="163">
        <f t="shared" si="998"/>
        <v>2.8409195429564611</v>
      </c>
      <c r="CB128" s="163">
        <f t="shared" si="998"/>
        <v>3.2556215053912618</v>
      </c>
      <c r="CC128" s="163">
        <f t="shared" si="998"/>
        <v>4.3181977887131717</v>
      </c>
      <c r="CD128" s="163">
        <f t="shared" si="998"/>
        <v>3.1812124891432356</v>
      </c>
      <c r="CE128" s="163">
        <f t="shared" si="998"/>
        <v>3.9940809738195258</v>
      </c>
      <c r="CF128" s="163">
        <f t="shared" si="998"/>
        <v>4.439437487089406</v>
      </c>
      <c r="CG128" s="163">
        <f t="shared" si="998"/>
        <v>4.4833268718940964</v>
      </c>
      <c r="CH128" s="163">
        <f t="shared" si="998"/>
        <v>3.0615109156142193</v>
      </c>
      <c r="CI128" s="163">
        <f t="shared" si="998"/>
        <v>2.9158174946336763</v>
      </c>
      <c r="CJ128" s="163">
        <f t="shared" si="998"/>
        <v>4.0180018765566912</v>
      </c>
      <c r="CK128" s="163">
        <f t="shared" ref="CK128:CL128" si="999">+CK103/CK123</f>
        <v>3.8633000913567739</v>
      </c>
      <c r="CL128" s="163">
        <f t="shared" si="999"/>
        <v>3.4716526676968176</v>
      </c>
      <c r="CM128" s="94">
        <f t="shared" ref="CM128:DB128" si="1000">+CL128</f>
        <v>3.4716526676968176</v>
      </c>
      <c r="CN128" s="94">
        <f t="shared" si="1000"/>
        <v>3.4716526676968176</v>
      </c>
      <c r="CO128" s="94">
        <f t="shared" si="1000"/>
        <v>3.4716526676968176</v>
      </c>
      <c r="CP128" s="94">
        <f t="shared" si="1000"/>
        <v>3.4716526676968176</v>
      </c>
      <c r="CQ128" s="94">
        <f t="shared" si="1000"/>
        <v>3.4716526676968176</v>
      </c>
      <c r="CR128" s="94">
        <f t="shared" si="1000"/>
        <v>3.4716526676968176</v>
      </c>
      <c r="CS128" s="94">
        <f t="shared" si="1000"/>
        <v>3.4716526676968176</v>
      </c>
      <c r="CT128" s="94">
        <f t="shared" si="1000"/>
        <v>3.4716526676968176</v>
      </c>
      <c r="CU128" s="94">
        <f t="shared" si="1000"/>
        <v>3.4716526676968176</v>
      </c>
      <c r="CV128" s="94">
        <f t="shared" si="1000"/>
        <v>3.4716526676968176</v>
      </c>
      <c r="CW128" s="94">
        <f t="shared" si="1000"/>
        <v>3.4716526676968176</v>
      </c>
      <c r="CX128" s="94">
        <f t="shared" si="1000"/>
        <v>3.4716526676968176</v>
      </c>
      <c r="CY128" s="94">
        <f t="shared" si="1000"/>
        <v>3.4716526676968176</v>
      </c>
      <c r="CZ128" s="94">
        <f t="shared" si="1000"/>
        <v>3.4716526676968176</v>
      </c>
      <c r="DA128" s="94">
        <f t="shared" si="1000"/>
        <v>3.4716526676968176</v>
      </c>
      <c r="DB128" s="94">
        <f t="shared" si="1000"/>
        <v>3.4716526676968176</v>
      </c>
      <c r="DE128" s="164"/>
      <c r="DF128" s="163">
        <v>3.4611454205665195</v>
      </c>
    </row>
    <row r="129" spans="1:110" s="4" customFormat="1" x14ac:dyDescent="0.2">
      <c r="A129" s="3"/>
      <c r="AB129" s="17"/>
      <c r="AC129" s="17"/>
      <c r="AD129" s="17"/>
      <c r="AE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E129" s="119"/>
    </row>
    <row r="130" spans="1:110" s="4" customFormat="1" x14ac:dyDescent="0.2">
      <c r="A130" s="3"/>
      <c r="AB130" s="17"/>
      <c r="AC130" s="17"/>
      <c r="AD130" s="17"/>
      <c r="AE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E130" s="119"/>
    </row>
    <row r="131" spans="1:110" s="162" customFormat="1" x14ac:dyDescent="0.2">
      <c r="A131" s="49" t="s">
        <v>340</v>
      </c>
      <c r="B131" s="162" t="e">
        <f t="shared" ref="B131:AE131" si="1001">+B102*B89</f>
        <v>#DIV/0!</v>
      </c>
      <c r="C131" s="162" t="e">
        <f t="shared" si="1001"/>
        <v>#DIV/0!</v>
      </c>
      <c r="D131" s="162" t="e">
        <f t="shared" si="1001"/>
        <v>#DIV/0!</v>
      </c>
      <c r="E131" s="162">
        <f t="shared" si="1001"/>
        <v>0</v>
      </c>
      <c r="F131" s="162">
        <f t="shared" si="1001"/>
        <v>0</v>
      </c>
      <c r="G131" s="162">
        <f t="shared" si="1001"/>
        <v>0</v>
      </c>
      <c r="H131" s="162">
        <f t="shared" si="1001"/>
        <v>0</v>
      </c>
      <c r="I131" s="162">
        <f t="shared" si="1001"/>
        <v>0</v>
      </c>
      <c r="J131" s="162">
        <f t="shared" si="1001"/>
        <v>0</v>
      </c>
      <c r="K131" s="162">
        <f t="shared" si="1001"/>
        <v>0</v>
      </c>
      <c r="L131" s="162">
        <f t="shared" si="1001"/>
        <v>0</v>
      </c>
      <c r="M131" s="162">
        <f t="shared" si="1001"/>
        <v>0</v>
      </c>
      <c r="N131" s="162">
        <f t="shared" si="1001"/>
        <v>0</v>
      </c>
      <c r="O131" s="162">
        <f t="shared" si="1001"/>
        <v>0</v>
      </c>
      <c r="P131" s="162">
        <f t="shared" si="1001"/>
        <v>0</v>
      </c>
      <c r="Q131" s="162">
        <f t="shared" si="1001"/>
        <v>0</v>
      </c>
      <c r="R131" s="162">
        <f t="shared" si="1001"/>
        <v>0</v>
      </c>
      <c r="S131" s="162">
        <f t="shared" si="1001"/>
        <v>0</v>
      </c>
      <c r="T131" s="162">
        <f t="shared" si="1001"/>
        <v>0</v>
      </c>
      <c r="U131" s="162">
        <f t="shared" si="1001"/>
        <v>17765.018</v>
      </c>
      <c r="V131" s="162">
        <f t="shared" si="1001"/>
        <v>21739.564399999999</v>
      </c>
      <c r="W131" s="162">
        <f t="shared" si="1001"/>
        <v>41715.423834999994</v>
      </c>
      <c r="X131" s="162">
        <f t="shared" si="1001"/>
        <v>47303.124199999998</v>
      </c>
      <c r="Y131" s="162">
        <f t="shared" si="1001"/>
        <v>86158.831789999997</v>
      </c>
      <c r="Z131" s="162">
        <f t="shared" si="1001"/>
        <v>114526.40396499999</v>
      </c>
      <c r="AA131" s="162">
        <f t="shared" ref="AA131" si="1002">+AA102*AA89</f>
        <v>131345.96168499999</v>
      </c>
      <c r="AB131" s="21">
        <f t="shared" si="1001"/>
        <v>175466.21360460142</v>
      </c>
      <c r="AC131" s="21">
        <f t="shared" si="1001"/>
        <v>203919.16253805207</v>
      </c>
      <c r="AD131" s="21">
        <f t="shared" si="1001"/>
        <v>237387.27425300379</v>
      </c>
      <c r="AE131" s="21">
        <f t="shared" si="1001"/>
        <v>273315.11381078407</v>
      </c>
      <c r="AL131" s="162">
        <f t="shared" ref="AL131:BQ131" si="1003">+AL102*AL89</f>
        <v>0</v>
      </c>
      <c r="AM131" s="162">
        <f t="shared" si="1003"/>
        <v>0</v>
      </c>
      <c r="AN131" s="162">
        <f t="shared" si="1003"/>
        <v>0</v>
      </c>
      <c r="AO131" s="162">
        <f t="shared" si="1003"/>
        <v>0</v>
      </c>
      <c r="AP131" s="162">
        <f t="shared" si="1003"/>
        <v>0</v>
      </c>
      <c r="AQ131" s="162">
        <f t="shared" si="1003"/>
        <v>0</v>
      </c>
      <c r="AR131" s="162">
        <f t="shared" si="1003"/>
        <v>0</v>
      </c>
      <c r="AS131" s="162">
        <f t="shared" si="1003"/>
        <v>0</v>
      </c>
      <c r="AT131" s="162">
        <f t="shared" si="1003"/>
        <v>0</v>
      </c>
      <c r="AU131" s="162">
        <f t="shared" si="1003"/>
        <v>0</v>
      </c>
      <c r="AV131" s="162">
        <f t="shared" si="1003"/>
        <v>0</v>
      </c>
      <c r="AW131" s="162">
        <f t="shared" si="1003"/>
        <v>0</v>
      </c>
      <c r="AX131" s="162">
        <f t="shared" si="1003"/>
        <v>0</v>
      </c>
      <c r="AY131" s="162">
        <f t="shared" si="1003"/>
        <v>0</v>
      </c>
      <c r="AZ131" s="162">
        <f t="shared" si="1003"/>
        <v>0</v>
      </c>
      <c r="BA131" s="162">
        <f t="shared" si="1003"/>
        <v>0</v>
      </c>
      <c r="BB131" s="162">
        <f t="shared" si="1003"/>
        <v>0</v>
      </c>
      <c r="BC131" s="162">
        <f t="shared" si="1003"/>
        <v>0</v>
      </c>
      <c r="BD131" s="162">
        <f t="shared" si="1003"/>
        <v>0</v>
      </c>
      <c r="BE131" s="162">
        <f t="shared" si="1003"/>
        <v>0</v>
      </c>
      <c r="BF131" s="162">
        <f t="shared" si="1003"/>
        <v>0</v>
      </c>
      <c r="BG131" s="162">
        <f t="shared" si="1003"/>
        <v>0</v>
      </c>
      <c r="BH131" s="162">
        <f t="shared" si="1003"/>
        <v>0</v>
      </c>
      <c r="BI131" s="162">
        <f t="shared" si="1003"/>
        <v>0</v>
      </c>
      <c r="BJ131" s="162">
        <f t="shared" si="1003"/>
        <v>0</v>
      </c>
      <c r="BK131" s="162">
        <f t="shared" si="1003"/>
        <v>10201.418100000001</v>
      </c>
      <c r="BL131" s="162">
        <f t="shared" si="1003"/>
        <v>10672.577000000001</v>
      </c>
      <c r="BM131" s="162">
        <f t="shared" si="1003"/>
        <v>16419.812399999999</v>
      </c>
      <c r="BN131" s="162">
        <f t="shared" si="1003"/>
        <v>17762.54</v>
      </c>
      <c r="BO131" s="162">
        <f t="shared" si="1003"/>
        <v>12630.972300000001</v>
      </c>
      <c r="BP131" s="162">
        <f t="shared" si="1003"/>
        <v>14149.067350000001</v>
      </c>
      <c r="BQ131" s="162">
        <f t="shared" si="1003"/>
        <v>16455.939600000002</v>
      </c>
      <c r="BR131" s="162">
        <f t="shared" ref="BR131:CJ131" si="1004">+BR102*BR89</f>
        <v>21736.532000000003</v>
      </c>
      <c r="BS131" s="162">
        <f t="shared" si="1004"/>
        <v>30286.636000000002</v>
      </c>
      <c r="BT131" s="162">
        <f t="shared" si="1004"/>
        <v>39514.125</v>
      </c>
      <c r="BU131" s="162">
        <f t="shared" si="1004"/>
        <v>39851.3122</v>
      </c>
      <c r="BV131" s="162">
        <f t="shared" si="1004"/>
        <v>41709.605049999998</v>
      </c>
      <c r="BW131" s="162">
        <f t="shared" si="1004"/>
        <v>42450.212650000009</v>
      </c>
      <c r="BX131" s="162">
        <f t="shared" si="1004"/>
        <v>40929.107000000004</v>
      </c>
      <c r="BY131" s="162">
        <f t="shared" si="1004"/>
        <v>45535.325000000004</v>
      </c>
      <c r="BZ131" s="162">
        <f t="shared" si="1004"/>
        <v>47296.526000000005</v>
      </c>
      <c r="CA131" s="162">
        <f t="shared" si="1004"/>
        <v>54717.655000000006</v>
      </c>
      <c r="CB131" s="162">
        <f t="shared" si="1004"/>
        <v>81258.351949999997</v>
      </c>
      <c r="CC131" s="162">
        <f t="shared" si="1004"/>
        <v>86146.813699999999</v>
      </c>
      <c r="CD131" s="162">
        <f t="shared" si="1004"/>
        <v>83267.174800000008</v>
      </c>
      <c r="CE131" s="162">
        <f t="shared" si="1004"/>
        <v>110338.49</v>
      </c>
      <c r="CF131" s="162">
        <f t="shared" si="1004"/>
        <v>107137.46955000001</v>
      </c>
      <c r="CG131" s="162">
        <f t="shared" si="1004"/>
        <v>114510.42895</v>
      </c>
      <c r="CH131" s="162">
        <f t="shared" si="1004"/>
        <v>112136.57085</v>
      </c>
      <c r="CI131" s="162">
        <f t="shared" si="1004"/>
        <v>99099.920199999993</v>
      </c>
      <c r="CJ131" s="162">
        <f t="shared" si="1004"/>
        <v>116078.1989</v>
      </c>
      <c r="CK131" s="162">
        <f t="shared" ref="CK131:CL131" si="1005">+CK102*CK89</f>
        <v>118917.49310000001</v>
      </c>
      <c r="CL131" s="162">
        <f t="shared" si="1005"/>
        <v>131345.96168499999</v>
      </c>
      <c r="CM131" s="21">
        <f t="shared" ref="CM131:DB131" si="1006">+CM102*CM89</f>
        <v>150155.96045709227</v>
      </c>
      <c r="CN131" s="21">
        <f t="shared" si="1006"/>
        <v>152243.3938799474</v>
      </c>
      <c r="CO131" s="21">
        <f t="shared" si="1006"/>
        <v>164027.02637190931</v>
      </c>
      <c r="CP131" s="21">
        <f t="shared" si="1006"/>
        <v>175466.21360460142</v>
      </c>
      <c r="CQ131" s="21">
        <f t="shared" si="1006"/>
        <v>182057.41185308006</v>
      </c>
      <c r="CR131" s="21">
        <f t="shared" si="1006"/>
        <v>187635.17395019505</v>
      </c>
      <c r="CS131" s="21">
        <f t="shared" si="1006"/>
        <v>195673.24488828913</v>
      </c>
      <c r="CT131" s="21">
        <f t="shared" si="1006"/>
        <v>203919.16253805207</v>
      </c>
      <c r="CU131" s="21">
        <f t="shared" si="1006"/>
        <v>209893.78333664109</v>
      </c>
      <c r="CV131" s="21">
        <f t="shared" si="1006"/>
        <v>216936.12953056509</v>
      </c>
      <c r="CW131" s="21">
        <f t="shared" si="1006"/>
        <v>226206.50830237166</v>
      </c>
      <c r="CX131" s="21">
        <f t="shared" si="1006"/>
        <v>237387.27425300379</v>
      </c>
      <c r="CY131" s="21">
        <f t="shared" si="1006"/>
        <v>244742.55905900875</v>
      </c>
      <c r="CZ131" s="21">
        <f t="shared" si="1006"/>
        <v>252822.33888508767</v>
      </c>
      <c r="DA131" s="21">
        <f t="shared" si="1006"/>
        <v>262520.02055300894</v>
      </c>
      <c r="DB131" s="21">
        <f t="shared" si="1006"/>
        <v>273315.11381078407</v>
      </c>
      <c r="DE131" s="22"/>
      <c r="DF131" s="162">
        <v>131334.62003000002</v>
      </c>
    </row>
    <row r="132" spans="1:110" s="162" customFormat="1" x14ac:dyDescent="0.2">
      <c r="A132" s="49" t="s">
        <v>341</v>
      </c>
      <c r="B132" s="162" t="e">
        <f t="shared" ref="B132:AE132" si="1007">+B103*B89</f>
        <v>#DIV/0!</v>
      </c>
      <c r="C132" s="162" t="e">
        <f t="shared" si="1007"/>
        <v>#DIV/0!</v>
      </c>
      <c r="D132" s="162" t="e">
        <f t="shared" si="1007"/>
        <v>#DIV/0!</v>
      </c>
      <c r="E132" s="162">
        <f t="shared" si="1007"/>
        <v>0</v>
      </c>
      <c r="F132" s="162">
        <f t="shared" si="1007"/>
        <v>0</v>
      </c>
      <c r="G132" s="162">
        <f t="shared" si="1007"/>
        <v>0</v>
      </c>
      <c r="H132" s="162">
        <f t="shared" si="1007"/>
        <v>0</v>
      </c>
      <c r="I132" s="162">
        <f t="shared" si="1007"/>
        <v>0</v>
      </c>
      <c r="J132" s="162">
        <f t="shared" si="1007"/>
        <v>0</v>
      </c>
      <c r="K132" s="162">
        <f t="shared" si="1007"/>
        <v>0</v>
      </c>
      <c r="L132" s="162">
        <f t="shared" si="1007"/>
        <v>0</v>
      </c>
      <c r="M132" s="162">
        <f t="shared" si="1007"/>
        <v>0</v>
      </c>
      <c r="N132" s="162">
        <f t="shared" si="1007"/>
        <v>0</v>
      </c>
      <c r="O132" s="162">
        <f t="shared" si="1007"/>
        <v>0</v>
      </c>
      <c r="P132" s="162">
        <f t="shared" si="1007"/>
        <v>0</v>
      </c>
      <c r="Q132" s="162">
        <f t="shared" si="1007"/>
        <v>0</v>
      </c>
      <c r="R132" s="162">
        <f t="shared" si="1007"/>
        <v>0</v>
      </c>
      <c r="S132" s="162">
        <f t="shared" si="1007"/>
        <v>0</v>
      </c>
      <c r="T132" s="162">
        <f t="shared" si="1007"/>
        <v>0</v>
      </c>
      <c r="U132" s="162">
        <f t="shared" si="1007"/>
        <v>7904.6802549999993</v>
      </c>
      <c r="V132" s="162">
        <f t="shared" si="1007"/>
        <v>9395.8879099999995</v>
      </c>
      <c r="W132" s="162">
        <f t="shared" si="1007"/>
        <v>19907.35873</v>
      </c>
      <c r="X132" s="162">
        <f t="shared" si="1007"/>
        <v>30787.679499999998</v>
      </c>
      <c r="Y132" s="162">
        <f t="shared" si="1007"/>
        <v>43360.193509999997</v>
      </c>
      <c r="Z132" s="162">
        <f t="shared" si="1007"/>
        <v>68612.865494999991</v>
      </c>
      <c r="AA132" s="162">
        <f t="shared" ref="AA132" si="1008">+AA103*AA89</f>
        <v>68870.307704999999</v>
      </c>
      <c r="AB132" s="21">
        <f t="shared" si="1007"/>
        <v>101014.00976204388</v>
      </c>
      <c r="AC132" s="21">
        <f t="shared" si="1007"/>
        <v>122474.98615570841</v>
      </c>
      <c r="AD132" s="21">
        <f t="shared" si="1007"/>
        <v>141201.27242646762</v>
      </c>
      <c r="AE132" s="21">
        <f t="shared" si="1007"/>
        <v>164644.99427606043</v>
      </c>
      <c r="AL132" s="162">
        <f t="shared" ref="AL132:BQ132" si="1009">+AL103*AL89</f>
        <v>0</v>
      </c>
      <c r="AM132" s="162">
        <f t="shared" si="1009"/>
        <v>0</v>
      </c>
      <c r="AN132" s="162">
        <f t="shared" si="1009"/>
        <v>0</v>
      </c>
      <c r="AO132" s="162">
        <f t="shared" si="1009"/>
        <v>0</v>
      </c>
      <c r="AP132" s="162">
        <f t="shared" si="1009"/>
        <v>0</v>
      </c>
      <c r="AQ132" s="162">
        <f t="shared" si="1009"/>
        <v>0</v>
      </c>
      <c r="AR132" s="162">
        <f t="shared" si="1009"/>
        <v>0</v>
      </c>
      <c r="AS132" s="162">
        <f t="shared" si="1009"/>
        <v>0</v>
      </c>
      <c r="AT132" s="162">
        <f t="shared" si="1009"/>
        <v>0</v>
      </c>
      <c r="AU132" s="162">
        <f t="shared" si="1009"/>
        <v>0</v>
      </c>
      <c r="AV132" s="162">
        <f t="shared" si="1009"/>
        <v>0</v>
      </c>
      <c r="AW132" s="162">
        <f t="shared" si="1009"/>
        <v>0</v>
      </c>
      <c r="AX132" s="162">
        <f t="shared" si="1009"/>
        <v>0</v>
      </c>
      <c r="AY132" s="162">
        <f t="shared" si="1009"/>
        <v>0</v>
      </c>
      <c r="AZ132" s="162">
        <f t="shared" si="1009"/>
        <v>0</v>
      </c>
      <c r="BA132" s="162">
        <f t="shared" si="1009"/>
        <v>0</v>
      </c>
      <c r="BB132" s="162">
        <f t="shared" si="1009"/>
        <v>0</v>
      </c>
      <c r="BC132" s="162">
        <f t="shared" si="1009"/>
        <v>0</v>
      </c>
      <c r="BD132" s="162">
        <f t="shared" si="1009"/>
        <v>0</v>
      </c>
      <c r="BE132" s="162">
        <f t="shared" si="1009"/>
        <v>0</v>
      </c>
      <c r="BF132" s="162">
        <f t="shared" si="1009"/>
        <v>0</v>
      </c>
      <c r="BG132" s="162">
        <f t="shared" si="1009"/>
        <v>0</v>
      </c>
      <c r="BH132" s="162">
        <f t="shared" si="1009"/>
        <v>0</v>
      </c>
      <c r="BI132" s="162">
        <f t="shared" si="1009"/>
        <v>0</v>
      </c>
      <c r="BJ132" s="162">
        <f t="shared" si="1009"/>
        <v>0</v>
      </c>
      <c r="BK132" s="162">
        <f t="shared" si="1009"/>
        <v>8700.634</v>
      </c>
      <c r="BL132" s="162">
        <f t="shared" si="1009"/>
        <v>7903.5776500000002</v>
      </c>
      <c r="BM132" s="162">
        <f t="shared" si="1009"/>
        <v>9874.768</v>
      </c>
      <c r="BN132" s="162">
        <f t="shared" si="1009"/>
        <v>8605.8001000000004</v>
      </c>
      <c r="BO132" s="162">
        <f t="shared" si="1009"/>
        <v>9394.5773000000008</v>
      </c>
      <c r="BP132" s="162">
        <f t="shared" si="1009"/>
        <v>11921.976000000001</v>
      </c>
      <c r="BQ132" s="162">
        <f t="shared" si="1009"/>
        <v>12057.453000000001</v>
      </c>
      <c r="BR132" s="162">
        <f t="shared" ref="BR132:CJ132" si="1010">+BR103*BR89</f>
        <v>15510.611200000003</v>
      </c>
      <c r="BS132" s="162">
        <f t="shared" si="1010"/>
        <v>19904.581900000001</v>
      </c>
      <c r="BT132" s="162">
        <f t="shared" si="1010"/>
        <v>26512.096250000002</v>
      </c>
      <c r="BU132" s="162">
        <f t="shared" si="1010"/>
        <v>31957.519</v>
      </c>
      <c r="BV132" s="162">
        <f t="shared" si="1010"/>
        <v>32083.21155</v>
      </c>
      <c r="BW132" s="162">
        <f t="shared" si="1010"/>
        <v>30783.385000000002</v>
      </c>
      <c r="BX132" s="162">
        <f t="shared" si="1010"/>
        <v>31686.565000000002</v>
      </c>
      <c r="BY132" s="162">
        <f t="shared" si="1010"/>
        <v>37634.757950000007</v>
      </c>
      <c r="BZ132" s="162">
        <f t="shared" si="1010"/>
        <v>38336.980400000008</v>
      </c>
      <c r="CA132" s="162">
        <f t="shared" si="1010"/>
        <v>43354.145300000004</v>
      </c>
      <c r="CB132" s="162">
        <f t="shared" si="1010"/>
        <v>52565.076000000001</v>
      </c>
      <c r="CC132" s="162">
        <f t="shared" si="1010"/>
        <v>72421.488300000012</v>
      </c>
      <c r="CD132" s="162">
        <f t="shared" si="1010"/>
        <v>57387.304550000001</v>
      </c>
      <c r="CE132" s="162">
        <f t="shared" si="1010"/>
        <v>75280.805650000009</v>
      </c>
      <c r="CF132" s="162">
        <f t="shared" si="1010"/>
        <v>89360.629199999996</v>
      </c>
      <c r="CG132" s="162">
        <f t="shared" si="1010"/>
        <v>94214.469050000014</v>
      </c>
      <c r="CH132" s="162">
        <f t="shared" si="1010"/>
        <v>68603.294850000006</v>
      </c>
      <c r="CI132" s="162">
        <f t="shared" si="1010"/>
        <v>68860.701150000008</v>
      </c>
      <c r="CJ132" s="162">
        <f t="shared" si="1010"/>
        <v>98822.945000000007</v>
      </c>
      <c r="CK132" s="162">
        <f t="shared" ref="CK132:CL132" si="1011">+CK103*CK89</f>
        <v>104328.85552</v>
      </c>
      <c r="CL132" s="162">
        <f t="shared" si="1011"/>
        <v>100274.49355</v>
      </c>
      <c r="CM132" s="21">
        <f t="shared" ref="CM132:DB132" si="1012">+CM103*CM89</f>
        <v>101014.00976204388</v>
      </c>
      <c r="CN132" s="21">
        <f t="shared" si="1012"/>
        <v>102418.28315560096</v>
      </c>
      <c r="CO132" s="21">
        <f t="shared" si="1012"/>
        <v>110345.45410473896</v>
      </c>
      <c r="CP132" s="21">
        <f t="shared" si="1012"/>
        <v>118040.9073340046</v>
      </c>
      <c r="CQ132" s="21">
        <f t="shared" si="1012"/>
        <v>122474.98615570841</v>
      </c>
      <c r="CR132" s="21">
        <f t="shared" si="1012"/>
        <v>126227.29883922212</v>
      </c>
      <c r="CS132" s="21">
        <f t="shared" si="1012"/>
        <v>131634.72837939451</v>
      </c>
      <c r="CT132" s="21">
        <f t="shared" si="1012"/>
        <v>137181.98207105324</v>
      </c>
      <c r="CU132" s="21">
        <f t="shared" si="1012"/>
        <v>141201.27242646762</v>
      </c>
      <c r="CV132" s="21">
        <f t="shared" si="1012"/>
        <v>145938.85077510742</v>
      </c>
      <c r="CW132" s="21">
        <f t="shared" si="1012"/>
        <v>152175.28740341368</v>
      </c>
      <c r="CX132" s="21">
        <f t="shared" si="1012"/>
        <v>159696.89358838435</v>
      </c>
      <c r="CY132" s="21">
        <f t="shared" si="1012"/>
        <v>164644.99427606043</v>
      </c>
      <c r="CZ132" s="21">
        <f t="shared" si="1012"/>
        <v>170080.48252269535</v>
      </c>
      <c r="DA132" s="21">
        <f t="shared" si="1012"/>
        <v>176604.37746293331</v>
      </c>
      <c r="DB132" s="21">
        <f t="shared" si="1012"/>
        <v>183866.53110907294</v>
      </c>
      <c r="DE132" s="22"/>
      <c r="DF132" s="162">
        <v>100265.8349</v>
      </c>
    </row>
    <row r="133" spans="1:110" s="162" customFormat="1" x14ac:dyDescent="0.2">
      <c r="A133" s="49" t="s">
        <v>80</v>
      </c>
      <c r="B133" s="162">
        <f>+B192</f>
        <v>0</v>
      </c>
      <c r="C133" s="162">
        <f t="shared" ref="C133:W133" si="1013">+C192</f>
        <v>0</v>
      </c>
      <c r="D133" s="162">
        <f t="shared" si="1013"/>
        <v>0</v>
      </c>
      <c r="E133" s="162">
        <f t="shared" si="1013"/>
        <v>0</v>
      </c>
      <c r="F133" s="162">
        <f t="shared" si="1013"/>
        <v>0</v>
      </c>
      <c r="G133" s="162">
        <f t="shared" si="1013"/>
        <v>0</v>
      </c>
      <c r="H133" s="162">
        <f t="shared" si="1013"/>
        <v>0</v>
      </c>
      <c r="I133" s="162">
        <f t="shared" si="1013"/>
        <v>484.56052669999997</v>
      </c>
      <c r="J133" s="162">
        <f t="shared" si="1013"/>
        <v>456.30410059999997</v>
      </c>
      <c r="K133" s="162">
        <f t="shared" si="1013"/>
        <v>1073.6816896999999</v>
      </c>
      <c r="L133" s="162">
        <f t="shared" si="1013"/>
        <v>1268.6600000000001</v>
      </c>
      <c r="M133" s="162">
        <f t="shared" si="1013"/>
        <v>959.98500000000001</v>
      </c>
      <c r="N133" s="162">
        <f t="shared" si="1013"/>
        <v>509.33000000000004</v>
      </c>
      <c r="O133" s="162">
        <f t="shared" si="1013"/>
        <v>417.82300000000004</v>
      </c>
      <c r="P133" s="162">
        <f t="shared" si="1013"/>
        <v>518.52</v>
      </c>
      <c r="Q133" s="162">
        <f t="shared" si="1013"/>
        <v>745.01</v>
      </c>
      <c r="R133" s="162">
        <f t="shared" si="1013"/>
        <v>825.553</v>
      </c>
      <c r="S133" s="162">
        <f t="shared" si="1013"/>
        <v>789.66200000000003</v>
      </c>
      <c r="T133" s="162">
        <f t="shared" si="1013"/>
        <v>-44.230000000000018</v>
      </c>
      <c r="U133" s="162">
        <f t="shared" si="1013"/>
        <v>-164.24900000000002</v>
      </c>
      <c r="V133" s="162">
        <f t="shared" si="1013"/>
        <v>-905.76</v>
      </c>
      <c r="W133" s="162">
        <f t="shared" si="1013"/>
        <v>-1088.0340000000001</v>
      </c>
      <c r="X133" s="162">
        <f t="shared" ref="X133:Y133" si="1014">+X192</f>
        <v>-1972.7199999999998</v>
      </c>
      <c r="Y133" s="162">
        <f t="shared" si="1014"/>
        <v>-2135.0010000000002</v>
      </c>
      <c r="Z133" s="162">
        <f t="shared" ref="Z133:AA133" si="1015">+Z192</f>
        <v>-2410.674</v>
      </c>
      <c r="AA133" s="162">
        <f t="shared" si="1015"/>
        <v>-4154.8029999999999</v>
      </c>
      <c r="AB133" s="21">
        <f t="shared" ref="AA133:AD133" si="1016">+AB192</f>
        <v>-3968.1559967087087</v>
      </c>
      <c r="AC133" s="21">
        <f t="shared" si="1016"/>
        <v>-5825.664595624713</v>
      </c>
      <c r="AD133" s="21">
        <f t="shared" si="1016"/>
        <v>-8443.0954845973465</v>
      </c>
      <c r="AE133" s="21">
        <f t="shared" ref="AE133" si="1017">+AE192</f>
        <v>-11654.523218684773</v>
      </c>
      <c r="AL133" s="162">
        <f t="shared" ref="AL133:AM133" si="1018">+AL192</f>
        <v>0</v>
      </c>
      <c r="AM133" s="162" t="e">
        <f t="shared" si="1018"/>
        <v>#DIV/0!</v>
      </c>
      <c r="AN133" s="162">
        <f t="shared" ref="AN133:AO133" si="1019">+AN192</f>
        <v>0</v>
      </c>
      <c r="AO133" s="162" t="e">
        <f t="shared" si="1019"/>
        <v>#DIV/0!</v>
      </c>
      <c r="AP133" s="162">
        <f t="shared" ref="AP133:CD133" si="1020">+AP192</f>
        <v>0</v>
      </c>
      <c r="AQ133" s="162" t="e">
        <f t="shared" si="1020"/>
        <v>#DIV/0!</v>
      </c>
      <c r="AR133" s="162">
        <f t="shared" si="1020"/>
        <v>0</v>
      </c>
      <c r="AS133" s="162" t="e">
        <f t="shared" si="1020"/>
        <v>#DIV/0!</v>
      </c>
      <c r="AT133" s="162">
        <f t="shared" si="1020"/>
        <v>0</v>
      </c>
      <c r="AU133" s="162" t="e">
        <f t="shared" si="1020"/>
        <v>#DIV/0!</v>
      </c>
      <c r="AV133" s="162">
        <f t="shared" si="1020"/>
        <v>0</v>
      </c>
      <c r="AW133" s="162" t="e">
        <f t="shared" si="1020"/>
        <v>#DIV/0!</v>
      </c>
      <c r="AX133" s="162">
        <f t="shared" si="1020"/>
        <v>0</v>
      </c>
      <c r="AY133" s="162" t="e">
        <f t="shared" si="1020"/>
        <v>#DIV/0!</v>
      </c>
      <c r="AZ133" s="162">
        <f t="shared" si="1020"/>
        <v>0</v>
      </c>
      <c r="BA133" s="162" t="e">
        <f t="shared" si="1020"/>
        <v>#DIV/0!</v>
      </c>
      <c r="BB133" s="162">
        <f t="shared" si="1020"/>
        <v>0</v>
      </c>
      <c r="BC133" s="162" t="e">
        <f t="shared" si="1020"/>
        <v>#DIV/0!</v>
      </c>
      <c r="BD133" s="162">
        <f t="shared" si="1020"/>
        <v>0</v>
      </c>
      <c r="BE133" s="162" t="e">
        <f t="shared" si="1020"/>
        <v>#DIV/0!</v>
      </c>
      <c r="BF133" s="162">
        <f t="shared" si="1020"/>
        <v>717.05199999999991</v>
      </c>
      <c r="BG133" s="162">
        <f t="shared" si="1020"/>
        <v>288.60235588647004</v>
      </c>
      <c r="BH133" s="162">
        <f t="shared" si="1020"/>
        <v>0</v>
      </c>
      <c r="BI133" s="162">
        <f t="shared" si="1020"/>
        <v>-193.3360000000001</v>
      </c>
      <c r="BJ133" s="162">
        <f t="shared" si="1020"/>
        <v>-124.65300000000002</v>
      </c>
      <c r="BK133" s="162">
        <f t="shared" si="1020"/>
        <v>-635.54091654350896</v>
      </c>
      <c r="BL133" s="162">
        <f t="shared" si="1020"/>
        <v>-425.79899999999998</v>
      </c>
      <c r="BM133" s="162">
        <f t="shared" si="1020"/>
        <v>-442.50580472786328</v>
      </c>
      <c r="BN133" s="162">
        <f t="shared" si="1020"/>
        <v>-199.19900000000001</v>
      </c>
      <c r="BO133" s="162">
        <f t="shared" si="1020"/>
        <v>-1402.2041243840347</v>
      </c>
      <c r="BP133" s="162">
        <f t="shared" si="1020"/>
        <v>-686.36799999999994</v>
      </c>
      <c r="BQ133" s="162">
        <f t="shared" si="1020"/>
        <v>-411.14802465555204</v>
      </c>
      <c r="BR133" s="162">
        <f t="shared" si="1020"/>
        <v>-905.76</v>
      </c>
      <c r="BS133" s="162">
        <f t="shared" si="1020"/>
        <v>-1746.8158774183657</v>
      </c>
      <c r="BT133" s="162">
        <f t="shared" si="1020"/>
        <v>-668.27300000000002</v>
      </c>
      <c r="BU133" s="162">
        <f t="shared" si="1020"/>
        <v>-747.67786142013131</v>
      </c>
      <c r="BV133" s="162">
        <f t="shared" si="1020"/>
        <v>-1088.0340000000001</v>
      </c>
      <c r="BW133" s="162">
        <f t="shared" si="1020"/>
        <v>-2015.6965850064314</v>
      </c>
      <c r="BX133" s="162">
        <f t="shared" si="1020"/>
        <v>-1664.5039999999999</v>
      </c>
      <c r="BY133" s="162">
        <f t="shared" si="1020"/>
        <v>-1825.5589779453458</v>
      </c>
      <c r="BZ133" s="162">
        <f t="shared" si="1020"/>
        <v>-1972.7199999999998</v>
      </c>
      <c r="CA133" s="162">
        <f t="shared" si="1020"/>
        <v>-2712.9666178173175</v>
      </c>
      <c r="CB133" s="162">
        <f t="shared" si="1020"/>
        <v>-1528.567</v>
      </c>
      <c r="CC133" s="162">
        <f t="shared" si="1020"/>
        <v>-1857.9365984581164</v>
      </c>
      <c r="CD133" s="162">
        <f t="shared" si="1020"/>
        <v>-2135.0010000000002</v>
      </c>
      <c r="CE133" s="162">
        <f t="shared" ref="CE133:CF133" si="1021">+CE192</f>
        <v>-3285.5868824441472</v>
      </c>
      <c r="CF133" s="162">
        <f t="shared" si="1021"/>
        <v>-2419.2650000000003</v>
      </c>
      <c r="CG133" s="162">
        <f t="shared" ref="CG133:CH133" si="1022">+CG192</f>
        <v>-3142.5963633350875</v>
      </c>
      <c r="CH133" s="162">
        <f t="shared" si="1022"/>
        <v>-2410.674</v>
      </c>
      <c r="CI133" s="162">
        <f t="shared" ref="CI133:CJ133" si="1023">+CI192</f>
        <v>-3684.4250334696198</v>
      </c>
      <c r="CJ133" s="162">
        <f t="shared" si="1023"/>
        <v>-2669.2830000000004</v>
      </c>
      <c r="CK133" s="162">
        <f t="shared" ref="CK133:CL133" si="1024">+CK192</f>
        <v>-2583.9218537654538</v>
      </c>
      <c r="CL133" s="162">
        <f t="shared" si="1024"/>
        <v>-4154.8029999999999</v>
      </c>
      <c r="CM133" s="21">
        <f t="shared" ref="CM133:DB133" si="1025">+CM192</f>
        <v>-3738.7639063706329</v>
      </c>
      <c r="CN133" s="21">
        <f t="shared" si="1025"/>
        <v>-4142.6765375133518</v>
      </c>
      <c r="CO133" s="21">
        <f t="shared" si="1025"/>
        <v>-3957.1976437822977</v>
      </c>
      <c r="CP133" s="21">
        <f t="shared" si="1025"/>
        <v>-3968.1559967087087</v>
      </c>
      <c r="CQ133" s="21">
        <f t="shared" si="1025"/>
        <v>-5604.1289724649678</v>
      </c>
      <c r="CR133" s="21">
        <f t="shared" si="1025"/>
        <v>-5862.4755730809457</v>
      </c>
      <c r="CS133" s="21">
        <f t="shared" si="1025"/>
        <v>-5726.2378094852029</v>
      </c>
      <c r="CT133" s="21">
        <f t="shared" si="1025"/>
        <v>-5825.664595624713</v>
      </c>
      <c r="CU133" s="21">
        <f t="shared" si="1025"/>
        <v>-7955.6178017157172</v>
      </c>
      <c r="CV133" s="21">
        <f t="shared" si="1025"/>
        <v>-8314.9243995473425</v>
      </c>
      <c r="CW133" s="21">
        <f t="shared" si="1025"/>
        <v>-8234.3732629981205</v>
      </c>
      <c r="CX133" s="21">
        <f t="shared" si="1025"/>
        <v>-8443.0954845973465</v>
      </c>
      <c r="CY133" s="21">
        <f t="shared" si="1025"/>
        <v>-10934.587955757199</v>
      </c>
      <c r="CZ133" s="21">
        <f t="shared" si="1025"/>
        <v>-11403.260642829609</v>
      </c>
      <c r="DA133" s="21">
        <f t="shared" si="1025"/>
        <v>-11363.053960117062</v>
      </c>
      <c r="DB133" s="21">
        <f t="shared" si="1025"/>
        <v>-11654.523218684773</v>
      </c>
      <c r="DE133" s="22"/>
      <c r="DF133" s="162">
        <v>-2600.0872516682152</v>
      </c>
    </row>
    <row r="134" spans="1:110" s="162" customFormat="1" x14ac:dyDescent="0.2">
      <c r="A134" s="49" t="s">
        <v>342</v>
      </c>
      <c r="B134" s="162" t="e">
        <f>+B131+B133</f>
        <v>#DIV/0!</v>
      </c>
      <c r="C134" s="162" t="e">
        <f t="shared" ref="C134:W134" si="1026">+C131+C133</f>
        <v>#DIV/0!</v>
      </c>
      <c r="D134" s="162" t="e">
        <f t="shared" si="1026"/>
        <v>#DIV/0!</v>
      </c>
      <c r="E134" s="162">
        <f t="shared" si="1026"/>
        <v>0</v>
      </c>
      <c r="F134" s="162">
        <f t="shared" si="1026"/>
        <v>0</v>
      </c>
      <c r="G134" s="162">
        <f t="shared" si="1026"/>
        <v>0</v>
      </c>
      <c r="H134" s="162">
        <f t="shared" si="1026"/>
        <v>0</v>
      </c>
      <c r="I134" s="162">
        <f t="shared" si="1026"/>
        <v>484.56052669999997</v>
      </c>
      <c r="J134" s="162">
        <f t="shared" si="1026"/>
        <v>456.30410059999997</v>
      </c>
      <c r="K134" s="162">
        <f t="shared" si="1026"/>
        <v>1073.6816896999999</v>
      </c>
      <c r="L134" s="162">
        <f t="shared" si="1026"/>
        <v>1268.6600000000001</v>
      </c>
      <c r="M134" s="162">
        <f t="shared" si="1026"/>
        <v>959.98500000000001</v>
      </c>
      <c r="N134" s="162">
        <f t="shared" si="1026"/>
        <v>509.33000000000004</v>
      </c>
      <c r="O134" s="162">
        <f t="shared" si="1026"/>
        <v>417.82300000000004</v>
      </c>
      <c r="P134" s="162">
        <f t="shared" si="1026"/>
        <v>518.52</v>
      </c>
      <c r="Q134" s="162">
        <f t="shared" si="1026"/>
        <v>745.01</v>
      </c>
      <c r="R134" s="162">
        <f t="shared" si="1026"/>
        <v>825.553</v>
      </c>
      <c r="S134" s="162">
        <f t="shared" si="1026"/>
        <v>789.66200000000003</v>
      </c>
      <c r="T134" s="162">
        <f t="shared" si="1026"/>
        <v>-44.230000000000018</v>
      </c>
      <c r="U134" s="162">
        <f t="shared" si="1026"/>
        <v>17600.769</v>
      </c>
      <c r="V134" s="162">
        <f t="shared" si="1026"/>
        <v>20833.804400000001</v>
      </c>
      <c r="W134" s="162">
        <f t="shared" si="1026"/>
        <v>40627.389834999994</v>
      </c>
      <c r="X134" s="162">
        <f t="shared" ref="X134:Y134" si="1027">+X131+X133</f>
        <v>45330.404199999997</v>
      </c>
      <c r="Y134" s="162">
        <f t="shared" si="1027"/>
        <v>84023.830789999993</v>
      </c>
      <c r="Z134" s="162">
        <f t="shared" ref="Z134:AA134" si="1028">+Z131+Z133</f>
        <v>112115.72996499999</v>
      </c>
      <c r="AA134" s="162">
        <f t="shared" si="1028"/>
        <v>127191.15868499999</v>
      </c>
      <c r="AB134" s="21">
        <f t="shared" ref="AA134:AD134" si="1029">+AB131+AB133</f>
        <v>171498.05760789273</v>
      </c>
      <c r="AC134" s="21">
        <f t="shared" si="1029"/>
        <v>198093.49794242735</v>
      </c>
      <c r="AD134" s="21">
        <f t="shared" si="1029"/>
        <v>228944.17876840645</v>
      </c>
      <c r="AE134" s="21">
        <f t="shared" ref="AE134" si="1030">+AE131+AE133</f>
        <v>261660.5905920993</v>
      </c>
      <c r="AL134" s="162">
        <f t="shared" ref="AL134" si="1031">+AL131+AL133</f>
        <v>0</v>
      </c>
      <c r="AM134" s="162" t="e">
        <f t="shared" ref="AM134:AO134" si="1032">+AM131+AM133</f>
        <v>#DIV/0!</v>
      </c>
      <c r="AN134" s="162">
        <f t="shared" si="1032"/>
        <v>0</v>
      </c>
      <c r="AO134" s="162" t="e">
        <f t="shared" si="1032"/>
        <v>#DIV/0!</v>
      </c>
      <c r="AP134" s="162">
        <f t="shared" ref="AP134:CD134" si="1033">+AP131+AP133</f>
        <v>0</v>
      </c>
      <c r="AQ134" s="162" t="e">
        <f t="shared" si="1033"/>
        <v>#DIV/0!</v>
      </c>
      <c r="AR134" s="162">
        <f t="shared" si="1033"/>
        <v>0</v>
      </c>
      <c r="AS134" s="162" t="e">
        <f t="shared" si="1033"/>
        <v>#DIV/0!</v>
      </c>
      <c r="AT134" s="162">
        <f t="shared" si="1033"/>
        <v>0</v>
      </c>
      <c r="AU134" s="162" t="e">
        <f t="shared" si="1033"/>
        <v>#DIV/0!</v>
      </c>
      <c r="AV134" s="162">
        <f t="shared" si="1033"/>
        <v>0</v>
      </c>
      <c r="AW134" s="162" t="e">
        <f t="shared" si="1033"/>
        <v>#DIV/0!</v>
      </c>
      <c r="AX134" s="162">
        <f t="shared" si="1033"/>
        <v>0</v>
      </c>
      <c r="AY134" s="162" t="e">
        <f t="shared" si="1033"/>
        <v>#DIV/0!</v>
      </c>
      <c r="AZ134" s="162">
        <f t="shared" si="1033"/>
        <v>0</v>
      </c>
      <c r="BA134" s="162" t="e">
        <f t="shared" si="1033"/>
        <v>#DIV/0!</v>
      </c>
      <c r="BB134" s="162">
        <f t="shared" si="1033"/>
        <v>0</v>
      </c>
      <c r="BC134" s="162" t="e">
        <f t="shared" si="1033"/>
        <v>#DIV/0!</v>
      </c>
      <c r="BD134" s="162">
        <f t="shared" si="1033"/>
        <v>0</v>
      </c>
      <c r="BE134" s="162" t="e">
        <f t="shared" si="1033"/>
        <v>#DIV/0!</v>
      </c>
      <c r="BF134" s="162">
        <f t="shared" si="1033"/>
        <v>717.05199999999991</v>
      </c>
      <c r="BG134" s="162">
        <f t="shared" si="1033"/>
        <v>288.60235588647004</v>
      </c>
      <c r="BH134" s="162">
        <f t="shared" si="1033"/>
        <v>0</v>
      </c>
      <c r="BI134" s="162">
        <f t="shared" si="1033"/>
        <v>-193.3360000000001</v>
      </c>
      <c r="BJ134" s="162">
        <f t="shared" si="1033"/>
        <v>-124.65300000000002</v>
      </c>
      <c r="BK134" s="162">
        <f t="shared" si="1033"/>
        <v>9565.8771834564923</v>
      </c>
      <c r="BL134" s="162">
        <f t="shared" si="1033"/>
        <v>10246.778000000002</v>
      </c>
      <c r="BM134" s="162">
        <f t="shared" si="1033"/>
        <v>15977.306595272135</v>
      </c>
      <c r="BN134" s="162">
        <f t="shared" si="1033"/>
        <v>17563.341</v>
      </c>
      <c r="BO134" s="162">
        <f t="shared" si="1033"/>
        <v>11228.768175615967</v>
      </c>
      <c r="BP134" s="162">
        <f t="shared" si="1033"/>
        <v>13462.699350000001</v>
      </c>
      <c r="BQ134" s="162">
        <f t="shared" si="1033"/>
        <v>16044.79157534445</v>
      </c>
      <c r="BR134" s="162">
        <f t="shared" si="1033"/>
        <v>20830.772000000004</v>
      </c>
      <c r="BS134" s="162">
        <f t="shared" si="1033"/>
        <v>28539.820122581637</v>
      </c>
      <c r="BT134" s="162">
        <f t="shared" si="1033"/>
        <v>38845.851999999999</v>
      </c>
      <c r="BU134" s="162">
        <f t="shared" si="1033"/>
        <v>39103.634338579868</v>
      </c>
      <c r="BV134" s="162">
        <f t="shared" si="1033"/>
        <v>40621.571049999999</v>
      </c>
      <c r="BW134" s="162">
        <f t="shared" si="1033"/>
        <v>40434.516064993579</v>
      </c>
      <c r="BX134" s="162">
        <f t="shared" si="1033"/>
        <v>39264.603000000003</v>
      </c>
      <c r="BY134" s="162">
        <f t="shared" si="1033"/>
        <v>43709.76602205466</v>
      </c>
      <c r="BZ134" s="162">
        <f t="shared" si="1033"/>
        <v>45323.806000000004</v>
      </c>
      <c r="CA134" s="162">
        <f t="shared" si="1033"/>
        <v>52004.688382182692</v>
      </c>
      <c r="CB134" s="162">
        <f t="shared" si="1033"/>
        <v>79729.784950000001</v>
      </c>
      <c r="CC134" s="162">
        <f t="shared" si="1033"/>
        <v>84288.877101541875</v>
      </c>
      <c r="CD134" s="162">
        <f t="shared" si="1033"/>
        <v>81132.173800000004</v>
      </c>
      <c r="CE134" s="162">
        <f t="shared" ref="CE134:CF134" si="1034">+CE131+CE133</f>
        <v>107052.90311755586</v>
      </c>
      <c r="CF134" s="162">
        <f t="shared" si="1034"/>
        <v>104718.20455000001</v>
      </c>
      <c r="CG134" s="162">
        <f t="shared" ref="CG134:CH134" si="1035">+CG131+CG133</f>
        <v>111367.83258666491</v>
      </c>
      <c r="CH134" s="162">
        <f t="shared" si="1035"/>
        <v>109725.89685</v>
      </c>
      <c r="CI134" s="162">
        <f t="shared" ref="CI134:CJ134" si="1036">+CI131+CI133</f>
        <v>95415.495166530367</v>
      </c>
      <c r="CJ134" s="162">
        <f t="shared" si="1036"/>
        <v>113408.91590000001</v>
      </c>
      <c r="CK134" s="162">
        <f t="shared" ref="CK134:CL134" si="1037">+CK131+CK133</f>
        <v>116333.57124623455</v>
      </c>
      <c r="CL134" s="162">
        <f t="shared" si="1037"/>
        <v>127191.15868499999</v>
      </c>
      <c r="CM134" s="21">
        <f t="shared" ref="CM134:DB134" si="1038">+CM131+CM133</f>
        <v>146417.19655072162</v>
      </c>
      <c r="CN134" s="21">
        <f t="shared" si="1038"/>
        <v>148100.71734243404</v>
      </c>
      <c r="CO134" s="21">
        <f t="shared" si="1038"/>
        <v>160069.828728127</v>
      </c>
      <c r="CP134" s="21">
        <f t="shared" si="1038"/>
        <v>171498.05760789273</v>
      </c>
      <c r="CQ134" s="21">
        <f t="shared" si="1038"/>
        <v>176453.28288061509</v>
      </c>
      <c r="CR134" s="21">
        <f t="shared" si="1038"/>
        <v>181772.69837711411</v>
      </c>
      <c r="CS134" s="21">
        <f t="shared" si="1038"/>
        <v>189947.00707880393</v>
      </c>
      <c r="CT134" s="21">
        <f t="shared" si="1038"/>
        <v>198093.49794242735</v>
      </c>
      <c r="CU134" s="21">
        <f t="shared" si="1038"/>
        <v>201938.16553492539</v>
      </c>
      <c r="CV134" s="21">
        <f t="shared" si="1038"/>
        <v>208621.20513101775</v>
      </c>
      <c r="CW134" s="21">
        <f t="shared" si="1038"/>
        <v>217972.13503937353</v>
      </c>
      <c r="CX134" s="21">
        <f t="shared" si="1038"/>
        <v>228944.17876840645</v>
      </c>
      <c r="CY134" s="21">
        <f t="shared" si="1038"/>
        <v>233807.97110325156</v>
      </c>
      <c r="CZ134" s="21">
        <f t="shared" si="1038"/>
        <v>241419.07824225805</v>
      </c>
      <c r="DA134" s="21">
        <f t="shared" si="1038"/>
        <v>251156.96659289187</v>
      </c>
      <c r="DB134" s="21">
        <f t="shared" si="1038"/>
        <v>261660.5905920993</v>
      </c>
      <c r="DE134" s="22"/>
      <c r="DF134" s="162">
        <v>128734.53277833181</v>
      </c>
    </row>
    <row r="135" spans="1:110" s="162" customFormat="1" x14ac:dyDescent="0.2">
      <c r="A135" s="49" t="s">
        <v>345</v>
      </c>
      <c r="B135" s="162" t="e">
        <f>+B132+B133</f>
        <v>#DIV/0!</v>
      </c>
      <c r="C135" s="162" t="e">
        <f t="shared" ref="C135:W135" si="1039">+C132+C133</f>
        <v>#DIV/0!</v>
      </c>
      <c r="D135" s="162" t="e">
        <f t="shared" si="1039"/>
        <v>#DIV/0!</v>
      </c>
      <c r="E135" s="162">
        <f t="shared" si="1039"/>
        <v>0</v>
      </c>
      <c r="F135" s="162">
        <f t="shared" si="1039"/>
        <v>0</v>
      </c>
      <c r="G135" s="162">
        <f t="shared" si="1039"/>
        <v>0</v>
      </c>
      <c r="H135" s="162">
        <f t="shared" si="1039"/>
        <v>0</v>
      </c>
      <c r="I135" s="162">
        <f t="shared" si="1039"/>
        <v>484.56052669999997</v>
      </c>
      <c r="J135" s="162">
        <f t="shared" si="1039"/>
        <v>456.30410059999997</v>
      </c>
      <c r="K135" s="162">
        <f t="shared" si="1039"/>
        <v>1073.6816896999999</v>
      </c>
      <c r="L135" s="162">
        <f t="shared" si="1039"/>
        <v>1268.6600000000001</v>
      </c>
      <c r="M135" s="162">
        <f t="shared" si="1039"/>
        <v>959.98500000000001</v>
      </c>
      <c r="N135" s="162">
        <f t="shared" si="1039"/>
        <v>509.33000000000004</v>
      </c>
      <c r="O135" s="162">
        <f t="shared" si="1039"/>
        <v>417.82300000000004</v>
      </c>
      <c r="P135" s="162">
        <f t="shared" si="1039"/>
        <v>518.52</v>
      </c>
      <c r="Q135" s="162">
        <f t="shared" si="1039"/>
        <v>745.01</v>
      </c>
      <c r="R135" s="162">
        <f t="shared" si="1039"/>
        <v>825.553</v>
      </c>
      <c r="S135" s="162">
        <f t="shared" si="1039"/>
        <v>789.66200000000003</v>
      </c>
      <c r="T135" s="162">
        <f t="shared" si="1039"/>
        <v>-44.230000000000018</v>
      </c>
      <c r="U135" s="162">
        <f t="shared" si="1039"/>
        <v>7740.4312549999995</v>
      </c>
      <c r="V135" s="162">
        <f t="shared" si="1039"/>
        <v>8490.1279099999992</v>
      </c>
      <c r="W135" s="162">
        <f t="shared" si="1039"/>
        <v>18819.32473</v>
      </c>
      <c r="X135" s="162">
        <f t="shared" ref="X135:Y135" si="1040">+X132+X133</f>
        <v>28814.959499999997</v>
      </c>
      <c r="Y135" s="162">
        <f t="shared" si="1040"/>
        <v>41225.192509999993</v>
      </c>
      <c r="Z135" s="162">
        <f t="shared" ref="Z135:AA135" si="1041">+Z132+Z133</f>
        <v>66202.191494999992</v>
      </c>
      <c r="AA135" s="162">
        <f t="shared" si="1041"/>
        <v>64715.504704999999</v>
      </c>
      <c r="AB135" s="21">
        <f t="shared" ref="AA135:AD135" si="1042">+AB132+AB133</f>
        <v>97045.853765335167</v>
      </c>
      <c r="AC135" s="21">
        <f t="shared" si="1042"/>
        <v>116649.3215600837</v>
      </c>
      <c r="AD135" s="21">
        <f t="shared" si="1042"/>
        <v>132758.17694187028</v>
      </c>
      <c r="AE135" s="21">
        <f t="shared" ref="AE135" si="1043">+AE132+AE133</f>
        <v>152990.47105737566</v>
      </c>
      <c r="AL135" s="162">
        <f t="shared" ref="AL135:AM135" si="1044">+AL132+AL133</f>
        <v>0</v>
      </c>
      <c r="AM135" s="162" t="e">
        <f t="shared" si="1044"/>
        <v>#DIV/0!</v>
      </c>
      <c r="AN135" s="162">
        <f t="shared" ref="AN135:AO135" si="1045">+AN132+AN133</f>
        <v>0</v>
      </c>
      <c r="AO135" s="162" t="e">
        <f t="shared" si="1045"/>
        <v>#DIV/0!</v>
      </c>
      <c r="AP135" s="162">
        <f t="shared" ref="AP135:CD135" si="1046">+AP132+AP133</f>
        <v>0</v>
      </c>
      <c r="AQ135" s="162" t="e">
        <f t="shared" si="1046"/>
        <v>#DIV/0!</v>
      </c>
      <c r="AR135" s="162">
        <f t="shared" si="1046"/>
        <v>0</v>
      </c>
      <c r="AS135" s="162" t="e">
        <f t="shared" si="1046"/>
        <v>#DIV/0!</v>
      </c>
      <c r="AT135" s="162">
        <f t="shared" si="1046"/>
        <v>0</v>
      </c>
      <c r="AU135" s="162" t="e">
        <f t="shared" si="1046"/>
        <v>#DIV/0!</v>
      </c>
      <c r="AV135" s="162">
        <f t="shared" si="1046"/>
        <v>0</v>
      </c>
      <c r="AW135" s="162" t="e">
        <f t="shared" si="1046"/>
        <v>#DIV/0!</v>
      </c>
      <c r="AX135" s="162">
        <f t="shared" si="1046"/>
        <v>0</v>
      </c>
      <c r="AY135" s="162" t="e">
        <f t="shared" si="1046"/>
        <v>#DIV/0!</v>
      </c>
      <c r="AZ135" s="162">
        <f t="shared" si="1046"/>
        <v>0</v>
      </c>
      <c r="BA135" s="162" t="e">
        <f t="shared" si="1046"/>
        <v>#DIV/0!</v>
      </c>
      <c r="BB135" s="162">
        <f t="shared" si="1046"/>
        <v>0</v>
      </c>
      <c r="BC135" s="162" t="e">
        <f t="shared" si="1046"/>
        <v>#DIV/0!</v>
      </c>
      <c r="BD135" s="162">
        <f t="shared" si="1046"/>
        <v>0</v>
      </c>
      <c r="BE135" s="162" t="e">
        <f t="shared" si="1046"/>
        <v>#DIV/0!</v>
      </c>
      <c r="BF135" s="162">
        <f t="shared" si="1046"/>
        <v>717.05199999999991</v>
      </c>
      <c r="BG135" s="162">
        <f t="shared" si="1046"/>
        <v>288.60235588647004</v>
      </c>
      <c r="BH135" s="162">
        <f t="shared" si="1046"/>
        <v>0</v>
      </c>
      <c r="BI135" s="162">
        <f t="shared" si="1046"/>
        <v>-193.3360000000001</v>
      </c>
      <c r="BJ135" s="162">
        <f t="shared" si="1046"/>
        <v>-124.65300000000002</v>
      </c>
      <c r="BK135" s="162">
        <f t="shared" si="1046"/>
        <v>8065.0930834564915</v>
      </c>
      <c r="BL135" s="162">
        <f t="shared" si="1046"/>
        <v>7477.7786500000002</v>
      </c>
      <c r="BM135" s="162">
        <f t="shared" si="1046"/>
        <v>9432.2621952721365</v>
      </c>
      <c r="BN135" s="162">
        <f t="shared" si="1046"/>
        <v>8406.6010999999999</v>
      </c>
      <c r="BO135" s="162">
        <f t="shared" si="1046"/>
        <v>7992.3731756159659</v>
      </c>
      <c r="BP135" s="162">
        <f t="shared" si="1046"/>
        <v>11235.608</v>
      </c>
      <c r="BQ135" s="162">
        <f t="shared" si="1046"/>
        <v>11646.30497534445</v>
      </c>
      <c r="BR135" s="162">
        <f t="shared" si="1046"/>
        <v>14604.851200000003</v>
      </c>
      <c r="BS135" s="162">
        <f t="shared" si="1046"/>
        <v>18157.766022581636</v>
      </c>
      <c r="BT135" s="162">
        <f t="shared" si="1046"/>
        <v>25843.823250000001</v>
      </c>
      <c r="BU135" s="162">
        <f t="shared" si="1046"/>
        <v>31209.841138579868</v>
      </c>
      <c r="BV135" s="162">
        <f t="shared" si="1046"/>
        <v>30995.17755</v>
      </c>
      <c r="BW135" s="162">
        <f t="shared" si="1046"/>
        <v>28767.688414993572</v>
      </c>
      <c r="BX135" s="162">
        <f t="shared" si="1046"/>
        <v>30022.061000000002</v>
      </c>
      <c r="BY135" s="162">
        <f t="shared" si="1046"/>
        <v>35809.198972054663</v>
      </c>
      <c r="BZ135" s="162">
        <f t="shared" si="1046"/>
        <v>36364.260400000006</v>
      </c>
      <c r="CA135" s="162">
        <f t="shared" si="1046"/>
        <v>40641.178682182683</v>
      </c>
      <c r="CB135" s="162">
        <f t="shared" si="1046"/>
        <v>51036.508999999998</v>
      </c>
      <c r="CC135" s="162">
        <f t="shared" si="1046"/>
        <v>70563.551701541903</v>
      </c>
      <c r="CD135" s="162">
        <f t="shared" si="1046"/>
        <v>55252.303549999997</v>
      </c>
      <c r="CE135" s="162">
        <f t="shared" ref="CE135:CF135" si="1047">+CE132+CE133</f>
        <v>71995.218767555867</v>
      </c>
      <c r="CF135" s="162">
        <f t="shared" si="1047"/>
        <v>86941.364199999996</v>
      </c>
      <c r="CG135" s="162">
        <f t="shared" ref="CG135:CH135" si="1048">+CG132+CG133</f>
        <v>91071.872686664923</v>
      </c>
      <c r="CH135" s="162">
        <f t="shared" si="1048"/>
        <v>66192.620850000007</v>
      </c>
      <c r="CI135" s="162">
        <f t="shared" ref="CI135:CJ135" si="1049">+CI132+CI133</f>
        <v>65176.276116530389</v>
      </c>
      <c r="CJ135" s="162">
        <f t="shared" si="1049"/>
        <v>96153.662000000011</v>
      </c>
      <c r="CK135" s="162">
        <f t="shared" ref="CK135:CL135" si="1050">+CK132+CK133</f>
        <v>101744.93366623454</v>
      </c>
      <c r="CL135" s="162">
        <f t="shared" si="1050"/>
        <v>96119.690549999999</v>
      </c>
      <c r="CM135" s="21">
        <f t="shared" ref="CM135:DB135" si="1051">+CM132+CM133</f>
        <v>97275.245855673245</v>
      </c>
      <c r="CN135" s="21">
        <f t="shared" si="1051"/>
        <v>98275.606618087608</v>
      </c>
      <c r="CO135" s="21">
        <f t="shared" si="1051"/>
        <v>106388.25646095666</v>
      </c>
      <c r="CP135" s="21">
        <f t="shared" si="1051"/>
        <v>114072.75133729589</v>
      </c>
      <c r="CQ135" s="21">
        <f t="shared" si="1051"/>
        <v>116870.85718324344</v>
      </c>
      <c r="CR135" s="21">
        <f t="shared" si="1051"/>
        <v>120364.82326614117</v>
      </c>
      <c r="CS135" s="21">
        <f t="shared" si="1051"/>
        <v>125908.49056990931</v>
      </c>
      <c r="CT135" s="21">
        <f t="shared" si="1051"/>
        <v>131356.31747542851</v>
      </c>
      <c r="CU135" s="21">
        <f t="shared" si="1051"/>
        <v>133245.65462475191</v>
      </c>
      <c r="CV135" s="21">
        <f t="shared" si="1051"/>
        <v>137623.92637556008</v>
      </c>
      <c r="CW135" s="21">
        <f t="shared" si="1051"/>
        <v>143940.91414041555</v>
      </c>
      <c r="CX135" s="21">
        <f t="shared" si="1051"/>
        <v>151253.798103787</v>
      </c>
      <c r="CY135" s="21">
        <f t="shared" si="1051"/>
        <v>153710.40632030324</v>
      </c>
      <c r="CZ135" s="21">
        <f t="shared" si="1051"/>
        <v>158677.22187986574</v>
      </c>
      <c r="DA135" s="21">
        <f t="shared" si="1051"/>
        <v>165241.32350281623</v>
      </c>
      <c r="DB135" s="21">
        <f t="shared" si="1051"/>
        <v>172212.00789038817</v>
      </c>
      <c r="DE135" s="22"/>
      <c r="DF135" s="162">
        <v>97665.747648331788</v>
      </c>
    </row>
    <row r="136" spans="1:110" s="162" customFormat="1" x14ac:dyDescent="0.2">
      <c r="A136" s="49" t="s">
        <v>13</v>
      </c>
      <c r="B136" s="162">
        <f t="shared" ref="B136:AE136" si="1052">+B52</f>
        <v>0</v>
      </c>
      <c r="C136" s="162">
        <f t="shared" si="1052"/>
        <v>0</v>
      </c>
      <c r="D136" s="162">
        <f t="shared" si="1052"/>
        <v>0</v>
      </c>
      <c r="E136" s="162">
        <f t="shared" si="1052"/>
        <v>0</v>
      </c>
      <c r="F136" s="162">
        <f t="shared" si="1052"/>
        <v>0</v>
      </c>
      <c r="G136" s="162">
        <f t="shared" si="1052"/>
        <v>0</v>
      </c>
      <c r="H136" s="162">
        <f t="shared" si="1052"/>
        <v>0</v>
      </c>
      <c r="I136" s="162">
        <f t="shared" si="1052"/>
        <v>269.57318550000002</v>
      </c>
      <c r="J136" s="162">
        <f t="shared" si="1052"/>
        <v>173.13032760000016</v>
      </c>
      <c r="K136" s="162">
        <f t="shared" si="1052"/>
        <v>126.19870179999998</v>
      </c>
      <c r="L136" s="162">
        <f t="shared" si="1052"/>
        <v>0</v>
      </c>
      <c r="M136" s="162">
        <f t="shared" si="1052"/>
        <v>214.78899999999976</v>
      </c>
      <c r="N136" s="162">
        <f t="shared" si="1052"/>
        <v>282.35799999999972</v>
      </c>
      <c r="O136" s="162">
        <f t="shared" si="1052"/>
        <v>317.76200000000017</v>
      </c>
      <c r="P136" s="162">
        <f t="shared" si="1052"/>
        <v>440.03600000000051</v>
      </c>
      <c r="Q136" s="162">
        <f t="shared" si="1052"/>
        <v>485.97999999999979</v>
      </c>
      <c r="R136" s="162">
        <f t="shared" si="1052"/>
        <v>479.94700000000057</v>
      </c>
      <c r="S136" s="162">
        <f t="shared" si="1052"/>
        <v>728.87999999999965</v>
      </c>
      <c r="T136" s="162">
        <f t="shared" si="1052"/>
        <v>952.76099999999997</v>
      </c>
      <c r="U136" s="162">
        <f t="shared" si="1052"/>
        <v>1135.0259999999989</v>
      </c>
      <c r="V136" s="162">
        <f t="shared" si="1052"/>
        <v>1106.115</v>
      </c>
      <c r="W136" s="162">
        <f t="shared" si="1052"/>
        <v>1250.1950000000015</v>
      </c>
      <c r="X136" s="162">
        <f t="shared" si="1052"/>
        <v>1848.9980000000014</v>
      </c>
      <c r="Y136" s="162">
        <f t="shared" si="1052"/>
        <v>2491.8050000000012</v>
      </c>
      <c r="Z136" s="162">
        <f t="shared" si="1052"/>
        <v>2960.24</v>
      </c>
      <c r="AA136" s="162">
        <f t="shared" ref="AA136" si="1053">+AA52</f>
        <v>4005.7280000000019</v>
      </c>
      <c r="AB136" s="21">
        <f t="shared" si="1052"/>
        <v>4816.6685220918434</v>
      </c>
      <c r="AC136" s="21">
        <f t="shared" si="1052"/>
        <v>5632.3306716430707</v>
      </c>
      <c r="AD136" s="21">
        <f t="shared" si="1052"/>
        <v>6541.7634058623153</v>
      </c>
      <c r="AE136" s="21">
        <f t="shared" si="1052"/>
        <v>7496.2838812493819</v>
      </c>
      <c r="AL136" s="162">
        <f t="shared" ref="AL136:BQ136" si="1054">+SUM(AI52:AL52)</f>
        <v>0</v>
      </c>
      <c r="AM136" s="162">
        <f t="shared" si="1054"/>
        <v>0</v>
      </c>
      <c r="AN136" s="162">
        <f t="shared" si="1054"/>
        <v>0</v>
      </c>
      <c r="AO136" s="162">
        <f t="shared" si="1054"/>
        <v>0</v>
      </c>
      <c r="AP136" s="162">
        <f t="shared" si="1054"/>
        <v>0</v>
      </c>
      <c r="AQ136" s="162">
        <f t="shared" si="1054"/>
        <v>0</v>
      </c>
      <c r="AR136" s="162">
        <f t="shared" si="1054"/>
        <v>0</v>
      </c>
      <c r="AS136" s="162">
        <f t="shared" si="1054"/>
        <v>0</v>
      </c>
      <c r="AT136" s="162">
        <f t="shared" si="1054"/>
        <v>0</v>
      </c>
      <c r="AU136" s="162">
        <f t="shared" si="1054"/>
        <v>0</v>
      </c>
      <c r="AV136" s="162">
        <f t="shared" si="1054"/>
        <v>0</v>
      </c>
      <c r="AW136" s="162">
        <f t="shared" si="1054"/>
        <v>0</v>
      </c>
      <c r="AX136" s="162">
        <f t="shared" si="1054"/>
        <v>0</v>
      </c>
      <c r="AY136" s="162">
        <f t="shared" si="1054"/>
        <v>0</v>
      </c>
      <c r="AZ136" s="162">
        <f t="shared" si="1054"/>
        <v>0</v>
      </c>
      <c r="BA136" s="162">
        <f t="shared" si="1054"/>
        <v>0</v>
      </c>
      <c r="BB136" s="162">
        <f t="shared" si="1054"/>
        <v>0</v>
      </c>
      <c r="BC136" s="162">
        <f t="shared" si="1054"/>
        <v>0</v>
      </c>
      <c r="BD136" s="162">
        <f t="shared" si="1054"/>
        <v>0</v>
      </c>
      <c r="BE136" s="162">
        <f t="shared" si="1054"/>
        <v>0</v>
      </c>
      <c r="BF136" s="162">
        <f t="shared" si="1054"/>
        <v>345.40800000000013</v>
      </c>
      <c r="BG136" s="162">
        <f t="shared" si="1054"/>
        <v>518.23599999999999</v>
      </c>
      <c r="BH136" s="162">
        <f t="shared" si="1054"/>
        <v>734.67100000000005</v>
      </c>
      <c r="BI136" s="162">
        <f t="shared" si="1054"/>
        <v>1052.085</v>
      </c>
      <c r="BJ136" s="162">
        <f t="shared" si="1054"/>
        <v>950.19100000000014</v>
      </c>
      <c r="BK136" s="162">
        <f t="shared" si="1054"/>
        <v>1000.9910000000003</v>
      </c>
      <c r="BL136" s="162">
        <f t="shared" si="1054"/>
        <v>1056.2700000000004</v>
      </c>
      <c r="BM136" s="162">
        <f t="shared" si="1054"/>
        <v>1077.9680000000003</v>
      </c>
      <c r="BN136" s="162">
        <f t="shared" si="1054"/>
        <v>1135.0259999999998</v>
      </c>
      <c r="BO136" s="162">
        <f t="shared" si="1054"/>
        <v>968.87499999999989</v>
      </c>
      <c r="BP136" s="162">
        <f t="shared" si="1054"/>
        <v>1009.6369999999996</v>
      </c>
      <c r="BQ136" s="162">
        <f t="shared" si="1054"/>
        <v>1020.4409999999998</v>
      </c>
      <c r="BR136" s="162">
        <f t="shared" ref="BR136:CW136" si="1055">+SUM(BO52:BR52)</f>
        <v>1123.9180000000001</v>
      </c>
      <c r="BS136" s="162">
        <f t="shared" si="1055"/>
        <v>1200.643</v>
      </c>
      <c r="BT136" s="162">
        <f t="shared" si="1055"/>
        <v>1181.1279999999999</v>
      </c>
      <c r="BU136" s="162">
        <f t="shared" si="1055"/>
        <v>1192.9059999999999</v>
      </c>
      <c r="BV136" s="162">
        <f t="shared" si="1055"/>
        <v>1265.1979999999999</v>
      </c>
      <c r="BW136" s="162">
        <f t="shared" si="1055"/>
        <v>1442.0879999999997</v>
      </c>
      <c r="BX136" s="162">
        <f t="shared" si="1055"/>
        <v>1576.7710000000002</v>
      </c>
      <c r="BY136" s="162">
        <f t="shared" si="1055"/>
        <v>1718.9159999999999</v>
      </c>
      <c r="BZ136" s="162">
        <f t="shared" si="1055"/>
        <v>1852.1139999999996</v>
      </c>
      <c r="CA136" s="162">
        <f t="shared" si="1055"/>
        <v>2089.5819999999994</v>
      </c>
      <c r="CB136" s="162">
        <f t="shared" si="1055"/>
        <v>2270.8559999999993</v>
      </c>
      <c r="CC136" s="162">
        <f t="shared" si="1055"/>
        <v>2336.5279999999998</v>
      </c>
      <c r="CD136" s="162">
        <f t="shared" si="1055"/>
        <v>2488.5350000000003</v>
      </c>
      <c r="CE136" s="162">
        <f t="shared" si="1055"/>
        <v>2523.3620000000001</v>
      </c>
      <c r="CF136" s="162">
        <f t="shared" si="1055"/>
        <v>2545.9979999999996</v>
      </c>
      <c r="CG136" s="162">
        <f t="shared" si="1055"/>
        <v>2696.3979999999997</v>
      </c>
      <c r="CH136" s="162">
        <f t="shared" si="1055"/>
        <v>2960.2399999999993</v>
      </c>
      <c r="CI136" s="162">
        <f t="shared" si="1055"/>
        <v>3234.4539999999988</v>
      </c>
      <c r="CJ136" s="162">
        <f t="shared" si="1055"/>
        <v>3623.6489999999994</v>
      </c>
      <c r="CK136" s="162">
        <f t="shared" si="1055"/>
        <v>3869.809999999999</v>
      </c>
      <c r="CL136" s="162">
        <f t="shared" si="1055"/>
        <v>4005.7279999999992</v>
      </c>
      <c r="CM136" s="21">
        <f t="shared" si="1055"/>
        <v>4166.2958947859925</v>
      </c>
      <c r="CN136" s="21">
        <f t="shared" si="1055"/>
        <v>4237.9291563052384</v>
      </c>
      <c r="CO136" s="21">
        <f t="shared" si="1055"/>
        <v>4523.3471969884849</v>
      </c>
      <c r="CP136" s="21">
        <f t="shared" si="1055"/>
        <v>4816.6685220918425</v>
      </c>
      <c r="CQ136" s="21">
        <f t="shared" si="1055"/>
        <v>4984.1019826051916</v>
      </c>
      <c r="CR136" s="21">
        <f t="shared" si="1055"/>
        <v>5157.7741808091669</v>
      </c>
      <c r="CS136" s="21">
        <f t="shared" si="1055"/>
        <v>5392.2263076674517</v>
      </c>
      <c r="CT136" s="21">
        <f t="shared" si="1055"/>
        <v>5632.3306716430761</v>
      </c>
      <c r="CU136" s="21">
        <f t="shared" si="1055"/>
        <v>5804.189521026211</v>
      </c>
      <c r="CV136" s="21">
        <f t="shared" si="1055"/>
        <v>6000.3007928120824</v>
      </c>
      <c r="CW136" s="21">
        <f t="shared" si="1055"/>
        <v>6248.9935508819563</v>
      </c>
      <c r="CX136" s="21">
        <f t="shared" ref="CX136:DB136" si="1056">+SUM(CU52:CX52)</f>
        <v>6541.7634058623189</v>
      </c>
      <c r="CY136" s="21">
        <f t="shared" si="1056"/>
        <v>6742.3522924955387</v>
      </c>
      <c r="CZ136" s="21">
        <f t="shared" si="1056"/>
        <v>6959.2594096088596</v>
      </c>
      <c r="DA136" s="21">
        <f t="shared" si="1056"/>
        <v>7214.7129663043324</v>
      </c>
      <c r="DB136" s="21">
        <f t="shared" si="1056"/>
        <v>7496.2838812493883</v>
      </c>
      <c r="DE136" s="22"/>
      <c r="DF136" s="162">
        <v>4064.9297857742849</v>
      </c>
    </row>
    <row r="137" spans="1:110" s="162" customFormat="1" x14ac:dyDescent="0.2">
      <c r="A137" s="49" t="s">
        <v>343</v>
      </c>
      <c r="B137" s="162" t="e">
        <f>+B134/B136</f>
        <v>#DIV/0!</v>
      </c>
      <c r="C137" s="162" t="e">
        <f t="shared" ref="C137:W137" si="1057">+C134/C136</f>
        <v>#DIV/0!</v>
      </c>
      <c r="D137" s="162" t="e">
        <f t="shared" si="1057"/>
        <v>#DIV/0!</v>
      </c>
      <c r="E137" s="162" t="e">
        <f t="shared" si="1057"/>
        <v>#DIV/0!</v>
      </c>
      <c r="F137" s="162" t="e">
        <f t="shared" si="1057"/>
        <v>#DIV/0!</v>
      </c>
      <c r="G137" s="162" t="e">
        <f t="shared" si="1057"/>
        <v>#DIV/0!</v>
      </c>
      <c r="H137" s="162" t="e">
        <f t="shared" si="1057"/>
        <v>#DIV/0!</v>
      </c>
      <c r="I137" s="162">
        <f t="shared" si="1057"/>
        <v>1.7975101114053493</v>
      </c>
      <c r="J137" s="162">
        <f t="shared" si="1057"/>
        <v>2.6356104498008213</v>
      </c>
      <c r="K137" s="162">
        <f t="shared" si="1057"/>
        <v>8.5078663598423798</v>
      </c>
      <c r="L137" s="162" t="e">
        <f t="shared" si="1057"/>
        <v>#DIV/0!</v>
      </c>
      <c r="M137" s="162">
        <f t="shared" si="1057"/>
        <v>4.4694327921820998</v>
      </c>
      <c r="N137" s="162">
        <f t="shared" si="1057"/>
        <v>1.8038447644479723</v>
      </c>
      <c r="O137" s="162">
        <f t="shared" si="1057"/>
        <v>1.3148929072702205</v>
      </c>
      <c r="P137" s="162">
        <f t="shared" si="1057"/>
        <v>1.1783581343344622</v>
      </c>
      <c r="Q137" s="162">
        <f t="shared" si="1057"/>
        <v>1.5330054734762755</v>
      </c>
      <c r="R137" s="162">
        <f t="shared" si="1057"/>
        <v>1.720092010159453</v>
      </c>
      <c r="S137" s="162">
        <f t="shared" si="1057"/>
        <v>1.0833909559872688</v>
      </c>
      <c r="T137" s="162">
        <f t="shared" si="1057"/>
        <v>-4.6422974911861439E-2</v>
      </c>
      <c r="U137" s="162">
        <f t="shared" si="1057"/>
        <v>15.506930237721441</v>
      </c>
      <c r="V137" s="162">
        <f t="shared" si="1057"/>
        <v>18.835116059360917</v>
      </c>
      <c r="W137" s="162">
        <f t="shared" si="1057"/>
        <v>32.496842360591707</v>
      </c>
      <c r="X137" s="162">
        <f t="shared" ref="X137:Y137" si="1058">+X134/X136</f>
        <v>24.516199693022905</v>
      </c>
      <c r="Y137" s="162">
        <f t="shared" si="1058"/>
        <v>33.720066694624961</v>
      </c>
      <c r="Z137" s="162">
        <f t="shared" ref="Z137:AA137" si="1059">+Z134/Z136</f>
        <v>37.873864945072022</v>
      </c>
      <c r="AA137" s="162">
        <f t="shared" si="1059"/>
        <v>31.752320348510914</v>
      </c>
      <c r="AB137" s="21">
        <f t="shared" ref="AA137:AD137" si="1060">+AB134/AB136</f>
        <v>35.605119351956645</v>
      </c>
      <c r="AC137" s="21">
        <f t="shared" si="1060"/>
        <v>35.170786214623874</v>
      </c>
      <c r="AD137" s="21">
        <f t="shared" si="1060"/>
        <v>34.997318698998058</v>
      </c>
      <c r="AE137" s="21">
        <f t="shared" ref="AE137" si="1061">+AE134/AE136</f>
        <v>34.905373747463941</v>
      </c>
      <c r="AL137" s="162" t="e">
        <f t="shared" ref="AL137" si="1062">+AL134/AL136</f>
        <v>#DIV/0!</v>
      </c>
      <c r="AM137" s="162" t="e">
        <f t="shared" ref="AM137:AO137" si="1063">+AM134/AM136</f>
        <v>#DIV/0!</v>
      </c>
      <c r="AN137" s="162" t="e">
        <f t="shared" si="1063"/>
        <v>#DIV/0!</v>
      </c>
      <c r="AO137" s="162" t="e">
        <f t="shared" si="1063"/>
        <v>#DIV/0!</v>
      </c>
      <c r="AP137" s="162" t="e">
        <f t="shared" ref="AP137:CD137" si="1064">+AP134/AP136</f>
        <v>#DIV/0!</v>
      </c>
      <c r="AQ137" s="162" t="e">
        <f t="shared" si="1064"/>
        <v>#DIV/0!</v>
      </c>
      <c r="AR137" s="162" t="e">
        <f t="shared" si="1064"/>
        <v>#DIV/0!</v>
      </c>
      <c r="AS137" s="162" t="e">
        <f t="shared" si="1064"/>
        <v>#DIV/0!</v>
      </c>
      <c r="AT137" s="162" t="e">
        <f t="shared" si="1064"/>
        <v>#DIV/0!</v>
      </c>
      <c r="AU137" s="162" t="e">
        <f t="shared" si="1064"/>
        <v>#DIV/0!</v>
      </c>
      <c r="AV137" s="162" t="e">
        <f t="shared" si="1064"/>
        <v>#DIV/0!</v>
      </c>
      <c r="AW137" s="162" t="e">
        <f t="shared" si="1064"/>
        <v>#DIV/0!</v>
      </c>
      <c r="AX137" s="162" t="e">
        <f t="shared" si="1064"/>
        <v>#DIV/0!</v>
      </c>
      <c r="AY137" s="162" t="e">
        <f t="shared" si="1064"/>
        <v>#DIV/0!</v>
      </c>
      <c r="AZ137" s="162" t="e">
        <f t="shared" si="1064"/>
        <v>#DIV/0!</v>
      </c>
      <c r="BA137" s="162" t="e">
        <f t="shared" si="1064"/>
        <v>#DIV/0!</v>
      </c>
      <c r="BB137" s="162" t="e">
        <f t="shared" si="1064"/>
        <v>#DIV/0!</v>
      </c>
      <c r="BC137" s="162" t="e">
        <f t="shared" si="1064"/>
        <v>#DIV/0!</v>
      </c>
      <c r="BD137" s="162" t="e">
        <f t="shared" si="1064"/>
        <v>#DIV/0!</v>
      </c>
      <c r="BE137" s="162" t="e">
        <f t="shared" si="1064"/>
        <v>#DIV/0!</v>
      </c>
      <c r="BF137" s="162">
        <f t="shared" si="1064"/>
        <v>2.0759565499351482</v>
      </c>
      <c r="BG137" s="162">
        <f t="shared" si="1064"/>
        <v>0.55689368528328798</v>
      </c>
      <c r="BH137" s="162">
        <f t="shared" si="1064"/>
        <v>0</v>
      </c>
      <c r="BI137" s="162">
        <f t="shared" si="1064"/>
        <v>-0.18376461977882025</v>
      </c>
      <c r="BJ137" s="162">
        <f t="shared" si="1064"/>
        <v>-0.1311873086568911</v>
      </c>
      <c r="BK137" s="162">
        <f t="shared" si="1064"/>
        <v>9.5564067843332143</v>
      </c>
      <c r="BL137" s="162">
        <f t="shared" si="1064"/>
        <v>9.7009079118028509</v>
      </c>
      <c r="BM137" s="162">
        <f t="shared" si="1064"/>
        <v>14.821689136664661</v>
      </c>
      <c r="BN137" s="162">
        <f t="shared" si="1064"/>
        <v>15.473954781652582</v>
      </c>
      <c r="BO137" s="162">
        <f t="shared" si="1064"/>
        <v>11.589491085657045</v>
      </c>
      <c r="BP137" s="162">
        <f t="shared" si="1064"/>
        <v>13.334197686891434</v>
      </c>
      <c r="BQ137" s="162">
        <f t="shared" si="1064"/>
        <v>15.723389765154922</v>
      </c>
      <c r="BR137" s="162">
        <f t="shared" si="1064"/>
        <v>18.534067431965678</v>
      </c>
      <c r="BS137" s="162">
        <f t="shared" si="1064"/>
        <v>23.770446437935036</v>
      </c>
      <c r="BT137" s="162">
        <f t="shared" si="1064"/>
        <v>32.888774121009746</v>
      </c>
      <c r="BU137" s="162">
        <f t="shared" si="1064"/>
        <v>32.780147252658523</v>
      </c>
      <c r="BV137" s="162">
        <f t="shared" si="1064"/>
        <v>32.106888447499919</v>
      </c>
      <c r="BW137" s="162">
        <f t="shared" si="1064"/>
        <v>28.0388686855404</v>
      </c>
      <c r="BX137" s="162">
        <f t="shared" si="1064"/>
        <v>24.901905856969716</v>
      </c>
      <c r="BY137" s="162">
        <f t="shared" si="1064"/>
        <v>25.428680646439187</v>
      </c>
      <c r="BZ137" s="162">
        <f t="shared" si="1064"/>
        <v>24.471391069880156</v>
      </c>
      <c r="CA137" s="162">
        <f t="shared" si="1064"/>
        <v>24.887603540891291</v>
      </c>
      <c r="CB137" s="162">
        <f t="shared" si="1064"/>
        <v>35.110013558763754</v>
      </c>
      <c r="CC137" s="162">
        <f t="shared" si="1064"/>
        <v>36.074413446593354</v>
      </c>
      <c r="CD137" s="162">
        <f t="shared" si="1064"/>
        <v>32.602384053268288</v>
      </c>
      <c r="CE137" s="162">
        <f t="shared" ref="CE137:CF137" si="1065">+CE134/CE136</f>
        <v>42.424710809450197</v>
      </c>
      <c r="CF137" s="162">
        <f t="shared" si="1065"/>
        <v>41.130513280057578</v>
      </c>
      <c r="CG137" s="162">
        <f t="shared" ref="CG137:CH137" si="1066">+CG134/CG136</f>
        <v>41.302445924772577</v>
      </c>
      <c r="CH137" s="162">
        <f t="shared" si="1066"/>
        <v>37.06655435032296</v>
      </c>
      <c r="CI137" s="162">
        <f t="shared" ref="CI137:CJ137" si="1067">+CI134/CI136</f>
        <v>29.499722415755613</v>
      </c>
      <c r="CJ137" s="162">
        <f t="shared" si="1067"/>
        <v>31.296882203546762</v>
      </c>
      <c r="CK137" s="162">
        <f t="shared" ref="CK137:CL137" si="1068">+CK134/CK136</f>
        <v>30.06183023100219</v>
      </c>
      <c r="CL137" s="162">
        <f t="shared" si="1068"/>
        <v>31.752320348510935</v>
      </c>
      <c r="CM137" s="21">
        <f t="shared" ref="CM137:DB137" si="1069">+CM134/CM136</f>
        <v>35.143254403499959</v>
      </c>
      <c r="CN137" s="21">
        <f t="shared" si="1069"/>
        <v>34.94648255789933</v>
      </c>
      <c r="CO137" s="21">
        <f t="shared" si="1069"/>
        <v>35.387473425585576</v>
      </c>
      <c r="CP137" s="21">
        <f t="shared" si="1069"/>
        <v>35.605119351956652</v>
      </c>
      <c r="CQ137" s="21">
        <f t="shared" si="1069"/>
        <v>35.403224792840795</v>
      </c>
      <c r="CR137" s="21">
        <f t="shared" si="1069"/>
        <v>35.242469329783077</v>
      </c>
      <c r="CS137" s="21">
        <f t="shared" si="1069"/>
        <v>35.226082185888536</v>
      </c>
      <c r="CT137" s="21">
        <f t="shared" si="1069"/>
        <v>35.170786214623845</v>
      </c>
      <c r="CU137" s="21">
        <f t="shared" si="1069"/>
        <v>34.791793893598026</v>
      </c>
      <c r="CV137" s="21">
        <f t="shared" si="1069"/>
        <v>34.768457838135475</v>
      </c>
      <c r="CW137" s="21">
        <f t="shared" si="1069"/>
        <v>34.881158584106693</v>
      </c>
      <c r="CX137" s="21">
        <f t="shared" si="1069"/>
        <v>34.997318698998043</v>
      </c>
      <c r="CY137" s="21">
        <f t="shared" si="1069"/>
        <v>34.677507338720282</v>
      </c>
      <c r="CZ137" s="21">
        <f t="shared" si="1069"/>
        <v>34.690340456187542</v>
      </c>
      <c r="DA137" s="21">
        <f t="shared" si="1069"/>
        <v>34.811775293888736</v>
      </c>
      <c r="DB137" s="21">
        <f t="shared" si="1069"/>
        <v>34.905373747463912</v>
      </c>
      <c r="DE137" s="22"/>
      <c r="DF137" s="162">
        <v>31.669558777830289</v>
      </c>
    </row>
    <row r="138" spans="1:110" s="162" customFormat="1" x14ac:dyDescent="0.2">
      <c r="A138" s="49" t="s">
        <v>344</v>
      </c>
      <c r="B138" s="162" t="e">
        <f>+B135/B136</f>
        <v>#DIV/0!</v>
      </c>
      <c r="C138" s="162" t="e">
        <f t="shared" ref="C138:W138" si="1070">+C135/C136</f>
        <v>#DIV/0!</v>
      </c>
      <c r="D138" s="162" t="e">
        <f t="shared" si="1070"/>
        <v>#DIV/0!</v>
      </c>
      <c r="E138" s="162" t="e">
        <f t="shared" si="1070"/>
        <v>#DIV/0!</v>
      </c>
      <c r="F138" s="162" t="e">
        <f t="shared" si="1070"/>
        <v>#DIV/0!</v>
      </c>
      <c r="G138" s="162" t="e">
        <f t="shared" si="1070"/>
        <v>#DIV/0!</v>
      </c>
      <c r="H138" s="162" t="e">
        <f t="shared" si="1070"/>
        <v>#DIV/0!</v>
      </c>
      <c r="I138" s="162">
        <f t="shared" si="1070"/>
        <v>1.7975101114053493</v>
      </c>
      <c r="J138" s="162">
        <f t="shared" si="1070"/>
        <v>2.6356104498008213</v>
      </c>
      <c r="K138" s="162">
        <f t="shared" si="1070"/>
        <v>8.5078663598423798</v>
      </c>
      <c r="L138" s="162" t="e">
        <f t="shared" si="1070"/>
        <v>#DIV/0!</v>
      </c>
      <c r="M138" s="162">
        <f t="shared" si="1070"/>
        <v>4.4694327921820998</v>
      </c>
      <c r="N138" s="162">
        <f t="shared" si="1070"/>
        <v>1.8038447644479723</v>
      </c>
      <c r="O138" s="162">
        <f t="shared" si="1070"/>
        <v>1.3148929072702205</v>
      </c>
      <c r="P138" s="162">
        <f t="shared" si="1070"/>
        <v>1.1783581343344622</v>
      </c>
      <c r="Q138" s="162">
        <f t="shared" si="1070"/>
        <v>1.5330054734762755</v>
      </c>
      <c r="R138" s="162">
        <f t="shared" si="1070"/>
        <v>1.720092010159453</v>
      </c>
      <c r="S138" s="162">
        <f t="shared" si="1070"/>
        <v>1.0833909559872688</v>
      </c>
      <c r="T138" s="162">
        <f t="shared" si="1070"/>
        <v>-4.6422974911861439E-2</v>
      </c>
      <c r="U138" s="162">
        <f t="shared" si="1070"/>
        <v>6.8196070001920717</v>
      </c>
      <c r="V138" s="162">
        <f t="shared" si="1070"/>
        <v>7.675628582923113</v>
      </c>
      <c r="W138" s="162">
        <f t="shared" si="1070"/>
        <v>15.053111498606199</v>
      </c>
      <c r="X138" s="162">
        <f t="shared" ref="X138:Y138" si="1071">+X135/X136</f>
        <v>15.584094466300112</v>
      </c>
      <c r="Y138" s="162">
        <f t="shared" si="1071"/>
        <v>16.544309249720573</v>
      </c>
      <c r="Z138" s="162">
        <f t="shared" ref="Z138:AA138" si="1072">+Z135/Z136</f>
        <v>22.363791954368562</v>
      </c>
      <c r="AA138" s="162">
        <f t="shared" si="1072"/>
        <v>16.155741154916154</v>
      </c>
      <c r="AB138" s="21">
        <f t="shared" ref="AA138:AD138" si="1073">+AB135/AB136</f>
        <v>20.147920356202729</v>
      </c>
      <c r="AC138" s="21">
        <f t="shared" si="1073"/>
        <v>20.710666393820699</v>
      </c>
      <c r="AD138" s="21">
        <f t="shared" si="1073"/>
        <v>20.293943498919692</v>
      </c>
      <c r="AE138" s="21">
        <f t="shared" ref="AE138" si="1074">+AE135/AE136</f>
        <v>20.408841698225178</v>
      </c>
      <c r="AL138" s="162" t="e">
        <f t="shared" ref="AL138:AM138" si="1075">+AL135/AL136</f>
        <v>#DIV/0!</v>
      </c>
      <c r="AM138" s="162" t="e">
        <f t="shared" si="1075"/>
        <v>#DIV/0!</v>
      </c>
      <c r="AN138" s="162" t="e">
        <f t="shared" ref="AN138:AO138" si="1076">+AN135/AN136</f>
        <v>#DIV/0!</v>
      </c>
      <c r="AO138" s="162" t="e">
        <f t="shared" si="1076"/>
        <v>#DIV/0!</v>
      </c>
      <c r="AP138" s="162" t="e">
        <f t="shared" ref="AP138:CD138" si="1077">+AP135/AP136</f>
        <v>#DIV/0!</v>
      </c>
      <c r="AQ138" s="162" t="e">
        <f t="shared" si="1077"/>
        <v>#DIV/0!</v>
      </c>
      <c r="AR138" s="162" t="e">
        <f t="shared" si="1077"/>
        <v>#DIV/0!</v>
      </c>
      <c r="AS138" s="162" t="e">
        <f t="shared" si="1077"/>
        <v>#DIV/0!</v>
      </c>
      <c r="AT138" s="162" t="e">
        <f t="shared" si="1077"/>
        <v>#DIV/0!</v>
      </c>
      <c r="AU138" s="162" t="e">
        <f t="shared" si="1077"/>
        <v>#DIV/0!</v>
      </c>
      <c r="AV138" s="162" t="e">
        <f t="shared" si="1077"/>
        <v>#DIV/0!</v>
      </c>
      <c r="AW138" s="162" t="e">
        <f t="shared" si="1077"/>
        <v>#DIV/0!</v>
      </c>
      <c r="AX138" s="162" t="e">
        <f t="shared" si="1077"/>
        <v>#DIV/0!</v>
      </c>
      <c r="AY138" s="162" t="e">
        <f t="shared" si="1077"/>
        <v>#DIV/0!</v>
      </c>
      <c r="AZ138" s="162" t="e">
        <f t="shared" si="1077"/>
        <v>#DIV/0!</v>
      </c>
      <c r="BA138" s="162" t="e">
        <f t="shared" si="1077"/>
        <v>#DIV/0!</v>
      </c>
      <c r="BB138" s="162" t="e">
        <f t="shared" si="1077"/>
        <v>#DIV/0!</v>
      </c>
      <c r="BC138" s="162" t="e">
        <f t="shared" si="1077"/>
        <v>#DIV/0!</v>
      </c>
      <c r="BD138" s="162" t="e">
        <f t="shared" si="1077"/>
        <v>#DIV/0!</v>
      </c>
      <c r="BE138" s="162" t="e">
        <f t="shared" si="1077"/>
        <v>#DIV/0!</v>
      </c>
      <c r="BF138" s="162">
        <f t="shared" si="1077"/>
        <v>2.0759565499351482</v>
      </c>
      <c r="BG138" s="162">
        <f t="shared" si="1077"/>
        <v>0.55689368528328798</v>
      </c>
      <c r="BH138" s="162">
        <f t="shared" si="1077"/>
        <v>0</v>
      </c>
      <c r="BI138" s="162">
        <f t="shared" si="1077"/>
        <v>-0.18376461977882025</v>
      </c>
      <c r="BJ138" s="162">
        <f t="shared" si="1077"/>
        <v>-0.1311873086568911</v>
      </c>
      <c r="BK138" s="162">
        <f t="shared" si="1077"/>
        <v>8.0571084889439462</v>
      </c>
      <c r="BL138" s="162">
        <f t="shared" si="1077"/>
        <v>7.0794197032955566</v>
      </c>
      <c r="BM138" s="162">
        <f t="shared" si="1077"/>
        <v>8.7500391433438978</v>
      </c>
      <c r="BN138" s="162">
        <f t="shared" si="1077"/>
        <v>7.4065273394618281</v>
      </c>
      <c r="BO138" s="162">
        <f t="shared" si="1077"/>
        <v>8.2491272616343352</v>
      </c>
      <c r="BP138" s="162">
        <f t="shared" si="1077"/>
        <v>11.128363956550725</v>
      </c>
      <c r="BQ138" s="162">
        <f t="shared" si="1077"/>
        <v>11.41301160512411</v>
      </c>
      <c r="BR138" s="162">
        <f t="shared" si="1077"/>
        <v>12.994587861392024</v>
      </c>
      <c r="BS138" s="162">
        <f t="shared" si="1077"/>
        <v>15.123368080754759</v>
      </c>
      <c r="BT138" s="162">
        <f t="shared" si="1077"/>
        <v>21.880628729485714</v>
      </c>
      <c r="BU138" s="162">
        <f t="shared" si="1077"/>
        <v>26.162867098145092</v>
      </c>
      <c r="BV138" s="162">
        <f t="shared" si="1077"/>
        <v>24.498282126592045</v>
      </c>
      <c r="BW138" s="162">
        <f t="shared" si="1077"/>
        <v>19.948635877279042</v>
      </c>
      <c r="BX138" s="162">
        <f t="shared" si="1077"/>
        <v>19.040216366232002</v>
      </c>
      <c r="BY138" s="162">
        <f t="shared" si="1077"/>
        <v>20.832431004222816</v>
      </c>
      <c r="BZ138" s="162">
        <f t="shared" si="1077"/>
        <v>19.63392123810954</v>
      </c>
      <c r="CA138" s="162">
        <f t="shared" si="1077"/>
        <v>19.449429925306923</v>
      </c>
      <c r="CB138" s="162">
        <f t="shared" si="1077"/>
        <v>22.474568620819642</v>
      </c>
      <c r="CC138" s="162">
        <f t="shared" si="1077"/>
        <v>30.20017380555333</v>
      </c>
      <c r="CD138" s="162">
        <f t="shared" si="1077"/>
        <v>22.202743200316647</v>
      </c>
      <c r="CE138" s="162">
        <f t="shared" ref="CE138:CF138" si="1078">+CE135/CE136</f>
        <v>28.531466657402252</v>
      </c>
      <c r="CF138" s="162">
        <f t="shared" si="1078"/>
        <v>34.148245285345865</v>
      </c>
      <c r="CG138" s="162">
        <f t="shared" ref="CG138:CH138" si="1079">+CG135/CG136</f>
        <v>33.775382078856659</v>
      </c>
      <c r="CH138" s="162">
        <f t="shared" si="1079"/>
        <v>22.360558890495373</v>
      </c>
      <c r="CI138" s="162">
        <f t="shared" ref="CI138:CJ138" si="1080">+CI135/CI136</f>
        <v>20.15062700428895</v>
      </c>
      <c r="CJ138" s="162">
        <f t="shared" si="1080"/>
        <v>26.53503747189643</v>
      </c>
      <c r="CK138" s="162">
        <f t="shared" ref="CK138:CL138" si="1081">+CK135/CK136</f>
        <v>26.291971354209785</v>
      </c>
      <c r="CL138" s="162">
        <f t="shared" si="1081"/>
        <v>23.995560994156374</v>
      </c>
      <c r="CM138" s="21">
        <f t="shared" ref="CM138:DB138" si="1082">+CM135/CM136</f>
        <v>23.348136645169781</v>
      </c>
      <c r="CN138" s="21">
        <f t="shared" si="1082"/>
        <v>23.189535028416429</v>
      </c>
      <c r="CO138" s="21">
        <f t="shared" si="1082"/>
        <v>23.519807750284329</v>
      </c>
      <c r="CP138" s="21">
        <f t="shared" si="1082"/>
        <v>23.68291503019082</v>
      </c>
      <c r="CQ138" s="21">
        <f t="shared" si="1082"/>
        <v>23.448729097263577</v>
      </c>
      <c r="CR138" s="21">
        <f t="shared" si="1082"/>
        <v>23.336582612319408</v>
      </c>
      <c r="CS138" s="21">
        <f t="shared" si="1082"/>
        <v>23.350001165728951</v>
      </c>
      <c r="CT138" s="21">
        <f t="shared" si="1082"/>
        <v>23.321840483685406</v>
      </c>
      <c r="CU138" s="21">
        <f t="shared" si="1082"/>
        <v>22.956806310692865</v>
      </c>
      <c r="CV138" s="21">
        <f t="shared" si="1082"/>
        <v>22.936171223353234</v>
      </c>
      <c r="CW138" s="21">
        <f t="shared" si="1082"/>
        <v>23.034255511449576</v>
      </c>
      <c r="CX138" s="21">
        <f t="shared" si="1082"/>
        <v>23.121257789335949</v>
      </c>
      <c r="CY138" s="21">
        <f t="shared" si="1082"/>
        <v>22.797741745323513</v>
      </c>
      <c r="CZ138" s="21">
        <f t="shared" si="1082"/>
        <v>22.800877584872797</v>
      </c>
      <c r="DA138" s="21">
        <f t="shared" si="1082"/>
        <v>22.903381503125761</v>
      </c>
      <c r="DB138" s="21">
        <f t="shared" si="1082"/>
        <v>22.972983763481217</v>
      </c>
      <c r="DE138" s="22"/>
      <c r="DF138" s="162">
        <v>24.026429187073518</v>
      </c>
    </row>
    <row r="139" spans="1:110" s="10" customFormat="1" x14ac:dyDescent="0.2">
      <c r="A139" s="149" t="s">
        <v>490</v>
      </c>
      <c r="AB139" s="20"/>
      <c r="AC139" s="20"/>
      <c r="AD139" s="20"/>
      <c r="AE139" s="20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E139" s="126"/>
    </row>
    <row r="140" spans="1:110" x14ac:dyDescent="0.2">
      <c r="A140" s="152" t="s">
        <v>491</v>
      </c>
      <c r="AA140" s="2"/>
      <c r="CL140" s="2"/>
    </row>
    <row r="141" spans="1:110" s="23" customFormat="1" outlineLevel="1" x14ac:dyDescent="0.2">
      <c r="A141" s="23" t="s">
        <v>41</v>
      </c>
      <c r="B141" s="23">
        <f>'Annual Raw'!C41</f>
        <v>0</v>
      </c>
      <c r="C141" s="23">
        <f>'Annual Raw'!D41</f>
        <v>0</v>
      </c>
      <c r="D141" s="23">
        <f>'Annual Raw'!E41</f>
        <v>0</v>
      </c>
      <c r="E141" s="23">
        <f>'Annual Raw'!F41</f>
        <v>0</v>
      </c>
      <c r="F141" s="23">
        <f>'Annual Raw'!G41</f>
        <v>0</v>
      </c>
      <c r="G141" s="23">
        <f>'Annual Raw'!H41</f>
        <v>0</v>
      </c>
      <c r="H141" s="23">
        <f>'Annual Raw'!I41</f>
        <v>0</v>
      </c>
      <c r="I141" s="23">
        <f>'Annual Raw'!J41</f>
        <v>60</v>
      </c>
      <c r="J141" s="23">
        <f>'Annual Raw'!K41</f>
        <v>60</v>
      </c>
      <c r="K141" s="23">
        <f>'Annual Raw'!L41</f>
        <v>65.573769999999996</v>
      </c>
      <c r="L141" s="23">
        <f>'Annual Raw'!M41</f>
        <v>65.573999999999998</v>
      </c>
      <c r="M141" s="23">
        <f>'Annual Raw'!N41</f>
        <v>65.587999999999994</v>
      </c>
      <c r="N141" s="23">
        <f>'Annual Raw'!O41</f>
        <v>70.602999999999994</v>
      </c>
      <c r="O141" s="23">
        <f>'Annual Raw'!P41</f>
        <v>70.602999999999994</v>
      </c>
      <c r="P141" s="23">
        <f>'Annual Raw'!Q41</f>
        <v>141.20599999999999</v>
      </c>
      <c r="Q141" s="23">
        <f>'Annual Raw'!R41</f>
        <v>141.21</v>
      </c>
      <c r="R141" s="23">
        <f>'Annual Raw'!S41</f>
        <v>141.20599999999999</v>
      </c>
      <c r="S141" s="23">
        <f>'Annual Raw'!T41</f>
        <v>141.20599999999999</v>
      </c>
      <c r="T141" s="23">
        <f>'Annual Raw'!U41</f>
        <v>141.20599999999999</v>
      </c>
      <c r="U141" s="23">
        <f>'Annual Raw'!V41</f>
        <v>148.87899999999999</v>
      </c>
      <c r="V141" s="23">
        <f>'Annual Raw'!W41</f>
        <v>149.119</v>
      </c>
      <c r="W141" s="23">
        <f>'Annual Raw'!X41</f>
        <v>149.44300000000001</v>
      </c>
      <c r="X141" s="23">
        <f>'Annual Raw'!Y41</f>
        <v>149.76499999999999</v>
      </c>
      <c r="Y141" s="23">
        <f>'Annual Raw'!Z41</f>
        <v>150.23599999999999</v>
      </c>
      <c r="Z141" s="23">
        <f>'Annual Raw'!AA41</f>
        <v>150.42599999999999</v>
      </c>
      <c r="AA141" s="23">
        <f>'Annual Raw'!AB41</f>
        <v>150.55099999999999</v>
      </c>
      <c r="AB141" s="24">
        <f>+CP141</f>
        <v>150.55099999999999</v>
      </c>
      <c r="AC141" s="24">
        <f>+CT141</f>
        <v>150.55099999999999</v>
      </c>
      <c r="AD141" s="24">
        <f>+CX141</f>
        <v>150.55099999999999</v>
      </c>
      <c r="AE141" s="24">
        <f>+DB141</f>
        <v>150.55099999999999</v>
      </c>
      <c r="AJ141" s="23">
        <f>+'QTR Raw'!D56</f>
        <v>0</v>
      </c>
      <c r="AK141" s="23">
        <f t="shared" ref="AK141:CE141" si="1083">+AJ141</f>
        <v>0</v>
      </c>
      <c r="AL141" s="23">
        <f>+'QTR Raw'!F56</f>
        <v>0</v>
      </c>
      <c r="AM141" s="23">
        <f t="shared" si="1083"/>
        <v>0</v>
      </c>
      <c r="AN141" s="23">
        <f>+'QTR Raw'!H56</f>
        <v>0</v>
      </c>
      <c r="AO141" s="23">
        <f t="shared" si="1083"/>
        <v>0</v>
      </c>
      <c r="AP141" s="23">
        <f>+'QTR Raw'!J56</f>
        <v>0</v>
      </c>
      <c r="AQ141" s="23">
        <f t="shared" si="1083"/>
        <v>0</v>
      </c>
      <c r="AR141" s="23">
        <f>+'QTR Raw'!L56</f>
        <v>0</v>
      </c>
      <c r="AS141" s="23">
        <f t="shared" si="1083"/>
        <v>0</v>
      </c>
      <c r="AT141" s="23">
        <f>+'QTR Raw'!N56</f>
        <v>0</v>
      </c>
      <c r="AU141" s="23">
        <f t="shared" si="1083"/>
        <v>0</v>
      </c>
      <c r="AV141" s="23">
        <f>+'QTR Raw'!P56</f>
        <v>0</v>
      </c>
      <c r="AW141" s="23">
        <f t="shared" si="1083"/>
        <v>0</v>
      </c>
      <c r="AX141" s="23">
        <f>+'QTR Raw'!R56</f>
        <v>0</v>
      </c>
      <c r="AY141" s="23">
        <f t="shared" si="1083"/>
        <v>0</v>
      </c>
      <c r="AZ141" s="23">
        <f>+'QTR Raw'!T56</f>
        <v>0</v>
      </c>
      <c r="BA141" s="23">
        <f t="shared" si="1083"/>
        <v>0</v>
      </c>
      <c r="BB141" s="23">
        <f>+'QTR Raw'!V56</f>
        <v>0</v>
      </c>
      <c r="BC141" s="23">
        <f t="shared" si="1083"/>
        <v>0</v>
      </c>
      <c r="BD141" s="23">
        <f>+'QTR Raw'!X56</f>
        <v>0</v>
      </c>
      <c r="BE141" s="23">
        <f t="shared" si="1083"/>
        <v>0</v>
      </c>
      <c r="BF141" s="23">
        <f>+'QTR Raw'!Z56</f>
        <v>141.20599999999999</v>
      </c>
      <c r="BG141" s="23">
        <f t="shared" si="1083"/>
        <v>141.20599999999999</v>
      </c>
      <c r="BH141" s="23">
        <f>+'QTR Raw'!AB56</f>
        <v>0</v>
      </c>
      <c r="BI141" s="23">
        <f t="shared" si="1083"/>
        <v>0</v>
      </c>
      <c r="BJ141" s="23">
        <f>+'QTR Raw'!AD56</f>
        <v>141.20599999999999</v>
      </c>
      <c r="BK141" s="23">
        <f t="shared" si="1083"/>
        <v>141.20599999999999</v>
      </c>
      <c r="BL141" s="23">
        <f>+'QTR Raw'!AF56</f>
        <v>148.64599999999999</v>
      </c>
      <c r="BM141" s="23">
        <f t="shared" si="1083"/>
        <v>148.64599999999999</v>
      </c>
      <c r="BN141" s="23">
        <f>+'QTR Raw'!AH56</f>
        <v>148.87899999999999</v>
      </c>
      <c r="BO141" s="23">
        <f t="shared" si="1083"/>
        <v>148.87899999999999</v>
      </c>
      <c r="BP141" s="23">
        <f>+'QTR Raw'!AJ56</f>
        <v>148.97800000000001</v>
      </c>
      <c r="BQ141" s="23">
        <f t="shared" si="1083"/>
        <v>148.97800000000001</v>
      </c>
      <c r="BR141" s="23">
        <f>+'QTR Raw'!AL56</f>
        <v>149.119</v>
      </c>
      <c r="BS141" s="23">
        <f t="shared" si="1083"/>
        <v>149.119</v>
      </c>
      <c r="BT141" s="23">
        <f>+'QTR Raw'!AN56</f>
        <v>149.256</v>
      </c>
      <c r="BU141" s="23">
        <f t="shared" si="1083"/>
        <v>149.256</v>
      </c>
      <c r="BV141" s="23">
        <f>+'QTR Raw'!AP56</f>
        <v>149.44300000000001</v>
      </c>
      <c r="BW141" s="23">
        <f t="shared" si="1083"/>
        <v>149.44300000000001</v>
      </c>
      <c r="BX141" s="23">
        <f>+'QTR Raw'!AR56</f>
        <v>149.65100000000001</v>
      </c>
      <c r="BY141" s="23">
        <f t="shared" si="1083"/>
        <v>149.65100000000001</v>
      </c>
      <c r="BZ141" s="23">
        <f>+'QTR Raw'!AT56</f>
        <v>149.76499999999999</v>
      </c>
      <c r="CA141" s="23">
        <f t="shared" si="1083"/>
        <v>149.76499999999999</v>
      </c>
      <c r="CB141" s="23">
        <f>+'QTR Raw'!AV56</f>
        <v>150.00700000000001</v>
      </c>
      <c r="CC141" s="23">
        <f t="shared" si="1083"/>
        <v>150.00700000000001</v>
      </c>
      <c r="CD141" s="23">
        <f>+'QTR Raw'!AX56</f>
        <v>150.23599999999999</v>
      </c>
      <c r="CE141" s="23">
        <f t="shared" si="1083"/>
        <v>150.23599999999999</v>
      </c>
      <c r="CF141" s="23">
        <f>+'QTR Raw'!AZ56</f>
        <v>150.38900000000001</v>
      </c>
      <c r="CG141" s="23">
        <f t="shared" ref="CG141:CG142" si="1084">+CF141</f>
        <v>150.38900000000001</v>
      </c>
      <c r="CH141" s="23">
        <f>Z141</f>
        <v>150.42599999999999</v>
      </c>
      <c r="CI141" s="23">
        <f>CH141</f>
        <v>150.42599999999999</v>
      </c>
      <c r="CJ141" s="23">
        <f>+'QTR Raw'!BD56</f>
        <v>150.53</v>
      </c>
      <c r="CK141" s="23">
        <f t="shared" ref="CK141:DB141" si="1085">CJ141</f>
        <v>150.53</v>
      </c>
      <c r="CL141" s="23">
        <f>+'QTR Raw'!BF56</f>
        <v>150.55099999999999</v>
      </c>
      <c r="CM141" s="24">
        <f t="shared" si="1085"/>
        <v>150.55099999999999</v>
      </c>
      <c r="CN141" s="24">
        <f t="shared" si="1085"/>
        <v>150.55099999999999</v>
      </c>
      <c r="CO141" s="24">
        <f t="shared" si="1085"/>
        <v>150.55099999999999</v>
      </c>
      <c r="CP141" s="24">
        <f t="shared" si="1085"/>
        <v>150.55099999999999</v>
      </c>
      <c r="CQ141" s="24">
        <f t="shared" si="1085"/>
        <v>150.55099999999999</v>
      </c>
      <c r="CR141" s="24">
        <f t="shared" si="1085"/>
        <v>150.55099999999999</v>
      </c>
      <c r="CS141" s="24">
        <f t="shared" si="1085"/>
        <v>150.55099999999999</v>
      </c>
      <c r="CT141" s="24">
        <f t="shared" si="1085"/>
        <v>150.55099999999999</v>
      </c>
      <c r="CU141" s="24">
        <f t="shared" si="1085"/>
        <v>150.55099999999999</v>
      </c>
      <c r="CV141" s="24">
        <f t="shared" si="1085"/>
        <v>150.55099999999999</v>
      </c>
      <c r="CW141" s="24">
        <f t="shared" si="1085"/>
        <v>150.55099999999999</v>
      </c>
      <c r="CX141" s="24">
        <f t="shared" si="1085"/>
        <v>150.55099999999999</v>
      </c>
      <c r="CY141" s="24">
        <f t="shared" si="1085"/>
        <v>150.55099999999999</v>
      </c>
      <c r="CZ141" s="24">
        <f t="shared" si="1085"/>
        <v>150.55099999999999</v>
      </c>
      <c r="DA141" s="24">
        <f t="shared" si="1085"/>
        <v>150.55099999999999</v>
      </c>
      <c r="DB141" s="24">
        <f t="shared" si="1085"/>
        <v>150.55099999999999</v>
      </c>
      <c r="DE141" s="123"/>
      <c r="DF141" s="23">
        <v>150.53</v>
      </c>
    </row>
    <row r="142" spans="1:110" s="23" customFormat="1" outlineLevel="1" x14ac:dyDescent="0.2">
      <c r="A142" s="23" t="s">
        <v>42</v>
      </c>
      <c r="B142" s="23">
        <f>'Annual Raw'!C42</f>
        <v>0</v>
      </c>
      <c r="C142" s="23">
        <f>'Annual Raw'!D42</f>
        <v>0</v>
      </c>
      <c r="D142" s="23">
        <f>'Annual Raw'!E42</f>
        <v>0</v>
      </c>
      <c r="E142" s="23">
        <f>'Annual Raw'!F42</f>
        <v>0</v>
      </c>
      <c r="F142" s="23">
        <f>'Annual Raw'!G42</f>
        <v>0</v>
      </c>
      <c r="G142" s="23">
        <f>'Annual Raw'!H42</f>
        <v>0</v>
      </c>
      <c r="H142" s="23">
        <f>'Annual Raw'!I42</f>
        <v>0</v>
      </c>
      <c r="I142" s="23">
        <f>'Annual Raw'!J42</f>
        <v>0</v>
      </c>
      <c r="J142" s="23">
        <f>'Annual Raw'!K42</f>
        <v>0</v>
      </c>
      <c r="K142" s="23">
        <f>'Annual Raw'!L42</f>
        <v>0</v>
      </c>
      <c r="L142" s="23">
        <f>'Annual Raw'!M42</f>
        <v>0</v>
      </c>
      <c r="M142" s="23">
        <f>'Annual Raw'!N42</f>
        <v>0</v>
      </c>
      <c r="N142" s="23">
        <f>'Annual Raw'!O42</f>
        <v>0</v>
      </c>
      <c r="O142" s="23">
        <f>'Annual Raw'!P42</f>
        <v>0</v>
      </c>
      <c r="P142" s="23">
        <f>'Annual Raw'!Q42</f>
        <v>0</v>
      </c>
      <c r="Q142" s="23">
        <f>'Annual Raw'!R42</f>
        <v>0</v>
      </c>
      <c r="R142" s="23">
        <f>'Annual Raw'!S42</f>
        <v>0</v>
      </c>
      <c r="S142" s="23">
        <f>'Annual Raw'!T42</f>
        <v>0</v>
      </c>
      <c r="T142" s="23">
        <f>'Annual Raw'!U42</f>
        <v>14.951000000000001</v>
      </c>
      <c r="U142" s="23">
        <f>'Annual Raw'!V42</f>
        <v>26.86</v>
      </c>
      <c r="V142" s="23">
        <f>'Annual Raw'!W42</f>
        <v>29.187999999999999</v>
      </c>
      <c r="W142" s="23">
        <f>'Annual Raw'!X42</f>
        <v>35.152000000000001</v>
      </c>
      <c r="X142" s="23">
        <f>'Annual Raw'!Y42</f>
        <v>31.594999999999999</v>
      </c>
      <c r="Y142" s="23">
        <f>'Annual Raw'!Z42</f>
        <v>70.296999999999997</v>
      </c>
      <c r="Z142" s="23">
        <f>'Annual Raw'!AA42</f>
        <v>100.934</v>
      </c>
      <c r="AA142" s="23">
        <f>'Annual Raw'!AB42</f>
        <v>95.965999999999994</v>
      </c>
      <c r="AB142" s="24">
        <f t="shared" ref="AB142:AB143" si="1086">+CP142</f>
        <v>0</v>
      </c>
      <c r="AC142" s="24">
        <f t="shared" ref="AC142:AC143" si="1087">+CT142</f>
        <v>0</v>
      </c>
      <c r="AD142" s="24">
        <f t="shared" ref="AD142:AD143" si="1088">+CX142</f>
        <v>0</v>
      </c>
      <c r="AE142" s="24">
        <f t="shared" ref="AE142:AE143" si="1089">+DB142</f>
        <v>0</v>
      </c>
      <c r="AJ142" s="23">
        <f>+'QTR Raw'!D57</f>
        <v>0</v>
      </c>
      <c r="AK142" s="23">
        <f t="shared" ref="AK142:CE142" si="1090">+AJ142</f>
        <v>0</v>
      </c>
      <c r="AL142" s="23">
        <f>+'QTR Raw'!F57</f>
        <v>0</v>
      </c>
      <c r="AM142" s="23">
        <f t="shared" si="1090"/>
        <v>0</v>
      </c>
      <c r="AN142" s="23">
        <f>+'QTR Raw'!H57</f>
        <v>0</v>
      </c>
      <c r="AO142" s="23">
        <f t="shared" si="1090"/>
        <v>0</v>
      </c>
      <c r="AP142" s="23">
        <f>+'QTR Raw'!J57</f>
        <v>0</v>
      </c>
      <c r="AQ142" s="23">
        <f t="shared" si="1090"/>
        <v>0</v>
      </c>
      <c r="AR142" s="23">
        <f>+'QTR Raw'!L57</f>
        <v>0</v>
      </c>
      <c r="AS142" s="23">
        <f t="shared" si="1090"/>
        <v>0</v>
      </c>
      <c r="AT142" s="23">
        <f>+'QTR Raw'!N57</f>
        <v>0</v>
      </c>
      <c r="AU142" s="23">
        <f t="shared" si="1090"/>
        <v>0</v>
      </c>
      <c r="AV142" s="23">
        <f>+'QTR Raw'!P57</f>
        <v>0</v>
      </c>
      <c r="AW142" s="23">
        <f t="shared" si="1090"/>
        <v>0</v>
      </c>
      <c r="AX142" s="23">
        <f>+'QTR Raw'!R57</f>
        <v>0</v>
      </c>
      <c r="AY142" s="23">
        <f t="shared" si="1090"/>
        <v>0</v>
      </c>
      <c r="AZ142" s="23">
        <f>+'QTR Raw'!T57</f>
        <v>0</v>
      </c>
      <c r="BA142" s="23">
        <f t="shared" si="1090"/>
        <v>0</v>
      </c>
      <c r="BB142" s="23">
        <f>+'QTR Raw'!V57</f>
        <v>0</v>
      </c>
      <c r="BC142" s="23">
        <f t="shared" si="1090"/>
        <v>0</v>
      </c>
      <c r="BD142" s="23">
        <f>+'QTR Raw'!X57</f>
        <v>0</v>
      </c>
      <c r="BE142" s="23">
        <f t="shared" si="1090"/>
        <v>0</v>
      </c>
      <c r="BF142" s="23">
        <f>+'QTR Raw'!Z57</f>
        <v>0</v>
      </c>
      <c r="BG142" s="23">
        <f t="shared" si="1090"/>
        <v>0</v>
      </c>
      <c r="BH142" s="23">
        <f>+'QTR Raw'!AB57</f>
        <v>0</v>
      </c>
      <c r="BI142" s="23">
        <f t="shared" si="1090"/>
        <v>0</v>
      </c>
      <c r="BJ142" s="23">
        <f>+'QTR Raw'!AD57</f>
        <v>0</v>
      </c>
      <c r="BK142" s="23">
        <f t="shared" si="1090"/>
        <v>0</v>
      </c>
      <c r="BL142" s="23">
        <f>+'QTR Raw'!AF57</f>
        <v>1.1080000000000001</v>
      </c>
      <c r="BM142" s="23">
        <f t="shared" si="1090"/>
        <v>1.1080000000000001</v>
      </c>
      <c r="BN142" s="23">
        <f>+'QTR Raw'!AH57</f>
        <v>0</v>
      </c>
      <c r="BO142" s="23">
        <f t="shared" si="1090"/>
        <v>0</v>
      </c>
      <c r="BP142" s="23">
        <f>+'QTR Raw'!AJ57</f>
        <v>0</v>
      </c>
      <c r="BQ142" s="23">
        <f t="shared" si="1090"/>
        <v>0</v>
      </c>
      <c r="BR142" s="23">
        <f>+'QTR Raw'!AL57</f>
        <v>0</v>
      </c>
      <c r="BS142" s="23">
        <f t="shared" si="1090"/>
        <v>0</v>
      </c>
      <c r="BT142" s="23">
        <f>+'QTR Raw'!AN57</f>
        <v>0</v>
      </c>
      <c r="BU142" s="23">
        <f t="shared" si="1090"/>
        <v>0</v>
      </c>
      <c r="BV142" s="23">
        <f>+'QTR Raw'!AP57</f>
        <v>0</v>
      </c>
      <c r="BW142" s="23">
        <f t="shared" si="1090"/>
        <v>0</v>
      </c>
      <c r="BX142" s="23">
        <f>+'QTR Raw'!AR57</f>
        <v>0</v>
      </c>
      <c r="BY142" s="23">
        <f t="shared" si="1090"/>
        <v>0</v>
      </c>
      <c r="BZ142" s="23">
        <f>+'QTR Raw'!AT57</f>
        <v>0</v>
      </c>
      <c r="CA142" s="23">
        <f t="shared" si="1090"/>
        <v>0</v>
      </c>
      <c r="CB142" s="23">
        <f>+'QTR Raw'!AV57</f>
        <v>0</v>
      </c>
      <c r="CC142" s="23">
        <f t="shared" si="1090"/>
        <v>0</v>
      </c>
      <c r="CD142" s="23">
        <f>+'QTR Raw'!AX57</f>
        <v>0</v>
      </c>
      <c r="CE142" s="23">
        <f t="shared" si="1090"/>
        <v>0</v>
      </c>
      <c r="CF142" s="23">
        <f>+'QTR Raw'!AZ57</f>
        <v>0</v>
      </c>
      <c r="CG142" s="23">
        <f t="shared" si="1084"/>
        <v>0</v>
      </c>
      <c r="CH142" s="23">
        <f t="shared" ref="CH142:CH143" si="1091">Z142</f>
        <v>100.934</v>
      </c>
      <c r="CI142" s="23">
        <f>CH142</f>
        <v>100.934</v>
      </c>
      <c r="CJ142" s="23">
        <f>+'QTR Raw'!BD57</f>
        <v>0</v>
      </c>
      <c r="CK142" s="23">
        <f t="shared" ref="CK142:DB142" si="1092">CJ142</f>
        <v>0</v>
      </c>
      <c r="CL142" s="23">
        <f>+'QTR Raw'!BF57</f>
        <v>0</v>
      </c>
      <c r="CM142" s="24">
        <f t="shared" si="1092"/>
        <v>0</v>
      </c>
      <c r="CN142" s="24">
        <f t="shared" si="1092"/>
        <v>0</v>
      </c>
      <c r="CO142" s="24">
        <f t="shared" si="1092"/>
        <v>0</v>
      </c>
      <c r="CP142" s="24">
        <f t="shared" si="1092"/>
        <v>0</v>
      </c>
      <c r="CQ142" s="24">
        <f t="shared" si="1092"/>
        <v>0</v>
      </c>
      <c r="CR142" s="24">
        <f t="shared" si="1092"/>
        <v>0</v>
      </c>
      <c r="CS142" s="24">
        <f t="shared" si="1092"/>
        <v>0</v>
      </c>
      <c r="CT142" s="24">
        <f t="shared" si="1092"/>
        <v>0</v>
      </c>
      <c r="CU142" s="24">
        <f t="shared" si="1092"/>
        <v>0</v>
      </c>
      <c r="CV142" s="24">
        <f t="shared" si="1092"/>
        <v>0</v>
      </c>
      <c r="CW142" s="24">
        <f t="shared" si="1092"/>
        <v>0</v>
      </c>
      <c r="CX142" s="24">
        <f t="shared" si="1092"/>
        <v>0</v>
      </c>
      <c r="CY142" s="24">
        <f t="shared" si="1092"/>
        <v>0</v>
      </c>
      <c r="CZ142" s="24">
        <f t="shared" si="1092"/>
        <v>0</v>
      </c>
      <c r="DA142" s="24">
        <f t="shared" si="1092"/>
        <v>0</v>
      </c>
      <c r="DB142" s="24">
        <f t="shared" si="1092"/>
        <v>0</v>
      </c>
      <c r="DE142" s="123"/>
      <c r="DF142" s="23">
        <v>0</v>
      </c>
    </row>
    <row r="143" spans="1:110" s="23" customFormat="1" outlineLevel="1" x14ac:dyDescent="0.2">
      <c r="A143" s="23" t="s">
        <v>43</v>
      </c>
      <c r="B143" s="23">
        <f>'Annual Raw'!C43</f>
        <v>0</v>
      </c>
      <c r="C143" s="23">
        <f>'Annual Raw'!D43</f>
        <v>0</v>
      </c>
      <c r="D143" s="23">
        <f>'Annual Raw'!E43</f>
        <v>0</v>
      </c>
      <c r="E143" s="23">
        <f>'Annual Raw'!F43</f>
        <v>0</v>
      </c>
      <c r="F143" s="23">
        <f>'Annual Raw'!G43</f>
        <v>0</v>
      </c>
      <c r="G143" s="23">
        <f>'Annual Raw'!H43</f>
        <v>0</v>
      </c>
      <c r="H143" s="23">
        <f>'Annual Raw'!I43</f>
        <v>0</v>
      </c>
      <c r="I143" s="23">
        <f>'Annual Raw'!J43</f>
        <v>434.1420407</v>
      </c>
      <c r="J143" s="23">
        <f>'Annual Raw'!K43</f>
        <v>491.9366766</v>
      </c>
      <c r="K143" s="23">
        <f>'Annual Raw'!L43</f>
        <v>820.56181530000003</v>
      </c>
      <c r="L143" s="23">
        <f>'Annual Raw'!M43</f>
        <v>883.10299999999995</v>
      </c>
      <c r="M143" s="23">
        <f>'Annual Raw'!N43</f>
        <v>989.18299999999999</v>
      </c>
      <c r="N143" s="23">
        <f>'Annual Raw'!O43</f>
        <v>1222.931</v>
      </c>
      <c r="O143" s="23">
        <f>'Annual Raw'!P43</f>
        <v>1291.546</v>
      </c>
      <c r="P143" s="23">
        <f>'Annual Raw'!Q43</f>
        <v>1480.5909999999999</v>
      </c>
      <c r="Q143" s="23">
        <f>'Annual Raw'!R43</f>
        <v>1644.43</v>
      </c>
      <c r="R143" s="23">
        <f>'Annual Raw'!S43</f>
        <v>1852.337</v>
      </c>
      <c r="S143" s="23">
        <f>'Annual Raw'!T43</f>
        <v>2206.413</v>
      </c>
      <c r="T143" s="23">
        <f>'Annual Raw'!U43</f>
        <v>2690.7979999999998</v>
      </c>
      <c r="U143" s="23">
        <f>'Annual Raw'!V43</f>
        <v>3660.6759999999999</v>
      </c>
      <c r="V143" s="23">
        <f>'Annual Raw'!W43</f>
        <v>4575.6329999999998</v>
      </c>
      <c r="W143" s="23">
        <f>'Annual Raw'!X43</f>
        <v>5359.1459999999997</v>
      </c>
      <c r="X143" s="23">
        <f>'Annual Raw'!Y43</f>
        <v>6455.8469999999998</v>
      </c>
      <c r="Y143" s="23">
        <f>'Annual Raw'!Z43</f>
        <v>7966.6009999999997</v>
      </c>
      <c r="Z143" s="23">
        <f>'Annual Raw'!AA43</f>
        <v>9576.6949999999997</v>
      </c>
      <c r="AA143" s="23">
        <f>'Annual Raw'!AB43</f>
        <v>11762.058999999999</v>
      </c>
      <c r="AB143" s="24">
        <f t="shared" si="1086"/>
        <v>15048.319792810933</v>
      </c>
      <c r="AC143" s="24">
        <f t="shared" si="1087"/>
        <v>18755.940929866429</v>
      </c>
      <c r="AD143" s="24">
        <f t="shared" si="1088"/>
        <v>23072.07318901195</v>
      </c>
      <c r="AE143" s="24">
        <f t="shared" si="1089"/>
        <v>28041.43889466257</v>
      </c>
      <c r="AJ143" s="23">
        <f>+'QTR Raw'!D58</f>
        <v>0</v>
      </c>
      <c r="AK143" s="23">
        <f>+AJ143+AK72</f>
        <v>0</v>
      </c>
      <c r="AL143" s="23">
        <f>+'QTR Raw'!F58</f>
        <v>0</v>
      </c>
      <c r="AM143" s="23">
        <f>+AL143+AM72</f>
        <v>0</v>
      </c>
      <c r="AN143" s="23">
        <f>+'QTR Raw'!H58</f>
        <v>0</v>
      </c>
      <c r="AO143" s="23">
        <f>+AN143+AO72</f>
        <v>0</v>
      </c>
      <c r="AP143" s="23">
        <f>+'QTR Raw'!J58</f>
        <v>0</v>
      </c>
      <c r="AQ143" s="23">
        <f>+AP143+AQ72</f>
        <v>0</v>
      </c>
      <c r="AR143" s="23">
        <f>+'QTR Raw'!L58</f>
        <v>0</v>
      </c>
      <c r="AS143" s="23">
        <f>+AR143+AS72</f>
        <v>0</v>
      </c>
      <c r="AT143" s="23">
        <f>+'QTR Raw'!N58</f>
        <v>0</v>
      </c>
      <c r="AU143" s="23">
        <f>+AT143+AU72</f>
        <v>0</v>
      </c>
      <c r="AV143" s="23">
        <f>+'QTR Raw'!P58</f>
        <v>0</v>
      </c>
      <c r="AW143" s="23">
        <f>+AV143+AW72</f>
        <v>0</v>
      </c>
      <c r="AX143" s="23">
        <f>+'QTR Raw'!R58</f>
        <v>0</v>
      </c>
      <c r="AY143" s="23">
        <f>+AX143+AY72</f>
        <v>0</v>
      </c>
      <c r="AZ143" s="23">
        <f>+'QTR Raw'!T58</f>
        <v>0</v>
      </c>
      <c r="BA143" s="23">
        <f>+AZ143+BA72</f>
        <v>0</v>
      </c>
      <c r="BB143" s="23">
        <f>+'QTR Raw'!V58</f>
        <v>0</v>
      </c>
      <c r="BC143" s="23">
        <f>+BB143+BC72</f>
        <v>0</v>
      </c>
      <c r="BD143" s="23">
        <f>+'QTR Raw'!X58</f>
        <v>0</v>
      </c>
      <c r="BE143" s="23">
        <f>+BD143+BE72</f>
        <v>0</v>
      </c>
      <c r="BF143" s="23">
        <f>+'QTR Raw'!Z58</f>
        <v>2206.413</v>
      </c>
      <c r="BG143" s="23">
        <f>+BF143+BG72</f>
        <v>2283.415</v>
      </c>
      <c r="BH143" s="23">
        <f>+'QTR Raw'!AB58</f>
        <v>0</v>
      </c>
      <c r="BI143" s="23">
        <f>+BH143+BI72</f>
        <v>193.3360000000001</v>
      </c>
      <c r="BJ143" s="23">
        <f>+'QTR Raw'!AD58</f>
        <v>2705.7489999999998</v>
      </c>
      <c r="BK143" s="23">
        <f>+BJ143+BK72</f>
        <v>2840.2609999999995</v>
      </c>
      <c r="BL143" s="23">
        <f>+'QTR Raw'!AF58</f>
        <v>3367.732</v>
      </c>
      <c r="BM143" s="23">
        <f>+BL143+BM72</f>
        <v>3586.5119999999997</v>
      </c>
      <c r="BN143" s="23">
        <f>+'QTR Raw'!AH58</f>
        <v>3687.5360000000001</v>
      </c>
      <c r="BO143" s="23">
        <f>+BN143+BO72</f>
        <v>3805.1379999999999</v>
      </c>
      <c r="BP143" s="23">
        <f>+'QTR Raw'!AJ58</f>
        <v>4064.7150000000001</v>
      </c>
      <c r="BQ143" s="23">
        <f>+BP143+BQ72</f>
        <v>4327.2170000000006</v>
      </c>
      <c r="BR143" s="23">
        <f>+'QTR Raw'!AL58</f>
        <v>4604.8209999999999</v>
      </c>
      <c r="BS143" s="23">
        <f>+BR143+BS72</f>
        <v>4678.8059999999996</v>
      </c>
      <c r="BT143" s="23">
        <f>+'QTR Raw'!AN58</f>
        <v>4739.6689999999999</v>
      </c>
      <c r="BU143" s="23">
        <f>+BT143+BU72</f>
        <v>5054.1779999999999</v>
      </c>
      <c r="BV143" s="23">
        <f>+'QTR Raw'!AP58</f>
        <v>5394.2979999999998</v>
      </c>
      <c r="BW143" s="23">
        <f>+BV143+BW72</f>
        <v>5614.0549999999994</v>
      </c>
      <c r="BX143" s="23">
        <f>+'QTR Raw'!AR58</f>
        <v>5683.527</v>
      </c>
      <c r="BY143" s="23">
        <f>+BX143+BY72</f>
        <v>6041.4089999999997</v>
      </c>
      <c r="BZ143" s="23">
        <f>+'QTR Raw'!AT58</f>
        <v>6487.442</v>
      </c>
      <c r="CA143" s="23">
        <f>+BZ143+CA72</f>
        <v>6887.0650000000005</v>
      </c>
      <c r="CB143" s="23">
        <f>+'QTR Raw'!AV58</f>
        <v>7045.125</v>
      </c>
      <c r="CC143" s="23">
        <f>+CB143+CC72</f>
        <v>7457.9750000000004</v>
      </c>
      <c r="CD143" s="23">
        <f>+'QTR Raw'!AX58</f>
        <v>8036.8980000000001</v>
      </c>
      <c r="CE143" s="23">
        <f>+CD143+CE72</f>
        <v>8432.8520000000008</v>
      </c>
      <c r="CF143" s="23">
        <f>+'QTR Raw'!AZ58</f>
        <v>8443.5789999999997</v>
      </c>
      <c r="CG143" s="23">
        <f>+CF143+CG72</f>
        <v>8901.1360000000004</v>
      </c>
      <c r="CH143" s="23">
        <f t="shared" si="1091"/>
        <v>9576.6949999999997</v>
      </c>
      <c r="CI143" s="23">
        <f>CH143+CI72</f>
        <v>10168.815999999999</v>
      </c>
      <c r="CJ143" s="23">
        <f>+'QTR Raw'!BD58</f>
        <v>10443.191999999999</v>
      </c>
      <c r="CK143" s="23">
        <f t="shared" ref="CK143:DB143" si="1093">CJ143+CK72</f>
        <v>11064.881999999998</v>
      </c>
      <c r="CL143" s="23">
        <f>+'QTR Raw'!BF58</f>
        <v>11858.025</v>
      </c>
      <c r="CM143" s="24">
        <f t="shared" si="1093"/>
        <v>12508.07205874377</v>
      </c>
      <c r="CN143" s="24">
        <f t="shared" si="1093"/>
        <v>13231.577019666374</v>
      </c>
      <c r="CO143" s="24">
        <f t="shared" si="1093"/>
        <v>14067.568570398349</v>
      </c>
      <c r="CP143" s="24">
        <f t="shared" si="1093"/>
        <v>15048.319792810933</v>
      </c>
      <c r="CQ143" s="24">
        <f t="shared" si="1093"/>
        <v>15818.206819708861</v>
      </c>
      <c r="CR143" s="24">
        <f t="shared" si="1093"/>
        <v>16643.125636942648</v>
      </c>
      <c r="CS143" s="24">
        <f t="shared" si="1093"/>
        <v>17625.263932003607</v>
      </c>
      <c r="CT143" s="24">
        <f t="shared" si="1093"/>
        <v>18755.940929866429</v>
      </c>
      <c r="CU143" s="24">
        <f t="shared" si="1093"/>
        <v>19634.457425829609</v>
      </c>
      <c r="CV143" s="24">
        <f t="shared" si="1093"/>
        <v>20587.418901134741</v>
      </c>
      <c r="CW143" s="24">
        <f t="shared" si="1093"/>
        <v>21738.109537501274</v>
      </c>
      <c r="CX143" s="24">
        <f t="shared" si="1093"/>
        <v>23072.07318901195</v>
      </c>
      <c r="CY143" s="24">
        <f t="shared" si="1093"/>
        <v>24084.322135993403</v>
      </c>
      <c r="CZ143" s="24">
        <f t="shared" si="1093"/>
        <v>25184.188699045422</v>
      </c>
      <c r="DA143" s="24">
        <f t="shared" si="1093"/>
        <v>26511.200820283251</v>
      </c>
      <c r="DB143" s="24">
        <f t="shared" si="1093"/>
        <v>28041.43889466257</v>
      </c>
      <c r="DE143" s="123"/>
      <c r="DF143" s="23">
        <v>11883.36064459443</v>
      </c>
    </row>
    <row r="144" spans="1:110" s="22" customFormat="1" x14ac:dyDescent="0.2">
      <c r="A144" s="22" t="s">
        <v>44</v>
      </c>
      <c r="B144" s="22">
        <f>B141+B142+B143</f>
        <v>0</v>
      </c>
      <c r="C144" s="22">
        <f t="shared" ref="C144:V144" si="1094">C141+C142+C143</f>
        <v>0</v>
      </c>
      <c r="D144" s="22">
        <f t="shared" si="1094"/>
        <v>0</v>
      </c>
      <c r="E144" s="22">
        <f t="shared" si="1094"/>
        <v>0</v>
      </c>
      <c r="F144" s="22">
        <f t="shared" si="1094"/>
        <v>0</v>
      </c>
      <c r="G144" s="22">
        <f t="shared" si="1094"/>
        <v>0</v>
      </c>
      <c r="H144" s="22">
        <f t="shared" si="1094"/>
        <v>0</v>
      </c>
      <c r="I144" s="22">
        <f t="shared" si="1094"/>
        <v>494.1420407</v>
      </c>
      <c r="J144" s="22">
        <f t="shared" si="1094"/>
        <v>551.93667660000006</v>
      </c>
      <c r="K144" s="22">
        <f t="shared" si="1094"/>
        <v>886.1355853</v>
      </c>
      <c r="L144" s="22">
        <f t="shared" si="1094"/>
        <v>948.67699999999991</v>
      </c>
      <c r="M144" s="22">
        <f>M141+M142+M143</f>
        <v>1054.771</v>
      </c>
      <c r="N144" s="22">
        <f t="shared" si="1094"/>
        <v>1293.5340000000001</v>
      </c>
      <c r="O144" s="22">
        <f t="shared" si="1094"/>
        <v>1362.1490000000001</v>
      </c>
      <c r="P144" s="22">
        <f t="shared" si="1094"/>
        <v>1621.7969999999998</v>
      </c>
      <c r="Q144" s="22">
        <f t="shared" si="1094"/>
        <v>1785.64</v>
      </c>
      <c r="R144" s="22">
        <f t="shared" si="1094"/>
        <v>1993.5429999999999</v>
      </c>
      <c r="S144" s="22">
        <f t="shared" si="1094"/>
        <v>2347.6190000000001</v>
      </c>
      <c r="T144" s="22">
        <f t="shared" si="1094"/>
        <v>2846.9549999999999</v>
      </c>
      <c r="U144" s="22">
        <f t="shared" si="1094"/>
        <v>3836.415</v>
      </c>
      <c r="V144" s="22">
        <f t="shared" si="1094"/>
        <v>4753.9399999999996</v>
      </c>
      <c r="W144" s="22">
        <f t="shared" ref="W144" si="1095">W141+W142+W143</f>
        <v>5543.741</v>
      </c>
      <c r="X144" s="22">
        <f t="shared" ref="X144:Y144" si="1096">X141+X142+X143</f>
        <v>6637.2069999999994</v>
      </c>
      <c r="Y144" s="22">
        <f t="shared" si="1096"/>
        <v>8187.134</v>
      </c>
      <c r="Z144" s="22">
        <f t="shared" ref="Z144:AA144" si="1097">Z141+Z142+Z143</f>
        <v>9828.0550000000003</v>
      </c>
      <c r="AA144" s="22">
        <f t="shared" si="1097"/>
        <v>12008.575999999999</v>
      </c>
      <c r="AB144" s="21">
        <f t="shared" ref="AA144:AD144" si="1098">AB141+AB142+AB143</f>
        <v>15198.870792810932</v>
      </c>
      <c r="AC144" s="21">
        <f t="shared" si="1098"/>
        <v>18906.491929866428</v>
      </c>
      <c r="AD144" s="21">
        <f t="shared" si="1098"/>
        <v>23222.624189011949</v>
      </c>
      <c r="AE144" s="21">
        <f t="shared" ref="AE144" si="1099">AE141+AE142+AE143</f>
        <v>28191.989894662569</v>
      </c>
      <c r="AJ144" s="22">
        <f t="shared" ref="AJ144" si="1100">AJ141+AJ142+AJ143</f>
        <v>0</v>
      </c>
      <c r="AK144" s="22">
        <f t="shared" ref="AK144" si="1101">AK141+AK142+AK143</f>
        <v>0</v>
      </c>
      <c r="AL144" s="22">
        <f t="shared" ref="AL144:AM144" si="1102">AL141+AL142+AL143</f>
        <v>0</v>
      </c>
      <c r="AM144" s="22">
        <f t="shared" si="1102"/>
        <v>0</v>
      </c>
      <c r="AN144" s="22">
        <f t="shared" ref="AN144:AO144" si="1103">AN141+AN142+AN143</f>
        <v>0</v>
      </c>
      <c r="AO144" s="22">
        <f t="shared" si="1103"/>
        <v>0</v>
      </c>
      <c r="AP144" s="22">
        <f t="shared" ref="AP144:CE144" si="1104">AP141+AP142+AP143</f>
        <v>0</v>
      </c>
      <c r="AQ144" s="22">
        <f t="shared" si="1104"/>
        <v>0</v>
      </c>
      <c r="AR144" s="22">
        <f t="shared" si="1104"/>
        <v>0</v>
      </c>
      <c r="AS144" s="22">
        <f t="shared" si="1104"/>
        <v>0</v>
      </c>
      <c r="AT144" s="22">
        <f t="shared" si="1104"/>
        <v>0</v>
      </c>
      <c r="AU144" s="22">
        <f t="shared" si="1104"/>
        <v>0</v>
      </c>
      <c r="AV144" s="22">
        <f t="shared" si="1104"/>
        <v>0</v>
      </c>
      <c r="AW144" s="22">
        <f t="shared" si="1104"/>
        <v>0</v>
      </c>
      <c r="AX144" s="22">
        <f t="shared" si="1104"/>
        <v>0</v>
      </c>
      <c r="AY144" s="22">
        <f t="shared" si="1104"/>
        <v>0</v>
      </c>
      <c r="AZ144" s="22">
        <f t="shared" si="1104"/>
        <v>0</v>
      </c>
      <c r="BA144" s="22">
        <f t="shared" si="1104"/>
        <v>0</v>
      </c>
      <c r="BB144" s="22">
        <f t="shared" si="1104"/>
        <v>0</v>
      </c>
      <c r="BC144" s="22">
        <f t="shared" si="1104"/>
        <v>0</v>
      </c>
      <c r="BD144" s="22">
        <f t="shared" si="1104"/>
        <v>0</v>
      </c>
      <c r="BE144" s="22">
        <f t="shared" si="1104"/>
        <v>0</v>
      </c>
      <c r="BF144" s="22">
        <f t="shared" si="1104"/>
        <v>2347.6190000000001</v>
      </c>
      <c r="BG144" s="22">
        <f t="shared" si="1104"/>
        <v>2424.6210000000001</v>
      </c>
      <c r="BH144" s="22">
        <f t="shared" si="1104"/>
        <v>0</v>
      </c>
      <c r="BI144" s="22">
        <f t="shared" si="1104"/>
        <v>193.3360000000001</v>
      </c>
      <c r="BJ144" s="22">
        <f t="shared" si="1104"/>
        <v>2846.9549999999999</v>
      </c>
      <c r="BK144" s="22">
        <f t="shared" si="1104"/>
        <v>2981.4669999999996</v>
      </c>
      <c r="BL144" s="22">
        <f t="shared" si="1104"/>
        <v>3517.4859999999999</v>
      </c>
      <c r="BM144" s="22">
        <f t="shared" si="1104"/>
        <v>3736.2659999999996</v>
      </c>
      <c r="BN144" s="22">
        <f t="shared" si="1104"/>
        <v>3836.415</v>
      </c>
      <c r="BO144" s="22">
        <f t="shared" si="1104"/>
        <v>3954.0169999999998</v>
      </c>
      <c r="BP144" s="22">
        <f t="shared" si="1104"/>
        <v>4213.6930000000002</v>
      </c>
      <c r="BQ144" s="22">
        <f t="shared" si="1104"/>
        <v>4476.1950000000006</v>
      </c>
      <c r="BR144" s="22">
        <f t="shared" si="1104"/>
        <v>4753.9399999999996</v>
      </c>
      <c r="BS144" s="22">
        <f t="shared" si="1104"/>
        <v>4827.9249999999993</v>
      </c>
      <c r="BT144" s="22">
        <f t="shared" si="1104"/>
        <v>4888.9250000000002</v>
      </c>
      <c r="BU144" s="22">
        <f t="shared" si="1104"/>
        <v>5203.4340000000002</v>
      </c>
      <c r="BV144" s="22">
        <f t="shared" si="1104"/>
        <v>5543.741</v>
      </c>
      <c r="BW144" s="22">
        <f t="shared" si="1104"/>
        <v>5763.4979999999996</v>
      </c>
      <c r="BX144" s="22">
        <f t="shared" si="1104"/>
        <v>5833.1779999999999</v>
      </c>
      <c r="BY144" s="22">
        <f t="shared" si="1104"/>
        <v>6191.0599999999995</v>
      </c>
      <c r="BZ144" s="22">
        <f t="shared" si="1104"/>
        <v>6637.2070000000003</v>
      </c>
      <c r="CA144" s="22">
        <f t="shared" si="1104"/>
        <v>7036.8300000000008</v>
      </c>
      <c r="CB144" s="22">
        <f t="shared" si="1104"/>
        <v>7195.1319999999996</v>
      </c>
      <c r="CC144" s="22">
        <f t="shared" si="1104"/>
        <v>7607.982</v>
      </c>
      <c r="CD144" s="22">
        <f t="shared" si="1104"/>
        <v>8187.134</v>
      </c>
      <c r="CE144" s="22">
        <f t="shared" si="1104"/>
        <v>8583.0880000000016</v>
      </c>
      <c r="CF144" s="22">
        <f t="shared" ref="CF144:CG144" si="1105">CF141+CF142+CF143</f>
        <v>8593.9679999999989</v>
      </c>
      <c r="CG144" s="22">
        <f t="shared" si="1105"/>
        <v>9051.5249999999996</v>
      </c>
      <c r="CH144" s="22">
        <f t="shared" ref="CH144:CI144" si="1106">CH141+CH142+CH143</f>
        <v>9828.0550000000003</v>
      </c>
      <c r="CI144" s="22">
        <f t="shared" si="1106"/>
        <v>10420.175999999999</v>
      </c>
      <c r="CJ144" s="22">
        <f t="shared" ref="CJ144:DB144" si="1107">CJ141+CJ142+CJ143</f>
        <v>10593.722</v>
      </c>
      <c r="CK144" s="22">
        <f t="shared" si="1107"/>
        <v>11215.411999999998</v>
      </c>
      <c r="CL144" s="22">
        <f t="shared" ref="CL144" si="1108">CL141+CL142+CL143</f>
        <v>12008.575999999999</v>
      </c>
      <c r="CM144" s="21">
        <f t="shared" si="1107"/>
        <v>12658.623058743769</v>
      </c>
      <c r="CN144" s="21">
        <f t="shared" si="1107"/>
        <v>13382.128019666374</v>
      </c>
      <c r="CO144" s="21">
        <f t="shared" si="1107"/>
        <v>14218.119570398349</v>
      </c>
      <c r="CP144" s="21">
        <f t="shared" si="1107"/>
        <v>15198.870792810932</v>
      </c>
      <c r="CQ144" s="21">
        <f t="shared" si="1107"/>
        <v>15968.757819708861</v>
      </c>
      <c r="CR144" s="21">
        <f t="shared" si="1107"/>
        <v>16793.676636942648</v>
      </c>
      <c r="CS144" s="21">
        <f t="shared" si="1107"/>
        <v>17775.814932003606</v>
      </c>
      <c r="CT144" s="21">
        <f t="shared" si="1107"/>
        <v>18906.491929866428</v>
      </c>
      <c r="CU144" s="21">
        <f t="shared" si="1107"/>
        <v>19785.008425829608</v>
      </c>
      <c r="CV144" s="21">
        <f t="shared" si="1107"/>
        <v>20737.96990113474</v>
      </c>
      <c r="CW144" s="21">
        <f t="shared" si="1107"/>
        <v>21888.660537501273</v>
      </c>
      <c r="CX144" s="21">
        <f t="shared" si="1107"/>
        <v>23222.624189011949</v>
      </c>
      <c r="CY144" s="21">
        <f t="shared" si="1107"/>
        <v>24234.873135993403</v>
      </c>
      <c r="CZ144" s="21">
        <f t="shared" si="1107"/>
        <v>25334.739699045422</v>
      </c>
      <c r="DA144" s="21">
        <f t="shared" si="1107"/>
        <v>26661.751820283251</v>
      </c>
      <c r="DB144" s="21">
        <f t="shared" si="1107"/>
        <v>28191.989894662569</v>
      </c>
      <c r="DE144" s="126"/>
      <c r="DF144" s="22">
        <v>12033.89064459443</v>
      </c>
    </row>
    <row r="145" spans="1:110" s="22" customFormat="1" x14ac:dyDescent="0.2">
      <c r="AB145" s="21"/>
      <c r="AC145" s="21"/>
      <c r="AD145" s="21"/>
      <c r="AE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E145" s="126"/>
    </row>
    <row r="146" spans="1:110" s="23" customFormat="1" x14ac:dyDescent="0.2">
      <c r="A146" s="23" t="s">
        <v>23</v>
      </c>
      <c r="B146" s="23">
        <f>'Annual Raw'!C45</f>
        <v>0</v>
      </c>
      <c r="C146" s="23">
        <f>'Annual Raw'!D45</f>
        <v>0</v>
      </c>
      <c r="D146" s="23">
        <f>'Annual Raw'!E45</f>
        <v>0</v>
      </c>
      <c r="E146" s="23">
        <f>'Annual Raw'!F45</f>
        <v>0</v>
      </c>
      <c r="F146" s="23">
        <f>'Annual Raw'!G45</f>
        <v>0</v>
      </c>
      <c r="G146" s="23">
        <f>'Annual Raw'!H45</f>
        <v>0</v>
      </c>
      <c r="H146" s="23">
        <f>'Annual Raw'!I45</f>
        <v>0</v>
      </c>
      <c r="I146" s="23">
        <f>'Annual Raw'!J45</f>
        <v>0</v>
      </c>
      <c r="J146" s="23">
        <f>'Annual Raw'!K45</f>
        <v>0</v>
      </c>
      <c r="K146" s="23">
        <f>'Annual Raw'!L45</f>
        <v>0</v>
      </c>
      <c r="L146" s="23">
        <f>'Annual Raw'!M45</f>
        <v>0</v>
      </c>
      <c r="M146" s="23">
        <f>'Annual Raw'!N45</f>
        <v>0</v>
      </c>
      <c r="N146" s="23">
        <f>'Annual Raw'!O45</f>
        <v>0</v>
      </c>
      <c r="O146" s="23">
        <f>'Annual Raw'!P45</f>
        <v>0</v>
      </c>
      <c r="P146" s="23">
        <f>'Annual Raw'!Q45</f>
        <v>6.0000000000000001E-3</v>
      </c>
      <c r="Q146" s="23">
        <f>'Annual Raw'!R45</f>
        <v>2.8</v>
      </c>
      <c r="R146" s="23">
        <f>'Annual Raw'!S45</f>
        <v>3.0510000000000002</v>
      </c>
      <c r="S146" s="23">
        <f>'Annual Raw'!T45</f>
        <v>4.0490000000000004</v>
      </c>
      <c r="T146" s="23">
        <f>'Annual Raw'!U45</f>
        <v>8.4250000000000007</v>
      </c>
      <c r="U146" s="23">
        <f>'Annual Raw'!V45</f>
        <v>15</v>
      </c>
      <c r="V146" s="23">
        <f>'Annual Raw'!W45</f>
        <v>18.829000000000001</v>
      </c>
      <c r="W146" s="23">
        <f>'Annual Raw'!X45</f>
        <v>25.07</v>
      </c>
      <c r="X146" s="23">
        <f>'Annual Raw'!Y45</f>
        <v>37.377000000000002</v>
      </c>
      <c r="Y146" s="23">
        <f>'Annual Raw'!Z45</f>
        <v>56.207000000000001</v>
      </c>
      <c r="Z146" s="23">
        <f>'Annual Raw'!AA45</f>
        <v>81.769000000000005</v>
      </c>
      <c r="AA146" s="23">
        <f>'Annual Raw'!AB45</f>
        <v>118.193</v>
      </c>
      <c r="AB146" s="24">
        <f>+CP146</f>
        <v>118.193</v>
      </c>
      <c r="AC146" s="24">
        <f>+CT146</f>
        <v>118.193</v>
      </c>
      <c r="AD146" s="24">
        <f>+CX146</f>
        <v>118.193</v>
      </c>
      <c r="AE146" s="24">
        <f>+DB146</f>
        <v>118.193</v>
      </c>
      <c r="AJ146" s="23">
        <f>+'QTR Raw'!D60</f>
        <v>0</v>
      </c>
      <c r="AK146" s="23">
        <f t="shared" ref="AK146:CE146" si="1109">+AJ146</f>
        <v>0</v>
      </c>
      <c r="AL146" s="23">
        <f>+'QTR Raw'!F60</f>
        <v>0</v>
      </c>
      <c r="AM146" s="23">
        <f t="shared" si="1109"/>
        <v>0</v>
      </c>
      <c r="AN146" s="23">
        <f>+'QTR Raw'!H60</f>
        <v>0</v>
      </c>
      <c r="AO146" s="23">
        <f t="shared" si="1109"/>
        <v>0</v>
      </c>
      <c r="AP146" s="23">
        <f>+'QTR Raw'!J60</f>
        <v>0</v>
      </c>
      <c r="AQ146" s="23">
        <f t="shared" si="1109"/>
        <v>0</v>
      </c>
      <c r="AR146" s="23">
        <f>+'QTR Raw'!L60</f>
        <v>0</v>
      </c>
      <c r="AS146" s="23">
        <f t="shared" si="1109"/>
        <v>0</v>
      </c>
      <c r="AT146" s="23">
        <f>+'QTR Raw'!N60</f>
        <v>0</v>
      </c>
      <c r="AU146" s="23">
        <f t="shared" si="1109"/>
        <v>0</v>
      </c>
      <c r="AV146" s="23">
        <f>+'QTR Raw'!P60</f>
        <v>0</v>
      </c>
      <c r="AW146" s="23">
        <f t="shared" si="1109"/>
        <v>0</v>
      </c>
      <c r="AX146" s="23">
        <f>+'QTR Raw'!R60</f>
        <v>0</v>
      </c>
      <c r="AY146" s="23">
        <f t="shared" si="1109"/>
        <v>0</v>
      </c>
      <c r="AZ146" s="23">
        <f>+'QTR Raw'!T60</f>
        <v>0</v>
      </c>
      <c r="BA146" s="23">
        <f t="shared" si="1109"/>
        <v>0</v>
      </c>
      <c r="BB146" s="23">
        <f>+'QTR Raw'!V60</f>
        <v>0</v>
      </c>
      <c r="BC146" s="23">
        <f t="shared" si="1109"/>
        <v>0</v>
      </c>
      <c r="BD146" s="23">
        <f>+'QTR Raw'!X60</f>
        <v>0</v>
      </c>
      <c r="BE146" s="23">
        <f t="shared" si="1109"/>
        <v>0</v>
      </c>
      <c r="BF146" s="23">
        <f>+'QTR Raw'!Z60</f>
        <v>4.0490000000000004</v>
      </c>
      <c r="BG146" s="23">
        <f t="shared" si="1109"/>
        <v>4.0490000000000004</v>
      </c>
      <c r="BH146" s="22">
        <f>+'QTR Raw'!AB60</f>
        <v>0</v>
      </c>
      <c r="BI146" s="23">
        <f t="shared" si="1109"/>
        <v>0</v>
      </c>
      <c r="BJ146" s="23">
        <f>+'QTR Raw'!AD60</f>
        <v>8.4250000000000007</v>
      </c>
      <c r="BK146" s="23">
        <f t="shared" si="1109"/>
        <v>8.4250000000000007</v>
      </c>
      <c r="BL146" s="23">
        <f>+'QTR Raw'!AF60</f>
        <v>11.153</v>
      </c>
      <c r="BM146" s="23">
        <f t="shared" si="1109"/>
        <v>11.153</v>
      </c>
      <c r="BN146" s="23">
        <f>+'QTR Raw'!AH60</f>
        <v>15</v>
      </c>
      <c r="BO146" s="23">
        <f t="shared" si="1109"/>
        <v>15</v>
      </c>
      <c r="BP146" s="23">
        <f>+'QTR Raw'!AJ60</f>
        <v>15.959</v>
      </c>
      <c r="BQ146" s="23">
        <f t="shared" si="1109"/>
        <v>15.959</v>
      </c>
      <c r="BR146" s="23">
        <f>+'QTR Raw'!AL60</f>
        <v>18.829000000000001</v>
      </c>
      <c r="BS146" s="23">
        <f t="shared" si="1109"/>
        <v>18.829000000000001</v>
      </c>
      <c r="BT146" s="23">
        <f>+'QTR Raw'!AN60</f>
        <v>22.706</v>
      </c>
      <c r="BU146" s="23">
        <f t="shared" si="1109"/>
        <v>22.706</v>
      </c>
      <c r="BV146" s="23">
        <f>+'QTR Raw'!AP60</f>
        <v>25.07</v>
      </c>
      <c r="BW146" s="23">
        <f t="shared" si="1109"/>
        <v>25.07</v>
      </c>
      <c r="BX146" s="23">
        <f>+'QTR Raw'!AR60</f>
        <v>30.518000000000001</v>
      </c>
      <c r="BY146" s="23">
        <f t="shared" si="1109"/>
        <v>30.518000000000001</v>
      </c>
      <c r="BZ146" s="23">
        <f>+'QTR Raw'!AT60</f>
        <v>37.377000000000002</v>
      </c>
      <c r="CA146" s="23">
        <f t="shared" si="1109"/>
        <v>37.377000000000002</v>
      </c>
      <c r="CB146" s="23">
        <f>+'QTR Raw'!AV60</f>
        <v>45.076999999999998</v>
      </c>
      <c r="CC146" s="23">
        <f t="shared" si="1109"/>
        <v>45.076999999999998</v>
      </c>
      <c r="CD146" s="23">
        <f>+'QTR Raw'!AX60</f>
        <v>56.207000000000001</v>
      </c>
      <c r="CE146" s="23">
        <f t="shared" si="1109"/>
        <v>56.207000000000001</v>
      </c>
      <c r="CF146" s="23">
        <f>+'QTR Raw'!AZ60</f>
        <v>67.266999999999996</v>
      </c>
      <c r="CG146" s="23">
        <f t="shared" ref="CG146:CI146" si="1110">+CF146</f>
        <v>67.266999999999996</v>
      </c>
      <c r="CH146" s="23">
        <f t="shared" ref="CH146:CH151" si="1111">Z146</f>
        <v>81.769000000000005</v>
      </c>
      <c r="CI146" s="23">
        <f t="shared" si="1110"/>
        <v>81.769000000000005</v>
      </c>
      <c r="CJ146" s="23">
        <f>+'QTR Raw'!BD60</f>
        <v>96.843999999999994</v>
      </c>
      <c r="CK146" s="23">
        <f t="shared" ref="CK146" si="1112">+CJ146</f>
        <v>96.843999999999994</v>
      </c>
      <c r="CL146" s="23">
        <f>+'QTR Raw'!BF60</f>
        <v>118.193</v>
      </c>
      <c r="CM146" s="24">
        <f t="shared" ref="CM146" si="1113">+CL146</f>
        <v>118.193</v>
      </c>
      <c r="CN146" s="24">
        <f t="shared" ref="CN146" si="1114">+CM146</f>
        <v>118.193</v>
      </c>
      <c r="CO146" s="24">
        <f t="shared" ref="CO146" si="1115">+CN146</f>
        <v>118.193</v>
      </c>
      <c r="CP146" s="24">
        <f t="shared" ref="CP146" si="1116">+CO146</f>
        <v>118.193</v>
      </c>
      <c r="CQ146" s="24">
        <f t="shared" ref="CQ146" si="1117">+CP146</f>
        <v>118.193</v>
      </c>
      <c r="CR146" s="24">
        <f t="shared" ref="CR146" si="1118">+CQ146</f>
        <v>118.193</v>
      </c>
      <c r="CS146" s="24">
        <f t="shared" ref="CS146" si="1119">+CR146</f>
        <v>118.193</v>
      </c>
      <c r="CT146" s="24">
        <f t="shared" ref="CT146" si="1120">+CS146</f>
        <v>118.193</v>
      </c>
      <c r="CU146" s="24">
        <f t="shared" ref="CU146" si="1121">+CT146</f>
        <v>118.193</v>
      </c>
      <c r="CV146" s="24">
        <f t="shared" ref="CV146" si="1122">+CU146</f>
        <v>118.193</v>
      </c>
      <c r="CW146" s="24">
        <f t="shared" ref="CW146" si="1123">+CV146</f>
        <v>118.193</v>
      </c>
      <c r="CX146" s="24">
        <f t="shared" ref="CX146" si="1124">+CW146</f>
        <v>118.193</v>
      </c>
      <c r="CY146" s="24">
        <f t="shared" ref="CY146" si="1125">+CX146</f>
        <v>118.193</v>
      </c>
      <c r="CZ146" s="24">
        <f t="shared" ref="CZ146" si="1126">+CY146</f>
        <v>118.193</v>
      </c>
      <c r="DA146" s="24">
        <f t="shared" ref="DA146" si="1127">+CZ146</f>
        <v>118.193</v>
      </c>
      <c r="DB146" s="24">
        <f t="shared" ref="DB146" si="1128">+DA146</f>
        <v>118.193</v>
      </c>
      <c r="DE146" s="123"/>
      <c r="DF146" s="23">
        <v>96.843999999999994</v>
      </c>
    </row>
    <row r="147" spans="1:110" s="23" customFormat="1" x14ac:dyDescent="0.2">
      <c r="AB147" s="24"/>
      <c r="AC147" s="24"/>
      <c r="AD147" s="24"/>
      <c r="AE147" s="24"/>
      <c r="BH147" s="22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</row>
    <row r="148" spans="1:110" s="23" customFormat="1" outlineLevel="1" x14ac:dyDescent="0.2">
      <c r="A148" s="23" t="s">
        <v>45</v>
      </c>
      <c r="B148" s="23">
        <f>'Annual Raw'!C47</f>
        <v>0</v>
      </c>
      <c r="C148" s="23">
        <f>'Annual Raw'!D47</f>
        <v>0</v>
      </c>
      <c r="D148" s="23">
        <f>'Annual Raw'!E47</f>
        <v>0</v>
      </c>
      <c r="E148" s="23">
        <f>'Annual Raw'!F47</f>
        <v>0</v>
      </c>
      <c r="F148" s="23">
        <f>'Annual Raw'!G47</f>
        <v>0</v>
      </c>
      <c r="G148" s="23">
        <f>'Annual Raw'!H47</f>
        <v>0</v>
      </c>
      <c r="H148" s="23">
        <f>'Annual Raw'!I47</f>
        <v>0</v>
      </c>
      <c r="I148" s="23">
        <f>'Annual Raw'!J47</f>
        <v>377.10914889999998</v>
      </c>
      <c r="J148" s="23">
        <f>'Annual Raw'!K47</f>
        <v>435.59960419999999</v>
      </c>
      <c r="K148" s="23">
        <f>'Annual Raw'!L47</f>
        <v>857.36587059999999</v>
      </c>
      <c r="L148" s="23">
        <f>'Annual Raw'!M47</f>
        <v>46.363</v>
      </c>
      <c r="M148" s="23">
        <f>'Annual Raw'!N47</f>
        <v>0</v>
      </c>
      <c r="N148" s="23">
        <f>'Annual Raw'!O47</f>
        <v>0</v>
      </c>
      <c r="O148" s="23">
        <f>'Annual Raw'!P47</f>
        <v>0</v>
      </c>
      <c r="P148" s="23">
        <f>'Annual Raw'!Q47</f>
        <v>0</v>
      </c>
      <c r="Q148" s="23">
        <f>'Annual Raw'!R47</f>
        <v>100.85</v>
      </c>
      <c r="R148" s="23">
        <f>'Annual Raw'!S47</f>
        <v>161.76499999999999</v>
      </c>
      <c r="S148" s="23">
        <f>'Annual Raw'!T47</f>
        <v>158.94900000000001</v>
      </c>
      <c r="T148" s="23">
        <f>'Annual Raw'!U47</f>
        <v>88.924999999999997</v>
      </c>
      <c r="U148" s="23">
        <f>'Annual Raw'!V47</f>
        <v>10.654999999999999</v>
      </c>
      <c r="V148" s="23">
        <f>'Annual Raw'!W47</f>
        <v>103.676</v>
      </c>
      <c r="W148" s="23">
        <f>'Annual Raw'!X47</f>
        <v>2.9740000000000002</v>
      </c>
      <c r="X148" s="23">
        <f>'Annual Raw'!Y47</f>
        <v>4.2080000000000002</v>
      </c>
      <c r="Y148" s="23">
        <f>'Annual Raw'!Z47</f>
        <v>22.603999999999999</v>
      </c>
      <c r="Z148" s="23">
        <f>'Annual Raw'!AA47</f>
        <v>41.94</v>
      </c>
      <c r="AA148" s="23">
        <f>'Annual Raw'!AB47</f>
        <v>39.267000000000003</v>
      </c>
      <c r="AB148" s="24">
        <f t="shared" ref="AB148:AB151" si="1129">+CP148</f>
        <v>0</v>
      </c>
      <c r="AC148" s="24">
        <f t="shared" ref="AC148:AC151" si="1130">+CT148</f>
        <v>0</v>
      </c>
      <c r="AD148" s="24">
        <f t="shared" ref="AD148:AD151" si="1131">+CX148</f>
        <v>0</v>
      </c>
      <c r="AE148" s="24">
        <f t="shared" ref="AE148:AE151" si="1132">+DB148</f>
        <v>0</v>
      </c>
      <c r="AJ148" s="23">
        <f>+'QTR Raw'!D62</f>
        <v>0</v>
      </c>
      <c r="AK148" s="23">
        <f t="shared" ref="AK148:CC151" si="1133">+AJ148</f>
        <v>0</v>
      </c>
      <c r="AL148" s="23">
        <f>+'QTR Raw'!F62</f>
        <v>0</v>
      </c>
      <c r="AM148" s="23">
        <f t="shared" si="1133"/>
        <v>0</v>
      </c>
      <c r="AN148" s="23">
        <f>+'QTR Raw'!H62</f>
        <v>0</v>
      </c>
      <c r="AO148" s="23">
        <f t="shared" si="1133"/>
        <v>0</v>
      </c>
      <c r="AP148" s="23">
        <f>+'QTR Raw'!J62</f>
        <v>0</v>
      </c>
      <c r="AQ148" s="23">
        <f t="shared" si="1133"/>
        <v>0</v>
      </c>
      <c r="AR148" s="23">
        <f>+'QTR Raw'!L62</f>
        <v>0</v>
      </c>
      <c r="AS148" s="23">
        <f t="shared" si="1133"/>
        <v>0</v>
      </c>
      <c r="AT148" s="23">
        <f>+'QTR Raw'!N62</f>
        <v>0</v>
      </c>
      <c r="AU148" s="23">
        <f t="shared" si="1133"/>
        <v>0</v>
      </c>
      <c r="AV148" s="23">
        <f>+'QTR Raw'!P62</f>
        <v>0</v>
      </c>
      <c r="AW148" s="23">
        <f t="shared" si="1133"/>
        <v>0</v>
      </c>
      <c r="AX148" s="23">
        <f>+'QTR Raw'!R62</f>
        <v>0</v>
      </c>
      <c r="AY148" s="23">
        <f t="shared" si="1133"/>
        <v>0</v>
      </c>
      <c r="AZ148" s="23">
        <f>+'QTR Raw'!T62</f>
        <v>0</v>
      </c>
      <c r="BA148" s="23">
        <f t="shared" si="1133"/>
        <v>0</v>
      </c>
      <c r="BB148" s="23">
        <f>+'QTR Raw'!V62</f>
        <v>0</v>
      </c>
      <c r="BC148" s="23">
        <f t="shared" si="1133"/>
        <v>0</v>
      </c>
      <c r="BD148" s="23">
        <f>+'QTR Raw'!X62</f>
        <v>0</v>
      </c>
      <c r="BE148" s="23">
        <f t="shared" si="1133"/>
        <v>0</v>
      </c>
      <c r="BF148" s="23">
        <f>+'QTR Raw'!Z62</f>
        <v>0</v>
      </c>
      <c r="BG148" s="23">
        <f t="shared" si="1133"/>
        <v>0</v>
      </c>
      <c r="BH148" s="22">
        <f>+'QTR Raw'!AB62</f>
        <v>0</v>
      </c>
      <c r="BI148" s="23">
        <f t="shared" si="1133"/>
        <v>0</v>
      </c>
      <c r="BJ148" s="23">
        <f>+'QTR Raw'!AD62</f>
        <v>0</v>
      </c>
      <c r="BK148" s="23">
        <f t="shared" si="1133"/>
        <v>0</v>
      </c>
      <c r="BL148" s="23">
        <f>+'QTR Raw'!AF62</f>
        <v>0</v>
      </c>
      <c r="BM148" s="23">
        <f t="shared" si="1133"/>
        <v>0</v>
      </c>
      <c r="BN148" s="23">
        <f>+'QTR Raw'!AH62</f>
        <v>0</v>
      </c>
      <c r="BO148" s="23">
        <f t="shared" si="1133"/>
        <v>0</v>
      </c>
      <c r="BP148" s="23">
        <f>+'QTR Raw'!AJ62</f>
        <v>0</v>
      </c>
      <c r="BQ148" s="23">
        <f t="shared" si="1133"/>
        <v>0</v>
      </c>
      <c r="BR148" s="23">
        <f>+'QTR Raw'!AL62</f>
        <v>0</v>
      </c>
      <c r="BS148" s="23">
        <f t="shared" si="1133"/>
        <v>0</v>
      </c>
      <c r="BT148" s="23">
        <f>+'QTR Raw'!AN62</f>
        <v>0</v>
      </c>
      <c r="BU148" s="23">
        <f t="shared" si="1133"/>
        <v>0</v>
      </c>
      <c r="BV148" s="23">
        <f>+'QTR Raw'!AP62</f>
        <v>0</v>
      </c>
      <c r="BW148" s="23">
        <f t="shared" si="1133"/>
        <v>0</v>
      </c>
      <c r="BX148" s="23">
        <f>+'QTR Raw'!AR62</f>
        <v>0</v>
      </c>
      <c r="BY148" s="23">
        <f t="shared" si="1133"/>
        <v>0</v>
      </c>
      <c r="BZ148" s="23">
        <f>+'QTR Raw'!AT62</f>
        <v>0</v>
      </c>
      <c r="CA148" s="23">
        <f t="shared" si="1133"/>
        <v>0</v>
      </c>
      <c r="CB148" s="23">
        <f>+'QTR Raw'!AV62</f>
        <v>0</v>
      </c>
      <c r="CC148" s="23">
        <f t="shared" si="1133"/>
        <v>0</v>
      </c>
      <c r="CD148" s="23">
        <f>+'QTR Raw'!AX62</f>
        <v>0</v>
      </c>
      <c r="CE148" s="23">
        <f t="shared" ref="CE148:CE151" si="1134">+CD148</f>
        <v>0</v>
      </c>
      <c r="CF148" s="23">
        <f>+'QTR Raw'!AZ62</f>
        <v>0</v>
      </c>
      <c r="CG148" s="23">
        <f t="shared" ref="CG148:CI151" si="1135">+CF148</f>
        <v>0</v>
      </c>
      <c r="CH148" s="23">
        <f t="shared" si="1111"/>
        <v>41.94</v>
      </c>
      <c r="CI148" s="23">
        <f t="shared" si="1135"/>
        <v>41.94</v>
      </c>
      <c r="CJ148" s="23">
        <f>+'QTR Raw'!BD62</f>
        <v>0</v>
      </c>
      <c r="CK148" s="23">
        <f t="shared" ref="CK148:CK151" si="1136">+CJ148</f>
        <v>0</v>
      </c>
      <c r="CL148" s="23">
        <f>+'QTR Raw'!BF62</f>
        <v>0</v>
      </c>
      <c r="CM148" s="24">
        <f t="shared" ref="CM148:CM151" si="1137">+CL148</f>
        <v>0</v>
      </c>
      <c r="CN148" s="24">
        <f t="shared" ref="CN148:CN151" si="1138">+CM148</f>
        <v>0</v>
      </c>
      <c r="CO148" s="24">
        <f t="shared" ref="CO148:CO151" si="1139">+CN148</f>
        <v>0</v>
      </c>
      <c r="CP148" s="24">
        <f t="shared" ref="CP148:CP151" si="1140">+CO148</f>
        <v>0</v>
      </c>
      <c r="CQ148" s="24">
        <f t="shared" ref="CQ148:CQ151" si="1141">+CP148</f>
        <v>0</v>
      </c>
      <c r="CR148" s="24">
        <f t="shared" ref="CR148:CR151" si="1142">+CQ148</f>
        <v>0</v>
      </c>
      <c r="CS148" s="24">
        <f t="shared" ref="CS148:CS151" si="1143">+CR148</f>
        <v>0</v>
      </c>
      <c r="CT148" s="24">
        <f t="shared" ref="CT148:CT151" si="1144">+CS148</f>
        <v>0</v>
      </c>
      <c r="CU148" s="24">
        <f t="shared" ref="CU148:CU151" si="1145">+CT148</f>
        <v>0</v>
      </c>
      <c r="CV148" s="24">
        <f t="shared" ref="CV148:CV151" si="1146">+CU148</f>
        <v>0</v>
      </c>
      <c r="CW148" s="24">
        <f t="shared" ref="CW148:CW151" si="1147">+CV148</f>
        <v>0</v>
      </c>
      <c r="CX148" s="24">
        <f t="shared" ref="CX148:CX151" si="1148">+CW148</f>
        <v>0</v>
      </c>
      <c r="CY148" s="24">
        <f t="shared" ref="CY148:CY151" si="1149">+CX148</f>
        <v>0</v>
      </c>
      <c r="CZ148" s="24">
        <f t="shared" ref="CZ148:CZ151" si="1150">+CY148</f>
        <v>0</v>
      </c>
      <c r="DA148" s="24">
        <f t="shared" ref="DA148:DA151" si="1151">+CZ148</f>
        <v>0</v>
      </c>
      <c r="DB148" s="24">
        <f t="shared" ref="DB148:DB151" si="1152">+DA148</f>
        <v>0</v>
      </c>
      <c r="DE148" s="123"/>
      <c r="DF148" s="23">
        <v>0</v>
      </c>
    </row>
    <row r="149" spans="1:110" s="23" customFormat="1" outlineLevel="1" x14ac:dyDescent="0.2">
      <c r="A149" s="23" t="s">
        <v>46</v>
      </c>
      <c r="B149" s="23">
        <f>'Annual Raw'!C48</f>
        <v>0</v>
      </c>
      <c r="C149" s="23">
        <f>'Annual Raw'!D48</f>
        <v>0</v>
      </c>
      <c r="D149" s="23">
        <f>'Annual Raw'!E48</f>
        <v>0</v>
      </c>
      <c r="E149" s="23">
        <f>'Annual Raw'!F48</f>
        <v>0</v>
      </c>
      <c r="F149" s="23">
        <f>'Annual Raw'!G48</f>
        <v>0</v>
      </c>
      <c r="G149" s="23">
        <f>'Annual Raw'!H48</f>
        <v>0</v>
      </c>
      <c r="H149" s="23">
        <f>'Annual Raw'!I48</f>
        <v>0</v>
      </c>
      <c r="I149" s="23">
        <f>'Annual Raw'!J48</f>
        <v>123.9610259</v>
      </c>
      <c r="J149" s="23">
        <f>'Annual Raw'!K48</f>
        <v>46.034924099999998</v>
      </c>
      <c r="K149" s="23">
        <f>'Annual Raw'!L48</f>
        <v>244.31197180000001</v>
      </c>
      <c r="L149" s="23">
        <f>'Annual Raw'!M48</f>
        <v>170</v>
      </c>
      <c r="M149" s="23">
        <f>'Annual Raw'!N48</f>
        <v>0</v>
      </c>
      <c r="N149" s="23">
        <f>'Annual Raw'!O48</f>
        <v>0</v>
      </c>
      <c r="O149" s="23">
        <f>'Annual Raw'!P48</f>
        <v>0</v>
      </c>
      <c r="P149" s="23">
        <f>'Annual Raw'!Q48</f>
        <v>0</v>
      </c>
      <c r="Q149" s="23">
        <f>'Annual Raw'!R48</f>
        <v>0</v>
      </c>
      <c r="R149" s="23">
        <f>'Annual Raw'!S48</f>
        <v>0</v>
      </c>
      <c r="S149" s="23">
        <f>'Annual Raw'!T48</f>
        <v>0</v>
      </c>
      <c r="T149" s="23">
        <f>'Annual Raw'!U48</f>
        <v>0</v>
      </c>
      <c r="U149" s="23">
        <f>'Annual Raw'!V48</f>
        <v>0</v>
      </c>
      <c r="V149" s="23">
        <f>'Annual Raw'!W48</f>
        <v>0</v>
      </c>
      <c r="W149" s="23">
        <f>'Annual Raw'!X48</f>
        <v>0</v>
      </c>
      <c r="X149" s="23">
        <f>'Annual Raw'!Y48</f>
        <v>0</v>
      </c>
      <c r="Y149" s="23">
        <f>'Annual Raw'!Z48</f>
        <v>0</v>
      </c>
      <c r="Z149" s="23">
        <f>'Annual Raw'!AA48</f>
        <v>0</v>
      </c>
      <c r="AA149" s="23">
        <f>'Annual Raw'!AB48</f>
        <v>0</v>
      </c>
      <c r="AB149" s="24">
        <f t="shared" si="1129"/>
        <v>39.267000000000003</v>
      </c>
      <c r="AC149" s="24">
        <f t="shared" si="1130"/>
        <v>39.267000000000003</v>
      </c>
      <c r="AD149" s="24">
        <f t="shared" si="1131"/>
        <v>39.267000000000003</v>
      </c>
      <c r="AE149" s="24">
        <f t="shared" si="1132"/>
        <v>39.267000000000003</v>
      </c>
      <c r="AJ149" s="23">
        <f>+'QTR Raw'!D63</f>
        <v>0</v>
      </c>
      <c r="AK149" s="23">
        <f t="shared" si="1133"/>
        <v>0</v>
      </c>
      <c r="AL149" s="23">
        <f>+'QTR Raw'!F63</f>
        <v>0</v>
      </c>
      <c r="AM149" s="23">
        <f t="shared" si="1133"/>
        <v>0</v>
      </c>
      <c r="AN149" s="23">
        <f>+'QTR Raw'!H63</f>
        <v>0</v>
      </c>
      <c r="AO149" s="23">
        <f t="shared" si="1133"/>
        <v>0</v>
      </c>
      <c r="AP149" s="23">
        <f>+'QTR Raw'!J63</f>
        <v>0</v>
      </c>
      <c r="AQ149" s="23">
        <f t="shared" si="1133"/>
        <v>0</v>
      </c>
      <c r="AR149" s="23">
        <f>+'QTR Raw'!L63</f>
        <v>0</v>
      </c>
      <c r="AS149" s="23">
        <f t="shared" si="1133"/>
        <v>0</v>
      </c>
      <c r="AT149" s="23">
        <f>+'QTR Raw'!N63</f>
        <v>0</v>
      </c>
      <c r="AU149" s="23">
        <f t="shared" si="1133"/>
        <v>0</v>
      </c>
      <c r="AV149" s="23">
        <f>+'QTR Raw'!P63</f>
        <v>0</v>
      </c>
      <c r="AW149" s="23">
        <f t="shared" si="1133"/>
        <v>0</v>
      </c>
      <c r="AX149" s="23">
        <f>+'QTR Raw'!R63</f>
        <v>0</v>
      </c>
      <c r="AY149" s="23">
        <f t="shared" si="1133"/>
        <v>0</v>
      </c>
      <c r="AZ149" s="23">
        <f>+'QTR Raw'!T63</f>
        <v>0</v>
      </c>
      <c r="BA149" s="23">
        <f t="shared" si="1133"/>
        <v>0</v>
      </c>
      <c r="BB149" s="23">
        <f>+'QTR Raw'!V63</f>
        <v>0</v>
      </c>
      <c r="BC149" s="23">
        <f t="shared" si="1133"/>
        <v>0</v>
      </c>
      <c r="BD149" s="23">
        <f>+'QTR Raw'!X63</f>
        <v>0</v>
      </c>
      <c r="BE149" s="23">
        <f t="shared" si="1133"/>
        <v>0</v>
      </c>
      <c r="BF149" s="23">
        <f>+'QTR Raw'!Z63</f>
        <v>158.94900000000001</v>
      </c>
      <c r="BG149" s="23">
        <f t="shared" si="1133"/>
        <v>158.94900000000001</v>
      </c>
      <c r="BH149" s="23">
        <f>+'QTR Raw'!AB63</f>
        <v>0</v>
      </c>
      <c r="BI149" s="23">
        <f t="shared" si="1133"/>
        <v>0</v>
      </c>
      <c r="BJ149" s="23">
        <f>+'QTR Raw'!AD63</f>
        <v>88.924999999999997</v>
      </c>
      <c r="BK149" s="23">
        <f t="shared" si="1133"/>
        <v>88.924999999999997</v>
      </c>
      <c r="BL149" s="23">
        <f>+'QTR Raw'!AF63</f>
        <v>15.76</v>
      </c>
      <c r="BM149" s="23">
        <f t="shared" si="1133"/>
        <v>15.76</v>
      </c>
      <c r="BN149" s="23">
        <f>+'QTR Raw'!AH63</f>
        <v>10.654999999999999</v>
      </c>
      <c r="BO149" s="23">
        <f t="shared" si="1133"/>
        <v>10.654999999999999</v>
      </c>
      <c r="BP149" s="23">
        <f>+'QTR Raw'!AJ63</f>
        <v>130.83099999999999</v>
      </c>
      <c r="BQ149" s="23">
        <f t="shared" si="1133"/>
        <v>130.83099999999999</v>
      </c>
      <c r="BR149" s="23">
        <f>+'QTR Raw'!AL63</f>
        <v>103.676</v>
      </c>
      <c r="BS149" s="23">
        <f t="shared" si="1133"/>
        <v>103.676</v>
      </c>
      <c r="BT149" s="23">
        <f>+'QTR Raw'!AN63</f>
        <v>77.872</v>
      </c>
      <c r="BU149" s="23">
        <f t="shared" si="1133"/>
        <v>77.872</v>
      </c>
      <c r="BV149" s="23">
        <f>+'QTR Raw'!AP63</f>
        <v>2.9740000000000002</v>
      </c>
      <c r="BW149" s="23">
        <f t="shared" si="1133"/>
        <v>2.9740000000000002</v>
      </c>
      <c r="BX149" s="23">
        <f>+'QTR Raw'!AR63</f>
        <v>2.7719999999999998</v>
      </c>
      <c r="BY149" s="23">
        <f t="shared" si="1133"/>
        <v>2.7719999999999998</v>
      </c>
      <c r="BZ149" s="23">
        <f>+'QTR Raw'!AT63</f>
        <v>4.2080000000000002</v>
      </c>
      <c r="CA149" s="23">
        <f t="shared" si="1133"/>
        <v>4.2080000000000002</v>
      </c>
      <c r="CB149" s="23">
        <f>+'QTR Raw'!AV63</f>
        <v>3.3479999999999999</v>
      </c>
      <c r="CC149" s="23">
        <f t="shared" si="1133"/>
        <v>3.3479999999999999</v>
      </c>
      <c r="CD149" s="23">
        <f>+'QTR Raw'!AX63</f>
        <v>22.603999999999999</v>
      </c>
      <c r="CE149" s="23">
        <f t="shared" si="1134"/>
        <v>22.603999999999999</v>
      </c>
      <c r="CF149" s="23">
        <f>+'QTR Raw'!AZ63</f>
        <v>33.357999999999997</v>
      </c>
      <c r="CG149" s="23">
        <f t="shared" si="1135"/>
        <v>33.357999999999997</v>
      </c>
      <c r="CH149" s="23">
        <f t="shared" si="1111"/>
        <v>0</v>
      </c>
      <c r="CI149" s="23">
        <f t="shared" si="1135"/>
        <v>0</v>
      </c>
      <c r="CJ149" s="23">
        <f>+'QTR Raw'!BD63</f>
        <v>43.215000000000003</v>
      </c>
      <c r="CK149" s="23">
        <f t="shared" si="1136"/>
        <v>43.215000000000003</v>
      </c>
      <c r="CL149" s="23">
        <f>+'QTR Raw'!BF63</f>
        <v>39.267000000000003</v>
      </c>
      <c r="CM149" s="24">
        <f t="shared" si="1137"/>
        <v>39.267000000000003</v>
      </c>
      <c r="CN149" s="24">
        <f t="shared" si="1138"/>
        <v>39.267000000000003</v>
      </c>
      <c r="CO149" s="24">
        <f t="shared" si="1139"/>
        <v>39.267000000000003</v>
      </c>
      <c r="CP149" s="24">
        <f t="shared" si="1140"/>
        <v>39.267000000000003</v>
      </c>
      <c r="CQ149" s="24">
        <f t="shared" si="1141"/>
        <v>39.267000000000003</v>
      </c>
      <c r="CR149" s="24">
        <f t="shared" si="1142"/>
        <v>39.267000000000003</v>
      </c>
      <c r="CS149" s="24">
        <f t="shared" si="1143"/>
        <v>39.267000000000003</v>
      </c>
      <c r="CT149" s="24">
        <f t="shared" si="1144"/>
        <v>39.267000000000003</v>
      </c>
      <c r="CU149" s="24">
        <f t="shared" si="1145"/>
        <v>39.267000000000003</v>
      </c>
      <c r="CV149" s="24">
        <f t="shared" si="1146"/>
        <v>39.267000000000003</v>
      </c>
      <c r="CW149" s="24">
        <f t="shared" si="1147"/>
        <v>39.267000000000003</v>
      </c>
      <c r="CX149" s="24">
        <f t="shared" si="1148"/>
        <v>39.267000000000003</v>
      </c>
      <c r="CY149" s="24">
        <f t="shared" si="1149"/>
        <v>39.267000000000003</v>
      </c>
      <c r="CZ149" s="24">
        <f t="shared" si="1150"/>
        <v>39.267000000000003</v>
      </c>
      <c r="DA149" s="24">
        <f t="shared" si="1151"/>
        <v>39.267000000000003</v>
      </c>
      <c r="DB149" s="24">
        <f t="shared" si="1152"/>
        <v>39.267000000000003</v>
      </c>
      <c r="DE149" s="123"/>
      <c r="DF149" s="23">
        <v>43.215000000000003</v>
      </c>
    </row>
    <row r="150" spans="1:110" s="23" customFormat="1" outlineLevel="1" x14ac:dyDescent="0.2">
      <c r="A150" s="23" t="s">
        <v>47</v>
      </c>
      <c r="B150" s="23">
        <f>'Annual Raw'!C87+'Annual Raw'!C88+'Annual Raw'!C89+'Annual Raw'!C90</f>
        <v>0</v>
      </c>
      <c r="C150" s="23">
        <f>'Annual Raw'!D87+'Annual Raw'!D88+'Annual Raw'!D89+'Annual Raw'!D90</f>
        <v>0</v>
      </c>
      <c r="D150" s="23">
        <f>'Annual Raw'!E87+'Annual Raw'!E88+'Annual Raw'!E89+'Annual Raw'!E90</f>
        <v>0</v>
      </c>
      <c r="E150" s="23">
        <f>'Annual Raw'!F87+'Annual Raw'!F88+'Annual Raw'!F89+'Annual Raw'!F90</f>
        <v>0</v>
      </c>
      <c r="F150" s="23">
        <f>'Annual Raw'!G87+'Annual Raw'!G88+'Annual Raw'!G89+'Annual Raw'!G90</f>
        <v>0</v>
      </c>
      <c r="G150" s="23">
        <f>'Annual Raw'!H87+'Annual Raw'!H88+'Annual Raw'!H89+'Annual Raw'!H90</f>
        <v>0</v>
      </c>
      <c r="H150" s="23">
        <f>'Annual Raw'!I87+'Annual Raw'!I88+'Annual Raw'!I89+'Annual Raw'!I90</f>
        <v>0</v>
      </c>
      <c r="I150" s="23">
        <f>'Annual Raw'!J87+'Annual Raw'!J88+'Annual Raw'!J89+'Annual Raw'!J90</f>
        <v>0</v>
      </c>
      <c r="J150" s="23">
        <f>'Annual Raw'!K87+'Annual Raw'!K88+'Annual Raw'!K89+'Annual Raw'!K90</f>
        <v>0</v>
      </c>
      <c r="K150" s="23">
        <f>'Annual Raw'!L87+'Annual Raw'!L88+'Annual Raw'!L89+'Annual Raw'!L90</f>
        <v>0</v>
      </c>
      <c r="L150" s="23">
        <f>'Annual Raw'!M87+'Annual Raw'!M88+'Annual Raw'!M89+'Annual Raw'!M90</f>
        <v>86.4</v>
      </c>
      <c r="M150" s="23">
        <f>'Annual Raw'!N87+'Annual Raw'!N88+'Annual Raw'!N89+'Annual Raw'!N90</f>
        <v>215.755</v>
      </c>
      <c r="N150" s="23">
        <f>'Annual Raw'!O87+'Annual Raw'!O88+'Annual Raw'!O89+'Annual Raw'!O90</f>
        <v>0</v>
      </c>
      <c r="O150" s="23">
        <f>'Annual Raw'!P87+'Annual Raw'!P88+'Annual Raw'!P89+'Annual Raw'!P90</f>
        <v>0</v>
      </c>
      <c r="P150" s="23">
        <f>'Annual Raw'!Q87+'Annual Raw'!Q88+'Annual Raw'!Q89+'Annual Raw'!Q90</f>
        <v>0</v>
      </c>
      <c r="Q150" s="23">
        <f>'Annual Raw'!R87+'Annual Raw'!R88+'Annual Raw'!R89+'Annual Raw'!R90</f>
        <v>0.1</v>
      </c>
      <c r="R150" s="23">
        <f>'Annual Raw'!S87+'Annual Raw'!S88+'Annual Raw'!S89+'Annual Raw'!S90</f>
        <v>34.912999999999997</v>
      </c>
      <c r="S150" s="23">
        <f>'Annual Raw'!T87+'Annual Raw'!T88+'Annual Raw'!T89+'Annual Raw'!T90</f>
        <v>72.61</v>
      </c>
      <c r="T150" s="23">
        <f>'Annual Raw'!U87+'Annual Raw'!U88+'Annual Raw'!U89+'Annual Raw'!U90</f>
        <v>80.423000000000002</v>
      </c>
      <c r="U150" s="23">
        <f>'Annual Raw'!V87+'Annual Raw'!V88+'Annual Raw'!V89+'Annual Raw'!V90</f>
        <v>34.950000000000003</v>
      </c>
      <c r="V150" s="23">
        <f>'Annual Raw'!W87+'Annual Raw'!W88+'Annual Raw'!W89+'Annual Raw'!W90</f>
        <v>56.045000000000002</v>
      </c>
      <c r="W150" s="23">
        <f>'Annual Raw'!X87+'Annual Raw'!X88+'Annual Raw'!X89+'Annual Raw'!X90</f>
        <v>3.617</v>
      </c>
      <c r="X150" s="23">
        <f>'Annual Raw'!Y87+'Annual Raw'!Y88+'Annual Raw'!Y89+'Annual Raw'!Y90</f>
        <v>2.6429999999999998</v>
      </c>
      <c r="Y150" s="23">
        <f>'Annual Raw'!Z87+'Annual Raw'!Z88+'Annual Raw'!Z89+'Annual Raw'!Z90</f>
        <v>4.782</v>
      </c>
      <c r="Z150" s="23">
        <f>'Annual Raw'!AA87+'Annual Raw'!AA88+'Annual Raw'!AA89+'Annual Raw'!AA90</f>
        <v>9.8249999999999993</v>
      </c>
      <c r="AA150" s="23">
        <f>'Annual Raw'!AB87+'Annual Raw'!AB88+'Annual Raw'!AB89+'Annual Raw'!AB90</f>
        <v>12.722</v>
      </c>
      <c r="AB150" s="24">
        <f t="shared" si="1129"/>
        <v>0</v>
      </c>
      <c r="AC150" s="24">
        <f t="shared" si="1130"/>
        <v>0</v>
      </c>
      <c r="AD150" s="24">
        <f t="shared" si="1131"/>
        <v>0</v>
      </c>
      <c r="AE150" s="24">
        <f t="shared" si="1132"/>
        <v>0</v>
      </c>
      <c r="AJ150" s="23">
        <f>+'QTR Raw'!D90</f>
        <v>0</v>
      </c>
      <c r="AK150" s="23">
        <f t="shared" si="1133"/>
        <v>0</v>
      </c>
      <c r="AL150" s="23">
        <f>+'QTR Raw'!F90</f>
        <v>0</v>
      </c>
      <c r="AM150" s="23">
        <f t="shared" si="1133"/>
        <v>0</v>
      </c>
      <c r="AN150" s="23">
        <f>+'QTR Raw'!H90</f>
        <v>0</v>
      </c>
      <c r="AO150" s="23">
        <f t="shared" si="1133"/>
        <v>0</v>
      </c>
      <c r="AP150" s="23">
        <f>+'QTR Raw'!J90</f>
        <v>0</v>
      </c>
      <c r="AQ150" s="23">
        <f t="shared" si="1133"/>
        <v>0</v>
      </c>
      <c r="AR150" s="23">
        <f>+'QTR Raw'!L90</f>
        <v>0</v>
      </c>
      <c r="AS150" s="23">
        <f t="shared" si="1133"/>
        <v>0</v>
      </c>
      <c r="AT150" s="23">
        <f>+'QTR Raw'!N90</f>
        <v>0</v>
      </c>
      <c r="AU150" s="23">
        <f t="shared" si="1133"/>
        <v>0</v>
      </c>
      <c r="AV150" s="23">
        <f>+'QTR Raw'!P90</f>
        <v>0</v>
      </c>
      <c r="AW150" s="23">
        <f t="shared" si="1133"/>
        <v>0</v>
      </c>
      <c r="AX150" s="23">
        <f>+'QTR Raw'!R90</f>
        <v>0</v>
      </c>
      <c r="AY150" s="23">
        <f t="shared" si="1133"/>
        <v>0</v>
      </c>
      <c r="AZ150" s="23">
        <f>+'QTR Raw'!T90</f>
        <v>0</v>
      </c>
      <c r="BA150" s="23">
        <f t="shared" si="1133"/>
        <v>0</v>
      </c>
      <c r="BB150" s="23">
        <f>+'QTR Raw'!V90</f>
        <v>0</v>
      </c>
      <c r="BC150" s="23">
        <f t="shared" si="1133"/>
        <v>0</v>
      </c>
      <c r="BD150" s="23">
        <f>+'QTR Raw'!X90</f>
        <v>0</v>
      </c>
      <c r="BE150" s="23">
        <f t="shared" si="1133"/>
        <v>0</v>
      </c>
      <c r="BF150" s="23">
        <f>+'QTR Raw'!Z90</f>
        <v>0</v>
      </c>
      <c r="BG150" s="23">
        <f t="shared" si="1133"/>
        <v>0</v>
      </c>
      <c r="BH150" s="22">
        <f>+'QTR Raw'!AB90</f>
        <v>0</v>
      </c>
      <c r="BI150" s="23">
        <f t="shared" si="1133"/>
        <v>0</v>
      </c>
      <c r="BJ150" s="23">
        <f>+'QTR Raw'!AD90</f>
        <v>0</v>
      </c>
      <c r="BK150" s="23">
        <f t="shared" si="1133"/>
        <v>0</v>
      </c>
      <c r="BL150" s="23">
        <f>+'QTR Raw'!AF90</f>
        <v>0</v>
      </c>
      <c r="BM150" s="23">
        <f t="shared" si="1133"/>
        <v>0</v>
      </c>
      <c r="BN150" s="23">
        <f>+'QTR Raw'!AH90</f>
        <v>0</v>
      </c>
      <c r="BO150" s="23">
        <f t="shared" si="1133"/>
        <v>0</v>
      </c>
      <c r="BP150" s="23">
        <f>+'QTR Raw'!AJ90</f>
        <v>0</v>
      </c>
      <c r="BQ150" s="23">
        <f t="shared" si="1133"/>
        <v>0</v>
      </c>
      <c r="BR150" s="23">
        <f>+'QTR Raw'!AL90</f>
        <v>0</v>
      </c>
      <c r="BS150" s="23">
        <f t="shared" si="1133"/>
        <v>0</v>
      </c>
      <c r="BT150" s="23">
        <f>+'QTR Raw'!AN90</f>
        <v>0</v>
      </c>
      <c r="BU150" s="23">
        <f t="shared" si="1133"/>
        <v>0</v>
      </c>
      <c r="BV150" s="23">
        <f>+'QTR Raw'!AP90</f>
        <v>0</v>
      </c>
      <c r="BW150" s="23">
        <f t="shared" si="1133"/>
        <v>0</v>
      </c>
      <c r="BX150" s="23">
        <f>+'QTR Raw'!AR90</f>
        <v>0</v>
      </c>
      <c r="BY150" s="23">
        <f t="shared" si="1133"/>
        <v>0</v>
      </c>
      <c r="BZ150" s="23">
        <f>+'QTR Raw'!AT90</f>
        <v>0</v>
      </c>
      <c r="CA150" s="23">
        <f t="shared" si="1133"/>
        <v>0</v>
      </c>
      <c r="CB150" s="23">
        <f>+'QTR Raw'!AV90</f>
        <v>0</v>
      </c>
      <c r="CC150" s="23">
        <f t="shared" si="1133"/>
        <v>0</v>
      </c>
      <c r="CD150" s="23">
        <f>+'QTR Raw'!AX90</f>
        <v>0</v>
      </c>
      <c r="CE150" s="23">
        <f t="shared" si="1134"/>
        <v>0</v>
      </c>
      <c r="CF150" s="23">
        <f>+'QTR Raw'!AZ90</f>
        <v>0</v>
      </c>
      <c r="CG150" s="23">
        <f t="shared" si="1135"/>
        <v>0</v>
      </c>
      <c r="CH150" s="23">
        <f>+Z150</f>
        <v>9.8249999999999993</v>
      </c>
      <c r="CI150" s="23">
        <f t="shared" si="1135"/>
        <v>9.8249999999999993</v>
      </c>
      <c r="CJ150" s="23">
        <f>+'QTR Raw'!BD90</f>
        <v>0</v>
      </c>
      <c r="CK150" s="23">
        <f t="shared" si="1136"/>
        <v>0</v>
      </c>
      <c r="CL150" s="23">
        <f>+'QTR Raw'!BF90</f>
        <v>0</v>
      </c>
      <c r="CM150" s="24">
        <f t="shared" si="1137"/>
        <v>0</v>
      </c>
      <c r="CN150" s="24">
        <f t="shared" si="1138"/>
        <v>0</v>
      </c>
      <c r="CO150" s="24">
        <f t="shared" si="1139"/>
        <v>0</v>
      </c>
      <c r="CP150" s="24">
        <f t="shared" si="1140"/>
        <v>0</v>
      </c>
      <c r="CQ150" s="24">
        <f t="shared" si="1141"/>
        <v>0</v>
      </c>
      <c r="CR150" s="24">
        <f t="shared" si="1142"/>
        <v>0</v>
      </c>
      <c r="CS150" s="24">
        <f t="shared" si="1143"/>
        <v>0</v>
      </c>
      <c r="CT150" s="24">
        <f t="shared" si="1144"/>
        <v>0</v>
      </c>
      <c r="CU150" s="24">
        <f t="shared" si="1145"/>
        <v>0</v>
      </c>
      <c r="CV150" s="24">
        <f t="shared" si="1146"/>
        <v>0</v>
      </c>
      <c r="CW150" s="24">
        <f t="shared" si="1147"/>
        <v>0</v>
      </c>
      <c r="CX150" s="24">
        <f t="shared" si="1148"/>
        <v>0</v>
      </c>
      <c r="CY150" s="24">
        <f t="shared" si="1149"/>
        <v>0</v>
      </c>
      <c r="CZ150" s="24">
        <f t="shared" si="1150"/>
        <v>0</v>
      </c>
      <c r="DA150" s="24">
        <f t="shared" si="1151"/>
        <v>0</v>
      </c>
      <c r="DB150" s="24">
        <f t="shared" si="1152"/>
        <v>0</v>
      </c>
      <c r="DE150" s="123"/>
      <c r="DF150" s="23">
        <v>0</v>
      </c>
    </row>
    <row r="151" spans="1:110" s="23" customFormat="1" outlineLevel="1" x14ac:dyDescent="0.2">
      <c r="A151" s="23" t="s">
        <v>48</v>
      </c>
      <c r="B151" s="23">
        <f>'Annual Raw'!C56</f>
        <v>0</v>
      </c>
      <c r="C151" s="23">
        <f>'Annual Raw'!D56</f>
        <v>0</v>
      </c>
      <c r="D151" s="23">
        <f>'Annual Raw'!E56</f>
        <v>0</v>
      </c>
      <c r="E151" s="23">
        <f>'Annual Raw'!F56</f>
        <v>0</v>
      </c>
      <c r="F151" s="23">
        <f>'Annual Raw'!G56</f>
        <v>0</v>
      </c>
      <c r="G151" s="23">
        <f>'Annual Raw'!H56</f>
        <v>0</v>
      </c>
      <c r="H151" s="23">
        <f>'Annual Raw'!I56</f>
        <v>0</v>
      </c>
      <c r="I151" s="23">
        <f>'Annual Raw'!J56</f>
        <v>0</v>
      </c>
      <c r="J151" s="23">
        <f>'Annual Raw'!K56</f>
        <v>0</v>
      </c>
      <c r="K151" s="23">
        <f>'Annual Raw'!L56</f>
        <v>0</v>
      </c>
      <c r="L151" s="23">
        <f>'Annual Raw'!M56</f>
        <v>977.91399999999999</v>
      </c>
      <c r="M151" s="23">
        <f>'Annual Raw'!N56</f>
        <v>765.63499999999999</v>
      </c>
      <c r="N151" s="23">
        <f>'Annual Raw'!O56</f>
        <v>543.62900000000002</v>
      </c>
      <c r="O151" s="23">
        <f>'Annual Raw'!P56</f>
        <v>444.91300000000001</v>
      </c>
      <c r="P151" s="23">
        <f>'Annual Raw'!Q56</f>
        <v>545.50400000000002</v>
      </c>
      <c r="Q151" s="23">
        <f>'Annual Raw'!R56</f>
        <v>694.79</v>
      </c>
      <c r="R151" s="23">
        <f>'Annual Raw'!S56</f>
        <v>659.03200000000004</v>
      </c>
      <c r="S151" s="23">
        <f>'Annual Raw'!T56</f>
        <v>568.745</v>
      </c>
      <c r="T151" s="23">
        <f>'Annual Raw'!U56</f>
        <v>103.071</v>
      </c>
      <c r="U151" s="23">
        <f>'Annual Raw'!V56</f>
        <v>111.453</v>
      </c>
      <c r="V151" s="23">
        <f>'Annual Raw'!W56</f>
        <v>88.963999999999999</v>
      </c>
      <c r="W151" s="23">
        <f>'Annual Raw'!X56</f>
        <v>76.543999999999997</v>
      </c>
      <c r="X151" s="23">
        <f>'Annual Raw'!Y56</f>
        <v>66.167000000000002</v>
      </c>
      <c r="Y151" s="23">
        <f>'Annual Raw'!Z56</f>
        <v>62.387999999999998</v>
      </c>
      <c r="Z151" s="23">
        <f>'Annual Raw'!AA56</f>
        <v>57.238999999999997</v>
      </c>
      <c r="AA151" s="23">
        <f>'Annual Raw'!AB56</f>
        <v>80.501000000000005</v>
      </c>
      <c r="AB151" s="24">
        <f t="shared" si="1129"/>
        <v>93.222999999999999</v>
      </c>
      <c r="AC151" s="24">
        <f t="shared" si="1130"/>
        <v>93.222999999999999</v>
      </c>
      <c r="AD151" s="24">
        <f t="shared" si="1131"/>
        <v>93.222999999999999</v>
      </c>
      <c r="AE151" s="24">
        <f t="shared" si="1132"/>
        <v>93.222999999999999</v>
      </c>
      <c r="AJ151" s="23">
        <f>+'QTR Raw'!D88</f>
        <v>0</v>
      </c>
      <c r="AK151" s="23">
        <f t="shared" si="1133"/>
        <v>0</v>
      </c>
      <c r="AL151" s="23">
        <f>+'QTR Raw'!F88</f>
        <v>0</v>
      </c>
      <c r="AM151" s="23">
        <f t="shared" si="1133"/>
        <v>0</v>
      </c>
      <c r="AN151" s="23">
        <f>+'QTR Raw'!H88</f>
        <v>0</v>
      </c>
      <c r="AO151" s="23">
        <f t="shared" si="1133"/>
        <v>0</v>
      </c>
      <c r="AP151" s="23">
        <f>+'QTR Raw'!J88</f>
        <v>0</v>
      </c>
      <c r="AQ151" s="23">
        <f t="shared" si="1133"/>
        <v>0</v>
      </c>
      <c r="AR151" s="23">
        <f>+'QTR Raw'!L88</f>
        <v>0</v>
      </c>
      <c r="AS151" s="23">
        <f t="shared" si="1133"/>
        <v>0</v>
      </c>
      <c r="AT151" s="23">
        <f>+'QTR Raw'!N88</f>
        <v>0</v>
      </c>
      <c r="AU151" s="23">
        <f t="shared" si="1133"/>
        <v>0</v>
      </c>
      <c r="AV151" s="23">
        <f>+'QTR Raw'!P88</f>
        <v>0</v>
      </c>
      <c r="AW151" s="23">
        <f t="shared" si="1133"/>
        <v>0</v>
      </c>
      <c r="AX151" s="23">
        <f>+'QTR Raw'!R88</f>
        <v>0</v>
      </c>
      <c r="AY151" s="23">
        <f t="shared" si="1133"/>
        <v>0</v>
      </c>
      <c r="AZ151" s="23">
        <f>+'QTR Raw'!T88</f>
        <v>0</v>
      </c>
      <c r="BA151" s="23">
        <f t="shared" si="1133"/>
        <v>0</v>
      </c>
      <c r="BB151" s="23">
        <f>+'QTR Raw'!V88</f>
        <v>0</v>
      </c>
      <c r="BC151" s="23">
        <f t="shared" si="1133"/>
        <v>0</v>
      </c>
      <c r="BD151" s="23">
        <f>+'QTR Raw'!X88</f>
        <v>0</v>
      </c>
      <c r="BE151" s="23">
        <f t="shared" si="1133"/>
        <v>0</v>
      </c>
      <c r="BF151" s="23">
        <f>+'QTR Raw'!Z88</f>
        <v>568.745</v>
      </c>
      <c r="BG151" s="23">
        <f t="shared" si="1133"/>
        <v>568.745</v>
      </c>
      <c r="BH151" s="23">
        <f>+'QTR Raw'!AB88</f>
        <v>0</v>
      </c>
      <c r="BI151" s="23">
        <f t="shared" si="1133"/>
        <v>0</v>
      </c>
      <c r="BJ151" s="23">
        <f>+'QTR Raw'!AD88</f>
        <v>103.071</v>
      </c>
      <c r="BK151" s="23">
        <f t="shared" si="1133"/>
        <v>103.071</v>
      </c>
      <c r="BL151" s="23">
        <f>+'QTR Raw'!AF88</f>
        <v>116.051</v>
      </c>
      <c r="BM151" s="23">
        <f t="shared" si="1133"/>
        <v>116.051</v>
      </c>
      <c r="BN151" s="23">
        <f>+'QTR Raw'!AH88</f>
        <v>111.453</v>
      </c>
      <c r="BO151" s="23">
        <f t="shared" si="1133"/>
        <v>111.453</v>
      </c>
      <c r="BP151" s="23">
        <f>+'QTR Raw'!AJ88</f>
        <v>82.602999999999994</v>
      </c>
      <c r="BQ151" s="23">
        <f t="shared" si="1133"/>
        <v>82.602999999999994</v>
      </c>
      <c r="BR151" s="23">
        <f>+'QTR Raw'!AL88</f>
        <v>145.00899999999999</v>
      </c>
      <c r="BS151" s="23">
        <f t="shared" si="1133"/>
        <v>145.00899999999999</v>
      </c>
      <c r="BT151" s="23">
        <f>+'QTR Raw'!AN88</f>
        <v>157.93100000000001</v>
      </c>
      <c r="BU151" s="23">
        <f t="shared" si="1133"/>
        <v>157.93100000000001</v>
      </c>
      <c r="BV151" s="23">
        <f>+'QTR Raw'!AP88</f>
        <v>80.161000000000001</v>
      </c>
      <c r="BW151" s="23">
        <f t="shared" si="1133"/>
        <v>80.161000000000001</v>
      </c>
      <c r="BX151" s="23">
        <f>+'QTR Raw'!AR88</f>
        <v>100.35299999999999</v>
      </c>
      <c r="BY151" s="23">
        <f t="shared" si="1133"/>
        <v>100.35299999999999</v>
      </c>
      <c r="BZ151" s="23">
        <f>+'QTR Raw'!AT88</f>
        <v>68.81</v>
      </c>
      <c r="CA151" s="23">
        <f t="shared" si="1133"/>
        <v>68.81</v>
      </c>
      <c r="CB151" s="23">
        <f>+'QTR Raw'!AV88</f>
        <v>155.80199999999999</v>
      </c>
      <c r="CC151" s="23">
        <f t="shared" si="1133"/>
        <v>155.80199999999999</v>
      </c>
      <c r="CD151" s="23">
        <f>+'QTR Raw'!AX88</f>
        <v>67.17</v>
      </c>
      <c r="CE151" s="23">
        <f t="shared" si="1134"/>
        <v>67.17</v>
      </c>
      <c r="CF151" s="23">
        <f>+'QTR Raw'!AZ88</f>
        <v>76.905000000000001</v>
      </c>
      <c r="CG151" s="23">
        <f t="shared" si="1135"/>
        <v>76.905000000000001</v>
      </c>
      <c r="CH151" s="23">
        <f t="shared" si="1111"/>
        <v>57.238999999999997</v>
      </c>
      <c r="CI151" s="23">
        <f t="shared" si="1135"/>
        <v>57.238999999999997</v>
      </c>
      <c r="CJ151" s="23">
        <f>+'QTR Raw'!BD88</f>
        <v>83.896000000000001</v>
      </c>
      <c r="CK151" s="23">
        <f t="shared" si="1136"/>
        <v>83.896000000000001</v>
      </c>
      <c r="CL151" s="23">
        <f>+'QTR Raw'!BF88</f>
        <v>93.222999999999999</v>
      </c>
      <c r="CM151" s="24">
        <f t="shared" si="1137"/>
        <v>93.222999999999999</v>
      </c>
      <c r="CN151" s="24">
        <f t="shared" si="1138"/>
        <v>93.222999999999999</v>
      </c>
      <c r="CO151" s="24">
        <f t="shared" si="1139"/>
        <v>93.222999999999999</v>
      </c>
      <c r="CP151" s="24">
        <f t="shared" si="1140"/>
        <v>93.222999999999999</v>
      </c>
      <c r="CQ151" s="24">
        <f t="shared" si="1141"/>
        <v>93.222999999999999</v>
      </c>
      <c r="CR151" s="24">
        <f t="shared" si="1142"/>
        <v>93.222999999999999</v>
      </c>
      <c r="CS151" s="24">
        <f t="shared" si="1143"/>
        <v>93.222999999999999</v>
      </c>
      <c r="CT151" s="24">
        <f t="shared" si="1144"/>
        <v>93.222999999999999</v>
      </c>
      <c r="CU151" s="24">
        <f t="shared" si="1145"/>
        <v>93.222999999999999</v>
      </c>
      <c r="CV151" s="24">
        <f t="shared" si="1146"/>
        <v>93.222999999999999</v>
      </c>
      <c r="CW151" s="24">
        <f t="shared" si="1147"/>
        <v>93.222999999999999</v>
      </c>
      <c r="CX151" s="24">
        <f t="shared" si="1148"/>
        <v>93.222999999999999</v>
      </c>
      <c r="CY151" s="24">
        <f t="shared" si="1149"/>
        <v>93.222999999999999</v>
      </c>
      <c r="CZ151" s="24">
        <f t="shared" si="1150"/>
        <v>93.222999999999999</v>
      </c>
      <c r="DA151" s="24">
        <f t="shared" si="1151"/>
        <v>93.222999999999999</v>
      </c>
      <c r="DB151" s="24">
        <f t="shared" si="1152"/>
        <v>93.222999999999999</v>
      </c>
      <c r="DE151" s="123"/>
      <c r="DF151" s="23">
        <v>83.896000000000001</v>
      </c>
    </row>
    <row r="152" spans="1:110" s="22" customFormat="1" x14ac:dyDescent="0.2">
      <c r="A152" s="22" t="s">
        <v>49</v>
      </c>
      <c r="B152" s="22">
        <f>SUM(B148:B151)</f>
        <v>0</v>
      </c>
      <c r="C152" s="22">
        <f t="shared" ref="C152:V152" si="1153">SUM(C148:C151)</f>
        <v>0</v>
      </c>
      <c r="D152" s="22">
        <f t="shared" si="1153"/>
        <v>0</v>
      </c>
      <c r="E152" s="22">
        <f t="shared" si="1153"/>
        <v>0</v>
      </c>
      <c r="F152" s="22">
        <f t="shared" si="1153"/>
        <v>0</v>
      </c>
      <c r="G152" s="22">
        <f t="shared" si="1153"/>
        <v>0</v>
      </c>
      <c r="H152" s="22">
        <f t="shared" si="1153"/>
        <v>0</v>
      </c>
      <c r="I152" s="22">
        <f t="shared" si="1153"/>
        <v>501.07017479999996</v>
      </c>
      <c r="J152" s="22">
        <f t="shared" si="1153"/>
        <v>481.6345283</v>
      </c>
      <c r="K152" s="22">
        <f t="shared" si="1153"/>
        <v>1101.6778423999999</v>
      </c>
      <c r="L152" s="22">
        <f t="shared" si="1153"/>
        <v>1280.6770000000001</v>
      </c>
      <c r="M152" s="22">
        <f t="shared" si="1153"/>
        <v>981.39</v>
      </c>
      <c r="N152" s="22">
        <f t="shared" si="1153"/>
        <v>543.62900000000002</v>
      </c>
      <c r="O152" s="22">
        <f t="shared" si="1153"/>
        <v>444.91300000000001</v>
      </c>
      <c r="P152" s="22">
        <f t="shared" si="1153"/>
        <v>545.50400000000002</v>
      </c>
      <c r="Q152" s="22">
        <f t="shared" si="1153"/>
        <v>795.74</v>
      </c>
      <c r="R152" s="22">
        <f t="shared" si="1153"/>
        <v>855.71</v>
      </c>
      <c r="S152" s="22">
        <f t="shared" si="1153"/>
        <v>800.30400000000009</v>
      </c>
      <c r="T152" s="22">
        <f t="shared" si="1153"/>
        <v>272.41899999999998</v>
      </c>
      <c r="U152" s="22">
        <f t="shared" si="1153"/>
        <v>157.05799999999999</v>
      </c>
      <c r="V152" s="22">
        <f t="shared" si="1153"/>
        <v>248.685</v>
      </c>
      <c r="W152" s="22">
        <f t="shared" ref="W152" si="1154">SUM(W148:W151)</f>
        <v>83.134999999999991</v>
      </c>
      <c r="X152" s="22">
        <f t="shared" ref="X152:Y152" si="1155">SUM(X148:X151)</f>
        <v>73.018000000000001</v>
      </c>
      <c r="Y152" s="22">
        <f t="shared" si="1155"/>
        <v>89.774000000000001</v>
      </c>
      <c r="Z152" s="22">
        <f t="shared" ref="Z152:AA152" si="1156">SUM(Z148:Z151)</f>
        <v>109.00399999999999</v>
      </c>
      <c r="AA152" s="22">
        <f t="shared" si="1156"/>
        <v>132.49</v>
      </c>
      <c r="AB152" s="21">
        <f t="shared" ref="AA152:AD152" si="1157">SUM(AB148:AB151)</f>
        <v>132.49</v>
      </c>
      <c r="AC152" s="21">
        <f t="shared" si="1157"/>
        <v>132.49</v>
      </c>
      <c r="AD152" s="21">
        <f t="shared" si="1157"/>
        <v>132.49</v>
      </c>
      <c r="AE152" s="21">
        <f t="shared" ref="AE152" si="1158">SUM(AE148:AE151)</f>
        <v>132.49</v>
      </c>
      <c r="AJ152" s="22">
        <f t="shared" ref="AJ152" si="1159">SUM(AJ148:AJ151)</f>
        <v>0</v>
      </c>
      <c r="AK152" s="22">
        <f t="shared" ref="AK152" si="1160">SUM(AK148:AK151)</f>
        <v>0</v>
      </c>
      <c r="AL152" s="22">
        <f t="shared" ref="AL152:AM152" si="1161">SUM(AL148:AL151)</f>
        <v>0</v>
      </c>
      <c r="AM152" s="22">
        <f t="shared" si="1161"/>
        <v>0</v>
      </c>
      <c r="AN152" s="22">
        <f t="shared" ref="AN152:AO152" si="1162">SUM(AN148:AN151)</f>
        <v>0</v>
      </c>
      <c r="AO152" s="22">
        <f t="shared" si="1162"/>
        <v>0</v>
      </c>
      <c r="AP152" s="22">
        <f t="shared" ref="AP152:CE152" si="1163">SUM(AP148:AP151)</f>
        <v>0</v>
      </c>
      <c r="AQ152" s="22">
        <f t="shared" si="1163"/>
        <v>0</v>
      </c>
      <c r="AR152" s="22">
        <f t="shared" si="1163"/>
        <v>0</v>
      </c>
      <c r="AS152" s="22">
        <f t="shared" si="1163"/>
        <v>0</v>
      </c>
      <c r="AT152" s="22">
        <f t="shared" si="1163"/>
        <v>0</v>
      </c>
      <c r="AU152" s="22">
        <f t="shared" si="1163"/>
        <v>0</v>
      </c>
      <c r="AV152" s="22">
        <f t="shared" si="1163"/>
        <v>0</v>
      </c>
      <c r="AW152" s="22">
        <f t="shared" si="1163"/>
        <v>0</v>
      </c>
      <c r="AX152" s="22">
        <f t="shared" si="1163"/>
        <v>0</v>
      </c>
      <c r="AY152" s="22">
        <f t="shared" si="1163"/>
        <v>0</v>
      </c>
      <c r="AZ152" s="22">
        <f t="shared" si="1163"/>
        <v>0</v>
      </c>
      <c r="BA152" s="22">
        <f t="shared" si="1163"/>
        <v>0</v>
      </c>
      <c r="BB152" s="22">
        <f t="shared" si="1163"/>
        <v>0</v>
      </c>
      <c r="BC152" s="22">
        <f t="shared" si="1163"/>
        <v>0</v>
      </c>
      <c r="BD152" s="22">
        <f t="shared" si="1163"/>
        <v>0</v>
      </c>
      <c r="BE152" s="22">
        <f t="shared" si="1163"/>
        <v>0</v>
      </c>
      <c r="BF152" s="22">
        <f t="shared" si="1163"/>
        <v>727.69399999999996</v>
      </c>
      <c r="BG152" s="22">
        <f t="shared" si="1163"/>
        <v>727.69399999999996</v>
      </c>
      <c r="BH152" s="22">
        <f t="shared" ref="BH152" si="1164">SUM(BH148:BH151)</f>
        <v>0</v>
      </c>
      <c r="BI152" s="22">
        <f t="shared" si="1163"/>
        <v>0</v>
      </c>
      <c r="BJ152" s="22">
        <f t="shared" si="1163"/>
        <v>191.99599999999998</v>
      </c>
      <c r="BK152" s="22">
        <f t="shared" si="1163"/>
        <v>191.99599999999998</v>
      </c>
      <c r="BL152" s="22">
        <f t="shared" si="1163"/>
        <v>131.81100000000001</v>
      </c>
      <c r="BM152" s="22">
        <f t="shared" si="1163"/>
        <v>131.81100000000001</v>
      </c>
      <c r="BN152" s="22">
        <f t="shared" si="1163"/>
        <v>122.108</v>
      </c>
      <c r="BO152" s="22">
        <f t="shared" si="1163"/>
        <v>122.108</v>
      </c>
      <c r="BP152" s="22">
        <f t="shared" si="1163"/>
        <v>213.43399999999997</v>
      </c>
      <c r="BQ152" s="22">
        <f t="shared" si="1163"/>
        <v>213.43399999999997</v>
      </c>
      <c r="BR152" s="22">
        <f t="shared" si="1163"/>
        <v>248.685</v>
      </c>
      <c r="BS152" s="22">
        <f t="shared" si="1163"/>
        <v>248.685</v>
      </c>
      <c r="BT152" s="22">
        <f t="shared" si="1163"/>
        <v>235.803</v>
      </c>
      <c r="BU152" s="22">
        <f t="shared" si="1163"/>
        <v>235.803</v>
      </c>
      <c r="BV152" s="22">
        <f t="shared" si="1163"/>
        <v>83.135000000000005</v>
      </c>
      <c r="BW152" s="22">
        <f t="shared" si="1163"/>
        <v>83.135000000000005</v>
      </c>
      <c r="BX152" s="22">
        <f t="shared" si="1163"/>
        <v>103.125</v>
      </c>
      <c r="BY152" s="22">
        <f t="shared" si="1163"/>
        <v>103.125</v>
      </c>
      <c r="BZ152" s="22">
        <f t="shared" si="1163"/>
        <v>73.018000000000001</v>
      </c>
      <c r="CA152" s="22">
        <f t="shared" si="1163"/>
        <v>73.018000000000001</v>
      </c>
      <c r="CB152" s="22">
        <f t="shared" si="1163"/>
        <v>159.15</v>
      </c>
      <c r="CC152" s="22">
        <f t="shared" si="1163"/>
        <v>159.15</v>
      </c>
      <c r="CD152" s="22">
        <f t="shared" si="1163"/>
        <v>89.774000000000001</v>
      </c>
      <c r="CE152" s="22">
        <f t="shared" si="1163"/>
        <v>89.774000000000001</v>
      </c>
      <c r="CF152" s="22">
        <f t="shared" ref="CF152:CG152" si="1165">SUM(CF148:CF151)</f>
        <v>110.26300000000001</v>
      </c>
      <c r="CG152" s="22">
        <f t="shared" si="1165"/>
        <v>110.26300000000001</v>
      </c>
      <c r="CH152" s="22">
        <f t="shared" ref="CH152:CI152" si="1166">SUM(CH148:CH151)</f>
        <v>109.00399999999999</v>
      </c>
      <c r="CI152" s="22">
        <f t="shared" si="1166"/>
        <v>109.00399999999999</v>
      </c>
      <c r="CJ152" s="22">
        <f t="shared" ref="CJ152:DB152" si="1167">SUM(CJ148:CJ151)</f>
        <v>127.111</v>
      </c>
      <c r="CK152" s="22">
        <f t="shared" si="1167"/>
        <v>127.111</v>
      </c>
      <c r="CL152" s="22">
        <f t="shared" ref="CL152" si="1168">SUM(CL148:CL151)</f>
        <v>132.49</v>
      </c>
      <c r="CM152" s="21">
        <f t="shared" si="1167"/>
        <v>132.49</v>
      </c>
      <c r="CN152" s="21">
        <f t="shared" si="1167"/>
        <v>132.49</v>
      </c>
      <c r="CO152" s="21">
        <f t="shared" si="1167"/>
        <v>132.49</v>
      </c>
      <c r="CP152" s="21">
        <f t="shared" si="1167"/>
        <v>132.49</v>
      </c>
      <c r="CQ152" s="21">
        <f t="shared" si="1167"/>
        <v>132.49</v>
      </c>
      <c r="CR152" s="21">
        <f t="shared" si="1167"/>
        <v>132.49</v>
      </c>
      <c r="CS152" s="21">
        <f t="shared" si="1167"/>
        <v>132.49</v>
      </c>
      <c r="CT152" s="21">
        <f t="shared" si="1167"/>
        <v>132.49</v>
      </c>
      <c r="CU152" s="21">
        <f t="shared" si="1167"/>
        <v>132.49</v>
      </c>
      <c r="CV152" s="21">
        <f t="shared" si="1167"/>
        <v>132.49</v>
      </c>
      <c r="CW152" s="21">
        <f t="shared" si="1167"/>
        <v>132.49</v>
      </c>
      <c r="CX152" s="21">
        <f t="shared" si="1167"/>
        <v>132.49</v>
      </c>
      <c r="CY152" s="21">
        <f t="shared" si="1167"/>
        <v>132.49</v>
      </c>
      <c r="CZ152" s="21">
        <f t="shared" si="1167"/>
        <v>132.49</v>
      </c>
      <c r="DA152" s="21">
        <f t="shared" si="1167"/>
        <v>132.49</v>
      </c>
      <c r="DB152" s="21">
        <f t="shared" si="1167"/>
        <v>132.49</v>
      </c>
      <c r="DE152" s="126"/>
      <c r="DF152" s="22">
        <v>127.111</v>
      </c>
    </row>
    <row r="153" spans="1:110" s="26" customFormat="1" x14ac:dyDescent="0.2">
      <c r="A153" s="26" t="s">
        <v>437</v>
      </c>
      <c r="B153" s="26">
        <f>B152+B144+B146</f>
        <v>0</v>
      </c>
      <c r="C153" s="26">
        <f t="shared" ref="C153:V153" si="1169">C152+C144+C146</f>
        <v>0</v>
      </c>
      <c r="D153" s="26">
        <f>D152+D144+D146</f>
        <v>0</v>
      </c>
      <c r="E153" s="26">
        <f t="shared" si="1169"/>
        <v>0</v>
      </c>
      <c r="F153" s="26">
        <f t="shared" si="1169"/>
        <v>0</v>
      </c>
      <c r="G153" s="26">
        <f t="shared" si="1169"/>
        <v>0</v>
      </c>
      <c r="H153" s="26">
        <f t="shared" si="1169"/>
        <v>0</v>
      </c>
      <c r="I153" s="26">
        <f t="shared" si="1169"/>
        <v>995.21221549999996</v>
      </c>
      <c r="J153" s="26">
        <f t="shared" si="1169"/>
        <v>1033.5712049000001</v>
      </c>
      <c r="K153" s="26">
        <f t="shared" si="1169"/>
        <v>1987.8134276999999</v>
      </c>
      <c r="L153" s="26">
        <f t="shared" si="1169"/>
        <v>2229.3540000000003</v>
      </c>
      <c r="M153" s="26">
        <f t="shared" si="1169"/>
        <v>2036.1610000000001</v>
      </c>
      <c r="N153" s="26">
        <f t="shared" si="1169"/>
        <v>1837.163</v>
      </c>
      <c r="O153" s="26">
        <f t="shared" si="1169"/>
        <v>1807.0620000000001</v>
      </c>
      <c r="P153" s="26">
        <f t="shared" si="1169"/>
        <v>2167.3069999999998</v>
      </c>
      <c r="Q153" s="26">
        <f t="shared" si="1169"/>
        <v>2584.1800000000003</v>
      </c>
      <c r="R153" s="26">
        <f t="shared" si="1169"/>
        <v>2852.3039999999996</v>
      </c>
      <c r="S153" s="26">
        <f t="shared" si="1169"/>
        <v>3151.9720000000002</v>
      </c>
      <c r="T153" s="26">
        <f t="shared" si="1169"/>
        <v>3127.799</v>
      </c>
      <c r="U153" s="26">
        <f t="shared" si="1169"/>
        <v>4008.473</v>
      </c>
      <c r="V153" s="26">
        <f t="shared" si="1169"/>
        <v>5021.4539999999997</v>
      </c>
      <c r="W153" s="26">
        <f t="shared" ref="W153" si="1170">W152+W144+W146</f>
        <v>5651.9459999999999</v>
      </c>
      <c r="X153" s="26">
        <f t="shared" ref="X153:Y153" si="1171">X152+X144+X146</f>
        <v>6747.6019999999999</v>
      </c>
      <c r="Y153" s="26">
        <f t="shared" si="1171"/>
        <v>8333.1149999999998</v>
      </c>
      <c r="Z153" s="26">
        <f t="shared" ref="Z153:AA153" si="1172">Z152+Z144+Z146</f>
        <v>10018.828000000001</v>
      </c>
      <c r="AA153" s="26">
        <f t="shared" si="1172"/>
        <v>12259.258999999998</v>
      </c>
      <c r="AB153" s="27">
        <f t="shared" ref="AA153:AD153" si="1173">AB152+AB144+AB146</f>
        <v>15449.553792810932</v>
      </c>
      <c r="AC153" s="27">
        <f t="shared" si="1173"/>
        <v>19157.174929866429</v>
      </c>
      <c r="AD153" s="27">
        <f t="shared" si="1173"/>
        <v>23473.30718901195</v>
      </c>
      <c r="AE153" s="27">
        <f t="shared" ref="AE153" si="1174">AE152+AE144+AE146</f>
        <v>28442.67289466257</v>
      </c>
      <c r="AJ153" s="26">
        <f t="shared" ref="AJ153" si="1175">AJ152+AJ144+AJ146</f>
        <v>0</v>
      </c>
      <c r="AK153" s="26">
        <f t="shared" ref="AK153" si="1176">AK152+AK144+AK146</f>
        <v>0</v>
      </c>
      <c r="AL153" s="26">
        <f t="shared" ref="AL153" si="1177">AL152+AL144+AL146</f>
        <v>0</v>
      </c>
      <c r="AM153" s="26">
        <f t="shared" ref="AM153:AO153" si="1178">AM152+AM144+AM146</f>
        <v>0</v>
      </c>
      <c r="AN153" s="26">
        <f t="shared" si="1178"/>
        <v>0</v>
      </c>
      <c r="AO153" s="26">
        <f t="shared" si="1178"/>
        <v>0</v>
      </c>
      <c r="AP153" s="26">
        <f t="shared" ref="AP153:CE153" si="1179">AP152+AP144+AP146</f>
        <v>0</v>
      </c>
      <c r="AQ153" s="26">
        <f t="shared" si="1179"/>
        <v>0</v>
      </c>
      <c r="AR153" s="26">
        <f t="shared" si="1179"/>
        <v>0</v>
      </c>
      <c r="AS153" s="26">
        <f t="shared" si="1179"/>
        <v>0</v>
      </c>
      <c r="AT153" s="26">
        <f t="shared" si="1179"/>
        <v>0</v>
      </c>
      <c r="AU153" s="26">
        <f t="shared" si="1179"/>
        <v>0</v>
      </c>
      <c r="AV153" s="26">
        <f t="shared" si="1179"/>
        <v>0</v>
      </c>
      <c r="AW153" s="26">
        <f t="shared" si="1179"/>
        <v>0</v>
      </c>
      <c r="AX153" s="26">
        <f t="shared" si="1179"/>
        <v>0</v>
      </c>
      <c r="AY153" s="26">
        <f t="shared" si="1179"/>
        <v>0</v>
      </c>
      <c r="AZ153" s="26">
        <f t="shared" si="1179"/>
        <v>0</v>
      </c>
      <c r="BA153" s="26">
        <f t="shared" si="1179"/>
        <v>0</v>
      </c>
      <c r="BB153" s="26">
        <f t="shared" si="1179"/>
        <v>0</v>
      </c>
      <c r="BC153" s="26">
        <f t="shared" si="1179"/>
        <v>0</v>
      </c>
      <c r="BD153" s="26">
        <f t="shared" si="1179"/>
        <v>0</v>
      </c>
      <c r="BE153" s="26">
        <f t="shared" si="1179"/>
        <v>0</v>
      </c>
      <c r="BF153" s="26">
        <f t="shared" si="1179"/>
        <v>3079.3620000000001</v>
      </c>
      <c r="BG153" s="26">
        <f t="shared" si="1179"/>
        <v>3156.364</v>
      </c>
      <c r="BH153" s="26">
        <f t="shared" ref="BH153" si="1180">BH152+BH144+BH146</f>
        <v>0</v>
      </c>
      <c r="BI153" s="26">
        <f t="shared" si="1179"/>
        <v>193.3360000000001</v>
      </c>
      <c r="BJ153" s="26">
        <f t="shared" si="1179"/>
        <v>3047.3760000000002</v>
      </c>
      <c r="BK153" s="26">
        <f t="shared" si="1179"/>
        <v>3181.8879999999999</v>
      </c>
      <c r="BL153" s="26">
        <f t="shared" si="1179"/>
        <v>3660.45</v>
      </c>
      <c r="BM153" s="26">
        <f t="shared" si="1179"/>
        <v>3879.2299999999996</v>
      </c>
      <c r="BN153" s="26">
        <f t="shared" si="1179"/>
        <v>3973.5230000000001</v>
      </c>
      <c r="BO153" s="26">
        <f t="shared" si="1179"/>
        <v>4091.125</v>
      </c>
      <c r="BP153" s="26">
        <f t="shared" si="1179"/>
        <v>4443.0860000000002</v>
      </c>
      <c r="BQ153" s="26">
        <f t="shared" si="1179"/>
        <v>4705.5880000000006</v>
      </c>
      <c r="BR153" s="26">
        <f t="shared" si="1179"/>
        <v>5021.4539999999997</v>
      </c>
      <c r="BS153" s="26">
        <f t="shared" si="1179"/>
        <v>5095.4389999999994</v>
      </c>
      <c r="BT153" s="26">
        <f t="shared" si="1179"/>
        <v>5147.4340000000002</v>
      </c>
      <c r="BU153" s="26">
        <f t="shared" si="1179"/>
        <v>5461.9430000000002</v>
      </c>
      <c r="BV153" s="26">
        <f t="shared" si="1179"/>
        <v>5651.9459999999999</v>
      </c>
      <c r="BW153" s="26">
        <f t="shared" si="1179"/>
        <v>5871.7029999999995</v>
      </c>
      <c r="BX153" s="26">
        <f t="shared" si="1179"/>
        <v>5966.8209999999999</v>
      </c>
      <c r="BY153" s="26">
        <f t="shared" si="1179"/>
        <v>6324.7029999999995</v>
      </c>
      <c r="BZ153" s="26">
        <f t="shared" si="1179"/>
        <v>6747.6020000000008</v>
      </c>
      <c r="CA153" s="26">
        <f t="shared" si="1179"/>
        <v>7147.2250000000013</v>
      </c>
      <c r="CB153" s="26">
        <f t="shared" si="1179"/>
        <v>7399.3589999999995</v>
      </c>
      <c r="CC153" s="26">
        <f t="shared" si="1179"/>
        <v>7812.2089999999998</v>
      </c>
      <c r="CD153" s="26">
        <f t="shared" si="1179"/>
        <v>8333.1149999999998</v>
      </c>
      <c r="CE153" s="26">
        <f t="shared" si="1179"/>
        <v>8729.0690000000013</v>
      </c>
      <c r="CF153" s="26">
        <f t="shared" ref="CF153:CG153" si="1181">CF152+CF144+CF146</f>
        <v>8771.4979999999996</v>
      </c>
      <c r="CG153" s="26">
        <f t="shared" si="1181"/>
        <v>9229.0550000000003</v>
      </c>
      <c r="CH153" s="26">
        <f t="shared" ref="CH153:CI153" si="1182">CH152+CH144+CH146</f>
        <v>10018.828000000001</v>
      </c>
      <c r="CI153" s="26">
        <f t="shared" si="1182"/>
        <v>10610.949000000001</v>
      </c>
      <c r="CJ153" s="26">
        <f t="shared" ref="CJ153:DB153" si="1183">CJ152+CJ144+CJ146</f>
        <v>10817.677</v>
      </c>
      <c r="CK153" s="26">
        <f t="shared" si="1183"/>
        <v>11439.366999999998</v>
      </c>
      <c r="CL153" s="26">
        <f t="shared" ref="CL153" si="1184">CL152+CL144+CL146</f>
        <v>12259.258999999998</v>
      </c>
      <c r="CM153" s="27">
        <f t="shared" si="1183"/>
        <v>12909.306058743769</v>
      </c>
      <c r="CN153" s="27">
        <f t="shared" si="1183"/>
        <v>13632.811019666373</v>
      </c>
      <c r="CO153" s="27">
        <f t="shared" si="1183"/>
        <v>14468.802570398348</v>
      </c>
      <c r="CP153" s="27">
        <f t="shared" si="1183"/>
        <v>15449.553792810932</v>
      </c>
      <c r="CQ153" s="27">
        <f t="shared" si="1183"/>
        <v>16219.44081970886</v>
      </c>
      <c r="CR153" s="27">
        <f t="shared" si="1183"/>
        <v>17044.359636942649</v>
      </c>
      <c r="CS153" s="27">
        <f t="shared" si="1183"/>
        <v>18026.497932003607</v>
      </c>
      <c r="CT153" s="27">
        <f t="shared" si="1183"/>
        <v>19157.174929866429</v>
      </c>
      <c r="CU153" s="27">
        <f t="shared" si="1183"/>
        <v>20035.691425829609</v>
      </c>
      <c r="CV153" s="27">
        <f t="shared" si="1183"/>
        <v>20988.652901134741</v>
      </c>
      <c r="CW153" s="27">
        <f t="shared" si="1183"/>
        <v>22139.343537501274</v>
      </c>
      <c r="CX153" s="27">
        <f t="shared" si="1183"/>
        <v>23473.30718901195</v>
      </c>
      <c r="CY153" s="27">
        <f t="shared" si="1183"/>
        <v>24485.556135993404</v>
      </c>
      <c r="CZ153" s="27">
        <f t="shared" si="1183"/>
        <v>25585.422699045423</v>
      </c>
      <c r="DA153" s="27">
        <f t="shared" si="1183"/>
        <v>26912.434820283252</v>
      </c>
      <c r="DB153" s="27">
        <f t="shared" si="1183"/>
        <v>28442.67289466257</v>
      </c>
      <c r="DE153" s="121"/>
      <c r="DF153" s="26">
        <v>12257.84564459443</v>
      </c>
    </row>
    <row r="154" spans="1:110" s="23" customFormat="1" x14ac:dyDescent="0.2">
      <c r="AB154" s="24"/>
      <c r="AC154" s="24"/>
      <c r="AD154" s="24"/>
      <c r="AE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</row>
    <row r="155" spans="1:110" s="23" customFormat="1" outlineLevel="1" x14ac:dyDescent="0.2">
      <c r="A155" s="23" t="s">
        <v>50</v>
      </c>
      <c r="B155" s="23">
        <f>'Annual Raw'!C62</f>
        <v>0</v>
      </c>
      <c r="C155" s="23">
        <f>'Annual Raw'!D62</f>
        <v>0</v>
      </c>
      <c r="D155" s="23">
        <f>'Annual Raw'!E62</f>
        <v>0</v>
      </c>
      <c r="E155" s="23">
        <f>'Annual Raw'!F62-E159</f>
        <v>0</v>
      </c>
      <c r="F155" s="23">
        <f>'Annual Raw'!G62-F159</f>
        <v>0</v>
      </c>
      <c r="G155" s="23">
        <f>'Annual Raw'!H62-G159</f>
        <v>0</v>
      </c>
      <c r="H155" s="23">
        <f>'Annual Raw'!I62-H159</f>
        <v>0</v>
      </c>
      <c r="I155" s="23">
        <f>'Annual Raw'!J62-I159</f>
        <v>85.352075799999994</v>
      </c>
      <c r="J155" s="23">
        <f>'Annual Raw'!K62-J159</f>
        <v>137.85735510000001</v>
      </c>
      <c r="K155" s="23">
        <f>'Annual Raw'!L62-K159</f>
        <v>320.03628379999998</v>
      </c>
      <c r="L155" s="23">
        <f>'Annual Raw'!M62-L159</f>
        <v>405.01299999999998</v>
      </c>
      <c r="M155" s="23">
        <f>'Annual Raw'!N62-M159</f>
        <v>601.649</v>
      </c>
      <c r="N155" s="23">
        <f>'Annual Raw'!O62-N159</f>
        <v>731.09</v>
      </c>
      <c r="O155" s="23">
        <f>'Annual Raw'!P62-O159</f>
        <v>948.71699999999998</v>
      </c>
      <c r="P155" s="23">
        <f>'Annual Raw'!Q62-P159</f>
        <v>1220.569</v>
      </c>
      <c r="Q155" s="23">
        <f>'Annual Raw'!R62-Q159</f>
        <v>1096.08</v>
      </c>
      <c r="R155" s="23">
        <f>'Annual Raw'!S62-R159</f>
        <v>1366.5070000000001</v>
      </c>
      <c r="S155" s="23">
        <f>'Annual Raw'!T62-S159</f>
        <v>1567.5309999999999</v>
      </c>
      <c r="T155" s="23">
        <f>'Annual Raw'!U62-T159</f>
        <v>1785.9</v>
      </c>
      <c r="U155" s="23">
        <f>'Annual Raw'!V62-U159</f>
        <v>2066.375</v>
      </c>
      <c r="V155" s="23">
        <f>'Annual Raw'!W62-V159</f>
        <v>2696.6240000000003</v>
      </c>
      <c r="W155" s="23">
        <f>'Annual Raw'!X62-W159</f>
        <v>2663.9500000000003</v>
      </c>
      <c r="X155" s="23">
        <f>'Annual Raw'!Y62-X159</f>
        <v>3241.9790000000003</v>
      </c>
      <c r="Y155" s="23">
        <f>'Annual Raw'!Z62-Y159</f>
        <v>3663.1220000000003</v>
      </c>
      <c r="Z155" s="23">
        <f>'Annual Raw'!AA62-Z159</f>
        <v>4603.9579999999996</v>
      </c>
      <c r="AA155" s="23">
        <f>'Annual Raw'!AB62-AA159</f>
        <v>5666.8119999999999</v>
      </c>
      <c r="AB155" s="24">
        <f t="shared" ref="AB155:AB161" si="1185">+CP155</f>
        <v>6966.8530000000001</v>
      </c>
      <c r="AC155" s="24">
        <f t="shared" ref="AC155:AC161" si="1186">+CT155</f>
        <v>8366.8529999999992</v>
      </c>
      <c r="AD155" s="24">
        <f t="shared" ref="AD155:AD161" si="1187">+CX155</f>
        <v>9766.8529999999992</v>
      </c>
      <c r="AE155" s="24">
        <f t="shared" ref="AE155:AE161" si="1188">+DB155</f>
        <v>11166.852999999999</v>
      </c>
      <c r="AJ155" s="23">
        <f>+'QTR Raw'!D68</f>
        <v>0</v>
      </c>
      <c r="AL155" s="23">
        <f>+'QTR Raw'!F68</f>
        <v>0</v>
      </c>
      <c r="AN155" s="23">
        <f>+'QTR Raw'!H68</f>
        <v>0</v>
      </c>
      <c r="AP155" s="23">
        <f>+'QTR Raw'!J68</f>
        <v>0</v>
      </c>
      <c r="AR155" s="23">
        <f>+'QTR Raw'!L68</f>
        <v>0</v>
      </c>
      <c r="AT155" s="23">
        <f>+'QTR Raw'!N68</f>
        <v>0</v>
      </c>
      <c r="AV155" s="23">
        <f>+'QTR Raw'!P68</f>
        <v>0</v>
      </c>
      <c r="AX155" s="23">
        <f>+'QTR Raw'!R68</f>
        <v>0</v>
      </c>
      <c r="AZ155" s="23">
        <f>+'QTR Raw'!T68</f>
        <v>0</v>
      </c>
      <c r="BB155" s="23">
        <f>+'QTR Raw'!V68</f>
        <v>0</v>
      </c>
      <c r="BD155" s="23">
        <f>+'QTR Raw'!X68</f>
        <v>0</v>
      </c>
      <c r="BF155" s="23">
        <f>+'QTR Raw'!Z68</f>
        <v>1197.127</v>
      </c>
      <c r="BH155" s="23">
        <f>+'QTR Raw'!AB68</f>
        <v>0</v>
      </c>
      <c r="BJ155" s="23">
        <f>+'QTR Raw'!AD68</f>
        <v>1275.5840000000001</v>
      </c>
      <c r="BL155" s="23">
        <f>+'QTR Raw'!AF68</f>
        <v>1294.3050000000001</v>
      </c>
      <c r="BN155" s="23">
        <f>+'QTR Raw'!AH68</f>
        <v>1388.221</v>
      </c>
      <c r="BP155" s="23">
        <f>+'QTR Raw'!AJ68</f>
        <v>1700.3789999999999</v>
      </c>
      <c r="BR155" s="23">
        <f>+'QTR Raw'!AL68</f>
        <v>1833.242</v>
      </c>
      <c r="BT155" s="23">
        <f>+'QTR Raw'!AN68</f>
        <v>1846.0840000000001</v>
      </c>
      <c r="BV155" s="23">
        <f>+'QTR Raw'!AP68</f>
        <v>1635.365</v>
      </c>
      <c r="BX155" s="23">
        <f>+'QTR Raw'!AR68</f>
        <v>1622.2860000000001</v>
      </c>
      <c r="BZ155" s="23">
        <f>+'QTR Raw'!AT68</f>
        <v>2026.136</v>
      </c>
      <c r="CB155" s="23">
        <f>+'QTR Raw'!AV68</f>
        <v>2048.5070000000001</v>
      </c>
      <c r="CD155" s="23">
        <f>+'QTR Raw'!AX68</f>
        <v>2183.7739999999999</v>
      </c>
      <c r="CF155" s="23">
        <f>+'QTR Raw'!AZ68</f>
        <v>2426.9290000000001</v>
      </c>
      <c r="CH155" s="23">
        <f t="shared" ref="CH155:CH161" si="1189">Z155</f>
        <v>4603.9579999999996</v>
      </c>
      <c r="CI155" s="23">
        <f>CH155</f>
        <v>4603.9579999999996</v>
      </c>
      <c r="CJ155" s="23">
        <f>+CJ156+CJ158</f>
        <v>5036.8809999999994</v>
      </c>
      <c r="CK155" s="23">
        <f>+CJ155+100</f>
        <v>5136.8809999999994</v>
      </c>
      <c r="CL155" s="23">
        <f>+CL156+CL158</f>
        <v>5566.8530000000001</v>
      </c>
      <c r="CM155" s="24">
        <f>+CL155+350</f>
        <v>5916.8530000000001</v>
      </c>
      <c r="CN155" s="24">
        <f t="shared" ref="CN155:DB155" si="1190">+CM155+350</f>
        <v>6266.8530000000001</v>
      </c>
      <c r="CO155" s="24">
        <f t="shared" si="1190"/>
        <v>6616.8530000000001</v>
      </c>
      <c r="CP155" s="24">
        <f t="shared" si="1190"/>
        <v>6966.8530000000001</v>
      </c>
      <c r="CQ155" s="24">
        <f t="shared" si="1190"/>
        <v>7316.8530000000001</v>
      </c>
      <c r="CR155" s="24">
        <f t="shared" si="1190"/>
        <v>7666.8530000000001</v>
      </c>
      <c r="CS155" s="24">
        <f t="shared" si="1190"/>
        <v>8016.8530000000001</v>
      </c>
      <c r="CT155" s="24">
        <f t="shared" si="1190"/>
        <v>8366.8529999999992</v>
      </c>
      <c r="CU155" s="24">
        <f t="shared" si="1190"/>
        <v>8716.8529999999992</v>
      </c>
      <c r="CV155" s="24">
        <f t="shared" si="1190"/>
        <v>9066.8529999999992</v>
      </c>
      <c r="CW155" s="24">
        <f t="shared" si="1190"/>
        <v>9416.8529999999992</v>
      </c>
      <c r="CX155" s="24">
        <f t="shared" si="1190"/>
        <v>9766.8529999999992</v>
      </c>
      <c r="CY155" s="24">
        <f t="shared" si="1190"/>
        <v>10116.852999999999</v>
      </c>
      <c r="CZ155" s="24">
        <f t="shared" si="1190"/>
        <v>10466.852999999999</v>
      </c>
      <c r="DA155" s="24">
        <f t="shared" si="1190"/>
        <v>10816.852999999999</v>
      </c>
      <c r="DB155" s="24">
        <f t="shared" si="1190"/>
        <v>11166.852999999999</v>
      </c>
      <c r="DE155" s="123"/>
      <c r="DF155" s="23">
        <v>5236.8809999999994</v>
      </c>
    </row>
    <row r="156" spans="1:110" s="23" customFormat="1" outlineLevel="1" x14ac:dyDescent="0.2">
      <c r="A156" s="23" t="s">
        <v>51</v>
      </c>
      <c r="B156" s="23">
        <f>'Annual Raw'!C63</f>
        <v>0</v>
      </c>
      <c r="C156" s="23">
        <f>'Annual Raw'!D63</f>
        <v>0</v>
      </c>
      <c r="D156" s="23">
        <f>'Annual Raw'!E63</f>
        <v>0</v>
      </c>
      <c r="E156" s="23">
        <f>'Annual Raw'!F63</f>
        <v>0</v>
      </c>
      <c r="F156" s="23">
        <f>'Annual Raw'!G63</f>
        <v>0</v>
      </c>
      <c r="G156" s="23">
        <f>'Annual Raw'!H63</f>
        <v>0</v>
      </c>
      <c r="H156" s="23">
        <f>'Annual Raw'!I63</f>
        <v>0</v>
      </c>
      <c r="I156" s="23">
        <f>'Annual Raw'!J63</f>
        <v>13.2415339</v>
      </c>
      <c r="J156" s="23">
        <f>'Annual Raw'!K63</f>
        <v>18.6635062</v>
      </c>
      <c r="K156" s="23">
        <f>'Annual Raw'!L63</f>
        <v>30.905594499999999</v>
      </c>
      <c r="L156" s="23">
        <f>'Annual Raw'!M63</f>
        <v>52.503999999999998</v>
      </c>
      <c r="M156" s="23">
        <f>'Annual Raw'!N63</f>
        <v>127.057</v>
      </c>
      <c r="N156" s="23">
        <f>'Annual Raw'!O63</f>
        <v>170.70699999999999</v>
      </c>
      <c r="O156" s="23">
        <f>'Annual Raw'!P63</f>
        <v>251.14</v>
      </c>
      <c r="P156" s="23">
        <f>'Annual Raw'!Q63</f>
        <v>395.93400000000003</v>
      </c>
      <c r="Q156" s="23">
        <f>'Annual Raw'!R63</f>
        <v>111.05</v>
      </c>
      <c r="R156" s="23">
        <f>'Annual Raw'!S63</f>
        <v>238.12100000000001</v>
      </c>
      <c r="S156" s="23">
        <f>'Annual Raw'!T63</f>
        <v>370.404</v>
      </c>
      <c r="T156" s="23">
        <f>'Annual Raw'!U63</f>
        <v>510.31599999999997</v>
      </c>
      <c r="U156" s="23">
        <f>'Annual Raw'!V63</f>
        <v>644.36199999999997</v>
      </c>
      <c r="V156" s="23">
        <f>'Annual Raw'!W63</f>
        <v>829.28200000000004</v>
      </c>
      <c r="W156" s="23">
        <f>'Annual Raw'!X63</f>
        <v>993.44899999999996</v>
      </c>
      <c r="X156" s="23">
        <f>'Annual Raw'!Y63</f>
        <v>1179.6610000000001</v>
      </c>
      <c r="Y156" s="23">
        <f>'Annual Raw'!Z63</f>
        <v>1406.5219999999999</v>
      </c>
      <c r="Z156" s="23">
        <f>'Annual Raw'!AA63</f>
        <v>1671.816</v>
      </c>
      <c r="AA156" s="23">
        <f>'Annual Raw'!AB63</f>
        <v>2015.0170000000001</v>
      </c>
      <c r="AB156" s="24">
        <f t="shared" si="1185"/>
        <v>2533.5476928379935</v>
      </c>
      <c r="AC156" s="24">
        <f t="shared" si="1186"/>
        <v>3118.0515701496556</v>
      </c>
      <c r="AD156" s="24">
        <f t="shared" si="1187"/>
        <v>3798.424821001297</v>
      </c>
      <c r="AE156" s="24">
        <f t="shared" si="1188"/>
        <v>4563.3970830610288</v>
      </c>
      <c r="AJ156" s="23">
        <f>+'QTR Raw'!D69</f>
        <v>0</v>
      </c>
      <c r="AL156" s="23">
        <f>+'QTR Raw'!F69</f>
        <v>0</v>
      </c>
      <c r="AN156" s="23">
        <f>+'QTR Raw'!H69</f>
        <v>0</v>
      </c>
      <c r="AP156" s="23">
        <f>+'QTR Raw'!J69</f>
        <v>0</v>
      </c>
      <c r="AR156" s="23">
        <f>+'QTR Raw'!L69</f>
        <v>0</v>
      </c>
      <c r="AT156" s="23">
        <f>+'QTR Raw'!N69</f>
        <v>0</v>
      </c>
      <c r="AV156" s="23">
        <f>+'QTR Raw'!P69</f>
        <v>0</v>
      </c>
      <c r="AX156" s="23">
        <f>+'QTR Raw'!R69</f>
        <v>0</v>
      </c>
      <c r="AZ156" s="23">
        <f>+'QTR Raw'!T69</f>
        <v>0</v>
      </c>
      <c r="BB156" s="23">
        <f>+'QTR Raw'!V69</f>
        <v>0</v>
      </c>
      <c r="BD156" s="23">
        <f>+'QTR Raw'!X69</f>
        <v>0</v>
      </c>
      <c r="BF156" s="23">
        <f>+'QTR Raw'!Z69</f>
        <v>0</v>
      </c>
      <c r="BH156" s="23">
        <f>+'QTR Raw'!AB69</f>
        <v>0</v>
      </c>
      <c r="BJ156" s="23">
        <f>+'QTR Raw'!AD69</f>
        <v>0</v>
      </c>
      <c r="BL156" s="23">
        <f>+'QTR Raw'!AF69</f>
        <v>0</v>
      </c>
      <c r="BN156" s="23">
        <f>+'QTR Raw'!AH69</f>
        <v>0</v>
      </c>
      <c r="BP156" s="23">
        <f>+'QTR Raw'!AJ69</f>
        <v>0</v>
      </c>
      <c r="BR156" s="23">
        <f>+'QTR Raw'!AL69</f>
        <v>0</v>
      </c>
      <c r="BT156" s="23">
        <f>+'QTR Raw'!AN69</f>
        <v>0</v>
      </c>
      <c r="BV156" s="23">
        <f>+'QTR Raw'!AP69</f>
        <v>0</v>
      </c>
      <c r="BX156" s="23">
        <f>+'QTR Raw'!AR69</f>
        <v>0</v>
      </c>
      <c r="BZ156" s="23">
        <f>+'QTR Raw'!AT69</f>
        <v>0</v>
      </c>
      <c r="CB156" s="23">
        <f>+'QTR Raw'!AV69</f>
        <v>0</v>
      </c>
      <c r="CD156" s="23">
        <f>+'QTR Raw'!AX69</f>
        <v>0</v>
      </c>
      <c r="CF156" s="23">
        <f>+'QTR Raw'!AZ69</f>
        <v>0</v>
      </c>
      <c r="CH156" s="23">
        <f t="shared" si="1189"/>
        <v>1671.816</v>
      </c>
      <c r="CI156" s="23">
        <f t="shared" ref="CI156:DB156" si="1191">CH156+CI56</f>
        <v>1757.519</v>
      </c>
      <c r="CJ156" s="23">
        <f t="shared" si="1191"/>
        <v>1854.2950000000001</v>
      </c>
      <c r="CK156" s="23">
        <f t="shared" si="1191"/>
        <v>1959.89</v>
      </c>
      <c r="CL156" s="23">
        <f t="shared" si="1191"/>
        <v>2057.6849999999999</v>
      </c>
      <c r="CM156" s="24">
        <f t="shared" si="1191"/>
        <v>2165.7051626507596</v>
      </c>
      <c r="CN156" s="24">
        <f t="shared" si="1191"/>
        <v>2281.1740143892657</v>
      </c>
      <c r="CO156" s="24">
        <f t="shared" si="1191"/>
        <v>2403.8622676445634</v>
      </c>
      <c r="CP156" s="24">
        <f t="shared" si="1191"/>
        <v>2533.5476928379935</v>
      </c>
      <c r="CQ156" s="24">
        <f t="shared" si="1191"/>
        <v>2670.0149011221556</v>
      </c>
      <c r="CR156" s="24">
        <f t="shared" si="1191"/>
        <v>2813.0551338076616</v>
      </c>
      <c r="CS156" s="24">
        <f t="shared" si="1191"/>
        <v>2962.4660582718102</v>
      </c>
      <c r="CT156" s="24">
        <f t="shared" si="1191"/>
        <v>3118.0515701496556</v>
      </c>
      <c r="CU156" s="24">
        <f t="shared" si="1191"/>
        <v>3279.6216016140866</v>
      </c>
      <c r="CV156" s="24">
        <f t="shared" si="1191"/>
        <v>3446.9919355574784</v>
      </c>
      <c r="CW156" s="24">
        <f t="shared" si="1191"/>
        <v>3619.984025493256</v>
      </c>
      <c r="CX156" s="24">
        <f t="shared" si="1191"/>
        <v>3798.424821001297</v>
      </c>
      <c r="CY156" s="24">
        <f t="shared" si="1191"/>
        <v>3982.1465985465206</v>
      </c>
      <c r="CZ156" s="24">
        <f t="shared" si="1191"/>
        <v>4170.9867975052657</v>
      </c>
      <c r="DA156" s="24">
        <f t="shared" si="1191"/>
        <v>4364.7878612391487</v>
      </c>
      <c r="DB156" s="24">
        <f t="shared" si="1191"/>
        <v>4563.3970830610288</v>
      </c>
      <c r="DE156" s="123"/>
      <c r="DF156" s="23">
        <v>2065.2993635317316</v>
      </c>
    </row>
    <row r="157" spans="1:110" s="23" customFormat="1" outlineLevel="1" x14ac:dyDescent="0.2">
      <c r="A157" s="23" t="s">
        <v>52</v>
      </c>
      <c r="B157" s="23">
        <f>'Annual Raw'!C64</f>
        <v>0</v>
      </c>
      <c r="C157" s="23">
        <f>'Annual Raw'!D64</f>
        <v>0</v>
      </c>
      <c r="D157" s="23">
        <f>'Annual Raw'!E64</f>
        <v>0</v>
      </c>
      <c r="E157" s="23">
        <f>'Annual Raw'!F64</f>
        <v>0</v>
      </c>
      <c r="F157" s="23">
        <f>'Annual Raw'!G64</f>
        <v>0</v>
      </c>
      <c r="G157" s="23">
        <f>'Annual Raw'!H64</f>
        <v>0</v>
      </c>
      <c r="H157" s="23">
        <f>'Annual Raw'!I64</f>
        <v>0</v>
      </c>
      <c r="I157" s="23">
        <f>'Annual Raw'!J64</f>
        <v>0</v>
      </c>
      <c r="J157" s="23">
        <f>'Annual Raw'!K64</f>
        <v>0</v>
      </c>
      <c r="K157" s="23">
        <f>'Annual Raw'!L64</f>
        <v>0</v>
      </c>
      <c r="L157" s="23">
        <f>'Annual Raw'!M64</f>
        <v>0</v>
      </c>
      <c r="M157" s="23">
        <f>'Annual Raw'!N64</f>
        <v>0</v>
      </c>
      <c r="N157" s="23">
        <f>'Annual Raw'!O64</f>
        <v>0</v>
      </c>
      <c r="O157" s="23">
        <f>'Annual Raw'!P64</f>
        <v>0</v>
      </c>
      <c r="P157" s="23">
        <f>'Annual Raw'!Q64</f>
        <v>0</v>
      </c>
      <c r="Q157" s="23">
        <f>'Annual Raw'!R64</f>
        <v>0</v>
      </c>
      <c r="R157" s="23">
        <f>'Annual Raw'!S64</f>
        <v>0</v>
      </c>
      <c r="S157" s="23">
        <f>'Annual Raw'!T64</f>
        <v>0</v>
      </c>
      <c r="T157" s="23">
        <f>'Annual Raw'!U64</f>
        <v>0</v>
      </c>
      <c r="U157" s="23">
        <f>'Annual Raw'!V64</f>
        <v>0</v>
      </c>
      <c r="V157" s="23">
        <f>'Annual Raw'!W64</f>
        <v>0</v>
      </c>
      <c r="W157" s="23">
        <f>'Annual Raw'!X64</f>
        <v>0</v>
      </c>
      <c r="X157" s="23">
        <f>'Annual Raw'!Y64</f>
        <v>0</v>
      </c>
      <c r="Y157" s="23">
        <f>'Annual Raw'!Z64</f>
        <v>0</v>
      </c>
      <c r="Z157" s="23">
        <f>'Annual Raw'!AA64</f>
        <v>0</v>
      </c>
      <c r="AA157" s="23">
        <f>'Annual Raw'!AB64</f>
        <v>0</v>
      </c>
      <c r="AB157" s="24">
        <f t="shared" si="1185"/>
        <v>0</v>
      </c>
      <c r="AC157" s="24">
        <f t="shared" si="1186"/>
        <v>0</v>
      </c>
      <c r="AD157" s="24">
        <f t="shared" si="1187"/>
        <v>0</v>
      </c>
      <c r="AE157" s="24">
        <f t="shared" si="1188"/>
        <v>0</v>
      </c>
      <c r="AJ157" s="23">
        <f>+'QTR Raw'!D70</f>
        <v>0</v>
      </c>
      <c r="AL157" s="23">
        <f>+'QTR Raw'!F70</f>
        <v>0</v>
      </c>
      <c r="AN157" s="23">
        <f>+'QTR Raw'!H70</f>
        <v>0</v>
      </c>
      <c r="AP157" s="23">
        <f>+'QTR Raw'!J70</f>
        <v>0</v>
      </c>
      <c r="AR157" s="23">
        <f>+'QTR Raw'!L70</f>
        <v>0</v>
      </c>
      <c r="AT157" s="23">
        <f>+'QTR Raw'!N70</f>
        <v>0</v>
      </c>
      <c r="AV157" s="23">
        <f>+'QTR Raw'!P70</f>
        <v>0</v>
      </c>
      <c r="AX157" s="23">
        <f>+'QTR Raw'!R70</f>
        <v>0</v>
      </c>
      <c r="AZ157" s="23">
        <f>+'QTR Raw'!T70</f>
        <v>0</v>
      </c>
      <c r="BB157" s="23">
        <f>+'QTR Raw'!V70</f>
        <v>0</v>
      </c>
      <c r="BD157" s="23">
        <f>+'QTR Raw'!X70</f>
        <v>0</v>
      </c>
      <c r="BF157" s="23">
        <f>+'QTR Raw'!Z70</f>
        <v>0</v>
      </c>
      <c r="BH157" s="23">
        <f>+'QTR Raw'!AB70</f>
        <v>0</v>
      </c>
      <c r="BJ157" s="23">
        <f>+'QTR Raw'!AD70</f>
        <v>0</v>
      </c>
      <c r="BL157" s="23">
        <f>+'QTR Raw'!AF70</f>
        <v>0</v>
      </c>
      <c r="BN157" s="23">
        <f>+'QTR Raw'!AH70</f>
        <v>0</v>
      </c>
      <c r="BP157" s="23">
        <f>+'QTR Raw'!AJ70</f>
        <v>0</v>
      </c>
      <c r="BR157" s="23">
        <f>+'QTR Raw'!AL70</f>
        <v>0</v>
      </c>
      <c r="BT157" s="23">
        <f>+'QTR Raw'!AN70</f>
        <v>0</v>
      </c>
      <c r="BV157" s="23">
        <f>+'QTR Raw'!AP70</f>
        <v>0</v>
      </c>
      <c r="BX157" s="23">
        <f>+'QTR Raw'!AR70</f>
        <v>0</v>
      </c>
      <c r="BZ157" s="23">
        <f>+'QTR Raw'!AT70</f>
        <v>0</v>
      </c>
      <c r="CB157" s="23">
        <f>+'QTR Raw'!AV70</f>
        <v>0</v>
      </c>
      <c r="CD157" s="23">
        <f>+'QTR Raw'!AX70</f>
        <v>0</v>
      </c>
      <c r="CF157" s="23">
        <f>+'QTR Raw'!AZ70</f>
        <v>0</v>
      </c>
      <c r="CH157" s="23">
        <f t="shared" si="1189"/>
        <v>0</v>
      </c>
      <c r="CI157" s="23">
        <f>CH157</f>
        <v>0</v>
      </c>
      <c r="CJ157" s="23">
        <f>+'QTR Raw'!BD70</f>
        <v>0</v>
      </c>
      <c r="CK157" s="23">
        <f t="shared" ref="CK157:DB157" si="1192">CJ157</f>
        <v>0</v>
      </c>
      <c r="CL157" s="23">
        <f>+'QTR Raw'!BF70</f>
        <v>0</v>
      </c>
      <c r="CM157" s="24">
        <f t="shared" si="1192"/>
        <v>0</v>
      </c>
      <c r="CN157" s="24">
        <f t="shared" si="1192"/>
        <v>0</v>
      </c>
      <c r="CO157" s="24">
        <f t="shared" si="1192"/>
        <v>0</v>
      </c>
      <c r="CP157" s="24">
        <f t="shared" si="1192"/>
        <v>0</v>
      </c>
      <c r="CQ157" s="24">
        <f t="shared" si="1192"/>
        <v>0</v>
      </c>
      <c r="CR157" s="24">
        <f t="shared" si="1192"/>
        <v>0</v>
      </c>
      <c r="CS157" s="24">
        <f t="shared" si="1192"/>
        <v>0</v>
      </c>
      <c r="CT157" s="24">
        <f t="shared" si="1192"/>
        <v>0</v>
      </c>
      <c r="CU157" s="24">
        <f t="shared" si="1192"/>
        <v>0</v>
      </c>
      <c r="CV157" s="24">
        <f t="shared" si="1192"/>
        <v>0</v>
      </c>
      <c r="CW157" s="24">
        <f t="shared" si="1192"/>
        <v>0</v>
      </c>
      <c r="CX157" s="24">
        <f t="shared" si="1192"/>
        <v>0</v>
      </c>
      <c r="CY157" s="24">
        <f t="shared" si="1192"/>
        <v>0</v>
      </c>
      <c r="CZ157" s="24">
        <f t="shared" si="1192"/>
        <v>0</v>
      </c>
      <c r="DA157" s="24">
        <f t="shared" si="1192"/>
        <v>0</v>
      </c>
      <c r="DB157" s="24">
        <f t="shared" si="1192"/>
        <v>0</v>
      </c>
      <c r="DE157" s="123"/>
      <c r="DF157" s="23">
        <v>0</v>
      </c>
    </row>
    <row r="158" spans="1:110" s="22" customFormat="1" outlineLevel="1" x14ac:dyDescent="0.2">
      <c r="A158" s="22" t="s">
        <v>53</v>
      </c>
      <c r="B158" s="22">
        <f>+B155-B156-B157</f>
        <v>0</v>
      </c>
      <c r="C158" s="22">
        <f t="shared" ref="C158:W158" si="1193">+C155-C156-C157</f>
        <v>0</v>
      </c>
      <c r="D158" s="22">
        <f t="shared" si="1193"/>
        <v>0</v>
      </c>
      <c r="E158" s="22">
        <f t="shared" si="1193"/>
        <v>0</v>
      </c>
      <c r="F158" s="22">
        <f t="shared" si="1193"/>
        <v>0</v>
      </c>
      <c r="G158" s="22">
        <f t="shared" si="1193"/>
        <v>0</v>
      </c>
      <c r="H158" s="22">
        <f t="shared" si="1193"/>
        <v>0</v>
      </c>
      <c r="I158" s="22">
        <f t="shared" si="1193"/>
        <v>72.110541899999987</v>
      </c>
      <c r="J158" s="22">
        <f t="shared" si="1193"/>
        <v>119.19384890000001</v>
      </c>
      <c r="K158" s="22">
        <f t="shared" si="1193"/>
        <v>289.13068929999997</v>
      </c>
      <c r="L158" s="22">
        <f t="shared" si="1193"/>
        <v>352.50899999999996</v>
      </c>
      <c r="M158" s="22">
        <f t="shared" si="1193"/>
        <v>474.59199999999998</v>
      </c>
      <c r="N158" s="22">
        <f t="shared" si="1193"/>
        <v>560.38300000000004</v>
      </c>
      <c r="O158" s="22">
        <f t="shared" si="1193"/>
        <v>697.577</v>
      </c>
      <c r="P158" s="22">
        <f t="shared" si="1193"/>
        <v>824.63499999999999</v>
      </c>
      <c r="Q158" s="22">
        <f t="shared" si="1193"/>
        <v>985.03</v>
      </c>
      <c r="R158" s="22">
        <f t="shared" si="1193"/>
        <v>1128.386</v>
      </c>
      <c r="S158" s="22">
        <f t="shared" si="1193"/>
        <v>1197.127</v>
      </c>
      <c r="T158" s="22">
        <f t="shared" si="1193"/>
        <v>1275.5840000000001</v>
      </c>
      <c r="U158" s="22">
        <f t="shared" si="1193"/>
        <v>1422.0129999999999</v>
      </c>
      <c r="V158" s="22">
        <f t="shared" si="1193"/>
        <v>1867.3420000000001</v>
      </c>
      <c r="W158" s="22">
        <f t="shared" si="1193"/>
        <v>1670.5010000000002</v>
      </c>
      <c r="X158" s="22">
        <f t="shared" ref="X158:Y158" si="1194">+X155-X156-X157</f>
        <v>2062.3180000000002</v>
      </c>
      <c r="Y158" s="22">
        <f t="shared" si="1194"/>
        <v>2256.6000000000004</v>
      </c>
      <c r="Z158" s="22">
        <f t="shared" ref="Z158:AE158" si="1195">+Z155-Z156-Z157</f>
        <v>2932.1419999999998</v>
      </c>
      <c r="AA158" s="22">
        <f t="shared" ref="AA158" si="1196">+AA155-AA156-AA157</f>
        <v>3651.7950000000001</v>
      </c>
      <c r="AB158" s="21">
        <f t="shared" si="1195"/>
        <v>4433.305307162007</v>
      </c>
      <c r="AC158" s="21">
        <f t="shared" si="1195"/>
        <v>5248.801429850344</v>
      </c>
      <c r="AD158" s="21">
        <f t="shared" si="1195"/>
        <v>5968.4281789987017</v>
      </c>
      <c r="AE158" s="21">
        <f t="shared" si="1195"/>
        <v>6603.4559169389704</v>
      </c>
      <c r="AJ158" s="22">
        <f t="shared" ref="AJ158:AL158" si="1197">+AJ155-AJ156-AJ157</f>
        <v>0</v>
      </c>
      <c r="AK158" s="22">
        <f t="shared" ref="AK158:CE158" si="1198">+AJ158</f>
        <v>0</v>
      </c>
      <c r="AL158" s="22">
        <f t="shared" si="1197"/>
        <v>0</v>
      </c>
      <c r="AM158" s="22">
        <f t="shared" si="1198"/>
        <v>0</v>
      </c>
      <c r="AN158" s="22">
        <f t="shared" ref="AN158" si="1199">+AN155-AN156-AN157</f>
        <v>0</v>
      </c>
      <c r="AO158" s="22">
        <f t="shared" si="1198"/>
        <v>0</v>
      </c>
      <c r="AP158" s="22">
        <f t="shared" ref="AP158:CD158" si="1200">+AP155-AP156-AP157</f>
        <v>0</v>
      </c>
      <c r="AQ158" s="22">
        <f t="shared" si="1198"/>
        <v>0</v>
      </c>
      <c r="AR158" s="22">
        <f t="shared" si="1200"/>
        <v>0</v>
      </c>
      <c r="AS158" s="22">
        <f t="shared" si="1198"/>
        <v>0</v>
      </c>
      <c r="AT158" s="22">
        <f t="shared" si="1200"/>
        <v>0</v>
      </c>
      <c r="AU158" s="22">
        <f t="shared" si="1198"/>
        <v>0</v>
      </c>
      <c r="AV158" s="22">
        <f t="shared" si="1200"/>
        <v>0</v>
      </c>
      <c r="AW158" s="22">
        <f t="shared" si="1198"/>
        <v>0</v>
      </c>
      <c r="AX158" s="22">
        <f t="shared" si="1200"/>
        <v>0</v>
      </c>
      <c r="AY158" s="22">
        <f t="shared" si="1198"/>
        <v>0</v>
      </c>
      <c r="AZ158" s="22">
        <f t="shared" si="1200"/>
        <v>0</v>
      </c>
      <c r="BA158" s="22">
        <f t="shared" si="1198"/>
        <v>0</v>
      </c>
      <c r="BB158" s="22">
        <f t="shared" si="1200"/>
        <v>0</v>
      </c>
      <c r="BC158" s="22">
        <f t="shared" si="1198"/>
        <v>0</v>
      </c>
      <c r="BD158" s="22">
        <f t="shared" si="1200"/>
        <v>0</v>
      </c>
      <c r="BE158" s="22">
        <f t="shared" si="1198"/>
        <v>0</v>
      </c>
      <c r="BF158" s="22">
        <f t="shared" si="1200"/>
        <v>1197.127</v>
      </c>
      <c r="BG158" s="22">
        <f t="shared" si="1198"/>
        <v>1197.127</v>
      </c>
      <c r="BH158" s="22">
        <f t="shared" si="1200"/>
        <v>0</v>
      </c>
      <c r="BI158" s="22">
        <f t="shared" si="1198"/>
        <v>0</v>
      </c>
      <c r="BJ158" s="22">
        <f t="shared" si="1200"/>
        <v>1275.5840000000001</v>
      </c>
      <c r="BK158" s="22">
        <f t="shared" si="1198"/>
        <v>1275.5840000000001</v>
      </c>
      <c r="BL158" s="22">
        <f t="shared" si="1200"/>
        <v>1294.3050000000001</v>
      </c>
      <c r="BM158" s="22">
        <f t="shared" si="1198"/>
        <v>1294.3050000000001</v>
      </c>
      <c r="BN158" s="22">
        <f t="shared" si="1200"/>
        <v>1388.221</v>
      </c>
      <c r="BO158" s="22">
        <f t="shared" si="1198"/>
        <v>1388.221</v>
      </c>
      <c r="BP158" s="22">
        <f t="shared" si="1200"/>
        <v>1700.3789999999999</v>
      </c>
      <c r="BQ158" s="22">
        <f t="shared" si="1198"/>
        <v>1700.3789999999999</v>
      </c>
      <c r="BR158" s="22">
        <f t="shared" si="1200"/>
        <v>1833.242</v>
      </c>
      <c r="BS158" s="22">
        <f t="shared" si="1198"/>
        <v>1833.242</v>
      </c>
      <c r="BT158" s="22">
        <f t="shared" si="1200"/>
        <v>1846.0840000000001</v>
      </c>
      <c r="BU158" s="22">
        <f t="shared" si="1198"/>
        <v>1846.0840000000001</v>
      </c>
      <c r="BV158" s="22">
        <f t="shared" si="1200"/>
        <v>1635.365</v>
      </c>
      <c r="BW158" s="22">
        <f t="shared" si="1198"/>
        <v>1635.365</v>
      </c>
      <c r="BX158" s="22">
        <f t="shared" si="1200"/>
        <v>1622.2860000000001</v>
      </c>
      <c r="BY158" s="22">
        <f t="shared" si="1198"/>
        <v>1622.2860000000001</v>
      </c>
      <c r="BZ158" s="22">
        <f t="shared" si="1200"/>
        <v>2026.136</v>
      </c>
      <c r="CA158" s="22">
        <f t="shared" si="1198"/>
        <v>2026.136</v>
      </c>
      <c r="CB158" s="22">
        <f t="shared" si="1200"/>
        <v>2048.5070000000001</v>
      </c>
      <c r="CC158" s="22">
        <f t="shared" si="1198"/>
        <v>2048.5070000000001</v>
      </c>
      <c r="CD158" s="22">
        <f t="shared" si="1200"/>
        <v>2183.7739999999999</v>
      </c>
      <c r="CE158" s="22">
        <f t="shared" si="1198"/>
        <v>2183.7739999999999</v>
      </c>
      <c r="CF158" s="22">
        <f t="shared" ref="CF158:CI158" si="1201">+CF155-CF156-CF157</f>
        <v>2426.9290000000001</v>
      </c>
      <c r="CG158" s="22">
        <f t="shared" ref="CG158:CI161" si="1202">+CF158</f>
        <v>2426.9290000000001</v>
      </c>
      <c r="CH158" s="22">
        <f t="shared" si="1201"/>
        <v>2932.1419999999998</v>
      </c>
      <c r="CI158" s="22">
        <f t="shared" si="1201"/>
        <v>2846.4389999999994</v>
      </c>
      <c r="CJ158" s="23">
        <f>+'QTR Raw'!BD68</f>
        <v>3182.5859999999998</v>
      </c>
      <c r="CK158" s="23">
        <f t="shared" ref="CK158:DB158" si="1203">+CK155-CK156-CK157</f>
        <v>3176.9909999999991</v>
      </c>
      <c r="CL158" s="23">
        <f>+'QTR Raw'!BF68</f>
        <v>3509.1680000000001</v>
      </c>
      <c r="CM158" s="21">
        <f t="shared" si="1203"/>
        <v>3751.1478373492405</v>
      </c>
      <c r="CN158" s="21">
        <f t="shared" si="1203"/>
        <v>3985.6789856107343</v>
      </c>
      <c r="CO158" s="21">
        <f t="shared" si="1203"/>
        <v>4212.9907323554362</v>
      </c>
      <c r="CP158" s="21">
        <f t="shared" si="1203"/>
        <v>4433.305307162007</v>
      </c>
      <c r="CQ158" s="21">
        <f t="shared" si="1203"/>
        <v>4646.8380988778445</v>
      </c>
      <c r="CR158" s="21">
        <f t="shared" si="1203"/>
        <v>4853.7978661923389</v>
      </c>
      <c r="CS158" s="21">
        <f t="shared" si="1203"/>
        <v>5054.3869417281894</v>
      </c>
      <c r="CT158" s="21">
        <f t="shared" si="1203"/>
        <v>5248.801429850344</v>
      </c>
      <c r="CU158" s="21">
        <f t="shared" si="1203"/>
        <v>5437.2313983859131</v>
      </c>
      <c r="CV158" s="21">
        <f t="shared" si="1203"/>
        <v>5619.8610644425207</v>
      </c>
      <c r="CW158" s="21">
        <f t="shared" si="1203"/>
        <v>5796.8689745067431</v>
      </c>
      <c r="CX158" s="21">
        <f t="shared" si="1203"/>
        <v>5968.4281789987017</v>
      </c>
      <c r="CY158" s="21">
        <f t="shared" si="1203"/>
        <v>6134.706401453479</v>
      </c>
      <c r="CZ158" s="21">
        <f t="shared" si="1203"/>
        <v>6295.8662024947334</v>
      </c>
      <c r="DA158" s="21">
        <f t="shared" si="1203"/>
        <v>6452.0651387608505</v>
      </c>
      <c r="DB158" s="21">
        <f t="shared" si="1203"/>
        <v>6603.4559169389704</v>
      </c>
      <c r="DE158" s="126"/>
      <c r="DF158" s="22">
        <v>3171.5816364682678</v>
      </c>
    </row>
    <row r="159" spans="1:110" s="23" customFormat="1" outlineLevel="1" x14ac:dyDescent="0.2">
      <c r="A159" s="23" t="s">
        <v>54</v>
      </c>
      <c r="B159" s="23">
        <f>'Annual Raw'!C86</f>
        <v>0</v>
      </c>
      <c r="C159" s="23">
        <f>'Annual Raw'!D86</f>
        <v>0</v>
      </c>
      <c r="D159" s="23">
        <f>'Annual Raw'!E86</f>
        <v>0</v>
      </c>
      <c r="E159" s="23">
        <f>'Annual Raw'!F86</f>
        <v>0</v>
      </c>
      <c r="F159" s="23">
        <f>'Annual Raw'!G86</f>
        <v>0</v>
      </c>
      <c r="G159" s="23">
        <f>'Annual Raw'!H86</f>
        <v>0</v>
      </c>
      <c r="H159" s="23">
        <f>'Annual Raw'!I86</f>
        <v>0</v>
      </c>
      <c r="I159" s="23">
        <f>'Annual Raw'!J86</f>
        <v>0</v>
      </c>
      <c r="J159" s="23">
        <f>'Annual Raw'!K86</f>
        <v>0</v>
      </c>
      <c r="K159" s="23">
        <f>'Annual Raw'!L86</f>
        <v>0</v>
      </c>
      <c r="L159" s="23">
        <f>'Annual Raw'!M86</f>
        <v>0</v>
      </c>
      <c r="M159" s="23">
        <f>'Annual Raw'!N86</f>
        <v>0</v>
      </c>
      <c r="N159" s="23">
        <f>'Annual Raw'!O86</f>
        <v>0</v>
      </c>
      <c r="O159" s="23">
        <f>'Annual Raw'!P86</f>
        <v>0</v>
      </c>
      <c r="P159" s="23">
        <f>'Annual Raw'!Q86</f>
        <v>0.108</v>
      </c>
      <c r="Q159" s="23">
        <f>'Annual Raw'!R86</f>
        <v>0</v>
      </c>
      <c r="R159" s="23">
        <f>'Annual Raw'!S86</f>
        <v>0</v>
      </c>
      <c r="S159" s="23">
        <f>'Annual Raw'!T86</f>
        <v>0</v>
      </c>
      <c r="T159" s="23">
        <f>'Annual Raw'!U86</f>
        <v>0</v>
      </c>
      <c r="U159" s="23">
        <f>'Annual Raw'!V86</f>
        <v>0</v>
      </c>
      <c r="V159" s="23">
        <f>'Annual Raw'!W86</f>
        <v>2.258</v>
      </c>
      <c r="W159" s="23">
        <f>'Annual Raw'!X86</f>
        <v>4.6219999999999999</v>
      </c>
      <c r="X159" s="23">
        <f>'Annual Raw'!Y86</f>
        <v>4.6219999999999999</v>
      </c>
      <c r="Y159" s="23">
        <f>'Annual Raw'!Z86</f>
        <v>4.6219999999999999</v>
      </c>
      <c r="Z159" s="23">
        <f>'Annual Raw'!AA86</f>
        <v>0</v>
      </c>
      <c r="AA159" s="23">
        <f>'Annual Raw'!AB86</f>
        <v>0</v>
      </c>
      <c r="AB159" s="24">
        <f t="shared" si="1185"/>
        <v>0</v>
      </c>
      <c r="AC159" s="24">
        <f t="shared" si="1186"/>
        <v>0</v>
      </c>
      <c r="AD159" s="24">
        <f t="shared" si="1187"/>
        <v>0</v>
      </c>
      <c r="AE159" s="24">
        <f t="shared" si="1188"/>
        <v>0</v>
      </c>
      <c r="AJ159" s="23">
        <f>+'QTR Raw'!D72</f>
        <v>0</v>
      </c>
      <c r="AK159" s="23">
        <f>+AJ159</f>
        <v>0</v>
      </c>
      <c r="AL159" s="23">
        <f>+'QTR Raw'!F72</f>
        <v>0</v>
      </c>
      <c r="AM159" s="23">
        <f t="shared" ref="AK159:CE161" si="1204">+AL159</f>
        <v>0</v>
      </c>
      <c r="AN159" s="23">
        <f>+'QTR Raw'!H72</f>
        <v>0</v>
      </c>
      <c r="AO159" s="23">
        <f t="shared" si="1204"/>
        <v>0</v>
      </c>
      <c r="AP159" s="23">
        <f>+'QTR Raw'!J72</f>
        <v>0</v>
      </c>
      <c r="AQ159" s="23">
        <f t="shared" si="1204"/>
        <v>0</v>
      </c>
      <c r="AR159" s="23">
        <f>+'QTR Raw'!L72</f>
        <v>0</v>
      </c>
      <c r="AS159" s="23">
        <f t="shared" si="1204"/>
        <v>0</v>
      </c>
      <c r="AT159" s="23">
        <f>+'QTR Raw'!N72</f>
        <v>0</v>
      </c>
      <c r="AU159" s="23">
        <f t="shared" si="1204"/>
        <v>0</v>
      </c>
      <c r="AV159" s="23">
        <f>+'QTR Raw'!P72</f>
        <v>0</v>
      </c>
      <c r="AW159" s="23">
        <f t="shared" si="1204"/>
        <v>0</v>
      </c>
      <c r="AX159" s="23">
        <f>+'QTR Raw'!R72</f>
        <v>0</v>
      </c>
      <c r="AY159" s="23">
        <f t="shared" si="1204"/>
        <v>0</v>
      </c>
      <c r="AZ159" s="23">
        <f>+'QTR Raw'!T72</f>
        <v>0</v>
      </c>
      <c r="BA159" s="23">
        <f t="shared" si="1204"/>
        <v>0</v>
      </c>
      <c r="BB159" s="23">
        <f>+'QTR Raw'!V72</f>
        <v>0</v>
      </c>
      <c r="BC159" s="23">
        <f t="shared" si="1204"/>
        <v>0</v>
      </c>
      <c r="BD159" s="23">
        <f>+'QTR Raw'!X72</f>
        <v>0</v>
      </c>
      <c r="BE159" s="23">
        <f t="shared" si="1204"/>
        <v>0</v>
      </c>
      <c r="BF159" s="23">
        <f>+'QTR Raw'!Z72</f>
        <v>0</v>
      </c>
      <c r="BG159" s="23">
        <f t="shared" si="1204"/>
        <v>0</v>
      </c>
      <c r="BH159" s="23">
        <f>+'QTR Raw'!AB72</f>
        <v>0</v>
      </c>
      <c r="BI159" s="23">
        <f t="shared" si="1204"/>
        <v>0</v>
      </c>
      <c r="BJ159" s="23">
        <f>+'QTR Raw'!AD72</f>
        <v>0</v>
      </c>
      <c r="BK159" s="23">
        <f t="shared" si="1204"/>
        <v>0</v>
      </c>
      <c r="BL159" s="23">
        <f>+'QTR Raw'!AF72</f>
        <v>0</v>
      </c>
      <c r="BM159" s="23">
        <f t="shared" si="1204"/>
        <v>0</v>
      </c>
      <c r="BN159" s="23">
        <f>+'QTR Raw'!AH72</f>
        <v>0</v>
      </c>
      <c r="BO159" s="23">
        <f t="shared" si="1204"/>
        <v>0</v>
      </c>
      <c r="BP159" s="23">
        <f>+'QTR Raw'!AJ72</f>
        <v>2.258</v>
      </c>
      <c r="BQ159" s="23">
        <f t="shared" si="1204"/>
        <v>2.258</v>
      </c>
      <c r="BR159" s="23">
        <f>+'QTR Raw'!AL72</f>
        <v>2.258</v>
      </c>
      <c r="BS159" s="23">
        <f t="shared" si="1204"/>
        <v>2.258</v>
      </c>
      <c r="BT159" s="23">
        <f>+'QTR Raw'!AN72</f>
        <v>6.88</v>
      </c>
      <c r="BU159" s="23">
        <f t="shared" si="1204"/>
        <v>6.88</v>
      </c>
      <c r="BV159" s="23">
        <f>+'QTR Raw'!AP72</f>
        <v>4.6219999999999999</v>
      </c>
      <c r="BW159" s="23">
        <f t="shared" si="1204"/>
        <v>4.6219999999999999</v>
      </c>
      <c r="BX159" s="23">
        <f>+'QTR Raw'!AR72</f>
        <v>4.6219999999999999</v>
      </c>
      <c r="BY159" s="23">
        <f t="shared" si="1204"/>
        <v>4.6219999999999999</v>
      </c>
      <c r="BZ159" s="23">
        <f>+'QTR Raw'!AT72</f>
        <v>4.6219999999999999</v>
      </c>
      <c r="CA159" s="23">
        <f t="shared" si="1204"/>
        <v>4.6219999999999999</v>
      </c>
      <c r="CB159" s="23">
        <f>+'QTR Raw'!AV72</f>
        <v>4.6219999999999999</v>
      </c>
      <c r="CC159" s="23">
        <f t="shared" si="1204"/>
        <v>4.6219999999999999</v>
      </c>
      <c r="CD159" s="23">
        <f>+'QTR Raw'!AX72</f>
        <v>4.6219999999999999</v>
      </c>
      <c r="CE159" s="23">
        <f t="shared" si="1204"/>
        <v>4.6219999999999999</v>
      </c>
      <c r="CF159" s="23">
        <f>+'QTR Raw'!AZ72</f>
        <v>4.6219999999999999</v>
      </c>
      <c r="CG159" s="23">
        <f t="shared" si="1202"/>
        <v>4.6219999999999999</v>
      </c>
      <c r="CH159" s="23">
        <f t="shared" si="1189"/>
        <v>0</v>
      </c>
      <c r="CI159" s="23">
        <f t="shared" si="1202"/>
        <v>0</v>
      </c>
      <c r="CJ159" s="23">
        <f>+'QTR Raw'!BD72</f>
        <v>0</v>
      </c>
      <c r="CK159" s="23">
        <f t="shared" ref="CK159:CK161" si="1205">+CJ159</f>
        <v>0</v>
      </c>
      <c r="CL159" s="23">
        <f>+'QTR Raw'!BF72</f>
        <v>0</v>
      </c>
      <c r="CM159" s="24">
        <f t="shared" ref="CM159:CM161" si="1206">+CL159</f>
        <v>0</v>
      </c>
      <c r="CN159" s="24">
        <f t="shared" ref="CN159:CN161" si="1207">+CM159</f>
        <v>0</v>
      </c>
      <c r="CO159" s="24">
        <f t="shared" ref="CO159:CO161" si="1208">+CN159</f>
        <v>0</v>
      </c>
      <c r="CP159" s="24">
        <f t="shared" ref="CP159:CP161" si="1209">+CO159</f>
        <v>0</v>
      </c>
      <c r="CQ159" s="24">
        <f t="shared" ref="CQ159:CQ161" si="1210">+CP159</f>
        <v>0</v>
      </c>
      <c r="CR159" s="24">
        <f t="shared" ref="CR159:CR161" si="1211">+CQ159</f>
        <v>0</v>
      </c>
      <c r="CS159" s="24">
        <f t="shared" ref="CS159:CS161" si="1212">+CR159</f>
        <v>0</v>
      </c>
      <c r="CT159" s="24">
        <f t="shared" ref="CT159:CT161" si="1213">+CS159</f>
        <v>0</v>
      </c>
      <c r="CU159" s="24">
        <f t="shared" ref="CU159:CU161" si="1214">+CT159</f>
        <v>0</v>
      </c>
      <c r="CV159" s="24">
        <f t="shared" ref="CV159:CV161" si="1215">+CU159</f>
        <v>0</v>
      </c>
      <c r="CW159" s="24">
        <f t="shared" ref="CW159:CW161" si="1216">+CV159</f>
        <v>0</v>
      </c>
      <c r="CX159" s="24">
        <f t="shared" ref="CX159:CX161" si="1217">+CW159</f>
        <v>0</v>
      </c>
      <c r="CY159" s="24">
        <f t="shared" ref="CY159:CY161" si="1218">+CX159</f>
        <v>0</v>
      </c>
      <c r="CZ159" s="24">
        <f t="shared" ref="CZ159:CZ161" si="1219">+CY159</f>
        <v>0</v>
      </c>
      <c r="DA159" s="24">
        <f t="shared" ref="DA159:DA161" si="1220">+CZ159</f>
        <v>0</v>
      </c>
      <c r="DB159" s="24">
        <f t="shared" ref="DB159:DB161" si="1221">+DA159</f>
        <v>0</v>
      </c>
      <c r="DE159" s="123"/>
      <c r="DF159" s="23">
        <v>0</v>
      </c>
    </row>
    <row r="160" spans="1:110" s="23" customFormat="1" outlineLevel="1" x14ac:dyDescent="0.2">
      <c r="A160" s="23" t="s">
        <v>55</v>
      </c>
      <c r="B160" s="23">
        <f>'Annual Raw'!C68</f>
        <v>0</v>
      </c>
      <c r="C160" s="23">
        <f>'Annual Raw'!D68</f>
        <v>0</v>
      </c>
      <c r="D160" s="23">
        <f>'Annual Raw'!E68</f>
        <v>0</v>
      </c>
      <c r="E160" s="23">
        <f>'Annual Raw'!F68</f>
        <v>0</v>
      </c>
      <c r="F160" s="23">
        <f>'Annual Raw'!G68</f>
        <v>0</v>
      </c>
      <c r="G160" s="23">
        <f>'Annual Raw'!H68</f>
        <v>0</v>
      </c>
      <c r="H160" s="23">
        <f>'Annual Raw'!I68</f>
        <v>0</v>
      </c>
      <c r="I160" s="23">
        <f>'Annual Raw'!J68</f>
        <v>0</v>
      </c>
      <c r="J160" s="23">
        <f>'Annual Raw'!K68</f>
        <v>0</v>
      </c>
      <c r="K160" s="23">
        <f>'Annual Raw'!L68</f>
        <v>0</v>
      </c>
      <c r="L160" s="23">
        <f>'Annual Raw'!M68</f>
        <v>0</v>
      </c>
      <c r="M160" s="23">
        <f>'Annual Raw'!N68</f>
        <v>0</v>
      </c>
      <c r="N160" s="23">
        <f>'Annual Raw'!O68</f>
        <v>0</v>
      </c>
      <c r="O160" s="23">
        <f>'Annual Raw'!P68</f>
        <v>0</v>
      </c>
      <c r="P160" s="23">
        <f>'Annual Raw'!Q68</f>
        <v>0</v>
      </c>
      <c r="Q160" s="23">
        <f>'Annual Raw'!R68</f>
        <v>0</v>
      </c>
      <c r="R160" s="23">
        <f>'Annual Raw'!S68</f>
        <v>0</v>
      </c>
      <c r="S160" s="23">
        <f>'Annual Raw'!T68</f>
        <v>0</v>
      </c>
      <c r="T160" s="23">
        <f>'Annual Raw'!U68</f>
        <v>0</v>
      </c>
      <c r="U160" s="23">
        <f>'Annual Raw'!V68</f>
        <v>0</v>
      </c>
      <c r="V160" s="23">
        <f>'Annual Raw'!W68</f>
        <v>0</v>
      </c>
      <c r="W160" s="23">
        <f>'Annual Raw'!X68</f>
        <v>0</v>
      </c>
      <c r="X160" s="23">
        <f>'Annual Raw'!Y68</f>
        <v>0</v>
      </c>
      <c r="Y160" s="23">
        <f>'Annual Raw'!Z68</f>
        <v>0</v>
      </c>
      <c r="Z160" s="23">
        <f>'Annual Raw'!AA68</f>
        <v>0</v>
      </c>
      <c r="AA160" s="23">
        <f>'Annual Raw'!AB68</f>
        <v>0</v>
      </c>
      <c r="AB160" s="24">
        <f t="shared" si="1185"/>
        <v>0</v>
      </c>
      <c r="AC160" s="24">
        <f t="shared" si="1186"/>
        <v>0</v>
      </c>
      <c r="AD160" s="24">
        <f t="shared" si="1187"/>
        <v>0</v>
      </c>
      <c r="AE160" s="24">
        <f t="shared" si="1188"/>
        <v>0</v>
      </c>
      <c r="AK160" s="23">
        <f t="shared" si="1204"/>
        <v>0</v>
      </c>
      <c r="AM160" s="23">
        <f t="shared" si="1204"/>
        <v>0</v>
      </c>
      <c r="AO160" s="23">
        <f t="shared" si="1204"/>
        <v>0</v>
      </c>
      <c r="AQ160" s="23">
        <f t="shared" si="1204"/>
        <v>0</v>
      </c>
      <c r="AS160" s="23">
        <f t="shared" si="1204"/>
        <v>0</v>
      </c>
      <c r="AU160" s="23">
        <f t="shared" si="1204"/>
        <v>0</v>
      </c>
      <c r="AW160" s="23">
        <f t="shared" si="1204"/>
        <v>0</v>
      </c>
      <c r="AY160" s="23">
        <f t="shared" si="1204"/>
        <v>0</v>
      </c>
      <c r="BA160" s="23">
        <f t="shared" si="1204"/>
        <v>0</v>
      </c>
      <c r="BC160" s="23">
        <f t="shared" si="1204"/>
        <v>0</v>
      </c>
      <c r="BE160" s="23">
        <f t="shared" si="1204"/>
        <v>0</v>
      </c>
      <c r="BG160" s="23">
        <f t="shared" si="1204"/>
        <v>0</v>
      </c>
      <c r="BI160" s="23">
        <f t="shared" si="1204"/>
        <v>0</v>
      </c>
      <c r="BK160" s="23">
        <f t="shared" si="1204"/>
        <v>0</v>
      </c>
      <c r="BM160" s="23">
        <f t="shared" si="1204"/>
        <v>0</v>
      </c>
      <c r="BO160" s="23">
        <f t="shared" si="1204"/>
        <v>0</v>
      </c>
      <c r="BQ160" s="23">
        <f t="shared" si="1204"/>
        <v>0</v>
      </c>
      <c r="BS160" s="23">
        <f t="shared" si="1204"/>
        <v>0</v>
      </c>
      <c r="BU160" s="23">
        <f t="shared" si="1204"/>
        <v>0</v>
      </c>
      <c r="BW160" s="23">
        <f t="shared" si="1204"/>
        <v>0</v>
      </c>
      <c r="BY160" s="23">
        <f t="shared" si="1204"/>
        <v>0</v>
      </c>
      <c r="CA160" s="23">
        <f t="shared" si="1204"/>
        <v>0</v>
      </c>
      <c r="CC160" s="23">
        <f t="shared" si="1204"/>
        <v>0</v>
      </c>
      <c r="CE160" s="23">
        <f t="shared" si="1204"/>
        <v>0</v>
      </c>
      <c r="CG160" s="23">
        <f t="shared" si="1202"/>
        <v>0</v>
      </c>
      <c r="CH160" s="23">
        <f t="shared" si="1189"/>
        <v>0</v>
      </c>
      <c r="CI160" s="23">
        <f t="shared" si="1202"/>
        <v>0</v>
      </c>
      <c r="CK160" s="23">
        <f t="shared" si="1205"/>
        <v>0</v>
      </c>
      <c r="CM160" s="24">
        <f t="shared" si="1206"/>
        <v>0</v>
      </c>
      <c r="CN160" s="24">
        <f t="shared" si="1207"/>
        <v>0</v>
      </c>
      <c r="CO160" s="24">
        <f t="shared" si="1208"/>
        <v>0</v>
      </c>
      <c r="CP160" s="24">
        <f t="shared" si="1209"/>
        <v>0</v>
      </c>
      <c r="CQ160" s="24">
        <f t="shared" si="1210"/>
        <v>0</v>
      </c>
      <c r="CR160" s="24">
        <f t="shared" si="1211"/>
        <v>0</v>
      </c>
      <c r="CS160" s="24">
        <f t="shared" si="1212"/>
        <v>0</v>
      </c>
      <c r="CT160" s="24">
        <f t="shared" si="1213"/>
        <v>0</v>
      </c>
      <c r="CU160" s="24">
        <f t="shared" si="1214"/>
        <v>0</v>
      </c>
      <c r="CV160" s="24">
        <f t="shared" si="1215"/>
        <v>0</v>
      </c>
      <c r="CW160" s="24">
        <f t="shared" si="1216"/>
        <v>0</v>
      </c>
      <c r="CX160" s="24">
        <f t="shared" si="1217"/>
        <v>0</v>
      </c>
      <c r="CY160" s="24">
        <f t="shared" si="1218"/>
        <v>0</v>
      </c>
      <c r="CZ160" s="24">
        <f t="shared" si="1219"/>
        <v>0</v>
      </c>
      <c r="DA160" s="24">
        <f t="shared" si="1220"/>
        <v>0</v>
      </c>
      <c r="DB160" s="24">
        <f t="shared" si="1221"/>
        <v>0</v>
      </c>
      <c r="DE160" s="123"/>
      <c r="DF160" s="23">
        <v>0</v>
      </c>
    </row>
    <row r="161" spans="1:110" s="23" customFormat="1" outlineLevel="1" x14ac:dyDescent="0.2">
      <c r="A161" s="23" t="s">
        <v>56</v>
      </c>
      <c r="B161" s="23">
        <f>'Annual Raw'!C67+'Annual Raw'!C66+'Annual Raw'!C69+'Annual Raw'!C70</f>
        <v>0</v>
      </c>
      <c r="C161" s="23">
        <f>'Annual Raw'!D67+'Annual Raw'!D66+'Annual Raw'!D69+'Annual Raw'!D70</f>
        <v>0</v>
      </c>
      <c r="D161" s="23">
        <f>'Annual Raw'!E67+'Annual Raw'!E66+'Annual Raw'!E69+'Annual Raw'!E70</f>
        <v>0</v>
      </c>
      <c r="E161" s="23">
        <f>'Annual Raw'!F67+'Annual Raw'!F66+'Annual Raw'!F69+'Annual Raw'!F70</f>
        <v>0</v>
      </c>
      <c r="F161" s="23">
        <f>'Annual Raw'!G67+'Annual Raw'!G66+'Annual Raw'!G69+'Annual Raw'!G70</f>
        <v>0</v>
      </c>
      <c r="G161" s="23">
        <f>'Annual Raw'!H67+'Annual Raw'!H66+'Annual Raw'!H69+'Annual Raw'!H70</f>
        <v>0</v>
      </c>
      <c r="H161" s="23">
        <f>'Annual Raw'!I67+'Annual Raw'!I66+'Annual Raw'!I69+'Annual Raw'!I70</f>
        <v>0</v>
      </c>
      <c r="I161" s="23">
        <f>'Annual Raw'!J67+'Annual Raw'!J66+'Annual Raw'!J69+'Annual Raw'!J70</f>
        <v>32.423659200000003</v>
      </c>
      <c r="J161" s="23">
        <f>'Annual Raw'!K67+'Annual Raw'!K66+'Annual Raw'!K69+'Annual Raw'!K70</f>
        <v>93.037596600000001</v>
      </c>
      <c r="K161" s="23">
        <f>'Annual Raw'!L67+'Annual Raw'!L66+'Annual Raw'!L69+'Annual Raw'!L70</f>
        <v>128.93843670000001</v>
      </c>
      <c r="L161" s="23">
        <f>'Annual Raw'!M67+'Annual Raw'!M66+'Annual Raw'!M69+'Annual Raw'!M70</f>
        <v>160.58799999999999</v>
      </c>
      <c r="M161" s="23">
        <f>'Annual Raw'!N67+'Annual Raw'!N66+'Annual Raw'!N69+'Annual Raw'!N70</f>
        <v>220.15100000000001</v>
      </c>
      <c r="N161" s="23">
        <f>'Annual Raw'!O67+'Annual Raw'!O66+'Annual Raw'!O69+'Annual Raw'!O70</f>
        <v>161.39099999999999</v>
      </c>
      <c r="O161" s="23">
        <f>'Annual Raw'!P67+'Annual Raw'!P66+'Annual Raw'!P69+'Annual Raw'!P70</f>
        <v>113.45699999999999</v>
      </c>
      <c r="P161" s="23">
        <f>'Annual Raw'!Q67+'Annual Raw'!Q66+'Annual Raw'!Q69+'Annual Raw'!Q70</f>
        <v>177.209</v>
      </c>
      <c r="Q161" s="23">
        <f>'Annual Raw'!R67+'Annual Raw'!R66+'Annual Raw'!R69+'Annual Raw'!R70</f>
        <v>138.08000000000001</v>
      </c>
      <c r="R161" s="23">
        <f>'Annual Raw'!S67+'Annual Raw'!S66+'Annual Raw'!S69+'Annual Raw'!S70</f>
        <v>164.88</v>
      </c>
      <c r="S161" s="23">
        <f>'Annual Raw'!T67+'Annual Raw'!T66+'Annual Raw'!T69+'Annual Raw'!T70</f>
        <v>135.99299999999999</v>
      </c>
      <c r="T161" s="23">
        <f>'Annual Raw'!U67+'Annual Raw'!U66+'Annual Raw'!U69+'Annual Raw'!U70</f>
        <v>192.99700000000001</v>
      </c>
      <c r="U161" s="23">
        <f>'Annual Raw'!V67+'Annual Raw'!V66+'Annual Raw'!V69+'Annual Raw'!V70</f>
        <v>241.178</v>
      </c>
      <c r="V161" s="23">
        <f>'Annual Raw'!W67+'Annual Raw'!W66+'Annual Raw'!W69+'Annual Raw'!W70</f>
        <v>99.05</v>
      </c>
      <c r="W161" s="23">
        <f>'Annual Raw'!X67+'Annual Raw'!X66+'Annual Raw'!X69+'Annual Raw'!X70</f>
        <v>375.45</v>
      </c>
      <c r="X161" s="23">
        <f>'Annual Raw'!Y67+'Annual Raw'!Y66+'Annual Raw'!Y69+'Annual Raw'!Y70</f>
        <v>250.767</v>
      </c>
      <c r="Y161" s="23">
        <f>'Annual Raw'!Z67+'Annual Raw'!Z66+'Annual Raw'!Z69+'Annual Raw'!Z70</f>
        <v>654.74400000000003</v>
      </c>
      <c r="Z161" s="23">
        <f>'Annual Raw'!AA67+'Annual Raw'!AA66+'Annual Raw'!AA69+'Annual Raw'!AA70</f>
        <v>787.15200000000004</v>
      </c>
      <c r="AA161" s="23">
        <f>'Annual Raw'!AB67+'Annual Raw'!AB66+'Annual Raw'!AB69+'Annual Raw'!AB70</f>
        <v>1227.5609999999999</v>
      </c>
      <c r="AB161" s="24">
        <f t="shared" si="1185"/>
        <v>1139.259</v>
      </c>
      <c r="AC161" s="24">
        <f t="shared" si="1186"/>
        <v>1139.259</v>
      </c>
      <c r="AD161" s="24">
        <f t="shared" si="1187"/>
        <v>1139.259</v>
      </c>
      <c r="AE161" s="24">
        <f t="shared" si="1188"/>
        <v>1139.259</v>
      </c>
      <c r="AJ161" s="23">
        <f>+'QTR Raw'!D74+'QTR Raw'!D75</f>
        <v>0</v>
      </c>
      <c r="AK161" s="23">
        <f t="shared" si="1204"/>
        <v>0</v>
      </c>
      <c r="AL161" s="23">
        <f>+'QTR Raw'!F74+'QTR Raw'!F75</f>
        <v>0</v>
      </c>
      <c r="AM161" s="23">
        <f t="shared" si="1204"/>
        <v>0</v>
      </c>
      <c r="AN161" s="23">
        <f>+'QTR Raw'!H74+'QTR Raw'!H75</f>
        <v>0</v>
      </c>
      <c r="AO161" s="23">
        <f t="shared" si="1204"/>
        <v>0</v>
      </c>
      <c r="AP161" s="23">
        <f>+'QTR Raw'!J74+'QTR Raw'!J75</f>
        <v>0</v>
      </c>
      <c r="AQ161" s="23">
        <f t="shared" si="1204"/>
        <v>0</v>
      </c>
      <c r="AR161" s="23">
        <f>+'QTR Raw'!L74+'QTR Raw'!L75</f>
        <v>0</v>
      </c>
      <c r="AS161" s="23">
        <f t="shared" si="1204"/>
        <v>0</v>
      </c>
      <c r="AT161" s="23">
        <f>+'QTR Raw'!N74+'QTR Raw'!N75</f>
        <v>0</v>
      </c>
      <c r="AU161" s="23">
        <f t="shared" si="1204"/>
        <v>0</v>
      </c>
      <c r="AV161" s="23">
        <f>+'QTR Raw'!P74+'QTR Raw'!P75</f>
        <v>0</v>
      </c>
      <c r="AW161" s="23">
        <f t="shared" si="1204"/>
        <v>0</v>
      </c>
      <c r="AX161" s="23">
        <f>+'QTR Raw'!R74+'QTR Raw'!R75</f>
        <v>0</v>
      </c>
      <c r="AY161" s="23">
        <f t="shared" si="1204"/>
        <v>0</v>
      </c>
      <c r="AZ161" s="23">
        <f>+'QTR Raw'!T74+'QTR Raw'!T75</f>
        <v>0</v>
      </c>
      <c r="BA161" s="23">
        <f t="shared" si="1204"/>
        <v>0</v>
      </c>
      <c r="BB161" s="23">
        <f>+'QTR Raw'!V74+'QTR Raw'!V75</f>
        <v>0</v>
      </c>
      <c r="BC161" s="23">
        <f t="shared" si="1204"/>
        <v>0</v>
      </c>
      <c r="BD161" s="23">
        <f>+'QTR Raw'!X74+'QTR Raw'!X75</f>
        <v>0</v>
      </c>
      <c r="BE161" s="23">
        <f t="shared" si="1204"/>
        <v>0</v>
      </c>
      <c r="BF161" s="23">
        <f>+'QTR Raw'!Z74+'QTR Raw'!Z75</f>
        <v>135.99299999999999</v>
      </c>
      <c r="BG161" s="23">
        <f t="shared" si="1204"/>
        <v>135.99299999999999</v>
      </c>
      <c r="BH161" s="23">
        <f>+'QTR Raw'!AB74+'QTR Raw'!AB75</f>
        <v>0</v>
      </c>
      <c r="BI161" s="23">
        <f t="shared" si="1204"/>
        <v>0</v>
      </c>
      <c r="BJ161" s="23">
        <f>+'QTR Raw'!AD74+'QTR Raw'!AD75</f>
        <v>192.99700000000001</v>
      </c>
      <c r="BK161" s="23">
        <f t="shared" si="1204"/>
        <v>192.99700000000001</v>
      </c>
      <c r="BL161" s="23">
        <f>+'QTR Raw'!AF74+'QTR Raw'!AF75</f>
        <v>264.18</v>
      </c>
      <c r="BM161" s="23">
        <f t="shared" si="1204"/>
        <v>264.18</v>
      </c>
      <c r="BN161" s="23">
        <f>+'QTR Raw'!AH74+'QTR Raw'!AH75</f>
        <v>241.178</v>
      </c>
      <c r="BO161" s="23">
        <f t="shared" si="1204"/>
        <v>241.178</v>
      </c>
      <c r="BP161" s="23">
        <f>+'QTR Raw'!AJ74+'QTR Raw'!AJ75</f>
        <v>190.815</v>
      </c>
      <c r="BQ161" s="23">
        <f t="shared" si="1204"/>
        <v>190.815</v>
      </c>
      <c r="BR161" s="23">
        <f>+'QTR Raw'!AL74+'QTR Raw'!AL75</f>
        <v>99.05</v>
      </c>
      <c r="BS161" s="23">
        <f t="shared" si="1204"/>
        <v>99.05</v>
      </c>
      <c r="BT161" s="23">
        <f>+'QTR Raw'!AN74+'QTR Raw'!AN75</f>
        <v>141.613</v>
      </c>
      <c r="BU161" s="23">
        <f t="shared" si="1204"/>
        <v>141.613</v>
      </c>
      <c r="BV161" s="23">
        <f>+'QTR Raw'!AP74+'QTR Raw'!AP75</f>
        <v>375.45</v>
      </c>
      <c r="BW161" s="23">
        <f t="shared" si="1204"/>
        <v>375.45</v>
      </c>
      <c r="BX161" s="23">
        <f>+'QTR Raw'!AR74+'QTR Raw'!AR75</f>
        <v>452.07100000000003</v>
      </c>
      <c r="BY161" s="23">
        <f t="shared" si="1204"/>
        <v>452.07100000000003</v>
      </c>
      <c r="BZ161" s="23">
        <f>+'QTR Raw'!AT74+'QTR Raw'!AT75</f>
        <v>250.767</v>
      </c>
      <c r="CA161" s="23">
        <f t="shared" si="1204"/>
        <v>250.767</v>
      </c>
      <c r="CB161" s="23">
        <f>+'QTR Raw'!AV74+'QTR Raw'!AV75</f>
        <v>367.05200000000002</v>
      </c>
      <c r="CC161" s="23">
        <f t="shared" si="1204"/>
        <v>367.05200000000002</v>
      </c>
      <c r="CD161" s="23">
        <f>+'QTR Raw'!AX74+'QTR Raw'!AX75</f>
        <v>578.44600000000003</v>
      </c>
      <c r="CE161" s="23">
        <f t="shared" si="1204"/>
        <v>578.44600000000003</v>
      </c>
      <c r="CF161" s="23">
        <f>+'QTR Raw'!AZ74+'QTR Raw'!AZ75</f>
        <v>767.41099999999994</v>
      </c>
      <c r="CG161" s="23">
        <f t="shared" si="1202"/>
        <v>767.41099999999994</v>
      </c>
      <c r="CH161" s="23">
        <f t="shared" si="1189"/>
        <v>787.15200000000004</v>
      </c>
      <c r="CI161" s="23">
        <f t="shared" si="1202"/>
        <v>787.15200000000004</v>
      </c>
      <c r="CJ161" s="23">
        <f>+'QTR Raw'!BD74+'QTR Raw'!BD75</f>
        <v>860.12900000000002</v>
      </c>
      <c r="CK161" s="23">
        <f t="shared" si="1205"/>
        <v>860.12900000000002</v>
      </c>
      <c r="CL161" s="23">
        <f>+'QTR Raw'!BF74+'QTR Raw'!BF75</f>
        <v>1139.259</v>
      </c>
      <c r="CM161" s="24">
        <f t="shared" si="1206"/>
        <v>1139.259</v>
      </c>
      <c r="CN161" s="24">
        <f t="shared" si="1207"/>
        <v>1139.259</v>
      </c>
      <c r="CO161" s="24">
        <f t="shared" si="1208"/>
        <v>1139.259</v>
      </c>
      <c r="CP161" s="24">
        <f t="shared" si="1209"/>
        <v>1139.259</v>
      </c>
      <c r="CQ161" s="24">
        <f t="shared" si="1210"/>
        <v>1139.259</v>
      </c>
      <c r="CR161" s="24">
        <f t="shared" si="1211"/>
        <v>1139.259</v>
      </c>
      <c r="CS161" s="24">
        <f t="shared" si="1212"/>
        <v>1139.259</v>
      </c>
      <c r="CT161" s="24">
        <f t="shared" si="1213"/>
        <v>1139.259</v>
      </c>
      <c r="CU161" s="24">
        <f t="shared" si="1214"/>
        <v>1139.259</v>
      </c>
      <c r="CV161" s="24">
        <f t="shared" si="1215"/>
        <v>1139.259</v>
      </c>
      <c r="CW161" s="24">
        <f t="shared" si="1216"/>
        <v>1139.259</v>
      </c>
      <c r="CX161" s="24">
        <f t="shared" si="1217"/>
        <v>1139.259</v>
      </c>
      <c r="CY161" s="24">
        <f t="shared" si="1218"/>
        <v>1139.259</v>
      </c>
      <c r="CZ161" s="24">
        <f t="shared" si="1219"/>
        <v>1139.259</v>
      </c>
      <c r="DA161" s="24">
        <f t="shared" si="1220"/>
        <v>1139.259</v>
      </c>
      <c r="DB161" s="24">
        <f t="shared" si="1221"/>
        <v>1139.259</v>
      </c>
      <c r="DE161" s="123"/>
      <c r="DF161" s="23">
        <v>860.12900000000002</v>
      </c>
    </row>
    <row r="162" spans="1:110" s="22" customFormat="1" x14ac:dyDescent="0.2">
      <c r="A162" s="22" t="s">
        <v>57</v>
      </c>
      <c r="B162" s="22">
        <f>B158+B161+B160</f>
        <v>0</v>
      </c>
      <c r="C162" s="22">
        <f t="shared" ref="C162:D162" si="1222">C158+C161+C160</f>
        <v>0</v>
      </c>
      <c r="D162" s="22">
        <f t="shared" si="1222"/>
        <v>0</v>
      </c>
      <c r="E162" s="22">
        <f t="shared" ref="E162:Y162" si="1223">E158+E161+E160+E159</f>
        <v>0</v>
      </c>
      <c r="F162" s="22">
        <f t="shared" si="1223"/>
        <v>0</v>
      </c>
      <c r="G162" s="22">
        <f t="shared" si="1223"/>
        <v>0</v>
      </c>
      <c r="H162" s="22">
        <f t="shared" si="1223"/>
        <v>0</v>
      </c>
      <c r="I162" s="22">
        <f t="shared" si="1223"/>
        <v>104.53420109999999</v>
      </c>
      <c r="J162" s="22">
        <f t="shared" si="1223"/>
        <v>212.23144550000001</v>
      </c>
      <c r="K162" s="22">
        <f t="shared" si="1223"/>
        <v>418.06912599999998</v>
      </c>
      <c r="L162" s="22">
        <f t="shared" si="1223"/>
        <v>513.09699999999998</v>
      </c>
      <c r="M162" s="22">
        <f t="shared" si="1223"/>
        <v>694.74299999999994</v>
      </c>
      <c r="N162" s="22">
        <f t="shared" si="1223"/>
        <v>721.774</v>
      </c>
      <c r="O162" s="22">
        <f t="shared" si="1223"/>
        <v>811.03399999999999</v>
      </c>
      <c r="P162" s="22">
        <f t="shared" si="1223"/>
        <v>1001.952</v>
      </c>
      <c r="Q162" s="22">
        <f t="shared" si="1223"/>
        <v>1123.1099999999999</v>
      </c>
      <c r="R162" s="22">
        <f t="shared" si="1223"/>
        <v>1293.2660000000001</v>
      </c>
      <c r="S162" s="22">
        <f t="shared" si="1223"/>
        <v>1333.12</v>
      </c>
      <c r="T162" s="22">
        <f t="shared" si="1223"/>
        <v>1468.5810000000001</v>
      </c>
      <c r="U162" s="22">
        <f t="shared" si="1223"/>
        <v>1663.1909999999998</v>
      </c>
      <c r="V162" s="22">
        <f t="shared" si="1223"/>
        <v>1968.65</v>
      </c>
      <c r="W162" s="22">
        <f t="shared" si="1223"/>
        <v>2050.5730000000003</v>
      </c>
      <c r="X162" s="22">
        <f t="shared" si="1223"/>
        <v>2317.7069999999999</v>
      </c>
      <c r="Y162" s="22">
        <f t="shared" si="1223"/>
        <v>2915.9660000000003</v>
      </c>
      <c r="Z162" s="22">
        <f>Z158+Z161+Z160+Z159</f>
        <v>3719.2939999999999</v>
      </c>
      <c r="AA162" s="22">
        <f>AA158+AA161+AA160+AA159</f>
        <v>4879.3559999999998</v>
      </c>
      <c r="AB162" s="161">
        <f t="shared" ref="AB162:AE162" si="1224">AB158+AB161+AB160+AB159</f>
        <v>5572.564307162007</v>
      </c>
      <c r="AC162" s="161">
        <f t="shared" si="1224"/>
        <v>6388.060429850344</v>
      </c>
      <c r="AD162" s="161">
        <f t="shared" si="1224"/>
        <v>7107.6871789987017</v>
      </c>
      <c r="AE162" s="161">
        <f t="shared" si="1224"/>
        <v>7742.7149169389704</v>
      </c>
      <c r="AJ162" s="22">
        <f t="shared" ref="AJ162" si="1225">AJ158+AJ161+AJ159+AJ160</f>
        <v>0</v>
      </c>
      <c r="AK162" s="22">
        <f t="shared" ref="AK162" si="1226">AK158+AK161+AK159+AK160</f>
        <v>0</v>
      </c>
      <c r="AL162" s="22">
        <f t="shared" ref="AL162:AM162" si="1227">AL158+AL161+AL159+AL160</f>
        <v>0</v>
      </c>
      <c r="AM162" s="22">
        <f t="shared" si="1227"/>
        <v>0</v>
      </c>
      <c r="AN162" s="22">
        <f t="shared" ref="AN162:AO162" si="1228">AN158+AN161+AN159+AN160</f>
        <v>0</v>
      </c>
      <c r="AO162" s="22">
        <f t="shared" si="1228"/>
        <v>0</v>
      </c>
      <c r="AP162" s="22">
        <f t="shared" ref="AP162:CE162" si="1229">AP158+AP161+AP159+AP160</f>
        <v>0</v>
      </c>
      <c r="AQ162" s="22">
        <f t="shared" si="1229"/>
        <v>0</v>
      </c>
      <c r="AR162" s="22">
        <f t="shared" si="1229"/>
        <v>0</v>
      </c>
      <c r="AS162" s="22">
        <f t="shared" si="1229"/>
        <v>0</v>
      </c>
      <c r="AT162" s="22">
        <f t="shared" si="1229"/>
        <v>0</v>
      </c>
      <c r="AU162" s="22">
        <f t="shared" si="1229"/>
        <v>0</v>
      </c>
      <c r="AV162" s="22">
        <f t="shared" si="1229"/>
        <v>0</v>
      </c>
      <c r="AW162" s="22">
        <f t="shared" si="1229"/>
        <v>0</v>
      </c>
      <c r="AX162" s="22">
        <f t="shared" si="1229"/>
        <v>0</v>
      </c>
      <c r="AY162" s="22">
        <f t="shared" si="1229"/>
        <v>0</v>
      </c>
      <c r="AZ162" s="22">
        <f t="shared" si="1229"/>
        <v>0</v>
      </c>
      <c r="BA162" s="22">
        <f t="shared" si="1229"/>
        <v>0</v>
      </c>
      <c r="BB162" s="22">
        <f t="shared" si="1229"/>
        <v>0</v>
      </c>
      <c r="BC162" s="22">
        <f t="shared" si="1229"/>
        <v>0</v>
      </c>
      <c r="BD162" s="22">
        <f t="shared" si="1229"/>
        <v>0</v>
      </c>
      <c r="BE162" s="22">
        <f t="shared" si="1229"/>
        <v>0</v>
      </c>
      <c r="BF162" s="22">
        <f t="shared" si="1229"/>
        <v>1333.12</v>
      </c>
      <c r="BG162" s="22">
        <f t="shared" si="1229"/>
        <v>1333.12</v>
      </c>
      <c r="BH162" s="22">
        <f t="shared" si="1229"/>
        <v>0</v>
      </c>
      <c r="BI162" s="22">
        <f t="shared" si="1229"/>
        <v>0</v>
      </c>
      <c r="BJ162" s="22">
        <f t="shared" si="1229"/>
        <v>1468.5810000000001</v>
      </c>
      <c r="BK162" s="22">
        <f t="shared" si="1229"/>
        <v>1468.5810000000001</v>
      </c>
      <c r="BL162" s="22">
        <f t="shared" si="1229"/>
        <v>1558.4850000000001</v>
      </c>
      <c r="BM162" s="22">
        <f t="shared" si="1229"/>
        <v>1558.4850000000001</v>
      </c>
      <c r="BN162" s="22">
        <f t="shared" si="1229"/>
        <v>1629.3989999999999</v>
      </c>
      <c r="BO162" s="22">
        <f t="shared" si="1229"/>
        <v>1629.3989999999999</v>
      </c>
      <c r="BP162" s="22">
        <f t="shared" si="1229"/>
        <v>1893.452</v>
      </c>
      <c r="BQ162" s="22">
        <f t="shared" si="1229"/>
        <v>1893.452</v>
      </c>
      <c r="BR162" s="22">
        <f t="shared" si="1229"/>
        <v>1934.55</v>
      </c>
      <c r="BS162" s="22">
        <f t="shared" si="1229"/>
        <v>1934.55</v>
      </c>
      <c r="BT162" s="22">
        <f t="shared" si="1229"/>
        <v>1994.5770000000002</v>
      </c>
      <c r="BU162" s="22">
        <f t="shared" si="1229"/>
        <v>1994.5770000000002</v>
      </c>
      <c r="BV162" s="22">
        <f t="shared" si="1229"/>
        <v>2015.4370000000001</v>
      </c>
      <c r="BW162" s="22">
        <f t="shared" si="1229"/>
        <v>2015.4370000000001</v>
      </c>
      <c r="BX162" s="22">
        <f t="shared" si="1229"/>
        <v>2078.9789999999998</v>
      </c>
      <c r="BY162" s="22">
        <f t="shared" si="1229"/>
        <v>2078.9789999999998</v>
      </c>
      <c r="BZ162" s="22">
        <f t="shared" si="1229"/>
        <v>2281.5249999999996</v>
      </c>
      <c r="CA162" s="22">
        <f t="shared" si="1229"/>
        <v>2281.5249999999996</v>
      </c>
      <c r="CB162" s="22">
        <f t="shared" si="1229"/>
        <v>2420.181</v>
      </c>
      <c r="CC162" s="22">
        <f t="shared" si="1229"/>
        <v>2420.181</v>
      </c>
      <c r="CD162" s="22">
        <f t="shared" si="1229"/>
        <v>2766.8419999999996</v>
      </c>
      <c r="CE162" s="22">
        <f t="shared" si="1229"/>
        <v>2766.8419999999996</v>
      </c>
      <c r="CF162" s="22">
        <f t="shared" ref="CF162:CG162" si="1230">CF158+CF161+CF159+CF160</f>
        <v>3198.962</v>
      </c>
      <c r="CG162" s="22">
        <f t="shared" si="1230"/>
        <v>3198.962</v>
      </c>
      <c r="CH162" s="22">
        <f t="shared" ref="CH162:CJ162" si="1231">CH158+CH161+CH159+CH160</f>
        <v>3719.2939999999999</v>
      </c>
      <c r="CI162" s="22">
        <f t="shared" si="1231"/>
        <v>3633.5909999999994</v>
      </c>
      <c r="CJ162" s="22">
        <f t="shared" si="1231"/>
        <v>4042.7149999999997</v>
      </c>
      <c r="CK162" s="22">
        <f t="shared" ref="CK162:DB162" si="1232">CK158+CK161+CK159+CK160</f>
        <v>4037.119999999999</v>
      </c>
      <c r="CL162" s="22">
        <f t="shared" si="1232"/>
        <v>4648.4269999999997</v>
      </c>
      <c r="CM162" s="21">
        <f t="shared" si="1232"/>
        <v>4890.406837349241</v>
      </c>
      <c r="CN162" s="21">
        <f t="shared" si="1232"/>
        <v>5124.9379856107344</v>
      </c>
      <c r="CO162" s="21">
        <f t="shared" si="1232"/>
        <v>5352.2497323554362</v>
      </c>
      <c r="CP162" s="21">
        <f t="shared" si="1232"/>
        <v>5572.564307162007</v>
      </c>
      <c r="CQ162" s="21">
        <f t="shared" si="1232"/>
        <v>5786.0970988778445</v>
      </c>
      <c r="CR162" s="21">
        <f t="shared" si="1232"/>
        <v>5993.0568661923389</v>
      </c>
      <c r="CS162" s="21">
        <f t="shared" si="1232"/>
        <v>6193.6459417281894</v>
      </c>
      <c r="CT162" s="21">
        <f t="shared" si="1232"/>
        <v>6388.060429850344</v>
      </c>
      <c r="CU162" s="21">
        <f t="shared" si="1232"/>
        <v>6576.4903983859131</v>
      </c>
      <c r="CV162" s="21">
        <f t="shared" si="1232"/>
        <v>6759.1200644425207</v>
      </c>
      <c r="CW162" s="21">
        <f t="shared" si="1232"/>
        <v>6936.1279745067432</v>
      </c>
      <c r="CX162" s="21">
        <f t="shared" si="1232"/>
        <v>7107.6871789987017</v>
      </c>
      <c r="CY162" s="21">
        <f t="shared" si="1232"/>
        <v>7273.965401453479</v>
      </c>
      <c r="CZ162" s="21">
        <f t="shared" si="1232"/>
        <v>7435.1252024947335</v>
      </c>
      <c r="DA162" s="21">
        <f t="shared" si="1232"/>
        <v>7591.3241387608505</v>
      </c>
      <c r="DB162" s="21">
        <f t="shared" si="1232"/>
        <v>7742.7149169389704</v>
      </c>
      <c r="DE162" s="126"/>
      <c r="DF162" s="22">
        <v>4031.7106364682677</v>
      </c>
    </row>
    <row r="163" spans="1:110" s="23" customFormat="1" x14ac:dyDescent="0.2">
      <c r="AB163" s="24"/>
      <c r="AC163" s="24"/>
      <c r="AD163" s="24"/>
      <c r="AE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</row>
    <row r="164" spans="1:110" s="23" customFormat="1" x14ac:dyDescent="0.2">
      <c r="A164" s="23" t="s">
        <v>58</v>
      </c>
      <c r="B164" s="23">
        <f>'Annual Raw'!C71</f>
        <v>0</v>
      </c>
      <c r="C164" s="23">
        <f>'Annual Raw'!D71</f>
        <v>0</v>
      </c>
      <c r="D164" s="23">
        <f>'Annual Raw'!E71</f>
        <v>0</v>
      </c>
      <c r="E164" s="23">
        <f>'Annual Raw'!F71</f>
        <v>0</v>
      </c>
      <c r="F164" s="23">
        <f>'Annual Raw'!G71</f>
        <v>0</v>
      </c>
      <c r="G164" s="23">
        <f>'Annual Raw'!H71</f>
        <v>0</v>
      </c>
      <c r="H164" s="23">
        <f>'Annual Raw'!I71</f>
        <v>0</v>
      </c>
      <c r="I164" s="23">
        <f>'Annual Raw'!J71</f>
        <v>38.0410635</v>
      </c>
      <c r="J164" s="23">
        <f>'Annual Raw'!K71</f>
        <v>21.4646276</v>
      </c>
      <c r="K164" s="23">
        <f>'Annual Raw'!L71</f>
        <v>21.4646276</v>
      </c>
      <c r="L164" s="23">
        <f>'Annual Raw'!M71</f>
        <v>28.965</v>
      </c>
      <c r="M164" s="23">
        <f>'Annual Raw'!N71</f>
        <v>10.513</v>
      </c>
      <c r="N164" s="23">
        <f>'Annual Raw'!O71</f>
        <v>12.734</v>
      </c>
      <c r="O164" s="23">
        <f>'Annual Raw'!P71</f>
        <v>12.933999999999999</v>
      </c>
      <c r="P164" s="23">
        <f>'Annual Raw'!Q71</f>
        <v>0.02</v>
      </c>
      <c r="Q164" s="23">
        <f>'Annual Raw'!R71</f>
        <v>0.09</v>
      </c>
      <c r="R164" s="23">
        <f>'Annual Raw'!S71</f>
        <v>32.814999999999998</v>
      </c>
      <c r="S164" s="23">
        <f>'Annual Raw'!T71</f>
        <v>31.545999999999999</v>
      </c>
      <c r="T164" s="23">
        <f>'Annual Raw'!U71</f>
        <v>29.385000000000002</v>
      </c>
      <c r="U164" s="23">
        <f>'Annual Raw'!V71</f>
        <v>25.477</v>
      </c>
      <c r="V164" s="23">
        <f>'Annual Raw'!W71</f>
        <v>11.818</v>
      </c>
      <c r="W164" s="23">
        <f>'Annual Raw'!X71</f>
        <v>9.2629999999999999</v>
      </c>
      <c r="X164" s="23">
        <f>'Annual Raw'!Y71</f>
        <v>0</v>
      </c>
      <c r="Y164" s="23">
        <f>'Annual Raw'!Z71</f>
        <v>0</v>
      </c>
      <c r="Z164" s="23">
        <f>'Annual Raw'!AA71</f>
        <v>0</v>
      </c>
      <c r="AA164" s="23">
        <f>'Annual Raw'!AB71</f>
        <v>0</v>
      </c>
      <c r="AB164" s="24">
        <f>+CP164</f>
        <v>88.302000000000007</v>
      </c>
      <c r="AC164" s="24">
        <f>+CT164</f>
        <v>88.302000000000007</v>
      </c>
      <c r="AD164" s="24">
        <f>+CX164</f>
        <v>88.302000000000007</v>
      </c>
      <c r="AE164" s="24">
        <f>+DB164</f>
        <v>88.302000000000007</v>
      </c>
      <c r="AJ164" s="23">
        <f>+'QTR Raw'!D77</f>
        <v>0</v>
      </c>
      <c r="AK164" s="23">
        <f t="shared" ref="AK164:CE164" si="1233">+AJ164</f>
        <v>0</v>
      </c>
      <c r="AL164" s="23">
        <f>+'QTR Raw'!F77</f>
        <v>0</v>
      </c>
      <c r="AM164" s="23">
        <f t="shared" si="1233"/>
        <v>0</v>
      </c>
      <c r="AN164" s="23">
        <f>+'QTR Raw'!H77</f>
        <v>0</v>
      </c>
      <c r="AO164" s="23">
        <f t="shared" si="1233"/>
        <v>0</v>
      </c>
      <c r="AP164" s="23">
        <f>+'QTR Raw'!J77</f>
        <v>0</v>
      </c>
      <c r="AQ164" s="23">
        <f t="shared" si="1233"/>
        <v>0</v>
      </c>
      <c r="AR164" s="23">
        <f>+'QTR Raw'!L77</f>
        <v>0</v>
      </c>
      <c r="AS164" s="23">
        <f t="shared" si="1233"/>
        <v>0</v>
      </c>
      <c r="AT164" s="23">
        <f>+'QTR Raw'!N77</f>
        <v>0</v>
      </c>
      <c r="AU164" s="23">
        <f t="shared" si="1233"/>
        <v>0</v>
      </c>
      <c r="AV164" s="23">
        <f>+'QTR Raw'!P77</f>
        <v>0</v>
      </c>
      <c r="AW164" s="23">
        <f t="shared" si="1233"/>
        <v>0</v>
      </c>
      <c r="AX164" s="23">
        <f>+'QTR Raw'!R77</f>
        <v>0</v>
      </c>
      <c r="AY164" s="23">
        <f t="shared" si="1233"/>
        <v>0</v>
      </c>
      <c r="AZ164" s="23">
        <f>+'QTR Raw'!T77</f>
        <v>0</v>
      </c>
      <c r="BA164" s="23">
        <f t="shared" si="1233"/>
        <v>0</v>
      </c>
      <c r="BB164" s="23">
        <f>+'QTR Raw'!V77</f>
        <v>0</v>
      </c>
      <c r="BC164" s="23">
        <f t="shared" si="1233"/>
        <v>0</v>
      </c>
      <c r="BD164" s="23">
        <f>+'QTR Raw'!X77</f>
        <v>0</v>
      </c>
      <c r="BE164" s="23">
        <f t="shared" si="1233"/>
        <v>0</v>
      </c>
      <c r="BF164" s="23">
        <f>+'QTR Raw'!Z77</f>
        <v>31.545999999999999</v>
      </c>
      <c r="BG164" s="23">
        <f t="shared" si="1233"/>
        <v>31.545999999999999</v>
      </c>
      <c r="BH164" s="23">
        <f>+'QTR Raw'!AB77</f>
        <v>0</v>
      </c>
      <c r="BI164" s="23">
        <f t="shared" si="1233"/>
        <v>0</v>
      </c>
      <c r="BJ164" s="23">
        <f>+'QTR Raw'!AD77</f>
        <v>29.385000000000002</v>
      </c>
      <c r="BK164" s="23">
        <f t="shared" si="1233"/>
        <v>29.385000000000002</v>
      </c>
      <c r="BL164" s="23">
        <f>+'QTR Raw'!AF77</f>
        <v>31.486999999999998</v>
      </c>
      <c r="BM164" s="23">
        <f t="shared" si="1233"/>
        <v>31.486999999999998</v>
      </c>
      <c r="BN164" s="23">
        <f>+'QTR Raw'!AH77</f>
        <v>25.477</v>
      </c>
      <c r="BO164" s="23">
        <f t="shared" si="1233"/>
        <v>25.477</v>
      </c>
      <c r="BP164" s="23">
        <f>+'QTR Raw'!AJ77</f>
        <v>10.617000000000001</v>
      </c>
      <c r="BQ164" s="23">
        <f t="shared" si="1233"/>
        <v>10.617000000000001</v>
      </c>
      <c r="BR164" s="23">
        <f>+'QTR Raw'!AL77</f>
        <v>11.818</v>
      </c>
      <c r="BS164" s="23">
        <f t="shared" si="1233"/>
        <v>11.818</v>
      </c>
      <c r="BT164" s="23">
        <f>+'QTR Raw'!AN77</f>
        <v>9.3719999999999999</v>
      </c>
      <c r="BU164" s="23">
        <f t="shared" si="1233"/>
        <v>9.3719999999999999</v>
      </c>
      <c r="BV164" s="23">
        <f>+'QTR Raw'!AP77</f>
        <v>9.2629999999999999</v>
      </c>
      <c r="BW164" s="23">
        <f t="shared" si="1233"/>
        <v>9.2629999999999999</v>
      </c>
      <c r="BX164" s="23">
        <f>+'QTR Raw'!AR77</f>
        <v>7.1779999999999999</v>
      </c>
      <c r="BY164" s="23">
        <f t="shared" si="1233"/>
        <v>7.1779999999999999</v>
      </c>
      <c r="BZ164" s="23">
        <f>+'QTR Raw'!AT77</f>
        <v>0</v>
      </c>
      <c r="CA164" s="23">
        <f t="shared" si="1233"/>
        <v>0</v>
      </c>
      <c r="CB164" s="23">
        <f>+'QTR Raw'!AV77</f>
        <v>0</v>
      </c>
      <c r="CC164" s="23">
        <f t="shared" si="1233"/>
        <v>0</v>
      </c>
      <c r="CD164" s="23">
        <f>+'QTR Raw'!AX77</f>
        <v>76.298000000000002</v>
      </c>
      <c r="CE164" s="23">
        <f t="shared" si="1233"/>
        <v>76.298000000000002</v>
      </c>
      <c r="CF164" s="23">
        <f>+'QTR Raw'!AZ77</f>
        <v>76.41</v>
      </c>
      <c r="CG164" s="23">
        <f t="shared" ref="CG164:CI167" si="1234">+CF164</f>
        <v>76.41</v>
      </c>
      <c r="CH164" s="23">
        <f t="shared" ref="CH164:CH179" si="1235">Z164</f>
        <v>0</v>
      </c>
      <c r="CI164" s="23">
        <f t="shared" si="1234"/>
        <v>0</v>
      </c>
      <c r="CJ164" s="23">
        <f>+'QTR Raw'!BD77</f>
        <v>79.638999999999996</v>
      </c>
      <c r="CK164" s="23">
        <f t="shared" ref="CK164" si="1236">+CJ164</f>
        <v>79.638999999999996</v>
      </c>
      <c r="CL164" s="23">
        <f>+'QTR Raw'!BF77</f>
        <v>88.302000000000007</v>
      </c>
      <c r="CM164" s="24">
        <f t="shared" ref="CM164" si="1237">+CL164</f>
        <v>88.302000000000007</v>
      </c>
      <c r="CN164" s="24">
        <f t="shared" ref="CN164" si="1238">+CM164</f>
        <v>88.302000000000007</v>
      </c>
      <c r="CO164" s="24">
        <f t="shared" ref="CO164" si="1239">+CN164</f>
        <v>88.302000000000007</v>
      </c>
      <c r="CP164" s="24">
        <f t="shared" ref="CP164" si="1240">+CO164</f>
        <v>88.302000000000007</v>
      </c>
      <c r="CQ164" s="24">
        <f t="shared" ref="CQ164" si="1241">+CP164</f>
        <v>88.302000000000007</v>
      </c>
      <c r="CR164" s="24">
        <f t="shared" ref="CR164" si="1242">+CQ164</f>
        <v>88.302000000000007</v>
      </c>
      <c r="CS164" s="24">
        <f t="shared" ref="CS164" si="1243">+CR164</f>
        <v>88.302000000000007</v>
      </c>
      <c r="CT164" s="24">
        <f t="shared" ref="CT164" si="1244">+CS164</f>
        <v>88.302000000000007</v>
      </c>
      <c r="CU164" s="24">
        <f t="shared" ref="CU164" si="1245">+CT164</f>
        <v>88.302000000000007</v>
      </c>
      <c r="CV164" s="24">
        <f t="shared" ref="CV164" si="1246">+CU164</f>
        <v>88.302000000000007</v>
      </c>
      <c r="CW164" s="24">
        <f t="shared" ref="CW164" si="1247">+CV164</f>
        <v>88.302000000000007</v>
      </c>
      <c r="CX164" s="24">
        <f t="shared" ref="CX164" si="1248">+CW164</f>
        <v>88.302000000000007</v>
      </c>
      <c r="CY164" s="24">
        <f t="shared" ref="CY164" si="1249">+CX164</f>
        <v>88.302000000000007</v>
      </c>
      <c r="CZ164" s="24">
        <f t="shared" ref="CZ164" si="1250">+CY164</f>
        <v>88.302000000000007</v>
      </c>
      <c r="DA164" s="24">
        <f t="shared" ref="DA164" si="1251">+CZ164</f>
        <v>88.302000000000007</v>
      </c>
      <c r="DB164" s="24">
        <f t="shared" ref="DB164" si="1252">+DA164</f>
        <v>88.302000000000007</v>
      </c>
      <c r="DE164" s="123"/>
      <c r="DF164" s="23">
        <v>79.638999999999996</v>
      </c>
    </row>
    <row r="165" spans="1:110" s="23" customFormat="1" x14ac:dyDescent="0.2">
      <c r="AB165" s="24"/>
      <c r="AC165" s="24"/>
      <c r="AD165" s="24"/>
      <c r="AE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</row>
    <row r="166" spans="1:110" s="23" customFormat="1" outlineLevel="1" x14ac:dyDescent="0.2">
      <c r="A166" s="23" t="s">
        <v>59</v>
      </c>
      <c r="B166" s="23">
        <f>'Annual Raw'!C72</f>
        <v>0</v>
      </c>
      <c r="C166" s="23">
        <f>'Annual Raw'!D72</f>
        <v>0</v>
      </c>
      <c r="D166" s="23">
        <f>'Annual Raw'!E72</f>
        <v>0</v>
      </c>
      <c r="E166" s="23">
        <f>'Annual Raw'!F72+'Annual Raw'!F61</f>
        <v>0</v>
      </c>
      <c r="F166" s="23">
        <f>'Annual Raw'!G72+'Annual Raw'!G61</f>
        <v>0</v>
      </c>
      <c r="G166" s="23">
        <f>'Annual Raw'!H72+'Annual Raw'!H61</f>
        <v>0</v>
      </c>
      <c r="H166" s="23">
        <f>'Annual Raw'!I72+'Annual Raw'!I61</f>
        <v>0</v>
      </c>
      <c r="I166" s="23">
        <f>'Annual Raw'!J72+'Annual Raw'!J61</f>
        <v>0</v>
      </c>
      <c r="J166" s="23">
        <f>'Annual Raw'!K72+'Annual Raw'!K61</f>
        <v>0</v>
      </c>
      <c r="K166" s="23">
        <f>'Annual Raw'!L72+'Annual Raw'!L61</f>
        <v>0</v>
      </c>
      <c r="L166" s="23">
        <f>'Annual Raw'!M72+'Annual Raw'!M61</f>
        <v>169.53800000000001</v>
      </c>
      <c r="M166" s="23">
        <f>'Annual Raw'!N72+'Annual Raw'!N61</f>
        <v>165.28</v>
      </c>
      <c r="N166" s="23">
        <f>'Annual Raw'!O72+'Annual Raw'!O61</f>
        <v>143.73400000000001</v>
      </c>
      <c r="O166" s="23">
        <f>'Annual Raw'!P72+'Annual Raw'!P61</f>
        <v>122.557</v>
      </c>
      <c r="P166" s="23">
        <f>'Annual Raw'!Q72+'Annual Raw'!Q61</f>
        <v>56.7</v>
      </c>
      <c r="Q166" s="23">
        <f>'Annual Raw'!R72+'Annual Raw'!R61</f>
        <v>101.56</v>
      </c>
      <c r="R166" s="23">
        <f>'Annual Raw'!S72+'Annual Raw'!S61</f>
        <v>144.24600000000001</v>
      </c>
      <c r="S166" s="23">
        <f>'Annual Raw'!T72+'Annual Raw'!T61</f>
        <v>156.55500000000001</v>
      </c>
      <c r="T166" s="23">
        <f>'Annual Raw'!U72+'Annual Raw'!U61</f>
        <v>199.24799999999999</v>
      </c>
      <c r="U166" s="23">
        <f>'Annual Raw'!V72+'Annual Raw'!V61</f>
        <v>218.65100000000001</v>
      </c>
      <c r="V166" s="23">
        <f>'Annual Raw'!W72+'Annual Raw'!W61</f>
        <v>202.417</v>
      </c>
      <c r="W166" s="23">
        <f>'Annual Raw'!X72+'Annual Raw'!X61</f>
        <v>197.005</v>
      </c>
      <c r="X166" s="23">
        <f>'Annual Raw'!Y72+'Annual Raw'!Y61</f>
        <v>185.911</v>
      </c>
      <c r="Y166" s="23">
        <f>'Annual Raw'!Z72+'Annual Raw'!Z61</f>
        <v>401.98200000000003</v>
      </c>
      <c r="Z166" s="23">
        <f>'Annual Raw'!AA72+'Annual Raw'!AA61</f>
        <v>626.50099999999998</v>
      </c>
      <c r="AA166" s="23">
        <f>'Annual Raw'!AB72+'Annual Raw'!AB61</f>
        <v>839.84400000000005</v>
      </c>
      <c r="AB166" s="24">
        <f t="shared" ref="AB166:AB171" si="1253">+CP166</f>
        <v>0</v>
      </c>
      <c r="AC166" s="24">
        <f t="shared" ref="AC166:AC171" si="1254">+CT166</f>
        <v>0</v>
      </c>
      <c r="AD166" s="24">
        <f t="shared" ref="AD166:AD171" si="1255">+CX166</f>
        <v>0</v>
      </c>
      <c r="AE166" s="24">
        <f t="shared" ref="AE166:AE171" si="1256">+DB166</f>
        <v>0</v>
      </c>
      <c r="AJ166" s="23">
        <f>+'QTR Raw'!D78</f>
        <v>0</v>
      </c>
      <c r="AK166" s="23">
        <f t="shared" ref="AK166:CE171" si="1257">+AJ166</f>
        <v>0</v>
      </c>
      <c r="AL166" s="23">
        <f>+'QTR Raw'!F78</f>
        <v>0</v>
      </c>
      <c r="AM166" s="23">
        <f t="shared" si="1257"/>
        <v>0</v>
      </c>
      <c r="AN166" s="23">
        <f>+'QTR Raw'!H78</f>
        <v>0</v>
      </c>
      <c r="AO166" s="23">
        <f t="shared" si="1257"/>
        <v>0</v>
      </c>
      <c r="AP166" s="23">
        <f>+'QTR Raw'!J78</f>
        <v>0</v>
      </c>
      <c r="AQ166" s="23">
        <f t="shared" si="1257"/>
        <v>0</v>
      </c>
      <c r="AR166" s="23">
        <f>+'QTR Raw'!L78</f>
        <v>0</v>
      </c>
      <c r="AS166" s="23">
        <f t="shared" si="1257"/>
        <v>0</v>
      </c>
      <c r="AT166" s="23">
        <f>+'QTR Raw'!N78</f>
        <v>0</v>
      </c>
      <c r="AU166" s="23">
        <f t="shared" si="1257"/>
        <v>0</v>
      </c>
      <c r="AV166" s="23">
        <f>+'QTR Raw'!P78</f>
        <v>0</v>
      </c>
      <c r="AW166" s="23">
        <f t="shared" si="1257"/>
        <v>0</v>
      </c>
      <c r="AX166" s="23">
        <f>+'QTR Raw'!R78</f>
        <v>0</v>
      </c>
      <c r="AY166" s="23">
        <f t="shared" si="1257"/>
        <v>0</v>
      </c>
      <c r="AZ166" s="23">
        <f>+'QTR Raw'!T78</f>
        <v>0</v>
      </c>
      <c r="BA166" s="23">
        <f t="shared" si="1257"/>
        <v>0</v>
      </c>
      <c r="BB166" s="23">
        <f>+'QTR Raw'!V78</f>
        <v>0</v>
      </c>
      <c r="BC166" s="23">
        <f t="shared" si="1257"/>
        <v>0</v>
      </c>
      <c r="BD166" s="23">
        <f>+'QTR Raw'!X78</f>
        <v>0</v>
      </c>
      <c r="BE166" s="23">
        <f t="shared" si="1257"/>
        <v>0</v>
      </c>
      <c r="BF166" s="23">
        <f>+'QTR Raw'!Z78</f>
        <v>0</v>
      </c>
      <c r="BG166" s="23">
        <f t="shared" si="1257"/>
        <v>0</v>
      </c>
      <c r="BH166" s="23">
        <f>+'QTR Raw'!AB78</f>
        <v>0</v>
      </c>
      <c r="BI166" s="23">
        <f t="shared" si="1257"/>
        <v>0</v>
      </c>
      <c r="BJ166" s="23">
        <f>+'QTR Raw'!AD78</f>
        <v>5.0880000000000001</v>
      </c>
      <c r="BK166" s="23">
        <f t="shared" si="1257"/>
        <v>5.0880000000000001</v>
      </c>
      <c r="BL166" s="23">
        <f>+'QTR Raw'!AF78</f>
        <v>0</v>
      </c>
      <c r="BM166" s="23">
        <f t="shared" si="1257"/>
        <v>0</v>
      </c>
      <c r="BN166" s="23">
        <f>+'QTR Raw'!AH78</f>
        <v>5.3410000000000002</v>
      </c>
      <c r="BO166" s="23">
        <f t="shared" si="1257"/>
        <v>5.3410000000000002</v>
      </c>
      <c r="BP166" s="23">
        <f>+'QTR Raw'!AJ78</f>
        <v>2.8279999999999998</v>
      </c>
      <c r="BQ166" s="23">
        <f t="shared" si="1257"/>
        <v>2.8279999999999998</v>
      </c>
      <c r="BR166" s="23">
        <f>+'QTR Raw'!AL78</f>
        <v>0</v>
      </c>
      <c r="BS166" s="23">
        <f t="shared" si="1257"/>
        <v>0</v>
      </c>
      <c r="BT166" s="23">
        <f>+'QTR Raw'!AN78</f>
        <v>0</v>
      </c>
      <c r="BU166" s="23">
        <f t="shared" si="1257"/>
        <v>0</v>
      </c>
      <c r="BV166" s="23">
        <f>+'QTR Raw'!AP78</f>
        <v>0</v>
      </c>
      <c r="BW166" s="23">
        <f t="shared" si="1257"/>
        <v>0</v>
      </c>
      <c r="BX166" s="23">
        <f>+'QTR Raw'!AR78</f>
        <v>0</v>
      </c>
      <c r="BY166" s="23">
        <f t="shared" si="1257"/>
        <v>0</v>
      </c>
      <c r="BZ166" s="23">
        <f>+'QTR Raw'!AT78</f>
        <v>0</v>
      </c>
      <c r="CA166" s="23">
        <f t="shared" si="1257"/>
        <v>0</v>
      </c>
      <c r="CB166" s="23">
        <f>+'QTR Raw'!AV78</f>
        <v>0</v>
      </c>
      <c r="CC166" s="23">
        <f t="shared" si="1257"/>
        <v>0</v>
      </c>
      <c r="CD166" s="23">
        <f>+'QTR Raw'!AX78</f>
        <v>0</v>
      </c>
      <c r="CE166" s="23">
        <f t="shared" si="1257"/>
        <v>0</v>
      </c>
      <c r="CF166" s="23">
        <f>+'QTR Raw'!AZ78</f>
        <v>0</v>
      </c>
      <c r="CG166" s="23">
        <f t="shared" si="1234"/>
        <v>0</v>
      </c>
      <c r="CH166" s="23">
        <f t="shared" si="1235"/>
        <v>626.50099999999998</v>
      </c>
      <c r="CJ166" s="23">
        <f>+'QTR Raw'!BD78</f>
        <v>0</v>
      </c>
      <c r="CL166" s="23">
        <f>+'QTR Raw'!BF78</f>
        <v>0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</v>
      </c>
    </row>
    <row r="167" spans="1:110" s="23" customFormat="1" outlineLevel="1" x14ac:dyDescent="0.2">
      <c r="A167" s="23" t="s">
        <v>60</v>
      </c>
      <c r="B167" s="23">
        <f>'Annual Raw'!C73+'Annual Raw'!C81</f>
        <v>0</v>
      </c>
      <c r="C167" s="23">
        <f>'Annual Raw'!D73+'Annual Raw'!D81</f>
        <v>0</v>
      </c>
      <c r="D167" s="23">
        <f>'Annual Raw'!E73+'Annual Raw'!E81</f>
        <v>0</v>
      </c>
      <c r="E167" s="23">
        <f>'Annual Raw'!F73+'Annual Raw'!F81</f>
        <v>0</v>
      </c>
      <c r="F167" s="23">
        <f>'Annual Raw'!G73+'Annual Raw'!G81</f>
        <v>0</v>
      </c>
      <c r="G167" s="23">
        <f>'Annual Raw'!H73+'Annual Raw'!H81</f>
        <v>0</v>
      </c>
      <c r="H167" s="23">
        <f>'Annual Raw'!I73+'Annual Raw'!I81</f>
        <v>0</v>
      </c>
      <c r="I167" s="23">
        <f>'Annual Raw'!J73+'Annual Raw'!J81</f>
        <v>0</v>
      </c>
      <c r="J167" s="23">
        <f>'Annual Raw'!K73+'Annual Raw'!K81</f>
        <v>0</v>
      </c>
      <c r="K167" s="23">
        <f>'Annual Raw'!L73+'Annual Raw'!L81</f>
        <v>0</v>
      </c>
      <c r="L167" s="23">
        <f>'Annual Raw'!M73+'Annual Raw'!M81</f>
        <v>0.25800000000000001</v>
      </c>
      <c r="M167" s="23">
        <f>'Annual Raw'!N73+'Annual Raw'!N81</f>
        <v>0</v>
      </c>
      <c r="N167" s="23">
        <f>'Annual Raw'!O73+'Annual Raw'!O81</f>
        <v>2.198</v>
      </c>
      <c r="O167" s="23">
        <f>'Annual Raw'!P73+'Annual Raw'!P81</f>
        <v>8.0020000000000007</v>
      </c>
      <c r="P167" s="23">
        <f>'Annual Raw'!Q73+'Annual Raw'!Q81</f>
        <v>8.2970000000000006</v>
      </c>
      <c r="Q167" s="23">
        <f>'Annual Raw'!R73+'Annual Raw'!R81</f>
        <v>1.36</v>
      </c>
      <c r="R167" s="23">
        <f>'Annual Raw'!S73+'Annual Raw'!S81</f>
        <v>3.1229999999999998</v>
      </c>
      <c r="S167" s="23">
        <f>'Annual Raw'!T73+'Annual Raw'!T81</f>
        <v>1.244</v>
      </c>
      <c r="T167" s="23">
        <f>'Annual Raw'!U73+'Annual Raw'!U81</f>
        <v>6.92</v>
      </c>
      <c r="U167" s="23">
        <f>'Annual Raw'!V73+'Annual Raw'!V81</f>
        <v>3.3439999999999999</v>
      </c>
      <c r="V167" s="23">
        <f>'Annual Raw'!W73+'Annual Raw'!W81</f>
        <v>59.171999999999997</v>
      </c>
      <c r="W167" s="23">
        <f>'Annual Raw'!X73+'Annual Raw'!X81</f>
        <v>13.92</v>
      </c>
      <c r="X167" s="23">
        <f>'Annual Raw'!Y73+'Annual Raw'!Y81</f>
        <v>11.765000000000001</v>
      </c>
      <c r="Y167" s="23">
        <f>'Annual Raw'!Z73+'Annual Raw'!Z81</f>
        <v>34.106000000000002</v>
      </c>
      <c r="Z167" s="23">
        <f>'Annual Raw'!AA73+'Annual Raw'!AA81</f>
        <v>83.905000000000001</v>
      </c>
      <c r="AA167" s="23">
        <f>'Annual Raw'!AB73+'Annual Raw'!AB81</f>
        <v>87.5</v>
      </c>
      <c r="AB167" s="24">
        <f t="shared" si="1253"/>
        <v>0</v>
      </c>
      <c r="AC167" s="24">
        <f t="shared" si="1254"/>
        <v>0</v>
      </c>
      <c r="AD167" s="24">
        <f t="shared" si="1255"/>
        <v>0</v>
      </c>
      <c r="AE167" s="24">
        <f t="shared" si="1256"/>
        <v>0</v>
      </c>
      <c r="AJ167" s="23">
        <f>+'QTR Raw'!D79+'QTR Raw'!D76</f>
        <v>0</v>
      </c>
      <c r="AK167" s="23">
        <f t="shared" si="1257"/>
        <v>0</v>
      </c>
      <c r="AL167" s="23">
        <f>+'QTR Raw'!F79+'QTR Raw'!F76</f>
        <v>0</v>
      </c>
      <c r="AM167" s="23">
        <f t="shared" si="1257"/>
        <v>0</v>
      </c>
      <c r="AN167" s="23">
        <f>+'QTR Raw'!H79+'QTR Raw'!H76</f>
        <v>0</v>
      </c>
      <c r="AO167" s="23">
        <f t="shared" si="1257"/>
        <v>0</v>
      </c>
      <c r="AP167" s="23">
        <f>+'QTR Raw'!J79+'QTR Raw'!J76</f>
        <v>0</v>
      </c>
      <c r="AQ167" s="23">
        <f t="shared" si="1257"/>
        <v>0</v>
      </c>
      <c r="AR167" s="23">
        <f>+'QTR Raw'!L79+'QTR Raw'!L76</f>
        <v>0</v>
      </c>
      <c r="AS167" s="23">
        <f t="shared" si="1257"/>
        <v>0</v>
      </c>
      <c r="AT167" s="23">
        <f>+'QTR Raw'!N79+'QTR Raw'!N76</f>
        <v>0</v>
      </c>
      <c r="AU167" s="23">
        <f t="shared" si="1257"/>
        <v>0</v>
      </c>
      <c r="AV167" s="23">
        <f>+'QTR Raw'!P79+'QTR Raw'!P76</f>
        <v>0</v>
      </c>
      <c r="AW167" s="23">
        <f t="shared" si="1257"/>
        <v>0</v>
      </c>
      <c r="AX167" s="23">
        <f>+'QTR Raw'!R79+'QTR Raw'!R76</f>
        <v>0</v>
      </c>
      <c r="AY167" s="23">
        <f t="shared" si="1257"/>
        <v>0</v>
      </c>
      <c r="AZ167" s="23">
        <f>+'QTR Raw'!T79+'QTR Raw'!T76</f>
        <v>0</v>
      </c>
      <c r="BA167" s="23">
        <f t="shared" si="1257"/>
        <v>0</v>
      </c>
      <c r="BB167" s="23">
        <f>+'QTR Raw'!V79+'QTR Raw'!V76</f>
        <v>0</v>
      </c>
      <c r="BC167" s="23">
        <f t="shared" si="1257"/>
        <v>0</v>
      </c>
      <c r="BD167" s="23">
        <f>+'QTR Raw'!X79+'QTR Raw'!X76</f>
        <v>0</v>
      </c>
      <c r="BE167" s="23">
        <f t="shared" si="1257"/>
        <v>0</v>
      </c>
      <c r="BF167" s="23">
        <f>+'QTR Raw'!Z79+'QTR Raw'!Z76</f>
        <v>157.529</v>
      </c>
      <c r="BG167" s="23">
        <f t="shared" si="1257"/>
        <v>157.529</v>
      </c>
      <c r="BH167" s="23">
        <f>+'QTR Raw'!AB79+'QTR Raw'!AB76</f>
        <v>0</v>
      </c>
      <c r="BI167" s="23">
        <f t="shared" si="1257"/>
        <v>0</v>
      </c>
      <c r="BJ167" s="23">
        <f>+'QTR Raw'!AD79+'QTR Raw'!AD76</f>
        <v>201.05799999999999</v>
      </c>
      <c r="BK167" s="23">
        <f t="shared" si="1257"/>
        <v>201.05799999999999</v>
      </c>
      <c r="BL167" s="23">
        <f>+'QTR Raw'!AF79+'QTR Raw'!AF76</f>
        <v>256.69</v>
      </c>
      <c r="BM167" s="23">
        <f t="shared" si="1257"/>
        <v>256.69</v>
      </c>
      <c r="BN167" s="23">
        <f>+'QTR Raw'!AH79+'QTR Raw'!AH76</f>
        <v>250.446</v>
      </c>
      <c r="BO167" s="23">
        <f t="shared" si="1257"/>
        <v>250.446</v>
      </c>
      <c r="BP167" s="23">
        <f>+'QTR Raw'!AJ79+'QTR Raw'!AJ76</f>
        <v>239.10300000000001</v>
      </c>
      <c r="BQ167" s="23">
        <f t="shared" si="1257"/>
        <v>239.10300000000001</v>
      </c>
      <c r="BR167" s="23">
        <f>+'QTR Raw'!AL79+'QTR Raw'!AL76</f>
        <v>295.68900000000002</v>
      </c>
      <c r="BS167" s="23">
        <f t="shared" si="1257"/>
        <v>295.68900000000002</v>
      </c>
      <c r="BT167" s="23">
        <f>+'QTR Raw'!AN79+'QTR Raw'!AN76</f>
        <v>470.59199999999998</v>
      </c>
      <c r="BU167" s="23">
        <f t="shared" si="1257"/>
        <v>470.59199999999998</v>
      </c>
      <c r="BV167" s="23">
        <f>+'QTR Raw'!AP79+'QTR Raw'!AP76</f>
        <v>246.06100000000001</v>
      </c>
      <c r="BW167" s="23">
        <f t="shared" si="1257"/>
        <v>246.06100000000001</v>
      </c>
      <c r="BX167" s="23">
        <f>+'QTR Raw'!AR79+'QTR Raw'!AR76</f>
        <v>217.178</v>
      </c>
      <c r="BY167" s="23">
        <f t="shared" si="1257"/>
        <v>217.178</v>
      </c>
      <c r="BZ167" s="23">
        <f>+'QTR Raw'!AT79+'QTR Raw'!AT76</f>
        <v>233.858</v>
      </c>
      <c r="CA167" s="23">
        <f t="shared" si="1257"/>
        <v>233.858</v>
      </c>
      <c r="CB167" s="23">
        <f>+'QTR Raw'!AV79+'QTR Raw'!AV76</f>
        <v>383.05</v>
      </c>
      <c r="CC167" s="23">
        <f t="shared" si="1257"/>
        <v>383.05</v>
      </c>
      <c r="CD167" s="23">
        <f>+'QTR Raw'!AX79+'QTR Raw'!AX76</f>
        <v>508.91399999999999</v>
      </c>
      <c r="CE167" s="23">
        <f t="shared" si="1257"/>
        <v>508.91399999999999</v>
      </c>
      <c r="CF167" s="23">
        <f>+'QTR Raw'!AZ79+'QTR Raw'!AZ76</f>
        <v>656.84799999999996</v>
      </c>
      <c r="CG167" s="23">
        <f t="shared" si="1234"/>
        <v>656.84799999999996</v>
      </c>
      <c r="CH167" s="23">
        <f t="shared" si="1235"/>
        <v>83.905000000000001</v>
      </c>
      <c r="CJ167" s="23">
        <f>+'QTR Raw'!BD79+'QTR Raw'!BD76</f>
        <v>1225.223</v>
      </c>
      <c r="CL167" s="23">
        <f>+'QTR Raw'!BF79+'QTR Raw'!BF76</f>
        <v>1069.971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1069.971</v>
      </c>
    </row>
    <row r="168" spans="1:110" s="23" customFormat="1" outlineLevel="1" x14ac:dyDescent="0.2">
      <c r="A168" s="23" t="s">
        <v>61</v>
      </c>
      <c r="B168" s="23">
        <f>'Annual Raw'!C76</f>
        <v>0</v>
      </c>
      <c r="C168" s="23">
        <f>'Annual Raw'!D76</f>
        <v>0</v>
      </c>
      <c r="D168" s="23">
        <f>'Annual Raw'!E76</f>
        <v>0</v>
      </c>
      <c r="E168" s="23">
        <f>'Annual Raw'!F76</f>
        <v>0</v>
      </c>
      <c r="F168" s="23">
        <f>'Annual Raw'!G76</f>
        <v>0</v>
      </c>
      <c r="G168" s="23">
        <f>'Annual Raw'!H76</f>
        <v>0</v>
      </c>
      <c r="H168" s="23">
        <f>'Annual Raw'!I76</f>
        <v>0</v>
      </c>
      <c r="I168" s="23">
        <f>'Annual Raw'!J76</f>
        <v>359.88630000000001</v>
      </c>
      <c r="J168" s="23">
        <f>'Annual Raw'!K76</f>
        <v>323.34411890000001</v>
      </c>
      <c r="K168" s="23">
        <f>'Annual Raw'!L76</f>
        <v>833.54723220000005</v>
      </c>
      <c r="L168" s="23">
        <f>'Annual Raw'!M76</f>
        <v>813.88099999999997</v>
      </c>
      <c r="M168" s="23">
        <f>'Annual Raw'!N76</f>
        <v>659.971</v>
      </c>
      <c r="N168" s="23">
        <f>'Annual Raw'!O76</f>
        <v>609.66200000000003</v>
      </c>
      <c r="O168" s="23">
        <f>'Annual Raw'!P76</f>
        <v>578.02599999999995</v>
      </c>
      <c r="P168" s="23">
        <f>'Annual Raw'!Q76</f>
        <v>903.98099999999999</v>
      </c>
      <c r="Q168" s="23">
        <f>'Annual Raw'!R76</f>
        <v>980.42</v>
      </c>
      <c r="R168" s="23">
        <f>'Annual Raw'!S76</f>
        <v>1519.8150000000001</v>
      </c>
      <c r="S168" s="23">
        <f>'Annual Raw'!T76</f>
        <v>1365.6980000000001</v>
      </c>
      <c r="T168" s="23">
        <f>'Annual Raw'!U76</f>
        <v>1995.7850000000001</v>
      </c>
      <c r="U168" s="23">
        <f>'Annual Raw'!V76</f>
        <v>1924.954</v>
      </c>
      <c r="V168" s="23">
        <f>'Annual Raw'!W76</f>
        <v>1987.91</v>
      </c>
      <c r="W168" s="23">
        <f>'Annual Raw'!X76</f>
        <v>2199.6469999999999</v>
      </c>
      <c r="X168" s="23">
        <f>'Annual Raw'!Y76</f>
        <v>2951.384</v>
      </c>
      <c r="Y168" s="23">
        <f>'Annual Raw'!Z76</f>
        <v>3675.114</v>
      </c>
      <c r="Z168" s="23">
        <f>'Annual Raw'!AA76</f>
        <v>3661.3</v>
      </c>
      <c r="AA168" s="23">
        <f>'Annual Raw'!AB76</f>
        <v>5559.598</v>
      </c>
      <c r="AB168" s="24">
        <f t="shared" si="1253"/>
        <v>6114.8822242476326</v>
      </c>
      <c r="AC168" s="24">
        <f t="shared" si="1254"/>
        <v>7219.2159927129815</v>
      </c>
      <c r="AD168" s="24">
        <f t="shared" si="1255"/>
        <v>8264.2652976511054</v>
      </c>
      <c r="AE168" s="24">
        <f t="shared" si="1256"/>
        <v>9462.8425398306317</v>
      </c>
      <c r="AJ168" s="23">
        <f>+'QTR Raw'!D81</f>
        <v>0</v>
      </c>
      <c r="AK168" s="23" t="e">
        <f>+AK203*AK34/90</f>
        <v>#DIV/0!</v>
      </c>
      <c r="AL168" s="23">
        <f>+'QTR Raw'!F81</f>
        <v>0</v>
      </c>
      <c r="AM168" s="23" t="e">
        <f>+AM203*AM34/90</f>
        <v>#DIV/0!</v>
      </c>
      <c r="AN168" s="23">
        <f>+'QTR Raw'!H81</f>
        <v>0</v>
      </c>
      <c r="AO168" s="23" t="e">
        <f>+AO203*AO34/90</f>
        <v>#DIV/0!</v>
      </c>
      <c r="AP168" s="23">
        <f>+'QTR Raw'!J81</f>
        <v>0</v>
      </c>
      <c r="AQ168" s="23" t="e">
        <f>+AQ203*AQ34/90</f>
        <v>#DIV/0!</v>
      </c>
      <c r="AR168" s="23">
        <f>+'QTR Raw'!L81</f>
        <v>0</v>
      </c>
      <c r="AS168" s="23" t="e">
        <f>+AS203*AS34/90</f>
        <v>#DIV/0!</v>
      </c>
      <c r="AT168" s="23">
        <f>+'QTR Raw'!N81</f>
        <v>0</v>
      </c>
      <c r="AU168" s="23" t="e">
        <f>+AU203*AU34/90</f>
        <v>#DIV/0!</v>
      </c>
      <c r="AV168" s="23">
        <f>+'QTR Raw'!P81</f>
        <v>0</v>
      </c>
      <c r="AW168" s="23" t="e">
        <f>+AW203*AW34/90</f>
        <v>#DIV/0!</v>
      </c>
      <c r="AX168" s="23">
        <f>+'QTR Raw'!R81</f>
        <v>0</v>
      </c>
      <c r="AY168" s="23" t="e">
        <f>+AY203*AY34/90</f>
        <v>#DIV/0!</v>
      </c>
      <c r="AZ168" s="23">
        <f>+'QTR Raw'!T81</f>
        <v>0</v>
      </c>
      <c r="BA168" s="23" t="e">
        <f>+BA203*BA34/90</f>
        <v>#DIV/0!</v>
      </c>
      <c r="BB168" s="23">
        <f>+'QTR Raw'!V81</f>
        <v>0</v>
      </c>
      <c r="BC168" s="23" t="e">
        <f>+BC203*BC34/90</f>
        <v>#DIV/0!</v>
      </c>
      <c r="BD168" s="23">
        <f>+'QTR Raw'!X81</f>
        <v>0</v>
      </c>
      <c r="BE168" s="23" t="e">
        <f>+BE203*BE34/90</f>
        <v>#DIV/0!</v>
      </c>
      <c r="BF168" s="23">
        <f>+'QTR Raw'!Z81</f>
        <v>1365.6980000000001</v>
      </c>
      <c r="BG168" s="23">
        <f>+BG203*BG34/90</f>
        <v>1088.9660622069655</v>
      </c>
      <c r="BH168" s="23">
        <f>+'QTR Raw'!AB81</f>
        <v>0</v>
      </c>
      <c r="BI168" s="23">
        <f>+BI203*BI34/90</f>
        <v>0</v>
      </c>
      <c r="BJ168" s="23">
        <f>+'QTR Raw'!AD81</f>
        <v>1995.7850000000001</v>
      </c>
      <c r="BK168" s="23">
        <f>+BK203*BK34/90</f>
        <v>1580.7579139266525</v>
      </c>
      <c r="BL168" s="23">
        <f>+'QTR Raw'!AF81</f>
        <v>1894.317</v>
      </c>
      <c r="BM168" s="23">
        <f>+BM203*BM34/90</f>
        <v>2118.5348041047428</v>
      </c>
      <c r="BN168" s="23">
        <f>+'QTR Raw'!AH81</f>
        <v>1924.954</v>
      </c>
      <c r="BO168" s="23">
        <f>+BO203*BO34/90</f>
        <v>882.83893376995479</v>
      </c>
      <c r="BP168" s="23">
        <f>+'QTR Raw'!AJ81</f>
        <v>2041.5640000000001</v>
      </c>
      <c r="BQ168" s="23">
        <f>+BQ203*BQ34/90</f>
        <v>2652.6359574240596</v>
      </c>
      <c r="BR168" s="23">
        <f>+'QTR Raw'!AL81</f>
        <v>1987.91</v>
      </c>
      <c r="BS168" s="23">
        <f>+BS203*BS34/90</f>
        <v>1253.2622794462714</v>
      </c>
      <c r="BT168" s="23">
        <f>+'QTR Raw'!AN81</f>
        <v>2155.9389999999999</v>
      </c>
      <c r="BU168" s="23">
        <f>+BU203*BU34/90</f>
        <v>2417.989254892726</v>
      </c>
      <c r="BV168" s="23">
        <f>+'QTR Raw'!AP81</f>
        <v>2199.6469999999999</v>
      </c>
      <c r="BW168" s="23">
        <f>+BW203*BW34/90</f>
        <v>1516.2434981768179</v>
      </c>
      <c r="BX168" s="23">
        <f>+'QTR Raw'!AR81</f>
        <v>2412.9340000000002</v>
      </c>
      <c r="BY168" s="23">
        <f>+BY203*BY34/90</f>
        <v>2690.133822352821</v>
      </c>
      <c r="BZ168" s="23">
        <f>+'QTR Raw'!AT81</f>
        <v>2951.384</v>
      </c>
      <c r="CA168" s="23">
        <f>+CA203*CA34/90</f>
        <v>2654.9275500870676</v>
      </c>
      <c r="CB168" s="23">
        <f>+'QTR Raw'!AV81</f>
        <v>3431.1729999999998</v>
      </c>
      <c r="CC168" s="23">
        <f>+CC203*CC34/90</f>
        <v>3531.0510620630171</v>
      </c>
      <c r="CD168" s="23">
        <f>+'QTR Raw'!AX81</f>
        <v>3675.114</v>
      </c>
      <c r="CE168" s="23">
        <f>+CE203*CE34/90</f>
        <v>3087.6466431182985</v>
      </c>
      <c r="CF168" s="23">
        <f>+'QTR Raw'!AZ81</f>
        <v>4255.8959999999997</v>
      </c>
      <c r="CG168" s="23">
        <f>+CG203*CG34/90</f>
        <v>4045.0828103898152</v>
      </c>
      <c r="CH168" s="23">
        <f t="shared" si="1235"/>
        <v>3661.3</v>
      </c>
      <c r="CI168" s="23">
        <f>+CI203*CI34/90</f>
        <v>3095.3586016658369</v>
      </c>
      <c r="CJ168" s="23">
        <f>+'QTR Raw'!BD81</f>
        <v>5418.1869999999999</v>
      </c>
      <c r="CK168" s="23">
        <f t="shared" ref="CK168:DB168" si="1258">+CK203*CK34/90</f>
        <v>6387.6210702316166</v>
      </c>
      <c r="CL168" s="23">
        <f>+'QTR Raw'!BF81</f>
        <v>5559.598</v>
      </c>
      <c r="CM168" s="24">
        <f t="shared" si="1258"/>
        <v>4359.9435847395016</v>
      </c>
      <c r="CN168" s="24">
        <f t="shared" si="1258"/>
        <v>4467.22766213248</v>
      </c>
      <c r="CO168" s="24">
        <f t="shared" si="1258"/>
        <v>5314.900533269345</v>
      </c>
      <c r="CP168" s="24">
        <f t="shared" si="1258"/>
        <v>6114.8822242476326</v>
      </c>
      <c r="CQ168" s="24">
        <f t="shared" si="1258"/>
        <v>4962.5136609050642</v>
      </c>
      <c r="CR168" s="24">
        <f t="shared" si="1258"/>
        <v>5346.3584998186334</v>
      </c>
      <c r="CS168" s="24">
        <f t="shared" si="1258"/>
        <v>6325.9903156122473</v>
      </c>
      <c r="CT168" s="24">
        <f t="shared" si="1258"/>
        <v>7219.2159927129815</v>
      </c>
      <c r="CU168" s="24">
        <f t="shared" si="1258"/>
        <v>5682.3242794274802</v>
      </c>
      <c r="CV168" s="24">
        <f t="shared" si="1258"/>
        <v>6121.0463158068833</v>
      </c>
      <c r="CW168" s="24">
        <f t="shared" si="1258"/>
        <v>7246.3194481676755</v>
      </c>
      <c r="CX168" s="24">
        <f t="shared" si="1258"/>
        <v>8264.2652976511054</v>
      </c>
      <c r="CY168" s="24">
        <f t="shared" si="1258"/>
        <v>6507.8605041328356</v>
      </c>
      <c r="CZ168" s="24">
        <f t="shared" si="1258"/>
        <v>7009.5677006665874</v>
      </c>
      <c r="DA168" s="24">
        <f t="shared" si="1258"/>
        <v>8302.1918212523742</v>
      </c>
      <c r="DB168" s="24">
        <f t="shared" si="1258"/>
        <v>9462.8425398306317</v>
      </c>
      <c r="DE168" s="123"/>
      <c r="DF168" s="23">
        <v>7486.3905251488231</v>
      </c>
    </row>
    <row r="169" spans="1:110" s="23" customFormat="1" outlineLevel="1" x14ac:dyDescent="0.2">
      <c r="A169" s="23" t="s">
        <v>62</v>
      </c>
      <c r="B169" s="23">
        <f>'Annual Raw'!C77</f>
        <v>0</v>
      </c>
      <c r="C169" s="23">
        <f>'Annual Raw'!D77</f>
        <v>0</v>
      </c>
      <c r="D169" s="23">
        <f>'Annual Raw'!E77</f>
        <v>0</v>
      </c>
      <c r="E169" s="23">
        <f>'Annual Raw'!F77</f>
        <v>0</v>
      </c>
      <c r="F169" s="23">
        <f>'Annual Raw'!G77</f>
        <v>0</v>
      </c>
      <c r="G169" s="23">
        <f>'Annual Raw'!H77</f>
        <v>0</v>
      </c>
      <c r="H169" s="23">
        <f>'Annual Raw'!I77</f>
        <v>0</v>
      </c>
      <c r="I169" s="23">
        <f>'Annual Raw'!J77</f>
        <v>615.15009320000001</v>
      </c>
      <c r="J169" s="23">
        <f>'Annual Raw'!K77</f>
        <v>634.40463079999995</v>
      </c>
      <c r="K169" s="23">
        <f>'Annual Raw'!L77</f>
        <v>809.10726650000004</v>
      </c>
      <c r="L169" s="23">
        <f>'Annual Raw'!M77</f>
        <v>1076.4770000000001</v>
      </c>
      <c r="M169" s="23">
        <f>'Annual Raw'!N77</f>
        <v>1117.816</v>
      </c>
      <c r="N169" s="23">
        <f>'Annual Raw'!O77</f>
        <v>987.38499999999999</v>
      </c>
      <c r="O169" s="23">
        <f>'Annual Raw'!P77</f>
        <v>828.12400000000002</v>
      </c>
      <c r="P169" s="23">
        <f>'Annual Raw'!Q77</f>
        <v>1085.221</v>
      </c>
      <c r="Q169" s="23">
        <f>'Annual Raw'!R77</f>
        <v>1349.16</v>
      </c>
      <c r="R169" s="23">
        <f>'Annual Raw'!S77</f>
        <v>1173.422</v>
      </c>
      <c r="S169" s="23">
        <f>'Annual Raw'!T77</f>
        <v>1290.816</v>
      </c>
      <c r="T169" s="23">
        <f>'Annual Raw'!U77</f>
        <v>1334.316</v>
      </c>
      <c r="U169" s="23">
        <f>'Annual Raw'!V77</f>
        <v>1433.643</v>
      </c>
      <c r="V169" s="23">
        <f>'Annual Raw'!W77</f>
        <v>1435.7670000000001</v>
      </c>
      <c r="W169" s="23">
        <f>'Annual Raw'!X77</f>
        <v>1296.394</v>
      </c>
      <c r="X169" s="23">
        <f>'Annual Raw'!Y77</f>
        <v>1246.596</v>
      </c>
      <c r="Y169" s="23">
        <f>'Annual Raw'!Z77</f>
        <v>2047.117</v>
      </c>
      <c r="Z169" s="23">
        <f>'Annual Raw'!AA77</f>
        <v>2596.268</v>
      </c>
      <c r="AA169" s="23">
        <f>'Annual Raw'!AB77</f>
        <v>3758.5039999999999</v>
      </c>
      <c r="AB169" s="24">
        <f t="shared" si="1253"/>
        <v>4625.580097404586</v>
      </c>
      <c r="AC169" s="24">
        <f t="shared" si="1254"/>
        <v>5460.9493020720756</v>
      </c>
      <c r="AD169" s="24">
        <f t="shared" si="1255"/>
        <v>6251.4729930370395</v>
      </c>
      <c r="AE169" s="24">
        <f t="shared" si="1256"/>
        <v>7158.1323256801688</v>
      </c>
      <c r="AJ169" s="23">
        <f>+'QTR Raw'!D82</f>
        <v>0</v>
      </c>
      <c r="AK169" s="23" t="e">
        <f>+AK204*AK34/90</f>
        <v>#DIV/0!</v>
      </c>
      <c r="AL169" s="23">
        <f>+'QTR Raw'!F82</f>
        <v>0</v>
      </c>
      <c r="AM169" s="23" t="e">
        <f>+AM204*AM34/90</f>
        <v>#DIV/0!</v>
      </c>
      <c r="AN169" s="23">
        <f>+'QTR Raw'!H82</f>
        <v>0</v>
      </c>
      <c r="AO169" s="23" t="e">
        <f>+AO204*AO34/90</f>
        <v>#DIV/0!</v>
      </c>
      <c r="AP169" s="23">
        <f>+'QTR Raw'!J82</f>
        <v>0</v>
      </c>
      <c r="AQ169" s="23" t="e">
        <f>+AQ204*AQ34/90</f>
        <v>#DIV/0!</v>
      </c>
      <c r="AR169" s="23">
        <f>+'QTR Raw'!L82</f>
        <v>0</v>
      </c>
      <c r="AS169" s="23" t="e">
        <f>+AS204*AS34/90</f>
        <v>#DIV/0!</v>
      </c>
      <c r="AT169" s="23">
        <f>+'QTR Raw'!N82</f>
        <v>0</v>
      </c>
      <c r="AU169" s="23" t="e">
        <f>+AU204*AU34/90</f>
        <v>#DIV/0!</v>
      </c>
      <c r="AV169" s="23">
        <f>+'QTR Raw'!P82</f>
        <v>0</v>
      </c>
      <c r="AW169" s="23" t="e">
        <f>+AW204*AW34/90</f>
        <v>#DIV/0!</v>
      </c>
      <c r="AX169" s="23">
        <f>+'QTR Raw'!R82</f>
        <v>0</v>
      </c>
      <c r="AY169" s="23" t="e">
        <f>+AY204*AY34/90</f>
        <v>#DIV/0!</v>
      </c>
      <c r="AZ169" s="23">
        <f>+'QTR Raw'!T82</f>
        <v>0</v>
      </c>
      <c r="BA169" s="23" t="e">
        <f>+BA204*BA34/90</f>
        <v>#DIV/0!</v>
      </c>
      <c r="BB169" s="23">
        <f>+'QTR Raw'!V82</f>
        <v>0</v>
      </c>
      <c r="BC169" s="23" t="e">
        <f>+BC204*BC34/90</f>
        <v>#DIV/0!</v>
      </c>
      <c r="BD169" s="23">
        <f>+'QTR Raw'!X82</f>
        <v>0</v>
      </c>
      <c r="BE169" s="23" t="e">
        <f>+BE204*BE34/90</f>
        <v>#DIV/0!</v>
      </c>
      <c r="BF169" s="23">
        <f>+'QTR Raw'!Z82</f>
        <v>1290.816</v>
      </c>
      <c r="BG169" s="23">
        <f>+BG204*BG34/90</f>
        <v>1029.2574321363479</v>
      </c>
      <c r="BH169" s="23">
        <f>+'QTR Raw'!AB82</f>
        <v>0</v>
      </c>
      <c r="BI169" s="23">
        <f>+BI204*BI34/90</f>
        <v>0</v>
      </c>
      <c r="BJ169" s="23">
        <f>+'QTR Raw'!AD82</f>
        <v>1334.316</v>
      </c>
      <c r="BK169" s="23">
        <f>+BK204*BK34/90</f>
        <v>1056.8425840854377</v>
      </c>
      <c r="BL169" s="23">
        <f>+'QTR Raw'!AF82</f>
        <v>1135.9549999999999</v>
      </c>
      <c r="BM169" s="23">
        <f>+BM204*BM34/90</f>
        <v>1270.4104980300567</v>
      </c>
      <c r="BN169" s="23">
        <f>+'QTR Raw'!AH82</f>
        <v>1433.643</v>
      </c>
      <c r="BO169" s="23">
        <f>+BO204*BO34/90</f>
        <v>657.50966388119377</v>
      </c>
      <c r="BP169" s="23">
        <f>+'QTR Raw'!AJ82</f>
        <v>1082.655</v>
      </c>
      <c r="BQ169" s="23">
        <f>+BQ204*BQ34/90</f>
        <v>1406.7105329467727</v>
      </c>
      <c r="BR169" s="23">
        <f>+'QTR Raw'!AL82</f>
        <v>1435.7670000000001</v>
      </c>
      <c r="BS169" s="23">
        <f>+BS204*BS34/90</f>
        <v>905.16805246401236</v>
      </c>
      <c r="BT169" s="23">
        <f>+'QTR Raw'!AN82</f>
        <v>1090.7950000000001</v>
      </c>
      <c r="BU169" s="23">
        <f>+BU204*BU34/90</f>
        <v>1223.3790423990249</v>
      </c>
      <c r="BV169" s="23">
        <f>+'QTR Raw'!AP82</f>
        <v>1296.394</v>
      </c>
      <c r="BW169" s="23">
        <f>+BW204*BW34/90</f>
        <v>893.62019159230431</v>
      </c>
      <c r="BX169" s="23">
        <f>+'QTR Raw'!AR82</f>
        <v>960.39499999999998</v>
      </c>
      <c r="BY169" s="23">
        <f>+BY204*BY34/90</f>
        <v>1070.7259594827447</v>
      </c>
      <c r="BZ169" s="23">
        <f>+'QTR Raw'!AT82</f>
        <v>1246.596</v>
      </c>
      <c r="CA169" s="23">
        <f>+CA204*CA34/90</f>
        <v>1121.3796863533644</v>
      </c>
      <c r="CB169" s="23">
        <f>+'QTR Raw'!AV82</f>
        <v>1321.3309999999999</v>
      </c>
      <c r="CC169" s="23">
        <f>+CC204*CC34/90</f>
        <v>1359.7936422578482</v>
      </c>
      <c r="CD169" s="23">
        <f>+'QTR Raw'!AX82</f>
        <v>2047.117</v>
      </c>
      <c r="CE169" s="23">
        <f>+CE204*CE34/90</f>
        <v>1719.8851336639902</v>
      </c>
      <c r="CF169" s="23">
        <f>+'QTR Raw'!AZ82</f>
        <v>2338.9360000000001</v>
      </c>
      <c r="CG169" s="23">
        <f>+CG204*CG34/90</f>
        <v>2223.0782444406336</v>
      </c>
      <c r="CH169" s="23">
        <f t="shared" si="1235"/>
        <v>2596.268</v>
      </c>
      <c r="CI169" s="23">
        <f>+CI204*CI34/90</f>
        <v>2194.9527452079205</v>
      </c>
      <c r="CJ169" s="23">
        <f>+'QTR Raw'!BD82</f>
        <v>2814.587</v>
      </c>
      <c r="CK169" s="23">
        <f t="shared" ref="CK169:DB169" si="1259">+CK204*CK34/90</f>
        <v>3318.1791667950911</v>
      </c>
      <c r="CL169" s="23">
        <f>+'QTR Raw'!BF82</f>
        <v>3758.5039999999999</v>
      </c>
      <c r="CM169" s="24">
        <f t="shared" si="1259"/>
        <v>3112.9380824845052</v>
      </c>
      <c r="CN169" s="24">
        <f t="shared" si="1259"/>
        <v>3379.2178829867212</v>
      </c>
      <c r="CO169" s="24">
        <f t="shared" si="1259"/>
        <v>4020.4368988317756</v>
      </c>
      <c r="CP169" s="24">
        <f t="shared" si="1259"/>
        <v>4625.580097404586</v>
      </c>
      <c r="CQ169" s="24">
        <f t="shared" si="1259"/>
        <v>3753.8751493787154</v>
      </c>
      <c r="CR169" s="24">
        <f t="shared" si="1259"/>
        <v>4044.2331615624303</v>
      </c>
      <c r="CS169" s="24">
        <f t="shared" si="1259"/>
        <v>4785.2720342247394</v>
      </c>
      <c r="CT169" s="24">
        <f t="shared" si="1259"/>
        <v>5460.9493020720756</v>
      </c>
      <c r="CU169" s="24">
        <f t="shared" si="1259"/>
        <v>4298.3732359869882</v>
      </c>
      <c r="CV169" s="24">
        <f t="shared" si="1259"/>
        <v>4630.2429017218928</v>
      </c>
      <c r="CW169" s="24">
        <f t="shared" si="1259"/>
        <v>5481.4516109513861</v>
      </c>
      <c r="CX169" s="24">
        <f t="shared" si="1259"/>
        <v>6251.4729930370395</v>
      </c>
      <c r="CY169" s="24">
        <f t="shared" si="1259"/>
        <v>4922.8470673130596</v>
      </c>
      <c r="CZ169" s="24">
        <f t="shared" si="1259"/>
        <v>5302.3616250601981</v>
      </c>
      <c r="DA169" s="24">
        <f t="shared" si="1259"/>
        <v>6280.1623718836381</v>
      </c>
      <c r="DB169" s="24">
        <f t="shared" si="1259"/>
        <v>7158.1323256801688</v>
      </c>
      <c r="DE169" s="123"/>
      <c r="DF169" s="23">
        <v>3888.957219270404</v>
      </c>
    </row>
    <row r="170" spans="1:110" s="23" customFormat="1" outlineLevel="1" x14ac:dyDescent="0.2">
      <c r="A170" s="23" t="s">
        <v>63</v>
      </c>
      <c r="B170" s="23">
        <f>'Annual Raw'!C79</f>
        <v>0</v>
      </c>
      <c r="C170" s="23">
        <f>'Annual Raw'!D79</f>
        <v>0</v>
      </c>
      <c r="D170" s="23">
        <f>'Annual Raw'!E79</f>
        <v>0</v>
      </c>
      <c r="E170" s="23">
        <f>'Annual Raw'!F79</f>
        <v>0</v>
      </c>
      <c r="F170" s="23">
        <f>'Annual Raw'!G79</f>
        <v>0</v>
      </c>
      <c r="G170" s="23">
        <f>'Annual Raw'!H79</f>
        <v>0</v>
      </c>
      <c r="H170" s="23">
        <f>'Annual Raw'!I79</f>
        <v>0</v>
      </c>
      <c r="I170" s="23">
        <f>'Annual Raw'!J79</f>
        <v>0</v>
      </c>
      <c r="J170" s="23">
        <f>'Annual Raw'!K79</f>
        <v>0</v>
      </c>
      <c r="K170" s="23">
        <f>'Annual Raw'!L79</f>
        <v>0</v>
      </c>
      <c r="L170" s="23">
        <f>'Annual Raw'!M79</f>
        <v>65.816000000000003</v>
      </c>
      <c r="M170" s="23">
        <f>'Annual Raw'!N79</f>
        <v>49.877000000000002</v>
      </c>
      <c r="N170" s="23">
        <f>'Annual Raw'!O79</f>
        <v>9.9969999999999999</v>
      </c>
      <c r="O170" s="23">
        <f>'Annual Raw'!P79</f>
        <v>11.186</v>
      </c>
      <c r="P170" s="23">
        <f>'Annual Raw'!Q79</f>
        <v>15.738</v>
      </c>
      <c r="Q170" s="23">
        <f>'Annual Raw'!R79</f>
        <v>7.04</v>
      </c>
      <c r="R170" s="23">
        <f>'Annual Raw'!S79</f>
        <v>44.55</v>
      </c>
      <c r="S170" s="23">
        <f>'Annual Raw'!T79</f>
        <v>32.098999999999997</v>
      </c>
      <c r="T170" s="23">
        <f>'Annual Raw'!U79</f>
        <v>81.263000000000005</v>
      </c>
      <c r="U170" s="23">
        <f>'Annual Raw'!V79</f>
        <v>155.352</v>
      </c>
      <c r="V170" s="23">
        <f>'Annual Raw'!W79</f>
        <v>47.207000000000001</v>
      </c>
      <c r="W170" s="23">
        <f>'Annual Raw'!X79</f>
        <v>74.882000000000005</v>
      </c>
      <c r="X170" s="23">
        <f>'Annual Raw'!Y79</f>
        <v>58.191000000000003</v>
      </c>
      <c r="Y170" s="23">
        <f>'Annual Raw'!Z79</f>
        <v>75.521000000000001</v>
      </c>
      <c r="Z170" s="23">
        <f>'Annual Raw'!AA79</f>
        <v>154.06200000000001</v>
      </c>
      <c r="AA170" s="23">
        <f>'Annual Raw'!AB79</f>
        <v>207.28</v>
      </c>
      <c r="AB170" s="24">
        <f t="shared" si="1253"/>
        <v>2612.1103598287336</v>
      </c>
      <c r="AC170" s="24">
        <f t="shared" si="1254"/>
        <v>3083.8515269567665</v>
      </c>
      <c r="AD170" s="24">
        <f t="shared" si="1255"/>
        <v>3530.267993513743</v>
      </c>
      <c r="AE170" s="24">
        <f t="shared" si="1256"/>
        <v>4042.2673937535901</v>
      </c>
      <c r="AJ170" s="23">
        <f>+'QTR Raw'!D84</f>
        <v>0</v>
      </c>
      <c r="AK170" s="23">
        <f t="shared" si="1257"/>
        <v>0</v>
      </c>
      <c r="AL170" s="23">
        <f>+'QTR Raw'!F84</f>
        <v>0</v>
      </c>
      <c r="AM170" s="23">
        <f t="shared" si="1257"/>
        <v>0</v>
      </c>
      <c r="AN170" s="23">
        <f>+'QTR Raw'!H84</f>
        <v>0</v>
      </c>
      <c r="AO170" s="23">
        <f t="shared" si="1257"/>
        <v>0</v>
      </c>
      <c r="AP170" s="23">
        <f>+'QTR Raw'!J84</f>
        <v>0</v>
      </c>
      <c r="AQ170" s="23">
        <f t="shared" si="1257"/>
        <v>0</v>
      </c>
      <c r="AR170" s="23">
        <f>+'QTR Raw'!L84</f>
        <v>0</v>
      </c>
      <c r="AS170" s="23">
        <f t="shared" si="1257"/>
        <v>0</v>
      </c>
      <c r="AT170" s="23">
        <f>+'QTR Raw'!N84</f>
        <v>0</v>
      </c>
      <c r="AU170" s="23">
        <f t="shared" si="1257"/>
        <v>0</v>
      </c>
      <c r="AV170" s="23">
        <f>+'QTR Raw'!P84</f>
        <v>0</v>
      </c>
      <c r="AW170" s="23">
        <f t="shared" si="1257"/>
        <v>0</v>
      </c>
      <c r="AX170" s="23">
        <f>+'QTR Raw'!R84</f>
        <v>0</v>
      </c>
      <c r="AY170" s="23">
        <f t="shared" si="1257"/>
        <v>0</v>
      </c>
      <c r="AZ170" s="23">
        <f>+'QTR Raw'!T84</f>
        <v>0</v>
      </c>
      <c r="BA170" s="23">
        <f t="shared" si="1257"/>
        <v>0</v>
      </c>
      <c r="BB170" s="23">
        <f>+'QTR Raw'!V84</f>
        <v>0</v>
      </c>
      <c r="BC170" s="23">
        <f t="shared" si="1257"/>
        <v>0</v>
      </c>
      <c r="BD170" s="23">
        <f>+'QTR Raw'!X84</f>
        <v>0</v>
      </c>
      <c r="BE170" s="23">
        <f t="shared" si="1257"/>
        <v>0</v>
      </c>
      <c r="BF170" s="23">
        <f>+'QTR Raw'!Z84</f>
        <v>243.476</v>
      </c>
      <c r="BG170" s="23">
        <f t="shared" si="1257"/>
        <v>243.476</v>
      </c>
      <c r="BH170" s="23">
        <f>+'QTR Raw'!AB84</f>
        <v>0</v>
      </c>
      <c r="BI170" s="23">
        <f t="shared" si="1257"/>
        <v>0</v>
      </c>
      <c r="BJ170" s="23">
        <f>+'QTR Raw'!AD84</f>
        <v>256.69299999999998</v>
      </c>
      <c r="BK170" s="23">
        <f t="shared" si="1257"/>
        <v>256.69299999999998</v>
      </c>
      <c r="BL170" s="23">
        <f>+'QTR Raw'!AF84</f>
        <v>268.24799999999999</v>
      </c>
      <c r="BM170" s="23">
        <f t="shared" si="1257"/>
        <v>268.24799999999999</v>
      </c>
      <c r="BN170" s="23">
        <f>+'QTR Raw'!AH84</f>
        <v>345.577</v>
      </c>
      <c r="BO170" s="23">
        <f t="shared" si="1257"/>
        <v>345.577</v>
      </c>
      <c r="BP170" s="23">
        <f>+'QTR Raw'!AJ84</f>
        <v>260.05399999999997</v>
      </c>
      <c r="BQ170" s="23">
        <f t="shared" si="1257"/>
        <v>260.05399999999997</v>
      </c>
      <c r="BR170" s="23">
        <f>+'QTR Raw'!AL84</f>
        <v>182.255</v>
      </c>
      <c r="BS170" s="23">
        <f t="shared" si="1257"/>
        <v>182.255</v>
      </c>
      <c r="BT170" s="23">
        <f>+'QTR Raw'!AN84</f>
        <v>365.67700000000002</v>
      </c>
      <c r="BU170" s="23">
        <f t="shared" si="1257"/>
        <v>365.67700000000002</v>
      </c>
      <c r="BV170" s="23">
        <f>+'QTR Raw'!AP84</f>
        <v>461.24599999999998</v>
      </c>
      <c r="BW170" s="23">
        <f t="shared" si="1257"/>
        <v>461.24599999999998</v>
      </c>
      <c r="BX170" s="23">
        <f>+'QTR Raw'!AR84</f>
        <v>622.29399999999998</v>
      </c>
      <c r="BY170" s="23">
        <f t="shared" si="1257"/>
        <v>622.29399999999998</v>
      </c>
      <c r="BZ170" s="23">
        <f>+'QTR Raw'!AT84</f>
        <v>654.68399999999997</v>
      </c>
      <c r="CA170" s="23">
        <f t="shared" si="1257"/>
        <v>654.68399999999997</v>
      </c>
      <c r="CB170" s="23">
        <f>+'QTR Raw'!AV84</f>
        <v>629.01099999999997</v>
      </c>
      <c r="CC170" s="23">
        <f t="shared" si="1257"/>
        <v>629.01099999999997</v>
      </c>
      <c r="CD170" s="23">
        <f>+'QTR Raw'!AX84</f>
        <v>756.32899999999995</v>
      </c>
      <c r="CE170" s="23">
        <f t="shared" si="1257"/>
        <v>756.32899999999995</v>
      </c>
      <c r="CF170" s="23">
        <f>+'QTR Raw'!AZ84</f>
        <v>627.89700000000005</v>
      </c>
      <c r="CG170" s="23">
        <f t="shared" ref="CG170:CG171" si="1260">+CF170</f>
        <v>627.89700000000005</v>
      </c>
      <c r="CH170" s="23">
        <f t="shared" si="1235"/>
        <v>154.06200000000001</v>
      </c>
      <c r="CI170" s="23">
        <f>CI34/90*CI205</f>
        <v>1058.6053711052057</v>
      </c>
      <c r="CJ170" s="23">
        <f>+'QTR Raw'!BD84</f>
        <v>763.27099999999996</v>
      </c>
      <c r="CK170" s="23">
        <f t="shared" ref="CK170:DB170" si="1261">CK34/90*CK205</f>
        <v>2357.2667769013565</v>
      </c>
      <c r="CL170" s="23">
        <f>+'QTR Raw'!BF84</f>
        <v>1041.2619999999999</v>
      </c>
      <c r="CM170" s="24">
        <f t="shared" si="1261"/>
        <v>1757.9066070708977</v>
      </c>
      <c r="CN170" s="24">
        <f t="shared" si="1261"/>
        <v>1908.2774169710958</v>
      </c>
      <c r="CO170" s="24">
        <f t="shared" si="1261"/>
        <v>2270.3800719760015</v>
      </c>
      <c r="CP170" s="24">
        <f t="shared" si="1261"/>
        <v>2612.1103598287336</v>
      </c>
      <c r="CQ170" s="24">
        <f t="shared" si="1261"/>
        <v>2119.8500427433232</v>
      </c>
      <c r="CR170" s="24">
        <f t="shared" si="1261"/>
        <v>2283.8180544765805</v>
      </c>
      <c r="CS170" s="24">
        <f t="shared" si="1261"/>
        <v>2702.2899597416376</v>
      </c>
      <c r="CT170" s="24">
        <f t="shared" si="1261"/>
        <v>3083.8515269567665</v>
      </c>
      <c r="CU170" s="24">
        <f t="shared" si="1261"/>
        <v>2427.333442227517</v>
      </c>
      <c r="CV170" s="24">
        <f t="shared" si="1261"/>
        <v>2614.7434910699212</v>
      </c>
      <c r="CW170" s="24">
        <f t="shared" si="1261"/>
        <v>3095.4293814736743</v>
      </c>
      <c r="CX170" s="24">
        <f t="shared" si="1261"/>
        <v>3530.267993513743</v>
      </c>
      <c r="CY170" s="24">
        <f t="shared" si="1261"/>
        <v>2779.9799276194872</v>
      </c>
      <c r="CZ170" s="24">
        <f t="shared" si="1261"/>
        <v>2994.2955133669607</v>
      </c>
      <c r="DA170" s="24">
        <f t="shared" si="1261"/>
        <v>3546.4691665826731</v>
      </c>
      <c r="DB170" s="24">
        <f t="shared" si="1261"/>
        <v>4042.2673937535901</v>
      </c>
      <c r="DE170" s="123"/>
      <c r="DF170" s="23">
        <v>2762.7530609298524</v>
      </c>
    </row>
    <row r="171" spans="1:110" s="23" customFormat="1" outlineLevel="1" x14ac:dyDescent="0.2">
      <c r="A171" s="23" t="s">
        <v>64</v>
      </c>
      <c r="B171" s="23">
        <f>'Annual Raw'!C80</f>
        <v>0</v>
      </c>
      <c r="C171" s="23">
        <f>'Annual Raw'!D80</f>
        <v>0</v>
      </c>
      <c r="D171" s="23">
        <f>'Annual Raw'!E80</f>
        <v>0</v>
      </c>
      <c r="E171" s="23">
        <f>'Annual Raw'!F80</f>
        <v>0</v>
      </c>
      <c r="F171" s="23">
        <f>'Annual Raw'!G80</f>
        <v>0</v>
      </c>
      <c r="G171" s="23">
        <f>'Annual Raw'!H80</f>
        <v>0</v>
      </c>
      <c r="H171" s="23">
        <f>'Annual Raw'!I80</f>
        <v>0</v>
      </c>
      <c r="I171" s="23">
        <f>'Annual Raw'!J80</f>
        <v>250.43403430000001</v>
      </c>
      <c r="J171" s="23">
        <f>'Annual Raw'!K80</f>
        <v>276.7284732</v>
      </c>
      <c r="K171" s="23">
        <f>'Annual Raw'!L80</f>
        <v>231.62753470000001</v>
      </c>
      <c r="L171" s="23">
        <f>'Annual Raw'!M80</f>
        <v>131.983</v>
      </c>
      <c r="M171" s="23">
        <f>'Annual Raw'!N80</f>
        <v>77.301000000000002</v>
      </c>
      <c r="N171" s="23">
        <f>'Annual Raw'!O80</f>
        <v>83.6</v>
      </c>
      <c r="O171" s="23">
        <f>'Annual Raw'!P80</f>
        <v>178.18899999999999</v>
      </c>
      <c r="P171" s="23">
        <f>'Annual Raw'!Q80</f>
        <v>213.27699999999999</v>
      </c>
      <c r="Q171" s="23">
        <f>'Annual Raw'!R80</f>
        <v>238.04</v>
      </c>
      <c r="R171" s="23">
        <f>'Annual Raw'!S80</f>
        <v>311.31400000000002</v>
      </c>
      <c r="S171" s="23">
        <f>'Annual Raw'!T80</f>
        <v>226.381</v>
      </c>
      <c r="T171" s="23">
        <f>'Annual Raw'!U80</f>
        <v>196.148</v>
      </c>
      <c r="U171" s="23">
        <f>'Annual Raw'!V80</f>
        <v>214.66200000000001</v>
      </c>
      <c r="V171" s="23">
        <f>'Annual Raw'!W80</f>
        <v>147.31399999999999</v>
      </c>
      <c r="W171" s="23">
        <f>'Annual Raw'!X80</f>
        <v>399.04399999999998</v>
      </c>
      <c r="X171" s="23">
        <f>'Annual Raw'!Y80</f>
        <v>606.84</v>
      </c>
      <c r="Y171" s="23">
        <f>'Annual Raw'!Z80</f>
        <v>691.43399999999997</v>
      </c>
      <c r="Z171" s="23">
        <f>'Annual Raw'!AA80</f>
        <v>387.68799999999999</v>
      </c>
      <c r="AA171" s="23">
        <f>'Annual Raw'!AB80</f>
        <v>845.21299999999997</v>
      </c>
      <c r="AB171" s="24">
        <f t="shared" si="1253"/>
        <v>0</v>
      </c>
      <c r="AC171" s="24">
        <f t="shared" si="1254"/>
        <v>0</v>
      </c>
      <c r="AD171" s="24">
        <f t="shared" si="1255"/>
        <v>0</v>
      </c>
      <c r="AE171" s="24">
        <f t="shared" si="1256"/>
        <v>0</v>
      </c>
      <c r="AJ171" s="23">
        <f>+'QTR Raw'!D85</f>
        <v>0</v>
      </c>
      <c r="AK171" s="23">
        <f t="shared" si="1257"/>
        <v>0</v>
      </c>
      <c r="AL171" s="23">
        <f>+'QTR Raw'!F85</f>
        <v>0</v>
      </c>
      <c r="AM171" s="23">
        <f t="shared" si="1257"/>
        <v>0</v>
      </c>
      <c r="AN171" s="23">
        <f>+'QTR Raw'!H85</f>
        <v>0</v>
      </c>
      <c r="AO171" s="23">
        <f t="shared" si="1257"/>
        <v>0</v>
      </c>
      <c r="AP171" s="23">
        <f>+'QTR Raw'!J85</f>
        <v>0</v>
      </c>
      <c r="AQ171" s="23">
        <f t="shared" si="1257"/>
        <v>0</v>
      </c>
      <c r="AR171" s="23">
        <f>+'QTR Raw'!L85</f>
        <v>0</v>
      </c>
      <c r="AS171" s="23">
        <f t="shared" si="1257"/>
        <v>0</v>
      </c>
      <c r="AT171" s="23">
        <f>+'QTR Raw'!N85</f>
        <v>0</v>
      </c>
      <c r="AU171" s="23">
        <f t="shared" si="1257"/>
        <v>0</v>
      </c>
      <c r="AV171" s="23">
        <f>+'QTR Raw'!P85</f>
        <v>0</v>
      </c>
      <c r="AW171" s="23">
        <f t="shared" si="1257"/>
        <v>0</v>
      </c>
      <c r="AX171" s="23">
        <f>+'QTR Raw'!R85</f>
        <v>0</v>
      </c>
      <c r="AY171" s="23">
        <f t="shared" si="1257"/>
        <v>0</v>
      </c>
      <c r="AZ171" s="23">
        <f>+'QTR Raw'!T85</f>
        <v>0</v>
      </c>
      <c r="BA171" s="23">
        <f t="shared" si="1257"/>
        <v>0</v>
      </c>
      <c r="BB171" s="23">
        <f>+'QTR Raw'!V85</f>
        <v>0</v>
      </c>
      <c r="BC171" s="23">
        <f t="shared" si="1257"/>
        <v>0</v>
      </c>
      <c r="BD171" s="23">
        <f>+'QTR Raw'!X85</f>
        <v>0</v>
      </c>
      <c r="BE171" s="23">
        <f t="shared" si="1257"/>
        <v>0</v>
      </c>
      <c r="BF171" s="23">
        <f>+'QTR Raw'!Z85</f>
        <v>15.273999999999999</v>
      </c>
      <c r="BG171" s="23">
        <f t="shared" si="1257"/>
        <v>15.273999999999999</v>
      </c>
      <c r="BH171" s="23">
        <f>+'QTR Raw'!AB85</f>
        <v>0</v>
      </c>
      <c r="BI171" s="23">
        <f t="shared" si="1257"/>
        <v>0</v>
      </c>
      <c r="BJ171" s="23">
        <f>+'QTR Raw'!AD85</f>
        <v>20.74</v>
      </c>
      <c r="BK171" s="23">
        <f t="shared" si="1257"/>
        <v>20.74</v>
      </c>
      <c r="BL171" s="23">
        <f>+'QTR Raw'!AF85</f>
        <v>18.622</v>
      </c>
      <c r="BM171" s="23">
        <f t="shared" si="1257"/>
        <v>18.622</v>
      </c>
      <c r="BN171" s="23">
        <f>+'QTR Raw'!AH85</f>
        <v>24.437000000000001</v>
      </c>
      <c r="BO171" s="23">
        <f t="shared" si="1257"/>
        <v>24.437000000000001</v>
      </c>
      <c r="BP171" s="23">
        <f>+'QTR Raw'!AJ85</f>
        <v>20.506</v>
      </c>
      <c r="BQ171" s="23">
        <f t="shared" si="1257"/>
        <v>20.506</v>
      </c>
      <c r="BR171" s="23">
        <f>+'QTR Raw'!AL85</f>
        <v>12.266</v>
      </c>
      <c r="BS171" s="23">
        <f t="shared" si="1257"/>
        <v>12.266</v>
      </c>
      <c r="BT171" s="23">
        <f>+'QTR Raw'!AN85</f>
        <v>14.462999999999999</v>
      </c>
      <c r="BU171" s="23">
        <f t="shared" si="1257"/>
        <v>14.462999999999999</v>
      </c>
      <c r="BV171" s="23">
        <f>+'QTR Raw'!AP85</f>
        <v>12.68</v>
      </c>
      <c r="BW171" s="23">
        <f t="shared" si="1257"/>
        <v>12.68</v>
      </c>
      <c r="BX171" s="23">
        <f>+'QTR Raw'!AR85</f>
        <v>10.875</v>
      </c>
      <c r="BY171" s="23">
        <f t="shared" si="1257"/>
        <v>10.875</v>
      </c>
      <c r="BZ171" s="23">
        <f>+'QTR Raw'!AT85</f>
        <v>10.347</v>
      </c>
      <c r="CA171" s="23">
        <f t="shared" si="1257"/>
        <v>10.347</v>
      </c>
      <c r="CB171" s="23">
        <f>+'QTR Raw'!AV85</f>
        <v>10.849</v>
      </c>
      <c r="CC171" s="23">
        <f t="shared" si="1257"/>
        <v>10.849</v>
      </c>
      <c r="CD171" s="23">
        <f>+'QTR Raw'!AX85</f>
        <v>10.625999999999999</v>
      </c>
      <c r="CE171" s="23">
        <f t="shared" si="1257"/>
        <v>10.625999999999999</v>
      </c>
      <c r="CF171" s="23">
        <f>+'QTR Raw'!AZ85</f>
        <v>10.714</v>
      </c>
      <c r="CG171" s="23">
        <f t="shared" si="1260"/>
        <v>10.714</v>
      </c>
      <c r="CH171" s="23">
        <f t="shared" si="1235"/>
        <v>387.68799999999999</v>
      </c>
      <c r="CJ171" s="23">
        <f>+'QTR Raw'!BD85</f>
        <v>11.016</v>
      </c>
      <c r="CL171" s="23">
        <f>+'QTR Raw'!BF85</f>
        <v>11.231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11.231</v>
      </c>
    </row>
    <row r="172" spans="1:110" s="22" customFormat="1" x14ac:dyDescent="0.2">
      <c r="A172" s="22" t="s">
        <v>65</v>
      </c>
      <c r="B172" s="22">
        <f>SUM(B166:B171)</f>
        <v>0</v>
      </c>
      <c r="C172" s="22">
        <f t="shared" ref="C172:V172" si="1262">SUM(C166:C171)</f>
        <v>0</v>
      </c>
      <c r="D172" s="22">
        <f t="shared" si="1262"/>
        <v>0</v>
      </c>
      <c r="E172" s="22">
        <f t="shared" si="1262"/>
        <v>0</v>
      </c>
      <c r="F172" s="22">
        <f t="shared" si="1262"/>
        <v>0</v>
      </c>
      <c r="G172" s="22">
        <f t="shared" si="1262"/>
        <v>0</v>
      </c>
      <c r="H172" s="22">
        <f t="shared" si="1262"/>
        <v>0</v>
      </c>
      <c r="I172" s="22">
        <f t="shared" si="1262"/>
        <v>1225.4704274999999</v>
      </c>
      <c r="J172" s="22">
        <f t="shared" si="1262"/>
        <v>1234.4772229</v>
      </c>
      <c r="K172" s="22">
        <f t="shared" si="1262"/>
        <v>1874.2820334000003</v>
      </c>
      <c r="L172" s="22">
        <f>SUM(L166:L171)</f>
        <v>2257.953</v>
      </c>
      <c r="M172" s="22">
        <f>SUM(M166:M171)</f>
        <v>2070.2449999999999</v>
      </c>
      <c r="N172" s="22">
        <f t="shared" si="1262"/>
        <v>1836.576</v>
      </c>
      <c r="O172" s="22">
        <f t="shared" si="1262"/>
        <v>1726.0839999999998</v>
      </c>
      <c r="P172" s="22">
        <f t="shared" si="1262"/>
        <v>2283.2139999999999</v>
      </c>
      <c r="Q172" s="22">
        <f t="shared" si="1262"/>
        <v>2677.58</v>
      </c>
      <c r="R172" s="22">
        <f t="shared" si="1262"/>
        <v>3196.47</v>
      </c>
      <c r="S172" s="22">
        <f t="shared" si="1262"/>
        <v>3072.7930000000001</v>
      </c>
      <c r="T172" s="22">
        <f t="shared" si="1262"/>
        <v>3813.6800000000003</v>
      </c>
      <c r="U172" s="22">
        <f t="shared" si="1262"/>
        <v>3950.6059999999998</v>
      </c>
      <c r="V172" s="22">
        <f t="shared" si="1262"/>
        <v>3879.7870000000003</v>
      </c>
      <c r="W172" s="22">
        <f t="shared" ref="W172" si="1263">SUM(W166:W171)</f>
        <v>4180.8920000000007</v>
      </c>
      <c r="X172" s="22">
        <f t="shared" ref="X172:Y172" si="1264">SUM(X166:X171)</f>
        <v>5060.6869999999999</v>
      </c>
      <c r="Y172" s="22">
        <f t="shared" si="1264"/>
        <v>6925.2740000000003</v>
      </c>
      <c r="Z172" s="22">
        <f t="shared" ref="Z172:AA172" si="1265">SUM(Z166:Z171)</f>
        <v>7509.7240000000002</v>
      </c>
      <c r="AA172" s="22">
        <f t="shared" si="1265"/>
        <v>11297.939</v>
      </c>
      <c r="AB172" s="21">
        <f t="shared" ref="AA172:AD172" si="1266">SUM(AB166:AB171)</f>
        <v>13352.572681480953</v>
      </c>
      <c r="AC172" s="21">
        <f t="shared" si="1266"/>
        <v>15764.016821741823</v>
      </c>
      <c r="AD172" s="21">
        <f t="shared" si="1266"/>
        <v>18046.006284201889</v>
      </c>
      <c r="AE172" s="21">
        <f t="shared" ref="AE172" si="1267">SUM(AE166:AE171)</f>
        <v>20663.242259264392</v>
      </c>
      <c r="AJ172" s="22">
        <f t="shared" ref="AJ172" si="1268">SUM(AJ166:AJ171)</f>
        <v>0</v>
      </c>
      <c r="AK172" s="22" t="e">
        <f t="shared" ref="AK172" si="1269">SUM(AK166:AK171)</f>
        <v>#DIV/0!</v>
      </c>
      <c r="AL172" s="22">
        <f t="shared" ref="AL172:AM172" si="1270">SUM(AL166:AL171)</f>
        <v>0</v>
      </c>
      <c r="AM172" s="22" t="e">
        <f t="shared" si="1270"/>
        <v>#DIV/0!</v>
      </c>
      <c r="AN172" s="22">
        <f t="shared" ref="AN172:AO172" si="1271">SUM(AN166:AN171)</f>
        <v>0</v>
      </c>
      <c r="AO172" s="22" t="e">
        <f t="shared" si="1271"/>
        <v>#DIV/0!</v>
      </c>
      <c r="AP172" s="22">
        <f t="shared" ref="AP172:CE172" si="1272">SUM(AP166:AP171)</f>
        <v>0</v>
      </c>
      <c r="AQ172" s="22" t="e">
        <f t="shared" si="1272"/>
        <v>#DIV/0!</v>
      </c>
      <c r="AR172" s="22">
        <f t="shared" si="1272"/>
        <v>0</v>
      </c>
      <c r="AS172" s="22" t="e">
        <f t="shared" si="1272"/>
        <v>#DIV/0!</v>
      </c>
      <c r="AT172" s="22">
        <f t="shared" si="1272"/>
        <v>0</v>
      </c>
      <c r="AU172" s="22" t="e">
        <f t="shared" si="1272"/>
        <v>#DIV/0!</v>
      </c>
      <c r="AV172" s="22">
        <f t="shared" si="1272"/>
        <v>0</v>
      </c>
      <c r="AW172" s="22" t="e">
        <f t="shared" si="1272"/>
        <v>#DIV/0!</v>
      </c>
      <c r="AX172" s="22">
        <f t="shared" si="1272"/>
        <v>0</v>
      </c>
      <c r="AY172" s="22" t="e">
        <f t="shared" si="1272"/>
        <v>#DIV/0!</v>
      </c>
      <c r="AZ172" s="22">
        <f t="shared" si="1272"/>
        <v>0</v>
      </c>
      <c r="BA172" s="22" t="e">
        <f t="shared" si="1272"/>
        <v>#DIV/0!</v>
      </c>
      <c r="BB172" s="22">
        <f t="shared" si="1272"/>
        <v>0</v>
      </c>
      <c r="BC172" s="22" t="e">
        <f t="shared" si="1272"/>
        <v>#DIV/0!</v>
      </c>
      <c r="BD172" s="22">
        <f t="shared" si="1272"/>
        <v>0</v>
      </c>
      <c r="BE172" s="22" t="e">
        <f t="shared" si="1272"/>
        <v>#DIV/0!</v>
      </c>
      <c r="BF172" s="22">
        <f t="shared" si="1272"/>
        <v>3072.7930000000001</v>
      </c>
      <c r="BG172" s="22">
        <f t="shared" si="1272"/>
        <v>2534.5024943433136</v>
      </c>
      <c r="BH172" s="22">
        <f t="shared" si="1272"/>
        <v>0</v>
      </c>
      <c r="BI172" s="22">
        <f t="shared" si="1272"/>
        <v>0</v>
      </c>
      <c r="BJ172" s="22">
        <f t="shared" si="1272"/>
        <v>3813.6800000000003</v>
      </c>
      <c r="BK172" s="22">
        <f t="shared" si="1272"/>
        <v>3121.1794980120903</v>
      </c>
      <c r="BL172" s="22">
        <f t="shared" si="1272"/>
        <v>3573.8319999999999</v>
      </c>
      <c r="BM172" s="22">
        <f t="shared" si="1272"/>
        <v>3932.5053021347994</v>
      </c>
      <c r="BN172" s="22">
        <f t="shared" si="1272"/>
        <v>3984.3980000000001</v>
      </c>
      <c r="BO172" s="22">
        <f t="shared" si="1272"/>
        <v>2166.1495976511487</v>
      </c>
      <c r="BP172" s="22">
        <f t="shared" si="1272"/>
        <v>3646.7099999999996</v>
      </c>
      <c r="BQ172" s="22">
        <f t="shared" si="1272"/>
        <v>4581.8374903708327</v>
      </c>
      <c r="BR172" s="22">
        <f t="shared" si="1272"/>
        <v>3913.8870000000002</v>
      </c>
      <c r="BS172" s="22">
        <f t="shared" si="1272"/>
        <v>2648.6403319102842</v>
      </c>
      <c r="BT172" s="22">
        <f t="shared" si="1272"/>
        <v>4097.4660000000003</v>
      </c>
      <c r="BU172" s="22">
        <f t="shared" si="1272"/>
        <v>4492.1002972917504</v>
      </c>
      <c r="BV172" s="22">
        <f t="shared" si="1272"/>
        <v>4216.0280000000002</v>
      </c>
      <c r="BW172" s="22">
        <f t="shared" si="1272"/>
        <v>3129.8506897691218</v>
      </c>
      <c r="BX172" s="22">
        <f t="shared" si="1272"/>
        <v>4223.6760000000004</v>
      </c>
      <c r="BY172" s="22">
        <f t="shared" si="1272"/>
        <v>4611.2067818355654</v>
      </c>
      <c r="BZ172" s="22">
        <f t="shared" si="1272"/>
        <v>5096.8689999999997</v>
      </c>
      <c r="CA172" s="22">
        <f t="shared" si="1272"/>
        <v>4675.1962364404317</v>
      </c>
      <c r="CB172" s="22">
        <f t="shared" si="1272"/>
        <v>5775.4140000000007</v>
      </c>
      <c r="CC172" s="22">
        <f t="shared" si="1272"/>
        <v>5913.7547043208651</v>
      </c>
      <c r="CD172" s="22">
        <f t="shared" si="1272"/>
        <v>6998.1</v>
      </c>
      <c r="CE172" s="22">
        <f t="shared" si="1272"/>
        <v>6083.4007767822886</v>
      </c>
      <c r="CF172" s="22">
        <f t="shared" ref="CF172:CG172" si="1273">SUM(CF166:CF171)</f>
        <v>7890.2910000000002</v>
      </c>
      <c r="CG172" s="22">
        <f t="shared" si="1273"/>
        <v>7563.6200548304487</v>
      </c>
      <c r="CH172" s="22">
        <f t="shared" ref="CH172:CI172" si="1274">SUM(CH166:CH171)</f>
        <v>7509.7240000000002</v>
      </c>
      <c r="CI172" s="22">
        <f t="shared" si="1274"/>
        <v>6348.9167179789629</v>
      </c>
      <c r="CJ172" s="22">
        <f t="shared" ref="CJ172:DB172" si="1275">SUM(CJ166:CJ171)</f>
        <v>10232.284</v>
      </c>
      <c r="CK172" s="22">
        <f t="shared" si="1275"/>
        <v>12063.067013928065</v>
      </c>
      <c r="CL172" s="22">
        <f t="shared" ref="CL172" si="1276">SUM(CL166:CL171)</f>
        <v>11440.566000000001</v>
      </c>
      <c r="CM172" s="21">
        <f t="shared" si="1275"/>
        <v>9230.7882742949041</v>
      </c>
      <c r="CN172" s="21">
        <f t="shared" si="1275"/>
        <v>9754.7229620902963</v>
      </c>
      <c r="CO172" s="21">
        <f t="shared" si="1275"/>
        <v>11605.717504077124</v>
      </c>
      <c r="CP172" s="21">
        <f t="shared" si="1275"/>
        <v>13352.572681480953</v>
      </c>
      <c r="CQ172" s="21">
        <f t="shared" si="1275"/>
        <v>10836.238853027102</v>
      </c>
      <c r="CR172" s="21">
        <f t="shared" si="1275"/>
        <v>11674.409715857644</v>
      </c>
      <c r="CS172" s="21">
        <f t="shared" si="1275"/>
        <v>13813.552309578625</v>
      </c>
      <c r="CT172" s="21">
        <f t="shared" si="1275"/>
        <v>15764.016821741823</v>
      </c>
      <c r="CU172" s="21">
        <f t="shared" si="1275"/>
        <v>12408.030957641984</v>
      </c>
      <c r="CV172" s="21">
        <f t="shared" si="1275"/>
        <v>13366.032708598697</v>
      </c>
      <c r="CW172" s="21">
        <f t="shared" si="1275"/>
        <v>15823.200440592736</v>
      </c>
      <c r="CX172" s="21">
        <f t="shared" si="1275"/>
        <v>18046.006284201889</v>
      </c>
      <c r="CY172" s="21">
        <f t="shared" si="1275"/>
        <v>14210.687499065381</v>
      </c>
      <c r="CZ172" s="21">
        <f t="shared" si="1275"/>
        <v>15306.224839093746</v>
      </c>
      <c r="DA172" s="21">
        <f t="shared" si="1275"/>
        <v>18128.823359718685</v>
      </c>
      <c r="DB172" s="21">
        <f t="shared" si="1275"/>
        <v>20663.242259264392</v>
      </c>
      <c r="DE172" s="126"/>
      <c r="DF172" s="22">
        <v>14138.100805349079</v>
      </c>
    </row>
    <row r="173" spans="1:110" s="23" customFormat="1" outlineLevel="1" x14ac:dyDescent="0.2">
      <c r="A173" s="23" t="s">
        <v>66</v>
      </c>
      <c r="B173" s="23">
        <f>'Annual Raw'!C50+'Annual Raw'!C58</f>
        <v>0</v>
      </c>
      <c r="C173" s="23">
        <f>'Annual Raw'!D50+'Annual Raw'!D58</f>
        <v>0</v>
      </c>
      <c r="D173" s="23">
        <f>'Annual Raw'!E50+'Annual Raw'!E58</f>
        <v>0</v>
      </c>
      <c r="E173" s="23">
        <f>'Annual Raw'!F50+'Annual Raw'!F58</f>
        <v>0</v>
      </c>
      <c r="F173" s="23">
        <f>'Annual Raw'!G50+'Annual Raw'!G58</f>
        <v>0</v>
      </c>
      <c r="G173" s="23">
        <f>'Annual Raw'!H50+'Annual Raw'!H58</f>
        <v>0</v>
      </c>
      <c r="H173" s="23">
        <f>'Annual Raw'!I50+'Annual Raw'!I58</f>
        <v>0</v>
      </c>
      <c r="I173" s="23">
        <f>'Annual Raw'!J50+'Annual Raw'!J58</f>
        <v>0</v>
      </c>
      <c r="J173" s="23">
        <f>'Annual Raw'!K50+'Annual Raw'!K58</f>
        <v>0</v>
      </c>
      <c r="K173" s="23">
        <f>'Annual Raw'!L50+'Annual Raw'!L58</f>
        <v>0</v>
      </c>
      <c r="L173" s="23">
        <f>'Annual Raw'!M50+'Annual Raw'!M58</f>
        <v>0</v>
      </c>
      <c r="M173" s="23">
        <f>'Annual Raw'!N50+'Annual Raw'!N58</f>
        <v>0</v>
      </c>
      <c r="N173" s="23">
        <f>'Annual Raw'!O50+'Annual Raw'!O58</f>
        <v>0.59</v>
      </c>
      <c r="O173" s="23">
        <f>'Annual Raw'!P50+'Annual Raw'!P58</f>
        <v>0</v>
      </c>
      <c r="P173" s="23">
        <f>'Annual Raw'!Q50+'Annual Raw'!Q58</f>
        <v>0</v>
      </c>
      <c r="Q173" s="23">
        <f>'Annual Raw'!R50+'Annual Raw'!R58</f>
        <v>10.86</v>
      </c>
      <c r="R173" s="23">
        <f>'Annual Raw'!S50+'Annual Raw'!S58</f>
        <v>19.463000000000001</v>
      </c>
      <c r="S173" s="23">
        <f>'Annual Raw'!T50+'Annual Raw'!T58</f>
        <v>18.22</v>
      </c>
      <c r="T173" s="23">
        <f>'Annual Raw'!U50+'Annual Raw'!U58</f>
        <v>25.704000000000001</v>
      </c>
      <c r="U173" s="23">
        <f>'Annual Raw'!V50+'Annual Raw'!V58</f>
        <v>47.308</v>
      </c>
      <c r="V173" s="23">
        <f>'Annual Raw'!W50+'Annual Raw'!W58</f>
        <v>56.73</v>
      </c>
      <c r="W173" s="23">
        <f>'Annual Raw'!X50+'Annual Raw'!X58</f>
        <v>45.180999999999997</v>
      </c>
      <c r="X173" s="23">
        <f>'Annual Raw'!Y50+'Annual Raw'!Y58</f>
        <v>38.951000000000001</v>
      </c>
      <c r="Y173" s="23">
        <f>'Annual Raw'!Z50+'Annual Raw'!Z58</f>
        <v>120.548</v>
      </c>
      <c r="Z173" s="23">
        <f>'Annual Raw'!AA50+'Annual Raw'!AA58</f>
        <v>170.03800000000001</v>
      </c>
      <c r="AA173" s="23">
        <f>'Annual Raw'!AB50+'Annual Raw'!AB58</f>
        <v>236.10599999999999</v>
      </c>
      <c r="AB173" s="24">
        <f t="shared" ref="AB173:AB179" si="1277">+CP173</f>
        <v>0</v>
      </c>
      <c r="AC173" s="24">
        <f t="shared" ref="AC173:AC179" si="1278">+CT173</f>
        <v>0</v>
      </c>
      <c r="AD173" s="24">
        <f t="shared" ref="AD173:AD179" si="1279">+CX173</f>
        <v>0</v>
      </c>
      <c r="AE173" s="24">
        <f t="shared" ref="AE173:AE179" si="1280">+DB173</f>
        <v>0</v>
      </c>
      <c r="AJ173" s="23">
        <f>+'QTR Raw'!D64</f>
        <v>0</v>
      </c>
      <c r="AK173" s="23">
        <f t="shared" ref="AK173:CE179" si="1281">+AJ173</f>
        <v>0</v>
      </c>
      <c r="AL173" s="23">
        <f>+'QTR Raw'!F64</f>
        <v>0</v>
      </c>
      <c r="AM173" s="23">
        <f t="shared" si="1281"/>
        <v>0</v>
      </c>
      <c r="AN173" s="23">
        <f>+'QTR Raw'!H64</f>
        <v>0</v>
      </c>
      <c r="AO173" s="23">
        <f t="shared" si="1281"/>
        <v>0</v>
      </c>
      <c r="AP173" s="23">
        <f>+'QTR Raw'!J64</f>
        <v>0</v>
      </c>
      <c r="AQ173" s="23">
        <f t="shared" si="1281"/>
        <v>0</v>
      </c>
      <c r="AR173" s="23">
        <f>+'QTR Raw'!L64</f>
        <v>0</v>
      </c>
      <c r="AS173" s="23">
        <f t="shared" si="1281"/>
        <v>0</v>
      </c>
      <c r="AT173" s="23">
        <f>+'QTR Raw'!N64</f>
        <v>0</v>
      </c>
      <c r="AU173" s="23">
        <f t="shared" si="1281"/>
        <v>0</v>
      </c>
      <c r="AV173" s="23">
        <f>+'QTR Raw'!P64</f>
        <v>0</v>
      </c>
      <c r="AW173" s="23">
        <f t="shared" si="1281"/>
        <v>0</v>
      </c>
      <c r="AX173" s="23">
        <f>+'QTR Raw'!R64</f>
        <v>0</v>
      </c>
      <c r="AY173" s="23">
        <f t="shared" si="1281"/>
        <v>0</v>
      </c>
      <c r="AZ173" s="23">
        <f>+'QTR Raw'!T64</f>
        <v>0</v>
      </c>
      <c r="BA173" s="23">
        <f t="shared" si="1281"/>
        <v>0</v>
      </c>
      <c r="BB173" s="23">
        <f>+'QTR Raw'!V64</f>
        <v>0</v>
      </c>
      <c r="BC173" s="23">
        <f t="shared" si="1281"/>
        <v>0</v>
      </c>
      <c r="BD173" s="23">
        <f>+'QTR Raw'!X64</f>
        <v>0</v>
      </c>
      <c r="BE173" s="23">
        <f t="shared" si="1281"/>
        <v>0</v>
      </c>
      <c r="BF173" s="23">
        <f>+'QTR Raw'!Z64</f>
        <v>18.22</v>
      </c>
      <c r="BG173" s="23">
        <f t="shared" si="1281"/>
        <v>18.22</v>
      </c>
      <c r="BH173" s="23">
        <f>+'QTR Raw'!AB64</f>
        <v>0</v>
      </c>
      <c r="BI173" s="23">
        <f t="shared" si="1281"/>
        <v>0</v>
      </c>
      <c r="BJ173" s="23">
        <f>+'QTR Raw'!AD64</f>
        <v>25.704000000000001</v>
      </c>
      <c r="BK173" s="23">
        <f t="shared" si="1281"/>
        <v>25.704000000000001</v>
      </c>
      <c r="BL173" s="23">
        <f>+'QTR Raw'!AF64</f>
        <v>58.957999999999998</v>
      </c>
      <c r="BM173" s="23">
        <f t="shared" si="1281"/>
        <v>58.957999999999998</v>
      </c>
      <c r="BN173" s="23">
        <f>+'QTR Raw'!AH64</f>
        <v>47.308</v>
      </c>
      <c r="BO173" s="23">
        <f t="shared" si="1281"/>
        <v>47.308</v>
      </c>
      <c r="BP173" s="23">
        <f>+'QTR Raw'!AJ64</f>
        <v>67.418000000000006</v>
      </c>
      <c r="BQ173" s="23">
        <f t="shared" si="1281"/>
        <v>67.418000000000006</v>
      </c>
      <c r="BR173" s="23">
        <f>+'QTR Raw'!AL64</f>
        <v>56.73</v>
      </c>
      <c r="BS173" s="23">
        <f t="shared" si="1281"/>
        <v>56.73</v>
      </c>
      <c r="BT173" s="23">
        <f>+'QTR Raw'!AN64</f>
        <v>60.021999999999998</v>
      </c>
      <c r="BU173" s="23">
        <f t="shared" si="1281"/>
        <v>60.021999999999998</v>
      </c>
      <c r="BV173" s="23">
        <f>+'QTR Raw'!AP64</f>
        <v>45.180999999999997</v>
      </c>
      <c r="BW173" s="23">
        <f t="shared" si="1281"/>
        <v>45.180999999999997</v>
      </c>
      <c r="BX173" s="23">
        <f>+'QTR Raw'!AR64</f>
        <v>50.378999999999998</v>
      </c>
      <c r="BY173" s="23">
        <f t="shared" si="1281"/>
        <v>50.378999999999998</v>
      </c>
      <c r="BZ173" s="23">
        <f>+'QTR Raw'!AT64</f>
        <v>38.951000000000001</v>
      </c>
      <c r="CA173" s="23">
        <f t="shared" si="1281"/>
        <v>38.951000000000001</v>
      </c>
      <c r="CB173" s="23">
        <f>+'QTR Raw'!AV64</f>
        <v>74.143000000000001</v>
      </c>
      <c r="CC173" s="23">
        <f t="shared" si="1281"/>
        <v>74.143000000000001</v>
      </c>
      <c r="CD173" s="23">
        <f>+'QTR Raw'!AX64</f>
        <v>120.548</v>
      </c>
      <c r="CE173" s="23">
        <f t="shared" si="1281"/>
        <v>120.548</v>
      </c>
      <c r="CF173" s="23">
        <f>+'QTR Raw'!AZ64</f>
        <v>191.24299999999999</v>
      </c>
      <c r="CG173" s="23">
        <f t="shared" ref="CG173:CG176" si="1282">+CF173</f>
        <v>191.24299999999999</v>
      </c>
      <c r="CH173" s="23">
        <f t="shared" si="1235"/>
        <v>170.03800000000001</v>
      </c>
      <c r="CJ173" s="23">
        <f>+'QTR Raw'!BD64</f>
        <v>201.262</v>
      </c>
      <c r="CL173" s="23">
        <f>+'QTR Raw'!BF64</f>
        <v>236.10599999999999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236.10599999999999</v>
      </c>
    </row>
    <row r="174" spans="1:110" s="23" customFormat="1" outlineLevel="1" x14ac:dyDescent="0.2">
      <c r="A174" s="23" t="s">
        <v>67</v>
      </c>
      <c r="B174" s="23">
        <f>'Annual Raw'!C51</f>
        <v>0</v>
      </c>
      <c r="C174" s="23">
        <f>'Annual Raw'!D51</f>
        <v>0</v>
      </c>
      <c r="D174" s="23">
        <f>'Annual Raw'!E51</f>
        <v>0</v>
      </c>
      <c r="E174" s="23">
        <f>'Annual Raw'!F51</f>
        <v>0</v>
      </c>
      <c r="F174" s="23">
        <f>'Annual Raw'!G51</f>
        <v>0</v>
      </c>
      <c r="G174" s="23">
        <f>'Annual Raw'!H51</f>
        <v>0</v>
      </c>
      <c r="H174" s="23">
        <f>'Annual Raw'!I51</f>
        <v>0</v>
      </c>
      <c r="I174" s="23">
        <f>'Annual Raw'!J51</f>
        <v>0</v>
      </c>
      <c r="J174" s="23">
        <f>'Annual Raw'!K51</f>
        <v>0</v>
      </c>
      <c r="K174" s="23">
        <f>'Annual Raw'!L51</f>
        <v>0</v>
      </c>
      <c r="L174" s="23">
        <f>'Annual Raw'!M51</f>
        <v>0</v>
      </c>
      <c r="M174" s="23">
        <f>'Annual Raw'!N51</f>
        <v>0</v>
      </c>
      <c r="N174" s="23">
        <f>'Annual Raw'!O51</f>
        <v>0</v>
      </c>
      <c r="O174" s="23">
        <f>'Annual Raw'!P51</f>
        <v>0</v>
      </c>
      <c r="P174" s="23">
        <f>'Annual Raw'!Q51</f>
        <v>0</v>
      </c>
      <c r="Q174" s="23">
        <f>'Annual Raw'!R51</f>
        <v>0</v>
      </c>
      <c r="R174" s="23">
        <f>'Annual Raw'!S51</f>
        <v>0</v>
      </c>
      <c r="S174" s="23">
        <f>'Annual Raw'!T51</f>
        <v>0</v>
      </c>
      <c r="T174" s="23">
        <f>'Annual Raw'!U51</f>
        <v>0</v>
      </c>
      <c r="U174" s="23">
        <f>'Annual Raw'!V51</f>
        <v>0</v>
      </c>
      <c r="V174" s="23">
        <f>'Annual Raw'!W51</f>
        <v>0</v>
      </c>
      <c r="W174" s="23">
        <f>'Annual Raw'!X51</f>
        <v>0</v>
      </c>
      <c r="X174" s="23">
        <f>'Annual Raw'!Y51</f>
        <v>0</v>
      </c>
      <c r="Y174" s="23">
        <f>'Annual Raw'!Z51</f>
        <v>0</v>
      </c>
      <c r="Z174" s="23">
        <f>'Annual Raw'!AA51</f>
        <v>0</v>
      </c>
      <c r="AA174" s="23">
        <f>'Annual Raw'!AB51</f>
        <v>0</v>
      </c>
      <c r="AB174" s="24">
        <f t="shared" si="1277"/>
        <v>0</v>
      </c>
      <c r="AC174" s="24">
        <f t="shared" si="1278"/>
        <v>0</v>
      </c>
      <c r="AD174" s="24">
        <f t="shared" si="1279"/>
        <v>0</v>
      </c>
      <c r="AE174" s="24">
        <f t="shared" si="1280"/>
        <v>0</v>
      </c>
      <c r="AJ174" s="23">
        <f>+'QTR Raw'!D65</f>
        <v>0</v>
      </c>
      <c r="AK174" s="23">
        <f t="shared" si="1281"/>
        <v>0</v>
      </c>
      <c r="AL174" s="23">
        <f>+'QTR Raw'!F65</f>
        <v>0</v>
      </c>
      <c r="AM174" s="23">
        <f t="shared" si="1281"/>
        <v>0</v>
      </c>
      <c r="AN174" s="23">
        <f>+'QTR Raw'!H65</f>
        <v>0</v>
      </c>
      <c r="AO174" s="23">
        <f t="shared" si="1281"/>
        <v>0</v>
      </c>
      <c r="AP174" s="23">
        <f>+'QTR Raw'!J65</f>
        <v>0</v>
      </c>
      <c r="AQ174" s="23">
        <f t="shared" si="1281"/>
        <v>0</v>
      </c>
      <c r="AR174" s="23">
        <f>+'QTR Raw'!L65</f>
        <v>0</v>
      </c>
      <c r="AS174" s="23">
        <f t="shared" si="1281"/>
        <v>0</v>
      </c>
      <c r="AT174" s="23">
        <f>+'QTR Raw'!N65</f>
        <v>0</v>
      </c>
      <c r="AU174" s="23">
        <f t="shared" si="1281"/>
        <v>0</v>
      </c>
      <c r="AV174" s="23">
        <f>+'QTR Raw'!P65</f>
        <v>0</v>
      </c>
      <c r="AW174" s="23">
        <f t="shared" si="1281"/>
        <v>0</v>
      </c>
      <c r="AX174" s="23">
        <f>+'QTR Raw'!R65</f>
        <v>0</v>
      </c>
      <c r="AY174" s="23">
        <f t="shared" si="1281"/>
        <v>0</v>
      </c>
      <c r="AZ174" s="23">
        <f>+'QTR Raw'!T65</f>
        <v>0</v>
      </c>
      <c r="BA174" s="23">
        <f t="shared" si="1281"/>
        <v>0</v>
      </c>
      <c r="BB174" s="23">
        <f>+'QTR Raw'!V65</f>
        <v>0</v>
      </c>
      <c r="BC174" s="23">
        <f t="shared" si="1281"/>
        <v>0</v>
      </c>
      <c r="BD174" s="23">
        <f>+'QTR Raw'!X65</f>
        <v>0</v>
      </c>
      <c r="BE174" s="23">
        <f t="shared" si="1281"/>
        <v>0</v>
      </c>
      <c r="BF174" s="23">
        <f>+'QTR Raw'!Z65</f>
        <v>0</v>
      </c>
      <c r="BG174" s="23">
        <f t="shared" si="1281"/>
        <v>0</v>
      </c>
      <c r="BH174" s="23">
        <f>+'QTR Raw'!AB65</f>
        <v>0</v>
      </c>
      <c r="BI174" s="23">
        <f t="shared" si="1281"/>
        <v>0</v>
      </c>
      <c r="BJ174" s="23">
        <f>+'QTR Raw'!AD65</f>
        <v>0</v>
      </c>
      <c r="BK174" s="23">
        <f t="shared" si="1281"/>
        <v>0</v>
      </c>
      <c r="BL174" s="23">
        <f>+'QTR Raw'!AF65</f>
        <v>0</v>
      </c>
      <c r="BM174" s="23">
        <f t="shared" si="1281"/>
        <v>0</v>
      </c>
      <c r="BN174" s="23">
        <f>+'QTR Raw'!AH65</f>
        <v>0</v>
      </c>
      <c r="BO174" s="23">
        <f t="shared" si="1281"/>
        <v>0</v>
      </c>
      <c r="BP174" s="23">
        <f>+'QTR Raw'!AJ65</f>
        <v>0</v>
      </c>
      <c r="BQ174" s="23">
        <f t="shared" si="1281"/>
        <v>0</v>
      </c>
      <c r="BR174" s="23">
        <f>+'QTR Raw'!AL65</f>
        <v>0</v>
      </c>
      <c r="BS174" s="23">
        <f t="shared" si="1281"/>
        <v>0</v>
      </c>
      <c r="BT174" s="23">
        <f>+'QTR Raw'!AN65</f>
        <v>0</v>
      </c>
      <c r="BU174" s="23">
        <f t="shared" si="1281"/>
        <v>0</v>
      </c>
      <c r="BV174" s="23">
        <f>+'QTR Raw'!AP65</f>
        <v>0</v>
      </c>
      <c r="BW174" s="23">
        <f t="shared" si="1281"/>
        <v>0</v>
      </c>
      <c r="BX174" s="23">
        <f>+'QTR Raw'!AR65</f>
        <v>0</v>
      </c>
      <c r="BY174" s="23">
        <f t="shared" si="1281"/>
        <v>0</v>
      </c>
      <c r="BZ174" s="23">
        <f>+'QTR Raw'!AT65</f>
        <v>0</v>
      </c>
      <c r="CA174" s="23">
        <f t="shared" si="1281"/>
        <v>0</v>
      </c>
      <c r="CB174" s="23">
        <f>+'QTR Raw'!AV65</f>
        <v>0</v>
      </c>
      <c r="CC174" s="23">
        <f t="shared" si="1281"/>
        <v>0</v>
      </c>
      <c r="CD174" s="23">
        <f>+'QTR Raw'!AX65</f>
        <v>0</v>
      </c>
      <c r="CE174" s="23">
        <f t="shared" si="1281"/>
        <v>0</v>
      </c>
      <c r="CF174" s="23">
        <f>+'QTR Raw'!AZ65</f>
        <v>0</v>
      </c>
      <c r="CG174" s="23">
        <f t="shared" si="1282"/>
        <v>0</v>
      </c>
      <c r="CH174" s="23">
        <f t="shared" si="1235"/>
        <v>0</v>
      </c>
      <c r="CJ174" s="23">
        <f>+'QTR Raw'!BD65</f>
        <v>0</v>
      </c>
      <c r="CL174" s="23">
        <f>+'QTR Raw'!BF65</f>
        <v>0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0</v>
      </c>
    </row>
    <row r="175" spans="1:110" s="23" customFormat="1" outlineLevel="1" x14ac:dyDescent="0.2">
      <c r="A175" s="23" t="s">
        <v>68</v>
      </c>
      <c r="B175" s="23">
        <f>'Annual Raw'!C52</f>
        <v>0</v>
      </c>
      <c r="C175" s="23">
        <f>'Annual Raw'!D52</f>
        <v>0</v>
      </c>
      <c r="D175" s="23">
        <f>'Annual Raw'!E52</f>
        <v>0</v>
      </c>
      <c r="E175" s="23">
        <f>'Annual Raw'!F52</f>
        <v>0</v>
      </c>
      <c r="F175" s="23">
        <f>'Annual Raw'!G52</f>
        <v>0</v>
      </c>
      <c r="G175" s="23">
        <f>'Annual Raw'!H52</f>
        <v>0</v>
      </c>
      <c r="H175" s="23">
        <f>'Annual Raw'!I52</f>
        <v>0</v>
      </c>
      <c r="I175" s="23">
        <f>'Annual Raw'!J52</f>
        <v>0</v>
      </c>
      <c r="J175" s="23">
        <f>'Annual Raw'!K52</f>
        <v>0</v>
      </c>
      <c r="K175" s="23">
        <f>'Annual Raw'!L52</f>
        <v>0</v>
      </c>
      <c r="L175" s="23">
        <f>'Annual Raw'!M52</f>
        <v>0.79</v>
      </c>
      <c r="M175" s="23">
        <f>'Annual Raw'!N52</f>
        <v>0</v>
      </c>
      <c r="N175" s="23">
        <f>'Annual Raw'!O52</f>
        <v>0</v>
      </c>
      <c r="O175" s="23">
        <f>'Annual Raw'!P52</f>
        <v>3.1989999999999998</v>
      </c>
      <c r="P175" s="23">
        <f>'Annual Raw'!Q52</f>
        <v>6.2830000000000004</v>
      </c>
      <c r="Q175" s="23">
        <f>'Annual Raw'!R52</f>
        <v>8.3699999999999992</v>
      </c>
      <c r="R175" s="23">
        <f>'Annual Raw'!S52</f>
        <v>9.0229999999999997</v>
      </c>
      <c r="S175" s="23">
        <f>'Annual Raw'!T52</f>
        <v>9.51</v>
      </c>
      <c r="T175" s="23">
        <f>'Annual Raw'!U52</f>
        <v>16.242000000000001</v>
      </c>
      <c r="U175" s="23">
        <f>'Annual Raw'!V52</f>
        <v>25.632000000000001</v>
      </c>
      <c r="V175" s="23">
        <f>'Annual Raw'!W52</f>
        <v>25.143999999999998</v>
      </c>
      <c r="W175" s="23">
        <f>'Annual Raw'!X52</f>
        <v>26.427</v>
      </c>
      <c r="X175" s="23">
        <f>'Annual Raw'!Y52</f>
        <v>44.973999999999997</v>
      </c>
      <c r="Y175" s="23">
        <f>'Annual Raw'!Z52</f>
        <v>43.877000000000002</v>
      </c>
      <c r="Z175" s="23">
        <f>'Annual Raw'!AA52</f>
        <v>41.314999999999998</v>
      </c>
      <c r="AA175" s="23">
        <f>'Annual Raw'!AB52</f>
        <v>56.398000000000003</v>
      </c>
      <c r="AB175" s="24">
        <f t="shared" si="1277"/>
        <v>0</v>
      </c>
      <c r="AC175" s="24">
        <f t="shared" si="1278"/>
        <v>0</v>
      </c>
      <c r="AD175" s="24">
        <f t="shared" si="1279"/>
        <v>0</v>
      </c>
      <c r="AE175" s="24">
        <f t="shared" si="1280"/>
        <v>0</v>
      </c>
      <c r="AJ175" s="23">
        <f>+'QTR Raw'!D66</f>
        <v>0</v>
      </c>
      <c r="AK175" s="23">
        <f t="shared" si="1281"/>
        <v>0</v>
      </c>
      <c r="AL175" s="23">
        <f>+'QTR Raw'!F66</f>
        <v>0</v>
      </c>
      <c r="AM175" s="23">
        <f t="shared" si="1281"/>
        <v>0</v>
      </c>
      <c r="AN175" s="23">
        <f>+'QTR Raw'!H66</f>
        <v>0</v>
      </c>
      <c r="AO175" s="23">
        <f t="shared" si="1281"/>
        <v>0</v>
      </c>
      <c r="AP175" s="23">
        <f>+'QTR Raw'!J66</f>
        <v>0</v>
      </c>
      <c r="AQ175" s="23">
        <f t="shared" si="1281"/>
        <v>0</v>
      </c>
      <c r="AR175" s="23">
        <f>+'QTR Raw'!L66</f>
        <v>0</v>
      </c>
      <c r="AS175" s="23">
        <f t="shared" si="1281"/>
        <v>0</v>
      </c>
      <c r="AT175" s="23">
        <f>+'QTR Raw'!N66</f>
        <v>0</v>
      </c>
      <c r="AU175" s="23">
        <f t="shared" si="1281"/>
        <v>0</v>
      </c>
      <c r="AV175" s="23">
        <f>+'QTR Raw'!P66</f>
        <v>0</v>
      </c>
      <c r="AW175" s="23">
        <f t="shared" si="1281"/>
        <v>0</v>
      </c>
      <c r="AX175" s="23">
        <f>+'QTR Raw'!R66</f>
        <v>0</v>
      </c>
      <c r="AY175" s="23">
        <f t="shared" si="1281"/>
        <v>0</v>
      </c>
      <c r="AZ175" s="23">
        <f>+'QTR Raw'!T66</f>
        <v>0</v>
      </c>
      <c r="BA175" s="23">
        <f t="shared" si="1281"/>
        <v>0</v>
      </c>
      <c r="BB175" s="23">
        <f>+'QTR Raw'!V66</f>
        <v>0</v>
      </c>
      <c r="BC175" s="23">
        <f t="shared" si="1281"/>
        <v>0</v>
      </c>
      <c r="BD175" s="23">
        <f>+'QTR Raw'!X66</f>
        <v>0</v>
      </c>
      <c r="BE175" s="23">
        <f t="shared" si="1281"/>
        <v>0</v>
      </c>
      <c r="BF175" s="23">
        <f>+'QTR Raw'!Z66</f>
        <v>9.51</v>
      </c>
      <c r="BG175" s="23">
        <f t="shared" si="1281"/>
        <v>9.51</v>
      </c>
      <c r="BH175" s="23">
        <f>+'QTR Raw'!AB66</f>
        <v>0</v>
      </c>
      <c r="BI175" s="23">
        <f t="shared" si="1281"/>
        <v>0</v>
      </c>
      <c r="BJ175" s="23">
        <f>+'QTR Raw'!AD66</f>
        <v>16.242000000000001</v>
      </c>
      <c r="BK175" s="23">
        <f t="shared" si="1281"/>
        <v>16.242000000000001</v>
      </c>
      <c r="BL175" s="23">
        <f>+'QTR Raw'!AF66</f>
        <v>23.484000000000002</v>
      </c>
      <c r="BM175" s="23">
        <f t="shared" si="1281"/>
        <v>23.484000000000002</v>
      </c>
      <c r="BN175" s="23">
        <f>+'QTR Raw'!AH66</f>
        <v>25.632000000000001</v>
      </c>
      <c r="BO175" s="23">
        <f t="shared" si="1281"/>
        <v>25.632000000000001</v>
      </c>
      <c r="BP175" s="23">
        <f>+'QTR Raw'!AJ66</f>
        <v>26.352</v>
      </c>
      <c r="BQ175" s="23">
        <f t="shared" si="1281"/>
        <v>26.352</v>
      </c>
      <c r="BR175" s="23">
        <f>+'QTR Raw'!AL66</f>
        <v>25.143999999999998</v>
      </c>
      <c r="BS175" s="23">
        <f t="shared" si="1281"/>
        <v>25.143999999999998</v>
      </c>
      <c r="BT175" s="23">
        <f>+'QTR Raw'!AN66</f>
        <v>32.006</v>
      </c>
      <c r="BU175" s="23">
        <f t="shared" si="1281"/>
        <v>32.006</v>
      </c>
      <c r="BV175" s="23">
        <f>+'QTR Raw'!AP66</f>
        <v>26.427</v>
      </c>
      <c r="BW175" s="23">
        <f t="shared" si="1281"/>
        <v>26.427</v>
      </c>
      <c r="BX175" s="23">
        <f>+'QTR Raw'!AR66</f>
        <v>29.91</v>
      </c>
      <c r="BY175" s="23">
        <f t="shared" si="1281"/>
        <v>29.91</v>
      </c>
      <c r="BZ175" s="23">
        <f>+'QTR Raw'!AT66</f>
        <v>44.973999999999997</v>
      </c>
      <c r="CA175" s="23">
        <f t="shared" si="1281"/>
        <v>44.973999999999997</v>
      </c>
      <c r="CB175" s="23">
        <f>+'QTR Raw'!AV66</f>
        <v>55.133000000000003</v>
      </c>
      <c r="CC175" s="23">
        <f t="shared" si="1281"/>
        <v>55.133000000000003</v>
      </c>
      <c r="CD175" s="23">
        <f>+'QTR Raw'!AX66</f>
        <v>43.877000000000002</v>
      </c>
      <c r="CE175" s="23">
        <f t="shared" si="1281"/>
        <v>43.877000000000002</v>
      </c>
      <c r="CF175" s="23">
        <f>+'QTR Raw'!AZ66</f>
        <v>65.698999999999998</v>
      </c>
      <c r="CG175" s="23">
        <f t="shared" si="1282"/>
        <v>65.698999999999998</v>
      </c>
      <c r="CH175" s="23">
        <f t="shared" si="1235"/>
        <v>41.314999999999998</v>
      </c>
      <c r="CJ175" s="23">
        <f>+'QTR Raw'!BD66</f>
        <v>52.25</v>
      </c>
      <c r="CL175" s="23">
        <f>+'QTR Raw'!BF66</f>
        <v>56.398000000000003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56.398000000000003</v>
      </c>
    </row>
    <row r="176" spans="1:110" s="23" customFormat="1" outlineLevel="1" x14ac:dyDescent="0.2">
      <c r="A176" s="23" t="s">
        <v>69</v>
      </c>
      <c r="B176" s="23">
        <v>0</v>
      </c>
      <c r="C176" s="23">
        <v>0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  <c r="X176" s="23">
        <v>0</v>
      </c>
      <c r="Y176" s="23">
        <v>0</v>
      </c>
      <c r="Z176" s="23">
        <v>0</v>
      </c>
      <c r="AA176" s="23">
        <v>0</v>
      </c>
      <c r="AB176" s="24">
        <f t="shared" si="1277"/>
        <v>5409.931959827738</v>
      </c>
      <c r="AC176" s="24">
        <f t="shared" si="1278"/>
        <v>6386.9533200507094</v>
      </c>
      <c r="AD176" s="24">
        <f t="shared" si="1279"/>
        <v>7311.5247879952358</v>
      </c>
      <c r="AE176" s="24">
        <f t="shared" si="1280"/>
        <v>8371.9248236781823</v>
      </c>
      <c r="AJ176" s="23">
        <f>+'QTR Raw'!D87</f>
        <v>0</v>
      </c>
      <c r="AK176" s="23">
        <f t="shared" si="1281"/>
        <v>0</v>
      </c>
      <c r="AL176" s="23">
        <f>+'QTR Raw'!F87</f>
        <v>0</v>
      </c>
      <c r="AM176" s="23">
        <f t="shared" si="1281"/>
        <v>0</v>
      </c>
      <c r="AN176" s="23">
        <f>+'QTR Raw'!H87</f>
        <v>0</v>
      </c>
      <c r="AO176" s="23">
        <f t="shared" si="1281"/>
        <v>0</v>
      </c>
      <c r="AP176" s="23">
        <f>+'QTR Raw'!J87</f>
        <v>0</v>
      </c>
      <c r="AQ176" s="23">
        <f t="shared" si="1281"/>
        <v>0</v>
      </c>
      <c r="AR176" s="23">
        <f>+'QTR Raw'!L87</f>
        <v>0</v>
      </c>
      <c r="AS176" s="23">
        <f t="shared" si="1281"/>
        <v>0</v>
      </c>
      <c r="AT176" s="23">
        <f>+'QTR Raw'!N87</f>
        <v>0</v>
      </c>
      <c r="AU176" s="23">
        <f t="shared" si="1281"/>
        <v>0</v>
      </c>
      <c r="AV176" s="23">
        <f>+'QTR Raw'!P87</f>
        <v>0</v>
      </c>
      <c r="AW176" s="23">
        <f t="shared" si="1281"/>
        <v>0</v>
      </c>
      <c r="AX176" s="23">
        <f>+'QTR Raw'!R87</f>
        <v>0</v>
      </c>
      <c r="AY176" s="23">
        <f t="shared" si="1281"/>
        <v>0</v>
      </c>
      <c r="AZ176" s="23">
        <f>+'QTR Raw'!T87</f>
        <v>0</v>
      </c>
      <c r="BA176" s="23">
        <f t="shared" si="1281"/>
        <v>0</v>
      </c>
      <c r="BB176" s="23">
        <f>+'QTR Raw'!V87</f>
        <v>0</v>
      </c>
      <c r="BC176" s="23">
        <f t="shared" si="1281"/>
        <v>0</v>
      </c>
      <c r="BD176" s="23">
        <f>+'QTR Raw'!X87</f>
        <v>0</v>
      </c>
      <c r="BE176" s="23">
        <f t="shared" si="1281"/>
        <v>0</v>
      </c>
      <c r="BF176" s="23">
        <f>+'QTR Raw'!Z87</f>
        <v>0</v>
      </c>
      <c r="BG176" s="23">
        <f t="shared" si="1281"/>
        <v>0</v>
      </c>
      <c r="BH176" s="23">
        <f>+'QTR Raw'!AB87</f>
        <v>0</v>
      </c>
      <c r="BI176" s="23">
        <f t="shared" si="1281"/>
        <v>0</v>
      </c>
      <c r="BJ176" s="23">
        <f>+'QTR Raw'!AD87</f>
        <v>0</v>
      </c>
      <c r="BK176" s="23">
        <f t="shared" si="1281"/>
        <v>0</v>
      </c>
      <c r="BL176" s="23">
        <f>+'QTR Raw'!AF87</f>
        <v>0</v>
      </c>
      <c r="BM176" s="23">
        <f t="shared" si="1281"/>
        <v>0</v>
      </c>
      <c r="BN176" s="23">
        <f>+'QTR Raw'!AH87</f>
        <v>0</v>
      </c>
      <c r="BO176" s="23">
        <f t="shared" si="1281"/>
        <v>0</v>
      </c>
      <c r="BP176" s="23">
        <f>+'QTR Raw'!AJ87</f>
        <v>0</v>
      </c>
      <c r="BQ176" s="23">
        <f t="shared" si="1281"/>
        <v>0</v>
      </c>
      <c r="BR176" s="23">
        <f>+'QTR Raw'!AL87</f>
        <v>0</v>
      </c>
      <c r="BS176" s="23">
        <f t="shared" si="1281"/>
        <v>0</v>
      </c>
      <c r="BT176" s="23">
        <f>+'QTR Raw'!AN87</f>
        <v>0</v>
      </c>
      <c r="BU176" s="23">
        <f t="shared" si="1281"/>
        <v>0</v>
      </c>
      <c r="BV176" s="23">
        <f>+'QTR Raw'!AP87</f>
        <v>0</v>
      </c>
      <c r="BW176" s="23">
        <f t="shared" si="1281"/>
        <v>0</v>
      </c>
      <c r="BX176" s="23">
        <f>+'QTR Raw'!AR87</f>
        <v>0</v>
      </c>
      <c r="BY176" s="23">
        <f t="shared" si="1281"/>
        <v>0</v>
      </c>
      <c r="BZ176" s="23">
        <f>+'QTR Raw'!AT87</f>
        <v>0</v>
      </c>
      <c r="CA176" s="23">
        <f t="shared" si="1281"/>
        <v>0</v>
      </c>
      <c r="CB176" s="23">
        <f>+'QTR Raw'!AV87</f>
        <v>0</v>
      </c>
      <c r="CC176" s="23">
        <f t="shared" si="1281"/>
        <v>0</v>
      </c>
      <c r="CD176" s="23">
        <f>+'QTR Raw'!AX87</f>
        <v>0</v>
      </c>
      <c r="CE176" s="23">
        <f t="shared" si="1281"/>
        <v>0</v>
      </c>
      <c r="CF176" s="23">
        <f>+'QTR Raw'!AZ87</f>
        <v>0</v>
      </c>
      <c r="CG176" s="23">
        <f t="shared" si="1282"/>
        <v>0</v>
      </c>
      <c r="CH176" s="23">
        <f t="shared" si="1235"/>
        <v>0</v>
      </c>
      <c r="CI176" s="23">
        <f>CI34/90*CI208</f>
        <v>776.67520957577085</v>
      </c>
      <c r="CJ176" s="23">
        <f>+'QTR Raw'!BD87</f>
        <v>0</v>
      </c>
      <c r="CK176" s="23">
        <f t="shared" ref="CK176:DB176" si="1283">CK34/90*CK208</f>
        <v>5510.7846976928813</v>
      </c>
      <c r="CL176" s="23">
        <f>+'QTR Raw'!BF87</f>
        <v>0</v>
      </c>
      <c r="CM176" s="24">
        <f t="shared" si="1283"/>
        <v>3640.7937743521443</v>
      </c>
      <c r="CN176" s="24">
        <f t="shared" si="1283"/>
        <v>3952.2261942126897</v>
      </c>
      <c r="CO176" s="24">
        <f t="shared" si="1283"/>
        <v>4702.175643583565</v>
      </c>
      <c r="CP176" s="24">
        <f t="shared" si="1283"/>
        <v>5409.931959827738</v>
      </c>
      <c r="CQ176" s="24">
        <f t="shared" si="1283"/>
        <v>4390.4134651612621</v>
      </c>
      <c r="CR176" s="24">
        <f t="shared" si="1283"/>
        <v>4730.0069986914923</v>
      </c>
      <c r="CS176" s="24">
        <f t="shared" si="1283"/>
        <v>5596.7025906541048</v>
      </c>
      <c r="CT176" s="24">
        <f t="shared" si="1283"/>
        <v>6386.9533200507094</v>
      </c>
      <c r="CU176" s="24">
        <f t="shared" si="1283"/>
        <v>5027.2411794754025</v>
      </c>
      <c r="CV176" s="24">
        <f t="shared" si="1283"/>
        <v>5415.3854280560317</v>
      </c>
      <c r="CW176" s="24">
        <f t="shared" si="1283"/>
        <v>6410.9321710749682</v>
      </c>
      <c r="CX176" s="24">
        <f t="shared" si="1283"/>
        <v>7311.5247879952358</v>
      </c>
      <c r="CY176" s="24">
        <f t="shared" si="1283"/>
        <v>5757.6059914613834</v>
      </c>
      <c r="CZ176" s="24">
        <f t="shared" si="1283"/>
        <v>6201.4741965170379</v>
      </c>
      <c r="DA176" s="24">
        <f t="shared" si="1283"/>
        <v>7345.0789767156748</v>
      </c>
      <c r="DB176" s="24">
        <f t="shared" si="1283"/>
        <v>8371.9248236781823</v>
      </c>
      <c r="DE176" s="123"/>
      <c r="DF176" s="23">
        <v>6458.7247573605928</v>
      </c>
    </row>
    <row r="177" spans="1:110" s="23" customFormat="1" outlineLevel="1" x14ac:dyDescent="0.2">
      <c r="A177" s="23" t="s">
        <v>70</v>
      </c>
      <c r="B177" s="23">
        <f>'Annual Raw'!C54</f>
        <v>0</v>
      </c>
      <c r="C177" s="23">
        <f>'Annual Raw'!D54</f>
        <v>0</v>
      </c>
      <c r="D177" s="23">
        <f>'Annual Raw'!E54</f>
        <v>0</v>
      </c>
      <c r="E177" s="23">
        <f>'Annual Raw'!F54</f>
        <v>0</v>
      </c>
      <c r="F177" s="23">
        <f>'Annual Raw'!G54</f>
        <v>0</v>
      </c>
      <c r="G177" s="23">
        <f>'Annual Raw'!H54</f>
        <v>0</v>
      </c>
      <c r="H177" s="23">
        <f>'Annual Raw'!I54</f>
        <v>0</v>
      </c>
      <c r="I177" s="23">
        <f>'Annual Raw'!J54</f>
        <v>191.3765612</v>
      </c>
      <c r="J177" s="23">
        <f>'Annual Raw'!K54</f>
        <v>211.56802329999999</v>
      </c>
      <c r="K177" s="23">
        <f>'Annual Raw'!L54</f>
        <v>0</v>
      </c>
      <c r="L177" s="23">
        <f>'Annual Raw'!M54</f>
        <v>477.70800000000003</v>
      </c>
      <c r="M177" s="23">
        <f>'Annual Raw'!N54</f>
        <v>649.90499999999997</v>
      </c>
      <c r="N177" s="23">
        <f>'Annual Raw'!O54</f>
        <v>628.81200000000001</v>
      </c>
      <c r="O177" s="23">
        <f>'Annual Raw'!P54</f>
        <v>620.04700000000003</v>
      </c>
      <c r="P177" s="23">
        <f>'Annual Raw'!Q54</f>
        <v>962.91</v>
      </c>
      <c r="Q177" s="23">
        <f>'Annual Raw'!R54</f>
        <v>1057.3599999999999</v>
      </c>
      <c r="R177" s="23">
        <f>'Annual Raw'!S54</f>
        <v>1354.271</v>
      </c>
      <c r="S177" s="23">
        <f>'Annual Raw'!T54</f>
        <v>922.08699999999999</v>
      </c>
      <c r="T177" s="23">
        <f>'Annual Raw'!U54</f>
        <v>1520.182</v>
      </c>
      <c r="U177" s="23">
        <f>'Annual Raw'!V54</f>
        <v>1353.683</v>
      </c>
      <c r="V177" s="23">
        <f>'Annual Raw'!W54</f>
        <v>1348.0319999999999</v>
      </c>
      <c r="W177" s="23">
        <f>'Annual Raw'!X54</f>
        <v>1217.53</v>
      </c>
      <c r="X177" s="23">
        <f>'Annual Raw'!Y54</f>
        <v>2032.644</v>
      </c>
      <c r="Y177" s="23">
        <f>'Annual Raw'!Z54</f>
        <v>2863.3249999999998</v>
      </c>
      <c r="Z177" s="23">
        <f>'Annual Raw'!AA54</f>
        <v>2735.7559999999999</v>
      </c>
      <c r="AA177" s="23">
        <f>'Annual Raw'!AB54</f>
        <v>6064.433</v>
      </c>
      <c r="AB177" s="24">
        <f t="shared" si="1277"/>
        <v>2213.7952327129979</v>
      </c>
      <c r="AC177" s="24">
        <f t="shared" si="1278"/>
        <v>2613.6015972997443</v>
      </c>
      <c r="AD177" s="24">
        <f t="shared" si="1279"/>
        <v>2991.9449707907534</v>
      </c>
      <c r="AE177" s="24">
        <f t="shared" si="1280"/>
        <v>3425.8706765473835</v>
      </c>
      <c r="AJ177" s="23">
        <f>+'QTR Raw'!D89</f>
        <v>0</v>
      </c>
      <c r="AK177" s="23" t="e">
        <f>+AK207*AK34/90</f>
        <v>#DIV/0!</v>
      </c>
      <c r="AL177" s="23">
        <f>+'QTR Raw'!F89</f>
        <v>0</v>
      </c>
      <c r="AM177" s="23" t="e">
        <f>+AM207*AM34/90</f>
        <v>#DIV/0!</v>
      </c>
      <c r="AN177" s="23">
        <f>+'QTR Raw'!H89</f>
        <v>0</v>
      </c>
      <c r="AO177" s="23" t="e">
        <f>+AO207*AO34/90</f>
        <v>#DIV/0!</v>
      </c>
      <c r="AP177" s="23">
        <f>+'QTR Raw'!J89</f>
        <v>0</v>
      </c>
      <c r="AQ177" s="23" t="e">
        <f>+AQ207*AQ34/90</f>
        <v>#DIV/0!</v>
      </c>
      <c r="AR177" s="23">
        <f>+'QTR Raw'!L89</f>
        <v>0</v>
      </c>
      <c r="AS177" s="23" t="e">
        <f>+AS207*AS34/90</f>
        <v>#DIV/0!</v>
      </c>
      <c r="AT177" s="23">
        <f>+'QTR Raw'!N89</f>
        <v>0</v>
      </c>
      <c r="AU177" s="23" t="e">
        <f>+AU207*AU34/90</f>
        <v>#DIV/0!</v>
      </c>
      <c r="AV177" s="23">
        <f>+'QTR Raw'!P89</f>
        <v>0</v>
      </c>
      <c r="AW177" s="23" t="e">
        <f>+AW207*AW34/90</f>
        <v>#DIV/0!</v>
      </c>
      <c r="AX177" s="23">
        <f>+'QTR Raw'!R89</f>
        <v>0</v>
      </c>
      <c r="AY177" s="23" t="e">
        <f>+AY207*AY34/90</f>
        <v>#DIV/0!</v>
      </c>
      <c r="AZ177" s="23">
        <f>+'QTR Raw'!T89</f>
        <v>0</v>
      </c>
      <c r="BA177" s="23" t="e">
        <f>+BA207*BA34/90</f>
        <v>#DIV/0!</v>
      </c>
      <c r="BB177" s="23">
        <f>+'QTR Raw'!V89</f>
        <v>0</v>
      </c>
      <c r="BC177" s="23" t="e">
        <f>+BC207*BC34/90</f>
        <v>#DIV/0!</v>
      </c>
      <c r="BD177" s="23">
        <f>+'QTR Raw'!X89</f>
        <v>0</v>
      </c>
      <c r="BE177" s="23" t="e">
        <f>+BE207*BE34/90</f>
        <v>#DIV/0!</v>
      </c>
      <c r="BF177" s="23">
        <f>+'QTR Raw'!Z89</f>
        <v>922.08699999999999</v>
      </c>
      <c r="BG177" s="23">
        <f>+BG207*BG34/90</f>
        <v>735.24413845684342</v>
      </c>
      <c r="BH177" s="23">
        <f>+'QTR Raw'!AB89</f>
        <v>0</v>
      </c>
      <c r="BI177" s="23">
        <f>+BI207*BI34/90</f>
        <v>0</v>
      </c>
      <c r="BJ177" s="23">
        <f>+'QTR Raw'!AD89</f>
        <v>1520.182</v>
      </c>
      <c r="BK177" s="23">
        <f>+BK207*BK34/90</f>
        <v>1204.0574145555991</v>
      </c>
      <c r="BL177" s="23">
        <f>+'QTR Raw'!AF89</f>
        <v>1323.0450000000001</v>
      </c>
      <c r="BM177" s="23">
        <f>+BM207*BM34/90</f>
        <v>1479.6451068626632</v>
      </c>
      <c r="BN177" s="23">
        <f>+'QTR Raw'!AH89</f>
        <v>1353.683</v>
      </c>
      <c r="BO177" s="23">
        <f>+BO207*BO34/90</f>
        <v>620.83772203518311</v>
      </c>
      <c r="BP177" s="23">
        <f>+'QTR Raw'!AJ89</f>
        <v>1327.7139999999999</v>
      </c>
      <c r="BQ177" s="23">
        <f>+BQ207*BQ34/90</f>
        <v>1725.1195150263852</v>
      </c>
      <c r="BR177" s="23">
        <f>+'QTR Raw'!AL89</f>
        <v>1348.0319999999999</v>
      </c>
      <c r="BS177" s="23">
        <f>+BS207*BS34/90</f>
        <v>849.8562093286497</v>
      </c>
      <c r="BT177" s="23">
        <f>+'QTR Raw'!AN89</f>
        <v>1312.4860000000001</v>
      </c>
      <c r="BU177" s="23">
        <f>+BU207*BU34/90</f>
        <v>1472.0161587118812</v>
      </c>
      <c r="BV177" s="23">
        <f>+'QTR Raw'!AP89</f>
        <v>1217.53</v>
      </c>
      <c r="BW177" s="23">
        <f>+BW207*BW34/90</f>
        <v>839.25827477555299</v>
      </c>
      <c r="BX177" s="23">
        <f>+'QTR Raw'!AR89</f>
        <v>1660.0139999999999</v>
      </c>
      <c r="BY177" s="23">
        <f>+BY207*BY34/90</f>
        <v>1850.7177597809114</v>
      </c>
      <c r="BZ177" s="23">
        <f>+'QTR Raw'!AT89</f>
        <v>806.88800000000003</v>
      </c>
      <c r="CA177" s="23">
        <f>+CA207*CA34/90</f>
        <v>725.83885425774952</v>
      </c>
      <c r="CB177" s="23">
        <f>+'QTR Raw'!AV89</f>
        <v>1884.65</v>
      </c>
      <c r="CC177" s="23">
        <f>+CC207*CC34/90</f>
        <v>1939.5103027789812</v>
      </c>
      <c r="CD177" s="23">
        <f>+'QTR Raw'!AX89</f>
        <v>1001.359</v>
      </c>
      <c r="CE177" s="23">
        <f>+CE207*CE34/90</f>
        <v>841.29165922643381</v>
      </c>
      <c r="CF177" s="23">
        <f>+'QTR Raw'!AZ89</f>
        <v>1229.3800000000001</v>
      </c>
      <c r="CG177" s="23">
        <f>+CG207*CG34/90</f>
        <v>1168.483418165536</v>
      </c>
      <c r="CH177" s="23">
        <f t="shared" si="1235"/>
        <v>2735.7559999999999</v>
      </c>
      <c r="CI177" s="23">
        <f>+CI207*CI34/90</f>
        <v>2312.8795418728114</v>
      </c>
      <c r="CJ177" s="23">
        <f>+'QTR Raw'!BD89</f>
        <v>1574.864</v>
      </c>
      <c r="CK177" s="23">
        <f t="shared" ref="CK177:DB177" si="1284">+CK207*CK34/90</f>
        <v>1856.6421700006376</v>
      </c>
      <c r="CL177" s="23">
        <f>+'QTR Raw'!BF89</f>
        <v>1798.8140000000001</v>
      </c>
      <c r="CM177" s="24">
        <f t="shared" si="1284"/>
        <v>1489.847184918862</v>
      </c>
      <c r="CN177" s="24">
        <f t="shared" si="1284"/>
        <v>1617.2882713353172</v>
      </c>
      <c r="CO177" s="24">
        <f t="shared" si="1284"/>
        <v>1924.1746662329429</v>
      </c>
      <c r="CP177" s="24">
        <f t="shared" si="1284"/>
        <v>2213.7952327129979</v>
      </c>
      <c r="CQ177" s="24">
        <f t="shared" si="1284"/>
        <v>1796.5986394997915</v>
      </c>
      <c r="CR177" s="24">
        <f t="shared" si="1284"/>
        <v>1935.5635194967892</v>
      </c>
      <c r="CS177" s="24">
        <f t="shared" si="1284"/>
        <v>2290.2235381343057</v>
      </c>
      <c r="CT177" s="24">
        <f t="shared" si="1284"/>
        <v>2613.6015972997443</v>
      </c>
      <c r="CU177" s="24">
        <f t="shared" si="1284"/>
        <v>2057.1945524386024</v>
      </c>
      <c r="CV177" s="24">
        <f t="shared" si="1284"/>
        <v>2216.0268433977894</v>
      </c>
      <c r="CW177" s="24">
        <f t="shared" si="1284"/>
        <v>2623.4139695213589</v>
      </c>
      <c r="CX177" s="24">
        <f t="shared" si="1284"/>
        <v>2991.9449707907534</v>
      </c>
      <c r="CY177" s="24">
        <f t="shared" si="1284"/>
        <v>2356.066728821274</v>
      </c>
      <c r="CZ177" s="24">
        <f t="shared" si="1284"/>
        <v>2537.7017888556284</v>
      </c>
      <c r="DA177" s="24">
        <f t="shared" si="1284"/>
        <v>3005.675661597671</v>
      </c>
      <c r="DB177" s="24">
        <f t="shared" si="1284"/>
        <v>3425.8706765473835</v>
      </c>
      <c r="DE177" s="123"/>
      <c r="DF177" s="23">
        <v>2176.0132915305389</v>
      </c>
    </row>
    <row r="178" spans="1:110" s="23" customFormat="1" outlineLevel="1" x14ac:dyDescent="0.2">
      <c r="A178" s="23" t="s">
        <v>71</v>
      </c>
      <c r="B178" s="23">
        <f>'Annual Raw'!C55-Template!B150</f>
        <v>0</v>
      </c>
      <c r="C178" s="23">
        <f>'Annual Raw'!D55-Template!C150</f>
        <v>0</v>
      </c>
      <c r="D178" s="23">
        <f>'Annual Raw'!E55-Template!D150</f>
        <v>0</v>
      </c>
      <c r="E178" s="23">
        <f>'Annual Raw'!F55-Template!E150</f>
        <v>0</v>
      </c>
      <c r="F178" s="23">
        <f>'Annual Raw'!G55-Template!F150</f>
        <v>0</v>
      </c>
      <c r="G178" s="23">
        <f>'Annual Raw'!H55-Template!G150</f>
        <v>0</v>
      </c>
      <c r="H178" s="23">
        <f>'Annual Raw'!I55-Template!H150</f>
        <v>0</v>
      </c>
      <c r="I178" s="23">
        <f>'Annual Raw'!J55-Template!I150</f>
        <v>41.252535199999997</v>
      </c>
      <c r="J178" s="23">
        <f>'Annual Raw'!K55-Template!J150</f>
        <v>67.435558200000003</v>
      </c>
      <c r="K178" s="23">
        <f>'Annual Raw'!L55-Template!K150</f>
        <v>338.49443780000001</v>
      </c>
      <c r="L178" s="23">
        <f>'Annual Raw'!M55-Template!L150</f>
        <v>85.841000000000008</v>
      </c>
      <c r="M178" s="23">
        <f>'Annual Raw'!N55-Template!M150</f>
        <v>81.173999999999978</v>
      </c>
      <c r="N178" s="23">
        <f>'Annual Raw'!O55-Template!N150</f>
        <v>111.64400000000001</v>
      </c>
      <c r="O178" s="23">
        <f>'Annual Raw'!P55-Template!O150</f>
        <v>91.027000000000001</v>
      </c>
      <c r="P178" s="23">
        <f>'Annual Raw'!Q55-Template!P150</f>
        <v>87.930999999999997</v>
      </c>
      <c r="Q178" s="23">
        <f>'Annual Raw'!R55-Template!Q150</f>
        <v>139.4</v>
      </c>
      <c r="R178" s="23">
        <f>'Annual Raw'!S55-Template!R150</f>
        <v>192.17599999999999</v>
      </c>
      <c r="S178" s="23">
        <f>'Annual Raw'!T55-Template!S150</f>
        <v>170.96600000000001</v>
      </c>
      <c r="T178" s="23">
        <f>'Annual Raw'!U55-Template!T150</f>
        <v>727.20399999999995</v>
      </c>
      <c r="U178" s="23">
        <f>'Annual Raw'!V55-Template!U150</f>
        <v>366.06200000000001</v>
      </c>
      <c r="V178" s="23">
        <f>'Annual Raw'!W55-Template!V150</f>
        <v>469.66799999999995</v>
      </c>
      <c r="W178" s="23">
        <f>'Annual Raw'!X55-Template!W150</f>
        <v>402.30599999999998</v>
      </c>
      <c r="X178" s="23">
        <f>'Annual Raw'!Y55-Template!X150</f>
        <v>463.46300000000002</v>
      </c>
      <c r="Y178" s="23">
        <f>'Annual Raw'!Z55-Template!Y150</f>
        <v>603.41</v>
      </c>
      <c r="Z178" s="23">
        <f>'Annual Raw'!AA55-Template!Z150</f>
        <v>628.87199999999996</v>
      </c>
      <c r="AA178" s="23">
        <f>'Annual Raw'!AB55-Template!AA150</f>
        <v>1596.2380000000001</v>
      </c>
      <c r="AB178" s="24">
        <f t="shared" si="1277"/>
        <v>0</v>
      </c>
      <c r="AC178" s="24">
        <f t="shared" si="1278"/>
        <v>0</v>
      </c>
      <c r="AD178" s="24">
        <f t="shared" si="1279"/>
        <v>0</v>
      </c>
      <c r="AE178" s="24">
        <f t="shared" si="1280"/>
        <v>0</v>
      </c>
      <c r="AJ178" s="23">
        <f>+'QTR Raw'!D91</f>
        <v>0</v>
      </c>
      <c r="AK178" s="23">
        <f t="shared" si="1281"/>
        <v>0</v>
      </c>
      <c r="AL178" s="23">
        <f>+'QTR Raw'!F91</f>
        <v>0</v>
      </c>
      <c r="AM178" s="23">
        <f t="shared" si="1281"/>
        <v>0</v>
      </c>
      <c r="AN178" s="23">
        <f>+'QTR Raw'!H91</f>
        <v>0</v>
      </c>
      <c r="AO178" s="23">
        <f t="shared" si="1281"/>
        <v>0</v>
      </c>
      <c r="AP178" s="23">
        <f>+'QTR Raw'!J91</f>
        <v>0</v>
      </c>
      <c r="AQ178" s="23">
        <f t="shared" si="1281"/>
        <v>0</v>
      </c>
      <c r="AR178" s="23">
        <f>+'QTR Raw'!L91</f>
        <v>0</v>
      </c>
      <c r="AS178" s="23">
        <f t="shared" si="1281"/>
        <v>0</v>
      </c>
      <c r="AT178" s="23">
        <f>+'QTR Raw'!N91</f>
        <v>0</v>
      </c>
      <c r="AU178" s="23">
        <f t="shared" si="1281"/>
        <v>0</v>
      </c>
      <c r="AV178" s="23">
        <f>+'QTR Raw'!P91</f>
        <v>0</v>
      </c>
      <c r="AW178" s="23">
        <f t="shared" si="1281"/>
        <v>0</v>
      </c>
      <c r="AX178" s="23">
        <f>+'QTR Raw'!R91</f>
        <v>0</v>
      </c>
      <c r="AY178" s="23">
        <f t="shared" si="1281"/>
        <v>0</v>
      </c>
      <c r="AZ178" s="23">
        <f>+'QTR Raw'!T91</f>
        <v>0</v>
      </c>
      <c r="BA178" s="23">
        <f t="shared" si="1281"/>
        <v>0</v>
      </c>
      <c r="BB178" s="23">
        <f>+'QTR Raw'!V91</f>
        <v>0</v>
      </c>
      <c r="BC178" s="23">
        <f t="shared" si="1281"/>
        <v>0</v>
      </c>
      <c r="BD178" s="23">
        <f>+'QTR Raw'!X91</f>
        <v>0</v>
      </c>
      <c r="BE178" s="23">
        <f t="shared" si="1281"/>
        <v>0</v>
      </c>
      <c r="BF178" s="23">
        <f>+'QTR Raw'!Z91</f>
        <v>325.952</v>
      </c>
      <c r="BG178" s="23">
        <f t="shared" si="1281"/>
        <v>325.952</v>
      </c>
      <c r="BH178" s="23">
        <f>+'QTR Raw'!AB91</f>
        <v>0</v>
      </c>
      <c r="BI178" s="23">
        <f t="shared" si="1281"/>
        <v>0</v>
      </c>
      <c r="BJ178" s="23">
        <f>+'QTR Raw'!AD91</f>
        <v>974.81799999999998</v>
      </c>
      <c r="BK178" s="23">
        <f t="shared" si="1281"/>
        <v>974.81799999999998</v>
      </c>
      <c r="BL178" s="23">
        <f>+'QTR Raw'!AF91</f>
        <v>626.95799999999997</v>
      </c>
      <c r="BM178" s="23">
        <f t="shared" si="1281"/>
        <v>626.95799999999997</v>
      </c>
      <c r="BN178" s="23">
        <f>+'QTR Raw'!AH91</f>
        <v>520.173</v>
      </c>
      <c r="BO178" s="23">
        <f t="shared" si="1281"/>
        <v>520.173</v>
      </c>
      <c r="BP178" s="23">
        <f>+'QTR Raw'!AJ91</f>
        <v>524.86599999999999</v>
      </c>
      <c r="BQ178" s="23">
        <f t="shared" si="1281"/>
        <v>524.86599999999999</v>
      </c>
      <c r="BR178" s="23">
        <f>+'QTR Raw'!AL91</f>
        <v>498.012</v>
      </c>
      <c r="BS178" s="23">
        <f t="shared" si="1281"/>
        <v>498.012</v>
      </c>
      <c r="BT178" s="23">
        <f>+'QTR Raw'!AN91</f>
        <v>390.91899999999998</v>
      </c>
      <c r="BU178" s="23">
        <f t="shared" si="1281"/>
        <v>390.91899999999998</v>
      </c>
      <c r="BV178" s="23">
        <f>+'QTR Raw'!AP91</f>
        <v>418.25799999999998</v>
      </c>
      <c r="BW178" s="23">
        <f t="shared" si="1281"/>
        <v>418.25799999999998</v>
      </c>
      <c r="BX178" s="23">
        <f>+'QTR Raw'!AR91</f>
        <v>318.40699999999998</v>
      </c>
      <c r="BY178" s="23">
        <f t="shared" si="1281"/>
        <v>318.40699999999998</v>
      </c>
      <c r="BZ178" s="23">
        <f>+'QTR Raw'!AT91</f>
        <v>1718.0360000000001</v>
      </c>
      <c r="CA178" s="23">
        <f t="shared" si="1281"/>
        <v>1718.0360000000001</v>
      </c>
      <c r="CB178" s="23">
        <f>+'QTR Raw'!AV91</f>
        <v>412.7</v>
      </c>
      <c r="CC178" s="23">
        <f t="shared" si="1281"/>
        <v>412.7</v>
      </c>
      <c r="CD178" s="23">
        <f>+'QTR Raw'!AX91</f>
        <v>2477.92</v>
      </c>
      <c r="CE178" s="23">
        <f t="shared" si="1281"/>
        <v>2477.92</v>
      </c>
      <c r="CF178" s="23">
        <f>+'QTR Raw'!AZ91</f>
        <v>3345.0540000000001</v>
      </c>
      <c r="CG178" s="23">
        <f t="shared" ref="CG178:CG179" si="1285">+CF178</f>
        <v>3345.0540000000001</v>
      </c>
      <c r="CH178" s="23">
        <f t="shared" si="1235"/>
        <v>628.87199999999996</v>
      </c>
      <c r="CJ178" s="23">
        <f>+'QTR Raw'!BD91</f>
        <v>4349.4620000000004</v>
      </c>
      <c r="CL178" s="23">
        <f>+'QTR Raw'!BF91</f>
        <v>5939.0119999999997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5939.0119999999997</v>
      </c>
    </row>
    <row r="179" spans="1:110" s="23" customFormat="1" outlineLevel="1" x14ac:dyDescent="0.2">
      <c r="A179" s="23" t="s">
        <v>72</v>
      </c>
      <c r="B179" s="23">
        <f>'Annual Raw'!C57</f>
        <v>0</v>
      </c>
      <c r="C179" s="23">
        <f>'Annual Raw'!D57</f>
        <v>0</v>
      </c>
      <c r="D179" s="23">
        <f>'Annual Raw'!E57</f>
        <v>0</v>
      </c>
      <c r="E179" s="23">
        <f>'Annual Raw'!F57</f>
        <v>0</v>
      </c>
      <c r="F179" s="23">
        <f>'Annual Raw'!G57</f>
        <v>0</v>
      </c>
      <c r="G179" s="23">
        <f>'Annual Raw'!H57</f>
        <v>0</v>
      </c>
      <c r="H179" s="23">
        <f>'Annual Raw'!I57</f>
        <v>0</v>
      </c>
      <c r="I179" s="23">
        <f>'Annual Raw'!J57</f>
        <v>154.7460102</v>
      </c>
      <c r="J179" s="23">
        <f>'Annual Raw'!K57</f>
        <v>177.26113340000001</v>
      </c>
      <c r="K179" s="23">
        <f>'Annual Raw'!L57</f>
        <v>18.6398887</v>
      </c>
      <c r="L179" s="23">
        <f>'Annual Raw'!M57</f>
        <v>8.8000000000000007</v>
      </c>
      <c r="M179" s="23">
        <f>'Annual Raw'!N57</f>
        <v>10.622</v>
      </c>
      <c r="N179" s="23">
        <f>'Annual Raw'!O57</f>
        <v>6.9850000000000003</v>
      </c>
      <c r="O179" s="23">
        <f>'Annual Raw'!P57</f>
        <v>29.231000000000002</v>
      </c>
      <c r="P179" s="23">
        <f>'Annual Raw'!Q57</f>
        <v>70.603999999999999</v>
      </c>
      <c r="Q179" s="23">
        <f>'Annual Raw'!R57</f>
        <v>30.28</v>
      </c>
      <c r="R179" s="23">
        <f>'Annual Raw'!S57</f>
        <v>59.802</v>
      </c>
      <c r="S179" s="23">
        <f>'Annual Raw'!T57</f>
        <v>120.009</v>
      </c>
      <c r="T179" s="23">
        <f>'Annual Raw'!U57</f>
        <v>188.06200000000001</v>
      </c>
      <c r="U179" s="23">
        <f>'Annual Raw'!V57</f>
        <v>142.94200000000001</v>
      </c>
      <c r="V179" s="23">
        <f>'Annual Raw'!W57</f>
        <v>51.869</v>
      </c>
      <c r="W179" s="23">
        <f>'Annual Raw'!X57</f>
        <v>41.332000000000001</v>
      </c>
      <c r="X179" s="23">
        <f>'Annual Raw'!Y57</f>
        <v>55.573999999999998</v>
      </c>
      <c r="Y179" s="23">
        <f>'Annual Raw'!Z57</f>
        <v>60.238</v>
      </c>
      <c r="Z179" s="23">
        <f>'Annual Raw'!AA57</f>
        <v>78.453999999999994</v>
      </c>
      <c r="AA179" s="23">
        <f>'Annual Raw'!AB57</f>
        <v>211.35</v>
      </c>
      <c r="AB179" s="24">
        <f t="shared" si="1277"/>
        <v>0</v>
      </c>
      <c r="AC179" s="24">
        <f t="shared" si="1278"/>
        <v>0</v>
      </c>
      <c r="AD179" s="24">
        <f t="shared" si="1279"/>
        <v>0</v>
      </c>
      <c r="AE179" s="24">
        <f t="shared" si="1280"/>
        <v>0</v>
      </c>
      <c r="AJ179" s="23">
        <f>+'QTR Raw'!D92</f>
        <v>0</v>
      </c>
      <c r="AK179" s="23">
        <f t="shared" si="1281"/>
        <v>0</v>
      </c>
      <c r="AL179" s="23">
        <f>+'QTR Raw'!F92</f>
        <v>0</v>
      </c>
      <c r="AM179" s="23">
        <f t="shared" si="1281"/>
        <v>0</v>
      </c>
      <c r="AN179" s="23">
        <f>+'QTR Raw'!H92</f>
        <v>0</v>
      </c>
      <c r="AO179" s="23">
        <f t="shared" si="1281"/>
        <v>0</v>
      </c>
      <c r="AP179" s="23">
        <f>+'QTR Raw'!J92</f>
        <v>0</v>
      </c>
      <c r="AQ179" s="23">
        <f t="shared" si="1281"/>
        <v>0</v>
      </c>
      <c r="AR179" s="23">
        <f>+'QTR Raw'!L92</f>
        <v>0</v>
      </c>
      <c r="AS179" s="23">
        <f t="shared" si="1281"/>
        <v>0</v>
      </c>
      <c r="AT179" s="23">
        <f>+'QTR Raw'!N92</f>
        <v>0</v>
      </c>
      <c r="AU179" s="23">
        <f t="shared" si="1281"/>
        <v>0</v>
      </c>
      <c r="AV179" s="23">
        <f>+'QTR Raw'!P92</f>
        <v>0</v>
      </c>
      <c r="AW179" s="23">
        <f t="shared" si="1281"/>
        <v>0</v>
      </c>
      <c r="AX179" s="23">
        <f>+'QTR Raw'!R92</f>
        <v>0</v>
      </c>
      <c r="AY179" s="23">
        <f t="shared" si="1281"/>
        <v>0</v>
      </c>
      <c r="AZ179" s="23">
        <f>+'QTR Raw'!T92</f>
        <v>0</v>
      </c>
      <c r="BA179" s="23">
        <f t="shared" si="1281"/>
        <v>0</v>
      </c>
      <c r="BB179" s="23">
        <f>+'QTR Raw'!V92</f>
        <v>0</v>
      </c>
      <c r="BC179" s="23">
        <f t="shared" si="1281"/>
        <v>0</v>
      </c>
      <c r="BD179" s="23">
        <f>+'QTR Raw'!X92</f>
        <v>0</v>
      </c>
      <c r="BE179" s="23">
        <f t="shared" si="1281"/>
        <v>0</v>
      </c>
      <c r="BF179" s="23">
        <f>+'QTR Raw'!Z92</f>
        <v>37.633000000000003</v>
      </c>
      <c r="BG179" s="23">
        <f t="shared" si="1281"/>
        <v>37.633000000000003</v>
      </c>
      <c r="BH179" s="23">
        <f>+'QTR Raw'!AB92</f>
        <v>0</v>
      </c>
      <c r="BI179" s="23">
        <f t="shared" si="1281"/>
        <v>0</v>
      </c>
      <c r="BJ179" s="23">
        <f>+'QTR Raw'!AD92</f>
        <v>20.870999999999999</v>
      </c>
      <c r="BK179" s="23">
        <f t="shared" si="1281"/>
        <v>20.870999999999999</v>
      </c>
      <c r="BL179" s="23">
        <f>+'QTR Raw'!AF92</f>
        <v>22.388000000000002</v>
      </c>
      <c r="BM179" s="23">
        <f t="shared" si="1281"/>
        <v>22.388000000000002</v>
      </c>
      <c r="BN179" s="23">
        <f>+'QTR Raw'!AH92</f>
        <v>23.780999999999999</v>
      </c>
      <c r="BO179" s="23">
        <f t="shared" si="1281"/>
        <v>23.780999999999999</v>
      </c>
      <c r="BP179" s="23">
        <f>+'QTR Raw'!AJ92</f>
        <v>23.852</v>
      </c>
      <c r="BQ179" s="23">
        <f t="shared" si="1281"/>
        <v>23.852</v>
      </c>
      <c r="BR179" s="23">
        <f>+'QTR Raw'!AL92</f>
        <v>23.524999999999999</v>
      </c>
      <c r="BS179" s="23">
        <f t="shared" si="1281"/>
        <v>23.524999999999999</v>
      </c>
      <c r="BT179" s="23">
        <f>+'QTR Raw'!AN92</f>
        <v>26.068999999999999</v>
      </c>
      <c r="BU179" s="23">
        <f t="shared" si="1281"/>
        <v>26.068999999999999</v>
      </c>
      <c r="BV179" s="23">
        <f>+'QTR Raw'!AP92</f>
        <v>25.38</v>
      </c>
      <c r="BW179" s="23">
        <f t="shared" si="1281"/>
        <v>25.38</v>
      </c>
      <c r="BX179" s="23">
        <f>+'QTR Raw'!AR92</f>
        <v>26.306999999999999</v>
      </c>
      <c r="BY179" s="23">
        <f t="shared" si="1281"/>
        <v>26.306999999999999</v>
      </c>
      <c r="BZ179" s="23">
        <f>+'QTR Raw'!AT92</f>
        <v>26.757000000000001</v>
      </c>
      <c r="CA179" s="23">
        <f t="shared" si="1281"/>
        <v>26.757000000000001</v>
      </c>
      <c r="CB179" s="23">
        <f>+'QTR Raw'!AV92</f>
        <v>26.983000000000001</v>
      </c>
      <c r="CC179" s="23">
        <f t="shared" si="1281"/>
        <v>26.983000000000001</v>
      </c>
      <c r="CD179" s="23">
        <f>+'QTR Raw'!AX92</f>
        <v>47.694000000000003</v>
      </c>
      <c r="CE179" s="23">
        <f t="shared" si="1281"/>
        <v>47.694000000000003</v>
      </c>
      <c r="CF179" s="23">
        <f>+'QTR Raw'!AZ92</f>
        <v>33.445999999999998</v>
      </c>
      <c r="CG179" s="23">
        <f t="shared" si="1285"/>
        <v>33.445999999999998</v>
      </c>
      <c r="CH179" s="23">
        <f t="shared" si="1235"/>
        <v>78.453999999999994</v>
      </c>
      <c r="CJ179" s="23">
        <f>+'QTR Raw'!BD92</f>
        <v>71.451999999999998</v>
      </c>
      <c r="CL179" s="23">
        <f>+'QTR Raw'!BF92</f>
        <v>134.19499999999999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  <c r="DF179" s="23">
        <v>134.19499999999999</v>
      </c>
    </row>
    <row r="180" spans="1:110" s="22" customFormat="1" x14ac:dyDescent="0.2">
      <c r="A180" s="22" t="s">
        <v>73</v>
      </c>
      <c r="B180" s="22">
        <f>SUM(B173:B179)</f>
        <v>0</v>
      </c>
      <c r="C180" s="22">
        <f t="shared" ref="C180:V180" si="1286">SUM(C173:C179)</f>
        <v>0</v>
      </c>
      <c r="D180" s="22">
        <f t="shared" si="1286"/>
        <v>0</v>
      </c>
      <c r="E180" s="22">
        <f t="shared" si="1286"/>
        <v>0</v>
      </c>
      <c r="F180" s="22">
        <f t="shared" si="1286"/>
        <v>0</v>
      </c>
      <c r="G180" s="22">
        <f t="shared" si="1286"/>
        <v>0</v>
      </c>
      <c r="H180" s="22">
        <f t="shared" si="1286"/>
        <v>0</v>
      </c>
      <c r="I180" s="22">
        <f t="shared" si="1286"/>
        <v>387.37510659999998</v>
      </c>
      <c r="J180" s="22">
        <f t="shared" si="1286"/>
        <v>456.2647149</v>
      </c>
      <c r="K180" s="22">
        <f t="shared" si="1286"/>
        <v>357.13432650000004</v>
      </c>
      <c r="L180" s="22">
        <f t="shared" si="1286"/>
        <v>573.13900000000001</v>
      </c>
      <c r="M180" s="22">
        <f t="shared" si="1286"/>
        <v>741.70099999999991</v>
      </c>
      <c r="N180" s="22">
        <f t="shared" si="1286"/>
        <v>748.03100000000006</v>
      </c>
      <c r="O180" s="22">
        <f t="shared" si="1286"/>
        <v>743.50400000000002</v>
      </c>
      <c r="P180" s="22">
        <f t="shared" si="1286"/>
        <v>1127.7280000000001</v>
      </c>
      <c r="Q180" s="22">
        <f t="shared" si="1286"/>
        <v>1246.27</v>
      </c>
      <c r="R180" s="22">
        <f t="shared" si="1286"/>
        <v>1634.7349999999999</v>
      </c>
      <c r="S180" s="22">
        <f t="shared" si="1286"/>
        <v>1240.7919999999999</v>
      </c>
      <c r="T180" s="22">
        <f t="shared" si="1286"/>
        <v>2477.3939999999998</v>
      </c>
      <c r="U180" s="22">
        <f t="shared" si="1286"/>
        <v>1935.627</v>
      </c>
      <c r="V180" s="22">
        <f t="shared" si="1286"/>
        <v>1951.4429999999998</v>
      </c>
      <c r="W180" s="22">
        <f t="shared" ref="W180" si="1287">SUM(W173:W179)</f>
        <v>1732.7760000000001</v>
      </c>
      <c r="X180" s="22">
        <f t="shared" ref="X180:Y180" si="1288">SUM(X173:X179)</f>
        <v>2635.6060000000002</v>
      </c>
      <c r="Y180" s="22">
        <f t="shared" si="1288"/>
        <v>3691.3979999999997</v>
      </c>
      <c r="Z180" s="22">
        <f t="shared" ref="Z180:AA180" si="1289">SUM(Z173:Z179)</f>
        <v>3654.4349999999999</v>
      </c>
      <c r="AA180" s="22">
        <f t="shared" si="1289"/>
        <v>8164.5250000000005</v>
      </c>
      <c r="AB180" s="21">
        <f t="shared" ref="AA180:AD180" si="1290">SUM(AB173:AB179)</f>
        <v>7623.7271925407358</v>
      </c>
      <c r="AC180" s="21">
        <f t="shared" si="1290"/>
        <v>9000.5549173504533</v>
      </c>
      <c r="AD180" s="21">
        <f t="shared" si="1290"/>
        <v>10303.469758785988</v>
      </c>
      <c r="AE180" s="21">
        <f t="shared" ref="AE180" si="1291">SUM(AE173:AE179)</f>
        <v>11797.795500225566</v>
      </c>
      <c r="AJ180" s="22">
        <f t="shared" ref="AJ180" si="1292">SUM(AJ173:AJ179)</f>
        <v>0</v>
      </c>
      <c r="AK180" s="22" t="e">
        <f t="shared" ref="AK180" si="1293">SUM(AK173:AK179)</f>
        <v>#DIV/0!</v>
      </c>
      <c r="AL180" s="22">
        <f t="shared" ref="AL180:AM180" si="1294">SUM(AL173:AL179)</f>
        <v>0</v>
      </c>
      <c r="AM180" s="22" t="e">
        <f t="shared" si="1294"/>
        <v>#DIV/0!</v>
      </c>
      <c r="AN180" s="22">
        <f t="shared" ref="AN180:AO180" si="1295">SUM(AN173:AN179)</f>
        <v>0</v>
      </c>
      <c r="AO180" s="22" t="e">
        <f t="shared" si="1295"/>
        <v>#DIV/0!</v>
      </c>
      <c r="AP180" s="22">
        <f t="shared" ref="AP180:CE180" si="1296">SUM(AP173:AP179)</f>
        <v>0</v>
      </c>
      <c r="AQ180" s="22" t="e">
        <f t="shared" si="1296"/>
        <v>#DIV/0!</v>
      </c>
      <c r="AR180" s="22">
        <f t="shared" si="1296"/>
        <v>0</v>
      </c>
      <c r="AS180" s="22" t="e">
        <f t="shared" si="1296"/>
        <v>#DIV/0!</v>
      </c>
      <c r="AT180" s="22">
        <f t="shared" si="1296"/>
        <v>0</v>
      </c>
      <c r="AU180" s="22" t="e">
        <f t="shared" si="1296"/>
        <v>#DIV/0!</v>
      </c>
      <c r="AV180" s="22">
        <f t="shared" si="1296"/>
        <v>0</v>
      </c>
      <c r="AW180" s="22" t="e">
        <f t="shared" si="1296"/>
        <v>#DIV/0!</v>
      </c>
      <c r="AX180" s="22">
        <f t="shared" si="1296"/>
        <v>0</v>
      </c>
      <c r="AY180" s="22" t="e">
        <f t="shared" si="1296"/>
        <v>#DIV/0!</v>
      </c>
      <c r="AZ180" s="22">
        <f t="shared" si="1296"/>
        <v>0</v>
      </c>
      <c r="BA180" s="22" t="e">
        <f t="shared" si="1296"/>
        <v>#DIV/0!</v>
      </c>
      <c r="BB180" s="22">
        <f t="shared" si="1296"/>
        <v>0</v>
      </c>
      <c r="BC180" s="22" t="e">
        <f t="shared" si="1296"/>
        <v>#DIV/0!</v>
      </c>
      <c r="BD180" s="22">
        <f t="shared" si="1296"/>
        <v>0</v>
      </c>
      <c r="BE180" s="22" t="e">
        <f t="shared" si="1296"/>
        <v>#DIV/0!</v>
      </c>
      <c r="BF180" s="22">
        <f t="shared" si="1296"/>
        <v>1313.402</v>
      </c>
      <c r="BG180" s="22">
        <f t="shared" si="1296"/>
        <v>1126.5591384568436</v>
      </c>
      <c r="BH180" s="22">
        <f t="shared" ref="BH180" si="1297">SUM(BH173:BH179)</f>
        <v>0</v>
      </c>
      <c r="BI180" s="22">
        <f t="shared" si="1296"/>
        <v>0</v>
      </c>
      <c r="BJ180" s="22">
        <f t="shared" si="1296"/>
        <v>2557.817</v>
      </c>
      <c r="BK180" s="22">
        <f t="shared" si="1296"/>
        <v>2241.692414555599</v>
      </c>
      <c r="BL180" s="22">
        <f t="shared" si="1296"/>
        <v>2054.8330000000001</v>
      </c>
      <c r="BM180" s="22">
        <f t="shared" si="1296"/>
        <v>2211.433106862663</v>
      </c>
      <c r="BN180" s="22">
        <f t="shared" si="1296"/>
        <v>1970.577</v>
      </c>
      <c r="BO180" s="22">
        <f t="shared" si="1296"/>
        <v>1237.7317220351831</v>
      </c>
      <c r="BP180" s="22">
        <f t="shared" si="1296"/>
        <v>1970.202</v>
      </c>
      <c r="BQ180" s="22">
        <f t="shared" si="1296"/>
        <v>2367.607515026385</v>
      </c>
      <c r="BR180" s="22">
        <f t="shared" si="1296"/>
        <v>1951.443</v>
      </c>
      <c r="BS180" s="22">
        <f t="shared" si="1296"/>
        <v>1453.2672093286499</v>
      </c>
      <c r="BT180" s="22">
        <f t="shared" si="1296"/>
        <v>1821.502</v>
      </c>
      <c r="BU180" s="22">
        <f t="shared" si="1296"/>
        <v>1981.032158711881</v>
      </c>
      <c r="BV180" s="22">
        <f t="shared" si="1296"/>
        <v>1732.7760000000001</v>
      </c>
      <c r="BW180" s="22">
        <f t="shared" si="1296"/>
        <v>1354.5042747755531</v>
      </c>
      <c r="BX180" s="22">
        <f t="shared" si="1296"/>
        <v>2085.0169999999998</v>
      </c>
      <c r="BY180" s="22">
        <f t="shared" si="1296"/>
        <v>2275.7207597809111</v>
      </c>
      <c r="BZ180" s="22">
        <f t="shared" si="1296"/>
        <v>2635.6060000000002</v>
      </c>
      <c r="CA180" s="22">
        <f t="shared" si="1296"/>
        <v>2554.5568542577498</v>
      </c>
      <c r="CB180" s="22">
        <f t="shared" si="1296"/>
        <v>2453.6090000000004</v>
      </c>
      <c r="CC180" s="22">
        <f t="shared" si="1296"/>
        <v>2508.4693027789813</v>
      </c>
      <c r="CD180" s="22">
        <f t="shared" si="1296"/>
        <v>3691.3980000000001</v>
      </c>
      <c r="CE180" s="22">
        <f t="shared" si="1296"/>
        <v>3531.3306592264339</v>
      </c>
      <c r="CF180" s="22">
        <f t="shared" ref="CF180:CG180" si="1298">SUM(CF173:CF179)</f>
        <v>4864.8220000000001</v>
      </c>
      <c r="CG180" s="22">
        <f t="shared" si="1298"/>
        <v>4803.925418165536</v>
      </c>
      <c r="CH180" s="22">
        <f t="shared" ref="CH180:CI180" si="1299">SUM(CH173:CH179)</f>
        <v>3654.4349999999999</v>
      </c>
      <c r="CI180" s="22">
        <f t="shared" si="1299"/>
        <v>3089.5547514485825</v>
      </c>
      <c r="CJ180" s="22">
        <f t="shared" ref="CJ180:DB180" si="1300">SUM(CJ173:CJ179)</f>
        <v>6249.2900000000009</v>
      </c>
      <c r="CK180" s="22">
        <f t="shared" si="1300"/>
        <v>7367.4268676935189</v>
      </c>
      <c r="CL180" s="22">
        <f t="shared" ref="CL180" si="1301">SUM(CL173:CL179)</f>
        <v>8164.5249999999996</v>
      </c>
      <c r="CM180" s="21">
        <f t="shared" si="1300"/>
        <v>5130.6409592710061</v>
      </c>
      <c r="CN180" s="21">
        <f t="shared" si="1300"/>
        <v>5569.5144655480071</v>
      </c>
      <c r="CO180" s="21">
        <f t="shared" si="1300"/>
        <v>6626.3503098165074</v>
      </c>
      <c r="CP180" s="21">
        <f t="shared" si="1300"/>
        <v>7623.7271925407358</v>
      </c>
      <c r="CQ180" s="21">
        <f t="shared" si="1300"/>
        <v>6187.0121046610539</v>
      </c>
      <c r="CR180" s="21">
        <f t="shared" si="1300"/>
        <v>6665.5705181882813</v>
      </c>
      <c r="CS180" s="21">
        <f t="shared" si="1300"/>
        <v>7886.926128788411</v>
      </c>
      <c r="CT180" s="21">
        <f t="shared" si="1300"/>
        <v>9000.5549173504533</v>
      </c>
      <c r="CU180" s="21">
        <f t="shared" si="1300"/>
        <v>7084.4357319140054</v>
      </c>
      <c r="CV180" s="21">
        <f t="shared" si="1300"/>
        <v>7631.4122714538207</v>
      </c>
      <c r="CW180" s="21">
        <f t="shared" si="1300"/>
        <v>9034.346140596328</v>
      </c>
      <c r="CX180" s="21">
        <f t="shared" si="1300"/>
        <v>10303.469758785988</v>
      </c>
      <c r="CY180" s="21">
        <f t="shared" si="1300"/>
        <v>8113.6727202826569</v>
      </c>
      <c r="CZ180" s="21">
        <f t="shared" si="1300"/>
        <v>8739.1759853726653</v>
      </c>
      <c r="DA180" s="21">
        <f t="shared" si="1300"/>
        <v>10350.754638313345</v>
      </c>
      <c r="DB180" s="21">
        <f t="shared" si="1300"/>
        <v>11797.795500225566</v>
      </c>
      <c r="DE180" s="126"/>
      <c r="DF180" s="22">
        <v>8634.7380488911313</v>
      </c>
    </row>
    <row r="181" spans="1:110" s="22" customFormat="1" x14ac:dyDescent="0.2">
      <c r="A181" s="22" t="s">
        <v>74</v>
      </c>
      <c r="B181" s="22">
        <f>B172-B180</f>
        <v>0</v>
      </c>
      <c r="C181" s="22">
        <f t="shared" ref="C181:V181" si="1302">C172-C180</f>
        <v>0</v>
      </c>
      <c r="D181" s="22">
        <f t="shared" si="1302"/>
        <v>0</v>
      </c>
      <c r="E181" s="22">
        <f t="shared" si="1302"/>
        <v>0</v>
      </c>
      <c r="F181" s="22">
        <f t="shared" si="1302"/>
        <v>0</v>
      </c>
      <c r="G181" s="22">
        <f t="shared" si="1302"/>
        <v>0</v>
      </c>
      <c r="H181" s="22">
        <f t="shared" si="1302"/>
        <v>0</v>
      </c>
      <c r="I181" s="22">
        <f t="shared" si="1302"/>
        <v>838.09532089999993</v>
      </c>
      <c r="J181" s="22">
        <f t="shared" si="1302"/>
        <v>778.21250800000007</v>
      </c>
      <c r="K181" s="22">
        <f t="shared" si="1302"/>
        <v>1517.1477069000002</v>
      </c>
      <c r="L181" s="22">
        <f t="shared" si="1302"/>
        <v>1684.8139999999999</v>
      </c>
      <c r="M181" s="22">
        <f t="shared" si="1302"/>
        <v>1328.5439999999999</v>
      </c>
      <c r="N181" s="22">
        <f t="shared" si="1302"/>
        <v>1088.5450000000001</v>
      </c>
      <c r="O181" s="22">
        <f t="shared" si="1302"/>
        <v>982.57999999999981</v>
      </c>
      <c r="P181" s="22">
        <f t="shared" si="1302"/>
        <v>1155.4859999999999</v>
      </c>
      <c r="Q181" s="22">
        <f t="shared" si="1302"/>
        <v>1431.31</v>
      </c>
      <c r="R181" s="22">
        <f t="shared" si="1302"/>
        <v>1561.7349999999999</v>
      </c>
      <c r="S181" s="22">
        <f t="shared" si="1302"/>
        <v>1832.0010000000002</v>
      </c>
      <c r="T181" s="22">
        <f t="shared" si="1302"/>
        <v>1336.2860000000005</v>
      </c>
      <c r="U181" s="22">
        <f t="shared" si="1302"/>
        <v>2014.9789999999998</v>
      </c>
      <c r="V181" s="22">
        <f t="shared" si="1302"/>
        <v>1928.3440000000005</v>
      </c>
      <c r="W181" s="22">
        <f t="shared" ref="W181" si="1303">W172-W180</f>
        <v>2448.1160000000009</v>
      </c>
      <c r="X181" s="22">
        <f t="shared" ref="X181:Y181" si="1304">X172-X180</f>
        <v>2425.0809999999997</v>
      </c>
      <c r="Y181" s="22">
        <f t="shared" si="1304"/>
        <v>3233.8760000000007</v>
      </c>
      <c r="Z181" s="22">
        <f t="shared" ref="Z181:AA181" si="1305">Z172-Z180</f>
        <v>3855.2890000000002</v>
      </c>
      <c r="AA181" s="22">
        <f t="shared" si="1305"/>
        <v>3133.4139999999998</v>
      </c>
      <c r="AB181" s="21">
        <f t="shared" ref="AA181:AD181" si="1306">AB172-AB180</f>
        <v>5728.8454889402174</v>
      </c>
      <c r="AC181" s="21">
        <f t="shared" si="1306"/>
        <v>6763.4619043913699</v>
      </c>
      <c r="AD181" s="21">
        <f t="shared" si="1306"/>
        <v>7742.5365254159005</v>
      </c>
      <c r="AE181" s="21">
        <f t="shared" ref="AE181" si="1307">AE172-AE180</f>
        <v>8865.4467590388267</v>
      </c>
      <c r="AJ181" s="22">
        <f t="shared" ref="AJ181" si="1308">AJ172-AJ180</f>
        <v>0</v>
      </c>
      <c r="AK181" s="22" t="e">
        <f t="shared" ref="AK181" si="1309">AK172-AK180</f>
        <v>#DIV/0!</v>
      </c>
      <c r="AL181" s="22">
        <f t="shared" ref="AL181:AM181" si="1310">AL172-AL180</f>
        <v>0</v>
      </c>
      <c r="AM181" s="22" t="e">
        <f t="shared" si="1310"/>
        <v>#DIV/0!</v>
      </c>
      <c r="AN181" s="22">
        <f t="shared" ref="AN181:AO181" si="1311">AN172-AN180</f>
        <v>0</v>
      </c>
      <c r="AO181" s="22" t="e">
        <f t="shared" si="1311"/>
        <v>#DIV/0!</v>
      </c>
      <c r="AP181" s="22">
        <f t="shared" ref="AP181:CE181" si="1312">AP172-AP180</f>
        <v>0</v>
      </c>
      <c r="AQ181" s="22" t="e">
        <f t="shared" si="1312"/>
        <v>#DIV/0!</v>
      </c>
      <c r="AR181" s="22">
        <f t="shared" si="1312"/>
        <v>0</v>
      </c>
      <c r="AS181" s="22" t="e">
        <f t="shared" si="1312"/>
        <v>#DIV/0!</v>
      </c>
      <c r="AT181" s="22">
        <f t="shared" si="1312"/>
        <v>0</v>
      </c>
      <c r="AU181" s="22" t="e">
        <f t="shared" si="1312"/>
        <v>#DIV/0!</v>
      </c>
      <c r="AV181" s="22">
        <f t="shared" si="1312"/>
        <v>0</v>
      </c>
      <c r="AW181" s="22" t="e">
        <f t="shared" si="1312"/>
        <v>#DIV/0!</v>
      </c>
      <c r="AX181" s="22">
        <f t="shared" si="1312"/>
        <v>0</v>
      </c>
      <c r="AY181" s="22" t="e">
        <f t="shared" si="1312"/>
        <v>#DIV/0!</v>
      </c>
      <c r="AZ181" s="22">
        <f t="shared" si="1312"/>
        <v>0</v>
      </c>
      <c r="BA181" s="22" t="e">
        <f t="shared" si="1312"/>
        <v>#DIV/0!</v>
      </c>
      <c r="BB181" s="22">
        <f t="shared" si="1312"/>
        <v>0</v>
      </c>
      <c r="BC181" s="22" t="e">
        <f t="shared" si="1312"/>
        <v>#DIV/0!</v>
      </c>
      <c r="BD181" s="22">
        <f t="shared" si="1312"/>
        <v>0</v>
      </c>
      <c r="BE181" s="22" t="e">
        <f t="shared" si="1312"/>
        <v>#DIV/0!</v>
      </c>
      <c r="BF181" s="22">
        <f t="shared" si="1312"/>
        <v>1759.3910000000001</v>
      </c>
      <c r="BG181" s="22">
        <f t="shared" si="1312"/>
        <v>1407.94335588647</v>
      </c>
      <c r="BH181" s="22">
        <f t="shared" ref="BH181" si="1313">BH172-BH180</f>
        <v>0</v>
      </c>
      <c r="BI181" s="22">
        <f t="shared" si="1312"/>
        <v>0</v>
      </c>
      <c r="BJ181" s="22">
        <f t="shared" si="1312"/>
        <v>1255.8630000000003</v>
      </c>
      <c r="BK181" s="22">
        <f t="shared" si="1312"/>
        <v>879.48708345649129</v>
      </c>
      <c r="BL181" s="22">
        <f t="shared" si="1312"/>
        <v>1518.9989999999998</v>
      </c>
      <c r="BM181" s="22">
        <f t="shared" si="1312"/>
        <v>1721.0721952721365</v>
      </c>
      <c r="BN181" s="22">
        <f t="shared" si="1312"/>
        <v>2013.8210000000001</v>
      </c>
      <c r="BO181" s="22">
        <f t="shared" si="1312"/>
        <v>928.41787561596561</v>
      </c>
      <c r="BP181" s="22">
        <f t="shared" si="1312"/>
        <v>1676.5079999999996</v>
      </c>
      <c r="BQ181" s="22">
        <f t="shared" si="1312"/>
        <v>2214.2299753444477</v>
      </c>
      <c r="BR181" s="22">
        <f t="shared" si="1312"/>
        <v>1962.4440000000002</v>
      </c>
      <c r="BS181" s="22">
        <f t="shared" si="1312"/>
        <v>1195.3731225816343</v>
      </c>
      <c r="BT181" s="22">
        <f t="shared" si="1312"/>
        <v>2275.9640000000004</v>
      </c>
      <c r="BU181" s="22">
        <f t="shared" si="1312"/>
        <v>2511.0681385798694</v>
      </c>
      <c r="BV181" s="22">
        <f t="shared" si="1312"/>
        <v>2483.2520000000004</v>
      </c>
      <c r="BW181" s="22">
        <f t="shared" si="1312"/>
        <v>1775.3464149935687</v>
      </c>
      <c r="BX181" s="22">
        <f t="shared" si="1312"/>
        <v>2138.6590000000006</v>
      </c>
      <c r="BY181" s="22">
        <f t="shared" si="1312"/>
        <v>2335.4860220546543</v>
      </c>
      <c r="BZ181" s="22">
        <f t="shared" si="1312"/>
        <v>2461.2629999999995</v>
      </c>
      <c r="CA181" s="22">
        <f t="shared" si="1312"/>
        <v>2120.6393821826819</v>
      </c>
      <c r="CB181" s="22">
        <f t="shared" si="1312"/>
        <v>3321.8050000000003</v>
      </c>
      <c r="CC181" s="22">
        <f t="shared" si="1312"/>
        <v>3405.2854015418839</v>
      </c>
      <c r="CD181" s="22">
        <f t="shared" si="1312"/>
        <v>3306.7020000000002</v>
      </c>
      <c r="CE181" s="22">
        <f t="shared" si="1312"/>
        <v>2552.0701175558547</v>
      </c>
      <c r="CF181" s="22">
        <f t="shared" ref="CF181:CG181" si="1314">CF172-CF180</f>
        <v>3025.4690000000001</v>
      </c>
      <c r="CG181" s="22">
        <f t="shared" si="1314"/>
        <v>2759.6946366649127</v>
      </c>
      <c r="CH181" s="22">
        <f t="shared" ref="CH181:CI181" si="1315">CH172-CH180</f>
        <v>3855.2890000000002</v>
      </c>
      <c r="CI181" s="22">
        <f t="shared" si="1315"/>
        <v>3259.3619665303804</v>
      </c>
      <c r="CJ181" s="22">
        <f t="shared" ref="CJ181:DB181" si="1316">CJ172-CJ180</f>
        <v>3982.9939999999988</v>
      </c>
      <c r="CK181" s="22">
        <f t="shared" si="1316"/>
        <v>4695.6401462345457</v>
      </c>
      <c r="CL181" s="22">
        <f t="shared" ref="CL181" si="1317">CL172-CL180</f>
        <v>3276.0410000000011</v>
      </c>
      <c r="CM181" s="21">
        <f t="shared" si="1316"/>
        <v>4100.147315023898</v>
      </c>
      <c r="CN181" s="21">
        <f t="shared" si="1316"/>
        <v>4185.2084965422891</v>
      </c>
      <c r="CO181" s="21">
        <f t="shared" si="1316"/>
        <v>4979.3671942606161</v>
      </c>
      <c r="CP181" s="21">
        <f t="shared" si="1316"/>
        <v>5728.8454889402174</v>
      </c>
      <c r="CQ181" s="21">
        <f t="shared" si="1316"/>
        <v>4649.226748366048</v>
      </c>
      <c r="CR181" s="21">
        <f t="shared" si="1316"/>
        <v>5008.8391976693629</v>
      </c>
      <c r="CS181" s="21">
        <f t="shared" si="1316"/>
        <v>5926.6261807902138</v>
      </c>
      <c r="CT181" s="21">
        <f t="shared" si="1316"/>
        <v>6763.4619043913699</v>
      </c>
      <c r="CU181" s="21">
        <f t="shared" si="1316"/>
        <v>5323.5952257279787</v>
      </c>
      <c r="CV181" s="21">
        <f t="shared" si="1316"/>
        <v>5734.6204371448766</v>
      </c>
      <c r="CW181" s="21">
        <f t="shared" si="1316"/>
        <v>6788.8542999964084</v>
      </c>
      <c r="CX181" s="21">
        <f t="shared" si="1316"/>
        <v>7742.5365254159005</v>
      </c>
      <c r="CY181" s="21">
        <f t="shared" si="1316"/>
        <v>6097.0147787827245</v>
      </c>
      <c r="CZ181" s="21">
        <f t="shared" si="1316"/>
        <v>6567.0488537210804</v>
      </c>
      <c r="DA181" s="21">
        <f t="shared" si="1316"/>
        <v>7778.0687214053396</v>
      </c>
      <c r="DB181" s="21">
        <f t="shared" si="1316"/>
        <v>8865.4467590388267</v>
      </c>
      <c r="DE181" s="126"/>
      <c r="DF181" s="22">
        <v>5503.3627564579474</v>
      </c>
    </row>
    <row r="182" spans="1:110" s="23" customFormat="1" x14ac:dyDescent="0.2">
      <c r="AB182" s="24"/>
      <c r="AC182" s="24"/>
      <c r="AD182" s="24"/>
      <c r="AE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</row>
    <row r="183" spans="1:110" s="23" customFormat="1" outlineLevel="1" x14ac:dyDescent="0.2">
      <c r="A183" s="23" t="s">
        <v>75</v>
      </c>
      <c r="B183" s="23">
        <f>'Annual Raw'!C75</f>
        <v>0</v>
      </c>
      <c r="C183" s="23">
        <f>'Annual Raw'!D75</f>
        <v>0</v>
      </c>
      <c r="D183" s="23">
        <f>'Annual Raw'!E75</f>
        <v>0</v>
      </c>
      <c r="E183" s="23">
        <f>'Annual Raw'!F75</f>
        <v>0</v>
      </c>
      <c r="F183" s="23">
        <f>'Annual Raw'!G75</f>
        <v>0</v>
      </c>
      <c r="G183" s="23">
        <f>'Annual Raw'!H75</f>
        <v>0</v>
      </c>
      <c r="H183" s="23">
        <f>'Annual Raw'!I75</f>
        <v>0</v>
      </c>
      <c r="I183" s="23">
        <f>'Annual Raw'!J75</f>
        <v>0</v>
      </c>
      <c r="J183" s="23">
        <f>'Annual Raw'!K75</f>
        <v>0</v>
      </c>
      <c r="K183" s="23">
        <f>'Annual Raw'!L75</f>
        <v>0</v>
      </c>
      <c r="L183" s="23">
        <f>'Annual Raw'!M75</f>
        <v>0</v>
      </c>
      <c r="M183" s="23">
        <f>'Annual Raw'!N75</f>
        <v>0</v>
      </c>
      <c r="N183" s="23">
        <f>'Annual Raw'!O75</f>
        <v>0</v>
      </c>
      <c r="O183" s="23">
        <f>'Annual Raw'!P75</f>
        <v>0</v>
      </c>
      <c r="P183" s="23">
        <f>'Annual Raw'!Q75</f>
        <v>0</v>
      </c>
      <c r="Q183" s="23">
        <f>'Annual Raw'!R75</f>
        <v>0</v>
      </c>
      <c r="R183" s="23">
        <f>'Annual Raw'!S75</f>
        <v>0</v>
      </c>
      <c r="S183" s="23">
        <f>'Annual Raw'!T75</f>
        <v>0</v>
      </c>
      <c r="T183" s="23">
        <f>'Annual Raw'!U75</f>
        <v>0</v>
      </c>
      <c r="U183" s="23">
        <f>'Annual Raw'!V75</f>
        <v>40</v>
      </c>
      <c r="V183" s="23">
        <f>'Annual Raw'!W75</f>
        <v>623.12699999999995</v>
      </c>
      <c r="W183" s="23">
        <f>'Annual Raw'!X75</f>
        <v>764.05100000000004</v>
      </c>
      <c r="X183" s="23">
        <f>'Annual Raw'!Y75</f>
        <v>1350.4949999999999</v>
      </c>
      <c r="Y183" s="23">
        <f>'Annual Raw'!Z75</f>
        <v>1822.4169999999999</v>
      </c>
      <c r="Z183" s="23">
        <f>'Annual Raw'!AA75</f>
        <v>1749.0419999999999</v>
      </c>
      <c r="AA183" s="23">
        <f>'Annual Raw'!AB75</f>
        <v>3404.8229999999999</v>
      </c>
      <c r="AB183" s="24">
        <f t="shared" ref="AB183:AB184" si="1318">+CP183</f>
        <v>0</v>
      </c>
      <c r="AC183" s="24">
        <f t="shared" ref="AC183:AC184" si="1319">+CT183</f>
        <v>0</v>
      </c>
      <c r="AD183" s="24">
        <f t="shared" ref="AD183:AD184" si="1320">+CX183</f>
        <v>0</v>
      </c>
      <c r="AE183" s="24">
        <f t="shared" ref="AE183:AE184" si="1321">+DB183</f>
        <v>0</v>
      </c>
      <c r="AJ183" s="23">
        <f>+'QTR Raw'!D80</f>
        <v>0</v>
      </c>
      <c r="AL183" s="23">
        <f>+'QTR Raw'!F80</f>
        <v>0</v>
      </c>
      <c r="AN183" s="23">
        <f>+'QTR Raw'!H80</f>
        <v>0</v>
      </c>
      <c r="AP183" s="23">
        <f>+'QTR Raw'!J80</f>
        <v>0</v>
      </c>
      <c r="AR183" s="23">
        <f>+'QTR Raw'!L80</f>
        <v>0</v>
      </c>
      <c r="AT183" s="23">
        <f>+'QTR Raw'!N80</f>
        <v>0</v>
      </c>
      <c r="AV183" s="23">
        <f>+'QTR Raw'!P80</f>
        <v>0</v>
      </c>
      <c r="AX183" s="23">
        <f>+'QTR Raw'!R80</f>
        <v>0</v>
      </c>
      <c r="AZ183" s="23">
        <f>+'QTR Raw'!T80</f>
        <v>0</v>
      </c>
      <c r="BB183" s="23">
        <f>+'QTR Raw'!V80</f>
        <v>0</v>
      </c>
      <c r="BD183" s="23">
        <f>+'QTR Raw'!X80</f>
        <v>0</v>
      </c>
      <c r="BF183" s="23">
        <f>+'QTR Raw'!Z80</f>
        <v>0</v>
      </c>
      <c r="BH183" s="23">
        <f>+'QTR Raw'!AB80</f>
        <v>0</v>
      </c>
      <c r="BJ183" s="23">
        <f>+'QTR Raw'!AD80</f>
        <v>0</v>
      </c>
      <c r="BL183" s="23">
        <f>+'QTR Raw'!AF80</f>
        <v>99.027000000000001</v>
      </c>
      <c r="BN183" s="23">
        <f>+'QTR Raw'!AH80</f>
        <v>40</v>
      </c>
      <c r="BP183" s="23">
        <f>+'QTR Raw'!AJ80</f>
        <v>561.14</v>
      </c>
      <c r="BR183" s="23">
        <f>+'QTR Raw'!AL80</f>
        <v>623.12699999999995</v>
      </c>
      <c r="BT183" s="23">
        <f>+'QTR Raw'!AN80</f>
        <v>661.92700000000002</v>
      </c>
      <c r="BV183" s="23">
        <f>+'QTR Raw'!AP80</f>
        <v>764.05100000000004</v>
      </c>
      <c r="BX183" s="23">
        <f>+'QTR Raw'!AR80</f>
        <v>1279.873</v>
      </c>
      <c r="BZ183" s="23">
        <f>+'QTR Raw'!AT80</f>
        <v>1350.4949999999999</v>
      </c>
      <c r="CB183" s="23">
        <f>+'QTR Raw'!AV80</f>
        <v>1278.837</v>
      </c>
      <c r="CD183" s="23">
        <f>+'QTR Raw'!AX80</f>
        <v>1822.4169999999999</v>
      </c>
      <c r="CF183" s="23">
        <f>+'QTR Raw'!AZ80</f>
        <v>2186.0360000000001</v>
      </c>
      <c r="CH183" s="23">
        <f t="shared" ref="CH183:CH184" si="1322">Z183</f>
        <v>1749.0419999999999</v>
      </c>
      <c r="CJ183" s="23">
        <f>+'QTR Raw'!BD80</f>
        <v>1697.4680000000001</v>
      </c>
      <c r="CL183" s="23">
        <f>+'QTR Raw'!BF80</f>
        <v>3404.8229999999999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  <c r="DF183" s="23">
        <v>3404.8229999999999</v>
      </c>
    </row>
    <row r="184" spans="1:110" s="23" customFormat="1" outlineLevel="1" x14ac:dyDescent="0.2">
      <c r="A184" s="23" t="s">
        <v>76</v>
      </c>
      <c r="B184" s="23">
        <f>'Annual Raw'!C78</f>
        <v>0</v>
      </c>
      <c r="C184" s="23">
        <f>'Annual Raw'!D78</f>
        <v>0</v>
      </c>
      <c r="D184" s="23">
        <f>'Annual Raw'!E78</f>
        <v>0</v>
      </c>
      <c r="E184" s="23">
        <f>'Annual Raw'!F78</f>
        <v>0</v>
      </c>
      <c r="F184" s="23">
        <f>'Annual Raw'!G78</f>
        <v>0</v>
      </c>
      <c r="G184" s="23">
        <f>'Annual Raw'!H78</f>
        <v>0</v>
      </c>
      <c r="H184" s="23">
        <f>'Annual Raw'!I78</f>
        <v>0</v>
      </c>
      <c r="I184" s="23">
        <f>'Annual Raw'!J78</f>
        <v>16.5096481</v>
      </c>
      <c r="J184" s="23">
        <f>'Annual Raw'!K78</f>
        <v>25.330427700000001</v>
      </c>
      <c r="K184" s="23">
        <f>'Annual Raw'!L78</f>
        <v>27.9961527</v>
      </c>
      <c r="L184" s="23">
        <f>'Annual Raw'!M78</f>
        <v>12.016999999999999</v>
      </c>
      <c r="M184" s="23">
        <f>'Annual Raw'!N78</f>
        <v>21.405000000000001</v>
      </c>
      <c r="N184" s="23">
        <f>'Annual Raw'!O78</f>
        <v>34.298999999999999</v>
      </c>
      <c r="O184" s="23">
        <f>'Annual Raw'!P78</f>
        <v>27.09</v>
      </c>
      <c r="P184" s="23">
        <f>'Annual Raw'!Q78</f>
        <v>26.984000000000002</v>
      </c>
      <c r="Q184" s="23">
        <f>'Annual Raw'!R78</f>
        <v>50.73</v>
      </c>
      <c r="R184" s="23">
        <f>'Annual Raw'!S78</f>
        <v>30.157</v>
      </c>
      <c r="S184" s="23">
        <f>'Annual Raw'!T78</f>
        <v>10.641999999999999</v>
      </c>
      <c r="T184" s="23">
        <f>'Annual Raw'!U78</f>
        <v>316.649</v>
      </c>
      <c r="U184" s="23">
        <f>'Annual Raw'!V78</f>
        <v>281.30700000000002</v>
      </c>
      <c r="V184" s="23">
        <f>'Annual Raw'!W78</f>
        <v>531.31799999999998</v>
      </c>
      <c r="W184" s="23">
        <f>'Annual Raw'!X78</f>
        <v>407.11799999999999</v>
      </c>
      <c r="X184" s="23">
        <f>'Annual Raw'!Y78</f>
        <v>695.24300000000005</v>
      </c>
      <c r="Y184" s="23">
        <f>'Annual Raw'!Z78</f>
        <v>402.358</v>
      </c>
      <c r="Z184" s="23">
        <f>'Annual Raw'!AA78</f>
        <v>770.63599999999997</v>
      </c>
      <c r="AA184" s="23">
        <f>'Annual Raw'!AB78</f>
        <v>882.47</v>
      </c>
      <c r="AB184" s="24">
        <f t="shared" si="1318"/>
        <v>4100.6459967087085</v>
      </c>
      <c r="AC184" s="24">
        <f t="shared" si="1319"/>
        <v>5958.1545956247128</v>
      </c>
      <c r="AD184" s="24">
        <f t="shared" si="1320"/>
        <v>8575.5854845973463</v>
      </c>
      <c r="AE184" s="24">
        <f t="shared" si="1321"/>
        <v>11787.013218684773</v>
      </c>
      <c r="AJ184" s="23">
        <f>+'QTR Raw'!D83</f>
        <v>0</v>
      </c>
      <c r="AK184" s="23" t="e">
        <f t="shared" ref="AK184:AM184" si="1323">+AK234</f>
        <v>#DIV/0!</v>
      </c>
      <c r="AL184" s="23">
        <f>+'QTR Raw'!F83</f>
        <v>0</v>
      </c>
      <c r="AM184" s="23" t="e">
        <f t="shared" si="1323"/>
        <v>#DIV/0!</v>
      </c>
      <c r="AN184" s="23">
        <f>+'QTR Raw'!H83</f>
        <v>0</v>
      </c>
      <c r="AO184" s="23" t="e">
        <f t="shared" ref="AO184" si="1324">+AO234</f>
        <v>#DIV/0!</v>
      </c>
      <c r="AP184" s="23">
        <f>+'QTR Raw'!J83</f>
        <v>0</v>
      </c>
      <c r="AQ184" s="23" t="e">
        <f t="shared" ref="AQ184" si="1325">+AQ234</f>
        <v>#DIV/0!</v>
      </c>
      <c r="AR184" s="23">
        <f>+'QTR Raw'!L83</f>
        <v>0</v>
      </c>
      <c r="AS184" s="23" t="e">
        <f t="shared" ref="AS184" si="1326">+AS234</f>
        <v>#DIV/0!</v>
      </c>
      <c r="AT184" s="23">
        <f>+'QTR Raw'!N83</f>
        <v>0</v>
      </c>
      <c r="AU184" s="23" t="e">
        <f t="shared" ref="AU184" si="1327">+AU234</f>
        <v>#DIV/0!</v>
      </c>
      <c r="AV184" s="23">
        <f>+'QTR Raw'!P83</f>
        <v>0</v>
      </c>
      <c r="AW184" s="23" t="e">
        <f t="shared" ref="AW184" si="1328">+AW234</f>
        <v>#DIV/0!</v>
      </c>
      <c r="AX184" s="23">
        <f>+'QTR Raw'!R83</f>
        <v>0</v>
      </c>
      <c r="AY184" s="23" t="e">
        <f t="shared" ref="AY184" si="1329">+AY234</f>
        <v>#DIV/0!</v>
      </c>
      <c r="AZ184" s="23">
        <f>+'QTR Raw'!T83</f>
        <v>0</v>
      </c>
      <c r="BA184" s="23" t="e">
        <f t="shared" ref="BA184" si="1330">+BA234</f>
        <v>#DIV/0!</v>
      </c>
      <c r="BB184" s="23">
        <f>+'QTR Raw'!V83</f>
        <v>0</v>
      </c>
      <c r="BC184" s="23" t="e">
        <f t="shared" ref="BC184" si="1331">+BC234</f>
        <v>#DIV/0!</v>
      </c>
      <c r="BD184" s="23">
        <f>+'QTR Raw'!X83</f>
        <v>0</v>
      </c>
      <c r="BE184" s="23" t="e">
        <f t="shared" ref="BE184" si="1332">+BE234</f>
        <v>#DIV/0!</v>
      </c>
      <c r="BF184" s="23">
        <f>+'QTR Raw'!Z83</f>
        <v>10.641999999999999</v>
      </c>
      <c r="BG184" s="23">
        <f t="shared" ref="BG184" si="1333">+BG234</f>
        <v>439.09164411352992</v>
      </c>
      <c r="BH184" s="23">
        <f>+'QTR Raw'!AB83</f>
        <v>0</v>
      </c>
      <c r="BI184" s="23">
        <f t="shared" ref="BI184" si="1334">+BI234</f>
        <v>193.3360000000001</v>
      </c>
      <c r="BJ184" s="23">
        <f>+'QTR Raw'!AD83</f>
        <v>316.649</v>
      </c>
      <c r="BK184" s="23">
        <f t="shared" ref="BK184" si="1335">+BK234</f>
        <v>827.53691654350894</v>
      </c>
      <c r="BL184" s="23">
        <f>+'QTR Raw'!AF83</f>
        <v>458.58300000000003</v>
      </c>
      <c r="BM184" s="23">
        <f t="shared" ref="BM184" si="1336">+BM234</f>
        <v>574.31680472786331</v>
      </c>
      <c r="BN184" s="23">
        <f>+'QTR Raw'!AH83</f>
        <v>281.30700000000002</v>
      </c>
      <c r="BO184" s="23">
        <f t="shared" ref="BO184" si="1337">+BO234</f>
        <v>1524.3121243840346</v>
      </c>
      <c r="BP184" s="23">
        <f>+'QTR Raw'!AJ83</f>
        <v>338.66199999999998</v>
      </c>
      <c r="BQ184" s="23">
        <f t="shared" ref="BQ184" si="1338">+BQ234</f>
        <v>624.582024655552</v>
      </c>
      <c r="BR184" s="23">
        <f>+'QTR Raw'!AL83</f>
        <v>531.31799999999998</v>
      </c>
      <c r="BS184" s="23">
        <f t="shared" ref="BS184" si="1339">+BS234</f>
        <v>1995.5008774183657</v>
      </c>
      <c r="BT184" s="23">
        <f>+'QTR Raw'!AN83</f>
        <v>242.149</v>
      </c>
      <c r="BU184" s="23">
        <f t="shared" ref="BU184" si="1340">+BU234</f>
        <v>983.4808614201313</v>
      </c>
      <c r="BV184" s="23">
        <f>+'QTR Raw'!AP83</f>
        <v>407.11799999999999</v>
      </c>
      <c r="BW184" s="23">
        <f t="shared" ref="BW184" si="1341">+BW234</f>
        <v>2098.8315850064314</v>
      </c>
      <c r="BX184" s="23">
        <f>+'QTR Raw'!AR83</f>
        <v>487.75599999999997</v>
      </c>
      <c r="BY184" s="23">
        <f t="shared" ref="BY184" si="1342">+BY234</f>
        <v>1928.6839779453458</v>
      </c>
      <c r="BZ184" s="23">
        <f>+'QTR Raw'!AT83</f>
        <v>695.24300000000005</v>
      </c>
      <c r="CA184" s="23">
        <f t="shared" ref="CA184" si="1343">+CA234</f>
        <v>2785.9846178173175</v>
      </c>
      <c r="CB184" s="23">
        <f>+'QTR Raw'!AV83</f>
        <v>408.88</v>
      </c>
      <c r="CC184" s="23">
        <f t="shared" ref="CC184" si="1344">+CC234</f>
        <v>2017.0865984581164</v>
      </c>
      <c r="CD184" s="23">
        <f>+'QTR Raw'!AX83</f>
        <v>402.358</v>
      </c>
      <c r="CE184" s="23">
        <f t="shared" ref="CE184" si="1345">+CE234</f>
        <v>3375.3608824441471</v>
      </c>
      <c r="CF184" s="23">
        <f>+'QTR Raw'!AZ83</f>
        <v>343.49200000000002</v>
      </c>
      <c r="CG184" s="23">
        <f t="shared" ref="CG184:CI184" si="1346">+CG234</f>
        <v>3252.8593633350874</v>
      </c>
      <c r="CH184" s="23">
        <f t="shared" si="1322"/>
        <v>770.63599999999997</v>
      </c>
      <c r="CI184" s="23">
        <f t="shared" si="1346"/>
        <v>3793.4290334696198</v>
      </c>
      <c r="CJ184" s="23">
        <f>+'QTR Raw'!BD83</f>
        <v>1098.9259999999999</v>
      </c>
      <c r="CK184" s="23">
        <f t="shared" ref="CK184:DB184" si="1347">+CK234</f>
        <v>2711.0328537654536</v>
      </c>
      <c r="CL184" s="23">
        <f>+'QTR Raw'!BF83</f>
        <v>882.47</v>
      </c>
      <c r="CM184" s="24">
        <f t="shared" si="1347"/>
        <v>3871.2539063706326</v>
      </c>
      <c r="CN184" s="24">
        <f t="shared" si="1347"/>
        <v>4275.1665375133516</v>
      </c>
      <c r="CO184" s="24">
        <f t="shared" si="1347"/>
        <v>4089.6876437822975</v>
      </c>
      <c r="CP184" s="24">
        <f t="shared" si="1347"/>
        <v>4100.6459967087085</v>
      </c>
      <c r="CQ184" s="24">
        <f t="shared" si="1347"/>
        <v>5736.6189724649676</v>
      </c>
      <c r="CR184" s="24">
        <f t="shared" si="1347"/>
        <v>5994.9655730809454</v>
      </c>
      <c r="CS184" s="24">
        <f t="shared" si="1347"/>
        <v>5858.7278094852027</v>
      </c>
      <c r="CT184" s="24">
        <f t="shared" si="1347"/>
        <v>5958.1545956247128</v>
      </c>
      <c r="CU184" s="24">
        <f t="shared" si="1347"/>
        <v>8088.107801715717</v>
      </c>
      <c r="CV184" s="24">
        <f t="shared" si="1347"/>
        <v>8447.4143995473423</v>
      </c>
      <c r="CW184" s="24">
        <f t="shared" si="1347"/>
        <v>8366.8632629981203</v>
      </c>
      <c r="CX184" s="24">
        <f t="shared" si="1347"/>
        <v>8575.5854845973463</v>
      </c>
      <c r="CY184" s="24">
        <f t="shared" si="1347"/>
        <v>11067.077955757199</v>
      </c>
      <c r="CZ184" s="24">
        <f t="shared" si="1347"/>
        <v>11535.750642829609</v>
      </c>
      <c r="DA184" s="24">
        <f t="shared" si="1347"/>
        <v>11495.543960117062</v>
      </c>
      <c r="DB184" s="24">
        <f t="shared" si="1347"/>
        <v>11787.013218684773</v>
      </c>
      <c r="DE184" s="123"/>
      <c r="DF184" s="23">
        <v>2727.1982516682151</v>
      </c>
    </row>
    <row r="185" spans="1:110" s="22" customFormat="1" x14ac:dyDescent="0.2">
      <c r="A185" s="22" t="s">
        <v>77</v>
      </c>
      <c r="B185" s="22">
        <f>B183+B184</f>
        <v>0</v>
      </c>
      <c r="C185" s="22">
        <f t="shared" ref="C185:V185" si="1348">C183+C184</f>
        <v>0</v>
      </c>
      <c r="D185" s="22">
        <f t="shared" si="1348"/>
        <v>0</v>
      </c>
      <c r="E185" s="22">
        <f t="shared" si="1348"/>
        <v>0</v>
      </c>
      <c r="F185" s="22">
        <f t="shared" si="1348"/>
        <v>0</v>
      </c>
      <c r="G185" s="22">
        <f t="shared" si="1348"/>
        <v>0</v>
      </c>
      <c r="H185" s="22">
        <f t="shared" si="1348"/>
        <v>0</v>
      </c>
      <c r="I185" s="22">
        <f t="shared" si="1348"/>
        <v>16.5096481</v>
      </c>
      <c r="J185" s="22">
        <f t="shared" si="1348"/>
        <v>25.330427700000001</v>
      </c>
      <c r="K185" s="22">
        <f t="shared" si="1348"/>
        <v>27.9961527</v>
      </c>
      <c r="L185" s="22">
        <f t="shared" si="1348"/>
        <v>12.016999999999999</v>
      </c>
      <c r="M185" s="22">
        <f t="shared" si="1348"/>
        <v>21.405000000000001</v>
      </c>
      <c r="N185" s="22">
        <f t="shared" si="1348"/>
        <v>34.298999999999999</v>
      </c>
      <c r="O185" s="22">
        <f t="shared" si="1348"/>
        <v>27.09</v>
      </c>
      <c r="P185" s="22">
        <f t="shared" si="1348"/>
        <v>26.984000000000002</v>
      </c>
      <c r="Q185" s="22">
        <f t="shared" si="1348"/>
        <v>50.73</v>
      </c>
      <c r="R185" s="22">
        <f t="shared" si="1348"/>
        <v>30.157</v>
      </c>
      <c r="S185" s="22">
        <f t="shared" si="1348"/>
        <v>10.641999999999999</v>
      </c>
      <c r="T185" s="22">
        <f t="shared" si="1348"/>
        <v>316.649</v>
      </c>
      <c r="U185" s="22">
        <f t="shared" si="1348"/>
        <v>321.30700000000002</v>
      </c>
      <c r="V185" s="22">
        <f t="shared" si="1348"/>
        <v>1154.4449999999999</v>
      </c>
      <c r="W185" s="22">
        <f t="shared" ref="W185" si="1349">W183+W184</f>
        <v>1171.1690000000001</v>
      </c>
      <c r="X185" s="22">
        <f t="shared" ref="X185:Y185" si="1350">X183+X184</f>
        <v>2045.7379999999998</v>
      </c>
      <c r="Y185" s="22">
        <f t="shared" si="1350"/>
        <v>2224.7750000000001</v>
      </c>
      <c r="Z185" s="22">
        <f t="shared" ref="Z185:AA185" si="1351">Z183+Z184</f>
        <v>2519.6779999999999</v>
      </c>
      <c r="AA185" s="22">
        <f t="shared" si="1351"/>
        <v>4287.2929999999997</v>
      </c>
      <c r="AB185" s="21">
        <f t="shared" ref="AA185:AD185" si="1352">AB183+AB184</f>
        <v>4100.6459967087085</v>
      </c>
      <c r="AC185" s="21">
        <f t="shared" si="1352"/>
        <v>5958.1545956247128</v>
      </c>
      <c r="AD185" s="21">
        <f t="shared" si="1352"/>
        <v>8575.5854845973463</v>
      </c>
      <c r="AE185" s="21">
        <f t="shared" ref="AE185" si="1353">AE183+AE184</f>
        <v>11787.013218684773</v>
      </c>
      <c r="AJ185" s="22">
        <f t="shared" ref="AJ185" si="1354">AJ183+AJ184</f>
        <v>0</v>
      </c>
      <c r="AK185" s="22" t="e">
        <f t="shared" ref="AK185" si="1355">AK183+AK184</f>
        <v>#DIV/0!</v>
      </c>
      <c r="AL185" s="22">
        <f t="shared" ref="AL185:AM185" si="1356">AL183+AL184</f>
        <v>0</v>
      </c>
      <c r="AM185" s="22" t="e">
        <f t="shared" si="1356"/>
        <v>#DIV/0!</v>
      </c>
      <c r="AN185" s="22">
        <f t="shared" ref="AN185:AO185" si="1357">AN183+AN184</f>
        <v>0</v>
      </c>
      <c r="AO185" s="22" t="e">
        <f t="shared" si="1357"/>
        <v>#DIV/0!</v>
      </c>
      <c r="AP185" s="22">
        <f t="shared" ref="AP185:CE185" si="1358">AP183+AP184</f>
        <v>0</v>
      </c>
      <c r="AQ185" s="22" t="e">
        <f t="shared" si="1358"/>
        <v>#DIV/0!</v>
      </c>
      <c r="AR185" s="22">
        <f t="shared" si="1358"/>
        <v>0</v>
      </c>
      <c r="AS185" s="22" t="e">
        <f t="shared" si="1358"/>
        <v>#DIV/0!</v>
      </c>
      <c r="AT185" s="22">
        <f t="shared" si="1358"/>
        <v>0</v>
      </c>
      <c r="AU185" s="22" t="e">
        <f t="shared" si="1358"/>
        <v>#DIV/0!</v>
      </c>
      <c r="AV185" s="22">
        <f t="shared" si="1358"/>
        <v>0</v>
      </c>
      <c r="AW185" s="22" t="e">
        <f t="shared" si="1358"/>
        <v>#DIV/0!</v>
      </c>
      <c r="AX185" s="22">
        <f t="shared" si="1358"/>
        <v>0</v>
      </c>
      <c r="AY185" s="22" t="e">
        <f t="shared" si="1358"/>
        <v>#DIV/0!</v>
      </c>
      <c r="AZ185" s="22">
        <f t="shared" si="1358"/>
        <v>0</v>
      </c>
      <c r="BA185" s="22" t="e">
        <f t="shared" si="1358"/>
        <v>#DIV/0!</v>
      </c>
      <c r="BB185" s="22">
        <f t="shared" si="1358"/>
        <v>0</v>
      </c>
      <c r="BC185" s="22" t="e">
        <f t="shared" si="1358"/>
        <v>#DIV/0!</v>
      </c>
      <c r="BD185" s="22">
        <f t="shared" si="1358"/>
        <v>0</v>
      </c>
      <c r="BE185" s="22" t="e">
        <f t="shared" si="1358"/>
        <v>#DIV/0!</v>
      </c>
      <c r="BF185" s="22">
        <f t="shared" si="1358"/>
        <v>10.641999999999999</v>
      </c>
      <c r="BG185" s="22">
        <f t="shared" si="1358"/>
        <v>439.09164411352992</v>
      </c>
      <c r="BH185" s="22">
        <f t="shared" si="1358"/>
        <v>0</v>
      </c>
      <c r="BI185" s="22">
        <f t="shared" si="1358"/>
        <v>193.3360000000001</v>
      </c>
      <c r="BJ185" s="22">
        <f t="shared" si="1358"/>
        <v>316.649</v>
      </c>
      <c r="BK185" s="22">
        <f t="shared" si="1358"/>
        <v>827.53691654350894</v>
      </c>
      <c r="BL185" s="22">
        <f t="shared" si="1358"/>
        <v>557.61</v>
      </c>
      <c r="BM185" s="22">
        <f t="shared" si="1358"/>
        <v>574.31680472786331</v>
      </c>
      <c r="BN185" s="22">
        <f t="shared" si="1358"/>
        <v>321.30700000000002</v>
      </c>
      <c r="BO185" s="22">
        <f t="shared" si="1358"/>
        <v>1524.3121243840346</v>
      </c>
      <c r="BP185" s="22">
        <f t="shared" si="1358"/>
        <v>899.80199999999991</v>
      </c>
      <c r="BQ185" s="22">
        <f t="shared" si="1358"/>
        <v>624.582024655552</v>
      </c>
      <c r="BR185" s="22">
        <f t="shared" si="1358"/>
        <v>1154.4449999999999</v>
      </c>
      <c r="BS185" s="22">
        <f t="shared" si="1358"/>
        <v>1995.5008774183657</v>
      </c>
      <c r="BT185" s="22">
        <f t="shared" si="1358"/>
        <v>904.07600000000002</v>
      </c>
      <c r="BU185" s="22">
        <f t="shared" si="1358"/>
        <v>983.4808614201313</v>
      </c>
      <c r="BV185" s="22">
        <f t="shared" si="1358"/>
        <v>1171.1690000000001</v>
      </c>
      <c r="BW185" s="22">
        <f t="shared" si="1358"/>
        <v>2098.8315850064314</v>
      </c>
      <c r="BX185" s="22">
        <f t="shared" si="1358"/>
        <v>1767.6289999999999</v>
      </c>
      <c r="BY185" s="22">
        <f t="shared" si="1358"/>
        <v>1928.6839779453458</v>
      </c>
      <c r="BZ185" s="22">
        <f t="shared" si="1358"/>
        <v>2045.7379999999998</v>
      </c>
      <c r="CA185" s="22">
        <f t="shared" si="1358"/>
        <v>2785.9846178173175</v>
      </c>
      <c r="CB185" s="22">
        <f t="shared" si="1358"/>
        <v>1687.7170000000001</v>
      </c>
      <c r="CC185" s="22">
        <f t="shared" si="1358"/>
        <v>2017.0865984581164</v>
      </c>
      <c r="CD185" s="22">
        <f t="shared" si="1358"/>
        <v>2224.7750000000001</v>
      </c>
      <c r="CE185" s="22">
        <f t="shared" si="1358"/>
        <v>3375.3608824441471</v>
      </c>
      <c r="CF185" s="22">
        <f t="shared" ref="CF185:CG185" si="1359">CF183+CF184</f>
        <v>2529.5280000000002</v>
      </c>
      <c r="CG185" s="22">
        <f t="shared" si="1359"/>
        <v>3252.8593633350874</v>
      </c>
      <c r="CH185" s="22">
        <f t="shared" ref="CH185:CI185" si="1360">CH183+CH184</f>
        <v>2519.6779999999999</v>
      </c>
      <c r="CI185" s="22">
        <f t="shared" si="1360"/>
        <v>3793.4290334696198</v>
      </c>
      <c r="CJ185" s="22">
        <f t="shared" ref="CJ185:DB185" si="1361">CJ183+CJ184</f>
        <v>2796.3940000000002</v>
      </c>
      <c r="CK185" s="22">
        <f t="shared" si="1361"/>
        <v>2711.0328537654536</v>
      </c>
      <c r="CL185" s="22">
        <f t="shared" ref="CL185" si="1362">CL183+CL184</f>
        <v>4287.2929999999997</v>
      </c>
      <c r="CM185" s="21">
        <f t="shared" si="1361"/>
        <v>3871.2539063706326</v>
      </c>
      <c r="CN185" s="21">
        <f t="shared" si="1361"/>
        <v>4275.1665375133516</v>
      </c>
      <c r="CO185" s="21">
        <f t="shared" si="1361"/>
        <v>4089.6876437822975</v>
      </c>
      <c r="CP185" s="21">
        <f t="shared" si="1361"/>
        <v>4100.6459967087085</v>
      </c>
      <c r="CQ185" s="21">
        <f t="shared" si="1361"/>
        <v>5736.6189724649676</v>
      </c>
      <c r="CR185" s="21">
        <f t="shared" si="1361"/>
        <v>5994.9655730809454</v>
      </c>
      <c r="CS185" s="21">
        <f t="shared" si="1361"/>
        <v>5858.7278094852027</v>
      </c>
      <c r="CT185" s="21">
        <f t="shared" si="1361"/>
        <v>5958.1545956247128</v>
      </c>
      <c r="CU185" s="21">
        <f t="shared" si="1361"/>
        <v>8088.107801715717</v>
      </c>
      <c r="CV185" s="21">
        <f t="shared" si="1361"/>
        <v>8447.4143995473423</v>
      </c>
      <c r="CW185" s="21">
        <f t="shared" si="1361"/>
        <v>8366.8632629981203</v>
      </c>
      <c r="CX185" s="21">
        <f t="shared" si="1361"/>
        <v>8575.5854845973463</v>
      </c>
      <c r="CY185" s="21">
        <f t="shared" si="1361"/>
        <v>11067.077955757199</v>
      </c>
      <c r="CZ185" s="21">
        <f t="shared" si="1361"/>
        <v>11535.750642829609</v>
      </c>
      <c r="DA185" s="21">
        <f t="shared" si="1361"/>
        <v>11495.543960117062</v>
      </c>
      <c r="DB185" s="21">
        <f t="shared" si="1361"/>
        <v>11787.013218684773</v>
      </c>
      <c r="DE185" s="126"/>
      <c r="DF185" s="22">
        <v>2727.1982516682151</v>
      </c>
    </row>
    <row r="186" spans="1:110" s="23" customFormat="1" x14ac:dyDescent="0.2">
      <c r="AB186" s="24"/>
      <c r="AC186" s="24"/>
      <c r="AD186" s="24"/>
      <c r="AE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</row>
    <row r="187" spans="1:110" s="23" customFormat="1" x14ac:dyDescent="0.2">
      <c r="A187" s="23" t="s">
        <v>78</v>
      </c>
      <c r="B187" s="23">
        <f>-'Annual Raw'!C49</f>
        <v>0</v>
      </c>
      <c r="C187" s="23">
        <f>-'Annual Raw'!D49</f>
        <v>0</v>
      </c>
      <c r="D187" s="23">
        <f>-'Annual Raw'!E49</f>
        <v>0</v>
      </c>
      <c r="E187" s="23">
        <f>-'Annual Raw'!F49</f>
        <v>0</v>
      </c>
      <c r="F187" s="23">
        <f>-'Annual Raw'!G49</f>
        <v>0</v>
      </c>
      <c r="G187" s="23">
        <f>-'Annual Raw'!H49</f>
        <v>0</v>
      </c>
      <c r="H187" s="23">
        <f>-'Annual Raw'!I49</f>
        <v>0</v>
      </c>
      <c r="I187" s="23">
        <f>-'Annual Raw'!J49</f>
        <v>-1.9680181000000001</v>
      </c>
      <c r="J187" s="23">
        <f>-'Annual Raw'!K49</f>
        <v>-3.6678039</v>
      </c>
      <c r="K187" s="23">
        <f>-'Annual Raw'!L49</f>
        <v>3.1358144999999999</v>
      </c>
      <c r="L187" s="23">
        <f>-'Annual Raw'!M49</f>
        <v>-9.5389999999999997</v>
      </c>
      <c r="M187" s="23">
        <f>-'Annual Raw'!N49</f>
        <v>-19.044</v>
      </c>
      <c r="N187" s="23">
        <f>-'Annual Raw'!O49</f>
        <v>-20.189</v>
      </c>
      <c r="O187" s="23">
        <f>-'Annual Raw'!P49</f>
        <v>-26.576000000000001</v>
      </c>
      <c r="P187" s="23">
        <f>-'Annual Raw'!Q49</f>
        <v>-17.135000000000002</v>
      </c>
      <c r="Q187" s="23">
        <f>-'Annual Raw'!R49</f>
        <v>-21.06</v>
      </c>
      <c r="R187" s="23">
        <f>-'Annual Raw'!S49</f>
        <v>-65.668999999999997</v>
      </c>
      <c r="S187" s="23">
        <f>-'Annual Raw'!T49</f>
        <v>-55.337000000000003</v>
      </c>
      <c r="T187" s="23">
        <f>-'Annual Raw'!U49</f>
        <v>-23.102</v>
      </c>
      <c r="U187" s="23">
        <f>-'Annual Raw'!V49</f>
        <v>-16.481000000000002</v>
      </c>
      <c r="V187" s="23">
        <f>-'Annual Raw'!W49</f>
        <v>-41.802999999999997</v>
      </c>
      <c r="W187" s="23">
        <f>-'Annual Raw'!X49</f>
        <v>-27.175000000000001</v>
      </c>
      <c r="X187" s="23">
        <f>-'Annual Raw'!Y49</f>
        <v>-40.923999999999999</v>
      </c>
      <c r="Y187" s="23">
        <f>-'Annual Raw'!Z49</f>
        <v>-41.502000000000002</v>
      </c>
      <c r="Z187" s="23">
        <f>-'Annual Raw'!AA49</f>
        <v>-75.433000000000007</v>
      </c>
      <c r="AA187" s="23">
        <f>-'Annual Raw'!AB49</f>
        <v>-40.804000000000002</v>
      </c>
      <c r="AB187" s="24">
        <f t="shared" ref="AB187:AB188" si="1363">+CP187</f>
        <v>-40.804000000000002</v>
      </c>
      <c r="AC187" s="24">
        <f t="shared" ref="AC187:AC188" si="1364">+CT187</f>
        <v>-40.804000000000002</v>
      </c>
      <c r="AD187" s="24">
        <f t="shared" ref="AD187:AD188" si="1365">+CX187</f>
        <v>-40.804000000000002</v>
      </c>
      <c r="AE187" s="24">
        <f t="shared" ref="AE187:AE188" si="1366">+DB187</f>
        <v>-40.804000000000002</v>
      </c>
      <c r="AJ187" s="23">
        <f>+'QTR Raw'!D96</f>
        <v>0</v>
      </c>
      <c r="AK187" s="23">
        <f t="shared" ref="AK187:CE187" si="1367">+AJ187</f>
        <v>0</v>
      </c>
      <c r="AL187" s="23">
        <f>+'QTR Raw'!F96</f>
        <v>0</v>
      </c>
      <c r="AM187" s="23">
        <f t="shared" si="1367"/>
        <v>0</v>
      </c>
      <c r="AN187" s="23">
        <f>+'QTR Raw'!H96</f>
        <v>0</v>
      </c>
      <c r="AO187" s="23">
        <f t="shared" si="1367"/>
        <v>0</v>
      </c>
      <c r="AP187" s="23">
        <f>+'QTR Raw'!J96</f>
        <v>0</v>
      </c>
      <c r="AQ187" s="23">
        <f t="shared" si="1367"/>
        <v>0</v>
      </c>
      <c r="AR187" s="23">
        <f>+'QTR Raw'!L96</f>
        <v>0</v>
      </c>
      <c r="AS187" s="23">
        <f t="shared" si="1367"/>
        <v>0</v>
      </c>
      <c r="AT187" s="23">
        <f>+'QTR Raw'!N96</f>
        <v>0</v>
      </c>
      <c r="AU187" s="23">
        <f t="shared" si="1367"/>
        <v>0</v>
      </c>
      <c r="AV187" s="23">
        <f>+'QTR Raw'!P96</f>
        <v>0</v>
      </c>
      <c r="AW187" s="23">
        <f t="shared" si="1367"/>
        <v>0</v>
      </c>
      <c r="AX187" s="23">
        <f>+'QTR Raw'!R96</f>
        <v>0</v>
      </c>
      <c r="AY187" s="23">
        <f t="shared" si="1367"/>
        <v>0</v>
      </c>
      <c r="AZ187" s="23">
        <f>+'QTR Raw'!T96</f>
        <v>0</v>
      </c>
      <c r="BA187" s="23">
        <f t="shared" si="1367"/>
        <v>0</v>
      </c>
      <c r="BB187" s="23">
        <f>+'QTR Raw'!V96</f>
        <v>0</v>
      </c>
      <c r="BC187" s="23">
        <f t="shared" si="1367"/>
        <v>0</v>
      </c>
      <c r="BD187" s="23">
        <f>+'QTR Raw'!X96</f>
        <v>0</v>
      </c>
      <c r="BE187" s="23">
        <f t="shared" si="1367"/>
        <v>0</v>
      </c>
      <c r="BF187" s="23">
        <f>+'QTR Raw'!Z96</f>
        <v>-55.337000000000003</v>
      </c>
      <c r="BG187" s="23">
        <f t="shared" si="1367"/>
        <v>-55.337000000000003</v>
      </c>
      <c r="BH187" s="23">
        <f>+'QTR Raw'!AB96</f>
        <v>0</v>
      </c>
      <c r="BI187" s="23">
        <f t="shared" si="1367"/>
        <v>0</v>
      </c>
      <c r="BJ187" s="23">
        <f>+'QTR Raw'!AD96</f>
        <v>-23.102</v>
      </c>
      <c r="BK187" s="23">
        <f t="shared" si="1367"/>
        <v>-23.102</v>
      </c>
      <c r="BL187" s="23">
        <f>+'QTR Raw'!AF96</f>
        <v>-6.1310000000000002</v>
      </c>
      <c r="BM187" s="23">
        <f t="shared" si="1367"/>
        <v>-6.1310000000000002</v>
      </c>
      <c r="BN187" s="23">
        <f>+'QTR Raw'!AH96</f>
        <v>-16.481000000000002</v>
      </c>
      <c r="BO187" s="23">
        <f t="shared" si="1367"/>
        <v>-16.481000000000002</v>
      </c>
      <c r="BP187" s="23">
        <f>+'QTR Raw'!AJ96</f>
        <v>-37.292999999999999</v>
      </c>
      <c r="BQ187" s="23">
        <f t="shared" si="1367"/>
        <v>-37.292999999999999</v>
      </c>
      <c r="BR187" s="23">
        <f>+'QTR Raw'!AL96</f>
        <v>-41.802999999999997</v>
      </c>
      <c r="BS187" s="23">
        <f t="shared" si="1367"/>
        <v>-41.802999999999997</v>
      </c>
      <c r="BT187" s="23">
        <f>+'QTR Raw'!AN96</f>
        <v>-36.555</v>
      </c>
      <c r="BU187" s="23">
        <f t="shared" si="1367"/>
        <v>-36.555</v>
      </c>
      <c r="BV187" s="23">
        <f>+'QTR Raw'!AP96</f>
        <v>-27.175000000000001</v>
      </c>
      <c r="BW187" s="23">
        <f t="shared" si="1367"/>
        <v>-27.175000000000001</v>
      </c>
      <c r="BX187" s="23">
        <f>+'QTR Raw'!AR96</f>
        <v>-25.623999999999999</v>
      </c>
      <c r="BY187" s="23">
        <f t="shared" si="1367"/>
        <v>-25.623999999999999</v>
      </c>
      <c r="BZ187" s="23">
        <f>+'QTR Raw'!AT96</f>
        <v>-40.923999999999999</v>
      </c>
      <c r="CA187" s="23">
        <f t="shared" si="1367"/>
        <v>-40.923999999999999</v>
      </c>
      <c r="CB187" s="23">
        <f>+'QTR Raw'!AV96</f>
        <v>-30.344000000000001</v>
      </c>
      <c r="CC187" s="23">
        <f t="shared" si="1367"/>
        <v>-30.344000000000001</v>
      </c>
      <c r="CD187" s="23">
        <f>+'QTR Raw'!AX96</f>
        <v>-41.502000000000002</v>
      </c>
      <c r="CE187" s="23">
        <f t="shared" si="1367"/>
        <v>-41.502000000000002</v>
      </c>
      <c r="CF187" s="23">
        <f>+'QTR Raw'!AZ96</f>
        <v>-58.871000000000002</v>
      </c>
      <c r="CG187" s="23">
        <f t="shared" ref="CG187:CI188" si="1368">+CF187</f>
        <v>-58.871000000000002</v>
      </c>
      <c r="CH187" s="23">
        <f t="shared" ref="CH187:CH188" si="1369">Z187</f>
        <v>-75.433000000000007</v>
      </c>
      <c r="CI187" s="23">
        <f t="shared" si="1368"/>
        <v>-75.433000000000007</v>
      </c>
      <c r="CJ187" s="23">
        <f>+'QTR Raw'!BD96</f>
        <v>-84.064999999999998</v>
      </c>
      <c r="CK187" s="23">
        <f t="shared" ref="CK187:CK188" si="1370">+CJ187</f>
        <v>-84.064999999999998</v>
      </c>
      <c r="CL187" s="23">
        <f>+'QTR Raw'!BF96</f>
        <v>-40.804000000000002</v>
      </c>
      <c r="CM187" s="24">
        <f t="shared" ref="CM187:CM188" si="1371">+CL187</f>
        <v>-40.804000000000002</v>
      </c>
      <c r="CN187" s="24">
        <f t="shared" ref="CN187:CN188" si="1372">+CM187</f>
        <v>-40.804000000000002</v>
      </c>
      <c r="CO187" s="24">
        <f t="shared" ref="CO187:CO188" si="1373">+CN187</f>
        <v>-40.804000000000002</v>
      </c>
      <c r="CP187" s="24">
        <f t="shared" ref="CP187:CP188" si="1374">+CO187</f>
        <v>-40.804000000000002</v>
      </c>
      <c r="CQ187" s="24">
        <f t="shared" ref="CQ187:CQ188" si="1375">+CP187</f>
        <v>-40.804000000000002</v>
      </c>
      <c r="CR187" s="24">
        <f t="shared" ref="CR187:CR188" si="1376">+CQ187</f>
        <v>-40.804000000000002</v>
      </c>
      <c r="CS187" s="24">
        <f t="shared" ref="CS187:CS188" si="1377">+CR187</f>
        <v>-40.804000000000002</v>
      </c>
      <c r="CT187" s="24">
        <f t="shared" ref="CT187:CT188" si="1378">+CS187</f>
        <v>-40.804000000000002</v>
      </c>
      <c r="CU187" s="24">
        <f t="shared" ref="CU187:CU188" si="1379">+CT187</f>
        <v>-40.804000000000002</v>
      </c>
      <c r="CV187" s="24">
        <f t="shared" ref="CV187:CV188" si="1380">+CU187</f>
        <v>-40.804000000000002</v>
      </c>
      <c r="CW187" s="24">
        <f t="shared" ref="CW187:CW188" si="1381">+CV187</f>
        <v>-40.804000000000002</v>
      </c>
      <c r="CX187" s="24">
        <f t="shared" ref="CX187:CX188" si="1382">+CW187</f>
        <v>-40.804000000000002</v>
      </c>
      <c r="CY187" s="24">
        <f t="shared" ref="CY187:CY188" si="1383">+CX187</f>
        <v>-40.804000000000002</v>
      </c>
      <c r="CZ187" s="24">
        <f t="shared" ref="CZ187:CZ188" si="1384">+CY187</f>
        <v>-40.804000000000002</v>
      </c>
      <c r="DA187" s="24">
        <f t="shared" ref="DA187:DA188" si="1385">+CZ187</f>
        <v>-40.804000000000002</v>
      </c>
      <c r="DB187" s="24">
        <f t="shared" ref="DB187:DB188" si="1386">+DA187</f>
        <v>-40.804000000000002</v>
      </c>
      <c r="DE187" s="123"/>
      <c r="DF187" s="23">
        <v>-84.064999999999998</v>
      </c>
    </row>
    <row r="188" spans="1:110" s="23" customFormat="1" x14ac:dyDescent="0.2">
      <c r="A188" s="23" t="s">
        <v>79</v>
      </c>
      <c r="B188" s="23">
        <f>'Annual Raw'!C83</f>
        <v>0</v>
      </c>
      <c r="C188" s="23">
        <f>'Annual Raw'!D83</f>
        <v>0</v>
      </c>
      <c r="D188" s="23">
        <f>'Annual Raw'!E83</f>
        <v>0</v>
      </c>
      <c r="E188" s="23">
        <f>'Annual Raw'!F83</f>
        <v>0</v>
      </c>
      <c r="F188" s="23">
        <f>'Annual Raw'!G83</f>
        <v>0</v>
      </c>
      <c r="G188" s="23">
        <f>'Annual Raw'!H83</f>
        <v>0</v>
      </c>
      <c r="H188" s="23">
        <f>'Annual Raw'!I83</f>
        <v>0</v>
      </c>
      <c r="I188" s="23">
        <f>'Annual Raw'!J83</f>
        <v>0</v>
      </c>
      <c r="J188" s="23">
        <f>'Annual Raw'!K83</f>
        <v>0</v>
      </c>
      <c r="K188" s="23">
        <f>'Annual Raw'!L83</f>
        <v>0</v>
      </c>
      <c r="L188" s="23">
        <f>'Annual Raw'!M83</f>
        <v>0</v>
      </c>
      <c r="M188" s="23">
        <f>'Annual Raw'!N83</f>
        <v>0</v>
      </c>
      <c r="N188" s="23">
        <f>'Annual Raw'!O83</f>
        <v>0</v>
      </c>
      <c r="O188" s="23">
        <f>'Annual Raw'!P83</f>
        <v>0</v>
      </c>
      <c r="P188" s="23">
        <f>'Annual Raw'!Q83</f>
        <v>0</v>
      </c>
      <c r="Q188" s="23">
        <f>'Annual Raw'!R83</f>
        <v>0</v>
      </c>
      <c r="R188" s="23">
        <f>'Annual Raw'!S83</f>
        <v>0</v>
      </c>
      <c r="S188" s="23">
        <f>'Annual Raw'!T83</f>
        <v>0</v>
      </c>
      <c r="T188" s="23">
        <f>'Annual Raw'!U83</f>
        <v>0</v>
      </c>
      <c r="U188" s="23">
        <f>'Annual Raw'!V83</f>
        <v>0</v>
      </c>
      <c r="V188" s="23">
        <f>'Annual Raw'!W83</f>
        <v>0</v>
      </c>
      <c r="W188" s="23">
        <f>'Annual Raw'!X83</f>
        <v>0</v>
      </c>
      <c r="X188" s="23">
        <f>'Annual Raw'!Y83</f>
        <v>0</v>
      </c>
      <c r="Y188" s="23">
        <f>'Annual Raw'!Z83</f>
        <v>0</v>
      </c>
      <c r="Z188" s="23">
        <f>'Annual Raw'!AA83</f>
        <v>0</v>
      </c>
      <c r="AA188" s="23">
        <f>'Annual Raw'!AB83</f>
        <v>0</v>
      </c>
      <c r="AB188" s="24">
        <f t="shared" si="1363"/>
        <v>0</v>
      </c>
      <c r="AC188" s="24">
        <f t="shared" si="1364"/>
        <v>0</v>
      </c>
      <c r="AD188" s="24">
        <f t="shared" si="1365"/>
        <v>0</v>
      </c>
      <c r="AE188" s="24">
        <f t="shared" si="1366"/>
        <v>0</v>
      </c>
      <c r="AJ188" s="23">
        <f>+'QTR Raw'!D95</f>
        <v>0</v>
      </c>
      <c r="AK188" s="23">
        <f t="shared" ref="AK188:CE188" si="1387">+AJ188</f>
        <v>0</v>
      </c>
      <c r="AL188" s="23">
        <f>+'QTR Raw'!F95</f>
        <v>0</v>
      </c>
      <c r="AM188" s="23">
        <f t="shared" si="1387"/>
        <v>0</v>
      </c>
      <c r="AN188" s="23">
        <f>+'QTR Raw'!H95</f>
        <v>0</v>
      </c>
      <c r="AO188" s="23">
        <f t="shared" si="1387"/>
        <v>0</v>
      </c>
      <c r="AP188" s="23">
        <f>+'QTR Raw'!J95</f>
        <v>0</v>
      </c>
      <c r="AQ188" s="23">
        <f t="shared" si="1387"/>
        <v>0</v>
      </c>
      <c r="AR188" s="23">
        <f>+'QTR Raw'!L95</f>
        <v>0</v>
      </c>
      <c r="AS188" s="23">
        <f t="shared" si="1387"/>
        <v>0</v>
      </c>
      <c r="AT188" s="23">
        <f>+'QTR Raw'!N95</f>
        <v>0</v>
      </c>
      <c r="AU188" s="23">
        <f t="shared" si="1387"/>
        <v>0</v>
      </c>
      <c r="AV188" s="23">
        <f>+'QTR Raw'!P95</f>
        <v>0</v>
      </c>
      <c r="AW188" s="23">
        <f t="shared" si="1387"/>
        <v>0</v>
      </c>
      <c r="AX188" s="23">
        <f>+'QTR Raw'!R95</f>
        <v>0</v>
      </c>
      <c r="AY188" s="23">
        <f t="shared" si="1387"/>
        <v>0</v>
      </c>
      <c r="AZ188" s="23">
        <f>+'QTR Raw'!T95</f>
        <v>0</v>
      </c>
      <c r="BA188" s="23">
        <f t="shared" si="1387"/>
        <v>0</v>
      </c>
      <c r="BB188" s="23">
        <f>+'QTR Raw'!V95</f>
        <v>0</v>
      </c>
      <c r="BC188" s="23">
        <f t="shared" si="1387"/>
        <v>0</v>
      </c>
      <c r="BD188" s="23">
        <f>+'QTR Raw'!X95</f>
        <v>0</v>
      </c>
      <c r="BE188" s="23">
        <f t="shared" si="1387"/>
        <v>0</v>
      </c>
      <c r="BF188" s="23">
        <f>+'QTR Raw'!Z95</f>
        <v>0</v>
      </c>
      <c r="BG188" s="23">
        <f t="shared" si="1387"/>
        <v>0</v>
      </c>
      <c r="BH188" s="23">
        <f>+'QTR Raw'!AB95</f>
        <v>0</v>
      </c>
      <c r="BI188" s="23">
        <f t="shared" si="1387"/>
        <v>0</v>
      </c>
      <c r="BJ188" s="23">
        <f>+'QTR Raw'!AD95</f>
        <v>0</v>
      </c>
      <c r="BK188" s="23">
        <f t="shared" si="1387"/>
        <v>0</v>
      </c>
      <c r="BL188" s="23">
        <f>+'QTR Raw'!AF95</f>
        <v>0</v>
      </c>
      <c r="BM188" s="23">
        <f t="shared" si="1387"/>
        <v>0</v>
      </c>
      <c r="BN188" s="23">
        <f>+'QTR Raw'!AH95</f>
        <v>0</v>
      </c>
      <c r="BO188" s="23">
        <f t="shared" si="1387"/>
        <v>0</v>
      </c>
      <c r="BP188" s="23">
        <f>+'QTR Raw'!AJ95</f>
        <v>0</v>
      </c>
      <c r="BQ188" s="23">
        <f t="shared" si="1387"/>
        <v>0</v>
      </c>
      <c r="BR188" s="23">
        <f>+'QTR Raw'!AL95</f>
        <v>0</v>
      </c>
      <c r="BS188" s="23">
        <f t="shared" si="1387"/>
        <v>0</v>
      </c>
      <c r="BT188" s="23">
        <f>+'QTR Raw'!AN95</f>
        <v>0</v>
      </c>
      <c r="BU188" s="23">
        <f t="shared" si="1387"/>
        <v>0</v>
      </c>
      <c r="BV188" s="23">
        <f>+'QTR Raw'!AP95</f>
        <v>0</v>
      </c>
      <c r="BW188" s="23">
        <f t="shared" si="1387"/>
        <v>0</v>
      </c>
      <c r="BX188" s="23">
        <f>+'QTR Raw'!AR95</f>
        <v>0</v>
      </c>
      <c r="BY188" s="23">
        <f t="shared" si="1387"/>
        <v>0</v>
      </c>
      <c r="BZ188" s="23">
        <f>+'QTR Raw'!AT95</f>
        <v>0</v>
      </c>
      <c r="CA188" s="23">
        <f t="shared" si="1387"/>
        <v>0</v>
      </c>
      <c r="CB188" s="23">
        <f>+'QTR Raw'!AV95</f>
        <v>0</v>
      </c>
      <c r="CC188" s="23">
        <f t="shared" si="1387"/>
        <v>0</v>
      </c>
      <c r="CD188" s="23">
        <f>+'QTR Raw'!AX95</f>
        <v>0</v>
      </c>
      <c r="CE188" s="23">
        <f t="shared" si="1387"/>
        <v>0</v>
      </c>
      <c r="CF188" s="23">
        <f>+'QTR Raw'!AZ95</f>
        <v>0</v>
      </c>
      <c r="CG188" s="23">
        <f t="shared" si="1368"/>
        <v>0</v>
      </c>
      <c r="CH188" s="23">
        <f t="shared" si="1369"/>
        <v>0</v>
      </c>
      <c r="CI188" s="23">
        <f t="shared" si="1368"/>
        <v>0</v>
      </c>
      <c r="CJ188" s="23">
        <f>+'QTR Raw'!BD95</f>
        <v>0</v>
      </c>
      <c r="CK188" s="23">
        <f t="shared" si="1370"/>
        <v>0</v>
      </c>
      <c r="CL188" s="23">
        <f>+'QTR Raw'!BF95</f>
        <v>0</v>
      </c>
      <c r="CM188" s="24">
        <f t="shared" si="1371"/>
        <v>0</v>
      </c>
      <c r="CN188" s="24">
        <f t="shared" si="1372"/>
        <v>0</v>
      </c>
      <c r="CO188" s="24">
        <f t="shared" si="1373"/>
        <v>0</v>
      </c>
      <c r="CP188" s="24">
        <f t="shared" si="1374"/>
        <v>0</v>
      </c>
      <c r="CQ188" s="24">
        <f t="shared" si="1375"/>
        <v>0</v>
      </c>
      <c r="CR188" s="24">
        <f t="shared" si="1376"/>
        <v>0</v>
      </c>
      <c r="CS188" s="24">
        <f t="shared" si="1377"/>
        <v>0</v>
      </c>
      <c r="CT188" s="24">
        <f t="shared" si="1378"/>
        <v>0</v>
      </c>
      <c r="CU188" s="24">
        <f t="shared" si="1379"/>
        <v>0</v>
      </c>
      <c r="CV188" s="24">
        <f t="shared" si="1380"/>
        <v>0</v>
      </c>
      <c r="CW188" s="24">
        <f t="shared" si="1381"/>
        <v>0</v>
      </c>
      <c r="CX188" s="24">
        <f t="shared" si="1382"/>
        <v>0</v>
      </c>
      <c r="CY188" s="24">
        <f t="shared" si="1383"/>
        <v>0</v>
      </c>
      <c r="CZ188" s="24">
        <f t="shared" si="1384"/>
        <v>0</v>
      </c>
      <c r="DA188" s="24">
        <f t="shared" si="1385"/>
        <v>0</v>
      </c>
      <c r="DB188" s="24">
        <f t="shared" si="1386"/>
        <v>0</v>
      </c>
      <c r="DE188" s="123"/>
      <c r="DF188" s="23">
        <v>0</v>
      </c>
    </row>
    <row r="189" spans="1:110" s="26" customFormat="1" x14ac:dyDescent="0.2">
      <c r="A189" s="26" t="s">
        <v>438</v>
      </c>
      <c r="B189" s="26">
        <f t="shared" ref="B189:W189" si="1388">B187+B185+B181+B164+B162+B188</f>
        <v>0</v>
      </c>
      <c r="C189" s="26">
        <f t="shared" si="1388"/>
        <v>0</v>
      </c>
      <c r="D189" s="26">
        <f t="shared" si="1388"/>
        <v>0</v>
      </c>
      <c r="E189" s="26">
        <f t="shared" si="1388"/>
        <v>0</v>
      </c>
      <c r="F189" s="26">
        <f t="shared" si="1388"/>
        <v>0</v>
      </c>
      <c r="G189" s="26">
        <f t="shared" si="1388"/>
        <v>0</v>
      </c>
      <c r="H189" s="26">
        <f t="shared" si="1388"/>
        <v>0</v>
      </c>
      <c r="I189" s="26">
        <f t="shared" si="1388"/>
        <v>995.21221549999996</v>
      </c>
      <c r="J189" s="26">
        <f t="shared" si="1388"/>
        <v>1033.5712049000001</v>
      </c>
      <c r="K189" s="26">
        <f t="shared" si="1388"/>
        <v>1987.8134277000004</v>
      </c>
      <c r="L189" s="26">
        <f t="shared" si="1388"/>
        <v>2229.3539999999998</v>
      </c>
      <c r="M189" s="26">
        <f t="shared" si="1388"/>
        <v>2036.1609999999998</v>
      </c>
      <c r="N189" s="26">
        <f t="shared" si="1388"/>
        <v>1837.163</v>
      </c>
      <c r="O189" s="26">
        <f t="shared" si="1388"/>
        <v>1807.0619999999999</v>
      </c>
      <c r="P189" s="26">
        <f t="shared" si="1388"/>
        <v>2167.3069999999998</v>
      </c>
      <c r="Q189" s="26">
        <f t="shared" si="1388"/>
        <v>2584.1799999999998</v>
      </c>
      <c r="R189" s="26">
        <f t="shared" si="1388"/>
        <v>2852.3040000000001</v>
      </c>
      <c r="S189" s="26">
        <f t="shared" si="1388"/>
        <v>3151.9720000000002</v>
      </c>
      <c r="T189" s="26">
        <f t="shared" si="1388"/>
        <v>3127.7990000000009</v>
      </c>
      <c r="U189" s="26">
        <f t="shared" si="1388"/>
        <v>4008.4729999999995</v>
      </c>
      <c r="V189" s="26">
        <f t="shared" si="1388"/>
        <v>5021.4540000000006</v>
      </c>
      <c r="W189" s="26">
        <f t="shared" si="1388"/>
        <v>5651.9460000000017</v>
      </c>
      <c r="X189" s="26">
        <f t="shared" ref="X189:Y189" si="1389">X187+X185+X181+X164+X162+X188</f>
        <v>6747.601999999999</v>
      </c>
      <c r="Y189" s="26">
        <f t="shared" si="1389"/>
        <v>8333.1150000000016</v>
      </c>
      <c r="Z189" s="26">
        <f t="shared" ref="Z189:AA189" si="1390">Z187+Z185+Z181+Z164+Z162+Z188</f>
        <v>10018.828</v>
      </c>
      <c r="AA189" s="26">
        <f t="shared" si="1390"/>
        <v>12259.258999999998</v>
      </c>
      <c r="AB189" s="27">
        <f t="shared" ref="AA189:AD189" si="1391">AB187+AB185+AB181+AB164+AB162+AB188</f>
        <v>15449.553792810933</v>
      </c>
      <c r="AC189" s="27">
        <f t="shared" si="1391"/>
        <v>19157.174929866429</v>
      </c>
      <c r="AD189" s="27">
        <f t="shared" si="1391"/>
        <v>23473.307189011946</v>
      </c>
      <c r="AE189" s="27">
        <f t="shared" ref="AE189" si="1392">AE187+AE185+AE181+AE164+AE162+AE188</f>
        <v>28442.67289466257</v>
      </c>
      <c r="AJ189" s="26">
        <f t="shared" ref="AJ189" si="1393">AJ187+AJ185+AJ181+AJ164+AJ162+AJ188</f>
        <v>0</v>
      </c>
      <c r="AK189" s="26" t="e">
        <f t="shared" ref="AK189:AL189" si="1394">AK187+AK185+AK181+AK164+AK162+AK188</f>
        <v>#DIV/0!</v>
      </c>
      <c r="AL189" s="26">
        <f t="shared" si="1394"/>
        <v>0</v>
      </c>
      <c r="AM189" s="26" t="e">
        <f t="shared" ref="AM189:AO189" si="1395">AM187+AM185+AM181+AM164+AM162+AM188</f>
        <v>#DIV/0!</v>
      </c>
      <c r="AN189" s="26">
        <f t="shared" si="1395"/>
        <v>0</v>
      </c>
      <c r="AO189" s="26" t="e">
        <f t="shared" si="1395"/>
        <v>#DIV/0!</v>
      </c>
      <c r="AP189" s="26">
        <f t="shared" ref="AP189:CE189" si="1396">AP187+AP185+AP181+AP164+AP162+AP188</f>
        <v>0</v>
      </c>
      <c r="AQ189" s="26" t="e">
        <f t="shared" si="1396"/>
        <v>#DIV/0!</v>
      </c>
      <c r="AR189" s="26">
        <f t="shared" si="1396"/>
        <v>0</v>
      </c>
      <c r="AS189" s="26" t="e">
        <f t="shared" si="1396"/>
        <v>#DIV/0!</v>
      </c>
      <c r="AT189" s="26">
        <f t="shared" si="1396"/>
        <v>0</v>
      </c>
      <c r="AU189" s="26" t="e">
        <f t="shared" si="1396"/>
        <v>#DIV/0!</v>
      </c>
      <c r="AV189" s="26">
        <f t="shared" si="1396"/>
        <v>0</v>
      </c>
      <c r="AW189" s="26" t="e">
        <f t="shared" si="1396"/>
        <v>#DIV/0!</v>
      </c>
      <c r="AX189" s="26">
        <f t="shared" si="1396"/>
        <v>0</v>
      </c>
      <c r="AY189" s="26" t="e">
        <f t="shared" si="1396"/>
        <v>#DIV/0!</v>
      </c>
      <c r="AZ189" s="26">
        <f t="shared" si="1396"/>
        <v>0</v>
      </c>
      <c r="BA189" s="26" t="e">
        <f t="shared" si="1396"/>
        <v>#DIV/0!</v>
      </c>
      <c r="BB189" s="26">
        <f t="shared" si="1396"/>
        <v>0</v>
      </c>
      <c r="BC189" s="26" t="e">
        <f t="shared" si="1396"/>
        <v>#DIV/0!</v>
      </c>
      <c r="BD189" s="26">
        <f t="shared" si="1396"/>
        <v>0</v>
      </c>
      <c r="BE189" s="26" t="e">
        <f t="shared" si="1396"/>
        <v>#DIV/0!</v>
      </c>
      <c r="BF189" s="26">
        <f t="shared" si="1396"/>
        <v>3079.3620000000001</v>
      </c>
      <c r="BG189" s="26">
        <f t="shared" si="1396"/>
        <v>3156.3639999999996</v>
      </c>
      <c r="BH189" s="26">
        <f t="shared" ref="BH189" si="1397">BH187+BH185+BH181+BH164+BH162+BH188</f>
        <v>0</v>
      </c>
      <c r="BI189" s="26">
        <f t="shared" si="1396"/>
        <v>193.3360000000001</v>
      </c>
      <c r="BJ189" s="26">
        <f t="shared" si="1396"/>
        <v>3047.3760000000002</v>
      </c>
      <c r="BK189" s="26">
        <f t="shared" si="1396"/>
        <v>3181.8880000000004</v>
      </c>
      <c r="BL189" s="26">
        <f t="shared" si="1396"/>
        <v>3660.4500000000003</v>
      </c>
      <c r="BM189" s="26">
        <f t="shared" si="1396"/>
        <v>3879.23</v>
      </c>
      <c r="BN189" s="26">
        <f t="shared" si="1396"/>
        <v>3973.5229999999997</v>
      </c>
      <c r="BO189" s="26">
        <f t="shared" si="1396"/>
        <v>4091.125</v>
      </c>
      <c r="BP189" s="26">
        <f t="shared" si="1396"/>
        <v>4443.0859999999993</v>
      </c>
      <c r="BQ189" s="26">
        <f t="shared" si="1396"/>
        <v>4705.5879999999997</v>
      </c>
      <c r="BR189" s="26">
        <f t="shared" si="1396"/>
        <v>5021.4540000000006</v>
      </c>
      <c r="BS189" s="26">
        <f t="shared" si="1396"/>
        <v>5095.4390000000003</v>
      </c>
      <c r="BT189" s="26">
        <f t="shared" si="1396"/>
        <v>5147.4340000000011</v>
      </c>
      <c r="BU189" s="26">
        <f t="shared" si="1396"/>
        <v>5461.9430000000011</v>
      </c>
      <c r="BV189" s="26">
        <f t="shared" si="1396"/>
        <v>5651.9460000000008</v>
      </c>
      <c r="BW189" s="26">
        <f t="shared" si="1396"/>
        <v>5871.7029999999995</v>
      </c>
      <c r="BX189" s="26">
        <f t="shared" si="1396"/>
        <v>5966.8209999999999</v>
      </c>
      <c r="BY189" s="26">
        <f t="shared" si="1396"/>
        <v>6324.7029999999995</v>
      </c>
      <c r="BZ189" s="26">
        <f t="shared" si="1396"/>
        <v>6747.601999999999</v>
      </c>
      <c r="CA189" s="26">
        <f t="shared" si="1396"/>
        <v>7147.2249999999985</v>
      </c>
      <c r="CB189" s="26">
        <f t="shared" si="1396"/>
        <v>7399.3590000000004</v>
      </c>
      <c r="CC189" s="26">
        <f t="shared" si="1396"/>
        <v>7812.2090000000007</v>
      </c>
      <c r="CD189" s="26">
        <f t="shared" si="1396"/>
        <v>8333.1149999999998</v>
      </c>
      <c r="CE189" s="26">
        <f t="shared" si="1396"/>
        <v>8729.0690000000013</v>
      </c>
      <c r="CF189" s="26">
        <f t="shared" ref="CF189:CG189" si="1398">CF187+CF185+CF181+CF164+CF162+CF188</f>
        <v>8771.4979999999996</v>
      </c>
      <c r="CG189" s="26">
        <f t="shared" si="1398"/>
        <v>9229.0550000000003</v>
      </c>
      <c r="CH189" s="26">
        <f t="shared" ref="CH189:CI189" si="1399">CH187+CH185+CH181+CH164+CH162+CH188</f>
        <v>10018.828</v>
      </c>
      <c r="CI189" s="26">
        <f t="shared" si="1399"/>
        <v>10610.949000000001</v>
      </c>
      <c r="CJ189" s="26">
        <f t="shared" ref="CJ189:DB189" si="1400">CJ187+CJ185+CJ181+CJ164+CJ162+CJ188</f>
        <v>10817.676999999998</v>
      </c>
      <c r="CK189" s="26">
        <f t="shared" si="1400"/>
        <v>11439.366999999998</v>
      </c>
      <c r="CL189" s="26">
        <f t="shared" ref="CL189" si="1401">CL187+CL185+CL181+CL164+CL162+CL188</f>
        <v>12259.259</v>
      </c>
      <c r="CM189" s="27">
        <f t="shared" si="1400"/>
        <v>12909.306058743772</v>
      </c>
      <c r="CN189" s="27">
        <f t="shared" si="1400"/>
        <v>13632.811019666373</v>
      </c>
      <c r="CO189" s="27">
        <f t="shared" si="1400"/>
        <v>14468.802570398349</v>
      </c>
      <c r="CP189" s="27">
        <f t="shared" si="1400"/>
        <v>15449.553792810933</v>
      </c>
      <c r="CQ189" s="27">
        <f t="shared" si="1400"/>
        <v>16219.44081970886</v>
      </c>
      <c r="CR189" s="27">
        <f t="shared" si="1400"/>
        <v>17044.359636942645</v>
      </c>
      <c r="CS189" s="27">
        <f t="shared" si="1400"/>
        <v>18026.497932003607</v>
      </c>
      <c r="CT189" s="27">
        <f t="shared" si="1400"/>
        <v>19157.174929866429</v>
      </c>
      <c r="CU189" s="27">
        <f t="shared" si="1400"/>
        <v>20035.691425829609</v>
      </c>
      <c r="CV189" s="27">
        <f t="shared" si="1400"/>
        <v>20988.652901134737</v>
      </c>
      <c r="CW189" s="27">
        <f t="shared" si="1400"/>
        <v>22139.34353750127</v>
      </c>
      <c r="CX189" s="27">
        <f t="shared" si="1400"/>
        <v>23473.307189011946</v>
      </c>
      <c r="CY189" s="27">
        <f t="shared" si="1400"/>
        <v>24485.5561359934</v>
      </c>
      <c r="CZ189" s="27">
        <f t="shared" si="1400"/>
        <v>25585.422699045426</v>
      </c>
      <c r="DA189" s="27">
        <f t="shared" si="1400"/>
        <v>26912.434820283252</v>
      </c>
      <c r="DB189" s="27">
        <f t="shared" si="1400"/>
        <v>28442.67289466257</v>
      </c>
      <c r="DE189" s="121"/>
      <c r="DF189" s="26">
        <v>12257.84564459443</v>
      </c>
    </row>
    <row r="190" spans="1:110" s="23" customFormat="1" x14ac:dyDescent="0.2">
      <c r="A190" s="28" t="s">
        <v>439</v>
      </c>
      <c r="B190" s="23">
        <f t="shared" ref="B190:W190" si="1402">B189-B153</f>
        <v>0</v>
      </c>
      <c r="C190" s="23">
        <f t="shared" si="1402"/>
        <v>0</v>
      </c>
      <c r="D190" s="23">
        <f t="shared" si="1402"/>
        <v>0</v>
      </c>
      <c r="E190" s="23">
        <f t="shared" si="1402"/>
        <v>0</v>
      </c>
      <c r="F190" s="23">
        <f t="shared" si="1402"/>
        <v>0</v>
      </c>
      <c r="G190" s="23">
        <f t="shared" si="1402"/>
        <v>0</v>
      </c>
      <c r="H190" s="23">
        <f t="shared" si="1402"/>
        <v>0</v>
      </c>
      <c r="I190" s="23">
        <f t="shared" si="1402"/>
        <v>0</v>
      </c>
      <c r="J190" s="23">
        <f t="shared" si="1402"/>
        <v>0</v>
      </c>
      <c r="K190" s="23">
        <f t="shared" si="1402"/>
        <v>0</v>
      </c>
      <c r="L190" s="23">
        <f t="shared" si="1402"/>
        <v>0</v>
      </c>
      <c r="M190" s="23">
        <f t="shared" si="1402"/>
        <v>0</v>
      </c>
      <c r="N190" s="23">
        <f t="shared" si="1402"/>
        <v>0</v>
      </c>
      <c r="O190" s="23">
        <f t="shared" si="1402"/>
        <v>0</v>
      </c>
      <c r="P190" s="23">
        <f t="shared" si="1402"/>
        <v>0</v>
      </c>
      <c r="Q190" s="23">
        <f t="shared" si="1402"/>
        <v>0</v>
      </c>
      <c r="R190" s="23">
        <f t="shared" si="1402"/>
        <v>0</v>
      </c>
      <c r="S190" s="23">
        <f t="shared" si="1402"/>
        <v>0</v>
      </c>
      <c r="T190" s="23">
        <f t="shared" si="1402"/>
        <v>0</v>
      </c>
      <c r="U190" s="23">
        <f t="shared" si="1402"/>
        <v>0</v>
      </c>
      <c r="V190" s="23">
        <f t="shared" si="1402"/>
        <v>0</v>
      </c>
      <c r="W190" s="23">
        <f t="shared" si="1402"/>
        <v>0</v>
      </c>
      <c r="X190" s="23">
        <f t="shared" ref="X190:Y190" si="1403">X189-X153</f>
        <v>0</v>
      </c>
      <c r="Y190" s="23">
        <f t="shared" si="1403"/>
        <v>0</v>
      </c>
      <c r="Z190" s="23">
        <f t="shared" ref="Z190:AA190" si="1404">Z189-Z153</f>
        <v>0</v>
      </c>
      <c r="AA190" s="23">
        <f t="shared" si="1404"/>
        <v>0</v>
      </c>
      <c r="AB190" s="24">
        <f t="shared" ref="AA190:AD190" si="1405">AB189-AB153</f>
        <v>0</v>
      </c>
      <c r="AC190" s="24">
        <f t="shared" si="1405"/>
        <v>0</v>
      </c>
      <c r="AD190" s="24">
        <f t="shared" si="1405"/>
        <v>0</v>
      </c>
      <c r="AE190" s="24">
        <f t="shared" ref="AE190" si="1406">AE189-AE153</f>
        <v>0</v>
      </c>
      <c r="AJ190" s="23">
        <f t="shared" ref="AJ190" si="1407">AJ189-AJ153</f>
        <v>0</v>
      </c>
      <c r="AK190" s="23" t="e">
        <f t="shared" ref="AK190" si="1408">AK189-AK153</f>
        <v>#DIV/0!</v>
      </c>
      <c r="AL190" s="23">
        <f t="shared" ref="AL190:AM190" si="1409">AL189-AL153</f>
        <v>0</v>
      </c>
      <c r="AM190" s="23" t="e">
        <f t="shared" si="1409"/>
        <v>#DIV/0!</v>
      </c>
      <c r="AN190" s="23">
        <f t="shared" ref="AN190:AO190" si="1410">AN189-AN153</f>
        <v>0</v>
      </c>
      <c r="AO190" s="23" t="e">
        <f t="shared" si="1410"/>
        <v>#DIV/0!</v>
      </c>
      <c r="AP190" s="23">
        <f t="shared" ref="AP190:CE190" si="1411">AP189-AP153</f>
        <v>0</v>
      </c>
      <c r="AQ190" s="23" t="e">
        <f t="shared" si="1411"/>
        <v>#DIV/0!</v>
      </c>
      <c r="AR190" s="23">
        <f t="shared" si="1411"/>
        <v>0</v>
      </c>
      <c r="AS190" s="23" t="e">
        <f t="shared" si="1411"/>
        <v>#DIV/0!</v>
      </c>
      <c r="AT190" s="23">
        <f t="shared" si="1411"/>
        <v>0</v>
      </c>
      <c r="AU190" s="23" t="e">
        <f t="shared" si="1411"/>
        <v>#DIV/0!</v>
      </c>
      <c r="AV190" s="23">
        <f t="shared" si="1411"/>
        <v>0</v>
      </c>
      <c r="AW190" s="23" t="e">
        <f t="shared" si="1411"/>
        <v>#DIV/0!</v>
      </c>
      <c r="AX190" s="23">
        <f t="shared" si="1411"/>
        <v>0</v>
      </c>
      <c r="AY190" s="23" t="e">
        <f t="shared" si="1411"/>
        <v>#DIV/0!</v>
      </c>
      <c r="AZ190" s="23">
        <f t="shared" si="1411"/>
        <v>0</v>
      </c>
      <c r="BA190" s="23" t="e">
        <f t="shared" si="1411"/>
        <v>#DIV/0!</v>
      </c>
      <c r="BB190" s="23">
        <f t="shared" si="1411"/>
        <v>0</v>
      </c>
      <c r="BC190" s="23" t="e">
        <f t="shared" si="1411"/>
        <v>#DIV/0!</v>
      </c>
      <c r="BD190" s="23">
        <f t="shared" si="1411"/>
        <v>0</v>
      </c>
      <c r="BE190" s="23" t="e">
        <f t="shared" si="1411"/>
        <v>#DIV/0!</v>
      </c>
      <c r="BF190" s="23">
        <f t="shared" si="1411"/>
        <v>0</v>
      </c>
      <c r="BG190" s="23">
        <f t="shared" si="1411"/>
        <v>0</v>
      </c>
      <c r="BH190" s="23">
        <f t="shared" ref="BH190" si="1412">BH189-BH153</f>
        <v>0</v>
      </c>
      <c r="BI190" s="23">
        <f t="shared" si="1411"/>
        <v>0</v>
      </c>
      <c r="BJ190" s="23">
        <f t="shared" si="1411"/>
        <v>0</v>
      </c>
      <c r="BK190" s="23">
        <f t="shared" si="1411"/>
        <v>0</v>
      </c>
      <c r="BL190" s="23">
        <f t="shared" si="1411"/>
        <v>0</v>
      </c>
      <c r="BM190" s="23">
        <f t="shared" si="1411"/>
        <v>0</v>
      </c>
      <c r="BN190" s="23">
        <f t="shared" si="1411"/>
        <v>0</v>
      </c>
      <c r="BO190" s="23">
        <f t="shared" si="1411"/>
        <v>0</v>
      </c>
      <c r="BP190" s="23">
        <f t="shared" si="1411"/>
        <v>0</v>
      </c>
      <c r="BQ190" s="23">
        <f t="shared" si="1411"/>
        <v>0</v>
      </c>
      <c r="BR190" s="23">
        <f t="shared" si="1411"/>
        <v>0</v>
      </c>
      <c r="BS190" s="23">
        <f t="shared" si="1411"/>
        <v>0</v>
      </c>
      <c r="BT190" s="23">
        <f t="shared" si="1411"/>
        <v>0</v>
      </c>
      <c r="BU190" s="23">
        <f t="shared" si="1411"/>
        <v>0</v>
      </c>
      <c r="BV190" s="23">
        <f t="shared" si="1411"/>
        <v>0</v>
      </c>
      <c r="BW190" s="23">
        <f t="shared" si="1411"/>
        <v>0</v>
      </c>
      <c r="BX190" s="23">
        <f t="shared" si="1411"/>
        <v>0</v>
      </c>
      <c r="BY190" s="23">
        <f t="shared" si="1411"/>
        <v>0</v>
      </c>
      <c r="BZ190" s="23">
        <f t="shared" si="1411"/>
        <v>0</v>
      </c>
      <c r="CA190" s="23">
        <f t="shared" si="1411"/>
        <v>0</v>
      </c>
      <c r="CB190" s="23">
        <f t="shared" si="1411"/>
        <v>0</v>
      </c>
      <c r="CC190" s="23">
        <f t="shared" si="1411"/>
        <v>0</v>
      </c>
      <c r="CD190" s="23">
        <f t="shared" si="1411"/>
        <v>0</v>
      </c>
      <c r="CE190" s="23">
        <f t="shared" si="1411"/>
        <v>0</v>
      </c>
      <c r="CF190" s="23">
        <f t="shared" ref="CF190:CG190" si="1413">CF189-CF153</f>
        <v>0</v>
      </c>
      <c r="CG190" s="23">
        <f t="shared" si="1413"/>
        <v>0</v>
      </c>
      <c r="CH190" s="23">
        <f t="shared" ref="CH190:CI190" si="1414">CH189-CH153</f>
        <v>0</v>
      </c>
      <c r="CI190" s="23">
        <f t="shared" si="1414"/>
        <v>0</v>
      </c>
      <c r="CJ190" s="23">
        <f t="shared" ref="CJ190:DB190" si="1415">CJ189-CJ153</f>
        <v>0</v>
      </c>
      <c r="CK190" s="23">
        <f t="shared" si="1415"/>
        <v>0</v>
      </c>
      <c r="CL190" s="23">
        <f t="shared" ref="CL190" si="1416">CL189-CL153</f>
        <v>0</v>
      </c>
      <c r="CM190" s="24">
        <f t="shared" si="1415"/>
        <v>0</v>
      </c>
      <c r="CN190" s="24">
        <f t="shared" si="1415"/>
        <v>0</v>
      </c>
      <c r="CO190" s="24">
        <f t="shared" si="1415"/>
        <v>0</v>
      </c>
      <c r="CP190" s="24">
        <f t="shared" si="1415"/>
        <v>0</v>
      </c>
      <c r="CQ190" s="24">
        <f t="shared" si="1415"/>
        <v>0</v>
      </c>
      <c r="CR190" s="24">
        <f t="shared" si="1415"/>
        <v>0</v>
      </c>
      <c r="CS190" s="24">
        <f t="shared" si="1415"/>
        <v>0</v>
      </c>
      <c r="CT190" s="24">
        <f t="shared" si="1415"/>
        <v>0</v>
      </c>
      <c r="CU190" s="24">
        <f t="shared" si="1415"/>
        <v>0</v>
      </c>
      <c r="CV190" s="24">
        <f t="shared" si="1415"/>
        <v>0</v>
      </c>
      <c r="CW190" s="24">
        <f t="shared" si="1415"/>
        <v>0</v>
      </c>
      <c r="CX190" s="24">
        <f t="shared" si="1415"/>
        <v>0</v>
      </c>
      <c r="CY190" s="24">
        <f t="shared" si="1415"/>
        <v>0</v>
      </c>
      <c r="CZ190" s="24">
        <f t="shared" si="1415"/>
        <v>0</v>
      </c>
      <c r="DA190" s="24">
        <f t="shared" si="1415"/>
        <v>0</v>
      </c>
      <c r="DB190" s="24">
        <f t="shared" si="1415"/>
        <v>0</v>
      </c>
      <c r="DE190" s="123"/>
      <c r="DF190" s="23">
        <v>0</v>
      </c>
    </row>
    <row r="191" spans="1:110" s="23" customFormat="1" x14ac:dyDescent="0.2">
      <c r="A191" s="28"/>
      <c r="AB191" s="24"/>
      <c r="AC191" s="24"/>
      <c r="AD191" s="24"/>
      <c r="AE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</row>
    <row r="192" spans="1:110" s="22" customFormat="1" x14ac:dyDescent="0.2">
      <c r="A192" s="22" t="s">
        <v>80</v>
      </c>
      <c r="B192" s="22">
        <f t="shared" ref="B192:W192" si="1417">B152-B185</f>
        <v>0</v>
      </c>
      <c r="C192" s="22">
        <f t="shared" si="1417"/>
        <v>0</v>
      </c>
      <c r="D192" s="22">
        <f t="shared" si="1417"/>
        <v>0</v>
      </c>
      <c r="E192" s="22">
        <f t="shared" si="1417"/>
        <v>0</v>
      </c>
      <c r="F192" s="22">
        <f t="shared" si="1417"/>
        <v>0</v>
      </c>
      <c r="G192" s="22">
        <f t="shared" si="1417"/>
        <v>0</v>
      </c>
      <c r="H192" s="22">
        <f t="shared" si="1417"/>
        <v>0</v>
      </c>
      <c r="I192" s="22">
        <f t="shared" si="1417"/>
        <v>484.56052669999997</v>
      </c>
      <c r="J192" s="22">
        <f t="shared" si="1417"/>
        <v>456.30410059999997</v>
      </c>
      <c r="K192" s="22">
        <f t="shared" si="1417"/>
        <v>1073.6816896999999</v>
      </c>
      <c r="L192" s="22">
        <f t="shared" si="1417"/>
        <v>1268.6600000000001</v>
      </c>
      <c r="M192" s="22">
        <f t="shared" si="1417"/>
        <v>959.98500000000001</v>
      </c>
      <c r="N192" s="22">
        <f t="shared" si="1417"/>
        <v>509.33000000000004</v>
      </c>
      <c r="O192" s="22">
        <f t="shared" si="1417"/>
        <v>417.82300000000004</v>
      </c>
      <c r="P192" s="22">
        <f t="shared" si="1417"/>
        <v>518.52</v>
      </c>
      <c r="Q192" s="22">
        <f t="shared" si="1417"/>
        <v>745.01</v>
      </c>
      <c r="R192" s="22">
        <f t="shared" si="1417"/>
        <v>825.553</v>
      </c>
      <c r="S192" s="22">
        <f t="shared" si="1417"/>
        <v>789.66200000000003</v>
      </c>
      <c r="T192" s="22">
        <f t="shared" si="1417"/>
        <v>-44.230000000000018</v>
      </c>
      <c r="U192" s="22">
        <f t="shared" si="1417"/>
        <v>-164.24900000000002</v>
      </c>
      <c r="V192" s="22">
        <f t="shared" si="1417"/>
        <v>-905.76</v>
      </c>
      <c r="W192" s="22">
        <f t="shared" si="1417"/>
        <v>-1088.0340000000001</v>
      </c>
      <c r="X192" s="22">
        <f t="shared" ref="X192:Y192" si="1418">X152-X185</f>
        <v>-1972.7199999999998</v>
      </c>
      <c r="Y192" s="22">
        <f t="shared" si="1418"/>
        <v>-2135.0010000000002</v>
      </c>
      <c r="Z192" s="22">
        <f t="shared" ref="Z192:AA192" si="1419">Z152-Z185</f>
        <v>-2410.674</v>
      </c>
      <c r="AA192" s="22">
        <f t="shared" si="1419"/>
        <v>-4154.8029999999999</v>
      </c>
      <c r="AB192" s="21">
        <f t="shared" ref="AA192:AD192" si="1420">AB152-AB185</f>
        <v>-3968.1559967087087</v>
      </c>
      <c r="AC192" s="21">
        <f t="shared" si="1420"/>
        <v>-5825.664595624713</v>
      </c>
      <c r="AD192" s="21">
        <f t="shared" si="1420"/>
        <v>-8443.0954845973465</v>
      </c>
      <c r="AE192" s="21">
        <f t="shared" ref="AE192" si="1421">AE152-AE185</f>
        <v>-11654.523218684773</v>
      </c>
      <c r="AJ192" s="22">
        <f t="shared" ref="AJ192:AM192" si="1422">AJ152-AJ185</f>
        <v>0</v>
      </c>
      <c r="AK192" s="22" t="e">
        <f t="shared" si="1422"/>
        <v>#DIV/0!</v>
      </c>
      <c r="AL192" s="22">
        <f t="shared" si="1422"/>
        <v>0</v>
      </c>
      <c r="AM192" s="22" t="e">
        <f t="shared" si="1422"/>
        <v>#DIV/0!</v>
      </c>
      <c r="AN192" s="22">
        <f t="shared" ref="AN192:AO192" si="1423">AN152-AN185</f>
        <v>0</v>
      </c>
      <c r="AO192" s="22" t="e">
        <f t="shared" si="1423"/>
        <v>#DIV/0!</v>
      </c>
      <c r="AP192" s="22">
        <f t="shared" ref="AP192:CE192" si="1424">AP152-AP185</f>
        <v>0</v>
      </c>
      <c r="AQ192" s="22" t="e">
        <f t="shared" si="1424"/>
        <v>#DIV/0!</v>
      </c>
      <c r="AR192" s="22">
        <f t="shared" si="1424"/>
        <v>0</v>
      </c>
      <c r="AS192" s="22" t="e">
        <f t="shared" si="1424"/>
        <v>#DIV/0!</v>
      </c>
      <c r="AT192" s="22">
        <f t="shared" si="1424"/>
        <v>0</v>
      </c>
      <c r="AU192" s="22" t="e">
        <f t="shared" si="1424"/>
        <v>#DIV/0!</v>
      </c>
      <c r="AV192" s="22">
        <f t="shared" si="1424"/>
        <v>0</v>
      </c>
      <c r="AW192" s="22" t="e">
        <f t="shared" si="1424"/>
        <v>#DIV/0!</v>
      </c>
      <c r="AX192" s="22">
        <f t="shared" si="1424"/>
        <v>0</v>
      </c>
      <c r="AY192" s="22" t="e">
        <f t="shared" si="1424"/>
        <v>#DIV/0!</v>
      </c>
      <c r="AZ192" s="22">
        <f t="shared" si="1424"/>
        <v>0</v>
      </c>
      <c r="BA192" s="22" t="e">
        <f t="shared" si="1424"/>
        <v>#DIV/0!</v>
      </c>
      <c r="BB192" s="22">
        <f t="shared" si="1424"/>
        <v>0</v>
      </c>
      <c r="BC192" s="22" t="e">
        <f t="shared" si="1424"/>
        <v>#DIV/0!</v>
      </c>
      <c r="BD192" s="22">
        <f t="shared" si="1424"/>
        <v>0</v>
      </c>
      <c r="BE192" s="22" t="e">
        <f t="shared" si="1424"/>
        <v>#DIV/0!</v>
      </c>
      <c r="BF192" s="22">
        <f t="shared" si="1424"/>
        <v>717.05199999999991</v>
      </c>
      <c r="BG192" s="22">
        <f t="shared" si="1424"/>
        <v>288.60235588647004</v>
      </c>
      <c r="BH192" s="22">
        <f t="shared" si="1424"/>
        <v>0</v>
      </c>
      <c r="BI192" s="22">
        <f t="shared" si="1424"/>
        <v>-193.3360000000001</v>
      </c>
      <c r="BJ192" s="22">
        <f t="shared" si="1424"/>
        <v>-124.65300000000002</v>
      </c>
      <c r="BK192" s="22">
        <f t="shared" si="1424"/>
        <v>-635.54091654350896</v>
      </c>
      <c r="BL192" s="22">
        <f t="shared" si="1424"/>
        <v>-425.79899999999998</v>
      </c>
      <c r="BM192" s="22">
        <f t="shared" si="1424"/>
        <v>-442.50580472786328</v>
      </c>
      <c r="BN192" s="22">
        <f t="shared" si="1424"/>
        <v>-199.19900000000001</v>
      </c>
      <c r="BO192" s="22">
        <f t="shared" si="1424"/>
        <v>-1402.2041243840347</v>
      </c>
      <c r="BP192" s="22">
        <f t="shared" si="1424"/>
        <v>-686.36799999999994</v>
      </c>
      <c r="BQ192" s="22">
        <f t="shared" si="1424"/>
        <v>-411.14802465555204</v>
      </c>
      <c r="BR192" s="22">
        <f t="shared" si="1424"/>
        <v>-905.76</v>
      </c>
      <c r="BS192" s="22">
        <f t="shared" si="1424"/>
        <v>-1746.8158774183657</v>
      </c>
      <c r="BT192" s="22">
        <f t="shared" si="1424"/>
        <v>-668.27300000000002</v>
      </c>
      <c r="BU192" s="22">
        <f t="shared" si="1424"/>
        <v>-747.67786142013131</v>
      </c>
      <c r="BV192" s="22">
        <f t="shared" si="1424"/>
        <v>-1088.0340000000001</v>
      </c>
      <c r="BW192" s="22">
        <f t="shared" si="1424"/>
        <v>-2015.6965850064314</v>
      </c>
      <c r="BX192" s="22">
        <f t="shared" si="1424"/>
        <v>-1664.5039999999999</v>
      </c>
      <c r="BY192" s="22">
        <f t="shared" si="1424"/>
        <v>-1825.5589779453458</v>
      </c>
      <c r="BZ192" s="22">
        <f t="shared" si="1424"/>
        <v>-1972.7199999999998</v>
      </c>
      <c r="CA192" s="22">
        <f t="shared" si="1424"/>
        <v>-2712.9666178173175</v>
      </c>
      <c r="CB192" s="22">
        <f t="shared" si="1424"/>
        <v>-1528.567</v>
      </c>
      <c r="CC192" s="22">
        <f t="shared" si="1424"/>
        <v>-1857.9365984581164</v>
      </c>
      <c r="CD192" s="22">
        <f t="shared" si="1424"/>
        <v>-2135.0010000000002</v>
      </c>
      <c r="CE192" s="22">
        <f t="shared" si="1424"/>
        <v>-3285.5868824441472</v>
      </c>
      <c r="CF192" s="22">
        <f t="shared" ref="CF192:CG192" si="1425">CF152-CF185</f>
        <v>-2419.2650000000003</v>
      </c>
      <c r="CG192" s="22">
        <f t="shared" si="1425"/>
        <v>-3142.5963633350875</v>
      </c>
      <c r="CH192" s="22">
        <f t="shared" ref="CH192:CI192" si="1426">CH152-CH185</f>
        <v>-2410.674</v>
      </c>
      <c r="CI192" s="22">
        <f t="shared" si="1426"/>
        <v>-3684.4250334696198</v>
      </c>
      <c r="CJ192" s="22">
        <f t="shared" ref="CJ192:DB192" si="1427">CJ152-CJ185</f>
        <v>-2669.2830000000004</v>
      </c>
      <c r="CK192" s="22">
        <f t="shared" si="1427"/>
        <v>-2583.9218537654538</v>
      </c>
      <c r="CL192" s="22">
        <f t="shared" ref="CL192" si="1428">CL152-CL185</f>
        <v>-4154.8029999999999</v>
      </c>
      <c r="CM192" s="21">
        <f t="shared" si="1427"/>
        <v>-3738.7639063706329</v>
      </c>
      <c r="CN192" s="21">
        <f t="shared" si="1427"/>
        <v>-4142.6765375133518</v>
      </c>
      <c r="CO192" s="21">
        <f t="shared" si="1427"/>
        <v>-3957.1976437822977</v>
      </c>
      <c r="CP192" s="21">
        <f t="shared" si="1427"/>
        <v>-3968.1559967087087</v>
      </c>
      <c r="CQ192" s="21">
        <f t="shared" si="1427"/>
        <v>-5604.1289724649678</v>
      </c>
      <c r="CR192" s="21">
        <f t="shared" si="1427"/>
        <v>-5862.4755730809457</v>
      </c>
      <c r="CS192" s="21">
        <f t="shared" si="1427"/>
        <v>-5726.2378094852029</v>
      </c>
      <c r="CT192" s="21">
        <f t="shared" si="1427"/>
        <v>-5825.664595624713</v>
      </c>
      <c r="CU192" s="21">
        <f t="shared" si="1427"/>
        <v>-7955.6178017157172</v>
      </c>
      <c r="CV192" s="21">
        <f t="shared" si="1427"/>
        <v>-8314.9243995473425</v>
      </c>
      <c r="CW192" s="21">
        <f t="shared" si="1427"/>
        <v>-8234.3732629981205</v>
      </c>
      <c r="CX192" s="21">
        <f t="shared" si="1427"/>
        <v>-8443.0954845973465</v>
      </c>
      <c r="CY192" s="21">
        <f t="shared" si="1427"/>
        <v>-10934.587955757199</v>
      </c>
      <c r="CZ192" s="21">
        <f t="shared" si="1427"/>
        <v>-11403.260642829609</v>
      </c>
      <c r="DA192" s="21">
        <f t="shared" si="1427"/>
        <v>-11363.053960117062</v>
      </c>
      <c r="DB192" s="21">
        <f t="shared" si="1427"/>
        <v>-11654.523218684773</v>
      </c>
      <c r="DE192" s="126"/>
      <c r="DF192" s="22">
        <v>-2600.0872516682152</v>
      </c>
    </row>
    <row r="193" spans="1:110" x14ac:dyDescent="0.2">
      <c r="AA193" s="2"/>
      <c r="CE193" s="111"/>
      <c r="CG193" s="111"/>
      <c r="CL193" s="2"/>
    </row>
    <row r="194" spans="1:110" s="49" customFormat="1" x14ac:dyDescent="0.2">
      <c r="A194" s="49" t="s">
        <v>81</v>
      </c>
      <c r="B194" s="49">
        <f>'Annual Raw'!C85</f>
        <v>0</v>
      </c>
      <c r="C194" s="49">
        <f>'Annual Raw'!D85</f>
        <v>0</v>
      </c>
      <c r="D194" s="49">
        <f>'Annual Raw'!E85</f>
        <v>0</v>
      </c>
      <c r="E194" s="49">
        <f>'Annual Raw'!F85</f>
        <v>0</v>
      </c>
      <c r="F194" s="49">
        <f>'Annual Raw'!G85</f>
        <v>0</v>
      </c>
      <c r="G194" s="49">
        <f>'Annual Raw'!H85</f>
        <v>0</v>
      </c>
      <c r="H194" s="49">
        <f>'Annual Raw'!I85</f>
        <v>0</v>
      </c>
      <c r="I194" s="49">
        <f>'Annual Raw'!J85</f>
        <v>25.571000000000002</v>
      </c>
      <c r="J194" s="49">
        <f>'Annual Raw'!K85</f>
        <v>227.7302</v>
      </c>
      <c r="K194" s="49">
        <f>'Annual Raw'!L85</f>
        <v>0</v>
      </c>
      <c r="L194" s="49">
        <f>'Annual Raw'!M85</f>
        <v>0</v>
      </c>
      <c r="M194" s="49">
        <f>'Annual Raw'!N85</f>
        <v>0</v>
      </c>
      <c r="N194" s="49">
        <f>'Annual Raw'!O85</f>
        <v>0</v>
      </c>
      <c r="O194" s="49">
        <f>'Annual Raw'!P85</f>
        <v>389.43099999999998</v>
      </c>
      <c r="P194" s="49">
        <f>'Annual Raw'!Q85</f>
        <v>0</v>
      </c>
      <c r="Q194" s="49">
        <f>'Annual Raw'!R85</f>
        <v>428.29</v>
      </c>
      <c r="R194" s="49">
        <f>'Annual Raw'!S85</f>
        <v>520.99400000000003</v>
      </c>
      <c r="S194" s="49">
        <f>'Annual Raw'!T85</f>
        <v>526.92399999999998</v>
      </c>
      <c r="T194" s="49">
        <f>'Annual Raw'!U85</f>
        <v>242.875</v>
      </c>
      <c r="U194" s="49">
        <f>'Annual Raw'!V85</f>
        <v>209.68700000000001</v>
      </c>
      <c r="V194" s="49">
        <f>'Annual Raw'!W85</f>
        <v>35.247999999999998</v>
      </c>
      <c r="W194" s="49">
        <f>'Annual Raw'!X85</f>
        <v>28.201000000000001</v>
      </c>
      <c r="X194" s="49">
        <f>'Annual Raw'!Y85</f>
        <v>29.684999999999999</v>
      </c>
      <c r="Y194" s="49">
        <f>'Annual Raw'!Z85</f>
        <v>58.341000000000001</v>
      </c>
      <c r="Z194" s="49">
        <f>'Annual Raw'!AA85</f>
        <v>68.066999999999993</v>
      </c>
      <c r="AA194" s="49">
        <f>'Annual Raw'!AB85</f>
        <v>83.608999999999995</v>
      </c>
      <c r="AB194" s="50"/>
      <c r="AC194" s="50"/>
      <c r="AD194" s="50"/>
      <c r="AE194" s="50"/>
      <c r="CM194" s="50"/>
      <c r="CN194" s="50"/>
      <c r="CO194" s="50"/>
      <c r="CP194" s="50"/>
      <c r="CQ194" s="50"/>
      <c r="CR194" s="50"/>
      <c r="CS194" s="50"/>
      <c r="CT194" s="50"/>
      <c r="CU194" s="50"/>
      <c r="CV194" s="50"/>
      <c r="CW194" s="50"/>
      <c r="CX194" s="50"/>
      <c r="CY194" s="50"/>
      <c r="CZ194" s="50"/>
      <c r="DA194" s="50"/>
      <c r="DB194" s="50"/>
      <c r="DE194" s="138"/>
    </row>
    <row r="195" spans="1:110" s="29" customFormat="1" x14ac:dyDescent="0.2">
      <c r="A195" s="29" t="s">
        <v>82</v>
      </c>
      <c r="B195" s="29">
        <f>'Annual Raw'!C95</f>
        <v>0</v>
      </c>
      <c r="C195" s="29">
        <f>'Annual Raw'!D95</f>
        <v>0</v>
      </c>
      <c r="D195" s="29">
        <f>'Annual Raw'!E95</f>
        <v>0</v>
      </c>
      <c r="E195" s="29">
        <f>'Annual Raw'!F95</f>
        <v>0</v>
      </c>
      <c r="F195" s="29">
        <f>'Annual Raw'!G95</f>
        <v>0</v>
      </c>
      <c r="G195" s="29">
        <f>'Annual Raw'!H95</f>
        <v>0</v>
      </c>
      <c r="H195" s="29">
        <f>'Annual Raw'!I95</f>
        <v>0</v>
      </c>
      <c r="I195" s="29">
        <f>'Annual Raw'!J95</f>
        <v>21.480799999999999</v>
      </c>
      <c r="J195" s="29">
        <f>'Annual Raw'!K95</f>
        <v>222.82</v>
      </c>
      <c r="K195" s="29">
        <f>'Annual Raw'!L95</f>
        <v>0</v>
      </c>
      <c r="L195" s="29">
        <f>'Annual Raw'!M95</f>
        <v>0</v>
      </c>
      <c r="M195" s="29">
        <f>'Annual Raw'!N95</f>
        <v>0</v>
      </c>
      <c r="N195" s="29">
        <f>'Annual Raw'!O95</f>
        <v>0</v>
      </c>
      <c r="O195" s="29">
        <f>'Annual Raw'!P95</f>
        <v>382.858</v>
      </c>
      <c r="P195" s="29">
        <f>'Annual Raw'!Q95</f>
        <v>0</v>
      </c>
      <c r="Q195" s="29">
        <f>'Annual Raw'!R95</f>
        <v>416.33</v>
      </c>
      <c r="R195" s="29">
        <f>'Annual Raw'!S95</f>
        <v>483.02</v>
      </c>
      <c r="S195" s="29">
        <f>'Annual Raw'!T95</f>
        <v>484.9</v>
      </c>
      <c r="T195" s="29">
        <f>'Annual Raw'!U95</f>
        <v>130.04300000000001</v>
      </c>
      <c r="U195" s="29">
        <f>'Annual Raw'!V95</f>
        <v>124.387</v>
      </c>
      <c r="V195" s="29">
        <f>'Annual Raw'!W95</f>
        <v>0</v>
      </c>
      <c r="W195" s="29">
        <f>'Annual Raw'!X95</f>
        <v>0</v>
      </c>
      <c r="X195" s="29">
        <f>'Annual Raw'!Y95</f>
        <v>0</v>
      </c>
      <c r="Y195" s="29">
        <f>'Annual Raw'!Z95</f>
        <v>0</v>
      </c>
      <c r="Z195" s="29">
        <f>'Annual Raw'!AA95</f>
        <v>0</v>
      </c>
      <c r="AA195" s="29">
        <f>'Annual Raw'!AB95</f>
        <v>0</v>
      </c>
      <c r="AB195" s="30"/>
      <c r="AC195" s="30"/>
      <c r="AD195" s="30"/>
      <c r="AE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E195" s="139"/>
    </row>
    <row r="196" spans="1:110" s="29" customFormat="1" x14ac:dyDescent="0.2">
      <c r="A196" s="29" t="s">
        <v>83</v>
      </c>
      <c r="B196" s="29">
        <f>'Annual Raw'!C93</f>
        <v>0</v>
      </c>
      <c r="C196" s="29">
        <f>'Annual Raw'!D93</f>
        <v>0</v>
      </c>
      <c r="D196" s="29">
        <f>'Annual Raw'!E93</f>
        <v>0</v>
      </c>
      <c r="E196" s="29">
        <f>'Annual Raw'!F93</f>
        <v>0</v>
      </c>
      <c r="F196" s="29">
        <f>'Annual Raw'!G93</f>
        <v>0</v>
      </c>
      <c r="G196" s="29">
        <f>'Annual Raw'!H93</f>
        <v>0</v>
      </c>
      <c r="H196" s="29">
        <f>'Annual Raw'!I93</f>
        <v>0</v>
      </c>
      <c r="I196" s="29">
        <f>'Annual Raw'!J93</f>
        <v>4.0902000000000003</v>
      </c>
      <c r="J196" s="29">
        <f>'Annual Raw'!K93</f>
        <v>4.9101999999999997</v>
      </c>
      <c r="K196" s="29">
        <f>'Annual Raw'!L93</f>
        <v>0</v>
      </c>
      <c r="L196" s="29">
        <f>'Annual Raw'!M93</f>
        <v>0</v>
      </c>
      <c r="M196" s="29">
        <f>'Annual Raw'!N93</f>
        <v>0</v>
      </c>
      <c r="N196" s="29">
        <f>'Annual Raw'!O93</f>
        <v>0</v>
      </c>
      <c r="O196" s="29">
        <f>'Annual Raw'!P93</f>
        <v>6.5730000000000004</v>
      </c>
      <c r="P196" s="29">
        <f>'Annual Raw'!Q93</f>
        <v>0</v>
      </c>
      <c r="Q196" s="29">
        <f>'Annual Raw'!R93</f>
        <v>0</v>
      </c>
      <c r="R196" s="29">
        <f>'Annual Raw'!S93</f>
        <v>37.973999999999997</v>
      </c>
      <c r="S196" s="29">
        <f>'Annual Raw'!T93</f>
        <v>42.024000000000001</v>
      </c>
      <c r="T196" s="29">
        <f>'Annual Raw'!U93</f>
        <v>112.83199999999999</v>
      </c>
      <c r="U196" s="29">
        <f>'Annual Raw'!V93</f>
        <v>85.3</v>
      </c>
      <c r="V196" s="29">
        <f>'Annual Raw'!W93</f>
        <v>35.247999999999998</v>
      </c>
      <c r="W196" s="29">
        <f>'Annual Raw'!X93</f>
        <v>28.201000000000001</v>
      </c>
      <c r="X196" s="29">
        <f>'Annual Raw'!Y93</f>
        <v>29.684999999999999</v>
      </c>
      <c r="Y196" s="29">
        <f>'Annual Raw'!Z93</f>
        <v>58.341000000000001</v>
      </c>
      <c r="Z196" s="29">
        <f>'Annual Raw'!AA93</f>
        <v>68.066999999999993</v>
      </c>
      <c r="AA196" s="29">
        <f>'Annual Raw'!AB93</f>
        <v>83.608999999999995</v>
      </c>
      <c r="AB196" s="30"/>
      <c r="AC196" s="30"/>
      <c r="AD196" s="30"/>
      <c r="AE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E196" s="139"/>
    </row>
    <row r="197" spans="1:110" s="29" customFormat="1" x14ac:dyDescent="0.2">
      <c r="A197" s="29" t="s">
        <v>84</v>
      </c>
      <c r="B197" s="29">
        <f t="shared" ref="B197:V197" si="1429">B194-B195-B196</f>
        <v>0</v>
      </c>
      <c r="C197" s="29">
        <f t="shared" si="1429"/>
        <v>0</v>
      </c>
      <c r="D197" s="29">
        <f t="shared" si="1429"/>
        <v>0</v>
      </c>
      <c r="E197" s="29">
        <f t="shared" si="1429"/>
        <v>0</v>
      </c>
      <c r="F197" s="29">
        <f t="shared" si="1429"/>
        <v>0</v>
      </c>
      <c r="G197" s="29">
        <f t="shared" si="1429"/>
        <v>0</v>
      </c>
      <c r="H197" s="29">
        <f t="shared" si="1429"/>
        <v>0</v>
      </c>
      <c r="I197" s="29">
        <f t="shared" si="1429"/>
        <v>0</v>
      </c>
      <c r="J197" s="29">
        <f t="shared" si="1429"/>
        <v>0</v>
      </c>
      <c r="K197" s="29">
        <f t="shared" si="1429"/>
        <v>0</v>
      </c>
      <c r="L197" s="29">
        <f t="shared" si="1429"/>
        <v>0</v>
      </c>
      <c r="M197" s="29">
        <f t="shared" si="1429"/>
        <v>0</v>
      </c>
      <c r="N197" s="29">
        <f t="shared" si="1429"/>
        <v>0</v>
      </c>
      <c r="O197" s="29">
        <f t="shared" si="1429"/>
        <v>-2.1316282072803006E-14</v>
      </c>
      <c r="P197" s="29">
        <f t="shared" si="1429"/>
        <v>0</v>
      </c>
      <c r="Q197" s="29">
        <f t="shared" si="1429"/>
        <v>11.960000000000036</v>
      </c>
      <c r="R197" s="29">
        <f t="shared" si="1429"/>
        <v>0</v>
      </c>
      <c r="S197" s="29">
        <f t="shared" si="1429"/>
        <v>0</v>
      </c>
      <c r="T197" s="29">
        <f t="shared" si="1429"/>
        <v>0</v>
      </c>
      <c r="U197" s="29">
        <f t="shared" si="1429"/>
        <v>0</v>
      </c>
      <c r="V197" s="29">
        <f t="shared" si="1429"/>
        <v>0</v>
      </c>
      <c r="W197" s="29">
        <f t="shared" ref="W197" si="1430">W194-W195-W196</f>
        <v>0</v>
      </c>
      <c r="X197" s="29">
        <f t="shared" ref="X197:Y197" si="1431">X194-X195-X196</f>
        <v>0</v>
      </c>
      <c r="Y197" s="29">
        <f t="shared" si="1431"/>
        <v>0</v>
      </c>
      <c r="Z197" s="29">
        <f t="shared" ref="Z197:AA197" si="1432">Z194-Z195-Z196</f>
        <v>0</v>
      </c>
      <c r="AA197" s="29">
        <f t="shared" si="1432"/>
        <v>0</v>
      </c>
      <c r="AB197" s="30">
        <f t="shared" ref="AA197:AD197" si="1433">AB194-AB195-AB196</f>
        <v>0</v>
      </c>
      <c r="AC197" s="30">
        <f t="shared" si="1433"/>
        <v>0</v>
      </c>
      <c r="AD197" s="30">
        <f t="shared" si="1433"/>
        <v>0</v>
      </c>
      <c r="AE197" s="30">
        <f t="shared" ref="AE197" si="1434">AE194-AE195-AE196</f>
        <v>0</v>
      </c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E197" s="139"/>
      <c r="DF197" s="29">
        <v>0</v>
      </c>
    </row>
    <row r="198" spans="1:110" s="5" customFormat="1" x14ac:dyDescent="0.2">
      <c r="AB198" s="63"/>
      <c r="AC198" s="63"/>
      <c r="AD198" s="63"/>
      <c r="AE198" s="63"/>
      <c r="CE198" s="112"/>
      <c r="CG198" s="112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E198" s="139"/>
    </row>
    <row r="199" spans="1:110" s="95" customFormat="1" x14ac:dyDescent="0.2">
      <c r="A199" s="95" t="s">
        <v>85</v>
      </c>
      <c r="B199" s="95" t="e">
        <f t="shared" ref="B199:W199" si="1435">B194/B144</f>
        <v>#DIV/0!</v>
      </c>
      <c r="C199" s="95" t="e">
        <f t="shared" si="1435"/>
        <v>#DIV/0!</v>
      </c>
      <c r="D199" s="95" t="e">
        <f t="shared" si="1435"/>
        <v>#DIV/0!</v>
      </c>
      <c r="E199" s="95" t="e">
        <f t="shared" si="1435"/>
        <v>#DIV/0!</v>
      </c>
      <c r="F199" s="95" t="e">
        <f t="shared" si="1435"/>
        <v>#DIV/0!</v>
      </c>
      <c r="G199" s="95" t="e">
        <f t="shared" si="1435"/>
        <v>#DIV/0!</v>
      </c>
      <c r="H199" s="95" t="e">
        <f t="shared" si="1435"/>
        <v>#DIV/0!</v>
      </c>
      <c r="I199" s="95">
        <f t="shared" si="1435"/>
        <v>5.1748278620002065E-2</v>
      </c>
      <c r="J199" s="95">
        <f t="shared" si="1435"/>
        <v>0.41260204232638953</v>
      </c>
      <c r="K199" s="95">
        <f t="shared" si="1435"/>
        <v>0</v>
      </c>
      <c r="L199" s="95">
        <f t="shared" si="1435"/>
        <v>0</v>
      </c>
      <c r="M199" s="95">
        <f t="shared" si="1435"/>
        <v>0</v>
      </c>
      <c r="N199" s="95">
        <f t="shared" si="1435"/>
        <v>0</v>
      </c>
      <c r="O199" s="95">
        <f t="shared" si="1435"/>
        <v>0.28589456806854457</v>
      </c>
      <c r="P199" s="95">
        <f t="shared" si="1435"/>
        <v>0</v>
      </c>
      <c r="Q199" s="95">
        <f t="shared" si="1435"/>
        <v>0.23985237785891894</v>
      </c>
      <c r="R199" s="95">
        <f t="shared" si="1435"/>
        <v>0.26134073857448775</v>
      </c>
      <c r="S199" s="95">
        <f t="shared" si="1435"/>
        <v>0.22445038994828376</v>
      </c>
      <c r="T199" s="95">
        <f t="shared" si="1435"/>
        <v>8.531044572183262E-2</v>
      </c>
      <c r="U199" s="95">
        <f t="shared" si="1435"/>
        <v>5.4657017032828832E-2</v>
      </c>
      <c r="V199" s="95">
        <f t="shared" si="1435"/>
        <v>7.4144814616928277E-3</v>
      </c>
      <c r="W199" s="95">
        <f t="shared" si="1435"/>
        <v>5.0869981119247816E-3</v>
      </c>
      <c r="X199" s="95">
        <f t="shared" ref="X199:Y199" si="1436">X194/X144</f>
        <v>4.4725138149224516E-3</v>
      </c>
      <c r="Y199" s="95">
        <f t="shared" si="1436"/>
        <v>7.1259368663075503E-3</v>
      </c>
      <c r="Z199" s="95">
        <f t="shared" ref="Z199:AA199" si="1437">Z194/Z144</f>
        <v>6.9257854173587746E-3</v>
      </c>
      <c r="AA199" s="95">
        <f t="shared" si="1437"/>
        <v>6.9624408422780523E-3</v>
      </c>
      <c r="AB199" s="87">
        <f t="shared" ref="AA199:AD199" si="1438">AB194/AB144</f>
        <v>0</v>
      </c>
      <c r="AC199" s="87">
        <f t="shared" si="1438"/>
        <v>0</v>
      </c>
      <c r="AD199" s="87">
        <f t="shared" si="1438"/>
        <v>0</v>
      </c>
      <c r="AE199" s="87">
        <f t="shared" ref="AE199" si="1439">AE194/AE144</f>
        <v>0</v>
      </c>
      <c r="CM199" s="96"/>
      <c r="CN199" s="96"/>
      <c r="CO199" s="96"/>
      <c r="CP199" s="96"/>
      <c r="CQ199" s="96"/>
      <c r="CR199" s="96"/>
      <c r="CS199" s="96"/>
      <c r="CT199" s="96"/>
      <c r="CU199" s="96"/>
      <c r="CV199" s="96"/>
      <c r="CW199" s="96"/>
      <c r="CX199" s="96"/>
      <c r="CY199" s="96"/>
      <c r="CZ199" s="96"/>
      <c r="DA199" s="96"/>
      <c r="DB199" s="96"/>
      <c r="DE199" s="140"/>
      <c r="DF199" s="95">
        <v>0</v>
      </c>
    </row>
    <row r="200" spans="1:110" x14ac:dyDescent="0.2">
      <c r="A200" s="152" t="s">
        <v>492</v>
      </c>
      <c r="AA200" s="2"/>
      <c r="CE200" s="111"/>
      <c r="CG200" s="111"/>
      <c r="CL200" s="2"/>
    </row>
    <row r="201" spans="1:110" s="6" customFormat="1" x14ac:dyDescent="0.2">
      <c r="AB201" s="19"/>
      <c r="AC201" s="19"/>
      <c r="AD201" s="19"/>
      <c r="AE201" s="19"/>
      <c r="CE201" s="113"/>
      <c r="CG201" s="113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3"/>
    </row>
    <row r="202" spans="1:110" s="62" customFormat="1" x14ac:dyDescent="0.2">
      <c r="A202" s="153" t="s">
        <v>493</v>
      </c>
      <c r="AB202" s="63"/>
      <c r="AC202" s="63"/>
      <c r="AD202" s="63"/>
      <c r="AE202" s="63"/>
      <c r="CE202" s="114"/>
      <c r="CG202" s="114"/>
      <c r="CM202" s="30"/>
      <c r="CN202" s="30"/>
      <c r="CO202" s="30"/>
      <c r="CP202" s="30"/>
      <c r="CQ202" s="194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E202" s="139"/>
    </row>
    <row r="203" spans="1:110" s="62" customFormat="1" outlineLevel="1" x14ac:dyDescent="0.2">
      <c r="A203" s="68" t="s">
        <v>464</v>
      </c>
      <c r="B203" s="67" t="e">
        <f t="shared" ref="B203:AE203" si="1440">B168/B32*365</f>
        <v>#DIV/0!</v>
      </c>
      <c r="C203" s="67" t="e">
        <f t="shared" si="1440"/>
        <v>#DIV/0!</v>
      </c>
      <c r="D203" s="67" t="e">
        <f t="shared" si="1440"/>
        <v>#DIV/0!</v>
      </c>
      <c r="E203" s="67" t="e">
        <f t="shared" si="1440"/>
        <v>#DIV/0!</v>
      </c>
      <c r="F203" s="67" t="e">
        <f t="shared" si="1440"/>
        <v>#DIV/0!</v>
      </c>
      <c r="G203" s="67" t="e">
        <f t="shared" si="1440"/>
        <v>#DIV/0!</v>
      </c>
      <c r="H203" s="67" t="e">
        <f t="shared" si="1440"/>
        <v>#DIV/0!</v>
      </c>
      <c r="I203" s="67">
        <f t="shared" si="1440"/>
        <v>53.238752660479101</v>
      </c>
      <c r="J203" s="67">
        <f t="shared" si="1440"/>
        <v>47.473978009025757</v>
      </c>
      <c r="K203" s="67">
        <f t="shared" si="1440"/>
        <v>121.0238141691927</v>
      </c>
      <c r="L203" s="67" t="e">
        <f t="shared" si="1440"/>
        <v>#DIV/0!</v>
      </c>
      <c r="M203" s="67">
        <f t="shared" si="1440"/>
        <v>63.80169250099852</v>
      </c>
      <c r="N203" s="67">
        <f t="shared" si="1440"/>
        <v>59.827462116272926</v>
      </c>
      <c r="O203" s="67">
        <f t="shared" si="1440"/>
        <v>49.667569244734715</v>
      </c>
      <c r="P203" s="67">
        <f t="shared" si="1440"/>
        <v>64.526708470276532</v>
      </c>
      <c r="Q203" s="67">
        <f t="shared" si="1440"/>
        <v>62.569532232147694</v>
      </c>
      <c r="R203" s="67">
        <f t="shared" si="1440"/>
        <v>91.736686142965254</v>
      </c>
      <c r="S203" s="67">
        <f t="shared" si="1440"/>
        <v>72.087235023467983</v>
      </c>
      <c r="T203" s="67">
        <f t="shared" si="1440"/>
        <v>91.22243834865769</v>
      </c>
      <c r="U203" s="67">
        <f t="shared" si="1440"/>
        <v>79.570984223588908</v>
      </c>
      <c r="V203" s="67">
        <f t="shared" si="1440"/>
        <v>82.525914346683678</v>
      </c>
      <c r="W203" s="67">
        <f t="shared" si="1440"/>
        <v>65.788829771412267</v>
      </c>
      <c r="X203" s="67">
        <f t="shared" si="1440"/>
        <v>76.358953195889526</v>
      </c>
      <c r="Y203" s="67">
        <f t="shared" si="1440"/>
        <v>74.360197021593351</v>
      </c>
      <c r="Z203" s="67">
        <f t="shared" si="1440"/>
        <v>59.637443479123128</v>
      </c>
      <c r="AA203" s="67">
        <f t="shared" ref="AA203" si="1441">AA168/AA32*365</f>
        <v>70.255777703980144</v>
      </c>
      <c r="AB203" s="18">
        <f t="shared" si="1440"/>
        <v>62.512864156431583</v>
      </c>
      <c r="AC203" s="18">
        <f t="shared" si="1440"/>
        <v>61.916164716024113</v>
      </c>
      <c r="AD203" s="18">
        <f t="shared" si="1440"/>
        <v>61.900806882747482</v>
      </c>
      <c r="AE203" s="18">
        <f t="shared" si="1440"/>
        <v>61.886701347993778</v>
      </c>
      <c r="AI203" s="67" t="e">
        <f>AJ168/AI32*90</f>
        <v>#DIV/0!</v>
      </c>
      <c r="AJ203" s="67" t="e">
        <f>AJ168/AJ32*90</f>
        <v>#DIV/0!</v>
      </c>
      <c r="AK203" s="67" t="e">
        <f t="shared" ref="AK203:CE203" si="1442">+AJ203</f>
        <v>#DIV/0!</v>
      </c>
      <c r="AL203" s="67" t="e">
        <f>AL168/AL32*90</f>
        <v>#DIV/0!</v>
      </c>
      <c r="AM203" s="67" t="e">
        <f t="shared" ref="AM203:AM204" si="1443">+AL203</f>
        <v>#DIV/0!</v>
      </c>
      <c r="AN203" s="67" t="e">
        <f>AN168/AN32*90</f>
        <v>#DIV/0!</v>
      </c>
      <c r="AO203" s="67" t="e">
        <f t="shared" ref="AO203:AO204" si="1444">+AN203</f>
        <v>#DIV/0!</v>
      </c>
      <c r="AP203" s="67" t="e">
        <f>AP168/AP32*90</f>
        <v>#DIV/0!</v>
      </c>
      <c r="AQ203" s="67" t="e">
        <f t="shared" ref="AQ203:AQ204" si="1445">+AP203</f>
        <v>#DIV/0!</v>
      </c>
      <c r="AR203" s="67" t="e">
        <f>AR168/AR32*90</f>
        <v>#DIV/0!</v>
      </c>
      <c r="AS203" s="67" t="e">
        <f t="shared" ref="AS203:AS204" si="1446">+AR203</f>
        <v>#DIV/0!</v>
      </c>
      <c r="AT203" s="67" t="e">
        <f>AT168/AT32*90</f>
        <v>#DIV/0!</v>
      </c>
      <c r="AU203" s="67" t="e">
        <f t="shared" ref="AU203:AU204" si="1447">+AT203</f>
        <v>#DIV/0!</v>
      </c>
      <c r="AV203" s="67" t="e">
        <f>AV168/AV32*90</f>
        <v>#DIV/0!</v>
      </c>
      <c r="AW203" s="67" t="e">
        <f t="shared" ref="AW203:AW204" si="1448">+AV203</f>
        <v>#DIV/0!</v>
      </c>
      <c r="AX203" s="67" t="e">
        <f>AX168/AX32*90</f>
        <v>#DIV/0!</v>
      </c>
      <c r="AY203" s="67" t="e">
        <f t="shared" ref="AY203:AY204" si="1449">+AX203</f>
        <v>#DIV/0!</v>
      </c>
      <c r="AZ203" s="67" t="e">
        <f>AZ168/AZ32*90</f>
        <v>#DIV/0!</v>
      </c>
      <c r="BA203" s="67" t="e">
        <f t="shared" ref="BA203:BA204" si="1450">+AZ203</f>
        <v>#DIV/0!</v>
      </c>
      <c r="BB203" s="67" t="e">
        <f>BB168/BB32*90</f>
        <v>#DIV/0!</v>
      </c>
      <c r="BC203" s="67" t="e">
        <f t="shared" ref="BC203:BC204" si="1451">+BB203</f>
        <v>#DIV/0!</v>
      </c>
      <c r="BD203" s="67" t="e">
        <f>BD168/BD32*90</f>
        <v>#DIV/0!</v>
      </c>
      <c r="BE203" s="67" t="e">
        <f t="shared" ref="BE203:BE204" si="1452">+BD203</f>
        <v>#DIV/0!</v>
      </c>
      <c r="BF203" s="67">
        <f>BF168/BF32*90</f>
        <v>58.245730592547034</v>
      </c>
      <c r="BG203" s="67">
        <f t="shared" ref="BG203:BG204" si="1453">+BF203</f>
        <v>58.245730592547034</v>
      </c>
      <c r="BH203" s="67">
        <f>BH168/BH32*90</f>
        <v>0</v>
      </c>
      <c r="BI203" s="67">
        <f t="shared" ref="BI203:BI204" si="1454">+BH203</f>
        <v>0</v>
      </c>
      <c r="BJ203" s="67">
        <f>BJ168/BJ32*90</f>
        <v>72.908554526771937</v>
      </c>
      <c r="BK203" s="67">
        <f t="shared" ref="BK203:BK204" si="1455">+BJ203</f>
        <v>72.908554526771937</v>
      </c>
      <c r="BL203" s="67">
        <f>BL168/BL32*90</f>
        <v>76.044988654930108</v>
      </c>
      <c r="BM203" s="67">
        <f t="shared" ref="BM203:BM204" si="1456">+BL203</f>
        <v>76.044988654930108</v>
      </c>
      <c r="BN203" s="67">
        <f>BN168/BN32*90</f>
        <v>81.35972848447507</v>
      </c>
      <c r="BO203" s="67">
        <f t="shared" ref="BO203:BO204" si="1457">+BN203</f>
        <v>81.35972848447507</v>
      </c>
      <c r="BP203" s="67">
        <f>BP168/BP32*90</f>
        <v>86.929235334359674</v>
      </c>
      <c r="BQ203" s="67">
        <f t="shared" ref="BQ203:BQ204" si="1458">+BP203</f>
        <v>86.929235334359674</v>
      </c>
      <c r="BR203" s="67">
        <f>BR168/BR32*90</f>
        <v>60.797705268659392</v>
      </c>
      <c r="BS203" s="67">
        <f t="shared" ref="BS203:BS204" si="1459">+BR203</f>
        <v>60.797705268659392</v>
      </c>
      <c r="BT203" s="67">
        <f>BT168/BT32*90</f>
        <v>64.5371563134551</v>
      </c>
      <c r="BU203" s="67">
        <f t="shared" ref="BU203:BU204" si="1460">+BT203</f>
        <v>64.5371563134551</v>
      </c>
      <c r="BV203" s="67">
        <f>BV168/BV32*90</f>
        <v>49.866278990685601</v>
      </c>
      <c r="BW203" s="67">
        <f t="shared" ref="BW203:BW204" si="1461">+BV203</f>
        <v>49.866278990685601</v>
      </c>
      <c r="BX203" s="67">
        <f>BX168/BX32*90</f>
        <v>65.168286240553996</v>
      </c>
      <c r="BY203" s="67">
        <f t="shared" ref="BY203:BY204" si="1462">+BX203</f>
        <v>65.168286240553996</v>
      </c>
      <c r="BZ203" s="67">
        <f>BZ168/BZ32*90</f>
        <v>61.434819081241201</v>
      </c>
      <c r="CA203" s="67">
        <f t="shared" ref="CA203:CA204" si="1463">+BZ203</f>
        <v>61.434819081241201</v>
      </c>
      <c r="CB203" s="67">
        <f>CB168/CB32*90</f>
        <v>73.216632204731638</v>
      </c>
      <c r="CC203" s="67">
        <f t="shared" ref="CC203:CC204" si="1464">+CB203</f>
        <v>73.216632204731638</v>
      </c>
      <c r="CD203" s="67">
        <f>CD168/CD32*90</f>
        <v>59.149941120139054</v>
      </c>
      <c r="CE203" s="67">
        <f t="shared" si="1442"/>
        <v>59.149941120139054</v>
      </c>
      <c r="CF203" s="67">
        <f>CF168/CF32*90</f>
        <v>69.661908514495877</v>
      </c>
      <c r="CG203" s="67">
        <f t="shared" ref="CG203:CI204" si="1465">+CF203</f>
        <v>69.661908514495877</v>
      </c>
      <c r="CH203" s="67">
        <f>CH168/CH32*90</f>
        <v>47.169557436387372</v>
      </c>
      <c r="CI203" s="67">
        <f t="shared" si="1465"/>
        <v>47.169557436387372</v>
      </c>
      <c r="CJ203" s="67">
        <f>CJ168/CJ32*90</f>
        <v>75.284999979157689</v>
      </c>
      <c r="CK203" s="67">
        <f t="shared" ref="CK203:CK204" si="1466">+CJ203</f>
        <v>75.284999979157689</v>
      </c>
      <c r="CL203" s="67">
        <f>CL168/CL32*90</f>
        <v>56.445949377498522</v>
      </c>
      <c r="CM203" s="30">
        <f>+CL203-3</f>
        <v>53.445949377498522</v>
      </c>
      <c r="CN203" s="30">
        <f>+CM203-3</f>
        <v>50.445949377498522</v>
      </c>
      <c r="CO203" s="30">
        <f t="shared" ref="CO203:CO204" si="1467">+CN203</f>
        <v>50.445949377498522</v>
      </c>
      <c r="CP203" s="30">
        <f t="shared" ref="CP203:CP204" si="1468">+CO203</f>
        <v>50.445949377498522</v>
      </c>
      <c r="CQ203" s="30">
        <f t="shared" ref="CQ203:CQ204" si="1469">+CP203</f>
        <v>50.445949377498522</v>
      </c>
      <c r="CR203" s="30">
        <f t="shared" ref="CR203:CR204" si="1470">+CQ203</f>
        <v>50.445949377498522</v>
      </c>
      <c r="CS203" s="30">
        <f t="shared" ref="CS203:CS204" si="1471">+CR203</f>
        <v>50.445949377498522</v>
      </c>
      <c r="CT203" s="30">
        <f t="shared" ref="CT203:CT204" si="1472">+CS203</f>
        <v>50.445949377498522</v>
      </c>
      <c r="CU203" s="30">
        <f t="shared" ref="CU203:CU204" si="1473">+CT203</f>
        <v>50.445949377498522</v>
      </c>
      <c r="CV203" s="30">
        <f t="shared" ref="CV203:CV204" si="1474">+CU203</f>
        <v>50.445949377498522</v>
      </c>
      <c r="CW203" s="30">
        <f t="shared" ref="CW203:CW204" si="1475">+CV203</f>
        <v>50.445949377498522</v>
      </c>
      <c r="CX203" s="30">
        <f t="shared" ref="CX203:CX204" si="1476">+CW203</f>
        <v>50.445949377498522</v>
      </c>
      <c r="CY203" s="30">
        <f t="shared" ref="CY203:CY204" si="1477">+CX203</f>
        <v>50.445949377498522</v>
      </c>
      <c r="CZ203" s="30">
        <f t="shared" ref="CZ203:CZ204" si="1478">+CY203</f>
        <v>50.445949377498522</v>
      </c>
      <c r="DA203" s="30">
        <f t="shared" ref="DA203:DA204" si="1479">+CZ203</f>
        <v>50.445949377498522</v>
      </c>
      <c r="DB203" s="30">
        <f t="shared" ref="DB203:DB204" si="1480">+DA203</f>
        <v>50.445949377498522</v>
      </c>
      <c r="DE203" s="139"/>
      <c r="DF203" s="62">
        <v>75.284999979157689</v>
      </c>
    </row>
    <row r="204" spans="1:110" s="62" customFormat="1" outlineLevel="1" x14ac:dyDescent="0.2">
      <c r="A204" s="68" t="s">
        <v>465</v>
      </c>
      <c r="B204" s="67" t="e">
        <f t="shared" ref="B204:AE204" si="1481">B169/B32*365</f>
        <v>#DIV/0!</v>
      </c>
      <c r="C204" s="67" t="e">
        <f t="shared" si="1481"/>
        <v>#DIV/0!</v>
      </c>
      <c r="D204" s="67" t="e">
        <f t="shared" si="1481"/>
        <v>#DIV/0!</v>
      </c>
      <c r="E204" s="67" t="e">
        <f t="shared" si="1481"/>
        <v>#DIV/0!</v>
      </c>
      <c r="F204" s="67" t="e">
        <f t="shared" si="1481"/>
        <v>#DIV/0!</v>
      </c>
      <c r="G204" s="67" t="e">
        <f t="shared" si="1481"/>
        <v>#DIV/0!</v>
      </c>
      <c r="H204" s="67" t="e">
        <f t="shared" si="1481"/>
        <v>#DIV/0!</v>
      </c>
      <c r="I204" s="67">
        <f t="shared" si="1481"/>
        <v>91.000473374355906</v>
      </c>
      <c r="J204" s="67">
        <f t="shared" si="1481"/>
        <v>93.144454254749391</v>
      </c>
      <c r="K204" s="67">
        <f t="shared" si="1481"/>
        <v>117.47534354519264</v>
      </c>
      <c r="L204" s="67" t="e">
        <f t="shared" si="1481"/>
        <v>#DIV/0!</v>
      </c>
      <c r="M204" s="67">
        <f t="shared" si="1481"/>
        <v>108.0631614187535</v>
      </c>
      <c r="N204" s="67">
        <f t="shared" si="1481"/>
        <v>96.894244157707277</v>
      </c>
      <c r="O204" s="67">
        <f t="shared" si="1481"/>
        <v>71.157536362078346</v>
      </c>
      <c r="P204" s="67">
        <f t="shared" si="1481"/>
        <v>77.463728875741822</v>
      </c>
      <c r="Q204" s="67">
        <f t="shared" si="1481"/>
        <v>86.102191006226306</v>
      </c>
      <c r="R204" s="67">
        <f t="shared" si="1481"/>
        <v>70.828255891177918</v>
      </c>
      <c r="S204" s="67">
        <f t="shared" si="1481"/>
        <v>68.134650826209636</v>
      </c>
      <c r="T204" s="67">
        <f t="shared" si="1481"/>
        <v>60.988312392180283</v>
      </c>
      <c r="U204" s="67">
        <f t="shared" si="1481"/>
        <v>59.261875626772728</v>
      </c>
      <c r="V204" s="67">
        <f t="shared" si="1481"/>
        <v>59.604300226768302</v>
      </c>
      <c r="W204" s="67">
        <f t="shared" si="1481"/>
        <v>38.773605120585366</v>
      </c>
      <c r="X204" s="67">
        <f t="shared" si="1481"/>
        <v>32.252246952000519</v>
      </c>
      <c r="Y204" s="67">
        <f t="shared" si="1481"/>
        <v>41.4202181065004</v>
      </c>
      <c r="Z204" s="67">
        <f t="shared" si="1481"/>
        <v>42.289565484023726</v>
      </c>
      <c r="AA204" s="67">
        <f t="shared" ref="AA204" si="1482">AA169/AA32*365</f>
        <v>47.495632152454213</v>
      </c>
      <c r="AB204" s="18">
        <f t="shared" si="1481"/>
        <v>47.287625447164544</v>
      </c>
      <c r="AC204" s="18">
        <f t="shared" si="1481"/>
        <v>46.836254357017189</v>
      </c>
      <c r="AD204" s="18">
        <f t="shared" si="1481"/>
        <v>46.824636980698486</v>
      </c>
      <c r="AE204" s="18">
        <f t="shared" si="1481"/>
        <v>46.813966900977043</v>
      </c>
      <c r="AI204" s="67" t="e">
        <f>AJ169/AI32*90</f>
        <v>#DIV/0!</v>
      </c>
      <c r="AJ204" s="67" t="e">
        <f>AJ169/AJ32*90</f>
        <v>#DIV/0!</v>
      </c>
      <c r="AK204" s="67" t="e">
        <f>+AJ204</f>
        <v>#DIV/0!</v>
      </c>
      <c r="AL204" s="67" t="e">
        <f>AL169/AL32*90</f>
        <v>#DIV/0!</v>
      </c>
      <c r="AM204" s="67" t="e">
        <f t="shared" si="1443"/>
        <v>#DIV/0!</v>
      </c>
      <c r="AN204" s="67" t="e">
        <f>AN169/AN32*90</f>
        <v>#DIV/0!</v>
      </c>
      <c r="AO204" s="67" t="e">
        <f t="shared" si="1444"/>
        <v>#DIV/0!</v>
      </c>
      <c r="AP204" s="67" t="e">
        <f>AP169/AP32*90</f>
        <v>#DIV/0!</v>
      </c>
      <c r="AQ204" s="67" t="e">
        <f t="shared" si="1445"/>
        <v>#DIV/0!</v>
      </c>
      <c r="AR204" s="67" t="e">
        <f>AR169/AR32*90</f>
        <v>#DIV/0!</v>
      </c>
      <c r="AS204" s="67" t="e">
        <f t="shared" si="1446"/>
        <v>#DIV/0!</v>
      </c>
      <c r="AT204" s="67" t="e">
        <f>AT169/AT32*90</f>
        <v>#DIV/0!</v>
      </c>
      <c r="AU204" s="67" t="e">
        <f t="shared" si="1447"/>
        <v>#DIV/0!</v>
      </c>
      <c r="AV204" s="67" t="e">
        <f>AV169/AV32*90</f>
        <v>#DIV/0!</v>
      </c>
      <c r="AW204" s="67" t="e">
        <f t="shared" si="1448"/>
        <v>#DIV/0!</v>
      </c>
      <c r="AX204" s="67" t="e">
        <f>AX169/AX32*90</f>
        <v>#DIV/0!</v>
      </c>
      <c r="AY204" s="67" t="e">
        <f t="shared" si="1449"/>
        <v>#DIV/0!</v>
      </c>
      <c r="AZ204" s="67" t="e">
        <f>AZ169/AZ32*90</f>
        <v>#DIV/0!</v>
      </c>
      <c r="BA204" s="67" t="e">
        <f t="shared" si="1450"/>
        <v>#DIV/0!</v>
      </c>
      <c r="BB204" s="67" t="e">
        <f>BB169/BB32*90</f>
        <v>#DIV/0!</v>
      </c>
      <c r="BC204" s="67" t="e">
        <f t="shared" si="1451"/>
        <v>#DIV/0!</v>
      </c>
      <c r="BD204" s="67" t="e">
        <f>BD169/BD32*90</f>
        <v>#DIV/0!</v>
      </c>
      <c r="BE204" s="67" t="e">
        <f t="shared" si="1452"/>
        <v>#DIV/0!</v>
      </c>
      <c r="BF204" s="67">
        <f>BF169/BF32*90</f>
        <v>55.052083975043665</v>
      </c>
      <c r="BG204" s="67">
        <f t="shared" si="1453"/>
        <v>55.052083975043665</v>
      </c>
      <c r="BH204" s="67">
        <f>BH169/BH32*90</f>
        <v>0</v>
      </c>
      <c r="BI204" s="67">
        <f t="shared" si="1454"/>
        <v>0</v>
      </c>
      <c r="BJ204" s="67">
        <f>BJ169/BJ32*90</f>
        <v>48.744253936142528</v>
      </c>
      <c r="BK204" s="67">
        <f t="shared" si="1455"/>
        <v>48.744253936142528</v>
      </c>
      <c r="BL204" s="67">
        <f>BL169/BL32*90</f>
        <v>45.60149388276151</v>
      </c>
      <c r="BM204" s="67">
        <f t="shared" si="1456"/>
        <v>45.60149388276151</v>
      </c>
      <c r="BN204" s="67">
        <f>BN169/BN32*90</f>
        <v>60.59407405250635</v>
      </c>
      <c r="BO204" s="67">
        <f t="shared" si="1457"/>
        <v>60.59407405250635</v>
      </c>
      <c r="BP204" s="67">
        <f>BP169/BP32*90</f>
        <v>46.099153041942927</v>
      </c>
      <c r="BQ204" s="67">
        <f t="shared" si="1458"/>
        <v>46.099153041942927</v>
      </c>
      <c r="BR204" s="67">
        <f>BR169/BR32*90</f>
        <v>43.911112123017283</v>
      </c>
      <c r="BS204" s="67">
        <f t="shared" si="1459"/>
        <v>43.911112123017283</v>
      </c>
      <c r="BT204" s="67">
        <f>BT169/BT32*90</f>
        <v>32.652504278152243</v>
      </c>
      <c r="BU204" s="67">
        <f t="shared" si="1460"/>
        <v>32.652504278152243</v>
      </c>
      <c r="BV204" s="67">
        <f>BV169/BV32*90</f>
        <v>29.389417886529461</v>
      </c>
      <c r="BW204" s="67">
        <f t="shared" si="1461"/>
        <v>29.389417886529461</v>
      </c>
      <c r="BX204" s="67">
        <f>BX169/BX32*90</f>
        <v>25.938254533276435</v>
      </c>
      <c r="BY204" s="67">
        <f t="shared" si="1462"/>
        <v>25.938254533276435</v>
      </c>
      <c r="BZ204" s="67">
        <f>BZ169/BZ32*90</f>
        <v>25.948639596677001</v>
      </c>
      <c r="CA204" s="67">
        <f t="shared" si="1463"/>
        <v>25.948639596677001</v>
      </c>
      <c r="CB204" s="67">
        <f>CB169/CB32*90</f>
        <v>28.195432246555402</v>
      </c>
      <c r="CC204" s="67">
        <f t="shared" si="1464"/>
        <v>28.195432246555402</v>
      </c>
      <c r="CD204" s="67">
        <f>CD169/CD32*90</f>
        <v>32.947780671847376</v>
      </c>
      <c r="CE204" s="114">
        <f t="shared" ref="CE204" si="1483">+CD204</f>
        <v>32.947780671847376</v>
      </c>
      <c r="CF204" s="67">
        <f>CF169/CF32*90</f>
        <v>38.284475385033133</v>
      </c>
      <c r="CG204" s="67">
        <f t="shared" si="1465"/>
        <v>38.284475385033133</v>
      </c>
      <c r="CH204" s="67">
        <f>CH169/CH32*90</f>
        <v>33.448450699547855</v>
      </c>
      <c r="CI204" s="67">
        <f t="shared" si="1465"/>
        <v>33.448450699547855</v>
      </c>
      <c r="CJ204" s="67">
        <f>CJ169/CJ32*90</f>
        <v>39.108318379623576</v>
      </c>
      <c r="CK204" s="67">
        <f t="shared" si="1466"/>
        <v>39.108318379623576</v>
      </c>
      <c r="CL204" s="67">
        <f>CL169/CL32*90</f>
        <v>38.159652284054658</v>
      </c>
      <c r="CM204" s="30">
        <f t="shared" ref="CM204" si="1484">+CL204</f>
        <v>38.159652284054658</v>
      </c>
      <c r="CN204" s="30">
        <f t="shared" ref="CN204" si="1485">+CM204</f>
        <v>38.159652284054658</v>
      </c>
      <c r="CO204" s="30">
        <f t="shared" si="1467"/>
        <v>38.159652284054658</v>
      </c>
      <c r="CP204" s="30">
        <f t="shared" si="1468"/>
        <v>38.159652284054658</v>
      </c>
      <c r="CQ204" s="30">
        <f t="shared" si="1469"/>
        <v>38.159652284054658</v>
      </c>
      <c r="CR204" s="30">
        <f t="shared" si="1470"/>
        <v>38.159652284054658</v>
      </c>
      <c r="CS204" s="30">
        <f t="shared" si="1471"/>
        <v>38.159652284054658</v>
      </c>
      <c r="CT204" s="30">
        <f t="shared" si="1472"/>
        <v>38.159652284054658</v>
      </c>
      <c r="CU204" s="30">
        <f t="shared" si="1473"/>
        <v>38.159652284054658</v>
      </c>
      <c r="CV204" s="30">
        <f t="shared" si="1474"/>
        <v>38.159652284054658</v>
      </c>
      <c r="CW204" s="30">
        <f t="shared" si="1475"/>
        <v>38.159652284054658</v>
      </c>
      <c r="CX204" s="30">
        <f t="shared" si="1476"/>
        <v>38.159652284054658</v>
      </c>
      <c r="CY204" s="30">
        <f t="shared" si="1477"/>
        <v>38.159652284054658</v>
      </c>
      <c r="CZ204" s="30">
        <f t="shared" si="1478"/>
        <v>38.159652284054658</v>
      </c>
      <c r="DA204" s="30">
        <f t="shared" si="1479"/>
        <v>38.159652284054658</v>
      </c>
      <c r="DB204" s="30">
        <f t="shared" si="1480"/>
        <v>38.159652284054658</v>
      </c>
      <c r="DE204" s="139"/>
      <c r="DF204" s="62">
        <v>39.108318379623576</v>
      </c>
    </row>
    <row r="205" spans="1:110" s="62" customFormat="1" outlineLevel="1" x14ac:dyDescent="0.2">
      <c r="A205" s="68" t="s">
        <v>466</v>
      </c>
      <c r="B205" s="67" t="e">
        <f>B206-B204-B203</f>
        <v>#DIV/0!</v>
      </c>
      <c r="C205" s="67" t="e">
        <f t="shared" ref="C205:U205" si="1486">C206-C204-C203</f>
        <v>#DIV/0!</v>
      </c>
      <c r="D205" s="67" t="e">
        <f t="shared" si="1486"/>
        <v>#DIV/0!</v>
      </c>
      <c r="E205" s="67" t="e">
        <f t="shared" si="1486"/>
        <v>#DIV/0!</v>
      </c>
      <c r="F205" s="67" t="e">
        <f t="shared" si="1486"/>
        <v>#DIV/0!</v>
      </c>
      <c r="G205" s="67" t="e">
        <f t="shared" si="1486"/>
        <v>#DIV/0!</v>
      </c>
      <c r="H205" s="67" t="e">
        <f t="shared" si="1486"/>
        <v>#DIV/0!</v>
      </c>
      <c r="I205" s="67">
        <f t="shared" si="1486"/>
        <v>37.04724411533207</v>
      </c>
      <c r="J205" s="67">
        <f t="shared" si="1486"/>
        <v>40.629783203915494</v>
      </c>
      <c r="K205" s="67">
        <f t="shared" si="1486"/>
        <v>33.630305078231046</v>
      </c>
      <c r="L205" s="67" t="e">
        <f t="shared" si="1486"/>
        <v>#DIV/0!</v>
      </c>
      <c r="M205" s="67">
        <f t="shared" si="1486"/>
        <v>28.272932273474176</v>
      </c>
      <c r="N205" s="67">
        <f t="shared" si="1486"/>
        <v>23.505503333402345</v>
      </c>
      <c r="O205" s="67">
        <f t="shared" si="1486"/>
        <v>27.490708201265953</v>
      </c>
      <c r="P205" s="67">
        <f t="shared" si="1486"/>
        <v>20.986753715800376</v>
      </c>
      <c r="Q205" s="67">
        <f t="shared" si="1486"/>
        <v>22.209050424091089</v>
      </c>
      <c r="R205" s="67">
        <f t="shared" si="1486"/>
        <v>30.375360012753418</v>
      </c>
      <c r="S205" s="67">
        <f t="shared" si="1486"/>
        <v>21.97294138845794</v>
      </c>
      <c r="T205" s="67">
        <f t="shared" si="1486"/>
        <v>22.103210272752577</v>
      </c>
      <c r="U205" s="67">
        <f t="shared" si="1486"/>
        <v>24.471617918777611</v>
      </c>
      <c r="V205" s="67">
        <f>V206-V204-V203</f>
        <v>18.934908920758943</v>
      </c>
      <c r="W205" s="67">
        <f t="shared" ref="W205" si="1487">W206-W204-W203</f>
        <v>20.48308017503787</v>
      </c>
      <c r="X205" s="67">
        <f t="shared" ref="X205:Y205" si="1488">X206-X204-X203</f>
        <v>22.320173665902601</v>
      </c>
      <c r="Y205" s="67">
        <f t="shared" si="1488"/>
        <v>24.341697837250422</v>
      </c>
      <c r="Z205" s="67">
        <f t="shared" ref="Z205:AA205" si="1489">Z206-Z204-Z203</f>
        <v>20.395865587918216</v>
      </c>
      <c r="AA205" s="67">
        <f t="shared" si="1489"/>
        <v>25.018893121789532</v>
      </c>
      <c r="AB205" s="18">
        <f t="shared" ref="AA205:AD205" si="1490">AB206-AB204-AB203</f>
        <v>26.703784978568798</v>
      </c>
      <c r="AC205" s="18">
        <f t="shared" si="1490"/>
        <v>26.448891305586514</v>
      </c>
      <c r="AD205" s="18">
        <f t="shared" si="1490"/>
        <v>26.442330859459339</v>
      </c>
      <c r="AE205" s="18">
        <f t="shared" ref="AE205" si="1491">AE206-AE204-AE203</f>
        <v>26.436305360993487</v>
      </c>
      <c r="AI205" s="67" t="e">
        <f t="shared" ref="AI205:AK205" si="1492">AI206-AI204-AI203</f>
        <v>#DIV/0!</v>
      </c>
      <c r="AJ205" s="67" t="e">
        <f t="shared" ref="AJ205:AM205" si="1493">AJ206-AJ204-AJ203</f>
        <v>#DIV/0!</v>
      </c>
      <c r="AK205" s="67" t="e">
        <f t="shared" si="1492"/>
        <v>#DIV/0!</v>
      </c>
      <c r="AL205" s="67" t="e">
        <f t="shared" si="1493"/>
        <v>#DIV/0!</v>
      </c>
      <c r="AM205" s="67" t="e">
        <f t="shared" si="1493"/>
        <v>#DIV/0!</v>
      </c>
      <c r="AN205" s="67" t="e">
        <f t="shared" ref="AN205:AY205" si="1494">AN206-AN204-AN203</f>
        <v>#DIV/0!</v>
      </c>
      <c r="AO205" s="67" t="e">
        <f t="shared" si="1494"/>
        <v>#DIV/0!</v>
      </c>
      <c r="AP205" s="67" t="e">
        <f t="shared" si="1494"/>
        <v>#DIV/0!</v>
      </c>
      <c r="AQ205" s="67" t="e">
        <f t="shared" si="1494"/>
        <v>#DIV/0!</v>
      </c>
      <c r="AR205" s="67" t="e">
        <f t="shared" si="1494"/>
        <v>#DIV/0!</v>
      </c>
      <c r="AS205" s="67" t="e">
        <f t="shared" si="1494"/>
        <v>#DIV/0!</v>
      </c>
      <c r="AT205" s="67" t="e">
        <f t="shared" si="1494"/>
        <v>#DIV/0!</v>
      </c>
      <c r="AU205" s="67" t="e">
        <f t="shared" si="1494"/>
        <v>#DIV/0!</v>
      </c>
      <c r="AV205" s="67" t="e">
        <f t="shared" si="1494"/>
        <v>#DIV/0!</v>
      </c>
      <c r="AW205" s="67" t="e">
        <f t="shared" si="1494"/>
        <v>#DIV/0!</v>
      </c>
      <c r="AX205" s="67" t="e">
        <f t="shared" si="1494"/>
        <v>#DIV/0!</v>
      </c>
      <c r="AY205" s="67" t="e">
        <f t="shared" si="1494"/>
        <v>#DIV/0!</v>
      </c>
      <c r="AZ205" s="67" t="e">
        <f t="shared" ref="AZ205:BC205" si="1495">AZ206-AZ204-AZ203</f>
        <v>#DIV/0!</v>
      </c>
      <c r="BA205" s="67" t="e">
        <f t="shared" si="1495"/>
        <v>#DIV/0!</v>
      </c>
      <c r="BB205" s="67" t="e">
        <f t="shared" si="1495"/>
        <v>#DIV/0!</v>
      </c>
      <c r="BC205" s="67" t="e">
        <f t="shared" si="1495"/>
        <v>#DIV/0!</v>
      </c>
      <c r="BD205" s="67" t="e">
        <f t="shared" ref="BD205:CE205" si="1496">BD206-BD204-BD203</f>
        <v>#DIV/0!</v>
      </c>
      <c r="BE205" s="67" t="e">
        <f t="shared" si="1496"/>
        <v>#DIV/0!</v>
      </c>
      <c r="BF205" s="67">
        <f t="shared" si="1496"/>
        <v>17.753906416597886</v>
      </c>
      <c r="BG205" s="67">
        <f t="shared" si="1496"/>
        <v>22.265592406245872</v>
      </c>
      <c r="BH205" s="67">
        <f t="shared" si="1496"/>
        <v>0</v>
      </c>
      <c r="BI205" s="67">
        <f t="shared" si="1496"/>
        <v>0</v>
      </c>
      <c r="BJ205" s="67">
        <f t="shared" si="1496"/>
        <v>17.665753520294942</v>
      </c>
      <c r="BK205" s="67">
        <f t="shared" si="1496"/>
        <v>22.303887001851052</v>
      </c>
      <c r="BL205" s="67">
        <f t="shared" si="1496"/>
        <v>21.820536918199991</v>
      </c>
      <c r="BM205" s="67">
        <f t="shared" si="1496"/>
        <v>19.511132860874255</v>
      </c>
      <c r="BN205" s="67">
        <f t="shared" si="1496"/>
        <v>26.449982412729341</v>
      </c>
      <c r="BO205" s="67">
        <f t="shared" si="1496"/>
        <v>57.671900839140065</v>
      </c>
      <c r="BP205" s="67">
        <f t="shared" si="1496"/>
        <v>22.247523515836335</v>
      </c>
      <c r="BQ205" s="67">
        <f t="shared" si="1496"/>
        <v>17.122493937385784</v>
      </c>
      <c r="BR205" s="67">
        <f t="shared" si="1496"/>
        <v>14.992450915659937</v>
      </c>
      <c r="BS205" s="67">
        <f t="shared" si="1496"/>
        <v>23.780850655552861</v>
      </c>
      <c r="BT205" s="67">
        <f t="shared" si="1496"/>
        <v>25.466316099322981</v>
      </c>
      <c r="BU205" s="67">
        <f t="shared" si="1496"/>
        <v>22.706397041989348</v>
      </c>
      <c r="BV205" s="67">
        <f t="shared" si="1496"/>
        <v>16.322197430618075</v>
      </c>
      <c r="BW205" s="67">
        <f t="shared" si="1496"/>
        <v>23.678962287282886</v>
      </c>
      <c r="BX205" s="67">
        <f t="shared" si="1496"/>
        <v>22.966088877605586</v>
      </c>
      <c r="BY205" s="67">
        <f t="shared" si="1496"/>
        <v>20.59959108329015</v>
      </c>
      <c r="BZ205" s="67">
        <f t="shared" si="1496"/>
        <v>18.71091091132763</v>
      </c>
      <c r="CA205" s="67">
        <f t="shared" si="1496"/>
        <v>20.800222246104909</v>
      </c>
      <c r="CB205" s="67">
        <f t="shared" si="1496"/>
        <v>21.827528151026513</v>
      </c>
      <c r="CC205" s="67">
        <f t="shared" si="1496"/>
        <v>21.210122406098876</v>
      </c>
      <c r="CD205" s="67">
        <f t="shared" si="1496"/>
        <v>20.534757895132152</v>
      </c>
      <c r="CE205" s="114">
        <f t="shared" si="1496"/>
        <v>24.441778788130343</v>
      </c>
      <c r="CF205" s="67">
        <f t="shared" ref="CF205:CG205" si="1497">CF206-CF204-CF203</f>
        <v>21.204499908428303</v>
      </c>
      <c r="CG205" s="67">
        <f t="shared" si="1497"/>
        <v>22.309591811195517</v>
      </c>
      <c r="CH205" s="67">
        <f t="shared" ref="CH205" si="1498">CH206-CH204-CH203</f>
        <v>16.131877847026217</v>
      </c>
      <c r="CI205" s="67">
        <f>CH205</f>
        <v>16.131877847026217</v>
      </c>
      <c r="CJ205" s="67">
        <f t="shared" ref="CJ205:CL205" si="1499">CJ206-CJ204-CJ203</f>
        <v>27.782930029606902</v>
      </c>
      <c r="CK205" s="67">
        <f t="shared" ref="CK205:DB205" si="1500">CJ205</f>
        <v>27.782930029606902</v>
      </c>
      <c r="CL205" s="67">
        <f t="shared" si="1499"/>
        <v>21.549129181563686</v>
      </c>
      <c r="CM205" s="30">
        <f t="shared" si="1500"/>
        <v>21.549129181563686</v>
      </c>
      <c r="CN205" s="30">
        <f t="shared" si="1500"/>
        <v>21.549129181563686</v>
      </c>
      <c r="CO205" s="30">
        <f t="shared" si="1500"/>
        <v>21.549129181563686</v>
      </c>
      <c r="CP205" s="30">
        <f t="shared" si="1500"/>
        <v>21.549129181563686</v>
      </c>
      <c r="CQ205" s="30">
        <f t="shared" si="1500"/>
        <v>21.549129181563686</v>
      </c>
      <c r="CR205" s="30">
        <f t="shared" si="1500"/>
        <v>21.549129181563686</v>
      </c>
      <c r="CS205" s="30">
        <f t="shared" si="1500"/>
        <v>21.549129181563686</v>
      </c>
      <c r="CT205" s="30">
        <f t="shared" si="1500"/>
        <v>21.549129181563686</v>
      </c>
      <c r="CU205" s="30">
        <f t="shared" si="1500"/>
        <v>21.549129181563686</v>
      </c>
      <c r="CV205" s="30">
        <f t="shared" si="1500"/>
        <v>21.549129181563686</v>
      </c>
      <c r="CW205" s="30">
        <f t="shared" si="1500"/>
        <v>21.549129181563686</v>
      </c>
      <c r="CX205" s="30">
        <f t="shared" si="1500"/>
        <v>21.549129181563686</v>
      </c>
      <c r="CY205" s="30">
        <f t="shared" si="1500"/>
        <v>21.549129181563686</v>
      </c>
      <c r="CZ205" s="30">
        <f t="shared" si="1500"/>
        <v>21.549129181563686</v>
      </c>
      <c r="DA205" s="30">
        <f t="shared" si="1500"/>
        <v>21.549129181563686</v>
      </c>
      <c r="DB205" s="30">
        <f t="shared" si="1500"/>
        <v>21.549129181563686</v>
      </c>
      <c r="DE205" s="139"/>
      <c r="DF205" s="62">
        <v>27.782930029606902</v>
      </c>
    </row>
    <row r="206" spans="1:110" s="7" customFormat="1" outlineLevel="1" x14ac:dyDescent="0.2">
      <c r="A206" s="69" t="s">
        <v>467</v>
      </c>
      <c r="B206" s="70" t="e">
        <f t="shared" ref="B206:AE206" si="1501">B172/B32*365</f>
        <v>#DIV/0!</v>
      </c>
      <c r="C206" s="70" t="e">
        <f t="shared" si="1501"/>
        <v>#DIV/0!</v>
      </c>
      <c r="D206" s="70" t="e">
        <f t="shared" si="1501"/>
        <v>#DIV/0!</v>
      </c>
      <c r="E206" s="70" t="e">
        <f t="shared" si="1501"/>
        <v>#DIV/0!</v>
      </c>
      <c r="F206" s="70" t="e">
        <f t="shared" si="1501"/>
        <v>#DIV/0!</v>
      </c>
      <c r="G206" s="70" t="e">
        <f t="shared" si="1501"/>
        <v>#DIV/0!</v>
      </c>
      <c r="H206" s="70" t="e">
        <f t="shared" si="1501"/>
        <v>#DIV/0!</v>
      </c>
      <c r="I206" s="70">
        <f t="shared" si="1501"/>
        <v>181.28647015016708</v>
      </c>
      <c r="J206" s="70">
        <f t="shared" si="1501"/>
        <v>181.24821546769064</v>
      </c>
      <c r="K206" s="70">
        <f t="shared" si="1501"/>
        <v>272.12946279261638</v>
      </c>
      <c r="L206" s="70" t="e">
        <f t="shared" si="1501"/>
        <v>#DIV/0!</v>
      </c>
      <c r="M206" s="70">
        <f t="shared" si="1501"/>
        <v>200.13778619322619</v>
      </c>
      <c r="N206" s="70">
        <f t="shared" si="1501"/>
        <v>180.22720960738255</v>
      </c>
      <c r="O206" s="70">
        <f t="shared" si="1501"/>
        <v>148.31581380807901</v>
      </c>
      <c r="P206" s="70">
        <f t="shared" si="1501"/>
        <v>162.97719106181873</v>
      </c>
      <c r="Q206" s="70">
        <f t="shared" si="1501"/>
        <v>170.88077366246509</v>
      </c>
      <c r="R206" s="70">
        <f t="shared" si="1501"/>
        <v>192.94030204689659</v>
      </c>
      <c r="S206" s="70">
        <f t="shared" si="1501"/>
        <v>162.19482723813556</v>
      </c>
      <c r="T206" s="70">
        <f t="shared" si="1501"/>
        <v>174.31396101359056</v>
      </c>
      <c r="U206" s="70">
        <f t="shared" si="1501"/>
        <v>163.30447776913925</v>
      </c>
      <c r="V206" s="70">
        <f t="shared" si="1501"/>
        <v>161.06512349421092</v>
      </c>
      <c r="W206" s="70">
        <f t="shared" si="1501"/>
        <v>125.0455150670355</v>
      </c>
      <c r="X206" s="70">
        <f t="shared" si="1501"/>
        <v>130.93137381379265</v>
      </c>
      <c r="Y206" s="70">
        <f t="shared" si="1501"/>
        <v>140.12211296534417</v>
      </c>
      <c r="Z206" s="70">
        <f t="shared" si="1501"/>
        <v>122.32287455106507</v>
      </c>
      <c r="AA206" s="70">
        <f t="shared" ref="AA206" si="1502">AA172/AA32*365</f>
        <v>142.7703029782239</v>
      </c>
      <c r="AB206" s="71">
        <f t="shared" si="1501"/>
        <v>136.50427458216492</v>
      </c>
      <c r="AC206" s="71">
        <f t="shared" si="1501"/>
        <v>135.20131037862782</v>
      </c>
      <c r="AD206" s="71">
        <f t="shared" si="1501"/>
        <v>135.16777472290531</v>
      </c>
      <c r="AE206" s="71">
        <f t="shared" si="1501"/>
        <v>135.13697360996431</v>
      </c>
      <c r="AI206" s="70" t="e">
        <f t="shared" ref="AI206:CD206" si="1503">AI172/AI32*90</f>
        <v>#DIV/0!</v>
      </c>
      <c r="AJ206" s="70" t="e">
        <f t="shared" si="1503"/>
        <v>#DIV/0!</v>
      </c>
      <c r="AK206" s="70" t="e">
        <f t="shared" si="1503"/>
        <v>#DIV/0!</v>
      </c>
      <c r="AL206" s="70" t="e">
        <f t="shared" si="1503"/>
        <v>#DIV/0!</v>
      </c>
      <c r="AM206" s="70" t="e">
        <f t="shared" si="1503"/>
        <v>#DIV/0!</v>
      </c>
      <c r="AN206" s="70" t="e">
        <f t="shared" si="1503"/>
        <v>#DIV/0!</v>
      </c>
      <c r="AO206" s="70" t="e">
        <f t="shared" si="1503"/>
        <v>#DIV/0!</v>
      </c>
      <c r="AP206" s="70" t="e">
        <f t="shared" si="1503"/>
        <v>#DIV/0!</v>
      </c>
      <c r="AQ206" s="70" t="e">
        <f t="shared" si="1503"/>
        <v>#DIV/0!</v>
      </c>
      <c r="AR206" s="70" t="e">
        <f t="shared" si="1503"/>
        <v>#DIV/0!</v>
      </c>
      <c r="AS206" s="70" t="e">
        <f t="shared" si="1503"/>
        <v>#DIV/0!</v>
      </c>
      <c r="AT206" s="70" t="e">
        <f t="shared" si="1503"/>
        <v>#DIV/0!</v>
      </c>
      <c r="AU206" s="70" t="e">
        <f t="shared" si="1503"/>
        <v>#DIV/0!</v>
      </c>
      <c r="AV206" s="70" t="e">
        <f t="shared" si="1503"/>
        <v>#DIV/0!</v>
      </c>
      <c r="AW206" s="70" t="e">
        <f t="shared" si="1503"/>
        <v>#DIV/0!</v>
      </c>
      <c r="AX206" s="70" t="e">
        <f t="shared" si="1503"/>
        <v>#DIV/0!</v>
      </c>
      <c r="AY206" s="70" t="e">
        <f t="shared" si="1503"/>
        <v>#DIV/0!</v>
      </c>
      <c r="AZ206" s="70" t="e">
        <f t="shared" si="1503"/>
        <v>#DIV/0!</v>
      </c>
      <c r="BA206" s="70" t="e">
        <f t="shared" si="1503"/>
        <v>#DIV/0!</v>
      </c>
      <c r="BB206" s="70" t="e">
        <f t="shared" si="1503"/>
        <v>#DIV/0!</v>
      </c>
      <c r="BC206" s="70" t="e">
        <f t="shared" si="1503"/>
        <v>#DIV/0!</v>
      </c>
      <c r="BD206" s="70" t="e">
        <f t="shared" si="1503"/>
        <v>#DIV/0!</v>
      </c>
      <c r="BE206" s="70" t="e">
        <f t="shared" si="1503"/>
        <v>#DIV/0!</v>
      </c>
      <c r="BF206" s="70">
        <f t="shared" si="1503"/>
        <v>131.05172098418859</v>
      </c>
      <c r="BG206" s="70">
        <f t="shared" si="1503"/>
        <v>135.56340697383658</v>
      </c>
      <c r="BH206" s="70">
        <f t="shared" si="1503"/>
        <v>0</v>
      </c>
      <c r="BI206" s="70">
        <f t="shared" si="1503"/>
        <v>0</v>
      </c>
      <c r="BJ206" s="70">
        <f t="shared" si="1503"/>
        <v>139.31856198320941</v>
      </c>
      <c r="BK206" s="70">
        <f t="shared" si="1503"/>
        <v>143.95669546476552</v>
      </c>
      <c r="BL206" s="70">
        <f t="shared" si="1503"/>
        <v>143.4670194558916</v>
      </c>
      <c r="BM206" s="70">
        <f t="shared" si="1503"/>
        <v>141.15761539856587</v>
      </c>
      <c r="BN206" s="70">
        <f t="shared" si="1503"/>
        <v>168.40378494971077</v>
      </c>
      <c r="BO206" s="70">
        <f t="shared" si="1503"/>
        <v>199.62570337612149</v>
      </c>
      <c r="BP206" s="70">
        <f t="shared" si="1503"/>
        <v>155.27591189213894</v>
      </c>
      <c r="BQ206" s="70">
        <f t="shared" si="1503"/>
        <v>150.15088231368838</v>
      </c>
      <c r="BR206" s="70">
        <f t="shared" si="1503"/>
        <v>119.7012683073366</v>
      </c>
      <c r="BS206" s="70">
        <f t="shared" si="1503"/>
        <v>128.48966804722954</v>
      </c>
      <c r="BT206" s="70">
        <f t="shared" si="1503"/>
        <v>122.65597669093033</v>
      </c>
      <c r="BU206" s="70">
        <f t="shared" si="1503"/>
        <v>119.89605763359668</v>
      </c>
      <c r="BV206" s="70">
        <f t="shared" si="1503"/>
        <v>95.577894307833134</v>
      </c>
      <c r="BW206" s="70">
        <f t="shared" si="1503"/>
        <v>102.93465916449794</v>
      </c>
      <c r="BX206" s="70">
        <f t="shared" si="1503"/>
        <v>114.07262965143602</v>
      </c>
      <c r="BY206" s="70">
        <f t="shared" si="1503"/>
        <v>111.70613185712058</v>
      </c>
      <c r="BZ206" s="70">
        <f t="shared" si="1503"/>
        <v>106.09436958924583</v>
      </c>
      <c r="CA206" s="70">
        <f t="shared" si="1503"/>
        <v>108.18368092402311</v>
      </c>
      <c r="CB206" s="70">
        <f t="shared" si="1503"/>
        <v>123.23959260231355</v>
      </c>
      <c r="CC206" s="70">
        <f t="shared" si="1503"/>
        <v>122.62218685738591</v>
      </c>
      <c r="CD206" s="70">
        <f t="shared" si="1503"/>
        <v>112.63247968711859</v>
      </c>
      <c r="CE206" s="115">
        <f>CE172/CE34*90</f>
        <v>116.53950058011678</v>
      </c>
      <c r="CF206" s="70">
        <f>CF172/CF32*90</f>
        <v>129.15088380795731</v>
      </c>
      <c r="CG206" s="70">
        <f>CG172/CG34*90</f>
        <v>130.25597571072453</v>
      </c>
      <c r="CH206" s="70">
        <f>CH172/CH32*90</f>
        <v>96.749885982961445</v>
      </c>
      <c r="CI206" s="70">
        <f>CI203+CI204+CI205</f>
        <v>96.749885982961445</v>
      </c>
      <c r="CJ206" s="70">
        <f>CJ172/CJ32*90</f>
        <v>142.17624838838816</v>
      </c>
      <c r="CK206" s="70">
        <f t="shared" ref="CK206:DB206" si="1504">CK203+CK204+CK205</f>
        <v>142.17624838838816</v>
      </c>
      <c r="CL206" s="70">
        <f>CL172/CL32*90</f>
        <v>116.15473084311687</v>
      </c>
      <c r="CM206" s="50">
        <f t="shared" si="1504"/>
        <v>113.15473084311687</v>
      </c>
      <c r="CN206" s="50">
        <f t="shared" si="1504"/>
        <v>110.15473084311687</v>
      </c>
      <c r="CO206" s="50">
        <f t="shared" si="1504"/>
        <v>110.15473084311687</v>
      </c>
      <c r="CP206" s="50">
        <f t="shared" si="1504"/>
        <v>110.15473084311687</v>
      </c>
      <c r="CQ206" s="50">
        <f t="shared" si="1504"/>
        <v>110.15473084311687</v>
      </c>
      <c r="CR206" s="50">
        <f t="shared" si="1504"/>
        <v>110.15473084311687</v>
      </c>
      <c r="CS206" s="50">
        <f t="shared" si="1504"/>
        <v>110.15473084311687</v>
      </c>
      <c r="CT206" s="50">
        <f t="shared" si="1504"/>
        <v>110.15473084311687</v>
      </c>
      <c r="CU206" s="50">
        <f t="shared" si="1504"/>
        <v>110.15473084311687</v>
      </c>
      <c r="CV206" s="50">
        <f t="shared" si="1504"/>
        <v>110.15473084311687</v>
      </c>
      <c r="CW206" s="50">
        <f t="shared" si="1504"/>
        <v>110.15473084311687</v>
      </c>
      <c r="CX206" s="50">
        <f t="shared" si="1504"/>
        <v>110.15473084311687</v>
      </c>
      <c r="CY206" s="50">
        <f t="shared" si="1504"/>
        <v>110.15473084311687</v>
      </c>
      <c r="CZ206" s="50">
        <f t="shared" si="1504"/>
        <v>110.15473084311687</v>
      </c>
      <c r="DA206" s="50">
        <f t="shared" si="1504"/>
        <v>110.15473084311687</v>
      </c>
      <c r="DB206" s="50">
        <f t="shared" si="1504"/>
        <v>110.15473084311687</v>
      </c>
      <c r="DE206" s="138"/>
      <c r="DF206" s="7">
        <v>142.17624838838816</v>
      </c>
    </row>
    <row r="207" spans="1:110" s="62" customFormat="1" outlineLevel="1" x14ac:dyDescent="0.2">
      <c r="A207" s="68" t="s">
        <v>468</v>
      </c>
      <c r="B207" s="67" t="e">
        <f t="shared" ref="B207:AE207" si="1505">B177/B32*365</f>
        <v>#DIV/0!</v>
      </c>
      <c r="C207" s="67" t="e">
        <f t="shared" si="1505"/>
        <v>#DIV/0!</v>
      </c>
      <c r="D207" s="67" t="e">
        <f t="shared" si="1505"/>
        <v>#DIV/0!</v>
      </c>
      <c r="E207" s="67" t="e">
        <f t="shared" si="1505"/>
        <v>#DIV/0!</v>
      </c>
      <c r="F207" s="67" t="e">
        <f t="shared" si="1505"/>
        <v>#DIV/0!</v>
      </c>
      <c r="G207" s="67" t="e">
        <f t="shared" si="1505"/>
        <v>#DIV/0!</v>
      </c>
      <c r="H207" s="67" t="e">
        <f t="shared" si="1505"/>
        <v>#DIV/0!</v>
      </c>
      <c r="I207" s="67">
        <f t="shared" si="1505"/>
        <v>28.310745384694666</v>
      </c>
      <c r="J207" s="67">
        <f t="shared" si="1505"/>
        <v>31.062806151311285</v>
      </c>
      <c r="K207" s="67">
        <f t="shared" si="1505"/>
        <v>0</v>
      </c>
      <c r="L207" s="67" t="e">
        <f t="shared" si="1505"/>
        <v>#DIV/0!</v>
      </c>
      <c r="M207" s="67">
        <f t="shared" si="1505"/>
        <v>62.828577263033438</v>
      </c>
      <c r="N207" s="67">
        <f t="shared" si="1505"/>
        <v>61.706693394467443</v>
      </c>
      <c r="O207" s="67">
        <f t="shared" si="1505"/>
        <v>53.278273481625448</v>
      </c>
      <c r="P207" s="67">
        <f t="shared" si="1505"/>
        <v>68.733095997718948</v>
      </c>
      <c r="Q207" s="67">
        <f t="shared" si="1505"/>
        <v>67.479774587405075</v>
      </c>
      <c r="R207" s="67">
        <f t="shared" si="1505"/>
        <v>81.744379203731825</v>
      </c>
      <c r="S207" s="67">
        <f t="shared" si="1505"/>
        <v>48.671596708118869</v>
      </c>
      <c r="T207" s="67">
        <f t="shared" si="1505"/>
        <v>69.483791477408204</v>
      </c>
      <c r="U207" s="67">
        <f t="shared" si="1505"/>
        <v>55.956603969102893</v>
      </c>
      <c r="V207" s="67">
        <f t="shared" si="1505"/>
        <v>55.962077442433845</v>
      </c>
      <c r="W207" s="67">
        <f t="shared" si="1505"/>
        <v>36.414876528637357</v>
      </c>
      <c r="X207" s="67">
        <f t="shared" si="1505"/>
        <v>52.589079584325752</v>
      </c>
      <c r="Y207" s="67">
        <f t="shared" si="1505"/>
        <v>57.934913348770614</v>
      </c>
      <c r="Z207" s="67">
        <f t="shared" si="1505"/>
        <v>44.561629427436152</v>
      </c>
      <c r="AA207" s="67">
        <f t="shared" ref="AA207" si="1506">AA177/AA32*365</f>
        <v>76.635299305575941</v>
      </c>
      <c r="AB207" s="18">
        <f t="shared" si="1505"/>
        <v>22.631781868827556</v>
      </c>
      <c r="AC207" s="18">
        <f t="shared" si="1505"/>
        <v>22.415756387372081</v>
      </c>
      <c r="AD207" s="18">
        <f t="shared" si="1505"/>
        <v>22.410196329656209</v>
      </c>
      <c r="AE207" s="18">
        <f t="shared" si="1505"/>
        <v>22.405089646575906</v>
      </c>
      <c r="AI207" s="67" t="e">
        <f>AJ177/AI32*90</f>
        <v>#DIV/0!</v>
      </c>
      <c r="AJ207" s="67" t="e">
        <f>AJ177/AJ32*90</f>
        <v>#DIV/0!</v>
      </c>
      <c r="AK207" s="67" t="e">
        <f t="shared" ref="AK207:CE207" si="1507">+AJ207</f>
        <v>#DIV/0!</v>
      </c>
      <c r="AL207" s="67" t="e">
        <f>AL177/AL32*90</f>
        <v>#DIV/0!</v>
      </c>
      <c r="AM207" s="67" t="e">
        <f t="shared" ref="AM207" si="1508">+AL207</f>
        <v>#DIV/0!</v>
      </c>
      <c r="AN207" s="67" t="e">
        <f>AN177/AN32*90</f>
        <v>#DIV/0!</v>
      </c>
      <c r="AO207" s="67" t="e">
        <f t="shared" ref="AO207" si="1509">+AN207</f>
        <v>#DIV/0!</v>
      </c>
      <c r="AP207" s="67" t="e">
        <f>AP177/AP32*90</f>
        <v>#DIV/0!</v>
      </c>
      <c r="AQ207" s="67" t="e">
        <f t="shared" ref="AQ207" si="1510">+AP207</f>
        <v>#DIV/0!</v>
      </c>
      <c r="AR207" s="67" t="e">
        <f>AR177/AR32*90</f>
        <v>#DIV/0!</v>
      </c>
      <c r="AS207" s="67" t="e">
        <f t="shared" ref="AS207" si="1511">+AR207</f>
        <v>#DIV/0!</v>
      </c>
      <c r="AT207" s="67" t="e">
        <f>AT177/AT32*90</f>
        <v>#DIV/0!</v>
      </c>
      <c r="AU207" s="67" t="e">
        <f t="shared" ref="AU207" si="1512">+AT207</f>
        <v>#DIV/0!</v>
      </c>
      <c r="AV207" s="67" t="e">
        <f>AV177/AV32*90</f>
        <v>#DIV/0!</v>
      </c>
      <c r="AW207" s="67" t="e">
        <f t="shared" ref="AW207" si="1513">+AV207</f>
        <v>#DIV/0!</v>
      </c>
      <c r="AX207" s="67" t="e">
        <f>AX177/AX32*90</f>
        <v>#DIV/0!</v>
      </c>
      <c r="AY207" s="67" t="e">
        <f t="shared" ref="AY207" si="1514">+AX207</f>
        <v>#DIV/0!</v>
      </c>
      <c r="AZ207" s="67" t="e">
        <f>AZ177/AZ32*90</f>
        <v>#DIV/0!</v>
      </c>
      <c r="BA207" s="67" t="e">
        <f t="shared" ref="BA207" si="1515">+AZ207</f>
        <v>#DIV/0!</v>
      </c>
      <c r="BB207" s="67" t="e">
        <f>BB177/BB32*90</f>
        <v>#DIV/0!</v>
      </c>
      <c r="BC207" s="67" t="e">
        <f t="shared" ref="BC207" si="1516">+BB207</f>
        <v>#DIV/0!</v>
      </c>
      <c r="BD207" s="67" t="e">
        <f>BD177/BD32*90</f>
        <v>#DIV/0!</v>
      </c>
      <c r="BE207" s="67" t="e">
        <f t="shared" ref="BE207" si="1517">+BD207</f>
        <v>#DIV/0!</v>
      </c>
      <c r="BF207" s="67">
        <f>BF177/BF32*90</f>
        <v>39.326140175126497</v>
      </c>
      <c r="BG207" s="67">
        <f t="shared" ref="BG207" si="1518">+BF207</f>
        <v>39.326140175126497</v>
      </c>
      <c r="BH207" s="67">
        <f>BH177/BH32*90</f>
        <v>0</v>
      </c>
      <c r="BI207" s="67">
        <f t="shared" ref="BI207" si="1519">+BH207</f>
        <v>0</v>
      </c>
      <c r="BJ207" s="67">
        <f>BJ177/BJ32*90</f>
        <v>55.534174391338354</v>
      </c>
      <c r="BK207" s="67">
        <f t="shared" ref="BK207" si="1520">+BJ207</f>
        <v>55.534174391338354</v>
      </c>
      <c r="BL207" s="67">
        <f>BL177/BL32*90</f>
        <v>53.111988128154906</v>
      </c>
      <c r="BM207" s="67">
        <f t="shared" ref="BM207" si="1521">+BL207</f>
        <v>53.111988128154906</v>
      </c>
      <c r="BN207" s="67">
        <f>BN177/BN32*90</f>
        <v>57.21450036419035</v>
      </c>
      <c r="BO207" s="67">
        <f t="shared" ref="BO207" si="1522">+BN207</f>
        <v>57.21450036419035</v>
      </c>
      <c r="BP207" s="67">
        <f>BP177/BP32*90</f>
        <v>56.533698068110532</v>
      </c>
      <c r="BQ207" s="67">
        <f t="shared" ref="BQ207" si="1523">+BP207</f>
        <v>56.533698068110532</v>
      </c>
      <c r="BR207" s="67">
        <f>BR177/BR32*90</f>
        <v>41.227848458291092</v>
      </c>
      <c r="BS207" s="67">
        <f t="shared" ref="BS207" si="1524">+BR207</f>
        <v>41.227848458291092</v>
      </c>
      <c r="BT207" s="67">
        <f>BT177/BT32*90</f>
        <v>39.288734115956636</v>
      </c>
      <c r="BU207" s="67">
        <f t="shared" ref="BU207" si="1525">+BT207</f>
        <v>39.288734115956636</v>
      </c>
      <c r="BV207" s="67">
        <f>BV177/BV32*90</f>
        <v>27.601560913878199</v>
      </c>
      <c r="BW207" s="67">
        <f t="shared" ref="BW207" si="1526">+BV207</f>
        <v>27.601560913878199</v>
      </c>
      <c r="BX207" s="67">
        <f>BX177/BX32*90</f>
        <v>44.833496281011818</v>
      </c>
      <c r="BY207" s="67">
        <f t="shared" ref="BY207" si="1527">+BX207</f>
        <v>44.833496281011818</v>
      </c>
      <c r="BZ207" s="67">
        <f>BZ177/BZ32*90</f>
        <v>16.795855198383048</v>
      </c>
      <c r="CA207" s="67">
        <f t="shared" ref="CA207" si="1528">+BZ207</f>
        <v>16.795855198383048</v>
      </c>
      <c r="CB207" s="67">
        <f>CB177/CB32*90</f>
        <v>40.215904556443952</v>
      </c>
      <c r="CC207" s="67">
        <f t="shared" ref="CC207" si="1529">+CB207</f>
        <v>40.215904556443952</v>
      </c>
      <c r="CD207" s="67">
        <f>CD177/CD32*90</f>
        <v>16.116595536933364</v>
      </c>
      <c r="CE207" s="114">
        <f t="shared" si="1507"/>
        <v>16.116595536933364</v>
      </c>
      <c r="CF207" s="67">
        <f>CF177/CF32*90</f>
        <v>20.122897056119548</v>
      </c>
      <c r="CG207" s="67">
        <f t="shared" ref="CG207:CI207" si="1530">+CF207</f>
        <v>20.122897056119548</v>
      </c>
      <c r="CH207" s="67">
        <f>CH177/CH32*90</f>
        <v>35.245513826766825</v>
      </c>
      <c r="CI207" s="67">
        <f t="shared" si="1530"/>
        <v>35.245513826766825</v>
      </c>
      <c r="CJ207" s="67">
        <f>CJ177/CJ32*90</f>
        <v>21.882529378771203</v>
      </c>
      <c r="CK207" s="67">
        <f t="shared" ref="CK207" si="1531">+CJ207</f>
        <v>21.882529378771203</v>
      </c>
      <c r="CL207" s="67">
        <f>CL177/CL32*90</f>
        <v>18.263148519647576</v>
      </c>
      <c r="CM207" s="30">
        <f t="shared" ref="CM207" si="1532">+CL207</f>
        <v>18.263148519647576</v>
      </c>
      <c r="CN207" s="30">
        <f t="shared" ref="CN207" si="1533">+CM207</f>
        <v>18.263148519647576</v>
      </c>
      <c r="CO207" s="30">
        <f t="shared" ref="CO207" si="1534">+CN207</f>
        <v>18.263148519647576</v>
      </c>
      <c r="CP207" s="30">
        <f t="shared" ref="CP207" si="1535">+CO207</f>
        <v>18.263148519647576</v>
      </c>
      <c r="CQ207" s="30">
        <f t="shared" ref="CQ207" si="1536">+CP207</f>
        <v>18.263148519647576</v>
      </c>
      <c r="CR207" s="30">
        <f t="shared" ref="CR207" si="1537">+CQ207</f>
        <v>18.263148519647576</v>
      </c>
      <c r="CS207" s="30">
        <f t="shared" ref="CS207" si="1538">+CR207</f>
        <v>18.263148519647576</v>
      </c>
      <c r="CT207" s="30">
        <f t="shared" ref="CT207" si="1539">+CS207</f>
        <v>18.263148519647576</v>
      </c>
      <c r="CU207" s="30">
        <f t="shared" ref="CU207" si="1540">+CT207</f>
        <v>18.263148519647576</v>
      </c>
      <c r="CV207" s="30">
        <f t="shared" ref="CV207" si="1541">+CU207</f>
        <v>18.263148519647576</v>
      </c>
      <c r="CW207" s="30">
        <f t="shared" ref="CW207" si="1542">+CV207</f>
        <v>18.263148519647576</v>
      </c>
      <c r="CX207" s="30">
        <f t="shared" ref="CX207" si="1543">+CW207</f>
        <v>18.263148519647576</v>
      </c>
      <c r="CY207" s="30">
        <f t="shared" ref="CY207" si="1544">+CX207</f>
        <v>18.263148519647576</v>
      </c>
      <c r="CZ207" s="30">
        <f t="shared" ref="CZ207" si="1545">+CY207</f>
        <v>18.263148519647576</v>
      </c>
      <c r="DA207" s="30">
        <f t="shared" ref="DA207" si="1546">+CZ207</f>
        <v>18.263148519647576</v>
      </c>
      <c r="DB207" s="30">
        <f t="shared" ref="DB207" si="1547">+DA207</f>
        <v>18.263148519647576</v>
      </c>
      <c r="DE207" s="139"/>
      <c r="DF207" s="62">
        <v>21.882529378771203</v>
      </c>
    </row>
    <row r="208" spans="1:110" s="62" customFormat="1" outlineLevel="1" x14ac:dyDescent="0.2">
      <c r="A208" s="68" t="s">
        <v>466</v>
      </c>
      <c r="B208" s="67" t="e">
        <f>B209-B207</f>
        <v>#DIV/0!</v>
      </c>
      <c r="C208" s="67" t="e">
        <f t="shared" ref="C208:V208" si="1548">C209-C207</f>
        <v>#DIV/0!</v>
      </c>
      <c r="D208" s="67" t="e">
        <f t="shared" si="1548"/>
        <v>#DIV/0!</v>
      </c>
      <c r="E208" s="67" t="e">
        <f t="shared" si="1548"/>
        <v>#DIV/0!</v>
      </c>
      <c r="F208" s="67" t="e">
        <f t="shared" si="1548"/>
        <v>#DIV/0!</v>
      </c>
      <c r="G208" s="67" t="e">
        <f t="shared" si="1548"/>
        <v>#DIV/0!</v>
      </c>
      <c r="H208" s="67" t="e">
        <f t="shared" si="1548"/>
        <v>#DIV/0!</v>
      </c>
      <c r="I208" s="67">
        <f t="shared" si="1548"/>
        <v>28.99448542599227</v>
      </c>
      <c r="J208" s="67">
        <f t="shared" si="1548"/>
        <v>35.926818138580209</v>
      </c>
      <c r="K208" s="67">
        <f t="shared" si="1548"/>
        <v>51.852800530210665</v>
      </c>
      <c r="L208" s="67" t="e">
        <f t="shared" si="1548"/>
        <v>#DIV/0!</v>
      </c>
      <c r="M208" s="67">
        <f t="shared" si="1548"/>
        <v>8.8742386632467998</v>
      </c>
      <c r="N208" s="67">
        <f t="shared" si="1548"/>
        <v>11.699220561622589</v>
      </c>
      <c r="O208" s="67">
        <f t="shared" si="1548"/>
        <v>10.608189071507539</v>
      </c>
      <c r="P208" s="67">
        <f t="shared" si="1548"/>
        <v>11.764808150452325</v>
      </c>
      <c r="Q208" s="67">
        <f t="shared" si="1548"/>
        <v>12.056068148319113</v>
      </c>
      <c r="R208" s="67">
        <f t="shared" si="1548"/>
        <v>16.928927496044324</v>
      </c>
      <c r="S208" s="67">
        <f t="shared" si="1548"/>
        <v>16.822578811826887</v>
      </c>
      <c r="T208" s="67">
        <f t="shared" si="1548"/>
        <v>43.751813274774221</v>
      </c>
      <c r="U208" s="67">
        <f t="shared" si="1548"/>
        <v>24.055565402088696</v>
      </c>
      <c r="V208" s="67">
        <f t="shared" si="1548"/>
        <v>25.049949193799897</v>
      </c>
      <c r="W208" s="67">
        <f t="shared" ref="W208" si="1549">W209-W207</f>
        <v>15.410396024635361</v>
      </c>
      <c r="X208" s="67">
        <f t="shared" ref="X208:Y208" si="1550">X209-X207</f>
        <v>15.599985341419476</v>
      </c>
      <c r="Y208" s="67">
        <f t="shared" si="1550"/>
        <v>16.75476500273512</v>
      </c>
      <c r="Z208" s="67">
        <f t="shared" ref="Z208:AA208" si="1551">Z209-Z207</f>
        <v>14.963992827126248</v>
      </c>
      <c r="AA208" s="67">
        <f t="shared" si="1551"/>
        <v>26.538536906788408</v>
      </c>
      <c r="AB208" s="18">
        <f t="shared" ref="AA208:AD208" si="1552">AB209-AB207</f>
        <v>55.306108817469422</v>
      </c>
      <c r="AC208" s="18">
        <f t="shared" si="1552"/>
        <v>54.778199488280521</v>
      </c>
      <c r="AD208" s="18">
        <f t="shared" si="1552"/>
        <v>54.764612172935749</v>
      </c>
      <c r="AE208" s="18">
        <f t="shared" ref="AE208" si="1553">AE209-AE207</f>
        <v>54.752132785684125</v>
      </c>
      <c r="AI208" s="67" t="e">
        <f t="shared" ref="AI208:AK208" si="1554">AI209-AI207</f>
        <v>#DIV/0!</v>
      </c>
      <c r="AJ208" s="67" t="e">
        <f t="shared" ref="AJ208:AM208" si="1555">AJ209-AJ207</f>
        <v>#DIV/0!</v>
      </c>
      <c r="AK208" s="67" t="e">
        <f t="shared" si="1554"/>
        <v>#DIV/0!</v>
      </c>
      <c r="AL208" s="67" t="e">
        <f t="shared" si="1555"/>
        <v>#DIV/0!</v>
      </c>
      <c r="AM208" s="67" t="e">
        <f t="shared" si="1555"/>
        <v>#DIV/0!</v>
      </c>
      <c r="AN208" s="67" t="e">
        <f t="shared" ref="AN208:AY208" si="1556">AN209-AN207</f>
        <v>#DIV/0!</v>
      </c>
      <c r="AO208" s="67" t="e">
        <f t="shared" si="1556"/>
        <v>#DIV/0!</v>
      </c>
      <c r="AP208" s="67" t="e">
        <f t="shared" si="1556"/>
        <v>#DIV/0!</v>
      </c>
      <c r="AQ208" s="67" t="e">
        <f t="shared" si="1556"/>
        <v>#DIV/0!</v>
      </c>
      <c r="AR208" s="67" t="e">
        <f t="shared" si="1556"/>
        <v>#DIV/0!</v>
      </c>
      <c r="AS208" s="67" t="e">
        <f t="shared" si="1556"/>
        <v>#DIV/0!</v>
      </c>
      <c r="AT208" s="67" t="e">
        <f t="shared" si="1556"/>
        <v>#DIV/0!</v>
      </c>
      <c r="AU208" s="67" t="e">
        <f t="shared" si="1556"/>
        <v>#DIV/0!</v>
      </c>
      <c r="AV208" s="67" t="e">
        <f t="shared" si="1556"/>
        <v>#DIV/0!</v>
      </c>
      <c r="AW208" s="67" t="e">
        <f t="shared" si="1556"/>
        <v>#DIV/0!</v>
      </c>
      <c r="AX208" s="67" t="e">
        <f t="shared" si="1556"/>
        <v>#DIV/0!</v>
      </c>
      <c r="AY208" s="67" t="e">
        <f t="shared" si="1556"/>
        <v>#DIV/0!</v>
      </c>
      <c r="AZ208" s="67" t="e">
        <f t="shared" ref="AZ208:BC208" si="1557">AZ209-AZ207</f>
        <v>#DIV/0!</v>
      </c>
      <c r="BA208" s="67" t="e">
        <f t="shared" si="1557"/>
        <v>#DIV/0!</v>
      </c>
      <c r="BB208" s="67" t="e">
        <f t="shared" si="1557"/>
        <v>#DIV/0!</v>
      </c>
      <c r="BC208" s="67" t="e">
        <f t="shared" si="1557"/>
        <v>#DIV/0!</v>
      </c>
      <c r="BD208" s="67" t="e">
        <f t="shared" ref="BD208:CE208" si="1558">BD209-BD207</f>
        <v>#DIV/0!</v>
      </c>
      <c r="BE208" s="67" t="e">
        <f t="shared" si="1558"/>
        <v>#DIV/0!</v>
      </c>
      <c r="BF208" s="67">
        <f t="shared" si="1558"/>
        <v>16.689215380576485</v>
      </c>
      <c r="BG208" s="67">
        <f t="shared" si="1558"/>
        <v>20.930338288624007</v>
      </c>
      <c r="BH208" s="67">
        <f t="shared" si="1558"/>
        <v>0</v>
      </c>
      <c r="BI208" s="67">
        <f t="shared" si="1558"/>
        <v>0</v>
      </c>
      <c r="BJ208" s="67">
        <f t="shared" si="1558"/>
        <v>37.906121138492864</v>
      </c>
      <c r="BK208" s="67">
        <f t="shared" si="1558"/>
        <v>47.858351560273931</v>
      </c>
      <c r="BL208" s="67">
        <f t="shared" si="1558"/>
        <v>29.376714751445505</v>
      </c>
      <c r="BM208" s="67">
        <f t="shared" si="1558"/>
        <v>26.267593078948849</v>
      </c>
      <c r="BN208" s="67">
        <f t="shared" si="1558"/>
        <v>26.073520896448308</v>
      </c>
      <c r="BO208" s="67">
        <f t="shared" si="1558"/>
        <v>56.851059036755252</v>
      </c>
      <c r="BP208" s="67">
        <f t="shared" si="1558"/>
        <v>27.356962873317762</v>
      </c>
      <c r="BQ208" s="67">
        <f t="shared" si="1558"/>
        <v>21.054902160693864</v>
      </c>
      <c r="BR208" s="67">
        <f t="shared" si="1558"/>
        <v>18.454559881416685</v>
      </c>
      <c r="BS208" s="67">
        <f t="shared" si="1558"/>
        <v>29.272407488459649</v>
      </c>
      <c r="BT208" s="67">
        <f t="shared" si="1558"/>
        <v>15.237186746957896</v>
      </c>
      <c r="BU208" s="67">
        <f t="shared" si="1558"/>
        <v>13.585852415008787</v>
      </c>
      <c r="BV208" s="67">
        <f t="shared" si="1558"/>
        <v>11.68069275880848</v>
      </c>
      <c r="BW208" s="67">
        <f t="shared" si="1558"/>
        <v>16.945431796231542</v>
      </c>
      <c r="BX208" s="67">
        <f t="shared" si="1558"/>
        <v>11.478439591424447</v>
      </c>
      <c r="BY208" s="67">
        <f t="shared" si="1558"/>
        <v>10.295665192176315</v>
      </c>
      <c r="BZ208" s="67">
        <f t="shared" si="1558"/>
        <v>38.065856384872063</v>
      </c>
      <c r="CA208" s="67">
        <f t="shared" si="1558"/>
        <v>42.316393709849024</v>
      </c>
      <c r="CB208" s="67">
        <f t="shared" si="1558"/>
        <v>12.140822349258386</v>
      </c>
      <c r="CC208" s="67">
        <f t="shared" si="1558"/>
        <v>11.797411340246562</v>
      </c>
      <c r="CD208" s="67">
        <f t="shared" si="1558"/>
        <v>43.295432049421535</v>
      </c>
      <c r="CE208" s="114">
        <f t="shared" si="1558"/>
        <v>51.532985102266281</v>
      </c>
      <c r="CF208" s="67">
        <f t="shared" ref="CF208:CG208" si="1559">CF209-CF207</f>
        <v>59.506112934563241</v>
      </c>
      <c r="CG208" s="67">
        <f t="shared" si="1559"/>
        <v>62.607328424347052</v>
      </c>
      <c r="CH208" s="67">
        <f t="shared" ref="CH208" si="1560">CH209-CH207</f>
        <v>11.835599884222248</v>
      </c>
      <c r="CI208" s="67">
        <f>CH208</f>
        <v>11.835599884222248</v>
      </c>
      <c r="CJ208" s="67">
        <f t="shared" ref="CJ208:CL208" si="1561">CJ209-CJ207</f>
        <v>64.950538125128247</v>
      </c>
      <c r="CK208" s="67">
        <f t="shared" ref="CK208:DB208" si="1562">CJ208</f>
        <v>64.950538125128247</v>
      </c>
      <c r="CL208" s="67">
        <f t="shared" si="1561"/>
        <v>64.630320547957865</v>
      </c>
      <c r="CM208" s="30">
        <f>CL208-20</f>
        <v>44.630320547957865</v>
      </c>
      <c r="CN208" s="30">
        <f t="shared" si="1562"/>
        <v>44.630320547957865</v>
      </c>
      <c r="CO208" s="30">
        <f t="shared" si="1562"/>
        <v>44.630320547957865</v>
      </c>
      <c r="CP208" s="30">
        <f t="shared" si="1562"/>
        <v>44.630320547957865</v>
      </c>
      <c r="CQ208" s="30">
        <f t="shared" si="1562"/>
        <v>44.630320547957865</v>
      </c>
      <c r="CR208" s="30">
        <f t="shared" si="1562"/>
        <v>44.630320547957865</v>
      </c>
      <c r="CS208" s="30">
        <f t="shared" si="1562"/>
        <v>44.630320547957865</v>
      </c>
      <c r="CT208" s="30">
        <f t="shared" si="1562"/>
        <v>44.630320547957865</v>
      </c>
      <c r="CU208" s="30">
        <f t="shared" si="1562"/>
        <v>44.630320547957865</v>
      </c>
      <c r="CV208" s="30">
        <f t="shared" si="1562"/>
        <v>44.630320547957865</v>
      </c>
      <c r="CW208" s="30">
        <f t="shared" si="1562"/>
        <v>44.630320547957865</v>
      </c>
      <c r="CX208" s="30">
        <f t="shared" si="1562"/>
        <v>44.630320547957865</v>
      </c>
      <c r="CY208" s="30">
        <f t="shared" si="1562"/>
        <v>44.630320547957865</v>
      </c>
      <c r="CZ208" s="30">
        <f t="shared" si="1562"/>
        <v>44.630320547957865</v>
      </c>
      <c r="DA208" s="30">
        <f t="shared" si="1562"/>
        <v>44.630320547957865</v>
      </c>
      <c r="DB208" s="30">
        <f t="shared" si="1562"/>
        <v>44.630320547957865</v>
      </c>
      <c r="DE208" s="139"/>
      <c r="DF208" s="62">
        <v>64.950538125128247</v>
      </c>
    </row>
    <row r="209" spans="1:110" s="7" customFormat="1" outlineLevel="1" x14ac:dyDescent="0.2">
      <c r="A209" s="69" t="s">
        <v>469</v>
      </c>
      <c r="B209" s="70" t="e">
        <f t="shared" ref="B209:AE209" si="1563">B180/B32*365</f>
        <v>#DIV/0!</v>
      </c>
      <c r="C209" s="70" t="e">
        <f t="shared" si="1563"/>
        <v>#DIV/0!</v>
      </c>
      <c r="D209" s="70" t="e">
        <f t="shared" si="1563"/>
        <v>#DIV/0!</v>
      </c>
      <c r="E209" s="70" t="e">
        <f t="shared" si="1563"/>
        <v>#DIV/0!</v>
      </c>
      <c r="F209" s="70" t="e">
        <f t="shared" si="1563"/>
        <v>#DIV/0!</v>
      </c>
      <c r="G209" s="70" t="e">
        <f t="shared" si="1563"/>
        <v>#DIV/0!</v>
      </c>
      <c r="H209" s="70" t="e">
        <f t="shared" si="1563"/>
        <v>#DIV/0!</v>
      </c>
      <c r="I209" s="70">
        <f t="shared" si="1563"/>
        <v>57.305230810686936</v>
      </c>
      <c r="J209" s="70">
        <f t="shared" si="1563"/>
        <v>66.989624289891495</v>
      </c>
      <c r="K209" s="70">
        <f t="shared" si="1563"/>
        <v>51.852800530210665</v>
      </c>
      <c r="L209" s="70" t="e">
        <f t="shared" si="1563"/>
        <v>#DIV/0!</v>
      </c>
      <c r="M209" s="70">
        <f t="shared" si="1563"/>
        <v>71.702815926280238</v>
      </c>
      <c r="N209" s="70">
        <f t="shared" si="1563"/>
        <v>73.405913956090032</v>
      </c>
      <c r="O209" s="70">
        <f t="shared" si="1563"/>
        <v>63.886462553132986</v>
      </c>
      <c r="P209" s="70">
        <f t="shared" si="1563"/>
        <v>80.497904148171273</v>
      </c>
      <c r="Q209" s="70">
        <f t="shared" si="1563"/>
        <v>79.535842735724188</v>
      </c>
      <c r="R209" s="70">
        <f t="shared" si="1563"/>
        <v>98.673306699776148</v>
      </c>
      <c r="S209" s="70">
        <f t="shared" si="1563"/>
        <v>65.494175519945756</v>
      </c>
      <c r="T209" s="70">
        <f t="shared" si="1563"/>
        <v>113.23560475218243</v>
      </c>
      <c r="U209" s="70">
        <f t="shared" si="1563"/>
        <v>80.01216937119159</v>
      </c>
      <c r="V209" s="70">
        <f t="shared" si="1563"/>
        <v>81.012026636233742</v>
      </c>
      <c r="W209" s="70">
        <f t="shared" si="1563"/>
        <v>51.825272553272718</v>
      </c>
      <c r="X209" s="70">
        <f t="shared" si="1563"/>
        <v>68.189064925745228</v>
      </c>
      <c r="Y209" s="70">
        <f t="shared" si="1563"/>
        <v>74.689678351505734</v>
      </c>
      <c r="Z209" s="70">
        <f t="shared" si="1563"/>
        <v>59.5256222545624</v>
      </c>
      <c r="AA209" s="70">
        <f t="shared" ref="AA209" si="1564">AA180/AA32*365</f>
        <v>103.17383621236435</v>
      </c>
      <c r="AB209" s="71">
        <f t="shared" si="1563"/>
        <v>77.937890686296981</v>
      </c>
      <c r="AC209" s="71">
        <f t="shared" si="1563"/>
        <v>77.193955875652605</v>
      </c>
      <c r="AD209" s="71">
        <f t="shared" si="1563"/>
        <v>77.174808502591958</v>
      </c>
      <c r="AE209" s="71">
        <f t="shared" si="1563"/>
        <v>77.157222432260028</v>
      </c>
      <c r="AI209" s="70" t="e">
        <f t="shared" ref="AI209:CD209" si="1565">AI180/AI32*90</f>
        <v>#DIV/0!</v>
      </c>
      <c r="AJ209" s="70" t="e">
        <f t="shared" si="1565"/>
        <v>#DIV/0!</v>
      </c>
      <c r="AK209" s="70" t="e">
        <f>AK180/AK32*90</f>
        <v>#DIV/0!</v>
      </c>
      <c r="AL209" s="70" t="e">
        <f t="shared" si="1565"/>
        <v>#DIV/0!</v>
      </c>
      <c r="AM209" s="70" t="e">
        <f t="shared" si="1565"/>
        <v>#DIV/0!</v>
      </c>
      <c r="AN209" s="70" t="e">
        <f t="shared" si="1565"/>
        <v>#DIV/0!</v>
      </c>
      <c r="AO209" s="70" t="e">
        <f t="shared" si="1565"/>
        <v>#DIV/0!</v>
      </c>
      <c r="AP209" s="70" t="e">
        <f t="shared" si="1565"/>
        <v>#DIV/0!</v>
      </c>
      <c r="AQ209" s="70" t="e">
        <f t="shared" si="1565"/>
        <v>#DIV/0!</v>
      </c>
      <c r="AR209" s="70" t="e">
        <f t="shared" si="1565"/>
        <v>#DIV/0!</v>
      </c>
      <c r="AS209" s="70" t="e">
        <f t="shared" si="1565"/>
        <v>#DIV/0!</v>
      </c>
      <c r="AT209" s="70" t="e">
        <f t="shared" si="1565"/>
        <v>#DIV/0!</v>
      </c>
      <c r="AU209" s="70" t="e">
        <f t="shared" si="1565"/>
        <v>#DIV/0!</v>
      </c>
      <c r="AV209" s="70" t="e">
        <f t="shared" si="1565"/>
        <v>#DIV/0!</v>
      </c>
      <c r="AW209" s="70" t="e">
        <f t="shared" si="1565"/>
        <v>#DIV/0!</v>
      </c>
      <c r="AX209" s="70" t="e">
        <f t="shared" si="1565"/>
        <v>#DIV/0!</v>
      </c>
      <c r="AY209" s="70" t="e">
        <f t="shared" si="1565"/>
        <v>#DIV/0!</v>
      </c>
      <c r="AZ209" s="70" t="e">
        <f t="shared" si="1565"/>
        <v>#DIV/0!</v>
      </c>
      <c r="BA209" s="70" t="e">
        <f t="shared" si="1565"/>
        <v>#DIV/0!</v>
      </c>
      <c r="BB209" s="70" t="e">
        <f t="shared" si="1565"/>
        <v>#DIV/0!</v>
      </c>
      <c r="BC209" s="70" t="e">
        <f t="shared" si="1565"/>
        <v>#DIV/0!</v>
      </c>
      <c r="BD209" s="70" t="e">
        <f t="shared" si="1565"/>
        <v>#DIV/0!</v>
      </c>
      <c r="BE209" s="70" t="e">
        <f t="shared" si="1565"/>
        <v>#DIV/0!</v>
      </c>
      <c r="BF209" s="70">
        <f t="shared" si="1565"/>
        <v>56.015355555702982</v>
      </c>
      <c r="BG209" s="70">
        <f t="shared" si="1565"/>
        <v>60.256478463750504</v>
      </c>
      <c r="BH209" s="70">
        <f t="shared" si="1565"/>
        <v>0</v>
      </c>
      <c r="BI209" s="70">
        <f t="shared" si="1565"/>
        <v>0</v>
      </c>
      <c r="BJ209" s="70">
        <f t="shared" si="1565"/>
        <v>93.440295529831218</v>
      </c>
      <c r="BK209" s="70">
        <f t="shared" si="1565"/>
        <v>103.39252595161228</v>
      </c>
      <c r="BL209" s="70">
        <f t="shared" si="1565"/>
        <v>82.48870287960041</v>
      </c>
      <c r="BM209" s="70">
        <f t="shared" si="1565"/>
        <v>79.379581207103755</v>
      </c>
      <c r="BN209" s="70">
        <f t="shared" si="1565"/>
        <v>83.288021260638658</v>
      </c>
      <c r="BO209" s="70">
        <f t="shared" si="1565"/>
        <v>114.0655594009456</v>
      </c>
      <c r="BP209" s="70">
        <f t="shared" si="1565"/>
        <v>83.890660941428294</v>
      </c>
      <c r="BQ209" s="70">
        <f t="shared" si="1565"/>
        <v>77.588600228804395</v>
      </c>
      <c r="BR209" s="70">
        <f t="shared" si="1565"/>
        <v>59.682408339707777</v>
      </c>
      <c r="BS209" s="70">
        <f t="shared" si="1565"/>
        <v>70.500255946750741</v>
      </c>
      <c r="BT209" s="70">
        <f t="shared" si="1565"/>
        <v>54.525920862914532</v>
      </c>
      <c r="BU209" s="70">
        <f t="shared" si="1565"/>
        <v>52.874586530965423</v>
      </c>
      <c r="BV209" s="70">
        <f t="shared" si="1565"/>
        <v>39.282253672686679</v>
      </c>
      <c r="BW209" s="70">
        <f t="shared" si="1565"/>
        <v>44.546992710109741</v>
      </c>
      <c r="BX209" s="70">
        <f t="shared" si="1565"/>
        <v>56.311935872436266</v>
      </c>
      <c r="BY209" s="70">
        <f t="shared" si="1565"/>
        <v>55.129161473188134</v>
      </c>
      <c r="BZ209" s="70">
        <f t="shared" si="1565"/>
        <v>54.861711583255115</v>
      </c>
      <c r="CA209" s="70">
        <f t="shared" si="1565"/>
        <v>59.112248908232068</v>
      </c>
      <c r="CB209" s="70">
        <f t="shared" si="1565"/>
        <v>52.356726905702338</v>
      </c>
      <c r="CC209" s="70">
        <f t="shared" si="1565"/>
        <v>52.013315896690514</v>
      </c>
      <c r="CD209" s="70">
        <f t="shared" si="1565"/>
        <v>59.412027586354895</v>
      </c>
      <c r="CE209" s="115">
        <f>CE180/CE34*90</f>
        <v>67.649580639199641</v>
      </c>
      <c r="CF209" s="70">
        <f>CF180/CF32*90</f>
        <v>79.629009990682789</v>
      </c>
      <c r="CG209" s="70">
        <f>CG180/CG34*90</f>
        <v>82.730225480466601</v>
      </c>
      <c r="CH209" s="70">
        <f>CH180/CH32*90</f>
        <v>47.081113710989072</v>
      </c>
      <c r="CI209" s="70">
        <f>CI207+CI208</f>
        <v>47.081113710989072</v>
      </c>
      <c r="CJ209" s="70">
        <f>CJ180/CJ32*90</f>
        <v>86.833067503899443</v>
      </c>
      <c r="CK209" s="70">
        <f t="shared" ref="CK209:DB209" si="1566">CK207+CK208</f>
        <v>86.833067503899457</v>
      </c>
      <c r="CL209" s="70">
        <f>CL180/CL32*90</f>
        <v>82.893469067605437</v>
      </c>
      <c r="CM209" s="50">
        <f t="shared" si="1566"/>
        <v>62.893469067605437</v>
      </c>
      <c r="CN209" s="50">
        <f t="shared" si="1566"/>
        <v>62.893469067605437</v>
      </c>
      <c r="CO209" s="50">
        <f t="shared" si="1566"/>
        <v>62.893469067605437</v>
      </c>
      <c r="CP209" s="50">
        <f t="shared" si="1566"/>
        <v>62.893469067605437</v>
      </c>
      <c r="CQ209" s="50">
        <f t="shared" si="1566"/>
        <v>62.893469067605437</v>
      </c>
      <c r="CR209" s="50">
        <f t="shared" si="1566"/>
        <v>62.893469067605437</v>
      </c>
      <c r="CS209" s="50">
        <f t="shared" si="1566"/>
        <v>62.893469067605437</v>
      </c>
      <c r="CT209" s="50">
        <f t="shared" si="1566"/>
        <v>62.893469067605437</v>
      </c>
      <c r="CU209" s="50">
        <f t="shared" si="1566"/>
        <v>62.893469067605437</v>
      </c>
      <c r="CV209" s="50">
        <f t="shared" si="1566"/>
        <v>62.893469067605437</v>
      </c>
      <c r="CW209" s="50">
        <f t="shared" si="1566"/>
        <v>62.893469067605437</v>
      </c>
      <c r="CX209" s="50">
        <f t="shared" si="1566"/>
        <v>62.893469067605437</v>
      </c>
      <c r="CY209" s="50">
        <f t="shared" si="1566"/>
        <v>62.893469067605437</v>
      </c>
      <c r="CZ209" s="50">
        <f t="shared" si="1566"/>
        <v>62.893469067605437</v>
      </c>
      <c r="DA209" s="50">
        <f t="shared" si="1566"/>
        <v>62.893469067605437</v>
      </c>
      <c r="DB209" s="50">
        <f t="shared" si="1566"/>
        <v>62.893469067605437</v>
      </c>
      <c r="DE209" s="138"/>
      <c r="DF209" s="7">
        <v>86.833067503899457</v>
      </c>
    </row>
    <row r="210" spans="1:110" s="7" customFormat="1" x14ac:dyDescent="0.2">
      <c r="A210" s="69" t="s">
        <v>470</v>
      </c>
      <c r="B210" s="70" t="e">
        <f>B206-B209</f>
        <v>#DIV/0!</v>
      </c>
      <c r="C210" s="70" t="e">
        <f t="shared" ref="C210:V210" si="1567">C206-C209</f>
        <v>#DIV/0!</v>
      </c>
      <c r="D210" s="70" t="e">
        <f t="shared" si="1567"/>
        <v>#DIV/0!</v>
      </c>
      <c r="E210" s="70" t="e">
        <f t="shared" si="1567"/>
        <v>#DIV/0!</v>
      </c>
      <c r="F210" s="70" t="e">
        <f t="shared" si="1567"/>
        <v>#DIV/0!</v>
      </c>
      <c r="G210" s="70" t="e">
        <f t="shared" si="1567"/>
        <v>#DIV/0!</v>
      </c>
      <c r="H210" s="70" t="e">
        <f t="shared" si="1567"/>
        <v>#DIV/0!</v>
      </c>
      <c r="I210" s="70">
        <f t="shared" si="1567"/>
        <v>123.98123933948014</v>
      </c>
      <c r="J210" s="70">
        <f t="shared" si="1567"/>
        <v>114.25859117779915</v>
      </c>
      <c r="K210" s="70">
        <f t="shared" si="1567"/>
        <v>220.27666226240572</v>
      </c>
      <c r="L210" s="70" t="e">
        <f t="shared" si="1567"/>
        <v>#DIV/0!</v>
      </c>
      <c r="M210" s="70">
        <f t="shared" si="1567"/>
        <v>128.43497026694595</v>
      </c>
      <c r="N210" s="70">
        <f t="shared" si="1567"/>
        <v>106.82129565129252</v>
      </c>
      <c r="O210" s="70">
        <f t="shared" si="1567"/>
        <v>84.429351254946027</v>
      </c>
      <c r="P210" s="70">
        <f t="shared" si="1567"/>
        <v>82.479286913647456</v>
      </c>
      <c r="Q210" s="70">
        <f t="shared" si="1567"/>
        <v>91.344930926740901</v>
      </c>
      <c r="R210" s="70">
        <f t="shared" si="1567"/>
        <v>94.266995347120442</v>
      </c>
      <c r="S210" s="70">
        <f t="shared" si="1567"/>
        <v>96.700651718189803</v>
      </c>
      <c r="T210" s="70">
        <f t="shared" si="1567"/>
        <v>61.078356261408132</v>
      </c>
      <c r="U210" s="70">
        <f t="shared" si="1567"/>
        <v>83.292308397947664</v>
      </c>
      <c r="V210" s="70">
        <f t="shared" si="1567"/>
        <v>80.053096857977181</v>
      </c>
      <c r="W210" s="70">
        <f t="shared" ref="W210" si="1568">W206-W209</f>
        <v>73.22024251376277</v>
      </c>
      <c r="X210" s="70">
        <f t="shared" ref="X210:Y210" si="1569">X206-X209</f>
        <v>62.742308888047418</v>
      </c>
      <c r="Y210" s="70">
        <f t="shared" si="1569"/>
        <v>65.432434613838439</v>
      </c>
      <c r="Z210" s="70">
        <f t="shared" ref="Z210:AA210" si="1570">Z206-Z209</f>
        <v>62.79725229650267</v>
      </c>
      <c r="AA210" s="70">
        <f t="shared" si="1570"/>
        <v>39.596466765859546</v>
      </c>
      <c r="AB210" s="71">
        <f t="shared" ref="AA210:AD210" si="1571">AB206-AB209</f>
        <v>58.566383895867943</v>
      </c>
      <c r="AC210" s="71">
        <f t="shared" si="1571"/>
        <v>58.007354502975218</v>
      </c>
      <c r="AD210" s="71">
        <f t="shared" si="1571"/>
        <v>57.992966220313349</v>
      </c>
      <c r="AE210" s="71">
        <f t="shared" ref="AE210" si="1572">AE206-AE209</f>
        <v>57.979751177704287</v>
      </c>
      <c r="AI210" s="70" t="e">
        <f t="shared" ref="AI210:AK210" si="1573">AI206-AI209</f>
        <v>#DIV/0!</v>
      </c>
      <c r="AJ210" s="70" t="e">
        <f t="shared" ref="AJ210:AM210" si="1574">AJ206-AJ209</f>
        <v>#DIV/0!</v>
      </c>
      <c r="AK210" s="70" t="e">
        <f t="shared" si="1573"/>
        <v>#DIV/0!</v>
      </c>
      <c r="AL210" s="70" t="e">
        <f t="shared" si="1574"/>
        <v>#DIV/0!</v>
      </c>
      <c r="AM210" s="70" t="e">
        <f t="shared" si="1574"/>
        <v>#DIV/0!</v>
      </c>
      <c r="AN210" s="70" t="e">
        <f t="shared" ref="AN210:AY210" si="1575">AN206-AN209</f>
        <v>#DIV/0!</v>
      </c>
      <c r="AO210" s="70" t="e">
        <f t="shared" si="1575"/>
        <v>#DIV/0!</v>
      </c>
      <c r="AP210" s="70" t="e">
        <f t="shared" si="1575"/>
        <v>#DIV/0!</v>
      </c>
      <c r="AQ210" s="70" t="e">
        <f t="shared" si="1575"/>
        <v>#DIV/0!</v>
      </c>
      <c r="AR210" s="70" t="e">
        <f t="shared" si="1575"/>
        <v>#DIV/0!</v>
      </c>
      <c r="AS210" s="70" t="e">
        <f t="shared" si="1575"/>
        <v>#DIV/0!</v>
      </c>
      <c r="AT210" s="70" t="e">
        <f t="shared" si="1575"/>
        <v>#DIV/0!</v>
      </c>
      <c r="AU210" s="70" t="e">
        <f t="shared" si="1575"/>
        <v>#DIV/0!</v>
      </c>
      <c r="AV210" s="70" t="e">
        <f t="shared" si="1575"/>
        <v>#DIV/0!</v>
      </c>
      <c r="AW210" s="70" t="e">
        <f t="shared" si="1575"/>
        <v>#DIV/0!</v>
      </c>
      <c r="AX210" s="70" t="e">
        <f t="shared" si="1575"/>
        <v>#DIV/0!</v>
      </c>
      <c r="AY210" s="70" t="e">
        <f t="shared" si="1575"/>
        <v>#DIV/0!</v>
      </c>
      <c r="AZ210" s="70" t="e">
        <f t="shared" ref="AZ210:BC210" si="1576">AZ206-AZ209</f>
        <v>#DIV/0!</v>
      </c>
      <c r="BA210" s="70" t="e">
        <f t="shared" si="1576"/>
        <v>#DIV/0!</v>
      </c>
      <c r="BB210" s="70" t="e">
        <f t="shared" si="1576"/>
        <v>#DIV/0!</v>
      </c>
      <c r="BC210" s="70" t="e">
        <f t="shared" si="1576"/>
        <v>#DIV/0!</v>
      </c>
      <c r="BD210" s="70" t="e">
        <f t="shared" ref="BD210:CE210" si="1577">BD206-BD209</f>
        <v>#DIV/0!</v>
      </c>
      <c r="BE210" s="70" t="e">
        <f t="shared" si="1577"/>
        <v>#DIV/0!</v>
      </c>
      <c r="BF210" s="70">
        <f t="shared" si="1577"/>
        <v>75.03636542848561</v>
      </c>
      <c r="BG210" s="70">
        <f t="shared" si="1577"/>
        <v>75.306928510086067</v>
      </c>
      <c r="BH210" s="70">
        <f t="shared" si="1577"/>
        <v>0</v>
      </c>
      <c r="BI210" s="70">
        <f t="shared" si="1577"/>
        <v>0</v>
      </c>
      <c r="BJ210" s="70">
        <f t="shared" si="1577"/>
        <v>45.878266453378188</v>
      </c>
      <c r="BK210" s="70">
        <f t="shared" si="1577"/>
        <v>40.564169513153232</v>
      </c>
      <c r="BL210" s="70">
        <f t="shared" si="1577"/>
        <v>60.978316576291192</v>
      </c>
      <c r="BM210" s="70">
        <f t="shared" si="1577"/>
        <v>61.778034191462112</v>
      </c>
      <c r="BN210" s="70">
        <f t="shared" si="1577"/>
        <v>85.115763689072111</v>
      </c>
      <c r="BO210" s="70">
        <f t="shared" si="1577"/>
        <v>85.56014397517589</v>
      </c>
      <c r="BP210" s="70">
        <f t="shared" si="1577"/>
        <v>71.385250950710642</v>
      </c>
      <c r="BQ210" s="70">
        <f t="shared" si="1577"/>
        <v>72.562282084883989</v>
      </c>
      <c r="BR210" s="70">
        <f t="shared" si="1577"/>
        <v>60.018859967628828</v>
      </c>
      <c r="BS210" s="70">
        <f t="shared" si="1577"/>
        <v>57.989412100478802</v>
      </c>
      <c r="BT210" s="70">
        <f t="shared" si="1577"/>
        <v>68.130055828015799</v>
      </c>
      <c r="BU210" s="70">
        <f t="shared" si="1577"/>
        <v>67.021471102631267</v>
      </c>
      <c r="BV210" s="70">
        <f t="shared" si="1577"/>
        <v>56.295640635146455</v>
      </c>
      <c r="BW210" s="70">
        <f t="shared" si="1577"/>
        <v>58.387666454388203</v>
      </c>
      <c r="BX210" s="70">
        <f t="shared" si="1577"/>
        <v>57.760693778999752</v>
      </c>
      <c r="BY210" s="70">
        <f t="shared" si="1577"/>
        <v>56.576970383932448</v>
      </c>
      <c r="BZ210" s="70">
        <f t="shared" si="1577"/>
        <v>51.232658005990714</v>
      </c>
      <c r="CA210" s="70">
        <f t="shared" si="1577"/>
        <v>49.071432015791039</v>
      </c>
      <c r="CB210" s="70">
        <f t="shared" si="1577"/>
        <v>70.882865696611219</v>
      </c>
      <c r="CC210" s="70">
        <f t="shared" si="1577"/>
        <v>70.608870960695398</v>
      </c>
      <c r="CD210" s="70">
        <f t="shared" si="1577"/>
        <v>53.220452100763694</v>
      </c>
      <c r="CE210" s="115">
        <f t="shared" si="1577"/>
        <v>48.889919940917139</v>
      </c>
      <c r="CF210" s="70">
        <f t="shared" ref="CF210:CG210" si="1578">CF206-CF209</f>
        <v>49.521873817274525</v>
      </c>
      <c r="CG210" s="70">
        <f t="shared" si="1578"/>
        <v>47.525750230257927</v>
      </c>
      <c r="CH210" s="70">
        <f t="shared" ref="CH210:CI210" si="1579">CH206-CH209</f>
        <v>49.668772271972372</v>
      </c>
      <c r="CI210" s="70">
        <f t="shared" si="1579"/>
        <v>49.668772271972372</v>
      </c>
      <c r="CJ210" s="70">
        <f t="shared" ref="CJ210:DB210" si="1580">CJ206-CJ209</f>
        <v>55.343180884488717</v>
      </c>
      <c r="CK210" s="70">
        <f t="shared" si="1580"/>
        <v>55.343180884488703</v>
      </c>
      <c r="CL210" s="70">
        <f t="shared" ref="CL210" si="1581">CL206-CL209</f>
        <v>33.261261775511429</v>
      </c>
      <c r="CM210" s="50">
        <f t="shared" si="1580"/>
        <v>50.261261775511429</v>
      </c>
      <c r="CN210" s="50">
        <f t="shared" si="1580"/>
        <v>47.261261775511429</v>
      </c>
      <c r="CO210" s="50">
        <f t="shared" si="1580"/>
        <v>47.261261775511429</v>
      </c>
      <c r="CP210" s="50">
        <f t="shared" si="1580"/>
        <v>47.261261775511429</v>
      </c>
      <c r="CQ210" s="50">
        <f t="shared" si="1580"/>
        <v>47.261261775511429</v>
      </c>
      <c r="CR210" s="50">
        <f t="shared" si="1580"/>
        <v>47.261261775511429</v>
      </c>
      <c r="CS210" s="50">
        <f t="shared" si="1580"/>
        <v>47.261261775511429</v>
      </c>
      <c r="CT210" s="50">
        <f t="shared" si="1580"/>
        <v>47.261261775511429</v>
      </c>
      <c r="CU210" s="50">
        <f t="shared" si="1580"/>
        <v>47.261261775511429</v>
      </c>
      <c r="CV210" s="50">
        <f t="shared" si="1580"/>
        <v>47.261261775511429</v>
      </c>
      <c r="CW210" s="50">
        <f t="shared" si="1580"/>
        <v>47.261261775511429</v>
      </c>
      <c r="CX210" s="50">
        <f t="shared" si="1580"/>
        <v>47.261261775511429</v>
      </c>
      <c r="CY210" s="50">
        <f t="shared" si="1580"/>
        <v>47.261261775511429</v>
      </c>
      <c r="CZ210" s="50">
        <f t="shared" si="1580"/>
        <v>47.261261775511429</v>
      </c>
      <c r="DA210" s="50">
        <f t="shared" si="1580"/>
        <v>47.261261775511429</v>
      </c>
      <c r="DB210" s="50">
        <f t="shared" si="1580"/>
        <v>47.261261775511429</v>
      </c>
      <c r="DE210" s="138"/>
      <c r="DF210" s="7">
        <v>55.343180884488703</v>
      </c>
    </row>
    <row r="211" spans="1:110" s="7" customFormat="1" x14ac:dyDescent="0.2">
      <c r="A211" s="69" t="s">
        <v>86</v>
      </c>
      <c r="AB211" s="77"/>
      <c r="AC211" s="77"/>
      <c r="AD211" s="77"/>
      <c r="AE211" s="77"/>
      <c r="CE211" s="115"/>
      <c r="CG211" s="115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E211" s="138"/>
    </row>
    <row r="212" spans="1:110" s="86" customFormat="1" x14ac:dyDescent="0.2">
      <c r="A212" s="86" t="s">
        <v>440</v>
      </c>
      <c r="C212" s="86" t="e">
        <f t="shared" ref="C212:Y212" si="1582">C34/B34-1</f>
        <v>#DIV/0!</v>
      </c>
      <c r="D212" s="86" t="e">
        <f t="shared" si="1582"/>
        <v>#DIV/0!</v>
      </c>
      <c r="E212" s="86" t="e">
        <f t="shared" si="1582"/>
        <v>#DIV/0!</v>
      </c>
      <c r="F212" s="86" t="e">
        <f t="shared" si="1582"/>
        <v>#DIV/0!</v>
      </c>
      <c r="G212" s="86" t="e">
        <f t="shared" si="1582"/>
        <v>#DIV/0!</v>
      </c>
      <c r="H212" s="86" t="e">
        <f t="shared" si="1582"/>
        <v>#DIV/0!</v>
      </c>
      <c r="I212" s="86" t="e">
        <f t="shared" si="1582"/>
        <v>#DIV/0!</v>
      </c>
      <c r="J212" s="86">
        <f t="shared" si="1582"/>
        <v>4.8519676023344172E-2</v>
      </c>
      <c r="K212" s="86">
        <f t="shared" si="1582"/>
        <v>0.12237102222746166</v>
      </c>
      <c r="L212" s="86">
        <f t="shared" si="1582"/>
        <v>-1</v>
      </c>
      <c r="M212" s="86" t="e">
        <f t="shared" si="1582"/>
        <v>#DIV/0!</v>
      </c>
      <c r="N212" s="86">
        <f t="shared" si="1582"/>
        <v>-1.4864673021160124E-2</v>
      </c>
      <c r="O212" s="86">
        <f t="shared" si="1582"/>
        <v>3.3027528362217007E-2</v>
      </c>
      <c r="P212" s="86">
        <f t="shared" si="1582"/>
        <v>0.2253322083179996</v>
      </c>
      <c r="Q212" s="86">
        <f t="shared" si="1582"/>
        <v>0.10167846331738639</v>
      </c>
      <c r="R212" s="86">
        <f t="shared" si="1582"/>
        <v>6.0400475820491462E-2</v>
      </c>
      <c r="S212" s="86">
        <f t="shared" si="1582"/>
        <v>0.23093836003852286</v>
      </c>
      <c r="T212" s="86">
        <f t="shared" si="1582"/>
        <v>0.17949664010705568</v>
      </c>
      <c r="U212" s="86">
        <f t="shared" si="1582"/>
        <v>0.10574134386702383</v>
      </c>
      <c r="V212" s="86">
        <f t="shared" si="1582"/>
        <v>-4.2719357006915093E-3</v>
      </c>
      <c r="W212" s="86">
        <f t="shared" si="1582"/>
        <v>0.38801594680032392</v>
      </c>
      <c r="X212" s="86">
        <f t="shared" si="1582"/>
        <v>0.15601886992051051</v>
      </c>
      <c r="Y212" s="86">
        <f t="shared" si="1582"/>
        <v>0.2786878273814628</v>
      </c>
      <c r="Z212" s="86">
        <f>Z34/Y34-1</f>
        <v>0.2421842380507957</v>
      </c>
      <c r="AA212" s="86">
        <f>AA34/Z34-1</f>
        <v>0.28897664005318036</v>
      </c>
      <c r="AB212" s="87">
        <f t="shared" ref="AA212:AE212" si="1583">AB34/AA34-1</f>
        <v>0.23611066891770993</v>
      </c>
      <c r="AC212" s="87">
        <f t="shared" si="1583"/>
        <v>0.19197539180464984</v>
      </c>
      <c r="AD212" s="87">
        <f t="shared" si="1583"/>
        <v>0.14504340951562944</v>
      </c>
      <c r="AE212" s="87">
        <f t="shared" si="1583"/>
        <v>0.14529229382112141</v>
      </c>
      <c r="AN212" s="86" t="e">
        <f t="shared" ref="AN212:CI212" si="1584">+(AN34+AM34)/(AJ34+AI34)-1</f>
        <v>#DIV/0!</v>
      </c>
      <c r="AO212" s="86" t="e">
        <f t="shared" si="1584"/>
        <v>#DIV/0!</v>
      </c>
      <c r="AP212" s="86" t="e">
        <f t="shared" si="1584"/>
        <v>#DIV/0!</v>
      </c>
      <c r="AQ212" s="86" t="e">
        <f t="shared" si="1584"/>
        <v>#DIV/0!</v>
      </c>
      <c r="AR212" s="86" t="e">
        <f t="shared" si="1584"/>
        <v>#DIV/0!</v>
      </c>
      <c r="AS212" s="86" t="e">
        <f t="shared" si="1584"/>
        <v>#DIV/0!</v>
      </c>
      <c r="AT212" s="86" t="e">
        <f t="shared" si="1584"/>
        <v>#DIV/0!</v>
      </c>
      <c r="AU212" s="86" t="e">
        <f t="shared" si="1584"/>
        <v>#DIV/0!</v>
      </c>
      <c r="AV212" s="86" t="e">
        <f t="shared" si="1584"/>
        <v>#DIV/0!</v>
      </c>
      <c r="AW212" s="86" t="e">
        <f t="shared" si="1584"/>
        <v>#DIV/0!</v>
      </c>
      <c r="AX212" s="86" t="e">
        <f t="shared" si="1584"/>
        <v>#DIV/0!</v>
      </c>
      <c r="AY212" s="86" t="e">
        <f t="shared" si="1584"/>
        <v>#DIV/0!</v>
      </c>
      <c r="AZ212" s="86" t="e">
        <f t="shared" si="1584"/>
        <v>#DIV/0!</v>
      </c>
      <c r="BA212" s="86" t="e">
        <f t="shared" si="1584"/>
        <v>#DIV/0!</v>
      </c>
      <c r="BB212" s="86" t="e">
        <f t="shared" si="1584"/>
        <v>#DIV/0!</v>
      </c>
      <c r="BC212" s="86" t="e">
        <f t="shared" si="1584"/>
        <v>#DIV/0!</v>
      </c>
      <c r="BD212" s="86" t="e">
        <f t="shared" si="1584"/>
        <v>#DIV/0!</v>
      </c>
      <c r="BE212" s="86" t="e">
        <f t="shared" si="1584"/>
        <v>#DIV/0!</v>
      </c>
      <c r="BF212" s="86" t="e">
        <f t="shared" si="1584"/>
        <v>#DIV/0!</v>
      </c>
      <c r="BG212" s="86" t="e">
        <f t="shared" si="1584"/>
        <v>#DIV/0!</v>
      </c>
      <c r="BH212" s="86" t="e">
        <f t="shared" si="1584"/>
        <v>#DIV/0!</v>
      </c>
      <c r="BI212" s="86" t="e">
        <f t="shared" si="1584"/>
        <v>#DIV/0!</v>
      </c>
      <c r="BJ212" s="86">
        <f t="shared" si="1584"/>
        <v>1.1269941987806158</v>
      </c>
      <c r="BK212" s="86">
        <f t="shared" si="1584"/>
        <v>0.16401073376199493</v>
      </c>
      <c r="BL212" s="86">
        <f t="shared" si="1584"/>
        <v>0.19996159680595293</v>
      </c>
      <c r="BM212" s="86">
        <f t="shared" si="1584"/>
        <v>0.23784988791128181</v>
      </c>
      <c r="BN212" s="86">
        <f t="shared" si="1584"/>
        <v>3.3019411244026742E-2</v>
      </c>
      <c r="BO212" s="86">
        <f t="shared" si="1584"/>
        <v>-0.29648941883370827</v>
      </c>
      <c r="BP212" s="86">
        <f t="shared" si="1584"/>
        <v>-0.26303834218045252</v>
      </c>
      <c r="BQ212" s="86">
        <f t="shared" si="1584"/>
        <v>2.3324103805864027E-2</v>
      </c>
      <c r="BR212" s="86">
        <f t="shared" si="1584"/>
        <v>0.22697084643176346</v>
      </c>
      <c r="BS212" s="86">
        <f t="shared" si="1584"/>
        <v>0.5447540483249067</v>
      </c>
      <c r="BT212" s="86">
        <f t="shared" si="1584"/>
        <v>0.5732515240543159</v>
      </c>
      <c r="BU212" s="86">
        <f t="shared" si="1584"/>
        <v>0.31245311235216611</v>
      </c>
      <c r="BV212" s="86">
        <f t="shared" si="1584"/>
        <v>0.2905384894326517</v>
      </c>
      <c r="BW212" s="86">
        <f t="shared" si="1584"/>
        <v>0.39778706365130745</v>
      </c>
      <c r="BX212" s="86">
        <f t="shared" si="1584"/>
        <v>0.24828997921133067</v>
      </c>
      <c r="BY212" s="86">
        <f t="shared" si="1584"/>
        <v>0.10488103019008554</v>
      </c>
      <c r="BZ212" s="86">
        <f t="shared" si="1584"/>
        <v>9.4917881802424331E-2</v>
      </c>
      <c r="CA212" s="86">
        <f t="shared" si="1584"/>
        <v>0.22463509121470859</v>
      </c>
      <c r="CB212" s="86">
        <f t="shared" si="1584"/>
        <v>0.33583663636745609</v>
      </c>
      <c r="CC212" s="86">
        <f t="shared" si="1584"/>
        <v>0.21434812714791285</v>
      </c>
      <c r="CD212" s="86">
        <f t="shared" si="1584"/>
        <v>0.23554350907584842</v>
      </c>
      <c r="CE212" s="86">
        <f t="shared" si="1584"/>
        <v>0.2528730146109921</v>
      </c>
      <c r="CF212" s="86">
        <f t="shared" si="1584"/>
        <v>0.25772217095701166</v>
      </c>
      <c r="CG212" s="86">
        <f t="shared" si="1584"/>
        <v>0.25312873656239687</v>
      </c>
      <c r="CH212" s="86">
        <f t="shared" si="1584"/>
        <v>0.22950173498456805</v>
      </c>
      <c r="CI212" s="86">
        <f t="shared" si="1584"/>
        <v>0.25285402954832037</v>
      </c>
      <c r="CJ212" s="86">
        <f>+(CJ34+CI34)/(CF34+CE34)-1</f>
        <v>0.21446026377996352</v>
      </c>
      <c r="CL212" s="86">
        <f>+(CL34+CK34)/(CH34+CG34)-1</f>
        <v>0.35119506774561771</v>
      </c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E212" s="141"/>
      <c r="DF212" s="86">
        <v>0.28897664005318036</v>
      </c>
    </row>
    <row r="213" spans="1:110" s="86" customFormat="1" x14ac:dyDescent="0.2">
      <c r="A213" s="86" t="s">
        <v>441</v>
      </c>
      <c r="C213" s="86" t="e">
        <f t="shared" ref="C213" si="1585">C210/B210-1</f>
        <v>#DIV/0!</v>
      </c>
      <c r="D213" s="86" t="e">
        <f t="shared" ref="D213" si="1586">D210/C210-1</f>
        <v>#DIV/0!</v>
      </c>
      <c r="E213" s="86" t="e">
        <f>E210/D210-1</f>
        <v>#DIV/0!</v>
      </c>
      <c r="F213" s="86" t="e">
        <f t="shared" ref="F213" si="1587">F210/E210-1</f>
        <v>#DIV/0!</v>
      </c>
      <c r="G213" s="86" t="e">
        <f t="shared" ref="G213" si="1588">G210/F210-1</f>
        <v>#DIV/0!</v>
      </c>
      <c r="H213" s="86" t="e">
        <f t="shared" ref="H213" si="1589">H210/G210-1</f>
        <v>#DIV/0!</v>
      </c>
      <c r="I213" s="86" t="e">
        <f t="shared" ref="I213" si="1590">I210/H210-1</f>
        <v>#DIV/0!</v>
      </c>
      <c r="J213" s="86">
        <f t="shared" ref="J213" si="1591">J210/I210-1</f>
        <v>-7.8420317569651399E-2</v>
      </c>
      <c r="K213" s="86">
        <f>K210/J210-1</f>
        <v>0.92787833275163178</v>
      </c>
      <c r="L213" s="86" t="e">
        <f t="shared" ref="L213" si="1592">L210/K210-1</f>
        <v>#DIV/0!</v>
      </c>
      <c r="M213" s="86" t="e">
        <f t="shared" ref="M213" si="1593">M210/L210-1</f>
        <v>#DIV/0!</v>
      </c>
      <c r="N213" s="86">
        <f t="shared" ref="N213" si="1594">N210/M210-1</f>
        <v>-0.16828496608618704</v>
      </c>
      <c r="O213" s="86">
        <f t="shared" ref="O213" si="1595">O210/N210-1</f>
        <v>-0.2096206028940405</v>
      </c>
      <c r="P213" s="86">
        <f t="shared" ref="P213" si="1596">P210/O210-1</f>
        <v>-2.3096995444274904E-2</v>
      </c>
      <c r="Q213" s="86">
        <f t="shared" ref="Q213" si="1597">Q210/P210-1</f>
        <v>0.10748933877635758</v>
      </c>
      <c r="R213" s="86">
        <f t="shared" ref="R213" si="1598">R210/Q210-1</f>
        <v>3.1989344025264543E-2</v>
      </c>
      <c r="S213" s="86">
        <f t="shared" ref="S213" si="1599">S210/R210-1</f>
        <v>2.5816632450285315E-2</v>
      </c>
      <c r="T213" s="86">
        <f t="shared" ref="T213" si="1600">T210/S210-1</f>
        <v>-0.36837699461006801</v>
      </c>
      <c r="U213" s="86">
        <f t="shared" ref="U213" si="1601">U210/T210-1</f>
        <v>0.3636959718016386</v>
      </c>
      <c r="V213" s="86">
        <f t="shared" ref="V213" si="1602">V210/U210-1</f>
        <v>-3.8889683840846678E-2</v>
      </c>
      <c r="W213" s="86">
        <f t="shared" ref="W213:AA213" si="1603">W210/V210-1</f>
        <v>-8.5354028918289471E-2</v>
      </c>
      <c r="X213" s="86">
        <f t="shared" si="1603"/>
        <v>-0.14310159685343682</v>
      </c>
      <c r="Y213" s="86">
        <f t="shared" si="1603"/>
        <v>4.2875784673322759E-2</v>
      </c>
      <c r="Z213" s="86">
        <f t="shared" si="1603"/>
        <v>-4.0273334362197932E-2</v>
      </c>
      <c r="AA213" s="86">
        <f t="shared" si="1603"/>
        <v>-0.36945542491411254</v>
      </c>
      <c r="AB213" s="87">
        <f t="shared" ref="AB213" si="1604">AB210/AA210-1</f>
        <v>0.47908105645336119</v>
      </c>
      <c r="AC213" s="87">
        <f t="shared" ref="AC213" si="1605">AC210/AB210-1</f>
        <v>-9.5452263859535647E-3</v>
      </c>
      <c r="AD213" s="87">
        <f t="shared" ref="AD213" si="1606">AD210/AC210-1</f>
        <v>-2.4804238678266533E-4</v>
      </c>
      <c r="AE213" s="87">
        <f t="shared" ref="AE213" si="1607">AE210/AD210-1</f>
        <v>-2.2787319687800345E-4</v>
      </c>
      <c r="AN213" s="86" t="e">
        <f t="shared" ref="AN213:CI213" si="1608">+AN210/AJ210-1</f>
        <v>#DIV/0!</v>
      </c>
      <c r="AO213" s="86" t="e">
        <f t="shared" si="1608"/>
        <v>#DIV/0!</v>
      </c>
      <c r="AP213" s="86" t="e">
        <f t="shared" si="1608"/>
        <v>#DIV/0!</v>
      </c>
      <c r="AQ213" s="86" t="e">
        <f t="shared" si="1608"/>
        <v>#DIV/0!</v>
      </c>
      <c r="AR213" s="86" t="e">
        <f t="shared" si="1608"/>
        <v>#DIV/0!</v>
      </c>
      <c r="AS213" s="86" t="e">
        <f t="shared" si="1608"/>
        <v>#DIV/0!</v>
      </c>
      <c r="AT213" s="86" t="e">
        <f t="shared" si="1608"/>
        <v>#DIV/0!</v>
      </c>
      <c r="AU213" s="86" t="e">
        <f t="shared" si="1608"/>
        <v>#DIV/0!</v>
      </c>
      <c r="AV213" s="86" t="e">
        <f t="shared" si="1608"/>
        <v>#DIV/0!</v>
      </c>
      <c r="AW213" s="86" t="e">
        <f t="shared" si="1608"/>
        <v>#DIV/0!</v>
      </c>
      <c r="AX213" s="86" t="e">
        <f t="shared" si="1608"/>
        <v>#DIV/0!</v>
      </c>
      <c r="AY213" s="86" t="e">
        <f t="shared" si="1608"/>
        <v>#DIV/0!</v>
      </c>
      <c r="AZ213" s="86" t="e">
        <f t="shared" si="1608"/>
        <v>#DIV/0!</v>
      </c>
      <c r="BA213" s="86" t="e">
        <f t="shared" si="1608"/>
        <v>#DIV/0!</v>
      </c>
      <c r="BB213" s="86" t="e">
        <f t="shared" si="1608"/>
        <v>#DIV/0!</v>
      </c>
      <c r="BC213" s="86" t="e">
        <f t="shared" si="1608"/>
        <v>#DIV/0!</v>
      </c>
      <c r="BD213" s="86" t="e">
        <f t="shared" si="1608"/>
        <v>#DIV/0!</v>
      </c>
      <c r="BE213" s="86" t="e">
        <f t="shared" si="1608"/>
        <v>#DIV/0!</v>
      </c>
      <c r="BF213" s="86" t="e">
        <f t="shared" si="1608"/>
        <v>#DIV/0!</v>
      </c>
      <c r="BG213" s="86" t="e">
        <f t="shared" si="1608"/>
        <v>#DIV/0!</v>
      </c>
      <c r="BH213" s="86" t="e">
        <f t="shared" si="1608"/>
        <v>#DIV/0!</v>
      </c>
      <c r="BI213" s="86" t="e">
        <f t="shared" si="1608"/>
        <v>#DIV/0!</v>
      </c>
      <c r="BJ213" s="86">
        <f t="shared" si="1608"/>
        <v>-0.38858623826732297</v>
      </c>
      <c r="BK213" s="86">
        <f t="shared" si="1608"/>
        <v>-0.46134877207586078</v>
      </c>
      <c r="BL213" s="86" t="e">
        <f t="shared" si="1608"/>
        <v>#DIV/0!</v>
      </c>
      <c r="BM213" s="86" t="e">
        <f t="shared" si="1608"/>
        <v>#DIV/0!</v>
      </c>
      <c r="BN213" s="86">
        <f t="shared" si="1608"/>
        <v>0.85525239441135681</v>
      </c>
      <c r="BO213" s="86">
        <f t="shared" si="1608"/>
        <v>1.1092541768279611</v>
      </c>
      <c r="BP213" s="86">
        <f t="shared" si="1608"/>
        <v>0.17066614755425613</v>
      </c>
      <c r="BQ213" s="86">
        <f t="shared" si="1608"/>
        <v>0.17456443919855724</v>
      </c>
      <c r="BR213" s="86">
        <f t="shared" si="1608"/>
        <v>-0.29485611869879091</v>
      </c>
      <c r="BS213" s="86">
        <f t="shared" si="1608"/>
        <v>-0.32223802571786653</v>
      </c>
      <c r="BT213" s="86">
        <f t="shared" si="1608"/>
        <v>-4.5600387745956872E-2</v>
      </c>
      <c r="BU213" s="86">
        <f t="shared" si="1608"/>
        <v>-7.6359381527871917E-2</v>
      </c>
      <c r="BV213" s="86">
        <f t="shared" si="1608"/>
        <v>-6.2034156171751564E-2</v>
      </c>
      <c r="BW213" s="86">
        <f t="shared" si="1608"/>
        <v>6.8677080778012378E-3</v>
      </c>
      <c r="BX213" s="86">
        <f t="shared" si="1608"/>
        <v>-0.15219952373431134</v>
      </c>
      <c r="BY213" s="86">
        <f t="shared" si="1608"/>
        <v>-0.15583812988385404</v>
      </c>
      <c r="BZ213" s="86">
        <f t="shared" si="1608"/>
        <v>-8.9935607305174248E-2</v>
      </c>
      <c r="CA213" s="86">
        <f t="shared" si="1608"/>
        <v>-0.15955825954912761</v>
      </c>
      <c r="CB213" s="86">
        <f t="shared" si="1608"/>
        <v>0.22718168808391881</v>
      </c>
      <c r="CC213" s="86">
        <f t="shared" si="1608"/>
        <v>0.24801435074275258</v>
      </c>
      <c r="CD213" s="86">
        <f t="shared" si="1608"/>
        <v>3.8799355179669703E-2</v>
      </c>
      <c r="CE213" s="86">
        <f t="shared" si="1608"/>
        <v>-3.6989357639999332E-3</v>
      </c>
      <c r="CF213" s="86">
        <f t="shared" si="1608"/>
        <v>-0.30135621167977023</v>
      </c>
      <c r="CG213" s="86">
        <f t="shared" si="1608"/>
        <v>-0.32691530704812921</v>
      </c>
      <c r="CH213" s="86">
        <f t="shared" si="1608"/>
        <v>-6.6735243474948969E-2</v>
      </c>
      <c r="CI213" s="86">
        <f t="shared" si="1608"/>
        <v>1.5930734433528881E-2</v>
      </c>
      <c r="CJ213" s="86">
        <f>+CJ210/CF210-1</f>
        <v>0.1175502180853174</v>
      </c>
      <c r="CL213" s="86">
        <f>+CL210/CH210-1</f>
        <v>-0.33033855571500703</v>
      </c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E213" s="141"/>
      <c r="DF213" s="86">
        <v>-0.34075424431340806</v>
      </c>
    </row>
    <row r="214" spans="1:110" s="103" customFormat="1" x14ac:dyDescent="0.2">
      <c r="A214" s="147" t="s">
        <v>87</v>
      </c>
      <c r="C214" s="103" t="e">
        <f>IF(C213&gt;C212,"RF",0)</f>
        <v>#DIV/0!</v>
      </c>
      <c r="D214" s="103" t="e">
        <f>IF(D213&gt;D212,"RF",0)</f>
        <v>#DIV/0!</v>
      </c>
      <c r="E214" s="103" t="e">
        <f t="shared" ref="E214:U214" si="1609">IF(E213&gt;E212,"RF",0)</f>
        <v>#DIV/0!</v>
      </c>
      <c r="F214" s="103" t="e">
        <f t="shared" si="1609"/>
        <v>#DIV/0!</v>
      </c>
      <c r="G214" s="103" t="e">
        <f t="shared" si="1609"/>
        <v>#DIV/0!</v>
      </c>
      <c r="H214" s="103" t="e">
        <f t="shared" si="1609"/>
        <v>#DIV/0!</v>
      </c>
      <c r="I214" s="103" t="e">
        <f t="shared" si="1609"/>
        <v>#DIV/0!</v>
      </c>
      <c r="J214" s="103">
        <f t="shared" si="1609"/>
        <v>0</v>
      </c>
      <c r="K214" s="103" t="str">
        <f t="shared" si="1609"/>
        <v>RF</v>
      </c>
      <c r="L214" s="103" t="e">
        <f t="shared" si="1609"/>
        <v>#DIV/0!</v>
      </c>
      <c r="M214" s="103" t="e">
        <f t="shared" si="1609"/>
        <v>#DIV/0!</v>
      </c>
      <c r="N214" s="103">
        <f t="shared" si="1609"/>
        <v>0</v>
      </c>
      <c r="O214" s="103">
        <f t="shared" si="1609"/>
        <v>0</v>
      </c>
      <c r="P214" s="103">
        <f t="shared" si="1609"/>
        <v>0</v>
      </c>
      <c r="Q214" s="103" t="str">
        <f t="shared" si="1609"/>
        <v>RF</v>
      </c>
      <c r="R214" s="103">
        <f t="shared" si="1609"/>
        <v>0</v>
      </c>
      <c r="S214" s="103">
        <f t="shared" si="1609"/>
        <v>0</v>
      </c>
      <c r="T214" s="103">
        <f t="shared" si="1609"/>
        <v>0</v>
      </c>
      <c r="U214" s="103" t="str">
        <f t="shared" si="1609"/>
        <v>RF</v>
      </c>
      <c r="V214" s="103">
        <f>IF(V213&gt;V212,"RF",0)</f>
        <v>0</v>
      </c>
      <c r="W214" s="103">
        <f t="shared" ref="W214" si="1610">IF(W213&gt;W212,"RF",0)</f>
        <v>0</v>
      </c>
      <c r="X214" s="103">
        <f t="shared" ref="X214:Y214" si="1611">IF(X213&gt;X212,"RF",0)</f>
        <v>0</v>
      </c>
      <c r="Y214" s="103">
        <f t="shared" si="1611"/>
        <v>0</v>
      </c>
      <c r="Z214" s="103">
        <f t="shared" ref="Z214:AA214" si="1612">IF(Z213&gt;Z212,"RF",0)</f>
        <v>0</v>
      </c>
      <c r="AA214" s="103">
        <f t="shared" si="1612"/>
        <v>0</v>
      </c>
      <c r="AB214" s="73" t="str">
        <f t="shared" ref="AA214:AD214" si="1613">IF(AB213&gt;AB212,"RF",0)</f>
        <v>RF</v>
      </c>
      <c r="AC214" s="73">
        <f t="shared" si="1613"/>
        <v>0</v>
      </c>
      <c r="AD214" s="73">
        <f t="shared" si="1613"/>
        <v>0</v>
      </c>
      <c r="AE214" s="73">
        <f t="shared" ref="AE214" si="1614">IF(AE213&gt;AE212,"RF",0)</f>
        <v>0</v>
      </c>
      <c r="CM214" s="73"/>
      <c r="CN214" s="73"/>
      <c r="CO214" s="73"/>
      <c r="CP214" s="73"/>
      <c r="CQ214" s="73"/>
      <c r="CR214" s="73"/>
      <c r="CS214" s="73"/>
      <c r="CT214" s="73"/>
      <c r="CU214" s="73"/>
      <c r="CV214" s="73"/>
      <c r="CW214" s="73"/>
      <c r="CX214" s="73"/>
      <c r="CY214" s="73"/>
      <c r="CZ214" s="73"/>
      <c r="DA214" s="73"/>
      <c r="DB214" s="73"/>
      <c r="DE214" s="142"/>
      <c r="DF214" s="103">
        <v>0</v>
      </c>
    </row>
    <row r="215" spans="1:110" x14ac:dyDescent="0.2">
      <c r="A215" s="153" t="s">
        <v>494</v>
      </c>
      <c r="AA215" s="2"/>
      <c r="CL215" s="2"/>
    </row>
    <row r="216" spans="1:110" x14ac:dyDescent="0.2">
      <c r="A216" s="152" t="s">
        <v>495</v>
      </c>
      <c r="AA216" s="2"/>
      <c r="CL216" s="2"/>
    </row>
    <row r="217" spans="1:110" s="23" customFormat="1" x14ac:dyDescent="0.2">
      <c r="A217" s="23" t="s">
        <v>22</v>
      </c>
      <c r="C217" s="23">
        <f t="shared" ref="C217:AE217" si="1615">C72</f>
        <v>0</v>
      </c>
      <c r="D217" s="23">
        <f t="shared" si="1615"/>
        <v>0</v>
      </c>
      <c r="E217" s="23">
        <f t="shared" si="1615"/>
        <v>0</v>
      </c>
      <c r="F217" s="23">
        <f t="shared" si="1615"/>
        <v>0</v>
      </c>
      <c r="G217" s="23">
        <f t="shared" si="1615"/>
        <v>0</v>
      </c>
      <c r="H217" s="23">
        <f t="shared" si="1615"/>
        <v>0</v>
      </c>
      <c r="I217" s="23">
        <f t="shared" si="1615"/>
        <v>153.66491380000008</v>
      </c>
      <c r="J217" s="23">
        <f t="shared" si="1615"/>
        <v>64.814335900000145</v>
      </c>
      <c r="K217" s="23">
        <f t="shared" si="1615"/>
        <v>113.95661349999997</v>
      </c>
      <c r="L217" s="23">
        <f t="shared" si="1615"/>
        <v>0</v>
      </c>
      <c r="M217" s="23">
        <f t="shared" si="1615"/>
        <v>33.236999999999767</v>
      </c>
      <c r="N217" s="23">
        <f t="shared" si="1615"/>
        <v>76.890999999999707</v>
      </c>
      <c r="O217" s="23">
        <f t="shared" si="1615"/>
        <v>93.241000000000156</v>
      </c>
      <c r="P217" s="23">
        <f t="shared" si="1615"/>
        <v>160.32500000000056</v>
      </c>
      <c r="Q217" s="23">
        <f t="shared" si="1615"/>
        <v>187.95999999999981</v>
      </c>
      <c r="R217" s="23">
        <f t="shared" si="1615"/>
        <v>232.49300000000059</v>
      </c>
      <c r="S217" s="23">
        <f t="shared" si="1615"/>
        <v>358.01299999999975</v>
      </c>
      <c r="T217" s="23">
        <f t="shared" si="1615"/>
        <v>499.70299999999992</v>
      </c>
      <c r="U217" s="23">
        <f t="shared" si="1615"/>
        <v>759.05699999999888</v>
      </c>
      <c r="V217" s="23">
        <f t="shared" si="1615"/>
        <v>882.09400000000016</v>
      </c>
      <c r="W217" s="23">
        <f t="shared" si="1615"/>
        <v>908.57700000000148</v>
      </c>
      <c r="X217" s="23">
        <f t="shared" si="1615"/>
        <v>1270.7830000000013</v>
      </c>
      <c r="Y217" s="23">
        <f t="shared" si="1615"/>
        <v>1784.045000000001</v>
      </c>
      <c r="Z217" s="23">
        <f t="shared" si="1615"/>
        <v>2019.9899999999998</v>
      </c>
      <c r="AA217" s="23">
        <f t="shared" ref="AA217" si="1616">AA72</f>
        <v>2672.0330000000017</v>
      </c>
      <c r="AB217" s="24">
        <f t="shared" si="1615"/>
        <v>3190.294792810937</v>
      </c>
      <c r="AC217" s="24">
        <f t="shared" si="1615"/>
        <v>3707.6211370554879</v>
      </c>
      <c r="AD217" s="24">
        <f t="shared" si="1615"/>
        <v>4316.1322591455191</v>
      </c>
      <c r="AE217" s="24">
        <f t="shared" si="1615"/>
        <v>4969.3657056506154</v>
      </c>
      <c r="AI217" s="23">
        <f t="shared" ref="AI217:BN217" si="1617">AI72</f>
        <v>0</v>
      </c>
      <c r="AJ217" s="23">
        <f t="shared" si="1617"/>
        <v>0</v>
      </c>
      <c r="AK217" s="23">
        <f t="shared" si="1617"/>
        <v>0</v>
      </c>
      <c r="AL217" s="23">
        <f t="shared" si="1617"/>
        <v>0</v>
      </c>
      <c r="AM217" s="23">
        <f t="shared" si="1617"/>
        <v>0</v>
      </c>
      <c r="AN217" s="23">
        <f t="shared" si="1617"/>
        <v>0</v>
      </c>
      <c r="AO217" s="23">
        <f t="shared" si="1617"/>
        <v>0</v>
      </c>
      <c r="AP217" s="23">
        <f t="shared" si="1617"/>
        <v>0</v>
      </c>
      <c r="AQ217" s="23">
        <f t="shared" si="1617"/>
        <v>0</v>
      </c>
      <c r="AR217" s="23">
        <f t="shared" si="1617"/>
        <v>0</v>
      </c>
      <c r="AS217" s="23">
        <f t="shared" si="1617"/>
        <v>0</v>
      </c>
      <c r="AT217" s="23">
        <f t="shared" si="1617"/>
        <v>0</v>
      </c>
      <c r="AU217" s="23">
        <f t="shared" si="1617"/>
        <v>0</v>
      </c>
      <c r="AV217" s="23">
        <f t="shared" si="1617"/>
        <v>0</v>
      </c>
      <c r="AW217" s="23">
        <f t="shared" si="1617"/>
        <v>0</v>
      </c>
      <c r="AX217" s="23">
        <f t="shared" si="1617"/>
        <v>0</v>
      </c>
      <c r="AY217" s="23">
        <f t="shared" si="1617"/>
        <v>0</v>
      </c>
      <c r="AZ217" s="23">
        <f t="shared" si="1617"/>
        <v>0</v>
      </c>
      <c r="BA217" s="23">
        <f t="shared" si="1617"/>
        <v>0</v>
      </c>
      <c r="BB217" s="23">
        <f t="shared" si="1617"/>
        <v>0</v>
      </c>
      <c r="BC217" s="23">
        <f t="shared" si="1617"/>
        <v>0</v>
      </c>
      <c r="BD217" s="23">
        <f t="shared" si="1617"/>
        <v>0</v>
      </c>
      <c r="BE217" s="23">
        <f t="shared" si="1617"/>
        <v>0</v>
      </c>
      <c r="BF217" s="23">
        <f t="shared" si="1617"/>
        <v>188.71900000000016</v>
      </c>
      <c r="BG217" s="23">
        <f t="shared" si="1617"/>
        <v>77.001999999999853</v>
      </c>
      <c r="BH217" s="23">
        <f t="shared" si="1617"/>
        <v>89.204999999999984</v>
      </c>
      <c r="BI217" s="23">
        <f t="shared" si="1617"/>
        <v>193.3360000000001</v>
      </c>
      <c r="BJ217" s="23">
        <f t="shared" si="1617"/>
        <v>140.38200000000023</v>
      </c>
      <c r="BK217" s="23">
        <f t="shared" si="1617"/>
        <v>134.51199999999992</v>
      </c>
      <c r="BL217" s="23">
        <f t="shared" si="1617"/>
        <v>191.82800000000017</v>
      </c>
      <c r="BM217" s="23">
        <f t="shared" si="1617"/>
        <v>218.77999999999989</v>
      </c>
      <c r="BN217" s="23">
        <f t="shared" si="1617"/>
        <v>213.93699999999973</v>
      </c>
      <c r="BO217" s="23">
        <f t="shared" ref="BO217:CT217" si="1618">BO72</f>
        <v>117.602</v>
      </c>
      <c r="BP217" s="23">
        <f t="shared" si="1618"/>
        <v>220.54799999999986</v>
      </c>
      <c r="BQ217" s="23">
        <f t="shared" si="1618"/>
        <v>262.50200000000018</v>
      </c>
      <c r="BR217" s="23">
        <f t="shared" si="1618"/>
        <v>281.43299999999994</v>
      </c>
      <c r="BS217" s="23">
        <f t="shared" si="1618"/>
        <v>73.984999999999943</v>
      </c>
      <c r="BT217" s="23">
        <f t="shared" si="1618"/>
        <v>197.92799999999986</v>
      </c>
      <c r="BU217" s="23">
        <f t="shared" si="1618"/>
        <v>314.50900000000013</v>
      </c>
      <c r="BV217" s="23">
        <f t="shared" si="1618"/>
        <v>322.15399999999994</v>
      </c>
      <c r="BW217" s="23">
        <f t="shared" si="1618"/>
        <v>219.75699999999983</v>
      </c>
      <c r="BX217" s="23">
        <f t="shared" si="1618"/>
        <v>267.96800000000036</v>
      </c>
      <c r="BY217" s="23">
        <f t="shared" si="1618"/>
        <v>357.88199999999961</v>
      </c>
      <c r="BZ217" s="23">
        <f t="shared" si="1618"/>
        <v>425.03399999999965</v>
      </c>
      <c r="CA217" s="23">
        <f t="shared" si="1618"/>
        <v>399.6230000000001</v>
      </c>
      <c r="CB217" s="23">
        <f t="shared" si="1618"/>
        <v>425.56799999999993</v>
      </c>
      <c r="CC217" s="23">
        <f t="shared" si="1618"/>
        <v>412.84999999999997</v>
      </c>
      <c r="CD217" s="23">
        <f t="shared" si="1618"/>
        <v>546.00400000000047</v>
      </c>
      <c r="CE217" s="23">
        <f t="shared" si="1618"/>
        <v>395.95399999999978</v>
      </c>
      <c r="CF217" s="23">
        <f t="shared" si="1618"/>
        <v>439.81099999999941</v>
      </c>
      <c r="CG217" s="23">
        <f t="shared" si="1618"/>
        <v>457.55699999999985</v>
      </c>
      <c r="CH217" s="23">
        <f t="shared" si="1618"/>
        <v>726.66800000000012</v>
      </c>
      <c r="CI217" s="23">
        <f t="shared" si="1618"/>
        <v>592.12099999999987</v>
      </c>
      <c r="CJ217" s="23">
        <f t="shared" si="1618"/>
        <v>685.45599999999979</v>
      </c>
      <c r="CK217" s="23">
        <f t="shared" si="1618"/>
        <v>621.68999999999926</v>
      </c>
      <c r="CL217" s="23">
        <f t="shared" ref="CL217" si="1619">CL72</f>
        <v>772.7660000000003</v>
      </c>
      <c r="CM217" s="24">
        <f t="shared" si="1618"/>
        <v>650.04705874377089</v>
      </c>
      <c r="CN217" s="24">
        <f t="shared" si="1618"/>
        <v>723.50496092260403</v>
      </c>
      <c r="CO217" s="24">
        <f t="shared" si="1618"/>
        <v>835.99155073197528</v>
      </c>
      <c r="CP217" s="24">
        <f t="shared" si="1618"/>
        <v>980.75122241258487</v>
      </c>
      <c r="CQ217" s="24">
        <f t="shared" si="1618"/>
        <v>769.88702689792785</v>
      </c>
      <c r="CR217" s="24">
        <f t="shared" si="1618"/>
        <v>824.91881723378583</v>
      </c>
      <c r="CS217" s="24">
        <f t="shared" si="1618"/>
        <v>982.13829506095863</v>
      </c>
      <c r="CT217" s="24">
        <f t="shared" si="1618"/>
        <v>1130.6769978628204</v>
      </c>
      <c r="CU217" s="24">
        <f t="shared" ref="CU217:DB217" si="1620">CU72</f>
        <v>878.51649596318191</v>
      </c>
      <c r="CV217" s="24">
        <f t="shared" si="1620"/>
        <v>952.96147530513122</v>
      </c>
      <c r="CW217" s="24">
        <f t="shared" si="1620"/>
        <v>1150.6906363665321</v>
      </c>
      <c r="CX217" s="24">
        <f t="shared" si="1620"/>
        <v>1333.9636515106777</v>
      </c>
      <c r="CY217" s="24">
        <f t="shared" si="1620"/>
        <v>1012.2489469814539</v>
      </c>
      <c r="CZ217" s="24">
        <f t="shared" si="1620"/>
        <v>1099.8665630520204</v>
      </c>
      <c r="DA217" s="24">
        <f t="shared" si="1620"/>
        <v>1327.0121212378292</v>
      </c>
      <c r="DB217" s="24">
        <f t="shared" si="1620"/>
        <v>1530.2380743793171</v>
      </c>
      <c r="DE217" s="123"/>
      <c r="DF217" s="23">
        <v>818.47864459443178</v>
      </c>
    </row>
    <row r="218" spans="1:110" s="23" customFormat="1" x14ac:dyDescent="0.2">
      <c r="A218" s="23" t="s">
        <v>88</v>
      </c>
      <c r="C218" s="23">
        <f t="shared" ref="C218:AE218" si="1621">C56</f>
        <v>0</v>
      </c>
      <c r="D218" s="23">
        <f t="shared" si="1621"/>
        <v>0</v>
      </c>
      <c r="E218" s="23">
        <f t="shared" si="1621"/>
        <v>0</v>
      </c>
      <c r="F218" s="23">
        <f t="shared" si="1621"/>
        <v>0</v>
      </c>
      <c r="G218" s="23">
        <f t="shared" si="1621"/>
        <v>0</v>
      </c>
      <c r="H218" s="23">
        <f t="shared" si="1621"/>
        <v>0</v>
      </c>
      <c r="I218" s="23">
        <f t="shared" si="1621"/>
        <v>3.8375965999999999</v>
      </c>
      <c r="J218" s="23">
        <f t="shared" si="1621"/>
        <v>5.5476755000000004</v>
      </c>
      <c r="K218" s="23">
        <f t="shared" si="1621"/>
        <v>12.242088300000001</v>
      </c>
      <c r="L218" s="23">
        <f t="shared" si="1621"/>
        <v>0</v>
      </c>
      <c r="M218" s="23">
        <f t="shared" si="1621"/>
        <v>40.14</v>
      </c>
      <c r="N218" s="23">
        <f t="shared" si="1621"/>
        <v>45.548999999999999</v>
      </c>
      <c r="O218" s="23">
        <f t="shared" si="1621"/>
        <v>62.579000000000001</v>
      </c>
      <c r="P218" s="23">
        <f t="shared" si="1621"/>
        <v>97.533000000000001</v>
      </c>
      <c r="Q218" s="23">
        <f t="shared" si="1621"/>
        <v>111.12</v>
      </c>
      <c r="R218" s="23">
        <f t="shared" si="1621"/>
        <v>127.883</v>
      </c>
      <c r="S218" s="23">
        <f t="shared" si="1621"/>
        <v>132.953</v>
      </c>
      <c r="T218" s="23">
        <f t="shared" si="1621"/>
        <v>141.44499999999999</v>
      </c>
      <c r="U218" s="23">
        <f t="shared" si="1621"/>
        <v>160.887</v>
      </c>
      <c r="V218" s="23">
        <f t="shared" si="1621"/>
        <v>176.166</v>
      </c>
      <c r="W218" s="23">
        <f t="shared" si="1621"/>
        <v>201.51900000000001</v>
      </c>
      <c r="X218" s="23">
        <f t="shared" si="1621"/>
        <v>209.16399999999999</v>
      </c>
      <c r="Y218" s="23">
        <f t="shared" si="1621"/>
        <v>245.04</v>
      </c>
      <c r="Z218" s="23">
        <f t="shared" si="1621"/>
        <v>298.10300000000001</v>
      </c>
      <c r="AA218" s="23">
        <f t="shared" ref="AA218" si="1622">AA56</f>
        <v>385.86900000000003</v>
      </c>
      <c r="AB218" s="24">
        <f t="shared" si="1621"/>
        <v>475.8626928379939</v>
      </c>
      <c r="AC218" s="24">
        <f t="shared" si="1621"/>
        <v>584.50387731166245</v>
      </c>
      <c r="AD218" s="24">
        <f t="shared" si="1621"/>
        <v>680.37325085164184</v>
      </c>
      <c r="AE218" s="24">
        <f t="shared" si="1621"/>
        <v>764.97226205973254</v>
      </c>
      <c r="AI218" s="23">
        <f t="shared" ref="AI218:BN218" si="1623">AI56</f>
        <v>0</v>
      </c>
      <c r="AJ218" s="23">
        <f t="shared" si="1623"/>
        <v>0</v>
      </c>
      <c r="AK218" s="23">
        <f t="shared" si="1623"/>
        <v>0</v>
      </c>
      <c r="AL218" s="23">
        <f t="shared" si="1623"/>
        <v>0</v>
      </c>
      <c r="AM218" s="23">
        <f t="shared" si="1623"/>
        <v>0</v>
      </c>
      <c r="AN218" s="23">
        <f t="shared" si="1623"/>
        <v>0</v>
      </c>
      <c r="AO218" s="23">
        <f t="shared" si="1623"/>
        <v>0</v>
      </c>
      <c r="AP218" s="23">
        <f t="shared" si="1623"/>
        <v>0</v>
      </c>
      <c r="AQ218" s="23">
        <f t="shared" si="1623"/>
        <v>0</v>
      </c>
      <c r="AR218" s="23">
        <f t="shared" si="1623"/>
        <v>0</v>
      </c>
      <c r="AS218" s="23">
        <f t="shared" si="1623"/>
        <v>0</v>
      </c>
      <c r="AT218" s="23">
        <f t="shared" si="1623"/>
        <v>0</v>
      </c>
      <c r="AU218" s="23">
        <f t="shared" si="1623"/>
        <v>0</v>
      </c>
      <c r="AV218" s="23">
        <f t="shared" si="1623"/>
        <v>0</v>
      </c>
      <c r="AW218" s="23">
        <f t="shared" si="1623"/>
        <v>0</v>
      </c>
      <c r="AX218" s="23">
        <f t="shared" si="1623"/>
        <v>0</v>
      </c>
      <c r="AY218" s="23">
        <f t="shared" si="1623"/>
        <v>0</v>
      </c>
      <c r="AZ218" s="23">
        <f t="shared" si="1623"/>
        <v>0</v>
      </c>
      <c r="BA218" s="23">
        <f t="shared" si="1623"/>
        <v>0</v>
      </c>
      <c r="BB218" s="23">
        <f t="shared" si="1623"/>
        <v>0</v>
      </c>
      <c r="BC218" s="23">
        <f t="shared" si="1623"/>
        <v>0</v>
      </c>
      <c r="BD218" s="23">
        <f t="shared" si="1623"/>
        <v>0</v>
      </c>
      <c r="BE218" s="23">
        <f t="shared" si="1623"/>
        <v>0</v>
      </c>
      <c r="BF218" s="23">
        <f t="shared" si="1623"/>
        <v>33.807000000000002</v>
      </c>
      <c r="BG218" s="23">
        <f t="shared" si="1623"/>
        <v>35.155000000000001</v>
      </c>
      <c r="BH218" s="23">
        <f t="shared" si="1623"/>
        <v>36.387999999999998</v>
      </c>
      <c r="BI218" s="23">
        <f t="shared" si="1623"/>
        <v>35.594999999999999</v>
      </c>
      <c r="BJ218" s="23">
        <f t="shared" si="1623"/>
        <v>34.307000000000002</v>
      </c>
      <c r="BK218" s="23">
        <f t="shared" si="1623"/>
        <v>38.499000000000002</v>
      </c>
      <c r="BL218" s="23">
        <f t="shared" si="1623"/>
        <v>39.530999999999999</v>
      </c>
      <c r="BM218" s="23">
        <f t="shared" si="1623"/>
        <v>40.677</v>
      </c>
      <c r="BN218" s="23">
        <f t="shared" si="1623"/>
        <v>42.18</v>
      </c>
      <c r="BO218" s="23">
        <f t="shared" ref="BO218:CT218" si="1624">BO56</f>
        <v>44.271999999999998</v>
      </c>
      <c r="BP218" s="23">
        <f t="shared" si="1624"/>
        <v>45.601999999999997</v>
      </c>
      <c r="BQ218" s="23">
        <f t="shared" si="1624"/>
        <v>44.96</v>
      </c>
      <c r="BR218" s="23">
        <f t="shared" si="1624"/>
        <v>46.061999999999998</v>
      </c>
      <c r="BS218" s="23">
        <f t="shared" si="1624"/>
        <v>49.280999999999999</v>
      </c>
      <c r="BT218" s="23">
        <f t="shared" si="1624"/>
        <v>50.872999999999998</v>
      </c>
      <c r="BU218" s="23">
        <f t="shared" si="1624"/>
        <v>51.109000000000002</v>
      </c>
      <c r="BV218" s="23">
        <f t="shared" si="1624"/>
        <v>50.256</v>
      </c>
      <c r="BW218" s="23">
        <f t="shared" si="1624"/>
        <v>50.984999999999999</v>
      </c>
      <c r="BX218" s="23">
        <f t="shared" si="1624"/>
        <v>52.267000000000003</v>
      </c>
      <c r="BY218" s="23">
        <f t="shared" si="1624"/>
        <v>52.451999999999998</v>
      </c>
      <c r="BZ218" s="23">
        <f t="shared" si="1624"/>
        <v>53.46</v>
      </c>
      <c r="CA218" s="23">
        <f t="shared" si="1624"/>
        <v>57.143999999999998</v>
      </c>
      <c r="CB218" s="23">
        <f t="shared" si="1624"/>
        <v>60.295999999999999</v>
      </c>
      <c r="CC218" s="23">
        <f t="shared" si="1624"/>
        <v>61.878</v>
      </c>
      <c r="CD218" s="23">
        <f t="shared" si="1624"/>
        <v>65.721999999999994</v>
      </c>
      <c r="CE218" s="23">
        <f t="shared" si="1624"/>
        <v>67.123000000000005</v>
      </c>
      <c r="CF218" s="23">
        <f t="shared" si="1624"/>
        <v>72.06</v>
      </c>
      <c r="CG218" s="23">
        <f t="shared" si="1624"/>
        <v>78.557000000000002</v>
      </c>
      <c r="CH218" s="23">
        <f t="shared" si="1624"/>
        <v>80.363</v>
      </c>
      <c r="CI218" s="23">
        <f t="shared" si="1624"/>
        <v>85.703000000000003</v>
      </c>
      <c r="CJ218" s="23">
        <f t="shared" si="1624"/>
        <v>96.775999999999996</v>
      </c>
      <c r="CK218" s="23">
        <f t="shared" si="1624"/>
        <v>105.595</v>
      </c>
      <c r="CL218" s="23">
        <f t="shared" ref="CL218" si="1625">CL56</f>
        <v>97.795000000000002</v>
      </c>
      <c r="CM218" s="24">
        <f t="shared" si="1624"/>
        <v>108.02016265075983</v>
      </c>
      <c r="CN218" s="24">
        <f t="shared" si="1624"/>
        <v>115.46885173850636</v>
      </c>
      <c r="CO218" s="24">
        <f t="shared" si="1624"/>
        <v>122.68825325529782</v>
      </c>
      <c r="CP218" s="24">
        <f t="shared" si="1624"/>
        <v>129.68542519342989</v>
      </c>
      <c r="CQ218" s="24">
        <f t="shared" si="1624"/>
        <v>136.46720828416215</v>
      </c>
      <c r="CR218" s="24">
        <f t="shared" si="1624"/>
        <v>143.04023268550617</v>
      </c>
      <c r="CS218" s="24">
        <f t="shared" si="1624"/>
        <v>149.41092446414859</v>
      </c>
      <c r="CT218" s="24">
        <f t="shared" si="1624"/>
        <v>155.58551187784556</v>
      </c>
      <c r="CU218" s="24">
        <f t="shared" ref="CU218:DB218" si="1626">CU56</f>
        <v>161.57003146443114</v>
      </c>
      <c r="CV218" s="24">
        <f t="shared" si="1626"/>
        <v>167.37033394339187</v>
      </c>
      <c r="CW218" s="24">
        <f t="shared" si="1626"/>
        <v>172.99208993577773</v>
      </c>
      <c r="CX218" s="24">
        <f t="shared" si="1626"/>
        <v>178.44079550804113</v>
      </c>
      <c r="CY218" s="24">
        <f t="shared" si="1626"/>
        <v>183.72177754522383</v>
      </c>
      <c r="CZ218" s="24">
        <f t="shared" si="1626"/>
        <v>188.84019895874528</v>
      </c>
      <c r="DA218" s="24">
        <f t="shared" si="1626"/>
        <v>193.80106373388298</v>
      </c>
      <c r="DB218" s="24">
        <f t="shared" si="1626"/>
        <v>198.60922182188037</v>
      </c>
      <c r="DE218" s="123"/>
      <c r="DF218" s="23">
        <v>105.40936353173171</v>
      </c>
    </row>
    <row r="219" spans="1:110" s="22" customFormat="1" x14ac:dyDescent="0.2">
      <c r="A219" s="22" t="s">
        <v>89</v>
      </c>
      <c r="C219" s="22">
        <f t="shared" ref="C219:W219" si="1627">C217+C218</f>
        <v>0</v>
      </c>
      <c r="D219" s="22">
        <f t="shared" si="1627"/>
        <v>0</v>
      </c>
      <c r="E219" s="22">
        <f t="shared" si="1627"/>
        <v>0</v>
      </c>
      <c r="F219" s="22">
        <f t="shared" si="1627"/>
        <v>0</v>
      </c>
      <c r="G219" s="22">
        <f t="shared" si="1627"/>
        <v>0</v>
      </c>
      <c r="H219" s="22">
        <f t="shared" si="1627"/>
        <v>0</v>
      </c>
      <c r="I219" s="22">
        <f t="shared" si="1627"/>
        <v>157.50251040000009</v>
      </c>
      <c r="J219" s="22">
        <f t="shared" si="1627"/>
        <v>70.362011400000142</v>
      </c>
      <c r="K219" s="22">
        <f t="shared" si="1627"/>
        <v>126.19870179999998</v>
      </c>
      <c r="L219" s="22">
        <f t="shared" si="1627"/>
        <v>0</v>
      </c>
      <c r="M219" s="22">
        <f t="shared" si="1627"/>
        <v>73.376999999999768</v>
      </c>
      <c r="N219" s="22">
        <f t="shared" si="1627"/>
        <v>122.43999999999971</v>
      </c>
      <c r="O219" s="22">
        <f t="shared" si="1627"/>
        <v>155.82000000000016</v>
      </c>
      <c r="P219" s="22">
        <f t="shared" si="1627"/>
        <v>257.85800000000057</v>
      </c>
      <c r="Q219" s="22">
        <f t="shared" si="1627"/>
        <v>299.07999999999981</v>
      </c>
      <c r="R219" s="22">
        <f t="shared" si="1627"/>
        <v>360.3760000000006</v>
      </c>
      <c r="S219" s="22">
        <f t="shared" si="1627"/>
        <v>490.96599999999978</v>
      </c>
      <c r="T219" s="22">
        <f t="shared" si="1627"/>
        <v>641.14799999999991</v>
      </c>
      <c r="U219" s="22">
        <f t="shared" si="1627"/>
        <v>919.94399999999882</v>
      </c>
      <c r="V219" s="22">
        <f t="shared" si="1627"/>
        <v>1058.2600000000002</v>
      </c>
      <c r="W219" s="22">
        <f t="shared" si="1627"/>
        <v>1110.0960000000014</v>
      </c>
      <c r="X219" s="22">
        <f t="shared" ref="X219:Y219" si="1628">X217+X218</f>
        <v>1479.9470000000013</v>
      </c>
      <c r="Y219" s="22">
        <f t="shared" si="1628"/>
        <v>2029.0850000000009</v>
      </c>
      <c r="Z219" s="22">
        <f t="shared" ref="Z219:AA219" si="1629">Z217+Z218</f>
        <v>2318.0929999999998</v>
      </c>
      <c r="AA219" s="22">
        <f t="shared" si="1629"/>
        <v>3057.9020000000019</v>
      </c>
      <c r="AB219" s="21">
        <f t="shared" ref="AA219:AD219" si="1630">AB217+AB218</f>
        <v>3666.157485648931</v>
      </c>
      <c r="AC219" s="21">
        <f t="shared" si="1630"/>
        <v>4292.1250143671505</v>
      </c>
      <c r="AD219" s="21">
        <f t="shared" si="1630"/>
        <v>4996.5055099971614</v>
      </c>
      <c r="AE219" s="21">
        <f t="shared" ref="AE219" si="1631">AE217+AE218</f>
        <v>5734.3379677103476</v>
      </c>
      <c r="AI219" s="22">
        <f t="shared" ref="AI219" si="1632">AI217+AI218</f>
        <v>0</v>
      </c>
      <c r="AJ219" s="22">
        <f t="shared" ref="AJ219:AL219" si="1633">AJ217+AJ218</f>
        <v>0</v>
      </c>
      <c r="AK219" s="22">
        <f t="shared" si="1633"/>
        <v>0</v>
      </c>
      <c r="AL219" s="22">
        <f t="shared" si="1633"/>
        <v>0</v>
      </c>
      <c r="AM219" s="22">
        <f t="shared" ref="AM219" si="1634">AM217+AM218</f>
        <v>0</v>
      </c>
      <c r="AN219" s="22">
        <f t="shared" ref="AN219:CD219" si="1635">AN217+AN218</f>
        <v>0</v>
      </c>
      <c r="AO219" s="22">
        <f t="shared" si="1635"/>
        <v>0</v>
      </c>
      <c r="AP219" s="22">
        <f t="shared" si="1635"/>
        <v>0</v>
      </c>
      <c r="AQ219" s="22">
        <f t="shared" si="1635"/>
        <v>0</v>
      </c>
      <c r="AR219" s="22">
        <f t="shared" si="1635"/>
        <v>0</v>
      </c>
      <c r="AS219" s="22">
        <f t="shared" si="1635"/>
        <v>0</v>
      </c>
      <c r="AT219" s="22">
        <f t="shared" si="1635"/>
        <v>0</v>
      </c>
      <c r="AU219" s="22">
        <f t="shared" si="1635"/>
        <v>0</v>
      </c>
      <c r="AV219" s="22">
        <f t="shared" si="1635"/>
        <v>0</v>
      </c>
      <c r="AW219" s="22">
        <f t="shared" si="1635"/>
        <v>0</v>
      </c>
      <c r="AX219" s="22">
        <f t="shared" si="1635"/>
        <v>0</v>
      </c>
      <c r="AY219" s="22">
        <f t="shared" si="1635"/>
        <v>0</v>
      </c>
      <c r="AZ219" s="22">
        <f t="shared" si="1635"/>
        <v>0</v>
      </c>
      <c r="BA219" s="22">
        <f t="shared" si="1635"/>
        <v>0</v>
      </c>
      <c r="BB219" s="22">
        <f t="shared" si="1635"/>
        <v>0</v>
      </c>
      <c r="BC219" s="22">
        <f t="shared" si="1635"/>
        <v>0</v>
      </c>
      <c r="BD219" s="22">
        <f t="shared" si="1635"/>
        <v>0</v>
      </c>
      <c r="BE219" s="22">
        <f t="shared" si="1635"/>
        <v>0</v>
      </c>
      <c r="BF219" s="22">
        <f t="shared" si="1635"/>
        <v>222.52600000000018</v>
      </c>
      <c r="BG219" s="22">
        <f t="shared" si="1635"/>
        <v>112.15699999999985</v>
      </c>
      <c r="BH219" s="22">
        <f t="shared" si="1635"/>
        <v>125.59299999999999</v>
      </c>
      <c r="BI219" s="22">
        <f t="shared" si="1635"/>
        <v>228.9310000000001</v>
      </c>
      <c r="BJ219" s="22">
        <f t="shared" si="1635"/>
        <v>174.68900000000025</v>
      </c>
      <c r="BK219" s="22">
        <f t="shared" si="1635"/>
        <v>173.01099999999991</v>
      </c>
      <c r="BL219" s="22">
        <f t="shared" si="1635"/>
        <v>231.35900000000018</v>
      </c>
      <c r="BM219" s="22">
        <f t="shared" si="1635"/>
        <v>259.45699999999988</v>
      </c>
      <c r="BN219" s="22">
        <f t="shared" si="1635"/>
        <v>256.11699999999973</v>
      </c>
      <c r="BO219" s="22">
        <f t="shared" si="1635"/>
        <v>161.874</v>
      </c>
      <c r="BP219" s="22">
        <f t="shared" si="1635"/>
        <v>266.14999999999986</v>
      </c>
      <c r="BQ219" s="22">
        <f t="shared" si="1635"/>
        <v>307.46200000000016</v>
      </c>
      <c r="BR219" s="22">
        <f t="shared" si="1635"/>
        <v>327.49499999999995</v>
      </c>
      <c r="BS219" s="22">
        <f t="shared" si="1635"/>
        <v>123.26599999999993</v>
      </c>
      <c r="BT219" s="22">
        <f t="shared" si="1635"/>
        <v>248.80099999999985</v>
      </c>
      <c r="BU219" s="22">
        <f t="shared" si="1635"/>
        <v>365.61800000000011</v>
      </c>
      <c r="BV219" s="22">
        <f t="shared" si="1635"/>
        <v>372.40999999999997</v>
      </c>
      <c r="BW219" s="22">
        <f t="shared" si="1635"/>
        <v>270.74199999999985</v>
      </c>
      <c r="BX219" s="22">
        <f t="shared" si="1635"/>
        <v>320.23500000000035</v>
      </c>
      <c r="BY219" s="22">
        <f t="shared" si="1635"/>
        <v>410.33399999999961</v>
      </c>
      <c r="BZ219" s="22">
        <f t="shared" si="1635"/>
        <v>478.49399999999963</v>
      </c>
      <c r="CA219" s="22">
        <f t="shared" si="1635"/>
        <v>456.76700000000011</v>
      </c>
      <c r="CB219" s="22">
        <f t="shared" si="1635"/>
        <v>485.86399999999992</v>
      </c>
      <c r="CC219" s="22">
        <f t="shared" si="1635"/>
        <v>474.72799999999995</v>
      </c>
      <c r="CD219" s="22">
        <f t="shared" si="1635"/>
        <v>611.72600000000045</v>
      </c>
      <c r="CE219" s="22">
        <f t="shared" ref="CE219:CF219" si="1636">CE217+CE218</f>
        <v>463.07699999999977</v>
      </c>
      <c r="CF219" s="22">
        <f t="shared" si="1636"/>
        <v>511.87099999999941</v>
      </c>
      <c r="CG219" s="22">
        <f t="shared" ref="CG219:CH219" si="1637">CG217+CG218</f>
        <v>536.11399999999981</v>
      </c>
      <c r="CH219" s="22">
        <f t="shared" si="1637"/>
        <v>807.03100000000018</v>
      </c>
      <c r="CI219" s="22">
        <f t="shared" ref="CI219:CJ219" si="1638">CI217+CI218</f>
        <v>677.82399999999984</v>
      </c>
      <c r="CJ219" s="22">
        <f t="shared" si="1638"/>
        <v>782.23199999999974</v>
      </c>
      <c r="CK219" s="22">
        <f t="shared" ref="CK219:DB219" si="1639">CK217+CK218</f>
        <v>727.28499999999929</v>
      </c>
      <c r="CL219" s="22">
        <f t="shared" si="1639"/>
        <v>870.56100000000026</v>
      </c>
      <c r="CM219" s="21">
        <f t="shared" si="1639"/>
        <v>758.06722139453075</v>
      </c>
      <c r="CN219" s="21">
        <f t="shared" si="1639"/>
        <v>838.9738126611104</v>
      </c>
      <c r="CO219" s="21">
        <f t="shared" si="1639"/>
        <v>958.67980398727309</v>
      </c>
      <c r="CP219" s="21">
        <f t="shared" si="1639"/>
        <v>1110.4366476060147</v>
      </c>
      <c r="CQ219" s="21">
        <f t="shared" si="1639"/>
        <v>906.35423518208995</v>
      </c>
      <c r="CR219" s="21">
        <f t="shared" si="1639"/>
        <v>967.95904991929206</v>
      </c>
      <c r="CS219" s="21">
        <f t="shared" si="1639"/>
        <v>1131.5492195251072</v>
      </c>
      <c r="CT219" s="21">
        <f t="shared" si="1639"/>
        <v>1286.262509740666</v>
      </c>
      <c r="CU219" s="21">
        <f t="shared" si="1639"/>
        <v>1040.086527427613</v>
      </c>
      <c r="CV219" s="21">
        <f t="shared" si="1639"/>
        <v>1120.3318092485231</v>
      </c>
      <c r="CW219" s="21">
        <f t="shared" si="1639"/>
        <v>1323.6827263023099</v>
      </c>
      <c r="CX219" s="21">
        <f t="shared" si="1639"/>
        <v>1512.4044470187189</v>
      </c>
      <c r="CY219" s="21">
        <f t="shared" si="1639"/>
        <v>1195.9707245266777</v>
      </c>
      <c r="CZ219" s="21">
        <f t="shared" si="1639"/>
        <v>1288.7067620107657</v>
      </c>
      <c r="DA219" s="21">
        <f t="shared" si="1639"/>
        <v>1520.8131849717122</v>
      </c>
      <c r="DB219" s="21">
        <f t="shared" si="1639"/>
        <v>1728.8472962011974</v>
      </c>
      <c r="DE219" s="126"/>
      <c r="DF219" s="22">
        <v>923.88800812616353</v>
      </c>
    </row>
    <row r="220" spans="1:110" s="23" customFormat="1" x14ac:dyDescent="0.2">
      <c r="A220" s="23" t="s">
        <v>65</v>
      </c>
      <c r="C220" s="23">
        <f t="shared" ref="C220:AA220" si="1640">B172-C172+B187+B188-C187-C188</f>
        <v>0</v>
      </c>
      <c r="D220" s="23">
        <f t="shared" si="1640"/>
        <v>0</v>
      </c>
      <c r="E220" s="23">
        <f>D172-E172+D187+D188-E187-E188</f>
        <v>0</v>
      </c>
      <c r="F220" s="23">
        <f t="shared" si="1640"/>
        <v>0</v>
      </c>
      <c r="G220" s="23">
        <f t="shared" si="1640"/>
        <v>0</v>
      </c>
      <c r="H220" s="23">
        <f t="shared" si="1640"/>
        <v>0</v>
      </c>
      <c r="I220" s="23">
        <f t="shared" si="1640"/>
        <v>-1223.5024093999998</v>
      </c>
      <c r="J220" s="23">
        <f>I172-J172+I187+I188-J187-J188</f>
        <v>-7.307009600000101</v>
      </c>
      <c r="K220" s="23">
        <f>J172-K172+J187+J188-K187-K188</f>
        <v>-646.60842890000026</v>
      </c>
      <c r="L220" s="23">
        <f t="shared" si="1640"/>
        <v>-370.99615209999973</v>
      </c>
      <c r="M220" s="23">
        <f t="shared" si="1640"/>
        <v>197.21300000000011</v>
      </c>
      <c r="N220" s="23">
        <f t="shared" si="1640"/>
        <v>234.81399999999985</v>
      </c>
      <c r="O220" s="23">
        <f t="shared" si="1640"/>
        <v>116.87900000000019</v>
      </c>
      <c r="P220" s="23">
        <f t="shared" si="1640"/>
        <v>-566.57100000000014</v>
      </c>
      <c r="Q220" s="23">
        <f t="shared" si="1640"/>
        <v>-390.44099999999997</v>
      </c>
      <c r="R220" s="23">
        <f t="shared" si="1640"/>
        <v>-474.28099999999984</v>
      </c>
      <c r="S220" s="23">
        <f t="shared" si="1640"/>
        <v>113.34499999999969</v>
      </c>
      <c r="T220" s="23">
        <f t="shared" si="1640"/>
        <v>-773.12200000000018</v>
      </c>
      <c r="U220" s="23">
        <f t="shared" si="1640"/>
        <v>-143.54699999999949</v>
      </c>
      <c r="V220" s="23">
        <f t="shared" si="1640"/>
        <v>96.140999999999508</v>
      </c>
      <c r="W220" s="23">
        <f t="shared" si="1640"/>
        <v>-315.73300000000046</v>
      </c>
      <c r="X220" s="23">
        <f t="shared" si="1640"/>
        <v>-866.04599999999914</v>
      </c>
      <c r="Y220" s="23">
        <f t="shared" si="1640"/>
        <v>-1864.0090000000005</v>
      </c>
      <c r="Z220" s="23">
        <f t="shared" si="1640"/>
        <v>-550.51899999999978</v>
      </c>
      <c r="AA220" s="23">
        <f t="shared" si="1640"/>
        <v>-3822.8440000000001</v>
      </c>
      <c r="AB220" s="24">
        <f t="shared" ref="AB220" si="1641">AA172-AB172+AA187+AA188-AB187-AB188</f>
        <v>-2054.6336814809529</v>
      </c>
      <c r="AC220" s="24">
        <f t="shared" ref="AC220" si="1642">AB172-AC172+AB187+AB188-AC187-AC188</f>
        <v>-2411.44414026087</v>
      </c>
      <c r="AD220" s="24">
        <f t="shared" ref="AD220" si="1643">AC172-AD172+AC187+AC188-AD187-AD188</f>
        <v>-2281.9894624600656</v>
      </c>
      <c r="AE220" s="24">
        <f t="shared" ref="AE220" si="1644">AD172-AE172+AD187+AD188-AE187-AE188</f>
        <v>-2617.2359750625037</v>
      </c>
      <c r="AI220" s="23">
        <f>AH172-AI172+AH187+AH188-AI187-AJ188</f>
        <v>0</v>
      </c>
      <c r="AJ220" s="23">
        <f t="shared" ref="AJ220:AL220" si="1645">AI172-AJ172+AI187+AI188-AJ187-AK188</f>
        <v>0</v>
      </c>
      <c r="AK220" s="23" t="e">
        <f t="shared" si="1645"/>
        <v>#DIV/0!</v>
      </c>
      <c r="AL220" s="23" t="e">
        <f t="shared" si="1645"/>
        <v>#DIV/0!</v>
      </c>
      <c r="AM220" s="23" t="e">
        <f t="shared" ref="AM220" si="1646">AL172-AM172+AL187+AL188-AM187-AM188</f>
        <v>#DIV/0!</v>
      </c>
      <c r="AN220" s="23" t="e">
        <f t="shared" ref="AN220" si="1647">AM172-AN172+AM187+AM188-AN187-AN188</f>
        <v>#DIV/0!</v>
      </c>
      <c r="AO220" s="23" t="e">
        <f t="shared" ref="AO220" si="1648">AN172-AO172+AN187+AN188-AO187-AO188</f>
        <v>#DIV/0!</v>
      </c>
      <c r="AP220" s="23" t="e">
        <f t="shared" ref="AP220" si="1649">AO172-AP172+AO187+AO188-AP187-AP188</f>
        <v>#DIV/0!</v>
      </c>
      <c r="AQ220" s="23" t="e">
        <f t="shared" ref="AQ220" si="1650">AP172-AQ172+AP187+AP188-AQ187-AQ188</f>
        <v>#DIV/0!</v>
      </c>
      <c r="AR220" s="23" t="e">
        <f t="shared" ref="AR220" si="1651">AQ172-AR172+AQ187+AQ188-AR187-AR188</f>
        <v>#DIV/0!</v>
      </c>
      <c r="AS220" s="23" t="e">
        <f t="shared" ref="AS220" si="1652">AR172-AS172+AR187+AR188-AS187-AS188</f>
        <v>#DIV/0!</v>
      </c>
      <c r="AT220" s="23" t="e">
        <f t="shared" ref="AT220" si="1653">AS172-AT172+AS187+AS188-AT187-AT188</f>
        <v>#DIV/0!</v>
      </c>
      <c r="AU220" s="23" t="e">
        <f t="shared" ref="AU220" si="1654">AT172-AU172+AT187+AT188-AU187-AU188</f>
        <v>#DIV/0!</v>
      </c>
      <c r="AV220" s="23" t="e">
        <f t="shared" ref="AV220" si="1655">AU172-AV172+AU187+AU188-AV187-AV188</f>
        <v>#DIV/0!</v>
      </c>
      <c r="AW220" s="23" t="e">
        <f t="shared" ref="AW220" si="1656">AV172-AW172+AV187+AV188-AW187-AW188</f>
        <v>#DIV/0!</v>
      </c>
      <c r="AX220" s="23" t="e">
        <f t="shared" ref="AX220" si="1657">AW172-AX172+AW187+AW188-AX187-AX188</f>
        <v>#DIV/0!</v>
      </c>
      <c r="AY220" s="23" t="e">
        <f t="shared" ref="AY220" si="1658">AX172-AY172+AX187+AX188-AY187-AY188</f>
        <v>#DIV/0!</v>
      </c>
      <c r="AZ220" s="23" t="e">
        <f t="shared" ref="AZ220" si="1659">AY172-AZ172+AY187+AY188-AZ187-AZ188</f>
        <v>#DIV/0!</v>
      </c>
      <c r="BA220" s="23" t="e">
        <f t="shared" ref="BA220" si="1660">AZ172-BA172+AZ187+AZ188-BA187-BA188</f>
        <v>#DIV/0!</v>
      </c>
      <c r="BB220" s="23" t="e">
        <f t="shared" ref="BB220" si="1661">BA172-BB172+BA187+BA188-BB187-BB188</f>
        <v>#DIV/0!</v>
      </c>
      <c r="BC220" s="23" t="e">
        <f t="shared" ref="BC220" si="1662">BB172-BC172+BB187+BB188-BC187-BC188</f>
        <v>#DIV/0!</v>
      </c>
      <c r="BD220" s="23" t="e">
        <f t="shared" ref="BD220" si="1663">BC172-BD172+BC187+BC188-BD187-BD188</f>
        <v>#DIV/0!</v>
      </c>
      <c r="BE220" s="23" t="e">
        <f t="shared" ref="BE220" si="1664">BD172-BE172+BD187+BD188-BE187-BE188</f>
        <v>#DIV/0!</v>
      </c>
      <c r="BF220" s="23" t="e">
        <f t="shared" ref="BF220" si="1665">BE172-BF172+BE187+BE188-BF187-BF188</f>
        <v>#DIV/0!</v>
      </c>
      <c r="BG220" s="23">
        <f t="shared" ref="BG220" si="1666">BF172-BG172+BF187+BF188-BG187-BG188</f>
        <v>538.29050565668649</v>
      </c>
      <c r="BH220" s="23">
        <f t="shared" ref="BH220" si="1667">BG172-BH172+BG187+BG188-BH187-BH188</f>
        <v>2479.1654943433136</v>
      </c>
      <c r="BI220" s="23">
        <f t="shared" ref="BI220" si="1668">BH172-BI172+BH187+BH188-BI187-BI188</f>
        <v>0</v>
      </c>
      <c r="BJ220" s="23">
        <f t="shared" ref="BJ220" si="1669">BI172-BJ172+BI187+BI188-BJ187-BJ188</f>
        <v>-3790.5780000000004</v>
      </c>
      <c r="BK220" s="23">
        <f t="shared" ref="BK220" si="1670">BJ172-BK172+BJ187+BJ188-BK187-BK188</f>
        <v>692.50050198790996</v>
      </c>
      <c r="BL220" s="23">
        <f t="shared" ref="BL220" si="1671">BK172-BL172+BK187+BK188-BL187-BL188</f>
        <v>-469.62350198790955</v>
      </c>
      <c r="BM220" s="23">
        <f t="shared" ref="BM220" si="1672">BL172-BM172+BL187+BL188-BM187-BM188</f>
        <v>-358.67330213479954</v>
      </c>
      <c r="BN220" s="23">
        <f t="shared" ref="BN220" si="1673">BM172-BN172+BM187+BM188-BN187-BN188</f>
        <v>-41.542697865200715</v>
      </c>
      <c r="BO220" s="23">
        <f t="shared" ref="BO220" si="1674">BN172-BO172+BN187+BN188-BO187-BO188</f>
        <v>1818.2484023488514</v>
      </c>
      <c r="BP220" s="23">
        <f t="shared" ref="BP220" si="1675">BO172-BP172+BO187+BO188-BP187-BP188</f>
        <v>-1459.748402348851</v>
      </c>
      <c r="BQ220" s="23">
        <f t="shared" ref="BQ220" si="1676">BP172-BQ172+BP187+BP188-BQ187-BQ188</f>
        <v>-935.12749037083313</v>
      </c>
      <c r="BR220" s="23">
        <f t="shared" ref="BR220" si="1677">BQ172-BR172+BQ187+BQ188-BR187-BR188</f>
        <v>672.46049037083253</v>
      </c>
      <c r="BS220" s="23">
        <f t="shared" ref="BS220" si="1678">BR172-BS172+BR187+BR188-BS187-BS188</f>
        <v>1265.246668089716</v>
      </c>
      <c r="BT220" s="23">
        <f t="shared" ref="BT220" si="1679">BS172-BT172+BS187+BS188-BT187-BT188</f>
        <v>-1454.073668089716</v>
      </c>
      <c r="BU220" s="23">
        <f t="shared" ref="BU220" si="1680">BT172-BU172+BT187+BT188-BU187-BU188</f>
        <v>-394.63429729175004</v>
      </c>
      <c r="BV220" s="23">
        <f t="shared" ref="BV220" si="1681">BU172-BV172+BU187+BU188-BV187-BV188</f>
        <v>266.69229729175015</v>
      </c>
      <c r="BW220" s="23">
        <f t="shared" ref="BW220" si="1682">BV172-BW172+BV187+BV188-BW187-BW188</f>
        <v>1086.1773102308784</v>
      </c>
      <c r="BX220" s="23">
        <f t="shared" ref="BX220" si="1683">BW172-BX172+BW187+BW188-BX187-BX188</f>
        <v>-1095.3763102308785</v>
      </c>
      <c r="BY220" s="23">
        <f t="shared" ref="BY220" si="1684">BX172-BY172+BX187+BX188-BY187-BY188</f>
        <v>-387.53078183556499</v>
      </c>
      <c r="BZ220" s="23">
        <f t="shared" ref="BZ220" si="1685">BY172-BZ172+BY187+BY188-BZ187-BZ188</f>
        <v>-470.36221816443435</v>
      </c>
      <c r="CA220" s="23">
        <f t="shared" ref="CA220" si="1686">BZ172-CA172+BZ187+BZ188-CA187-CA188</f>
        <v>421.67276355956801</v>
      </c>
      <c r="CB220" s="23">
        <f t="shared" ref="CB220" si="1687">CA172-CB172+CA187+CA188-CB187-CB188</f>
        <v>-1110.7977635595689</v>
      </c>
      <c r="CC220" s="23">
        <f t="shared" ref="CC220" si="1688">CB172-CC172+CB187+CB188-CC187-CC188</f>
        <v>-138.34070432086446</v>
      </c>
      <c r="CD220" s="23">
        <f t="shared" ref="CD220" si="1689">CC172-CD172+CC187+CC188-CD187-CD188</f>
        <v>-1073.1872956791353</v>
      </c>
      <c r="CE220" s="23">
        <f t="shared" ref="CE220" si="1690">CD172-CE172+CD187+CD188-CE187-CE188</f>
        <v>914.69922321771173</v>
      </c>
      <c r="CF220" s="23">
        <f t="shared" ref="CF220" si="1691">CE172-CF172+CE187+CE188-CF187-CF188</f>
        <v>-1789.5212232177114</v>
      </c>
      <c r="CG220" s="23">
        <f t="shared" ref="CG220" si="1692">CF172-CG172+CF187+CF188-CG187-CG188</f>
        <v>326.67094516955149</v>
      </c>
      <c r="CH220" s="23">
        <f t="shared" ref="CH220:CL220" si="1693">CG172-CH172+CG187+CG188-CH187-CH188</f>
        <v>70.458054830448532</v>
      </c>
      <c r="CI220" s="23">
        <f t="shared" si="1693"/>
        <v>1160.8072820210373</v>
      </c>
      <c r="CJ220" s="23">
        <f t="shared" si="1693"/>
        <v>-3874.7352820210367</v>
      </c>
      <c r="CK220" s="23">
        <f t="shared" ref="CK220" si="1694">CJ172-CK172+CJ187+CJ188-CK187-CK188</f>
        <v>-1830.783013928065</v>
      </c>
      <c r="CL220" s="23">
        <f t="shared" si="1693"/>
        <v>579.24001392806383</v>
      </c>
      <c r="CM220" s="24">
        <f t="shared" ref="CM220" si="1695">CL172-CM172+CL187+CL188-CM187-CM188</f>
        <v>2209.7777257050966</v>
      </c>
      <c r="CN220" s="24">
        <f t="shared" ref="CN220" si="1696">CM172-CN172+CM187+CM188-CN187-CN188</f>
        <v>-523.93468779539216</v>
      </c>
      <c r="CO220" s="24">
        <f t="shared" ref="CO220" si="1697">CN172-CO172+CN187+CN188-CO187-CO188</f>
        <v>-1850.9945419868272</v>
      </c>
      <c r="CP220" s="24">
        <f t="shared" ref="CP220" si="1698">CO172-CP172+CO187+CO188-CP187-CP188</f>
        <v>-1746.8551774038297</v>
      </c>
      <c r="CQ220" s="24">
        <f t="shared" ref="CQ220" si="1699">CP172-CQ172+CP187+CP188-CQ187-CQ188</f>
        <v>2516.3338284538513</v>
      </c>
      <c r="CR220" s="24">
        <f t="shared" ref="CR220" si="1700">CQ172-CR172+CQ187+CQ188-CR187-CR188</f>
        <v>-838.17086283054232</v>
      </c>
      <c r="CS220" s="24">
        <f t="shared" ref="CS220" si="1701">CR172-CS172+CR187+CR188-CS187-CS188</f>
        <v>-2139.1425937209806</v>
      </c>
      <c r="CT220" s="24">
        <f t="shared" ref="CT220" si="1702">CS172-CT172+CS187+CS188-CT187-CT188</f>
        <v>-1950.4645121631984</v>
      </c>
      <c r="CU220" s="24">
        <f t="shared" ref="CU220" si="1703">CT172-CU172+CT187+CT188-CU187-CU188</f>
        <v>3355.9858640998391</v>
      </c>
      <c r="CV220" s="24">
        <f t="shared" ref="CV220" si="1704">CU172-CV172+CU187+CU188-CV187-CV188</f>
        <v>-958.00175095671329</v>
      </c>
      <c r="CW220" s="24">
        <f t="shared" ref="CW220" si="1705">CV172-CW172+CV187+CV188-CW187-CW188</f>
        <v>-2457.1677319940391</v>
      </c>
      <c r="CX220" s="24">
        <f t="shared" ref="CX220" si="1706">CW172-CX172+CW187+CW188-CX187-CX188</f>
        <v>-2222.8058436091524</v>
      </c>
      <c r="CY220" s="24">
        <f t="shared" ref="CY220" si="1707">CX172-CY172+CX187+CX188-CY187-CY188</f>
        <v>3835.3187851365074</v>
      </c>
      <c r="CZ220" s="24">
        <f t="shared" ref="CZ220" si="1708">CY172-CZ172+CY187+CY188-CZ187-CZ188</f>
        <v>-1095.5373400283643</v>
      </c>
      <c r="DA220" s="24">
        <f t="shared" ref="DA220" si="1709">CZ172-DA172+CZ187+CZ188-DA187-DA188</f>
        <v>-2822.5985206249388</v>
      </c>
      <c r="DB220" s="24">
        <f t="shared" ref="DB220" si="1710">DA172-DB172+DA187+DA188-DB187-DB188</f>
        <v>-2534.418899545708</v>
      </c>
      <c r="DE220" s="123"/>
      <c r="DF220" s="23">
        <v>-2075.033791421014</v>
      </c>
    </row>
    <row r="221" spans="1:110" s="23" customFormat="1" x14ac:dyDescent="0.2">
      <c r="A221" s="23" t="s">
        <v>73</v>
      </c>
      <c r="C221" s="23">
        <f t="shared" ref="C221:AA221" si="1711">B180-C180</f>
        <v>0</v>
      </c>
      <c r="D221" s="23">
        <f t="shared" si="1711"/>
        <v>0</v>
      </c>
      <c r="E221" s="23">
        <f>D180-E180</f>
        <v>0</v>
      </c>
      <c r="F221" s="23">
        <f t="shared" si="1711"/>
        <v>0</v>
      </c>
      <c r="G221" s="23">
        <f t="shared" si="1711"/>
        <v>0</v>
      </c>
      <c r="H221" s="23">
        <f t="shared" si="1711"/>
        <v>0</v>
      </c>
      <c r="I221" s="23">
        <f t="shared" si="1711"/>
        <v>-387.37510659999998</v>
      </c>
      <c r="J221" s="23">
        <f>I180-J180</f>
        <v>-68.88960830000002</v>
      </c>
      <c r="K221" s="23">
        <f>J180-K180</f>
        <v>99.130388399999958</v>
      </c>
      <c r="L221" s="23">
        <f t="shared" si="1711"/>
        <v>-216.00467349999997</v>
      </c>
      <c r="M221" s="23">
        <f t="shared" si="1711"/>
        <v>-168.5619999999999</v>
      </c>
      <c r="N221" s="23">
        <f t="shared" si="1711"/>
        <v>-6.3300000000001546</v>
      </c>
      <c r="O221" s="23">
        <f t="shared" si="1711"/>
        <v>4.5270000000000437</v>
      </c>
      <c r="P221" s="23">
        <f t="shared" si="1711"/>
        <v>-384.22400000000005</v>
      </c>
      <c r="Q221" s="23">
        <f t="shared" si="1711"/>
        <v>-118.54199999999992</v>
      </c>
      <c r="R221" s="23">
        <f t="shared" si="1711"/>
        <v>-388.46499999999992</v>
      </c>
      <c r="S221" s="23">
        <f t="shared" si="1711"/>
        <v>393.94299999999998</v>
      </c>
      <c r="T221" s="23">
        <f t="shared" si="1711"/>
        <v>-1236.6019999999999</v>
      </c>
      <c r="U221" s="23">
        <f t="shared" si="1711"/>
        <v>541.76699999999983</v>
      </c>
      <c r="V221" s="23">
        <f t="shared" si="1711"/>
        <v>-15.815999999999804</v>
      </c>
      <c r="W221" s="23">
        <f t="shared" si="1711"/>
        <v>218.66699999999969</v>
      </c>
      <c r="X221" s="23">
        <f t="shared" si="1711"/>
        <v>-902.83000000000015</v>
      </c>
      <c r="Y221" s="23">
        <f t="shared" si="1711"/>
        <v>-1055.7919999999995</v>
      </c>
      <c r="Z221" s="23">
        <f t="shared" si="1711"/>
        <v>36.962999999999738</v>
      </c>
      <c r="AA221" s="23">
        <f t="shared" si="1711"/>
        <v>-4510.09</v>
      </c>
      <c r="AB221" s="24">
        <f t="shared" ref="AB221" si="1712">AA180-AB180</f>
        <v>540.79780745926473</v>
      </c>
      <c r="AC221" s="24">
        <f t="shared" ref="AC221" si="1713">AB180-AC180</f>
        <v>-1376.8277248097174</v>
      </c>
      <c r="AD221" s="24">
        <f t="shared" ref="AD221" si="1714">AC180-AD180</f>
        <v>-1302.914841435535</v>
      </c>
      <c r="AE221" s="24">
        <f t="shared" ref="AE221" si="1715">AD180-AE180</f>
        <v>-1494.3257414395775</v>
      </c>
      <c r="AI221" s="23">
        <f t="shared" ref="AI221" si="1716">AH180-AI180</f>
        <v>0</v>
      </c>
      <c r="AJ221" s="23">
        <f t="shared" ref="AJ221" si="1717">AI180-AJ180</f>
        <v>0</v>
      </c>
      <c r="AK221" s="23" t="e">
        <f t="shared" ref="AK221" si="1718">AJ180-AK180</f>
        <v>#DIV/0!</v>
      </c>
      <c r="AL221" s="23" t="e">
        <f t="shared" ref="AL221" si="1719">AK180-AL180</f>
        <v>#DIV/0!</v>
      </c>
      <c r="AM221" s="23" t="e">
        <f t="shared" ref="AM221" si="1720">AL180-AM180</f>
        <v>#DIV/0!</v>
      </c>
      <c r="AN221" s="23" t="e">
        <f t="shared" ref="AN221" si="1721">AM180-AN180</f>
        <v>#DIV/0!</v>
      </c>
      <c r="AO221" s="23" t="e">
        <f t="shared" ref="AO221" si="1722">AN180-AO180</f>
        <v>#DIV/0!</v>
      </c>
      <c r="AP221" s="23" t="e">
        <f t="shared" ref="AP221" si="1723">AO180-AP180</f>
        <v>#DIV/0!</v>
      </c>
      <c r="AQ221" s="23" t="e">
        <f t="shared" ref="AQ221" si="1724">AP180-AQ180</f>
        <v>#DIV/0!</v>
      </c>
      <c r="AR221" s="23" t="e">
        <f t="shared" ref="AR221" si="1725">AQ180-AR180</f>
        <v>#DIV/0!</v>
      </c>
      <c r="AS221" s="23" t="e">
        <f t="shared" ref="AS221" si="1726">AR180-AS180</f>
        <v>#DIV/0!</v>
      </c>
      <c r="AT221" s="23" t="e">
        <f t="shared" ref="AT221" si="1727">AS180-AT180</f>
        <v>#DIV/0!</v>
      </c>
      <c r="AU221" s="23" t="e">
        <f t="shared" ref="AU221" si="1728">AT180-AU180</f>
        <v>#DIV/0!</v>
      </c>
      <c r="AV221" s="23" t="e">
        <f t="shared" ref="AV221" si="1729">AU180-AV180</f>
        <v>#DIV/0!</v>
      </c>
      <c r="AW221" s="23" t="e">
        <f t="shared" ref="AW221" si="1730">AV180-AW180</f>
        <v>#DIV/0!</v>
      </c>
      <c r="AX221" s="23" t="e">
        <f t="shared" ref="AX221" si="1731">AW180-AX180</f>
        <v>#DIV/0!</v>
      </c>
      <c r="AY221" s="23" t="e">
        <f t="shared" ref="AY221" si="1732">AX180-AY180</f>
        <v>#DIV/0!</v>
      </c>
      <c r="AZ221" s="23" t="e">
        <f t="shared" ref="AZ221" si="1733">AY180-AZ180</f>
        <v>#DIV/0!</v>
      </c>
      <c r="BA221" s="23" t="e">
        <f t="shared" ref="BA221" si="1734">AZ180-BA180</f>
        <v>#DIV/0!</v>
      </c>
      <c r="BB221" s="23" t="e">
        <f t="shared" ref="BB221" si="1735">BA180-BB180</f>
        <v>#DIV/0!</v>
      </c>
      <c r="BC221" s="23" t="e">
        <f t="shared" ref="BC221" si="1736">BB180-BC180</f>
        <v>#DIV/0!</v>
      </c>
      <c r="BD221" s="23" t="e">
        <f t="shared" ref="BD221" si="1737">BC180-BD180</f>
        <v>#DIV/0!</v>
      </c>
      <c r="BE221" s="23" t="e">
        <f t="shared" ref="BE221" si="1738">BD180-BE180</f>
        <v>#DIV/0!</v>
      </c>
      <c r="BF221" s="23" t="e">
        <f t="shared" ref="BF221" si="1739">BE180-BF180</f>
        <v>#DIV/0!</v>
      </c>
      <c r="BG221" s="23">
        <f t="shared" ref="BG221" si="1740">BF180-BG180</f>
        <v>186.84286154315646</v>
      </c>
      <c r="BH221" s="23">
        <f t="shared" ref="BH221" si="1741">BG180-BH180</f>
        <v>1126.5591384568436</v>
      </c>
      <c r="BI221" s="23">
        <f t="shared" ref="BI221" si="1742">BH180-BI180</f>
        <v>0</v>
      </c>
      <c r="BJ221" s="23">
        <f t="shared" ref="BJ221" si="1743">BI180-BJ180</f>
        <v>-2557.817</v>
      </c>
      <c r="BK221" s="23">
        <f t="shared" ref="BK221" si="1744">BJ180-BK180</f>
        <v>316.12458544440096</v>
      </c>
      <c r="BL221" s="23">
        <f t="shared" ref="BL221" si="1745">BK180-BL180</f>
        <v>186.85941455559896</v>
      </c>
      <c r="BM221" s="23">
        <f t="shared" ref="BM221" si="1746">BL180-BM180</f>
        <v>-156.60010686266287</v>
      </c>
      <c r="BN221" s="23">
        <f t="shared" ref="BN221" si="1747">BM180-BN180</f>
        <v>240.85610686266295</v>
      </c>
      <c r="BO221" s="23">
        <f t="shared" ref="BO221" si="1748">BN180-BO180</f>
        <v>732.84527796481689</v>
      </c>
      <c r="BP221" s="23">
        <f t="shared" ref="BP221" si="1749">BO180-BP180</f>
        <v>-732.47027796481689</v>
      </c>
      <c r="BQ221" s="23">
        <f t="shared" ref="BQ221" si="1750">BP180-BQ180</f>
        <v>-397.40551502638505</v>
      </c>
      <c r="BR221" s="23">
        <f t="shared" ref="BR221" si="1751">BQ180-BR180</f>
        <v>416.16451502638506</v>
      </c>
      <c r="BS221" s="23">
        <f t="shared" ref="BS221" si="1752">BR180-BS180</f>
        <v>498.17579067135011</v>
      </c>
      <c r="BT221" s="23">
        <f t="shared" ref="BT221" si="1753">BS180-BT180</f>
        <v>-368.23479067135008</v>
      </c>
      <c r="BU221" s="23">
        <f t="shared" ref="BU221" si="1754">BT180-BU180</f>
        <v>-159.53015871188109</v>
      </c>
      <c r="BV221" s="23">
        <f t="shared" ref="BV221" si="1755">BU180-BV180</f>
        <v>248.25615871188097</v>
      </c>
      <c r="BW221" s="23">
        <f t="shared" ref="BW221" si="1756">BV180-BW180</f>
        <v>378.27172522444698</v>
      </c>
      <c r="BX221" s="23">
        <f t="shared" ref="BX221" si="1757">BW180-BX180</f>
        <v>-730.51272522444674</v>
      </c>
      <c r="BY221" s="23">
        <f t="shared" ref="BY221" si="1758">BX180-BY180</f>
        <v>-190.70375978091124</v>
      </c>
      <c r="BZ221" s="23">
        <f t="shared" ref="BZ221" si="1759">BY180-BZ180</f>
        <v>-359.88524021908916</v>
      </c>
      <c r="CA221" s="23">
        <f t="shared" ref="CA221" si="1760">BZ180-CA180</f>
        <v>81.049145742250403</v>
      </c>
      <c r="CB221" s="23">
        <f t="shared" ref="CB221" si="1761">CA180-CB180</f>
        <v>100.94785425774944</v>
      </c>
      <c r="CC221" s="23">
        <f t="shared" ref="CC221" si="1762">CB180-CC180</f>
        <v>-54.860302778980895</v>
      </c>
      <c r="CD221" s="23">
        <f t="shared" ref="CD221" si="1763">CC180-CD180</f>
        <v>-1182.9286972210189</v>
      </c>
      <c r="CE221" s="23">
        <f t="shared" ref="CE221" si="1764">CD180-CE180</f>
        <v>160.06734077356623</v>
      </c>
      <c r="CF221" s="23">
        <f t="shared" ref="CF221" si="1765">CE180-CF180</f>
        <v>-1333.4913407735662</v>
      </c>
      <c r="CG221" s="23">
        <f t="shared" ref="CG221" si="1766">CF180-CG180</f>
        <v>60.896581834464087</v>
      </c>
      <c r="CH221" s="23">
        <f t="shared" ref="CH221:CL221" si="1767">CG180-CH180</f>
        <v>1149.4904181655361</v>
      </c>
      <c r="CI221" s="23">
        <f t="shared" si="1767"/>
        <v>564.88024855141748</v>
      </c>
      <c r="CJ221" s="23">
        <f t="shared" si="1767"/>
        <v>-3159.7352485514184</v>
      </c>
      <c r="CK221" s="23">
        <f t="shared" ref="CK221" si="1768">CJ180-CK180</f>
        <v>-1118.1368676935181</v>
      </c>
      <c r="CL221" s="23">
        <f t="shared" si="1767"/>
        <v>-797.09813230648069</v>
      </c>
      <c r="CM221" s="24">
        <f t="shared" ref="CM221" si="1769">CL180-CM180</f>
        <v>3033.8840407289936</v>
      </c>
      <c r="CN221" s="24">
        <f t="shared" ref="CN221" si="1770">CM180-CN180</f>
        <v>-438.87350627700107</v>
      </c>
      <c r="CO221" s="24">
        <f t="shared" ref="CO221" si="1771">CN180-CO180</f>
        <v>-1056.8358442685003</v>
      </c>
      <c r="CP221" s="24">
        <f t="shared" ref="CP221" si="1772">CO180-CP180</f>
        <v>-997.37688272422838</v>
      </c>
      <c r="CQ221" s="24">
        <f t="shared" ref="CQ221" si="1773">CP180-CQ180</f>
        <v>1436.715087879682</v>
      </c>
      <c r="CR221" s="24">
        <f t="shared" ref="CR221" si="1774">CQ180-CR180</f>
        <v>-478.55841352722746</v>
      </c>
      <c r="CS221" s="24">
        <f t="shared" ref="CS221" si="1775">CR180-CS180</f>
        <v>-1221.3556106001297</v>
      </c>
      <c r="CT221" s="24">
        <f t="shared" ref="CT221" si="1776">CS180-CT180</f>
        <v>-1113.6287885620422</v>
      </c>
      <c r="CU221" s="24">
        <f t="shared" ref="CU221" si="1777">CT180-CU180</f>
        <v>1916.1191854364479</v>
      </c>
      <c r="CV221" s="24">
        <f t="shared" ref="CV221" si="1778">CU180-CV180</f>
        <v>-546.97653953981535</v>
      </c>
      <c r="CW221" s="24">
        <f t="shared" ref="CW221" si="1779">CV180-CW180</f>
        <v>-1402.9338691425073</v>
      </c>
      <c r="CX221" s="24">
        <f t="shared" ref="CX221" si="1780">CW180-CX180</f>
        <v>-1269.1236181896602</v>
      </c>
      <c r="CY221" s="24">
        <f t="shared" ref="CY221" si="1781">CX180-CY180</f>
        <v>2189.7970385033314</v>
      </c>
      <c r="CZ221" s="24">
        <f t="shared" ref="CZ221" si="1782">CY180-CZ180</f>
        <v>-625.50326509000843</v>
      </c>
      <c r="DA221" s="24">
        <f t="shared" ref="DA221" si="1783">CZ180-DA180</f>
        <v>-1611.5786529406796</v>
      </c>
      <c r="DB221" s="24">
        <f t="shared" ref="DB221" si="1784">DA180-DB180</f>
        <v>-1447.0408619122209</v>
      </c>
      <c r="DE221" s="123"/>
      <c r="DF221" s="23">
        <v>-1267.3111811976123</v>
      </c>
    </row>
    <row r="222" spans="1:110" s="22" customFormat="1" x14ac:dyDescent="0.2">
      <c r="A222" s="22" t="s">
        <v>90</v>
      </c>
      <c r="C222" s="22">
        <f t="shared" ref="C222:W222" si="1785">C220-C221</f>
        <v>0</v>
      </c>
      <c r="D222" s="22">
        <f t="shared" si="1785"/>
        <v>0</v>
      </c>
      <c r="E222" s="22">
        <f t="shared" si="1785"/>
        <v>0</v>
      </c>
      <c r="F222" s="22">
        <f t="shared" si="1785"/>
        <v>0</v>
      </c>
      <c r="G222" s="22">
        <f t="shared" si="1785"/>
        <v>0</v>
      </c>
      <c r="H222" s="22">
        <f t="shared" si="1785"/>
        <v>0</v>
      </c>
      <c r="I222" s="22">
        <f t="shared" si="1785"/>
        <v>-836.12730279999982</v>
      </c>
      <c r="J222" s="22">
        <f>J220-J221</f>
        <v>61.58259869999992</v>
      </c>
      <c r="K222" s="22">
        <f t="shared" si="1785"/>
        <v>-745.73881730000016</v>
      </c>
      <c r="L222" s="22">
        <f t="shared" si="1785"/>
        <v>-154.99147859999977</v>
      </c>
      <c r="M222" s="22">
        <f t="shared" si="1785"/>
        <v>365.77499999999998</v>
      </c>
      <c r="N222" s="22">
        <f t="shared" si="1785"/>
        <v>241.14400000000001</v>
      </c>
      <c r="O222" s="22">
        <f t="shared" si="1785"/>
        <v>112.35200000000015</v>
      </c>
      <c r="P222" s="22">
        <f t="shared" si="1785"/>
        <v>-182.34700000000009</v>
      </c>
      <c r="Q222" s="22">
        <f t="shared" si="1785"/>
        <v>-271.89900000000006</v>
      </c>
      <c r="R222" s="22">
        <f t="shared" si="1785"/>
        <v>-85.815999999999917</v>
      </c>
      <c r="S222" s="22">
        <f t="shared" si="1785"/>
        <v>-280.5980000000003</v>
      </c>
      <c r="T222" s="22">
        <f t="shared" si="1785"/>
        <v>463.47999999999968</v>
      </c>
      <c r="U222" s="22">
        <f t="shared" si="1785"/>
        <v>-685.31399999999928</v>
      </c>
      <c r="V222" s="22">
        <f t="shared" si="1785"/>
        <v>111.95699999999931</v>
      </c>
      <c r="W222" s="22">
        <f t="shared" si="1785"/>
        <v>-534.40000000000009</v>
      </c>
      <c r="X222" s="22">
        <f t="shared" ref="X222:Y222" si="1786">X220-X221</f>
        <v>36.784000000001015</v>
      </c>
      <c r="Y222" s="22">
        <f t="shared" si="1786"/>
        <v>-808.21700000000101</v>
      </c>
      <c r="Z222" s="22">
        <f t="shared" ref="Z222:AA222" si="1787">Z220-Z221</f>
        <v>-587.48199999999952</v>
      </c>
      <c r="AA222" s="22">
        <f t="shared" si="1787"/>
        <v>687.24600000000009</v>
      </c>
      <c r="AB222" s="21">
        <f t="shared" ref="AA222:AD222" si="1788">AB220-AB221</f>
        <v>-2595.4314889402176</v>
      </c>
      <c r="AC222" s="21">
        <f t="shared" si="1788"/>
        <v>-1034.6164154511525</v>
      </c>
      <c r="AD222" s="21">
        <f t="shared" si="1788"/>
        <v>-979.07462102453064</v>
      </c>
      <c r="AE222" s="21">
        <f t="shared" ref="AE222" si="1789">AE220-AE221</f>
        <v>-1122.9102336229262</v>
      </c>
      <c r="AI222" s="22">
        <f t="shared" ref="AI222" si="1790">AI220-AI221</f>
        <v>0</v>
      </c>
      <c r="AJ222" s="22">
        <f t="shared" ref="AJ222:AL222" si="1791">AJ220-AJ221</f>
        <v>0</v>
      </c>
      <c r="AK222" s="22" t="e">
        <f t="shared" si="1791"/>
        <v>#DIV/0!</v>
      </c>
      <c r="AL222" s="22" t="e">
        <f t="shared" si="1791"/>
        <v>#DIV/0!</v>
      </c>
      <c r="AM222" s="22" t="e">
        <f t="shared" ref="AM222" si="1792">AM220-AM221</f>
        <v>#DIV/0!</v>
      </c>
      <c r="AN222" s="22" t="e">
        <f t="shared" ref="AN222:CD222" si="1793">AN220-AN221</f>
        <v>#DIV/0!</v>
      </c>
      <c r="AO222" s="22" t="e">
        <f t="shared" si="1793"/>
        <v>#DIV/0!</v>
      </c>
      <c r="AP222" s="22" t="e">
        <f t="shared" si="1793"/>
        <v>#DIV/0!</v>
      </c>
      <c r="AQ222" s="22" t="e">
        <f t="shared" si="1793"/>
        <v>#DIV/0!</v>
      </c>
      <c r="AR222" s="22" t="e">
        <f t="shared" si="1793"/>
        <v>#DIV/0!</v>
      </c>
      <c r="AS222" s="22" t="e">
        <f t="shared" si="1793"/>
        <v>#DIV/0!</v>
      </c>
      <c r="AT222" s="22" t="e">
        <f t="shared" si="1793"/>
        <v>#DIV/0!</v>
      </c>
      <c r="AU222" s="22" t="e">
        <f t="shared" si="1793"/>
        <v>#DIV/0!</v>
      </c>
      <c r="AV222" s="22" t="e">
        <f t="shared" si="1793"/>
        <v>#DIV/0!</v>
      </c>
      <c r="AW222" s="22" t="e">
        <f t="shared" si="1793"/>
        <v>#DIV/0!</v>
      </c>
      <c r="AX222" s="22" t="e">
        <f t="shared" si="1793"/>
        <v>#DIV/0!</v>
      </c>
      <c r="AY222" s="22" t="e">
        <f t="shared" si="1793"/>
        <v>#DIV/0!</v>
      </c>
      <c r="AZ222" s="22" t="e">
        <f t="shared" si="1793"/>
        <v>#DIV/0!</v>
      </c>
      <c r="BA222" s="22" t="e">
        <f t="shared" si="1793"/>
        <v>#DIV/0!</v>
      </c>
      <c r="BB222" s="22" t="e">
        <f t="shared" si="1793"/>
        <v>#DIV/0!</v>
      </c>
      <c r="BC222" s="22" t="e">
        <f t="shared" si="1793"/>
        <v>#DIV/0!</v>
      </c>
      <c r="BD222" s="22" t="e">
        <f t="shared" si="1793"/>
        <v>#DIV/0!</v>
      </c>
      <c r="BE222" s="22" t="e">
        <f t="shared" si="1793"/>
        <v>#DIV/0!</v>
      </c>
      <c r="BF222" s="22" t="e">
        <f t="shared" si="1793"/>
        <v>#DIV/0!</v>
      </c>
      <c r="BG222" s="22">
        <f t="shared" si="1793"/>
        <v>351.44764411353003</v>
      </c>
      <c r="BH222" s="22">
        <f t="shared" si="1793"/>
        <v>1352.6063558864701</v>
      </c>
      <c r="BI222" s="22">
        <f t="shared" si="1793"/>
        <v>0</v>
      </c>
      <c r="BJ222" s="22">
        <f t="shared" si="1793"/>
        <v>-1232.7610000000004</v>
      </c>
      <c r="BK222" s="22">
        <f t="shared" si="1793"/>
        <v>376.37591654350899</v>
      </c>
      <c r="BL222" s="22">
        <f t="shared" si="1793"/>
        <v>-656.48291654350851</v>
      </c>
      <c r="BM222" s="22">
        <f t="shared" si="1793"/>
        <v>-202.07319527213667</v>
      </c>
      <c r="BN222" s="22">
        <f t="shared" si="1793"/>
        <v>-282.39880472786365</v>
      </c>
      <c r="BO222" s="22">
        <f t="shared" si="1793"/>
        <v>1085.4031243840345</v>
      </c>
      <c r="BP222" s="22">
        <f t="shared" si="1793"/>
        <v>-727.27812438403407</v>
      </c>
      <c r="BQ222" s="22">
        <f t="shared" si="1793"/>
        <v>-537.72197534444808</v>
      </c>
      <c r="BR222" s="22">
        <f t="shared" si="1793"/>
        <v>256.29597534444747</v>
      </c>
      <c r="BS222" s="22">
        <f t="shared" si="1793"/>
        <v>767.07087741836585</v>
      </c>
      <c r="BT222" s="22">
        <f t="shared" si="1793"/>
        <v>-1085.8388774183659</v>
      </c>
      <c r="BU222" s="22">
        <f t="shared" si="1793"/>
        <v>-235.10413857986896</v>
      </c>
      <c r="BV222" s="22">
        <f t="shared" si="1793"/>
        <v>18.43613857986918</v>
      </c>
      <c r="BW222" s="22">
        <f t="shared" si="1793"/>
        <v>707.90558500643147</v>
      </c>
      <c r="BX222" s="22">
        <f t="shared" si="1793"/>
        <v>-364.86358500643178</v>
      </c>
      <c r="BY222" s="22">
        <f t="shared" si="1793"/>
        <v>-196.82702205465375</v>
      </c>
      <c r="BZ222" s="22">
        <f t="shared" si="1793"/>
        <v>-110.4769779453452</v>
      </c>
      <c r="CA222" s="22">
        <f t="shared" si="1793"/>
        <v>340.62361781731761</v>
      </c>
      <c r="CB222" s="22">
        <f t="shared" si="1793"/>
        <v>-1211.7456178173184</v>
      </c>
      <c r="CC222" s="22">
        <f t="shared" si="1793"/>
        <v>-83.480401541883566</v>
      </c>
      <c r="CD222" s="22">
        <f t="shared" si="1793"/>
        <v>109.74140154188353</v>
      </c>
      <c r="CE222" s="22">
        <f t="shared" ref="CE222:CF222" si="1794">CE220-CE221</f>
        <v>754.6318824441455</v>
      </c>
      <c r="CF222" s="22">
        <f t="shared" si="1794"/>
        <v>-456.02988244414519</v>
      </c>
      <c r="CG222" s="22">
        <f t="shared" ref="CG222:CH222" si="1795">CG220-CG221</f>
        <v>265.7743633350874</v>
      </c>
      <c r="CH222" s="22">
        <f t="shared" si="1795"/>
        <v>-1079.0323633350877</v>
      </c>
      <c r="CI222" s="22">
        <f t="shared" ref="CI222:CJ222" si="1796">CI220-CI221</f>
        <v>595.9270334696198</v>
      </c>
      <c r="CJ222" s="22">
        <f t="shared" si="1796"/>
        <v>-715.0000334696183</v>
      </c>
      <c r="CK222" s="22">
        <f t="shared" ref="CK222:DB222" si="1797">CK220-CK221</f>
        <v>-712.6461462345469</v>
      </c>
      <c r="CL222" s="22">
        <f t="shared" si="1797"/>
        <v>1376.3381462345446</v>
      </c>
      <c r="CM222" s="21">
        <f t="shared" si="1797"/>
        <v>-824.10631502389697</v>
      </c>
      <c r="CN222" s="21">
        <f t="shared" si="1797"/>
        <v>-85.061181518391095</v>
      </c>
      <c r="CO222" s="21">
        <f t="shared" si="1797"/>
        <v>-794.15869771832695</v>
      </c>
      <c r="CP222" s="21">
        <f t="shared" si="1797"/>
        <v>-749.47829467960128</v>
      </c>
      <c r="CQ222" s="21">
        <f t="shared" si="1797"/>
        <v>1079.6187405741694</v>
      </c>
      <c r="CR222" s="21">
        <f t="shared" si="1797"/>
        <v>-359.61244930331486</v>
      </c>
      <c r="CS222" s="21">
        <f t="shared" si="1797"/>
        <v>-917.78698312085089</v>
      </c>
      <c r="CT222" s="21">
        <f t="shared" si="1797"/>
        <v>-836.83572360115613</v>
      </c>
      <c r="CU222" s="21">
        <f t="shared" si="1797"/>
        <v>1439.8666786633912</v>
      </c>
      <c r="CV222" s="21">
        <f t="shared" si="1797"/>
        <v>-411.02521141689795</v>
      </c>
      <c r="CW222" s="21">
        <f t="shared" si="1797"/>
        <v>-1054.2338628515317</v>
      </c>
      <c r="CX222" s="21">
        <f t="shared" si="1797"/>
        <v>-953.68222541949217</v>
      </c>
      <c r="CY222" s="21">
        <f t="shared" si="1797"/>
        <v>1645.521746633176</v>
      </c>
      <c r="CZ222" s="21">
        <f t="shared" si="1797"/>
        <v>-470.03407493835584</v>
      </c>
      <c r="DA222" s="21">
        <f t="shared" si="1797"/>
        <v>-1211.0198676842592</v>
      </c>
      <c r="DB222" s="21">
        <f t="shared" si="1797"/>
        <v>-1087.3780376334871</v>
      </c>
      <c r="DE222" s="126"/>
      <c r="DF222" s="22">
        <v>-807.72261022340172</v>
      </c>
    </row>
    <row r="223" spans="1:110" s="22" customFormat="1" x14ac:dyDescent="0.2">
      <c r="A223" s="22" t="s">
        <v>91</v>
      </c>
      <c r="C223" s="22">
        <f t="shared" ref="C223:W223" si="1798">C219+C222</f>
        <v>0</v>
      </c>
      <c r="D223" s="22">
        <f>D219+D222</f>
        <v>0</v>
      </c>
      <c r="E223" s="22">
        <f t="shared" si="1798"/>
        <v>0</v>
      </c>
      <c r="F223" s="22">
        <f t="shared" si="1798"/>
        <v>0</v>
      </c>
      <c r="G223" s="22">
        <f t="shared" si="1798"/>
        <v>0</v>
      </c>
      <c r="H223" s="22">
        <f t="shared" si="1798"/>
        <v>0</v>
      </c>
      <c r="I223" s="22">
        <f t="shared" si="1798"/>
        <v>-678.62479239999971</v>
      </c>
      <c r="J223" s="22">
        <f>J219+J222</f>
        <v>131.94461010000006</v>
      </c>
      <c r="K223" s="22">
        <f t="shared" si="1798"/>
        <v>-619.54011550000018</v>
      </c>
      <c r="L223" s="22">
        <f t="shared" si="1798"/>
        <v>-154.99147859999977</v>
      </c>
      <c r="M223" s="22">
        <f t="shared" si="1798"/>
        <v>439.15199999999976</v>
      </c>
      <c r="N223" s="22">
        <f t="shared" si="1798"/>
        <v>363.58399999999972</v>
      </c>
      <c r="O223" s="22">
        <f t="shared" si="1798"/>
        <v>268.17200000000031</v>
      </c>
      <c r="P223" s="22">
        <f t="shared" si="1798"/>
        <v>75.511000000000479</v>
      </c>
      <c r="Q223" s="22">
        <f t="shared" si="1798"/>
        <v>27.180999999999756</v>
      </c>
      <c r="R223" s="22">
        <f t="shared" si="1798"/>
        <v>274.56000000000068</v>
      </c>
      <c r="S223" s="22">
        <f t="shared" si="1798"/>
        <v>210.36799999999948</v>
      </c>
      <c r="T223" s="22">
        <f t="shared" si="1798"/>
        <v>1104.6279999999997</v>
      </c>
      <c r="U223" s="22">
        <f t="shared" si="1798"/>
        <v>234.62999999999954</v>
      </c>
      <c r="V223" s="22">
        <f t="shared" si="1798"/>
        <v>1170.2169999999996</v>
      </c>
      <c r="W223" s="22">
        <f t="shared" si="1798"/>
        <v>575.69600000000128</v>
      </c>
      <c r="X223" s="22">
        <f t="shared" ref="X223:Y223" si="1799">X219+X222</f>
        <v>1516.7310000000023</v>
      </c>
      <c r="Y223" s="22">
        <f t="shared" si="1799"/>
        <v>1220.8679999999999</v>
      </c>
      <c r="Z223" s="22">
        <f t="shared" ref="Z223:AA223" si="1800">Z219+Z222</f>
        <v>1730.6110000000003</v>
      </c>
      <c r="AA223" s="22">
        <f t="shared" si="1800"/>
        <v>3745.148000000002</v>
      </c>
      <c r="AB223" s="21">
        <f t="shared" ref="AA223:AD223" si="1801">AB219+AB222</f>
        <v>1070.7259967087134</v>
      </c>
      <c r="AC223" s="21">
        <f t="shared" si="1801"/>
        <v>3257.5085989159979</v>
      </c>
      <c r="AD223" s="21">
        <f t="shared" si="1801"/>
        <v>4017.4308889726308</v>
      </c>
      <c r="AE223" s="21">
        <f t="shared" ref="AE223" si="1802">AE219+AE222</f>
        <v>4611.4277340874214</v>
      </c>
      <c r="AI223" s="22">
        <f t="shared" ref="AI223" si="1803">AI219+AI222</f>
        <v>0</v>
      </c>
      <c r="AJ223" s="22">
        <f t="shared" ref="AJ223:AL223" si="1804">AJ219+AJ222</f>
        <v>0</v>
      </c>
      <c r="AK223" s="22" t="e">
        <f t="shared" si="1804"/>
        <v>#DIV/0!</v>
      </c>
      <c r="AL223" s="22" t="e">
        <f t="shared" si="1804"/>
        <v>#DIV/0!</v>
      </c>
      <c r="AM223" s="22" t="e">
        <f t="shared" ref="AM223" si="1805">AM219+AM222</f>
        <v>#DIV/0!</v>
      </c>
      <c r="AN223" s="22" t="e">
        <f t="shared" ref="AN223:CD223" si="1806">AN219+AN222</f>
        <v>#DIV/0!</v>
      </c>
      <c r="AO223" s="22" t="e">
        <f t="shared" si="1806"/>
        <v>#DIV/0!</v>
      </c>
      <c r="AP223" s="22" t="e">
        <f t="shared" si="1806"/>
        <v>#DIV/0!</v>
      </c>
      <c r="AQ223" s="22" t="e">
        <f t="shared" si="1806"/>
        <v>#DIV/0!</v>
      </c>
      <c r="AR223" s="22" t="e">
        <f t="shared" si="1806"/>
        <v>#DIV/0!</v>
      </c>
      <c r="AS223" s="22" t="e">
        <f t="shared" si="1806"/>
        <v>#DIV/0!</v>
      </c>
      <c r="AT223" s="22" t="e">
        <f t="shared" si="1806"/>
        <v>#DIV/0!</v>
      </c>
      <c r="AU223" s="22" t="e">
        <f t="shared" si="1806"/>
        <v>#DIV/0!</v>
      </c>
      <c r="AV223" s="22" t="e">
        <f t="shared" si="1806"/>
        <v>#DIV/0!</v>
      </c>
      <c r="AW223" s="22" t="e">
        <f t="shared" si="1806"/>
        <v>#DIV/0!</v>
      </c>
      <c r="AX223" s="22" t="e">
        <f t="shared" si="1806"/>
        <v>#DIV/0!</v>
      </c>
      <c r="AY223" s="22" t="e">
        <f t="shared" si="1806"/>
        <v>#DIV/0!</v>
      </c>
      <c r="AZ223" s="22" t="e">
        <f t="shared" si="1806"/>
        <v>#DIV/0!</v>
      </c>
      <c r="BA223" s="22" t="e">
        <f t="shared" si="1806"/>
        <v>#DIV/0!</v>
      </c>
      <c r="BB223" s="22" t="e">
        <f t="shared" si="1806"/>
        <v>#DIV/0!</v>
      </c>
      <c r="BC223" s="22" t="e">
        <f t="shared" si="1806"/>
        <v>#DIV/0!</v>
      </c>
      <c r="BD223" s="22" t="e">
        <f t="shared" si="1806"/>
        <v>#DIV/0!</v>
      </c>
      <c r="BE223" s="22" t="e">
        <f t="shared" si="1806"/>
        <v>#DIV/0!</v>
      </c>
      <c r="BF223" s="22" t="e">
        <f t="shared" si="1806"/>
        <v>#DIV/0!</v>
      </c>
      <c r="BG223" s="22">
        <f t="shared" si="1806"/>
        <v>463.6046441135299</v>
      </c>
      <c r="BH223" s="22">
        <f t="shared" si="1806"/>
        <v>1478.1993558864701</v>
      </c>
      <c r="BI223" s="22">
        <f t="shared" si="1806"/>
        <v>228.9310000000001</v>
      </c>
      <c r="BJ223" s="22">
        <f t="shared" si="1806"/>
        <v>-1058.0720000000001</v>
      </c>
      <c r="BK223" s="22">
        <f t="shared" si="1806"/>
        <v>549.38691654350896</v>
      </c>
      <c r="BL223" s="22">
        <f t="shared" si="1806"/>
        <v>-425.12391654350836</v>
      </c>
      <c r="BM223" s="22">
        <f t="shared" si="1806"/>
        <v>57.383804727863208</v>
      </c>
      <c r="BN223" s="22">
        <f t="shared" si="1806"/>
        <v>-26.281804727863914</v>
      </c>
      <c r="BO223" s="22">
        <f t="shared" si="1806"/>
        <v>1247.2771243840346</v>
      </c>
      <c r="BP223" s="22">
        <f t="shared" si="1806"/>
        <v>-461.12812438403421</v>
      </c>
      <c r="BQ223" s="22">
        <f t="shared" si="1806"/>
        <v>-230.25997534444792</v>
      </c>
      <c r="BR223" s="22">
        <f t="shared" si="1806"/>
        <v>583.79097534444736</v>
      </c>
      <c r="BS223" s="22">
        <f t="shared" si="1806"/>
        <v>890.33687741836582</v>
      </c>
      <c r="BT223" s="22">
        <f t="shared" si="1806"/>
        <v>-837.03787741836607</v>
      </c>
      <c r="BU223" s="22">
        <f t="shared" si="1806"/>
        <v>130.51386142013115</v>
      </c>
      <c r="BV223" s="22">
        <f t="shared" si="1806"/>
        <v>390.84613857986915</v>
      </c>
      <c r="BW223" s="22">
        <f t="shared" si="1806"/>
        <v>978.64758500643131</v>
      </c>
      <c r="BX223" s="22">
        <f t="shared" si="1806"/>
        <v>-44.628585006431422</v>
      </c>
      <c r="BY223" s="22">
        <f t="shared" si="1806"/>
        <v>213.50697794534585</v>
      </c>
      <c r="BZ223" s="22">
        <f t="shared" si="1806"/>
        <v>368.01702205465443</v>
      </c>
      <c r="CA223" s="22">
        <f t="shared" si="1806"/>
        <v>797.39061781731766</v>
      </c>
      <c r="CB223" s="22">
        <f t="shared" si="1806"/>
        <v>-725.88161781731844</v>
      </c>
      <c r="CC223" s="22">
        <f t="shared" si="1806"/>
        <v>391.24759845811639</v>
      </c>
      <c r="CD223" s="22">
        <f t="shared" si="1806"/>
        <v>721.46740154188399</v>
      </c>
      <c r="CE223" s="22">
        <f t="shared" ref="CE223:CF223" si="1807">CE219+CE222</f>
        <v>1217.7088824441453</v>
      </c>
      <c r="CF223" s="22">
        <f t="shared" si="1807"/>
        <v>55.841117555854225</v>
      </c>
      <c r="CG223" s="22">
        <f t="shared" ref="CG223:CH223" si="1808">CG219+CG222</f>
        <v>801.88836333508721</v>
      </c>
      <c r="CH223" s="22">
        <f t="shared" si="1808"/>
        <v>-272.00136333508749</v>
      </c>
      <c r="CI223" s="22">
        <f t="shared" ref="CI223:CJ223" si="1809">CI219+CI222</f>
        <v>1273.7510334696196</v>
      </c>
      <c r="CJ223" s="22">
        <f t="shared" si="1809"/>
        <v>67.231966530381442</v>
      </c>
      <c r="CK223" s="22">
        <f t="shared" ref="CK223:DB223" si="1810">CK219+CK222</f>
        <v>14.638853765452382</v>
      </c>
      <c r="CL223" s="22">
        <f t="shared" si="1810"/>
        <v>2246.8991462345448</v>
      </c>
      <c r="CM223" s="21">
        <f t="shared" si="1810"/>
        <v>-66.039093629366221</v>
      </c>
      <c r="CN223" s="21">
        <f t="shared" si="1810"/>
        <v>753.91263114271931</v>
      </c>
      <c r="CO223" s="21">
        <f t="shared" si="1810"/>
        <v>164.52110626894614</v>
      </c>
      <c r="CP223" s="21">
        <f t="shared" si="1810"/>
        <v>360.95835292641345</v>
      </c>
      <c r="CQ223" s="21">
        <f t="shared" si="1810"/>
        <v>1985.9729757562593</v>
      </c>
      <c r="CR223" s="21">
        <f t="shared" si="1810"/>
        <v>608.3466006159772</v>
      </c>
      <c r="CS223" s="21">
        <f t="shared" si="1810"/>
        <v>213.76223640425633</v>
      </c>
      <c r="CT223" s="21">
        <f t="shared" si="1810"/>
        <v>449.42678613950989</v>
      </c>
      <c r="CU223" s="21">
        <f t="shared" si="1810"/>
        <v>2479.9532060910042</v>
      </c>
      <c r="CV223" s="21">
        <f t="shared" si="1810"/>
        <v>709.30659783162514</v>
      </c>
      <c r="CW223" s="21">
        <f t="shared" si="1810"/>
        <v>269.44886345077816</v>
      </c>
      <c r="CX223" s="21">
        <f t="shared" si="1810"/>
        <v>558.72222159922671</v>
      </c>
      <c r="CY223" s="21">
        <f t="shared" si="1810"/>
        <v>2841.4924711598537</v>
      </c>
      <c r="CZ223" s="21">
        <f t="shared" si="1810"/>
        <v>818.67268707240987</v>
      </c>
      <c r="DA223" s="21">
        <f t="shared" si="1810"/>
        <v>309.79331728745296</v>
      </c>
      <c r="DB223" s="21">
        <f t="shared" si="1810"/>
        <v>641.46925856771031</v>
      </c>
      <c r="DE223" s="126"/>
      <c r="DF223" s="22">
        <v>116.16539790276181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92</v>
      </c>
      <c r="C225" s="22">
        <f t="shared" ref="C225:W225" si="1811">C226+C227</f>
        <v>0</v>
      </c>
      <c r="D225" s="22">
        <f>D226+D227</f>
        <v>0</v>
      </c>
      <c r="E225" s="22">
        <f t="shared" si="1811"/>
        <v>0</v>
      </c>
      <c r="F225" s="22">
        <f t="shared" si="1811"/>
        <v>0</v>
      </c>
      <c r="G225" s="22">
        <f t="shared" si="1811"/>
        <v>0</v>
      </c>
      <c r="H225" s="22">
        <f t="shared" si="1811"/>
        <v>0</v>
      </c>
      <c r="I225" s="22">
        <f t="shared" si="1811"/>
        <v>-146.41286119999998</v>
      </c>
      <c r="J225" s="22">
        <f t="shared" si="1811"/>
        <v>-96.668484000000007</v>
      </c>
      <c r="K225" s="22">
        <f t="shared" si="1811"/>
        <v>-218.07976879999998</v>
      </c>
      <c r="L225" s="22">
        <f t="shared" si="1811"/>
        <v>-102.5282464</v>
      </c>
      <c r="M225" s="22">
        <f t="shared" si="1811"/>
        <v>-203.33399999999995</v>
      </c>
      <c r="N225" s="22">
        <f t="shared" si="1811"/>
        <v>-74.801000000000045</v>
      </c>
      <c r="O225" s="22">
        <f t="shared" si="1811"/>
        <v>-152.03899999999993</v>
      </c>
      <c r="P225" s="22">
        <f t="shared" si="1811"/>
        <v>-275.53700000000003</v>
      </c>
      <c r="Q225" s="22">
        <f t="shared" si="1811"/>
        <v>-232.3479999999999</v>
      </c>
      <c r="R225" s="22">
        <f t="shared" si="1811"/>
        <v>-330.76400000000024</v>
      </c>
      <c r="S225" s="22">
        <f t="shared" si="1811"/>
        <v>-171.53799999999978</v>
      </c>
      <c r="T225" s="22">
        <f t="shared" si="1811"/>
        <v>-274.74500000000018</v>
      </c>
      <c r="U225" s="22">
        <f t="shared" si="1811"/>
        <v>-351.5889999999996</v>
      </c>
      <c r="V225" s="22">
        <f t="shared" si="1811"/>
        <v>-467.96600000000024</v>
      </c>
      <c r="W225" s="22">
        <f t="shared" si="1811"/>
        <v>-280.88700000000023</v>
      </c>
      <c r="X225" s="22">
        <f t="shared" ref="X225:Y225" si="1812">X226+X227</f>
        <v>-467.03499999999957</v>
      </c>
      <c r="Y225" s="22">
        <f t="shared" si="1812"/>
        <v>-843.29900000000043</v>
      </c>
      <c r="Z225" s="22">
        <f t="shared" ref="Z225:AA225" si="1813">Z226+Z227</f>
        <v>-1101.4309999999996</v>
      </c>
      <c r="AA225" s="22">
        <f t="shared" si="1813"/>
        <v>-1545.931</v>
      </c>
      <c r="AB225" s="21">
        <f t="shared" ref="AA225:AD225" si="1814">AB226+AB227</f>
        <v>-1257.3730000000007</v>
      </c>
      <c r="AC225" s="21">
        <f t="shared" si="1814"/>
        <v>-1399.9999999999991</v>
      </c>
      <c r="AD225" s="21">
        <f t="shared" si="1814"/>
        <v>-1400</v>
      </c>
      <c r="AE225" s="21">
        <f t="shared" ref="AE225" si="1815">AE226+AE227</f>
        <v>-1400.0000000000009</v>
      </c>
      <c r="AI225" s="22">
        <f t="shared" ref="AI225" si="1816">AI226+AI227</f>
        <v>0</v>
      </c>
      <c r="AJ225" s="22">
        <f t="shared" ref="AJ225:AL225" si="1817">AJ226+AJ227</f>
        <v>0</v>
      </c>
      <c r="AK225" s="22">
        <f t="shared" si="1817"/>
        <v>0</v>
      </c>
      <c r="AL225" s="22">
        <f t="shared" si="1817"/>
        <v>0</v>
      </c>
      <c r="AM225" s="22">
        <f t="shared" ref="AM225" si="1818">AM226+AM227</f>
        <v>0</v>
      </c>
      <c r="AN225" s="22">
        <f t="shared" ref="AN225:CD225" si="1819">AN226+AN227</f>
        <v>0</v>
      </c>
      <c r="AO225" s="22">
        <f t="shared" si="1819"/>
        <v>0</v>
      </c>
      <c r="AP225" s="22">
        <f t="shared" si="1819"/>
        <v>0</v>
      </c>
      <c r="AQ225" s="22">
        <f t="shared" si="1819"/>
        <v>0</v>
      </c>
      <c r="AR225" s="22">
        <f t="shared" si="1819"/>
        <v>0</v>
      </c>
      <c r="AS225" s="22">
        <f t="shared" si="1819"/>
        <v>0</v>
      </c>
      <c r="AT225" s="22">
        <f t="shared" si="1819"/>
        <v>0</v>
      </c>
      <c r="AU225" s="22">
        <f t="shared" si="1819"/>
        <v>0</v>
      </c>
      <c r="AV225" s="22">
        <f t="shared" si="1819"/>
        <v>0</v>
      </c>
      <c r="AW225" s="22">
        <f t="shared" si="1819"/>
        <v>0</v>
      </c>
      <c r="AX225" s="22">
        <f t="shared" si="1819"/>
        <v>0</v>
      </c>
      <c r="AY225" s="22">
        <f t="shared" si="1819"/>
        <v>0</v>
      </c>
      <c r="AZ225" s="22">
        <f t="shared" si="1819"/>
        <v>0</v>
      </c>
      <c r="BA225" s="22">
        <f t="shared" si="1819"/>
        <v>0</v>
      </c>
      <c r="BB225" s="22">
        <f t="shared" si="1819"/>
        <v>0</v>
      </c>
      <c r="BC225" s="22">
        <f t="shared" si="1819"/>
        <v>0</v>
      </c>
      <c r="BD225" s="22">
        <f t="shared" si="1819"/>
        <v>0</v>
      </c>
      <c r="BE225" s="22">
        <f t="shared" si="1819"/>
        <v>0</v>
      </c>
      <c r="BF225" s="22">
        <f t="shared" si="1819"/>
        <v>-1398.473</v>
      </c>
      <c r="BG225" s="22">
        <f t="shared" si="1819"/>
        <v>-35.154999999999973</v>
      </c>
      <c r="BH225" s="22">
        <f t="shared" si="1819"/>
        <v>1328.278</v>
      </c>
      <c r="BI225" s="22">
        <f t="shared" si="1819"/>
        <v>-35.594999999999999</v>
      </c>
      <c r="BJ225" s="22">
        <f t="shared" si="1819"/>
        <v>-1532.2730000000001</v>
      </c>
      <c r="BK225" s="22">
        <f t="shared" si="1819"/>
        <v>-38.499000000000024</v>
      </c>
      <c r="BL225" s="22">
        <f t="shared" si="1819"/>
        <v>-131.53699999999995</v>
      </c>
      <c r="BM225" s="22">
        <f t="shared" si="1819"/>
        <v>-40.676999999999907</v>
      </c>
      <c r="BN225" s="22">
        <f t="shared" si="1819"/>
        <v>-107.08399999999983</v>
      </c>
      <c r="BO225" s="22">
        <f t="shared" si="1819"/>
        <v>-44.271999999999935</v>
      </c>
      <c r="BP225" s="22">
        <f t="shared" si="1819"/>
        <v>-294.79500000000019</v>
      </c>
      <c r="BQ225" s="22">
        <f t="shared" si="1819"/>
        <v>-44.960000000000036</v>
      </c>
      <c r="BR225" s="22">
        <f t="shared" si="1819"/>
        <v>-88.360999999999848</v>
      </c>
      <c r="BS225" s="22">
        <f t="shared" si="1819"/>
        <v>-49.280999999999949</v>
      </c>
      <c r="BT225" s="22">
        <f t="shared" si="1819"/>
        <v>-108.45400000000032</v>
      </c>
      <c r="BU225" s="22">
        <f t="shared" si="1819"/>
        <v>-51.108999999999924</v>
      </c>
      <c r="BV225" s="22">
        <f t="shared" si="1819"/>
        <v>-71.006999999999991</v>
      </c>
      <c r="BW225" s="22">
        <f t="shared" si="1819"/>
        <v>-50.9849999999999</v>
      </c>
      <c r="BX225" s="22">
        <f t="shared" si="1819"/>
        <v>-113.72399999999975</v>
      </c>
      <c r="BY225" s="22">
        <f t="shared" si="1819"/>
        <v>-52.451999999999998</v>
      </c>
      <c r="BZ225" s="22">
        <f t="shared" si="1819"/>
        <v>-248.82799999999986</v>
      </c>
      <c r="CA225" s="22">
        <f t="shared" si="1819"/>
        <v>-57.143999999999778</v>
      </c>
      <c r="CB225" s="22">
        <f t="shared" si="1819"/>
        <v>-198.95200000000023</v>
      </c>
      <c r="CC225" s="22">
        <f t="shared" si="1819"/>
        <v>-61.878000000000156</v>
      </c>
      <c r="CD225" s="22">
        <f t="shared" si="1819"/>
        <v>-488.68099999999981</v>
      </c>
      <c r="CE225" s="22">
        <f t="shared" ref="CE225:CF225" si="1820">CE226+CE227</f>
        <v>-67.123000000000047</v>
      </c>
      <c r="CF225" s="22">
        <f t="shared" si="1820"/>
        <v>-504.29200000000026</v>
      </c>
      <c r="CG225" s="22">
        <f t="shared" ref="CG225:CH225" si="1821">CG226+CG227</f>
        <v>-78.556999999999789</v>
      </c>
      <c r="CH225" s="22">
        <f t="shared" si="1821"/>
        <v>-524.28499999999974</v>
      </c>
      <c r="CI225" s="22">
        <f t="shared" ref="CI225:CJ225" si="1822">CI226+CI227</f>
        <v>0</v>
      </c>
      <c r="CJ225" s="22">
        <f t="shared" si="1822"/>
        <v>-585.5390000000001</v>
      </c>
      <c r="CK225" s="22">
        <f t="shared" ref="CK225:DB225" si="1823">CK226+CK227</f>
        <v>-99.999999999999091</v>
      </c>
      <c r="CL225" s="22">
        <f t="shared" si="1823"/>
        <v>-717.76500000000078</v>
      </c>
      <c r="CM225" s="21">
        <f t="shared" si="1823"/>
        <v>-350.00000000000091</v>
      </c>
      <c r="CN225" s="21">
        <f t="shared" si="1823"/>
        <v>-350</v>
      </c>
      <c r="CO225" s="21">
        <f t="shared" si="1823"/>
        <v>-350</v>
      </c>
      <c r="CP225" s="21">
        <f t="shared" si="1823"/>
        <v>-350.00000000000091</v>
      </c>
      <c r="CQ225" s="21">
        <f t="shared" si="1823"/>
        <v>-350</v>
      </c>
      <c r="CR225" s="21">
        <f t="shared" si="1823"/>
        <v>-350.00000000000091</v>
      </c>
      <c r="CS225" s="21">
        <f t="shared" si="1823"/>
        <v>-349.99999999999909</v>
      </c>
      <c r="CT225" s="21">
        <f t="shared" si="1823"/>
        <v>-350</v>
      </c>
      <c r="CU225" s="21">
        <f t="shared" si="1823"/>
        <v>-350</v>
      </c>
      <c r="CV225" s="21">
        <f t="shared" si="1823"/>
        <v>-350</v>
      </c>
      <c r="CW225" s="21">
        <f t="shared" si="1823"/>
        <v>-350</v>
      </c>
      <c r="CX225" s="21">
        <f t="shared" si="1823"/>
        <v>-350</v>
      </c>
      <c r="CY225" s="21">
        <f t="shared" si="1823"/>
        <v>-350.00000000000091</v>
      </c>
      <c r="CZ225" s="21">
        <f t="shared" si="1823"/>
        <v>-350</v>
      </c>
      <c r="DA225" s="21">
        <f t="shared" si="1823"/>
        <v>-350</v>
      </c>
      <c r="DB225" s="21">
        <f t="shared" si="1823"/>
        <v>-350</v>
      </c>
      <c r="DE225" s="126"/>
      <c r="DF225" s="22">
        <v>-100.00000000000045</v>
      </c>
    </row>
    <row r="226" spans="1:110" s="23" customFormat="1" x14ac:dyDescent="0.2">
      <c r="A226" s="23" t="s">
        <v>93</v>
      </c>
      <c r="C226" s="23">
        <f t="shared" ref="C226:AA226" si="1824">B164-C164</f>
        <v>0</v>
      </c>
      <c r="D226" s="23">
        <f t="shared" si="1824"/>
        <v>0</v>
      </c>
      <c r="E226" s="23">
        <f>D164-E164</f>
        <v>0</v>
      </c>
      <c r="F226" s="23">
        <f t="shared" si="1824"/>
        <v>0</v>
      </c>
      <c r="G226" s="23">
        <f t="shared" si="1824"/>
        <v>0</v>
      </c>
      <c r="H226" s="23">
        <f t="shared" si="1824"/>
        <v>0</v>
      </c>
      <c r="I226" s="23">
        <f t="shared" si="1824"/>
        <v>-38.0410635</v>
      </c>
      <c r="J226" s="23">
        <f>I164-J164</f>
        <v>16.5764359</v>
      </c>
      <c r="K226" s="23">
        <f>J164-K164</f>
        <v>0</v>
      </c>
      <c r="L226" s="23">
        <f t="shared" si="1824"/>
        <v>-7.5003723999999998</v>
      </c>
      <c r="M226" s="23">
        <f t="shared" si="1824"/>
        <v>18.451999999999998</v>
      </c>
      <c r="N226" s="23">
        <f t="shared" si="1824"/>
        <v>-2.2210000000000001</v>
      </c>
      <c r="O226" s="23">
        <f t="shared" si="1824"/>
        <v>-0.19999999999999929</v>
      </c>
      <c r="P226" s="23">
        <f t="shared" si="1824"/>
        <v>12.914</v>
      </c>
      <c r="Q226" s="23">
        <f t="shared" si="1824"/>
        <v>-6.9999999999999993E-2</v>
      </c>
      <c r="R226" s="23">
        <f t="shared" si="1824"/>
        <v>-32.724999999999994</v>
      </c>
      <c r="S226" s="23">
        <f t="shared" si="1824"/>
        <v>1.2689999999999984</v>
      </c>
      <c r="T226" s="23">
        <f t="shared" si="1824"/>
        <v>2.1609999999999978</v>
      </c>
      <c r="U226" s="23">
        <f t="shared" si="1824"/>
        <v>3.9080000000000013</v>
      </c>
      <c r="V226" s="23">
        <f t="shared" si="1824"/>
        <v>13.659000000000001</v>
      </c>
      <c r="W226" s="23">
        <f t="shared" si="1824"/>
        <v>2.5549999999999997</v>
      </c>
      <c r="X226" s="23">
        <f t="shared" si="1824"/>
        <v>9.2629999999999999</v>
      </c>
      <c r="Y226" s="23">
        <f t="shared" si="1824"/>
        <v>0</v>
      </c>
      <c r="Z226" s="23">
        <f t="shared" si="1824"/>
        <v>0</v>
      </c>
      <c r="AA226" s="23">
        <f t="shared" si="1824"/>
        <v>0</v>
      </c>
      <c r="AB226" s="24">
        <f t="shared" ref="AB226" si="1825">AA164-AB164</f>
        <v>-88.302000000000007</v>
      </c>
      <c r="AC226" s="24">
        <f t="shared" ref="AC226" si="1826">AB164-AC164</f>
        <v>0</v>
      </c>
      <c r="AD226" s="24">
        <f t="shared" ref="AD226" si="1827">AC164-AD164</f>
        <v>0</v>
      </c>
      <c r="AE226" s="24">
        <f t="shared" ref="AE226" si="1828">AD164-AE164</f>
        <v>0</v>
      </c>
      <c r="AI226" s="23">
        <f t="shared" ref="AI226" si="1829">AH164-AI164</f>
        <v>0</v>
      </c>
      <c r="AJ226" s="23">
        <f t="shared" ref="AJ226" si="1830">AI164-AJ164</f>
        <v>0</v>
      </c>
      <c r="AK226" s="23">
        <f t="shared" ref="AK226" si="1831">AJ164-AK164</f>
        <v>0</v>
      </c>
      <c r="AL226" s="23">
        <f t="shared" ref="AL226" si="1832">AK164-AL164</f>
        <v>0</v>
      </c>
      <c r="AM226" s="23">
        <f t="shared" ref="AM226" si="1833">AL164-AM164</f>
        <v>0</v>
      </c>
      <c r="AN226" s="23">
        <f t="shared" ref="AN226" si="1834">AM164-AN164</f>
        <v>0</v>
      </c>
      <c r="AO226" s="23">
        <f t="shared" ref="AO226" si="1835">AN164-AO164</f>
        <v>0</v>
      </c>
      <c r="AP226" s="23">
        <f t="shared" ref="AP226" si="1836">AO164-AP164</f>
        <v>0</v>
      </c>
      <c r="AQ226" s="23">
        <f t="shared" ref="AQ226" si="1837">AP164-AQ164</f>
        <v>0</v>
      </c>
      <c r="AR226" s="23">
        <f t="shared" ref="AR226" si="1838">AQ164-AR164</f>
        <v>0</v>
      </c>
      <c r="AS226" s="23">
        <f t="shared" ref="AS226" si="1839">AR164-AS164</f>
        <v>0</v>
      </c>
      <c r="AT226" s="23">
        <f t="shared" ref="AT226" si="1840">AS164-AT164</f>
        <v>0</v>
      </c>
      <c r="AU226" s="23">
        <f t="shared" ref="AU226" si="1841">AT164-AU164</f>
        <v>0</v>
      </c>
      <c r="AV226" s="23">
        <f t="shared" ref="AV226" si="1842">AU164-AV164</f>
        <v>0</v>
      </c>
      <c r="AW226" s="23">
        <f t="shared" ref="AW226" si="1843">AV164-AW164</f>
        <v>0</v>
      </c>
      <c r="AX226" s="23">
        <f t="shared" ref="AX226" si="1844">AW164-AX164</f>
        <v>0</v>
      </c>
      <c r="AY226" s="23">
        <f t="shared" ref="AY226" si="1845">AX164-AY164</f>
        <v>0</v>
      </c>
      <c r="AZ226" s="23">
        <f t="shared" ref="AZ226" si="1846">AY164-AZ164</f>
        <v>0</v>
      </c>
      <c r="BA226" s="23">
        <f t="shared" ref="BA226" si="1847">AZ164-BA164</f>
        <v>0</v>
      </c>
      <c r="BB226" s="23">
        <f t="shared" ref="BB226" si="1848">BA164-BB164</f>
        <v>0</v>
      </c>
      <c r="BC226" s="23">
        <f t="shared" ref="BC226" si="1849">BB164-BC164</f>
        <v>0</v>
      </c>
      <c r="BD226" s="23">
        <f t="shared" ref="BD226" si="1850">BC164-BD164</f>
        <v>0</v>
      </c>
      <c r="BE226" s="23">
        <f t="shared" ref="BE226" si="1851">BD164-BE164</f>
        <v>0</v>
      </c>
      <c r="BF226" s="23">
        <f t="shared" ref="BF226" si="1852">BE164-BF164</f>
        <v>-31.545999999999999</v>
      </c>
      <c r="BG226" s="23">
        <f t="shared" ref="BG226" si="1853">BF164-BG164</f>
        <v>0</v>
      </c>
      <c r="BH226" s="23">
        <f t="shared" ref="BH226" si="1854">BG164-BH164</f>
        <v>31.545999999999999</v>
      </c>
      <c r="BI226" s="23">
        <f t="shared" ref="BI226" si="1855">BH164-BI164</f>
        <v>0</v>
      </c>
      <c r="BJ226" s="23">
        <f t="shared" ref="BJ226" si="1856">BI164-BJ164</f>
        <v>-29.385000000000002</v>
      </c>
      <c r="BK226" s="23">
        <f t="shared" ref="BK226" si="1857">BJ164-BK164</f>
        <v>0</v>
      </c>
      <c r="BL226" s="23">
        <f t="shared" ref="BL226" si="1858">BK164-BL164</f>
        <v>-2.1019999999999968</v>
      </c>
      <c r="BM226" s="23">
        <f t="shared" ref="BM226" si="1859">BL164-BM164</f>
        <v>0</v>
      </c>
      <c r="BN226" s="23">
        <f t="shared" ref="BN226" si="1860">BM164-BN164</f>
        <v>6.009999999999998</v>
      </c>
      <c r="BO226" s="23">
        <f t="shared" ref="BO226" si="1861">BN164-BO164</f>
        <v>0</v>
      </c>
      <c r="BP226" s="23">
        <f t="shared" ref="BP226" si="1862">BO164-BP164</f>
        <v>14.86</v>
      </c>
      <c r="BQ226" s="23">
        <f t="shared" ref="BQ226" si="1863">BP164-BQ164</f>
        <v>0</v>
      </c>
      <c r="BR226" s="23">
        <f t="shared" ref="BR226" si="1864">BQ164-BR164</f>
        <v>-1.2009999999999987</v>
      </c>
      <c r="BS226" s="23">
        <f t="shared" ref="BS226" si="1865">BR164-BS164</f>
        <v>0</v>
      </c>
      <c r="BT226" s="23">
        <f t="shared" ref="BT226" si="1866">BS164-BT164</f>
        <v>2.4459999999999997</v>
      </c>
      <c r="BU226" s="23">
        <f t="shared" ref="BU226" si="1867">BT164-BU164</f>
        <v>0</v>
      </c>
      <c r="BV226" s="23">
        <f t="shared" ref="BV226" si="1868">BU164-BV164</f>
        <v>0.10899999999999999</v>
      </c>
      <c r="BW226" s="23">
        <f t="shared" ref="BW226" si="1869">BV164-BW164</f>
        <v>0</v>
      </c>
      <c r="BX226" s="23">
        <f t="shared" ref="BX226" si="1870">BW164-BX164</f>
        <v>2.085</v>
      </c>
      <c r="BY226" s="23">
        <f t="shared" ref="BY226" si="1871">BX164-BY164</f>
        <v>0</v>
      </c>
      <c r="BZ226" s="23">
        <f t="shared" ref="BZ226" si="1872">BY164-BZ164</f>
        <v>7.1779999999999999</v>
      </c>
      <c r="CA226" s="23">
        <f t="shared" ref="CA226" si="1873">BZ164-CA164</f>
        <v>0</v>
      </c>
      <c r="CB226" s="23">
        <f t="shared" ref="CB226" si="1874">CA164-CB164</f>
        <v>0</v>
      </c>
      <c r="CC226" s="23">
        <f t="shared" ref="CC226" si="1875">CB164-CC164</f>
        <v>0</v>
      </c>
      <c r="CD226" s="23">
        <f t="shared" ref="CD226" si="1876">CC164-CD164</f>
        <v>-76.298000000000002</v>
      </c>
      <c r="CE226" s="23">
        <f t="shared" ref="CE226" si="1877">CD164-CE164</f>
        <v>0</v>
      </c>
      <c r="CF226" s="23">
        <f t="shared" ref="CF226" si="1878">CE164-CF164</f>
        <v>-0.11199999999999477</v>
      </c>
      <c r="CG226" s="23">
        <f t="shared" ref="CG226" si="1879">CF164-CG164</f>
        <v>0</v>
      </c>
      <c r="CH226" s="23">
        <f t="shared" ref="CH226:CL226" si="1880">CG164-CH164</f>
        <v>76.41</v>
      </c>
      <c r="CI226" s="23">
        <f t="shared" si="1880"/>
        <v>0</v>
      </c>
      <c r="CJ226" s="23">
        <f t="shared" si="1880"/>
        <v>-79.638999999999996</v>
      </c>
      <c r="CK226" s="23">
        <f t="shared" ref="CK226" si="1881">CJ164-CK164</f>
        <v>0</v>
      </c>
      <c r="CL226" s="23">
        <f t="shared" si="1880"/>
        <v>-8.6630000000000109</v>
      </c>
      <c r="CM226" s="24">
        <f t="shared" ref="CM226" si="1882">CL164-CM164</f>
        <v>0</v>
      </c>
      <c r="CN226" s="24">
        <f t="shared" ref="CN226" si="1883">CM164-CN164</f>
        <v>0</v>
      </c>
      <c r="CO226" s="24">
        <f t="shared" ref="CO226" si="1884">CN164-CO164</f>
        <v>0</v>
      </c>
      <c r="CP226" s="24">
        <f t="shared" ref="CP226" si="1885">CO164-CP164</f>
        <v>0</v>
      </c>
      <c r="CQ226" s="24">
        <f t="shared" ref="CQ226" si="1886">CP164-CQ164</f>
        <v>0</v>
      </c>
      <c r="CR226" s="24">
        <f t="shared" ref="CR226" si="1887">CQ164-CR164</f>
        <v>0</v>
      </c>
      <c r="CS226" s="24">
        <f t="shared" ref="CS226" si="1888">CR164-CS164</f>
        <v>0</v>
      </c>
      <c r="CT226" s="24">
        <f t="shared" ref="CT226" si="1889">CS164-CT164</f>
        <v>0</v>
      </c>
      <c r="CU226" s="24">
        <f t="shared" ref="CU226" si="1890">CT164-CU164</f>
        <v>0</v>
      </c>
      <c r="CV226" s="24">
        <f t="shared" ref="CV226" si="1891">CU164-CV164</f>
        <v>0</v>
      </c>
      <c r="CW226" s="24">
        <f t="shared" ref="CW226" si="1892">CV164-CW164</f>
        <v>0</v>
      </c>
      <c r="CX226" s="24">
        <f t="shared" ref="CX226" si="1893">CW164-CX164</f>
        <v>0</v>
      </c>
      <c r="CY226" s="24">
        <f t="shared" ref="CY226" si="1894">CX164-CY164</f>
        <v>0</v>
      </c>
      <c r="CZ226" s="24">
        <f t="shared" ref="CZ226" si="1895">CY164-CZ164</f>
        <v>0</v>
      </c>
      <c r="DA226" s="24">
        <f t="shared" ref="DA226" si="1896">CZ164-DA164</f>
        <v>0</v>
      </c>
      <c r="DB226" s="24">
        <f t="shared" ref="DB226" si="1897">DA164-DB164</f>
        <v>0</v>
      </c>
      <c r="DE226" s="123"/>
      <c r="DF226" s="23">
        <v>0</v>
      </c>
    </row>
    <row r="227" spans="1:110" s="23" customFormat="1" x14ac:dyDescent="0.2">
      <c r="A227" s="23" t="s">
        <v>94</v>
      </c>
      <c r="C227" s="23">
        <f t="shared" ref="C227:AE227" si="1898">B162-C56-C162</f>
        <v>0</v>
      </c>
      <c r="D227" s="23">
        <f t="shared" si="1898"/>
        <v>0</v>
      </c>
      <c r="E227" s="23">
        <f t="shared" si="1898"/>
        <v>0</v>
      </c>
      <c r="F227" s="23">
        <f t="shared" si="1898"/>
        <v>0</v>
      </c>
      <c r="G227" s="23">
        <f t="shared" si="1898"/>
        <v>0</v>
      </c>
      <c r="H227" s="23">
        <f t="shared" si="1898"/>
        <v>0</v>
      </c>
      <c r="I227" s="23">
        <f t="shared" si="1898"/>
        <v>-108.37179769999999</v>
      </c>
      <c r="J227" s="23">
        <f t="shared" si="1898"/>
        <v>-113.24491990000001</v>
      </c>
      <c r="K227" s="23">
        <f t="shared" si="1898"/>
        <v>-218.07976879999998</v>
      </c>
      <c r="L227" s="23">
        <f t="shared" si="1898"/>
        <v>-95.027873999999997</v>
      </c>
      <c r="M227" s="23">
        <f t="shared" si="1898"/>
        <v>-221.78599999999994</v>
      </c>
      <c r="N227" s="23">
        <f t="shared" si="1898"/>
        <v>-72.580000000000041</v>
      </c>
      <c r="O227" s="23">
        <f t="shared" si="1898"/>
        <v>-151.83899999999994</v>
      </c>
      <c r="P227" s="23">
        <f t="shared" si="1898"/>
        <v>-288.45100000000002</v>
      </c>
      <c r="Q227" s="23">
        <f t="shared" si="1898"/>
        <v>-232.27799999999991</v>
      </c>
      <c r="R227" s="23">
        <f t="shared" si="1898"/>
        <v>-298.03900000000021</v>
      </c>
      <c r="S227" s="23">
        <f t="shared" si="1898"/>
        <v>-172.80699999999979</v>
      </c>
      <c r="T227" s="23">
        <f t="shared" si="1898"/>
        <v>-276.90600000000018</v>
      </c>
      <c r="U227" s="23">
        <f t="shared" si="1898"/>
        <v>-355.49699999999962</v>
      </c>
      <c r="V227" s="23">
        <f t="shared" si="1898"/>
        <v>-481.62500000000023</v>
      </c>
      <c r="W227" s="23">
        <f t="shared" si="1898"/>
        <v>-283.44200000000023</v>
      </c>
      <c r="X227" s="23">
        <f t="shared" si="1898"/>
        <v>-476.29799999999955</v>
      </c>
      <c r="Y227" s="23">
        <f t="shared" si="1898"/>
        <v>-843.29900000000043</v>
      </c>
      <c r="Z227" s="23">
        <f t="shared" si="1898"/>
        <v>-1101.4309999999996</v>
      </c>
      <c r="AA227" s="23">
        <f t="shared" si="1898"/>
        <v>-1545.931</v>
      </c>
      <c r="AB227" s="24">
        <f t="shared" si="1898"/>
        <v>-1169.0710000000008</v>
      </c>
      <c r="AC227" s="24">
        <f t="shared" si="1898"/>
        <v>-1399.9999999999991</v>
      </c>
      <c r="AD227" s="24">
        <f t="shared" si="1898"/>
        <v>-1400</v>
      </c>
      <c r="AE227" s="24">
        <f t="shared" si="1898"/>
        <v>-1400.0000000000009</v>
      </c>
      <c r="AI227" s="23">
        <f t="shared" ref="AI227:BN227" si="1899">AH162-AI56-AI162</f>
        <v>0</v>
      </c>
      <c r="AJ227" s="23">
        <f t="shared" si="1899"/>
        <v>0</v>
      </c>
      <c r="AK227" s="23">
        <f t="shared" si="1899"/>
        <v>0</v>
      </c>
      <c r="AL227" s="23">
        <f t="shared" si="1899"/>
        <v>0</v>
      </c>
      <c r="AM227" s="23">
        <f t="shared" si="1899"/>
        <v>0</v>
      </c>
      <c r="AN227" s="23">
        <f t="shared" si="1899"/>
        <v>0</v>
      </c>
      <c r="AO227" s="23">
        <f t="shared" si="1899"/>
        <v>0</v>
      </c>
      <c r="AP227" s="23">
        <f t="shared" si="1899"/>
        <v>0</v>
      </c>
      <c r="AQ227" s="23">
        <f t="shared" si="1899"/>
        <v>0</v>
      </c>
      <c r="AR227" s="23">
        <f t="shared" si="1899"/>
        <v>0</v>
      </c>
      <c r="AS227" s="23">
        <f t="shared" si="1899"/>
        <v>0</v>
      </c>
      <c r="AT227" s="23">
        <f t="shared" si="1899"/>
        <v>0</v>
      </c>
      <c r="AU227" s="23">
        <f t="shared" si="1899"/>
        <v>0</v>
      </c>
      <c r="AV227" s="23">
        <f t="shared" si="1899"/>
        <v>0</v>
      </c>
      <c r="AW227" s="23">
        <f t="shared" si="1899"/>
        <v>0</v>
      </c>
      <c r="AX227" s="23">
        <f t="shared" si="1899"/>
        <v>0</v>
      </c>
      <c r="AY227" s="23">
        <f t="shared" si="1899"/>
        <v>0</v>
      </c>
      <c r="AZ227" s="23">
        <f t="shared" si="1899"/>
        <v>0</v>
      </c>
      <c r="BA227" s="23">
        <f t="shared" si="1899"/>
        <v>0</v>
      </c>
      <c r="BB227" s="23">
        <f t="shared" si="1899"/>
        <v>0</v>
      </c>
      <c r="BC227" s="23">
        <f t="shared" si="1899"/>
        <v>0</v>
      </c>
      <c r="BD227" s="23">
        <f t="shared" si="1899"/>
        <v>0</v>
      </c>
      <c r="BE227" s="23">
        <f t="shared" si="1899"/>
        <v>0</v>
      </c>
      <c r="BF227" s="23">
        <f t="shared" si="1899"/>
        <v>-1366.9269999999999</v>
      </c>
      <c r="BG227" s="23">
        <f t="shared" si="1899"/>
        <v>-35.154999999999973</v>
      </c>
      <c r="BH227" s="23">
        <f t="shared" si="1899"/>
        <v>1296.732</v>
      </c>
      <c r="BI227" s="23">
        <f t="shared" si="1899"/>
        <v>-35.594999999999999</v>
      </c>
      <c r="BJ227" s="23">
        <f t="shared" si="1899"/>
        <v>-1502.8880000000001</v>
      </c>
      <c r="BK227" s="23">
        <f t="shared" si="1899"/>
        <v>-38.499000000000024</v>
      </c>
      <c r="BL227" s="23">
        <f t="shared" si="1899"/>
        <v>-129.43499999999995</v>
      </c>
      <c r="BM227" s="23">
        <f t="shared" si="1899"/>
        <v>-40.676999999999907</v>
      </c>
      <c r="BN227" s="23">
        <f t="shared" si="1899"/>
        <v>-113.09399999999982</v>
      </c>
      <c r="BO227" s="23">
        <f t="shared" ref="BO227:CT227" si="1900">BN162-BO56-BO162</f>
        <v>-44.271999999999935</v>
      </c>
      <c r="BP227" s="23">
        <f t="shared" si="1900"/>
        <v>-309.6550000000002</v>
      </c>
      <c r="BQ227" s="23">
        <f t="shared" si="1900"/>
        <v>-44.960000000000036</v>
      </c>
      <c r="BR227" s="23">
        <f t="shared" si="1900"/>
        <v>-87.159999999999854</v>
      </c>
      <c r="BS227" s="23">
        <f t="shared" si="1900"/>
        <v>-49.280999999999949</v>
      </c>
      <c r="BT227" s="23">
        <f t="shared" si="1900"/>
        <v>-110.90000000000032</v>
      </c>
      <c r="BU227" s="23">
        <f t="shared" si="1900"/>
        <v>-51.108999999999924</v>
      </c>
      <c r="BV227" s="23">
        <f t="shared" si="1900"/>
        <v>-71.115999999999985</v>
      </c>
      <c r="BW227" s="23">
        <f t="shared" si="1900"/>
        <v>-50.9849999999999</v>
      </c>
      <c r="BX227" s="23">
        <f t="shared" si="1900"/>
        <v>-115.80899999999974</v>
      </c>
      <c r="BY227" s="23">
        <f t="shared" si="1900"/>
        <v>-52.451999999999998</v>
      </c>
      <c r="BZ227" s="23">
        <f t="shared" si="1900"/>
        <v>-256.00599999999986</v>
      </c>
      <c r="CA227" s="23">
        <f t="shared" si="1900"/>
        <v>-57.143999999999778</v>
      </c>
      <c r="CB227" s="23">
        <f t="shared" si="1900"/>
        <v>-198.95200000000023</v>
      </c>
      <c r="CC227" s="23">
        <f t="shared" si="1900"/>
        <v>-61.878000000000156</v>
      </c>
      <c r="CD227" s="23">
        <f t="shared" si="1900"/>
        <v>-412.38299999999981</v>
      </c>
      <c r="CE227" s="23">
        <f t="shared" si="1900"/>
        <v>-67.123000000000047</v>
      </c>
      <c r="CF227" s="23">
        <f t="shared" si="1900"/>
        <v>-504.18000000000029</v>
      </c>
      <c r="CG227" s="23">
        <f t="shared" si="1900"/>
        <v>-78.556999999999789</v>
      </c>
      <c r="CH227" s="23">
        <f t="shared" si="1900"/>
        <v>-600.69499999999971</v>
      </c>
      <c r="CI227" s="23">
        <f t="shared" si="1900"/>
        <v>0</v>
      </c>
      <c r="CJ227" s="23">
        <f t="shared" si="1900"/>
        <v>-505.90000000000009</v>
      </c>
      <c r="CK227" s="23">
        <f t="shared" si="1900"/>
        <v>-99.999999999999091</v>
      </c>
      <c r="CL227" s="23">
        <f t="shared" si="1900"/>
        <v>-709.10200000000077</v>
      </c>
      <c r="CM227" s="24">
        <f t="shared" si="1900"/>
        <v>-350.00000000000091</v>
      </c>
      <c r="CN227" s="24">
        <f t="shared" si="1900"/>
        <v>-350</v>
      </c>
      <c r="CO227" s="24">
        <f t="shared" si="1900"/>
        <v>-350</v>
      </c>
      <c r="CP227" s="24">
        <f t="shared" si="1900"/>
        <v>-350.00000000000091</v>
      </c>
      <c r="CQ227" s="24">
        <f t="shared" si="1900"/>
        <v>-350</v>
      </c>
      <c r="CR227" s="24">
        <f t="shared" si="1900"/>
        <v>-350.00000000000091</v>
      </c>
      <c r="CS227" s="24">
        <f t="shared" si="1900"/>
        <v>-349.99999999999909</v>
      </c>
      <c r="CT227" s="24">
        <f t="shared" si="1900"/>
        <v>-350</v>
      </c>
      <c r="CU227" s="24">
        <f t="shared" ref="CU227:DB227" si="1901">CT162-CU56-CU162</f>
        <v>-350</v>
      </c>
      <c r="CV227" s="24">
        <f t="shared" si="1901"/>
        <v>-350</v>
      </c>
      <c r="CW227" s="24">
        <f t="shared" si="1901"/>
        <v>-350</v>
      </c>
      <c r="CX227" s="24">
        <f t="shared" si="1901"/>
        <v>-350</v>
      </c>
      <c r="CY227" s="24">
        <f t="shared" si="1901"/>
        <v>-350.00000000000091</v>
      </c>
      <c r="CZ227" s="24">
        <f t="shared" si="1901"/>
        <v>-350</v>
      </c>
      <c r="DA227" s="24">
        <f t="shared" si="1901"/>
        <v>-350</v>
      </c>
      <c r="DB227" s="24">
        <f t="shared" si="1901"/>
        <v>-350</v>
      </c>
      <c r="DE227" s="123"/>
      <c r="DF227" s="23">
        <v>-100.00000000000045</v>
      </c>
    </row>
    <row r="228" spans="1:110" s="23" customFormat="1" x14ac:dyDescent="0.2">
      <c r="AB228" s="24"/>
      <c r="AC228" s="24"/>
      <c r="AD228" s="24"/>
      <c r="AE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2" customFormat="1" x14ac:dyDescent="0.2">
      <c r="A229" s="22" t="s">
        <v>95</v>
      </c>
      <c r="C229" s="22">
        <f t="shared" ref="C229:W229" si="1902">C230+C231</f>
        <v>0</v>
      </c>
      <c r="D229" s="22">
        <f t="shared" si="1902"/>
        <v>0</v>
      </c>
      <c r="E229" s="22">
        <f t="shared" si="1902"/>
        <v>0</v>
      </c>
      <c r="F229" s="22">
        <f t="shared" si="1902"/>
        <v>0</v>
      </c>
      <c r="G229" s="22">
        <f t="shared" si="1902"/>
        <v>0</v>
      </c>
      <c r="H229" s="22">
        <f t="shared" si="1902"/>
        <v>0</v>
      </c>
      <c r="I229" s="22">
        <f t="shared" si="1902"/>
        <v>841.54730169999993</v>
      </c>
      <c r="J229" s="22">
        <f t="shared" si="1902"/>
        <v>-26.455346500000076</v>
      </c>
      <c r="K229" s="22">
        <f t="shared" si="1902"/>
        <v>840.28560929999981</v>
      </c>
      <c r="L229" s="22">
        <f t="shared" si="1902"/>
        <v>241.54057230000012</v>
      </c>
      <c r="M229" s="22">
        <f t="shared" si="1902"/>
        <v>-226.42999999999984</v>
      </c>
      <c r="N229" s="22">
        <f t="shared" si="1902"/>
        <v>-275.88899999999944</v>
      </c>
      <c r="O229" s="22">
        <f t="shared" si="1902"/>
        <v>-123.34200000000021</v>
      </c>
      <c r="P229" s="22">
        <f t="shared" si="1902"/>
        <v>199.91999999999919</v>
      </c>
      <c r="Q229" s="22">
        <f t="shared" si="1902"/>
        <v>228.91300000000049</v>
      </c>
      <c r="R229" s="22">
        <f t="shared" si="1902"/>
        <v>35.630999999999204</v>
      </c>
      <c r="S229" s="22">
        <f t="shared" si="1902"/>
        <v>-58.344999999999395</v>
      </c>
      <c r="T229" s="22">
        <f t="shared" si="1902"/>
        <v>-523.87600000000032</v>
      </c>
      <c r="U229" s="22">
        <f t="shared" si="1902"/>
        <v>121.61700000000116</v>
      </c>
      <c r="V229" s="22">
        <f t="shared" si="1902"/>
        <v>130.8869999999996</v>
      </c>
      <c r="W229" s="22">
        <f t="shared" si="1902"/>
        <v>-278.08500000000078</v>
      </c>
      <c r="X229" s="22">
        <f t="shared" ref="X229:Y229" si="1903">X230+X231</f>
        <v>-175.1270000000018</v>
      </c>
      <c r="Y229" s="22">
        <f t="shared" si="1903"/>
        <v>-198.53200000000041</v>
      </c>
      <c r="Z229" s="22">
        <f t="shared" ref="Z229:AA229" si="1904">Z230+Z231</f>
        <v>-334.27699999999948</v>
      </c>
      <c r="AA229" s="22">
        <f t="shared" si="1904"/>
        <v>-431.60200000000248</v>
      </c>
      <c r="AB229" s="21">
        <f t="shared" ref="AA229:AD229" si="1905">AB230+AB231</f>
        <v>-3.637978807091713E-12</v>
      </c>
      <c r="AC229" s="21">
        <f t="shared" si="1905"/>
        <v>7.2759576141834259E-12</v>
      </c>
      <c r="AD229" s="21">
        <f t="shared" si="1905"/>
        <v>3.637978807091713E-12</v>
      </c>
      <c r="AE229" s="21">
        <f t="shared" ref="AE229" si="1906">AE230+AE231</f>
        <v>3.637978807091713E-12</v>
      </c>
      <c r="AI229" s="22">
        <f t="shared" ref="AI229" si="1907">AI230+AI231</f>
        <v>0</v>
      </c>
      <c r="AJ229" s="22">
        <f t="shared" ref="AJ229:AL229" si="1908">AJ230+AJ231</f>
        <v>0</v>
      </c>
      <c r="AK229" s="22">
        <f t="shared" si="1908"/>
        <v>0</v>
      </c>
      <c r="AL229" s="22">
        <f t="shared" si="1908"/>
        <v>0</v>
      </c>
      <c r="AM229" s="22">
        <f t="shared" ref="AM229" si="1909">AM230+AM231</f>
        <v>0</v>
      </c>
      <c r="AN229" s="22">
        <f t="shared" ref="AN229:CD229" si="1910">AN230+AN231</f>
        <v>0</v>
      </c>
      <c r="AO229" s="22">
        <f t="shared" si="1910"/>
        <v>0</v>
      </c>
      <c r="AP229" s="22">
        <f t="shared" si="1910"/>
        <v>0</v>
      </c>
      <c r="AQ229" s="22">
        <f t="shared" si="1910"/>
        <v>0</v>
      </c>
      <c r="AR229" s="22">
        <f t="shared" si="1910"/>
        <v>0</v>
      </c>
      <c r="AS229" s="22">
        <f t="shared" si="1910"/>
        <v>0</v>
      </c>
      <c r="AT229" s="22">
        <f t="shared" si="1910"/>
        <v>0</v>
      </c>
      <c r="AU229" s="22">
        <f t="shared" si="1910"/>
        <v>0</v>
      </c>
      <c r="AV229" s="22">
        <f t="shared" si="1910"/>
        <v>0</v>
      </c>
      <c r="AW229" s="22">
        <f t="shared" si="1910"/>
        <v>0</v>
      </c>
      <c r="AX229" s="22">
        <f t="shared" si="1910"/>
        <v>0</v>
      </c>
      <c r="AY229" s="22">
        <f t="shared" si="1910"/>
        <v>0</v>
      </c>
      <c r="AZ229" s="22">
        <f t="shared" si="1910"/>
        <v>0</v>
      </c>
      <c r="BA229" s="22">
        <f t="shared" si="1910"/>
        <v>0</v>
      </c>
      <c r="BB229" s="22">
        <f t="shared" si="1910"/>
        <v>0</v>
      </c>
      <c r="BC229" s="22">
        <f t="shared" si="1910"/>
        <v>0</v>
      </c>
      <c r="BD229" s="22">
        <f t="shared" si="1910"/>
        <v>0</v>
      </c>
      <c r="BE229" s="22">
        <f t="shared" si="1910"/>
        <v>0</v>
      </c>
      <c r="BF229" s="22">
        <f t="shared" si="1910"/>
        <v>2890.643</v>
      </c>
      <c r="BG229" s="22">
        <f t="shared" si="1910"/>
        <v>0</v>
      </c>
      <c r="BH229" s="22">
        <f t="shared" si="1910"/>
        <v>-3245.569</v>
      </c>
      <c r="BI229" s="22">
        <f t="shared" si="1910"/>
        <v>0</v>
      </c>
      <c r="BJ229" s="22">
        <f t="shared" si="1910"/>
        <v>2713.6579999999999</v>
      </c>
      <c r="BK229" s="22">
        <f t="shared" si="1910"/>
        <v>0</v>
      </c>
      <c r="BL229" s="22">
        <f t="shared" si="1910"/>
        <v>286.73400000000026</v>
      </c>
      <c r="BM229" s="22">
        <f t="shared" si="1910"/>
        <v>0</v>
      </c>
      <c r="BN229" s="22">
        <f t="shared" si="1910"/>
        <v>-119.64399999999956</v>
      </c>
      <c r="BO229" s="22">
        <f t="shared" si="1910"/>
        <v>0</v>
      </c>
      <c r="BP229" s="22">
        <f t="shared" si="1910"/>
        <v>131.41300000000058</v>
      </c>
      <c r="BQ229" s="22">
        <f t="shared" si="1910"/>
        <v>0</v>
      </c>
      <c r="BR229" s="22">
        <f t="shared" si="1910"/>
        <v>34.432999999999026</v>
      </c>
      <c r="BS229" s="22">
        <f t="shared" si="1910"/>
        <v>0</v>
      </c>
      <c r="BT229" s="22">
        <f t="shared" si="1910"/>
        <v>-145.93299999999897</v>
      </c>
      <c r="BU229" s="22">
        <f t="shared" si="1910"/>
        <v>0</v>
      </c>
      <c r="BV229" s="22">
        <f t="shared" si="1910"/>
        <v>-132.15099999999975</v>
      </c>
      <c r="BW229" s="22">
        <f t="shared" si="1910"/>
        <v>0</v>
      </c>
      <c r="BX229" s="22">
        <f t="shared" si="1910"/>
        <v>-172.85000000000048</v>
      </c>
      <c r="BY229" s="22">
        <f t="shared" si="1910"/>
        <v>0</v>
      </c>
      <c r="BZ229" s="22">
        <f t="shared" si="1910"/>
        <v>-2.1349999999988043</v>
      </c>
      <c r="CA229" s="22">
        <f t="shared" si="1910"/>
        <v>0</v>
      </c>
      <c r="CB229" s="22">
        <f t="shared" si="1910"/>
        <v>-173.43400000000145</v>
      </c>
      <c r="CC229" s="22">
        <f t="shared" si="1910"/>
        <v>0</v>
      </c>
      <c r="CD229" s="22">
        <f t="shared" si="1910"/>
        <v>-25.098000000000781</v>
      </c>
      <c r="CE229" s="22">
        <f t="shared" ref="CE229:CF229" si="1911">CE230+CE231</f>
        <v>1.8189894035458565E-12</v>
      </c>
      <c r="CF229" s="22">
        <f t="shared" si="1911"/>
        <v>-397.38200000000234</v>
      </c>
      <c r="CG229" s="22">
        <f t="shared" ref="CG229:CH229" si="1912">CG230+CG231</f>
        <v>0</v>
      </c>
      <c r="CH229" s="22">
        <f t="shared" si="1912"/>
        <v>63.105000000000985</v>
      </c>
      <c r="CI229" s="22">
        <f t="shared" ref="CI229:CJ229" si="1913">CI230+CI231</f>
        <v>0</v>
      </c>
      <c r="CJ229" s="22">
        <f t="shared" si="1913"/>
        <v>-478.72799999999984</v>
      </c>
      <c r="CK229" s="22">
        <f t="shared" ref="CK229:DB229" si="1914">CK230+CK231</f>
        <v>0</v>
      </c>
      <c r="CL229" s="22">
        <f t="shared" si="1914"/>
        <v>47.126000000001042</v>
      </c>
      <c r="CM229" s="21">
        <f t="shared" si="1914"/>
        <v>0</v>
      </c>
      <c r="CN229" s="21">
        <f t="shared" si="1914"/>
        <v>0</v>
      </c>
      <c r="CO229" s="21">
        <f t="shared" si="1914"/>
        <v>0</v>
      </c>
      <c r="CP229" s="21">
        <f t="shared" si="1914"/>
        <v>-1.8189894035458565E-12</v>
      </c>
      <c r="CQ229" s="21">
        <f t="shared" si="1914"/>
        <v>0</v>
      </c>
      <c r="CR229" s="21">
        <f t="shared" si="1914"/>
        <v>1.8189894035458565E-12</v>
      </c>
      <c r="CS229" s="21">
        <f t="shared" si="1914"/>
        <v>0</v>
      </c>
      <c r="CT229" s="21">
        <f t="shared" si="1914"/>
        <v>0</v>
      </c>
      <c r="CU229" s="21">
        <f t="shared" si="1914"/>
        <v>0</v>
      </c>
      <c r="CV229" s="21">
        <f t="shared" si="1914"/>
        <v>0</v>
      </c>
      <c r="CW229" s="21">
        <f t="shared" si="1914"/>
        <v>0</v>
      </c>
      <c r="CX229" s="21">
        <f t="shared" si="1914"/>
        <v>0</v>
      </c>
      <c r="CY229" s="21">
        <f t="shared" si="1914"/>
        <v>0</v>
      </c>
      <c r="CZ229" s="21">
        <f t="shared" si="1914"/>
        <v>0</v>
      </c>
      <c r="DA229" s="21">
        <f t="shared" si="1914"/>
        <v>0</v>
      </c>
      <c r="DB229" s="21">
        <f t="shared" si="1914"/>
        <v>0</v>
      </c>
      <c r="DE229" s="126"/>
      <c r="DF229" s="22">
        <v>0</v>
      </c>
    </row>
    <row r="230" spans="1:110" s="23" customFormat="1" x14ac:dyDescent="0.2">
      <c r="A230" s="23" t="s">
        <v>49</v>
      </c>
      <c r="C230" s="23">
        <f t="shared" ref="C230:AA230" si="1915">C152-B152</f>
        <v>0</v>
      </c>
      <c r="D230" s="23">
        <f t="shared" si="1915"/>
        <v>0</v>
      </c>
      <c r="E230" s="23">
        <f>E152-D152</f>
        <v>0</v>
      </c>
      <c r="F230" s="23">
        <f t="shared" si="1915"/>
        <v>0</v>
      </c>
      <c r="G230" s="23">
        <f t="shared" si="1915"/>
        <v>0</v>
      </c>
      <c r="H230" s="23">
        <f t="shared" si="1915"/>
        <v>0</v>
      </c>
      <c r="I230" s="23">
        <f t="shared" si="1915"/>
        <v>501.07017479999996</v>
      </c>
      <c r="J230" s="23">
        <f>J152-I152</f>
        <v>-19.435646499999962</v>
      </c>
      <c r="K230" s="23">
        <f>K152-J152</f>
        <v>620.04331409999986</v>
      </c>
      <c r="L230" s="23">
        <f t="shared" si="1915"/>
        <v>178.99915760000022</v>
      </c>
      <c r="M230" s="23">
        <f t="shared" si="1915"/>
        <v>-299.28700000000015</v>
      </c>
      <c r="N230" s="23">
        <f t="shared" si="1915"/>
        <v>-437.76099999999997</v>
      </c>
      <c r="O230" s="23">
        <f t="shared" si="1915"/>
        <v>-98.716000000000008</v>
      </c>
      <c r="P230" s="23">
        <f t="shared" si="1915"/>
        <v>100.59100000000001</v>
      </c>
      <c r="Q230" s="23">
        <f t="shared" si="1915"/>
        <v>250.23599999999999</v>
      </c>
      <c r="R230" s="23">
        <f t="shared" si="1915"/>
        <v>59.970000000000027</v>
      </c>
      <c r="S230" s="23">
        <f t="shared" si="1915"/>
        <v>-55.405999999999949</v>
      </c>
      <c r="T230" s="23">
        <f t="shared" si="1915"/>
        <v>-527.8850000000001</v>
      </c>
      <c r="U230" s="23">
        <f t="shared" si="1915"/>
        <v>-115.36099999999999</v>
      </c>
      <c r="V230" s="23">
        <f t="shared" si="1915"/>
        <v>91.62700000000001</v>
      </c>
      <c r="W230" s="23">
        <f t="shared" si="1915"/>
        <v>-165.55</v>
      </c>
      <c r="X230" s="23">
        <f t="shared" si="1915"/>
        <v>-10.11699999999999</v>
      </c>
      <c r="Y230" s="23">
        <f t="shared" si="1915"/>
        <v>16.756</v>
      </c>
      <c r="Z230" s="23">
        <f t="shared" si="1915"/>
        <v>19.22999999999999</v>
      </c>
      <c r="AA230" s="23">
        <f t="shared" si="1915"/>
        <v>23.486000000000018</v>
      </c>
      <c r="AB230" s="24">
        <f t="shared" ref="AB230" si="1916">AB152-AA152</f>
        <v>0</v>
      </c>
      <c r="AC230" s="24">
        <f t="shared" ref="AC230" si="1917">AC152-AB152</f>
        <v>0</v>
      </c>
      <c r="AD230" s="24">
        <f t="shared" ref="AD230" si="1918">AD152-AC152</f>
        <v>0</v>
      </c>
      <c r="AE230" s="24">
        <f t="shared" ref="AE230" si="1919">AE152-AD152</f>
        <v>0</v>
      </c>
      <c r="AI230" s="23">
        <f t="shared" ref="AI230" si="1920">AI152-AH152</f>
        <v>0</v>
      </c>
      <c r="AJ230" s="23">
        <f t="shared" ref="AJ230" si="1921">AJ152-AI152</f>
        <v>0</v>
      </c>
      <c r="AK230" s="23">
        <f t="shared" ref="AK230" si="1922">AK152-AJ152</f>
        <v>0</v>
      </c>
      <c r="AL230" s="23">
        <f t="shared" ref="AL230" si="1923">AL152-AK152</f>
        <v>0</v>
      </c>
      <c r="AM230" s="23">
        <f t="shared" ref="AM230" si="1924">AM152-AL152</f>
        <v>0</v>
      </c>
      <c r="AN230" s="23">
        <f t="shared" ref="AN230" si="1925">AN152-AM152</f>
        <v>0</v>
      </c>
      <c r="AO230" s="23">
        <f t="shared" ref="AO230" si="1926">AO152-AN152</f>
        <v>0</v>
      </c>
      <c r="AP230" s="23">
        <f t="shared" ref="AP230" si="1927">AP152-AO152</f>
        <v>0</v>
      </c>
      <c r="AQ230" s="23">
        <f t="shared" ref="AQ230" si="1928">AQ152-AP152</f>
        <v>0</v>
      </c>
      <c r="AR230" s="23">
        <f t="shared" ref="AR230" si="1929">AR152-AQ152</f>
        <v>0</v>
      </c>
      <c r="AS230" s="23">
        <f t="shared" ref="AS230" si="1930">AS152-AR152</f>
        <v>0</v>
      </c>
      <c r="AT230" s="23">
        <f t="shared" ref="AT230" si="1931">AT152-AS152</f>
        <v>0</v>
      </c>
      <c r="AU230" s="23">
        <f t="shared" ref="AU230" si="1932">AU152-AT152</f>
        <v>0</v>
      </c>
      <c r="AV230" s="23">
        <f t="shared" ref="AV230" si="1933">AV152-AU152</f>
        <v>0</v>
      </c>
      <c r="AW230" s="23">
        <f t="shared" ref="AW230" si="1934">AW152-AV152</f>
        <v>0</v>
      </c>
      <c r="AX230" s="23">
        <f t="shared" ref="AX230" si="1935">AX152-AW152</f>
        <v>0</v>
      </c>
      <c r="AY230" s="23">
        <f t="shared" ref="AY230" si="1936">AY152-AX152</f>
        <v>0</v>
      </c>
      <c r="AZ230" s="23">
        <f t="shared" ref="AZ230" si="1937">AZ152-AY152</f>
        <v>0</v>
      </c>
      <c r="BA230" s="23">
        <f t="shared" ref="BA230" si="1938">BA152-AZ152</f>
        <v>0</v>
      </c>
      <c r="BB230" s="23">
        <f t="shared" ref="BB230" si="1939">BB152-BA152</f>
        <v>0</v>
      </c>
      <c r="BC230" s="23">
        <f t="shared" ref="BC230" si="1940">BC152-BB152</f>
        <v>0</v>
      </c>
      <c r="BD230" s="23">
        <f t="shared" ref="BD230" si="1941">BD152-BC152</f>
        <v>0</v>
      </c>
      <c r="BE230" s="23">
        <f t="shared" ref="BE230" si="1942">BE152-BD152</f>
        <v>0</v>
      </c>
      <c r="BF230" s="23">
        <f t="shared" ref="BF230" si="1943">BF152-BE152</f>
        <v>727.69399999999996</v>
      </c>
      <c r="BG230" s="23">
        <f t="shared" ref="BG230" si="1944">BG152-BF152</f>
        <v>0</v>
      </c>
      <c r="BH230" s="23">
        <f t="shared" ref="BH230" si="1945">BH152-BG152</f>
        <v>-727.69399999999996</v>
      </c>
      <c r="BI230" s="23">
        <f t="shared" ref="BI230" si="1946">BI152-BH152</f>
        <v>0</v>
      </c>
      <c r="BJ230" s="23">
        <f t="shared" ref="BJ230" si="1947">BJ152-BI152</f>
        <v>191.99599999999998</v>
      </c>
      <c r="BK230" s="23">
        <f t="shared" ref="BK230" si="1948">BK152-BJ152</f>
        <v>0</v>
      </c>
      <c r="BL230" s="23">
        <f t="shared" ref="BL230" si="1949">BL152-BK152</f>
        <v>-60.184999999999974</v>
      </c>
      <c r="BM230" s="23">
        <f t="shared" ref="BM230" si="1950">BM152-BL152</f>
        <v>0</v>
      </c>
      <c r="BN230" s="23">
        <f t="shared" ref="BN230" si="1951">BN152-BM152</f>
        <v>-9.703000000000003</v>
      </c>
      <c r="BO230" s="23">
        <f t="shared" ref="BO230" si="1952">BO152-BN152</f>
        <v>0</v>
      </c>
      <c r="BP230" s="23">
        <f t="shared" ref="BP230" si="1953">BP152-BO152</f>
        <v>91.325999999999965</v>
      </c>
      <c r="BQ230" s="23">
        <f t="shared" ref="BQ230" si="1954">BQ152-BP152</f>
        <v>0</v>
      </c>
      <c r="BR230" s="23">
        <f t="shared" ref="BR230" si="1955">BR152-BQ152</f>
        <v>35.251000000000033</v>
      </c>
      <c r="BS230" s="23">
        <f t="shared" ref="BS230" si="1956">BS152-BR152</f>
        <v>0</v>
      </c>
      <c r="BT230" s="23">
        <f t="shared" ref="BT230" si="1957">BT152-BS152</f>
        <v>-12.882000000000005</v>
      </c>
      <c r="BU230" s="23">
        <f t="shared" ref="BU230" si="1958">BU152-BT152</f>
        <v>0</v>
      </c>
      <c r="BV230" s="23">
        <f t="shared" ref="BV230" si="1959">BV152-BU152</f>
        <v>-152.66800000000001</v>
      </c>
      <c r="BW230" s="23">
        <f t="shared" ref="BW230" si="1960">BW152-BV152</f>
        <v>0</v>
      </c>
      <c r="BX230" s="23">
        <f t="shared" ref="BX230" si="1961">BX152-BW152</f>
        <v>19.989999999999995</v>
      </c>
      <c r="BY230" s="23">
        <f t="shared" ref="BY230" si="1962">BY152-BX152</f>
        <v>0</v>
      </c>
      <c r="BZ230" s="23">
        <f t="shared" ref="BZ230" si="1963">BZ152-BY152</f>
        <v>-30.106999999999999</v>
      </c>
      <c r="CA230" s="23">
        <f t="shared" ref="CA230" si="1964">CA152-BZ152</f>
        <v>0</v>
      </c>
      <c r="CB230" s="23">
        <f t="shared" ref="CB230" si="1965">CB152-CA152</f>
        <v>86.132000000000005</v>
      </c>
      <c r="CC230" s="23">
        <f t="shared" ref="CC230" si="1966">CC152-CB152</f>
        <v>0</v>
      </c>
      <c r="CD230" s="23">
        <f t="shared" ref="CD230" si="1967">CD152-CC152</f>
        <v>-69.376000000000005</v>
      </c>
      <c r="CE230" s="23">
        <f t="shared" ref="CE230" si="1968">CE152-CD152</f>
        <v>0</v>
      </c>
      <c r="CF230" s="23">
        <f t="shared" ref="CF230" si="1969">CF152-CE152</f>
        <v>20.489000000000004</v>
      </c>
      <c r="CG230" s="23">
        <f t="shared" ref="CG230" si="1970">CG152-CF152</f>
        <v>0</v>
      </c>
      <c r="CH230" s="23">
        <f t="shared" ref="CH230:CL230" si="1971">CH152-CG152</f>
        <v>-1.2590000000000146</v>
      </c>
      <c r="CI230" s="23">
        <f t="shared" si="1971"/>
        <v>0</v>
      </c>
      <c r="CJ230" s="23">
        <f t="shared" si="1971"/>
        <v>18.107000000000014</v>
      </c>
      <c r="CK230" s="23">
        <f t="shared" ref="CK230" si="1972">CK152-CJ152</f>
        <v>0</v>
      </c>
      <c r="CL230" s="23">
        <f t="shared" si="1971"/>
        <v>5.3790000000000049</v>
      </c>
      <c r="CM230" s="24">
        <f t="shared" ref="CM230" si="1973">CM152-CL152</f>
        <v>0</v>
      </c>
      <c r="CN230" s="24">
        <f t="shared" ref="CN230" si="1974">CN152-CM152</f>
        <v>0</v>
      </c>
      <c r="CO230" s="24">
        <f t="shared" ref="CO230" si="1975">CO152-CN152</f>
        <v>0</v>
      </c>
      <c r="CP230" s="24">
        <f t="shared" ref="CP230" si="1976">CP152-CO152</f>
        <v>0</v>
      </c>
      <c r="CQ230" s="24">
        <f t="shared" ref="CQ230" si="1977">CQ152-CP152</f>
        <v>0</v>
      </c>
      <c r="CR230" s="24">
        <f t="shared" ref="CR230" si="1978">CR152-CQ152</f>
        <v>0</v>
      </c>
      <c r="CS230" s="24">
        <f t="shared" ref="CS230" si="1979">CS152-CR152</f>
        <v>0</v>
      </c>
      <c r="CT230" s="24">
        <f t="shared" ref="CT230" si="1980">CT152-CS152</f>
        <v>0</v>
      </c>
      <c r="CU230" s="24">
        <f t="shared" ref="CU230" si="1981">CU152-CT152</f>
        <v>0</v>
      </c>
      <c r="CV230" s="24">
        <f t="shared" ref="CV230" si="1982">CV152-CU152</f>
        <v>0</v>
      </c>
      <c r="CW230" s="24">
        <f t="shared" ref="CW230" si="1983">CW152-CV152</f>
        <v>0</v>
      </c>
      <c r="CX230" s="24">
        <f t="shared" ref="CX230" si="1984">CX152-CW152</f>
        <v>0</v>
      </c>
      <c r="CY230" s="24">
        <f t="shared" ref="CY230" si="1985">CY152-CX152</f>
        <v>0</v>
      </c>
      <c r="CZ230" s="24">
        <f t="shared" ref="CZ230" si="1986">CZ152-CY152</f>
        <v>0</v>
      </c>
      <c r="DA230" s="24">
        <f t="shared" ref="DA230" si="1987">DA152-CZ152</f>
        <v>0</v>
      </c>
      <c r="DB230" s="24">
        <f t="shared" ref="DB230" si="1988">DB152-DA152</f>
        <v>0</v>
      </c>
      <c r="DE230" s="123"/>
      <c r="DF230" s="23">
        <v>0</v>
      </c>
    </row>
    <row r="231" spans="1:110" s="23" customFormat="1" x14ac:dyDescent="0.2">
      <c r="A231" s="23" t="s">
        <v>27</v>
      </c>
      <c r="C231" s="23">
        <f t="shared" ref="C231:AE231" si="1989">C144-C72-B144+C146-B146</f>
        <v>0</v>
      </c>
      <c r="D231" s="23">
        <f t="shared" si="1989"/>
        <v>0</v>
      </c>
      <c r="E231" s="23">
        <f t="shared" si="1989"/>
        <v>0</v>
      </c>
      <c r="F231" s="23">
        <f t="shared" si="1989"/>
        <v>0</v>
      </c>
      <c r="G231" s="23">
        <f t="shared" si="1989"/>
        <v>0</v>
      </c>
      <c r="H231" s="23">
        <f t="shared" si="1989"/>
        <v>0</v>
      </c>
      <c r="I231" s="23">
        <f t="shared" si="1989"/>
        <v>340.47712689999992</v>
      </c>
      <c r="J231" s="23">
        <f t="shared" si="1989"/>
        <v>-7.019700000000114</v>
      </c>
      <c r="K231" s="23">
        <f t="shared" si="1989"/>
        <v>220.24229519999994</v>
      </c>
      <c r="L231" s="23">
        <f t="shared" si="1989"/>
        <v>62.541414699999905</v>
      </c>
      <c r="M231" s="23">
        <f t="shared" si="1989"/>
        <v>72.857000000000312</v>
      </c>
      <c r="N231" s="23">
        <f t="shared" si="1989"/>
        <v>161.87200000000053</v>
      </c>
      <c r="O231" s="23">
        <f t="shared" si="1989"/>
        <v>-24.626000000000204</v>
      </c>
      <c r="P231" s="23">
        <f t="shared" si="1989"/>
        <v>99.328999999999184</v>
      </c>
      <c r="Q231" s="23">
        <f t="shared" si="1989"/>
        <v>-21.322999999999507</v>
      </c>
      <c r="R231" s="23">
        <f t="shared" si="1989"/>
        <v>-24.339000000000826</v>
      </c>
      <c r="S231" s="23">
        <f t="shared" si="1989"/>
        <v>-2.9389999999994432</v>
      </c>
      <c r="T231" s="23">
        <f t="shared" si="1989"/>
        <v>4.0089999999998112</v>
      </c>
      <c r="U231" s="23">
        <f t="shared" si="1989"/>
        <v>236.97800000000115</v>
      </c>
      <c r="V231" s="23">
        <f t="shared" si="1989"/>
        <v>39.259999999999586</v>
      </c>
      <c r="W231" s="23">
        <f t="shared" si="1989"/>
        <v>-112.53500000000076</v>
      </c>
      <c r="X231" s="23">
        <f t="shared" si="1989"/>
        <v>-165.01000000000181</v>
      </c>
      <c r="Y231" s="23">
        <f t="shared" si="1989"/>
        <v>-215.28800000000041</v>
      </c>
      <c r="Z231" s="23">
        <f t="shared" si="1989"/>
        <v>-353.50699999999949</v>
      </c>
      <c r="AA231" s="23">
        <f t="shared" si="1989"/>
        <v>-455.08800000000247</v>
      </c>
      <c r="AB231" s="24">
        <f t="shared" si="1989"/>
        <v>-3.637978807091713E-12</v>
      </c>
      <c r="AC231" s="24">
        <f t="shared" si="1989"/>
        <v>7.2759576141834259E-12</v>
      </c>
      <c r="AD231" s="24">
        <f t="shared" si="1989"/>
        <v>3.637978807091713E-12</v>
      </c>
      <c r="AE231" s="24">
        <f t="shared" si="1989"/>
        <v>3.637978807091713E-12</v>
      </c>
      <c r="AI231" s="23">
        <f t="shared" ref="AI231:BN231" si="1990">AI144-AI72-AH144+AI146-AH146</f>
        <v>0</v>
      </c>
      <c r="AJ231" s="23">
        <f t="shared" si="1990"/>
        <v>0</v>
      </c>
      <c r="AK231" s="23">
        <f t="shared" si="1990"/>
        <v>0</v>
      </c>
      <c r="AL231" s="23">
        <f t="shared" si="1990"/>
        <v>0</v>
      </c>
      <c r="AM231" s="23">
        <f t="shared" si="1990"/>
        <v>0</v>
      </c>
      <c r="AN231" s="23">
        <f t="shared" si="1990"/>
        <v>0</v>
      </c>
      <c r="AO231" s="23">
        <f t="shared" si="1990"/>
        <v>0</v>
      </c>
      <c r="AP231" s="23">
        <f t="shared" si="1990"/>
        <v>0</v>
      </c>
      <c r="AQ231" s="23">
        <f t="shared" si="1990"/>
        <v>0</v>
      </c>
      <c r="AR231" s="23">
        <f t="shared" si="1990"/>
        <v>0</v>
      </c>
      <c r="AS231" s="23">
        <f t="shared" si="1990"/>
        <v>0</v>
      </c>
      <c r="AT231" s="23">
        <f t="shared" si="1990"/>
        <v>0</v>
      </c>
      <c r="AU231" s="23">
        <f t="shared" si="1990"/>
        <v>0</v>
      </c>
      <c r="AV231" s="23">
        <f t="shared" si="1990"/>
        <v>0</v>
      </c>
      <c r="AW231" s="23">
        <f t="shared" si="1990"/>
        <v>0</v>
      </c>
      <c r="AX231" s="23">
        <f t="shared" si="1990"/>
        <v>0</v>
      </c>
      <c r="AY231" s="23">
        <f t="shared" si="1990"/>
        <v>0</v>
      </c>
      <c r="AZ231" s="23">
        <f t="shared" si="1990"/>
        <v>0</v>
      </c>
      <c r="BA231" s="23">
        <f t="shared" si="1990"/>
        <v>0</v>
      </c>
      <c r="BB231" s="23">
        <f t="shared" si="1990"/>
        <v>0</v>
      </c>
      <c r="BC231" s="23">
        <f t="shared" si="1990"/>
        <v>0</v>
      </c>
      <c r="BD231" s="23">
        <f t="shared" si="1990"/>
        <v>0</v>
      </c>
      <c r="BE231" s="23">
        <f t="shared" si="1990"/>
        <v>0</v>
      </c>
      <c r="BF231" s="23">
        <f t="shared" si="1990"/>
        <v>2162.9490000000001</v>
      </c>
      <c r="BG231" s="23">
        <f t="shared" si="1990"/>
        <v>0</v>
      </c>
      <c r="BH231" s="23">
        <f t="shared" si="1990"/>
        <v>-2517.875</v>
      </c>
      <c r="BI231" s="23">
        <f t="shared" si="1990"/>
        <v>0</v>
      </c>
      <c r="BJ231" s="23">
        <f t="shared" si="1990"/>
        <v>2521.6619999999998</v>
      </c>
      <c r="BK231" s="23">
        <f t="shared" si="1990"/>
        <v>0</v>
      </c>
      <c r="BL231" s="23">
        <f t="shared" si="1990"/>
        <v>346.91900000000027</v>
      </c>
      <c r="BM231" s="23">
        <f t="shared" si="1990"/>
        <v>0</v>
      </c>
      <c r="BN231" s="23">
        <f t="shared" si="1990"/>
        <v>-109.94099999999956</v>
      </c>
      <c r="BO231" s="23">
        <f t="shared" ref="BO231:CT231" si="1991">BO144-BO72-BN144+BO146-BN146</f>
        <v>0</v>
      </c>
      <c r="BP231" s="23">
        <f t="shared" si="1991"/>
        <v>40.087000000000614</v>
      </c>
      <c r="BQ231" s="23">
        <f t="shared" si="1991"/>
        <v>0</v>
      </c>
      <c r="BR231" s="23">
        <f t="shared" si="1991"/>
        <v>-0.81800000000101036</v>
      </c>
      <c r="BS231" s="23">
        <f t="shared" si="1991"/>
        <v>0</v>
      </c>
      <c r="BT231" s="23">
        <f t="shared" si="1991"/>
        <v>-133.05099999999896</v>
      </c>
      <c r="BU231" s="23">
        <f t="shared" si="1991"/>
        <v>0</v>
      </c>
      <c r="BV231" s="23">
        <f t="shared" si="1991"/>
        <v>20.517000000000248</v>
      </c>
      <c r="BW231" s="23">
        <f t="shared" si="1991"/>
        <v>0</v>
      </c>
      <c r="BX231" s="23">
        <f t="shared" si="1991"/>
        <v>-192.84000000000046</v>
      </c>
      <c r="BY231" s="23">
        <f t="shared" si="1991"/>
        <v>0</v>
      </c>
      <c r="BZ231" s="23">
        <f t="shared" si="1991"/>
        <v>27.972000000001195</v>
      </c>
      <c r="CA231" s="23">
        <f t="shared" si="1991"/>
        <v>0</v>
      </c>
      <c r="CB231" s="23">
        <f t="shared" si="1991"/>
        <v>-259.56600000000145</v>
      </c>
      <c r="CC231" s="23">
        <f t="shared" si="1991"/>
        <v>0</v>
      </c>
      <c r="CD231" s="23">
        <f t="shared" si="1991"/>
        <v>44.277999999999224</v>
      </c>
      <c r="CE231" s="23">
        <f t="shared" si="1991"/>
        <v>1.8189894035458565E-12</v>
      </c>
      <c r="CF231" s="23">
        <f t="shared" si="1991"/>
        <v>-417.87100000000231</v>
      </c>
      <c r="CG231" s="23">
        <f t="shared" si="1991"/>
        <v>0</v>
      </c>
      <c r="CH231" s="23">
        <f t="shared" si="1991"/>
        <v>64.364000000000999</v>
      </c>
      <c r="CI231" s="23">
        <f t="shared" si="1991"/>
        <v>0</v>
      </c>
      <c r="CJ231" s="23">
        <f t="shared" si="1991"/>
        <v>-496.83499999999987</v>
      </c>
      <c r="CK231" s="23">
        <f t="shared" si="1991"/>
        <v>0</v>
      </c>
      <c r="CL231" s="23">
        <f t="shared" si="1991"/>
        <v>41.747000000001037</v>
      </c>
      <c r="CM231" s="24">
        <f t="shared" si="1991"/>
        <v>0</v>
      </c>
      <c r="CN231" s="24">
        <f t="shared" si="1991"/>
        <v>0</v>
      </c>
      <c r="CO231" s="24">
        <f t="shared" si="1991"/>
        <v>0</v>
      </c>
      <c r="CP231" s="24">
        <f t="shared" si="1991"/>
        <v>-1.8189894035458565E-12</v>
      </c>
      <c r="CQ231" s="24">
        <f t="shared" si="1991"/>
        <v>0</v>
      </c>
      <c r="CR231" s="24">
        <f t="shared" si="1991"/>
        <v>1.8189894035458565E-12</v>
      </c>
      <c r="CS231" s="24">
        <f t="shared" si="1991"/>
        <v>0</v>
      </c>
      <c r="CT231" s="24">
        <f t="shared" si="1991"/>
        <v>0</v>
      </c>
      <c r="CU231" s="24">
        <f t="shared" ref="CU231:DB231" si="1992">CU144-CU72-CT144+CU146-CT146</f>
        <v>0</v>
      </c>
      <c r="CV231" s="24">
        <f t="shared" si="1992"/>
        <v>0</v>
      </c>
      <c r="CW231" s="24">
        <f t="shared" si="1992"/>
        <v>0</v>
      </c>
      <c r="CX231" s="24">
        <f t="shared" si="1992"/>
        <v>0</v>
      </c>
      <c r="CY231" s="24">
        <f t="shared" si="1992"/>
        <v>0</v>
      </c>
      <c r="CZ231" s="24">
        <f t="shared" si="1992"/>
        <v>0</v>
      </c>
      <c r="DA231" s="24">
        <f t="shared" si="1992"/>
        <v>0</v>
      </c>
      <c r="DB231" s="24">
        <f t="shared" si="1992"/>
        <v>0</v>
      </c>
      <c r="DE231" s="123"/>
      <c r="DF231" s="23">
        <v>0</v>
      </c>
    </row>
    <row r="232" spans="1:110" s="23" customFormat="1" x14ac:dyDescent="0.2">
      <c r="AB232" s="24"/>
      <c r="AC232" s="24"/>
      <c r="AD232" s="24"/>
      <c r="AE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E232" s="123"/>
    </row>
    <row r="233" spans="1:110" s="23" customFormat="1" x14ac:dyDescent="0.2">
      <c r="A233" s="23" t="s">
        <v>442</v>
      </c>
      <c r="C233" s="23">
        <f t="shared" ref="C233" si="1993">B185</f>
        <v>0</v>
      </c>
      <c r="D233" s="23">
        <f t="shared" ref="D233" si="1994">C185</f>
        <v>0</v>
      </c>
      <c r="E233" s="23">
        <f>D185</f>
        <v>0</v>
      </c>
      <c r="F233" s="23">
        <f t="shared" ref="F233" si="1995">E185</f>
        <v>0</v>
      </c>
      <c r="G233" s="23">
        <f t="shared" ref="G233" si="1996">F185</f>
        <v>0</v>
      </c>
      <c r="H233" s="23">
        <f t="shared" ref="H233" si="1997">G185</f>
        <v>0</v>
      </c>
      <c r="I233" s="23">
        <f t="shared" ref="I233" si="1998">H185</f>
        <v>0</v>
      </c>
      <c r="J233" s="23">
        <f>I185</f>
        <v>16.5096481</v>
      </c>
      <c r="K233" s="23">
        <f>J185</f>
        <v>25.330427700000001</v>
      </c>
      <c r="L233" s="23">
        <f t="shared" ref="L233" si="1999">K185</f>
        <v>27.9961527</v>
      </c>
      <c r="M233" s="23">
        <f t="shared" ref="M233" si="2000">L185</f>
        <v>12.016999999999999</v>
      </c>
      <c r="N233" s="23">
        <f t="shared" ref="N233" si="2001">M185</f>
        <v>21.405000000000001</v>
      </c>
      <c r="O233" s="23">
        <f t="shared" ref="O233" si="2002">N185</f>
        <v>34.298999999999999</v>
      </c>
      <c r="P233" s="23">
        <f t="shared" ref="P233" si="2003">O185</f>
        <v>27.09</v>
      </c>
      <c r="Q233" s="23">
        <f t="shared" ref="Q233" si="2004">P185</f>
        <v>26.984000000000002</v>
      </c>
      <c r="R233" s="23">
        <f t="shared" ref="R233" si="2005">Q185</f>
        <v>50.73</v>
      </c>
      <c r="S233" s="23">
        <f t="shared" ref="S233" si="2006">R185</f>
        <v>30.157</v>
      </c>
      <c r="T233" s="23">
        <f t="shared" ref="T233" si="2007">S185</f>
        <v>10.641999999999999</v>
      </c>
      <c r="U233" s="23">
        <f t="shared" ref="U233" si="2008">T185</f>
        <v>316.649</v>
      </c>
      <c r="V233" s="23">
        <f t="shared" ref="V233" si="2009">U185</f>
        <v>321.30700000000002</v>
      </c>
      <c r="W233" s="23">
        <f t="shared" ref="W233:AA233" si="2010">V185</f>
        <v>1154.4449999999999</v>
      </c>
      <c r="X233" s="23">
        <f t="shared" si="2010"/>
        <v>1171.1690000000001</v>
      </c>
      <c r="Y233" s="23">
        <f t="shared" si="2010"/>
        <v>2045.7379999999998</v>
      </c>
      <c r="Z233" s="23">
        <f t="shared" si="2010"/>
        <v>2224.7750000000001</v>
      </c>
      <c r="AA233" s="23">
        <f t="shared" si="2010"/>
        <v>2519.6779999999999</v>
      </c>
      <c r="AB233" s="24">
        <f t="shared" ref="AB233" si="2011">AA185</f>
        <v>4287.2929999999997</v>
      </c>
      <c r="AC233" s="24">
        <f t="shared" ref="AC233" si="2012">AB185</f>
        <v>4100.6459967087085</v>
      </c>
      <c r="AD233" s="24">
        <f t="shared" ref="AD233" si="2013">AC185</f>
        <v>5958.1545956247128</v>
      </c>
      <c r="AE233" s="24">
        <f t="shared" ref="AE233" si="2014">AD185</f>
        <v>8575.5854845973463</v>
      </c>
      <c r="AI233" s="23">
        <f t="shared" ref="AI233" si="2015">AH185</f>
        <v>0</v>
      </c>
      <c r="AJ233" s="23">
        <f t="shared" ref="AJ233" si="2016">AI185</f>
        <v>0</v>
      </c>
      <c r="AK233" s="23">
        <f t="shared" ref="AK233" si="2017">AJ185</f>
        <v>0</v>
      </c>
      <c r="AL233" s="23" t="e">
        <f t="shared" ref="AL233" si="2018">AK185</f>
        <v>#DIV/0!</v>
      </c>
      <c r="AM233" s="23">
        <f t="shared" ref="AM233" si="2019">AL185</f>
        <v>0</v>
      </c>
      <c r="AN233" s="23" t="e">
        <f t="shared" ref="AN233" si="2020">AM185</f>
        <v>#DIV/0!</v>
      </c>
      <c r="AO233" s="23">
        <f t="shared" ref="AO233" si="2021">AN185</f>
        <v>0</v>
      </c>
      <c r="AP233" s="23" t="e">
        <f t="shared" ref="AP233" si="2022">AO185</f>
        <v>#DIV/0!</v>
      </c>
      <c r="AQ233" s="23">
        <f t="shared" ref="AQ233" si="2023">AP185</f>
        <v>0</v>
      </c>
      <c r="AR233" s="23" t="e">
        <f t="shared" ref="AR233" si="2024">AQ185</f>
        <v>#DIV/0!</v>
      </c>
      <c r="AS233" s="23">
        <f t="shared" ref="AS233" si="2025">AR185</f>
        <v>0</v>
      </c>
      <c r="AT233" s="23" t="e">
        <f t="shared" ref="AT233" si="2026">AS185</f>
        <v>#DIV/0!</v>
      </c>
      <c r="AU233" s="23">
        <f t="shared" ref="AU233" si="2027">AT185</f>
        <v>0</v>
      </c>
      <c r="AV233" s="23" t="e">
        <f t="shared" ref="AV233" si="2028">AU185</f>
        <v>#DIV/0!</v>
      </c>
      <c r="AW233" s="23">
        <f t="shared" ref="AW233" si="2029">AV185</f>
        <v>0</v>
      </c>
      <c r="AX233" s="23" t="e">
        <f t="shared" ref="AX233" si="2030">AW185</f>
        <v>#DIV/0!</v>
      </c>
      <c r="AY233" s="23">
        <f t="shared" ref="AY233" si="2031">AX185</f>
        <v>0</v>
      </c>
      <c r="AZ233" s="23" t="e">
        <f t="shared" ref="AZ233" si="2032">AY185</f>
        <v>#DIV/0!</v>
      </c>
      <c r="BA233" s="23">
        <f t="shared" ref="BA233" si="2033">AZ185</f>
        <v>0</v>
      </c>
      <c r="BB233" s="23" t="e">
        <f t="shared" ref="BB233" si="2034">BA185</f>
        <v>#DIV/0!</v>
      </c>
      <c r="BC233" s="23">
        <f t="shared" ref="BC233" si="2035">BB185</f>
        <v>0</v>
      </c>
      <c r="BD233" s="23" t="e">
        <f t="shared" ref="BD233" si="2036">BC185</f>
        <v>#DIV/0!</v>
      </c>
      <c r="BE233" s="23">
        <f t="shared" ref="BE233" si="2037">BD185</f>
        <v>0</v>
      </c>
      <c r="BF233" s="23" t="e">
        <f t="shared" ref="BF233" si="2038">BE185</f>
        <v>#DIV/0!</v>
      </c>
      <c r="BG233" s="23">
        <f t="shared" ref="BG233" si="2039">BF185</f>
        <v>10.641999999999999</v>
      </c>
      <c r="BH233" s="23">
        <f t="shared" ref="BH233" si="2040">BG185</f>
        <v>439.09164411352992</v>
      </c>
      <c r="BI233" s="23">
        <f t="shared" ref="BI233" si="2041">BH185</f>
        <v>0</v>
      </c>
      <c r="BJ233" s="23">
        <f t="shared" ref="BJ233" si="2042">BI185</f>
        <v>193.3360000000001</v>
      </c>
      <c r="BK233" s="23">
        <f t="shared" ref="BK233" si="2043">BJ185</f>
        <v>316.649</v>
      </c>
      <c r="BL233" s="23">
        <f t="shared" ref="BL233" si="2044">BK185</f>
        <v>827.53691654350894</v>
      </c>
      <c r="BM233" s="23">
        <f t="shared" ref="BM233" si="2045">BL185</f>
        <v>557.61</v>
      </c>
      <c r="BN233" s="23">
        <f t="shared" ref="BN233" si="2046">BM185</f>
        <v>574.31680472786331</v>
      </c>
      <c r="BO233" s="23">
        <f t="shared" ref="BO233" si="2047">BN185</f>
        <v>321.30700000000002</v>
      </c>
      <c r="BP233" s="23">
        <f t="shared" ref="BP233" si="2048">BO185</f>
        <v>1524.3121243840346</v>
      </c>
      <c r="BQ233" s="23">
        <f t="shared" ref="BQ233" si="2049">BP185</f>
        <v>899.80199999999991</v>
      </c>
      <c r="BR233" s="23">
        <f t="shared" ref="BR233" si="2050">BQ185</f>
        <v>624.582024655552</v>
      </c>
      <c r="BS233" s="23">
        <f t="shared" ref="BS233" si="2051">BR185</f>
        <v>1154.4449999999999</v>
      </c>
      <c r="BT233" s="23">
        <f t="shared" ref="BT233" si="2052">BS185</f>
        <v>1995.5008774183657</v>
      </c>
      <c r="BU233" s="23">
        <f t="shared" ref="BU233" si="2053">BT185</f>
        <v>904.07600000000002</v>
      </c>
      <c r="BV233" s="23">
        <f t="shared" ref="BV233" si="2054">BU185</f>
        <v>983.4808614201313</v>
      </c>
      <c r="BW233" s="23">
        <f t="shared" ref="BW233" si="2055">BV185</f>
        <v>1171.1690000000001</v>
      </c>
      <c r="BX233" s="23">
        <f t="shared" ref="BX233" si="2056">BW185</f>
        <v>2098.8315850064314</v>
      </c>
      <c r="BY233" s="23">
        <f t="shared" ref="BY233" si="2057">BX185</f>
        <v>1767.6289999999999</v>
      </c>
      <c r="BZ233" s="23">
        <f t="shared" ref="BZ233" si="2058">BY185</f>
        <v>1928.6839779453458</v>
      </c>
      <c r="CA233" s="23">
        <f t="shared" ref="CA233" si="2059">BZ185</f>
        <v>2045.7379999999998</v>
      </c>
      <c r="CB233" s="23">
        <f t="shared" ref="CB233" si="2060">CA185</f>
        <v>2785.9846178173175</v>
      </c>
      <c r="CC233" s="23">
        <f t="shared" ref="CC233" si="2061">CB185</f>
        <v>1687.7170000000001</v>
      </c>
      <c r="CD233" s="23">
        <f t="shared" ref="CD233" si="2062">CC185</f>
        <v>2017.0865984581164</v>
      </c>
      <c r="CE233" s="23">
        <f t="shared" ref="CE233" si="2063">CD185</f>
        <v>2224.7750000000001</v>
      </c>
      <c r="CF233" s="23">
        <f t="shared" ref="CF233" si="2064">CE185</f>
        <v>3375.3608824441471</v>
      </c>
      <c r="CG233" s="23">
        <f t="shared" ref="CG233" si="2065">CF185</f>
        <v>2529.5280000000002</v>
      </c>
      <c r="CH233" s="23">
        <f t="shared" ref="CH233:CL233" si="2066">CG185</f>
        <v>3252.8593633350874</v>
      </c>
      <c r="CI233" s="23">
        <f t="shared" si="2066"/>
        <v>2519.6779999999999</v>
      </c>
      <c r="CJ233" s="23">
        <f t="shared" si="2066"/>
        <v>3793.4290334696198</v>
      </c>
      <c r="CK233" s="23">
        <f t="shared" ref="CK233" si="2067">CJ185</f>
        <v>2796.3940000000002</v>
      </c>
      <c r="CL233" s="23">
        <f t="shared" si="2066"/>
        <v>2711.0328537654536</v>
      </c>
      <c r="CM233" s="24">
        <f t="shared" ref="CM233" si="2068">CL185</f>
        <v>4287.2929999999997</v>
      </c>
      <c r="CN233" s="24">
        <f t="shared" ref="CN233" si="2069">CM185</f>
        <v>3871.2539063706326</v>
      </c>
      <c r="CO233" s="24">
        <f t="shared" ref="CO233" si="2070">CN185</f>
        <v>4275.1665375133516</v>
      </c>
      <c r="CP233" s="24">
        <f t="shared" ref="CP233" si="2071">CO185</f>
        <v>4089.6876437822975</v>
      </c>
      <c r="CQ233" s="24">
        <f t="shared" ref="CQ233" si="2072">CP185</f>
        <v>4100.6459967087085</v>
      </c>
      <c r="CR233" s="24">
        <f t="shared" ref="CR233" si="2073">CQ185</f>
        <v>5736.6189724649676</v>
      </c>
      <c r="CS233" s="24">
        <f t="shared" ref="CS233" si="2074">CR185</f>
        <v>5994.9655730809454</v>
      </c>
      <c r="CT233" s="24">
        <f t="shared" ref="CT233" si="2075">CS185</f>
        <v>5858.7278094852027</v>
      </c>
      <c r="CU233" s="24">
        <f t="shared" ref="CU233" si="2076">CT185</f>
        <v>5958.1545956247128</v>
      </c>
      <c r="CV233" s="24">
        <f t="shared" ref="CV233" si="2077">CU185</f>
        <v>8088.107801715717</v>
      </c>
      <c r="CW233" s="24">
        <f t="shared" ref="CW233" si="2078">CV185</f>
        <v>8447.4143995473423</v>
      </c>
      <c r="CX233" s="24">
        <f t="shared" ref="CX233" si="2079">CW185</f>
        <v>8366.8632629981203</v>
      </c>
      <c r="CY233" s="24">
        <f t="shared" ref="CY233" si="2080">CX185</f>
        <v>8575.5854845973463</v>
      </c>
      <c r="CZ233" s="24">
        <f t="shared" ref="CZ233" si="2081">CY185</f>
        <v>11067.077955757199</v>
      </c>
      <c r="DA233" s="24">
        <f t="shared" ref="DA233" si="2082">CZ185</f>
        <v>11535.750642829609</v>
      </c>
      <c r="DB233" s="24">
        <f t="shared" ref="DB233" si="2083">DA185</f>
        <v>11495.543960117062</v>
      </c>
      <c r="DE233" s="123"/>
      <c r="DF233" s="23">
        <v>2711.0328537654536</v>
      </c>
    </row>
    <row r="234" spans="1:110" s="23" customFormat="1" x14ac:dyDescent="0.2">
      <c r="A234" s="23" t="s">
        <v>443</v>
      </c>
      <c r="C234" s="23">
        <f t="shared" ref="C234:W234" si="2084">C233+C229+C225+C223</f>
        <v>0</v>
      </c>
      <c r="D234" s="23">
        <f t="shared" si="2084"/>
        <v>0</v>
      </c>
      <c r="E234" s="23">
        <f t="shared" si="2084"/>
        <v>0</v>
      </c>
      <c r="F234" s="23">
        <f t="shared" si="2084"/>
        <v>0</v>
      </c>
      <c r="G234" s="23">
        <f t="shared" si="2084"/>
        <v>0</v>
      </c>
      <c r="H234" s="23">
        <f t="shared" si="2084"/>
        <v>0</v>
      </c>
      <c r="I234" s="23">
        <f t="shared" si="2084"/>
        <v>16.509648100000277</v>
      </c>
      <c r="J234" s="23">
        <f>J233+J229+J225+J223</f>
        <v>25.330427699999973</v>
      </c>
      <c r="K234" s="23">
        <f>K233+K229+K225+K223</f>
        <v>27.996152699999584</v>
      </c>
      <c r="L234" s="23">
        <f>L233+L229+L225+L223</f>
        <v>12.017000000000337</v>
      </c>
      <c r="M234" s="23">
        <f>M233+M229+M225+M223</f>
        <v>21.404999999999973</v>
      </c>
      <c r="N234" s="23">
        <f t="shared" si="2084"/>
        <v>34.299000000000206</v>
      </c>
      <c r="O234" s="23">
        <f t="shared" si="2084"/>
        <v>27.090000000000174</v>
      </c>
      <c r="P234" s="23">
        <f t="shared" si="2084"/>
        <v>26.983999999999639</v>
      </c>
      <c r="Q234" s="23">
        <f t="shared" si="2084"/>
        <v>50.730000000000359</v>
      </c>
      <c r="R234" s="23">
        <f t="shared" si="2084"/>
        <v>30.156999999999641</v>
      </c>
      <c r="S234" s="23">
        <f t="shared" si="2084"/>
        <v>10.642000000000309</v>
      </c>
      <c r="T234" s="23">
        <f t="shared" si="2084"/>
        <v>316.64899999999921</v>
      </c>
      <c r="U234" s="23">
        <f t="shared" si="2084"/>
        <v>321.3070000000011</v>
      </c>
      <c r="V234" s="23">
        <f t="shared" si="2084"/>
        <v>1154.444999999999</v>
      </c>
      <c r="W234" s="23">
        <f t="shared" si="2084"/>
        <v>1171.1690000000003</v>
      </c>
      <c r="X234" s="23">
        <f t="shared" ref="X234:Y234" si="2085">X233+X229+X225+X223</f>
        <v>2045.738000000001</v>
      </c>
      <c r="Y234" s="23">
        <f t="shared" si="2085"/>
        <v>2224.7749999999987</v>
      </c>
      <c r="Z234" s="23">
        <f t="shared" ref="Z234:AA234" si="2086">Z233+Z229+Z225+Z223</f>
        <v>2519.6780000000012</v>
      </c>
      <c r="AA234" s="23">
        <f t="shared" si="2086"/>
        <v>4287.2929999999997</v>
      </c>
      <c r="AB234" s="24">
        <f t="shared" ref="AA234:AD234" si="2087">AB233+AB229+AB225+AB223</f>
        <v>4100.6459967087085</v>
      </c>
      <c r="AC234" s="24">
        <f t="shared" si="2087"/>
        <v>5958.1545956247146</v>
      </c>
      <c r="AD234" s="24">
        <f t="shared" si="2087"/>
        <v>8575.5854845973481</v>
      </c>
      <c r="AE234" s="24">
        <f t="shared" ref="AE234" si="2088">AE233+AE229+AE225+AE223</f>
        <v>11787.01321868477</v>
      </c>
      <c r="AI234" s="23">
        <f t="shared" ref="AI234" si="2089">AI233+AI229+AI225+AI223</f>
        <v>0</v>
      </c>
      <c r="AJ234" s="23">
        <f t="shared" ref="AJ234:AL234" si="2090">AJ233+AJ229+AJ225+AJ223</f>
        <v>0</v>
      </c>
      <c r="AK234" s="23" t="e">
        <f t="shared" si="2090"/>
        <v>#DIV/0!</v>
      </c>
      <c r="AL234" s="23" t="e">
        <f t="shared" si="2090"/>
        <v>#DIV/0!</v>
      </c>
      <c r="AM234" s="23" t="e">
        <f t="shared" ref="AM234" si="2091">AM233+AM229+AM225+AM223</f>
        <v>#DIV/0!</v>
      </c>
      <c r="AN234" s="23" t="e">
        <f t="shared" ref="AN234:CD234" si="2092">AN233+AN229+AN225+AN223</f>
        <v>#DIV/0!</v>
      </c>
      <c r="AO234" s="23" t="e">
        <f t="shared" si="2092"/>
        <v>#DIV/0!</v>
      </c>
      <c r="AP234" s="23" t="e">
        <f t="shared" si="2092"/>
        <v>#DIV/0!</v>
      </c>
      <c r="AQ234" s="23" t="e">
        <f t="shared" si="2092"/>
        <v>#DIV/0!</v>
      </c>
      <c r="AR234" s="23" t="e">
        <f t="shared" si="2092"/>
        <v>#DIV/0!</v>
      </c>
      <c r="AS234" s="23" t="e">
        <f t="shared" si="2092"/>
        <v>#DIV/0!</v>
      </c>
      <c r="AT234" s="23" t="e">
        <f t="shared" si="2092"/>
        <v>#DIV/0!</v>
      </c>
      <c r="AU234" s="23" t="e">
        <f t="shared" si="2092"/>
        <v>#DIV/0!</v>
      </c>
      <c r="AV234" s="23" t="e">
        <f t="shared" si="2092"/>
        <v>#DIV/0!</v>
      </c>
      <c r="AW234" s="23" t="e">
        <f t="shared" si="2092"/>
        <v>#DIV/0!</v>
      </c>
      <c r="AX234" s="23" t="e">
        <f t="shared" si="2092"/>
        <v>#DIV/0!</v>
      </c>
      <c r="AY234" s="23" t="e">
        <f t="shared" si="2092"/>
        <v>#DIV/0!</v>
      </c>
      <c r="AZ234" s="23" t="e">
        <f t="shared" si="2092"/>
        <v>#DIV/0!</v>
      </c>
      <c r="BA234" s="23" t="e">
        <f t="shared" si="2092"/>
        <v>#DIV/0!</v>
      </c>
      <c r="BB234" s="23" t="e">
        <f t="shared" si="2092"/>
        <v>#DIV/0!</v>
      </c>
      <c r="BC234" s="23" t="e">
        <f t="shared" si="2092"/>
        <v>#DIV/0!</v>
      </c>
      <c r="BD234" s="23" t="e">
        <f t="shared" si="2092"/>
        <v>#DIV/0!</v>
      </c>
      <c r="BE234" s="23" t="e">
        <f t="shared" si="2092"/>
        <v>#DIV/0!</v>
      </c>
      <c r="BF234" s="23" t="e">
        <f t="shared" si="2092"/>
        <v>#DIV/0!</v>
      </c>
      <c r="BG234" s="23">
        <f t="shared" si="2092"/>
        <v>439.09164411352992</v>
      </c>
      <c r="BH234" s="23">
        <f t="shared" si="2092"/>
        <v>0</v>
      </c>
      <c r="BI234" s="23">
        <f t="shared" si="2092"/>
        <v>193.3360000000001</v>
      </c>
      <c r="BJ234" s="23">
        <f t="shared" si="2092"/>
        <v>316.64899999999989</v>
      </c>
      <c r="BK234" s="23">
        <f t="shared" si="2092"/>
        <v>827.53691654350894</v>
      </c>
      <c r="BL234" s="23">
        <f t="shared" si="2092"/>
        <v>557.61000000000092</v>
      </c>
      <c r="BM234" s="23">
        <f t="shared" si="2092"/>
        <v>574.31680472786331</v>
      </c>
      <c r="BN234" s="23">
        <f t="shared" si="2092"/>
        <v>321.30700000000002</v>
      </c>
      <c r="BO234" s="23">
        <f t="shared" si="2092"/>
        <v>1524.3121243840346</v>
      </c>
      <c r="BP234" s="23">
        <f t="shared" si="2092"/>
        <v>899.80200000000082</v>
      </c>
      <c r="BQ234" s="23">
        <f t="shared" si="2092"/>
        <v>624.582024655552</v>
      </c>
      <c r="BR234" s="23">
        <f t="shared" si="2092"/>
        <v>1154.4449999999986</v>
      </c>
      <c r="BS234" s="23">
        <f t="shared" si="2092"/>
        <v>1995.5008774183657</v>
      </c>
      <c r="BT234" s="23">
        <f t="shared" si="2092"/>
        <v>904.07600000000014</v>
      </c>
      <c r="BU234" s="23">
        <f t="shared" si="2092"/>
        <v>983.4808614201313</v>
      </c>
      <c r="BV234" s="23">
        <f t="shared" si="2092"/>
        <v>1171.1690000000008</v>
      </c>
      <c r="BW234" s="23">
        <f t="shared" si="2092"/>
        <v>2098.8315850064314</v>
      </c>
      <c r="BX234" s="23">
        <f t="shared" si="2092"/>
        <v>1767.6289999999999</v>
      </c>
      <c r="BY234" s="23">
        <f t="shared" si="2092"/>
        <v>1928.6839779453458</v>
      </c>
      <c r="BZ234" s="23">
        <f t="shared" si="2092"/>
        <v>2045.7380000000014</v>
      </c>
      <c r="CA234" s="23">
        <f t="shared" si="2092"/>
        <v>2785.9846178173175</v>
      </c>
      <c r="CB234" s="23">
        <f t="shared" si="2092"/>
        <v>1687.7169999999974</v>
      </c>
      <c r="CC234" s="23">
        <f t="shared" si="2092"/>
        <v>2017.0865984581164</v>
      </c>
      <c r="CD234" s="23">
        <f t="shared" si="2092"/>
        <v>2224.7749999999996</v>
      </c>
      <c r="CE234" s="23">
        <f t="shared" ref="CE234:CF234" si="2093">CE233+CE229+CE225+CE223</f>
        <v>3375.3608824441471</v>
      </c>
      <c r="CF234" s="23">
        <f t="shared" si="2093"/>
        <v>2529.5279999999984</v>
      </c>
      <c r="CG234" s="23">
        <f t="shared" ref="CG234:CH234" si="2094">CG233+CG229+CG225+CG223</f>
        <v>3252.8593633350874</v>
      </c>
      <c r="CH234" s="23">
        <f t="shared" si="2094"/>
        <v>2519.6780000000008</v>
      </c>
      <c r="CI234" s="23">
        <f t="shared" ref="CI234:CJ234" si="2095">CI233+CI229+CI225+CI223</f>
        <v>3793.4290334696198</v>
      </c>
      <c r="CJ234" s="23">
        <f t="shared" si="2095"/>
        <v>2796.3940000000011</v>
      </c>
      <c r="CK234" s="23">
        <f t="shared" ref="CK234:DB234" si="2096">CK233+CK229+CK225+CK223</f>
        <v>2711.0328537654536</v>
      </c>
      <c r="CL234" s="23">
        <f t="shared" si="2096"/>
        <v>4287.2929999999988</v>
      </c>
      <c r="CM234" s="24">
        <f t="shared" si="2096"/>
        <v>3871.2539063706326</v>
      </c>
      <c r="CN234" s="24">
        <f t="shared" si="2096"/>
        <v>4275.1665375133516</v>
      </c>
      <c r="CO234" s="24">
        <f t="shared" si="2096"/>
        <v>4089.6876437822975</v>
      </c>
      <c r="CP234" s="24">
        <f t="shared" si="2096"/>
        <v>4100.6459967087085</v>
      </c>
      <c r="CQ234" s="24">
        <f t="shared" si="2096"/>
        <v>5736.6189724649676</v>
      </c>
      <c r="CR234" s="24">
        <f t="shared" si="2096"/>
        <v>5994.9655730809454</v>
      </c>
      <c r="CS234" s="24">
        <f t="shared" si="2096"/>
        <v>5858.7278094852027</v>
      </c>
      <c r="CT234" s="24">
        <f t="shared" si="2096"/>
        <v>5958.1545956247128</v>
      </c>
      <c r="CU234" s="24">
        <f t="shared" si="2096"/>
        <v>8088.107801715717</v>
      </c>
      <c r="CV234" s="24">
        <f t="shared" si="2096"/>
        <v>8447.4143995473423</v>
      </c>
      <c r="CW234" s="24">
        <f t="shared" si="2096"/>
        <v>8366.8632629981203</v>
      </c>
      <c r="CX234" s="24">
        <f t="shared" si="2096"/>
        <v>8575.5854845973463</v>
      </c>
      <c r="CY234" s="24">
        <f t="shared" si="2096"/>
        <v>11067.077955757199</v>
      </c>
      <c r="CZ234" s="24">
        <f t="shared" si="2096"/>
        <v>11535.750642829609</v>
      </c>
      <c r="DA234" s="24">
        <f t="shared" si="2096"/>
        <v>11495.543960117062</v>
      </c>
      <c r="DB234" s="24">
        <f t="shared" si="2096"/>
        <v>11787.013218684773</v>
      </c>
      <c r="DE234" s="123"/>
      <c r="DF234" s="23">
        <v>2727.1982516682151</v>
      </c>
    </row>
    <row r="235" spans="1:110" s="28" customFormat="1" x14ac:dyDescent="0.2">
      <c r="A235" s="28" t="s">
        <v>444</v>
      </c>
      <c r="C235" s="28">
        <f t="shared" ref="C235:W235" si="2097">C234-C185</f>
        <v>0</v>
      </c>
      <c r="D235" s="28">
        <f t="shared" si="2097"/>
        <v>0</v>
      </c>
      <c r="E235" s="28">
        <f t="shared" si="2097"/>
        <v>0</v>
      </c>
      <c r="F235" s="28">
        <f t="shared" si="2097"/>
        <v>0</v>
      </c>
      <c r="G235" s="28">
        <f t="shared" si="2097"/>
        <v>0</v>
      </c>
      <c r="H235" s="28">
        <f t="shared" si="2097"/>
        <v>0</v>
      </c>
      <c r="I235" s="28">
        <f t="shared" si="2097"/>
        <v>2.7711166694643907E-13</v>
      </c>
      <c r="J235" s="28">
        <f>J234-J185</f>
        <v>-2.8421709430404007E-14</v>
      </c>
      <c r="K235" s="28">
        <f t="shared" si="2097"/>
        <v>-4.1566750041965861E-13</v>
      </c>
      <c r="L235" s="28">
        <f t="shared" si="2097"/>
        <v>3.3750779948604759E-13</v>
      </c>
      <c r="M235" s="28">
        <f t="shared" si="2097"/>
        <v>-2.8421709430404007E-14</v>
      </c>
      <c r="N235" s="28">
        <f t="shared" si="2097"/>
        <v>2.0605739337042905E-13</v>
      </c>
      <c r="O235" s="28">
        <f t="shared" si="2097"/>
        <v>1.7408297026122455E-13</v>
      </c>
      <c r="P235" s="28">
        <f t="shared" si="2097"/>
        <v>-3.6237679523765109E-13</v>
      </c>
      <c r="Q235" s="28">
        <f t="shared" si="2097"/>
        <v>3.6237679523765109E-13</v>
      </c>
      <c r="R235" s="28">
        <f t="shared" si="2097"/>
        <v>-3.5882408155885059E-13</v>
      </c>
      <c r="S235" s="28">
        <f t="shared" si="2097"/>
        <v>3.0908609005564358E-13</v>
      </c>
      <c r="T235" s="28">
        <f t="shared" si="2097"/>
        <v>-7.9580786405131221E-13</v>
      </c>
      <c r="U235" s="28">
        <f t="shared" si="2097"/>
        <v>1.0800249583553523E-12</v>
      </c>
      <c r="V235" s="28">
        <f t="shared" si="2097"/>
        <v>0</v>
      </c>
      <c r="W235" s="28">
        <f t="shared" si="2097"/>
        <v>0</v>
      </c>
      <c r="X235" s="28">
        <f t="shared" ref="X235:Y235" si="2098">X234-X185</f>
        <v>0</v>
      </c>
      <c r="Y235" s="28">
        <f t="shared" si="2098"/>
        <v>0</v>
      </c>
      <c r="Z235" s="28">
        <f t="shared" ref="Z235:AA235" si="2099">Z234-Z185</f>
        <v>0</v>
      </c>
      <c r="AA235" s="28">
        <f t="shared" si="2099"/>
        <v>0</v>
      </c>
      <c r="AB235" s="30">
        <f t="shared" ref="AA235:AD235" si="2100">AB234-AB185</f>
        <v>0</v>
      </c>
      <c r="AC235" s="30">
        <f t="shared" si="2100"/>
        <v>0</v>
      </c>
      <c r="AD235" s="30">
        <f t="shared" si="2100"/>
        <v>0</v>
      </c>
      <c r="AE235" s="30">
        <f t="shared" ref="AE235" si="2101">AE234-AE185</f>
        <v>0</v>
      </c>
      <c r="AI235" s="28">
        <f t="shared" ref="AI235" si="2102">AI234-AI185</f>
        <v>0</v>
      </c>
      <c r="AJ235" s="28">
        <f t="shared" ref="AJ235:AL235" si="2103">AJ234-AJ185</f>
        <v>0</v>
      </c>
      <c r="AK235" s="28" t="e">
        <f t="shared" si="2103"/>
        <v>#DIV/0!</v>
      </c>
      <c r="AL235" s="28" t="e">
        <f t="shared" si="2103"/>
        <v>#DIV/0!</v>
      </c>
      <c r="AM235" s="28" t="e">
        <f t="shared" ref="AM235" si="2104">AM234-AM185</f>
        <v>#DIV/0!</v>
      </c>
      <c r="AN235" s="28" t="e">
        <f t="shared" ref="AN235:CD235" si="2105">AN234-AN185</f>
        <v>#DIV/0!</v>
      </c>
      <c r="AO235" s="28" t="e">
        <f t="shared" si="2105"/>
        <v>#DIV/0!</v>
      </c>
      <c r="AP235" s="28" t="e">
        <f t="shared" si="2105"/>
        <v>#DIV/0!</v>
      </c>
      <c r="AQ235" s="28" t="e">
        <f t="shared" si="2105"/>
        <v>#DIV/0!</v>
      </c>
      <c r="AR235" s="28" t="e">
        <f t="shared" si="2105"/>
        <v>#DIV/0!</v>
      </c>
      <c r="AS235" s="28" t="e">
        <f t="shared" si="2105"/>
        <v>#DIV/0!</v>
      </c>
      <c r="AT235" s="28" t="e">
        <f t="shared" si="2105"/>
        <v>#DIV/0!</v>
      </c>
      <c r="AU235" s="28" t="e">
        <f t="shared" si="2105"/>
        <v>#DIV/0!</v>
      </c>
      <c r="AV235" s="28" t="e">
        <f t="shared" si="2105"/>
        <v>#DIV/0!</v>
      </c>
      <c r="AW235" s="28" t="e">
        <f t="shared" si="2105"/>
        <v>#DIV/0!</v>
      </c>
      <c r="AX235" s="28" t="e">
        <f t="shared" si="2105"/>
        <v>#DIV/0!</v>
      </c>
      <c r="AY235" s="28" t="e">
        <f t="shared" si="2105"/>
        <v>#DIV/0!</v>
      </c>
      <c r="AZ235" s="28" t="e">
        <f t="shared" si="2105"/>
        <v>#DIV/0!</v>
      </c>
      <c r="BA235" s="28" t="e">
        <f t="shared" si="2105"/>
        <v>#DIV/0!</v>
      </c>
      <c r="BB235" s="28" t="e">
        <f t="shared" si="2105"/>
        <v>#DIV/0!</v>
      </c>
      <c r="BC235" s="28" t="e">
        <f t="shared" si="2105"/>
        <v>#DIV/0!</v>
      </c>
      <c r="BD235" s="28" t="e">
        <f t="shared" si="2105"/>
        <v>#DIV/0!</v>
      </c>
      <c r="BE235" s="28" t="e">
        <f t="shared" si="2105"/>
        <v>#DIV/0!</v>
      </c>
      <c r="BF235" s="28" t="e">
        <f t="shared" si="2105"/>
        <v>#DIV/0!</v>
      </c>
      <c r="BG235" s="28">
        <f t="shared" si="2105"/>
        <v>0</v>
      </c>
      <c r="BH235" s="28">
        <f t="shared" si="2105"/>
        <v>0</v>
      </c>
      <c r="BI235" s="28">
        <f t="shared" si="2105"/>
        <v>0</v>
      </c>
      <c r="BJ235" s="28">
        <f t="shared" si="2105"/>
        <v>0</v>
      </c>
      <c r="BK235" s="28">
        <f t="shared" si="2105"/>
        <v>0</v>
      </c>
      <c r="BL235" s="28">
        <f t="shared" si="2105"/>
        <v>9.0949470177292824E-13</v>
      </c>
      <c r="BM235" s="28">
        <f t="shared" si="2105"/>
        <v>0</v>
      </c>
      <c r="BN235" s="28">
        <f t="shared" si="2105"/>
        <v>0</v>
      </c>
      <c r="BO235" s="28">
        <f t="shared" si="2105"/>
        <v>0</v>
      </c>
      <c r="BP235" s="28">
        <f t="shared" si="2105"/>
        <v>9.0949470177292824E-13</v>
      </c>
      <c r="BQ235" s="28">
        <f t="shared" si="2105"/>
        <v>0</v>
      </c>
      <c r="BR235" s="28">
        <f t="shared" si="2105"/>
        <v>0</v>
      </c>
      <c r="BS235" s="28">
        <f t="shared" si="2105"/>
        <v>0</v>
      </c>
      <c r="BT235" s="28">
        <f t="shared" si="2105"/>
        <v>0</v>
      </c>
      <c r="BU235" s="28">
        <f t="shared" si="2105"/>
        <v>0</v>
      </c>
      <c r="BV235" s="28">
        <f t="shared" si="2105"/>
        <v>0</v>
      </c>
      <c r="BW235" s="28">
        <f t="shared" si="2105"/>
        <v>0</v>
      </c>
      <c r="BX235" s="28">
        <f t="shared" si="2105"/>
        <v>0</v>
      </c>
      <c r="BY235" s="28">
        <f t="shared" si="2105"/>
        <v>0</v>
      </c>
      <c r="BZ235" s="28">
        <f t="shared" si="2105"/>
        <v>0</v>
      </c>
      <c r="CA235" s="28">
        <f t="shared" si="2105"/>
        <v>0</v>
      </c>
      <c r="CB235" s="28">
        <f t="shared" si="2105"/>
        <v>-2.7284841053187847E-12</v>
      </c>
      <c r="CC235" s="28">
        <f t="shared" si="2105"/>
        <v>0</v>
      </c>
      <c r="CD235" s="28">
        <f t="shared" si="2105"/>
        <v>0</v>
      </c>
      <c r="CE235" s="28">
        <f t="shared" ref="CE235:CF235" si="2106">CE234-CE185</f>
        <v>0</v>
      </c>
      <c r="CF235" s="28">
        <f t="shared" si="2106"/>
        <v>0</v>
      </c>
      <c r="CG235" s="28">
        <f t="shared" ref="CG235:CH235" si="2107">CG234-CG185</f>
        <v>0</v>
      </c>
      <c r="CH235" s="28">
        <f t="shared" si="2107"/>
        <v>0</v>
      </c>
      <c r="CI235" s="28">
        <f t="shared" ref="CI235:CJ235" si="2108">CI234-CI185</f>
        <v>0</v>
      </c>
      <c r="CJ235" s="28">
        <f t="shared" si="2108"/>
        <v>0</v>
      </c>
      <c r="CK235" s="28">
        <f t="shared" ref="CK235:DB235" si="2109">CK234-CK185</f>
        <v>0</v>
      </c>
      <c r="CL235" s="28">
        <f t="shared" si="2109"/>
        <v>0</v>
      </c>
      <c r="CM235" s="30">
        <f t="shared" si="2109"/>
        <v>0</v>
      </c>
      <c r="CN235" s="30">
        <f t="shared" si="2109"/>
        <v>0</v>
      </c>
      <c r="CO235" s="30">
        <f t="shared" si="2109"/>
        <v>0</v>
      </c>
      <c r="CP235" s="30">
        <f t="shared" si="2109"/>
        <v>0</v>
      </c>
      <c r="CQ235" s="30">
        <f t="shared" si="2109"/>
        <v>0</v>
      </c>
      <c r="CR235" s="30">
        <f t="shared" si="2109"/>
        <v>0</v>
      </c>
      <c r="CS235" s="30">
        <f t="shared" si="2109"/>
        <v>0</v>
      </c>
      <c r="CT235" s="30">
        <f t="shared" si="2109"/>
        <v>0</v>
      </c>
      <c r="CU235" s="30">
        <f t="shared" si="2109"/>
        <v>0</v>
      </c>
      <c r="CV235" s="30">
        <f t="shared" si="2109"/>
        <v>0</v>
      </c>
      <c r="CW235" s="30">
        <f t="shared" si="2109"/>
        <v>0</v>
      </c>
      <c r="CX235" s="30">
        <f t="shared" si="2109"/>
        <v>0</v>
      </c>
      <c r="CY235" s="30">
        <f t="shared" si="2109"/>
        <v>0</v>
      </c>
      <c r="CZ235" s="30">
        <f t="shared" si="2109"/>
        <v>0</v>
      </c>
      <c r="DA235" s="30">
        <f t="shared" si="2109"/>
        <v>0</v>
      </c>
      <c r="DB235" s="30">
        <f t="shared" si="2109"/>
        <v>0</v>
      </c>
      <c r="DE235" s="139"/>
      <c r="DF235" s="28">
        <v>0</v>
      </c>
    </row>
    <row r="236" spans="1:110" s="23" customFormat="1" x14ac:dyDescent="0.2">
      <c r="AB236" s="24"/>
      <c r="AC236" s="24"/>
      <c r="AD236" s="24"/>
      <c r="AE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E236" s="123"/>
    </row>
    <row r="237" spans="1:110" s="22" customFormat="1" x14ac:dyDescent="0.2">
      <c r="A237" s="22" t="s">
        <v>96</v>
      </c>
      <c r="C237" s="22">
        <f t="shared" ref="C237:W237" si="2110">C223+C225</f>
        <v>0</v>
      </c>
      <c r="D237" s="22">
        <f t="shared" si="2110"/>
        <v>0</v>
      </c>
      <c r="E237" s="22">
        <f t="shared" si="2110"/>
        <v>0</v>
      </c>
      <c r="F237" s="22">
        <f t="shared" si="2110"/>
        <v>0</v>
      </c>
      <c r="G237" s="22">
        <f t="shared" si="2110"/>
        <v>0</v>
      </c>
      <c r="H237" s="22">
        <f t="shared" si="2110"/>
        <v>0</v>
      </c>
      <c r="I237" s="22">
        <f t="shared" si="2110"/>
        <v>-825.03765359999966</v>
      </c>
      <c r="J237" s="22">
        <f>J223+J225</f>
        <v>35.276126100000056</v>
      </c>
      <c r="K237" s="22">
        <f t="shared" si="2110"/>
        <v>-837.61988430000019</v>
      </c>
      <c r="L237" s="22">
        <f t="shared" si="2110"/>
        <v>-257.51972499999977</v>
      </c>
      <c r="M237" s="22">
        <f t="shared" si="2110"/>
        <v>235.81799999999981</v>
      </c>
      <c r="N237" s="22">
        <f t="shared" si="2110"/>
        <v>288.78299999999967</v>
      </c>
      <c r="O237" s="22">
        <f t="shared" si="2110"/>
        <v>116.13300000000038</v>
      </c>
      <c r="P237" s="22">
        <f t="shared" si="2110"/>
        <v>-200.02599999999956</v>
      </c>
      <c r="Q237" s="22">
        <f t="shared" si="2110"/>
        <v>-205.16700000000014</v>
      </c>
      <c r="R237" s="22">
        <f t="shared" si="2110"/>
        <v>-56.203999999999553</v>
      </c>
      <c r="S237" s="22">
        <f t="shared" si="2110"/>
        <v>38.8299999999997</v>
      </c>
      <c r="T237" s="22">
        <f t="shared" si="2110"/>
        <v>829.88299999999958</v>
      </c>
      <c r="U237" s="22">
        <f t="shared" si="2110"/>
        <v>-116.95900000000006</v>
      </c>
      <c r="V237" s="22">
        <f t="shared" si="2110"/>
        <v>702.25099999999941</v>
      </c>
      <c r="W237" s="22">
        <f t="shared" si="2110"/>
        <v>294.80900000000105</v>
      </c>
      <c r="X237" s="22">
        <f t="shared" ref="X237:Y237" si="2111">X223+X225</f>
        <v>1049.6960000000026</v>
      </c>
      <c r="Y237" s="22">
        <f t="shared" si="2111"/>
        <v>377.56899999999951</v>
      </c>
      <c r="Z237" s="22">
        <f t="shared" ref="Z237:AA237" si="2112">Z223+Z225</f>
        <v>629.18000000000075</v>
      </c>
      <c r="AA237" s="22">
        <f t="shared" si="2112"/>
        <v>2199.2170000000019</v>
      </c>
      <c r="AB237" s="21">
        <f t="shared" ref="AA237:AD237" si="2113">AB223+AB225</f>
        <v>-186.64700329128732</v>
      </c>
      <c r="AC237" s="21">
        <f t="shared" si="2113"/>
        <v>1857.5085989159988</v>
      </c>
      <c r="AD237" s="21">
        <f t="shared" si="2113"/>
        <v>2617.4308889726308</v>
      </c>
      <c r="AE237" s="21">
        <f t="shared" ref="AE237" si="2114">AE223+AE225</f>
        <v>3211.4277340874205</v>
      </c>
      <c r="AI237" s="22">
        <f t="shared" ref="AI237" si="2115">AI223+AI225</f>
        <v>0</v>
      </c>
      <c r="AJ237" s="22">
        <f t="shared" ref="AJ237:AL237" si="2116">AJ223+AJ225</f>
        <v>0</v>
      </c>
      <c r="AK237" s="22" t="e">
        <f t="shared" si="2116"/>
        <v>#DIV/0!</v>
      </c>
      <c r="AL237" s="22" t="e">
        <f t="shared" si="2116"/>
        <v>#DIV/0!</v>
      </c>
      <c r="AM237" s="22" t="e">
        <f t="shared" ref="AM237" si="2117">AM223+AM225</f>
        <v>#DIV/0!</v>
      </c>
      <c r="AN237" s="22" t="e">
        <f t="shared" ref="AN237:CD237" si="2118">AN223+AN225</f>
        <v>#DIV/0!</v>
      </c>
      <c r="AO237" s="22" t="e">
        <f t="shared" si="2118"/>
        <v>#DIV/0!</v>
      </c>
      <c r="AP237" s="22" t="e">
        <f t="shared" si="2118"/>
        <v>#DIV/0!</v>
      </c>
      <c r="AQ237" s="22" t="e">
        <f t="shared" si="2118"/>
        <v>#DIV/0!</v>
      </c>
      <c r="AR237" s="22" t="e">
        <f t="shared" si="2118"/>
        <v>#DIV/0!</v>
      </c>
      <c r="AS237" s="22" t="e">
        <f t="shared" si="2118"/>
        <v>#DIV/0!</v>
      </c>
      <c r="AT237" s="22" t="e">
        <f t="shared" si="2118"/>
        <v>#DIV/0!</v>
      </c>
      <c r="AU237" s="22" t="e">
        <f t="shared" si="2118"/>
        <v>#DIV/0!</v>
      </c>
      <c r="AV237" s="22" t="e">
        <f t="shared" si="2118"/>
        <v>#DIV/0!</v>
      </c>
      <c r="AW237" s="22" t="e">
        <f t="shared" si="2118"/>
        <v>#DIV/0!</v>
      </c>
      <c r="AX237" s="22" t="e">
        <f t="shared" si="2118"/>
        <v>#DIV/0!</v>
      </c>
      <c r="AY237" s="22" t="e">
        <f t="shared" si="2118"/>
        <v>#DIV/0!</v>
      </c>
      <c r="AZ237" s="22" t="e">
        <f t="shared" si="2118"/>
        <v>#DIV/0!</v>
      </c>
      <c r="BA237" s="22" t="e">
        <f t="shared" si="2118"/>
        <v>#DIV/0!</v>
      </c>
      <c r="BB237" s="22" t="e">
        <f t="shared" si="2118"/>
        <v>#DIV/0!</v>
      </c>
      <c r="BC237" s="22" t="e">
        <f t="shared" si="2118"/>
        <v>#DIV/0!</v>
      </c>
      <c r="BD237" s="22" t="e">
        <f t="shared" si="2118"/>
        <v>#DIV/0!</v>
      </c>
      <c r="BE237" s="22" t="e">
        <f t="shared" si="2118"/>
        <v>#DIV/0!</v>
      </c>
      <c r="BF237" s="22" t="e">
        <f t="shared" si="2118"/>
        <v>#DIV/0!</v>
      </c>
      <c r="BG237" s="22">
        <f t="shared" si="2118"/>
        <v>428.44964411352993</v>
      </c>
      <c r="BH237" s="22">
        <f t="shared" si="2118"/>
        <v>2806.4773558864699</v>
      </c>
      <c r="BI237" s="22">
        <f t="shared" si="2118"/>
        <v>193.3360000000001</v>
      </c>
      <c r="BJ237" s="22">
        <f t="shared" si="2118"/>
        <v>-2590.3450000000003</v>
      </c>
      <c r="BK237" s="22">
        <f t="shared" si="2118"/>
        <v>510.88791654350894</v>
      </c>
      <c r="BL237" s="22">
        <f t="shared" si="2118"/>
        <v>-556.66091654350828</v>
      </c>
      <c r="BM237" s="22">
        <f t="shared" si="2118"/>
        <v>16.7068047278633</v>
      </c>
      <c r="BN237" s="22">
        <f t="shared" si="2118"/>
        <v>-133.36580472786375</v>
      </c>
      <c r="BO237" s="22">
        <f t="shared" si="2118"/>
        <v>1203.0051243840346</v>
      </c>
      <c r="BP237" s="22">
        <f t="shared" si="2118"/>
        <v>-755.9231243840344</v>
      </c>
      <c r="BQ237" s="22">
        <f t="shared" si="2118"/>
        <v>-275.21997534444796</v>
      </c>
      <c r="BR237" s="22">
        <f t="shared" si="2118"/>
        <v>495.42997534444748</v>
      </c>
      <c r="BS237" s="22">
        <f t="shared" si="2118"/>
        <v>841.05587741836587</v>
      </c>
      <c r="BT237" s="22">
        <f t="shared" si="2118"/>
        <v>-945.49187741836636</v>
      </c>
      <c r="BU237" s="22">
        <f t="shared" si="2118"/>
        <v>79.404861420131226</v>
      </c>
      <c r="BV237" s="22">
        <f t="shared" si="2118"/>
        <v>319.83913857986914</v>
      </c>
      <c r="BW237" s="22">
        <f t="shared" si="2118"/>
        <v>927.66258500643141</v>
      </c>
      <c r="BX237" s="22">
        <f t="shared" si="2118"/>
        <v>-158.35258500643118</v>
      </c>
      <c r="BY237" s="22">
        <f t="shared" si="2118"/>
        <v>161.05497794534585</v>
      </c>
      <c r="BZ237" s="22">
        <f t="shared" si="2118"/>
        <v>119.18902205465457</v>
      </c>
      <c r="CA237" s="22">
        <f t="shared" si="2118"/>
        <v>740.24661781731788</v>
      </c>
      <c r="CB237" s="22">
        <f t="shared" si="2118"/>
        <v>-924.83361781731867</v>
      </c>
      <c r="CC237" s="22">
        <f t="shared" si="2118"/>
        <v>329.36959845811623</v>
      </c>
      <c r="CD237" s="22">
        <f t="shared" si="2118"/>
        <v>232.78640154188417</v>
      </c>
      <c r="CE237" s="22">
        <f t="shared" ref="CE237:CF237" si="2119">CE223+CE225</f>
        <v>1150.5858824441452</v>
      </c>
      <c r="CF237" s="22">
        <f t="shared" si="2119"/>
        <v>-448.45088244414603</v>
      </c>
      <c r="CG237" s="22">
        <f t="shared" ref="CG237:CH237" si="2120">CG223+CG225</f>
        <v>723.33136333508742</v>
      </c>
      <c r="CH237" s="22">
        <f t="shared" si="2120"/>
        <v>-796.28636333508723</v>
      </c>
      <c r="CI237" s="22">
        <f t="shared" ref="CI237:CJ237" si="2121">CI223+CI225</f>
        <v>1273.7510334696196</v>
      </c>
      <c r="CJ237" s="22">
        <f t="shared" si="2121"/>
        <v>-518.30703346961866</v>
      </c>
      <c r="CK237" s="22">
        <f t="shared" ref="CK237:DB237" si="2122">CK223+CK225</f>
        <v>-85.361146234546709</v>
      </c>
      <c r="CL237" s="22">
        <f t="shared" si="2122"/>
        <v>1529.134146234544</v>
      </c>
      <c r="CM237" s="21">
        <f t="shared" si="2122"/>
        <v>-416.03909362936713</v>
      </c>
      <c r="CN237" s="21">
        <f t="shared" si="2122"/>
        <v>403.91263114271931</v>
      </c>
      <c r="CO237" s="21">
        <f t="shared" si="2122"/>
        <v>-185.47889373105386</v>
      </c>
      <c r="CP237" s="21">
        <f t="shared" si="2122"/>
        <v>10.958352926412545</v>
      </c>
      <c r="CQ237" s="21">
        <f t="shared" si="2122"/>
        <v>1635.9729757562593</v>
      </c>
      <c r="CR237" s="21">
        <f t="shared" si="2122"/>
        <v>258.34660061597629</v>
      </c>
      <c r="CS237" s="21">
        <f t="shared" si="2122"/>
        <v>-136.23776359574276</v>
      </c>
      <c r="CT237" s="21">
        <f t="shared" si="2122"/>
        <v>99.426786139509886</v>
      </c>
      <c r="CU237" s="21">
        <f t="shared" si="2122"/>
        <v>2129.9532060910042</v>
      </c>
      <c r="CV237" s="21">
        <f t="shared" si="2122"/>
        <v>359.30659783162514</v>
      </c>
      <c r="CW237" s="21">
        <f t="shared" si="2122"/>
        <v>-80.551136549221837</v>
      </c>
      <c r="CX237" s="21">
        <f t="shared" si="2122"/>
        <v>208.72222159922671</v>
      </c>
      <c r="CY237" s="21">
        <f t="shared" si="2122"/>
        <v>2491.4924711598528</v>
      </c>
      <c r="CZ237" s="21">
        <f t="shared" si="2122"/>
        <v>468.67268707240987</v>
      </c>
      <c r="DA237" s="21">
        <f t="shared" si="2122"/>
        <v>-40.206682712547035</v>
      </c>
      <c r="DB237" s="21">
        <f t="shared" si="2122"/>
        <v>291.46925856771031</v>
      </c>
      <c r="DE237" s="126"/>
      <c r="DF237" s="22">
        <v>16.165397902761356</v>
      </c>
    </row>
    <row r="238" spans="1:110" x14ac:dyDescent="0.2">
      <c r="A238" s="152" t="s">
        <v>496</v>
      </c>
      <c r="AA238" s="2"/>
      <c r="CL238" s="2"/>
    </row>
    <row r="239" spans="1:110" x14ac:dyDescent="0.2">
      <c r="AA239" s="2"/>
      <c r="CL239" s="2"/>
    </row>
    <row r="240" spans="1:110" s="7" customFormat="1" hidden="1" outlineLevel="1" x14ac:dyDescent="0.2">
      <c r="A240" s="61" t="s">
        <v>97</v>
      </c>
      <c r="AB240" s="77"/>
      <c r="AC240" s="77"/>
      <c r="AD240" s="77"/>
      <c r="AE240" s="77"/>
      <c r="CM240" s="50"/>
      <c r="CN240" s="50"/>
      <c r="CO240" s="50"/>
      <c r="CP240" s="50"/>
      <c r="CQ240" s="50"/>
      <c r="CR240" s="50"/>
      <c r="CS240" s="50"/>
      <c r="CT240" s="50"/>
      <c r="CU240" s="50"/>
      <c r="CV240" s="50"/>
      <c r="CW240" s="50"/>
      <c r="CX240" s="50"/>
      <c r="CY240" s="50"/>
      <c r="CZ240" s="50"/>
      <c r="DA240" s="50"/>
      <c r="DB240" s="50"/>
      <c r="DE240" s="138"/>
    </row>
    <row r="241" spans="1:110" s="62" customFormat="1" hidden="1" outlineLevel="1" x14ac:dyDescent="0.2">
      <c r="A241" s="62" t="s">
        <v>98</v>
      </c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242" s="62" t="s">
        <v>99</v>
      </c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hidden="1" outlineLevel="1" x14ac:dyDescent="0.2">
      <c r="A243" s="62" t="s">
        <v>100</v>
      </c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2" customFormat="1" hidden="1" outlineLevel="1" x14ac:dyDescent="0.2"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2" customFormat="1" hidden="1" outlineLevel="1" x14ac:dyDescent="0.2"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2" customFormat="1" hidden="1" outlineLevel="1" x14ac:dyDescent="0.2">
      <c r="AB246" s="63"/>
      <c r="AC246" s="63"/>
      <c r="AD246" s="63"/>
      <c r="AE246" s="63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11" customFormat="1" collapsed="1" x14ac:dyDescent="0.2">
      <c r="AB247" s="63"/>
      <c r="AC247" s="63"/>
      <c r="AD247" s="63"/>
      <c r="AE247" s="63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83" customFormat="1" x14ac:dyDescent="0.2">
      <c r="A248" s="82" t="s">
        <v>101</v>
      </c>
      <c r="AB248" s="72"/>
      <c r="AC248" s="72"/>
      <c r="AD248" s="72"/>
      <c r="AE248" s="72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6" customFormat="1" x14ac:dyDescent="0.2">
      <c r="A249" s="66" t="s">
        <v>471</v>
      </c>
      <c r="AB249" s="50"/>
      <c r="AC249" s="50"/>
      <c r="AD249" s="50"/>
      <c r="AE249" s="50"/>
      <c r="AL249" s="66">
        <f t="shared" ref="AL249:BQ249" si="2123">SUM(AI34:AL34)</f>
        <v>0</v>
      </c>
      <c r="AM249" s="66">
        <f t="shared" si="2123"/>
        <v>0</v>
      </c>
      <c r="AN249" s="66">
        <f t="shared" si="2123"/>
        <v>0</v>
      </c>
      <c r="AO249" s="66">
        <f t="shared" si="2123"/>
        <v>0</v>
      </c>
      <c r="AP249" s="66">
        <f t="shared" si="2123"/>
        <v>0</v>
      </c>
      <c r="AQ249" s="66">
        <f t="shared" si="2123"/>
        <v>0</v>
      </c>
      <c r="AR249" s="66">
        <f t="shared" si="2123"/>
        <v>0</v>
      </c>
      <c r="AS249" s="66">
        <f t="shared" si="2123"/>
        <v>0</v>
      </c>
      <c r="AT249" s="66">
        <f t="shared" si="2123"/>
        <v>0</v>
      </c>
      <c r="AU249" s="66">
        <f t="shared" si="2123"/>
        <v>0</v>
      </c>
      <c r="AV249" s="66">
        <f t="shared" si="2123"/>
        <v>0</v>
      </c>
      <c r="AW249" s="66">
        <f t="shared" si="2123"/>
        <v>0</v>
      </c>
      <c r="AX249" s="66">
        <f t="shared" si="2123"/>
        <v>0</v>
      </c>
      <c r="AY249" s="66">
        <f t="shared" si="2123"/>
        <v>0</v>
      </c>
      <c r="AZ249" s="66">
        <f t="shared" si="2123"/>
        <v>0</v>
      </c>
      <c r="BA249" s="66">
        <f t="shared" si="2123"/>
        <v>0</v>
      </c>
      <c r="BB249" s="66">
        <f t="shared" si="2123"/>
        <v>0</v>
      </c>
      <c r="BC249" s="66">
        <f t="shared" si="2123"/>
        <v>0</v>
      </c>
      <c r="BD249" s="66">
        <f t="shared" si="2123"/>
        <v>0</v>
      </c>
      <c r="BE249" s="66">
        <f t="shared" si="2123"/>
        <v>0</v>
      </c>
      <c r="BF249" s="66">
        <f t="shared" si="2123"/>
        <v>2110.2460000000001</v>
      </c>
      <c r="BG249" s="66">
        <f t="shared" si="2123"/>
        <v>3792.8919999999998</v>
      </c>
      <c r="BH249" s="66">
        <f t="shared" si="2123"/>
        <v>5604.7469999999994</v>
      </c>
      <c r="BI249" s="66">
        <f t="shared" si="2123"/>
        <v>7629.5849999999991</v>
      </c>
      <c r="BJ249" s="66">
        <f t="shared" si="2123"/>
        <v>7982.982</v>
      </c>
      <c r="BK249" s="66">
        <f t="shared" si="2123"/>
        <v>8251.66</v>
      </c>
      <c r="BL249" s="66">
        <f t="shared" si="2123"/>
        <v>8681.7479999999996</v>
      </c>
      <c r="BM249" s="66">
        <f t="shared" si="2123"/>
        <v>9164.2170000000006</v>
      </c>
      <c r="BN249" s="66">
        <f t="shared" si="2123"/>
        <v>8829.9549999999999</v>
      </c>
      <c r="BO249" s="66">
        <f t="shared" si="2123"/>
        <v>7855.2259999999997</v>
      </c>
      <c r="BP249" s="66">
        <f t="shared" si="2123"/>
        <v>7726.9650000000001</v>
      </c>
      <c r="BQ249" s="66">
        <f t="shared" si="2123"/>
        <v>7965.9979999999996</v>
      </c>
      <c r="BR249" s="66">
        <f t="shared" ref="BR249:CW249" si="2124">SUM(BO34:BR34)</f>
        <v>8779.3580000000002</v>
      </c>
      <c r="BS249" s="66">
        <f t="shared" si="2124"/>
        <v>9657.991</v>
      </c>
      <c r="BT249" s="66">
        <f t="shared" si="2124"/>
        <v>10550.864</v>
      </c>
      <c r="BU249" s="66">
        <f t="shared" si="2124"/>
        <v>11176.52</v>
      </c>
      <c r="BV249" s="66">
        <f t="shared" si="2124"/>
        <v>12203.760999999999</v>
      </c>
      <c r="BW249" s="66">
        <f t="shared" si="2124"/>
        <v>13085.09</v>
      </c>
      <c r="BX249" s="66">
        <f t="shared" si="2124"/>
        <v>13410.893</v>
      </c>
      <c r="BY249" s="66">
        <f t="shared" si="2124"/>
        <v>13754.079000000002</v>
      </c>
      <c r="BZ249" s="66">
        <f t="shared" si="2124"/>
        <v>14107.777999999998</v>
      </c>
      <c r="CA249" s="66">
        <f t="shared" si="2124"/>
        <v>15260.602999999999</v>
      </c>
      <c r="CB249" s="66">
        <f t="shared" si="2124"/>
        <v>16145.941999999999</v>
      </c>
      <c r="CC249" s="66">
        <f t="shared" si="2124"/>
        <v>16771.23</v>
      </c>
      <c r="CD249" s="66">
        <f t="shared" si="2124"/>
        <v>18039.444</v>
      </c>
      <c r="CE249" s="66">
        <f t="shared" si="2124"/>
        <v>18848.092000000001</v>
      </c>
      <c r="CF249" s="66">
        <f t="shared" si="2124"/>
        <v>20128.817999999999</v>
      </c>
      <c r="CG249" s="66">
        <f t="shared" si="2124"/>
        <v>21014.409999999996</v>
      </c>
      <c r="CH249" s="66">
        <f t="shared" si="2124"/>
        <v>22408.312999999998</v>
      </c>
      <c r="CI249" s="66">
        <f t="shared" si="2124"/>
        <v>23616.258999999998</v>
      </c>
      <c r="CJ249" s="66">
        <f t="shared" si="2124"/>
        <v>24595.046999999999</v>
      </c>
      <c r="CK249" s="66">
        <f t="shared" si="2124"/>
        <v>27005.113000000001</v>
      </c>
      <c r="CL249" s="66">
        <f t="shared" si="2124"/>
        <v>28883.792000000001</v>
      </c>
      <c r="CM249" s="50">
        <f t="shared" si="2124"/>
        <v>30319.718000000001</v>
      </c>
      <c r="CN249" s="50">
        <f t="shared" si="2124"/>
        <v>31812.433119999998</v>
      </c>
      <c r="CO249" s="50">
        <f t="shared" si="2124"/>
        <v>33658.554020000003</v>
      </c>
      <c r="CP249" s="50">
        <f t="shared" si="2124"/>
        <v>35703.563450000001</v>
      </c>
      <c r="CQ249" s="50">
        <f t="shared" si="2124"/>
        <v>37215.221249999995</v>
      </c>
      <c r="CR249" s="50">
        <f t="shared" si="2124"/>
        <v>38783.667802559998</v>
      </c>
      <c r="CS249" s="50">
        <f t="shared" si="2124"/>
        <v>40587.540690943992</v>
      </c>
      <c r="CT249" s="50">
        <f t="shared" si="2124"/>
        <v>42557.769032135926</v>
      </c>
      <c r="CU249" s="50">
        <f t="shared" si="2124"/>
        <v>43841.974334374012</v>
      </c>
      <c r="CV249" s="50">
        <f t="shared" si="2124"/>
        <v>45224.085372015463</v>
      </c>
      <c r="CW249" s="50">
        <f t="shared" si="2124"/>
        <v>46866.033297510046</v>
      </c>
      <c r="CX249" s="50">
        <f t="shared" ref="CX249:DB249" si="2125">SUM(CU34:CX34)</f>
        <v>48730.492953935587</v>
      </c>
      <c r="CY249" s="50">
        <f t="shared" si="2125"/>
        <v>50203.322014352139</v>
      </c>
      <c r="CZ249" s="50">
        <f t="shared" si="2125"/>
        <v>51788.522127030417</v>
      </c>
      <c r="DA249" s="50">
        <f t="shared" si="2125"/>
        <v>53672.291086684694</v>
      </c>
      <c r="DB249" s="50">
        <f t="shared" si="2125"/>
        <v>55810.658054246887</v>
      </c>
      <c r="DE249" s="138"/>
      <c r="DF249" s="66">
        <v>28968.97492495086</v>
      </c>
    </row>
    <row r="250" spans="1:110" s="66" customFormat="1" x14ac:dyDescent="0.2">
      <c r="A250" s="66" t="s">
        <v>472</v>
      </c>
      <c r="AB250" s="50"/>
      <c r="AC250" s="50"/>
      <c r="AD250" s="50"/>
      <c r="AE250" s="50"/>
      <c r="AL250" s="66">
        <f t="shared" ref="AL250:BQ250" si="2126">SUM(AI52:AL52)</f>
        <v>0</v>
      </c>
      <c r="AM250" s="66">
        <f t="shared" si="2126"/>
        <v>0</v>
      </c>
      <c r="AN250" s="66">
        <f t="shared" si="2126"/>
        <v>0</v>
      </c>
      <c r="AO250" s="66">
        <f t="shared" si="2126"/>
        <v>0</v>
      </c>
      <c r="AP250" s="66">
        <f t="shared" si="2126"/>
        <v>0</v>
      </c>
      <c r="AQ250" s="66">
        <f t="shared" si="2126"/>
        <v>0</v>
      </c>
      <c r="AR250" s="66">
        <f t="shared" si="2126"/>
        <v>0</v>
      </c>
      <c r="AS250" s="66">
        <f t="shared" si="2126"/>
        <v>0</v>
      </c>
      <c r="AT250" s="66">
        <f t="shared" si="2126"/>
        <v>0</v>
      </c>
      <c r="AU250" s="66">
        <f t="shared" si="2126"/>
        <v>0</v>
      </c>
      <c r="AV250" s="66">
        <f t="shared" si="2126"/>
        <v>0</v>
      </c>
      <c r="AW250" s="66">
        <f t="shared" si="2126"/>
        <v>0</v>
      </c>
      <c r="AX250" s="66">
        <f t="shared" si="2126"/>
        <v>0</v>
      </c>
      <c r="AY250" s="66">
        <f t="shared" si="2126"/>
        <v>0</v>
      </c>
      <c r="AZ250" s="66">
        <f t="shared" si="2126"/>
        <v>0</v>
      </c>
      <c r="BA250" s="66">
        <f t="shared" si="2126"/>
        <v>0</v>
      </c>
      <c r="BB250" s="66">
        <f t="shared" si="2126"/>
        <v>0</v>
      </c>
      <c r="BC250" s="66">
        <f t="shared" si="2126"/>
        <v>0</v>
      </c>
      <c r="BD250" s="66">
        <f t="shared" si="2126"/>
        <v>0</v>
      </c>
      <c r="BE250" s="66">
        <f t="shared" si="2126"/>
        <v>0</v>
      </c>
      <c r="BF250" s="66">
        <f t="shared" si="2126"/>
        <v>345.40800000000013</v>
      </c>
      <c r="BG250" s="66">
        <f t="shared" si="2126"/>
        <v>518.23599999999999</v>
      </c>
      <c r="BH250" s="66">
        <f t="shared" si="2126"/>
        <v>734.67100000000005</v>
      </c>
      <c r="BI250" s="66">
        <f t="shared" si="2126"/>
        <v>1052.085</v>
      </c>
      <c r="BJ250" s="66">
        <f t="shared" si="2126"/>
        <v>950.19100000000014</v>
      </c>
      <c r="BK250" s="66">
        <f t="shared" si="2126"/>
        <v>1000.9910000000003</v>
      </c>
      <c r="BL250" s="66">
        <f t="shared" si="2126"/>
        <v>1056.2700000000004</v>
      </c>
      <c r="BM250" s="66">
        <f t="shared" si="2126"/>
        <v>1077.9680000000003</v>
      </c>
      <c r="BN250" s="66">
        <f t="shared" si="2126"/>
        <v>1135.0259999999998</v>
      </c>
      <c r="BO250" s="66">
        <f t="shared" si="2126"/>
        <v>968.87499999999989</v>
      </c>
      <c r="BP250" s="66">
        <f t="shared" si="2126"/>
        <v>1009.6369999999996</v>
      </c>
      <c r="BQ250" s="66">
        <f t="shared" si="2126"/>
        <v>1020.4409999999998</v>
      </c>
      <c r="BR250" s="66">
        <f t="shared" ref="BR250:CW250" si="2127">SUM(BO52:BR52)</f>
        <v>1123.9180000000001</v>
      </c>
      <c r="BS250" s="66">
        <f t="shared" si="2127"/>
        <v>1200.643</v>
      </c>
      <c r="BT250" s="66">
        <f t="shared" si="2127"/>
        <v>1181.1279999999999</v>
      </c>
      <c r="BU250" s="66">
        <f t="shared" si="2127"/>
        <v>1192.9059999999999</v>
      </c>
      <c r="BV250" s="66">
        <f t="shared" si="2127"/>
        <v>1265.1979999999999</v>
      </c>
      <c r="BW250" s="66">
        <f t="shared" si="2127"/>
        <v>1442.0879999999997</v>
      </c>
      <c r="BX250" s="66">
        <f t="shared" si="2127"/>
        <v>1576.7710000000002</v>
      </c>
      <c r="BY250" s="66">
        <f t="shared" si="2127"/>
        <v>1718.9159999999999</v>
      </c>
      <c r="BZ250" s="66">
        <f t="shared" si="2127"/>
        <v>1852.1139999999996</v>
      </c>
      <c r="CA250" s="66">
        <f t="shared" si="2127"/>
        <v>2089.5819999999994</v>
      </c>
      <c r="CB250" s="66">
        <f t="shared" si="2127"/>
        <v>2270.8559999999993</v>
      </c>
      <c r="CC250" s="66">
        <f t="shared" si="2127"/>
        <v>2336.5279999999998</v>
      </c>
      <c r="CD250" s="66">
        <f t="shared" si="2127"/>
        <v>2488.5350000000003</v>
      </c>
      <c r="CE250" s="66">
        <f t="shared" si="2127"/>
        <v>2523.3620000000001</v>
      </c>
      <c r="CF250" s="66">
        <f t="shared" si="2127"/>
        <v>2545.9979999999996</v>
      </c>
      <c r="CG250" s="66">
        <f t="shared" si="2127"/>
        <v>2696.3979999999997</v>
      </c>
      <c r="CH250" s="66">
        <f t="shared" si="2127"/>
        <v>2960.2399999999993</v>
      </c>
      <c r="CI250" s="66">
        <f t="shared" si="2127"/>
        <v>3234.4539999999988</v>
      </c>
      <c r="CJ250" s="66">
        <f t="shared" si="2127"/>
        <v>3623.6489999999994</v>
      </c>
      <c r="CK250" s="66">
        <f t="shared" si="2127"/>
        <v>3869.809999999999</v>
      </c>
      <c r="CL250" s="66">
        <f t="shared" si="2127"/>
        <v>4005.7279999999992</v>
      </c>
      <c r="CM250" s="50">
        <f t="shared" si="2127"/>
        <v>4166.2958947859925</v>
      </c>
      <c r="CN250" s="50">
        <f t="shared" si="2127"/>
        <v>4237.9291563052384</v>
      </c>
      <c r="CO250" s="50">
        <f t="shared" si="2127"/>
        <v>4523.3471969884849</v>
      </c>
      <c r="CP250" s="50">
        <f t="shared" si="2127"/>
        <v>4816.6685220918425</v>
      </c>
      <c r="CQ250" s="50">
        <f t="shared" si="2127"/>
        <v>4984.1019826051916</v>
      </c>
      <c r="CR250" s="50">
        <f t="shared" si="2127"/>
        <v>5157.7741808091669</v>
      </c>
      <c r="CS250" s="50">
        <f t="shared" si="2127"/>
        <v>5392.2263076674517</v>
      </c>
      <c r="CT250" s="50">
        <f t="shared" si="2127"/>
        <v>5632.3306716430761</v>
      </c>
      <c r="CU250" s="50">
        <f t="shared" si="2127"/>
        <v>5804.189521026211</v>
      </c>
      <c r="CV250" s="50">
        <f t="shared" si="2127"/>
        <v>6000.3007928120824</v>
      </c>
      <c r="CW250" s="50">
        <f t="shared" si="2127"/>
        <v>6248.9935508819563</v>
      </c>
      <c r="CX250" s="50">
        <f t="shared" ref="CX250:DB250" si="2128">SUM(CU52:CX52)</f>
        <v>6541.7634058623189</v>
      </c>
      <c r="CY250" s="50">
        <f t="shared" si="2128"/>
        <v>6742.3522924955387</v>
      </c>
      <c r="CZ250" s="50">
        <f t="shared" si="2128"/>
        <v>6959.2594096088596</v>
      </c>
      <c r="DA250" s="50">
        <f t="shared" si="2128"/>
        <v>7214.7129663043324</v>
      </c>
      <c r="DB250" s="50">
        <f t="shared" si="2128"/>
        <v>7496.2838812493883</v>
      </c>
      <c r="DE250" s="138"/>
      <c r="DF250" s="66">
        <v>4064.9297857742849</v>
      </c>
    </row>
    <row r="251" spans="1:110" s="66" customFormat="1" x14ac:dyDescent="0.2">
      <c r="A251" s="66" t="s">
        <v>473</v>
      </c>
      <c r="AB251" s="50"/>
      <c r="AC251" s="50"/>
      <c r="AD251" s="50"/>
      <c r="AE251" s="50"/>
      <c r="AL251" s="66">
        <f t="shared" ref="AL251:BQ251" si="2129">SUM(AI65:AL65)</f>
        <v>0</v>
      </c>
      <c r="AM251" s="66">
        <f t="shared" si="2129"/>
        <v>0</v>
      </c>
      <c r="AN251" s="66">
        <f t="shared" si="2129"/>
        <v>0</v>
      </c>
      <c r="AO251" s="66">
        <f t="shared" si="2129"/>
        <v>0</v>
      </c>
      <c r="AP251" s="66">
        <f t="shared" si="2129"/>
        <v>0</v>
      </c>
      <c r="AQ251" s="66">
        <f t="shared" si="2129"/>
        <v>0</v>
      </c>
      <c r="AR251" s="66">
        <f t="shared" si="2129"/>
        <v>0</v>
      </c>
      <c r="AS251" s="66">
        <f t="shared" si="2129"/>
        <v>0</v>
      </c>
      <c r="AT251" s="66">
        <f t="shared" si="2129"/>
        <v>0</v>
      </c>
      <c r="AU251" s="66">
        <f t="shared" si="2129"/>
        <v>0</v>
      </c>
      <c r="AV251" s="66">
        <f t="shared" si="2129"/>
        <v>0</v>
      </c>
      <c r="AW251" s="66">
        <f t="shared" si="2129"/>
        <v>0</v>
      </c>
      <c r="AX251" s="66">
        <f t="shared" si="2129"/>
        <v>0</v>
      </c>
      <c r="AY251" s="66">
        <f t="shared" si="2129"/>
        <v>0</v>
      </c>
      <c r="AZ251" s="66">
        <f t="shared" si="2129"/>
        <v>0</v>
      </c>
      <c r="BA251" s="66">
        <f t="shared" si="2129"/>
        <v>0</v>
      </c>
      <c r="BB251" s="66">
        <f t="shared" si="2129"/>
        <v>0</v>
      </c>
      <c r="BC251" s="66">
        <f t="shared" si="2129"/>
        <v>0</v>
      </c>
      <c r="BD251" s="66">
        <f t="shared" si="2129"/>
        <v>0</v>
      </c>
      <c r="BE251" s="66">
        <f t="shared" si="2129"/>
        <v>0</v>
      </c>
      <c r="BF251" s="66">
        <f t="shared" si="2129"/>
        <v>188.94300000000015</v>
      </c>
      <c r="BG251" s="66">
        <f t="shared" si="2129"/>
        <v>269.39499999999998</v>
      </c>
      <c r="BH251" s="66">
        <f t="shared" si="2129"/>
        <v>361.94099999999997</v>
      </c>
      <c r="BI251" s="66">
        <f t="shared" si="2129"/>
        <v>553.68400000000008</v>
      </c>
      <c r="BJ251" s="66">
        <f t="shared" si="2129"/>
        <v>502.63200000000018</v>
      </c>
      <c r="BK251" s="66">
        <f t="shared" si="2129"/>
        <v>557.23400000000015</v>
      </c>
      <c r="BL251" s="66">
        <f t="shared" si="2129"/>
        <v>660.10000000000048</v>
      </c>
      <c r="BM251" s="66">
        <f t="shared" si="2129"/>
        <v>689.98800000000028</v>
      </c>
      <c r="BN251" s="66">
        <f t="shared" si="2129"/>
        <v>773.02599999999973</v>
      </c>
      <c r="BO251" s="66">
        <f t="shared" si="2129"/>
        <v>746.97699999999986</v>
      </c>
      <c r="BP251" s="66">
        <f t="shared" si="2129"/>
        <v>773.37799999999959</v>
      </c>
      <c r="BQ251" s="66">
        <f t="shared" si="2129"/>
        <v>796.27699999999982</v>
      </c>
      <c r="BR251" s="66">
        <f t="shared" ref="BR251:CW251" si="2130">SUM(BO65:BR65)</f>
        <v>845.70500000000004</v>
      </c>
      <c r="BS251" s="66">
        <f t="shared" si="2130"/>
        <v>812.55600000000004</v>
      </c>
      <c r="BT251" s="66">
        <f t="shared" si="2130"/>
        <v>788.85500000000002</v>
      </c>
      <c r="BU251" s="66">
        <f t="shared" si="2130"/>
        <v>792.4319999999999</v>
      </c>
      <c r="BV251" s="66">
        <f t="shared" si="2130"/>
        <v>847.78499999999974</v>
      </c>
      <c r="BW251" s="66">
        <f t="shared" si="2130"/>
        <v>995.75399999999968</v>
      </c>
      <c r="BX251" s="66">
        <f t="shared" si="2130"/>
        <v>1069.0750000000003</v>
      </c>
      <c r="BY251" s="66">
        <f t="shared" si="2130"/>
        <v>1182.8439999999996</v>
      </c>
      <c r="BZ251" s="66">
        <f t="shared" si="2130"/>
        <v>1292.2069999999994</v>
      </c>
      <c r="CA251" s="66">
        <f t="shared" si="2130"/>
        <v>1471.5439999999996</v>
      </c>
      <c r="CB251" s="66">
        <f t="shared" si="2130"/>
        <v>1629.8779999999992</v>
      </c>
      <c r="CC251" s="66">
        <f t="shared" si="2130"/>
        <v>1684.5129999999995</v>
      </c>
      <c r="CD251" s="66">
        <f t="shared" si="2130"/>
        <v>1802.9170000000004</v>
      </c>
      <c r="CE251" s="66">
        <f t="shared" si="2130"/>
        <v>1801.3740000000003</v>
      </c>
      <c r="CF251" s="66">
        <f t="shared" si="2130"/>
        <v>1816.8149999999996</v>
      </c>
      <c r="CG251" s="66">
        <f t="shared" si="2130"/>
        <v>1864.6519999999996</v>
      </c>
      <c r="CH251" s="66">
        <f t="shared" si="2130"/>
        <v>2045.5369999999991</v>
      </c>
      <c r="CI251" s="66">
        <f t="shared" si="2130"/>
        <v>2243.6139999999991</v>
      </c>
      <c r="CJ251" s="66">
        <f t="shared" si="2130"/>
        <v>2491.3649999999998</v>
      </c>
      <c r="CK251" s="66">
        <f t="shared" si="2130"/>
        <v>2657.184999999999</v>
      </c>
      <c r="CL251" s="66">
        <f t="shared" si="2130"/>
        <v>2708.4269999999992</v>
      </c>
      <c r="CM251" s="50">
        <f t="shared" si="2130"/>
        <v>2771.6160587437703</v>
      </c>
      <c r="CN251" s="50">
        <f t="shared" si="2130"/>
        <v>2815.0000196663746</v>
      </c>
      <c r="CO251" s="50">
        <f t="shared" si="2130"/>
        <v>3033.6615703983507</v>
      </c>
      <c r="CP251" s="50">
        <f t="shared" si="2130"/>
        <v>3241.646792810935</v>
      </c>
      <c r="CQ251" s="50">
        <f t="shared" si="2130"/>
        <v>3361.4867609650919</v>
      </c>
      <c r="CR251" s="50">
        <f t="shared" si="2130"/>
        <v>3462.9006172762738</v>
      </c>
      <c r="CS251" s="50">
        <f t="shared" si="2130"/>
        <v>3609.0473616052568</v>
      </c>
      <c r="CT251" s="50">
        <f t="shared" si="2130"/>
        <v>3758.9731370554928</v>
      </c>
      <c r="CU251" s="50">
        <f t="shared" si="2130"/>
        <v>3867.6026061207467</v>
      </c>
      <c r="CV251" s="50">
        <f t="shared" si="2130"/>
        <v>3995.6452641920919</v>
      </c>
      <c r="CW251" s="50">
        <f t="shared" si="2130"/>
        <v>4164.1976054976658</v>
      </c>
      <c r="CX251" s="50">
        <f t="shared" ref="CX251:DB251" si="2131">SUM(CU65:CX65)</f>
        <v>4367.4842591455226</v>
      </c>
      <c r="CY251" s="50">
        <f t="shared" si="2131"/>
        <v>4501.2167101637951</v>
      </c>
      <c r="CZ251" s="50">
        <f t="shared" si="2131"/>
        <v>4648.1217979106841</v>
      </c>
      <c r="DA251" s="50">
        <f t="shared" si="2131"/>
        <v>4824.4432827819819</v>
      </c>
      <c r="DB251" s="50">
        <f t="shared" si="2131"/>
        <v>5020.7177056506207</v>
      </c>
      <c r="DE251" s="138"/>
      <c r="DF251" s="66">
        <v>2749.7796445944305</v>
      </c>
    </row>
    <row r="252" spans="1:110" s="93" customFormat="1" x14ac:dyDescent="0.2"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11" customFormat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2" customFormat="1" hidden="1" outlineLevel="1" x14ac:dyDescent="0.2">
      <c r="A254" s="61" t="s">
        <v>339</v>
      </c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4" customFormat="1" hidden="1" outlineLevel="1" x14ac:dyDescent="0.2">
      <c r="A255" s="64" t="s">
        <v>474</v>
      </c>
      <c r="B255" s="64">
        <f t="shared" ref="B255:Z255" si="2132">B32-B261</f>
        <v>0</v>
      </c>
      <c r="C255" s="64">
        <f t="shared" si="2132"/>
        <v>0</v>
      </c>
      <c r="D255" s="64">
        <f t="shared" si="2132"/>
        <v>0</v>
      </c>
      <c r="E255" s="64">
        <f t="shared" si="2132"/>
        <v>0</v>
      </c>
      <c r="F255" s="64">
        <f t="shared" si="2132"/>
        <v>0</v>
      </c>
      <c r="G255" s="64">
        <f t="shared" si="2132"/>
        <v>0</v>
      </c>
      <c r="H255" s="64">
        <f t="shared" si="2132"/>
        <v>0</v>
      </c>
      <c r="I255" s="64">
        <f t="shared" si="2132"/>
        <v>2467.3474289999999</v>
      </c>
      <c r="J255" s="64">
        <f t="shared" si="2132"/>
        <v>2486.0061943000001</v>
      </c>
      <c r="K255" s="64">
        <f t="shared" si="2132"/>
        <v>2513.9245679999999</v>
      </c>
      <c r="L255" s="64">
        <f t="shared" si="2132"/>
        <v>0</v>
      </c>
      <c r="M255" s="64">
        <f t="shared" si="2132"/>
        <v>3775.596</v>
      </c>
      <c r="N255" s="64">
        <f t="shared" si="2132"/>
        <v>3719.473</v>
      </c>
      <c r="O255" s="64">
        <f t="shared" si="2132"/>
        <v>4247.8320000000003</v>
      </c>
      <c r="P255" s="64">
        <f t="shared" si="2132"/>
        <v>5113.4340000000002</v>
      </c>
      <c r="Q255" s="64">
        <f t="shared" si="2132"/>
        <v>5719.29</v>
      </c>
      <c r="R255" s="64">
        <f t="shared" si="2132"/>
        <v>6047.0079999999998</v>
      </c>
      <c r="S255" s="64">
        <f t="shared" si="2132"/>
        <v>6914.9520000000002</v>
      </c>
      <c r="T255" s="64">
        <f t="shared" si="2132"/>
        <v>7985.5519999999997</v>
      </c>
      <c r="U255" s="64">
        <f t="shared" si="2132"/>
        <v>8829.9549999999999</v>
      </c>
      <c r="V255" s="64">
        <f t="shared" si="2132"/>
        <v>8792.2340000000004</v>
      </c>
      <c r="W255" s="64">
        <f t="shared" si="2132"/>
        <v>12203.761</v>
      </c>
      <c r="X255" s="64">
        <f t="shared" si="2132"/>
        <v>14107.778</v>
      </c>
      <c r="Y255" s="64">
        <f t="shared" si="2132"/>
        <v>18039.444</v>
      </c>
      <c r="Z255" s="64">
        <f t="shared" si="2132"/>
        <v>22408.312999999998</v>
      </c>
      <c r="AA255" s="64">
        <f t="shared" ref="AA255" si="2133">AA32-AA261</f>
        <v>28883.792000000001</v>
      </c>
      <c r="AB255" s="30"/>
      <c r="AC255" s="30"/>
      <c r="AD255" s="30"/>
      <c r="AE255" s="30"/>
      <c r="AI255" s="64">
        <f t="shared" ref="AI255:BN255" si="2134">AI32-AI261</f>
        <v>0</v>
      </c>
      <c r="AJ255" s="64">
        <f t="shared" si="2134"/>
        <v>0</v>
      </c>
      <c r="AK255" s="64">
        <f t="shared" si="2134"/>
        <v>0</v>
      </c>
      <c r="AL255" s="64">
        <f t="shared" si="2134"/>
        <v>0</v>
      </c>
      <c r="AM255" s="64">
        <f t="shared" si="2134"/>
        <v>0</v>
      </c>
      <c r="AN255" s="64">
        <f t="shared" si="2134"/>
        <v>0</v>
      </c>
      <c r="AO255" s="64">
        <f t="shared" si="2134"/>
        <v>0</v>
      </c>
      <c r="AP255" s="64">
        <f t="shared" si="2134"/>
        <v>0</v>
      </c>
      <c r="AQ255" s="64">
        <f t="shared" si="2134"/>
        <v>0</v>
      </c>
      <c r="AR255" s="64">
        <f t="shared" si="2134"/>
        <v>0</v>
      </c>
      <c r="AS255" s="64">
        <f t="shared" si="2134"/>
        <v>0</v>
      </c>
      <c r="AT255" s="64">
        <f t="shared" si="2134"/>
        <v>0</v>
      </c>
      <c r="AU255" s="64">
        <f t="shared" si="2134"/>
        <v>0</v>
      </c>
      <c r="AV255" s="64">
        <f t="shared" si="2134"/>
        <v>0</v>
      </c>
      <c r="AW255" s="64">
        <f t="shared" si="2134"/>
        <v>0</v>
      </c>
      <c r="AX255" s="64">
        <f t="shared" si="2134"/>
        <v>0</v>
      </c>
      <c r="AY255" s="64">
        <f t="shared" si="2134"/>
        <v>0</v>
      </c>
      <c r="AZ255" s="64">
        <f t="shared" si="2134"/>
        <v>0</v>
      </c>
      <c r="BA255" s="64">
        <f t="shared" si="2134"/>
        <v>0</v>
      </c>
      <c r="BB255" s="64">
        <f t="shared" si="2134"/>
        <v>0</v>
      </c>
      <c r="BC255" s="64">
        <f t="shared" si="2134"/>
        <v>0</v>
      </c>
      <c r="BD255" s="64">
        <f t="shared" si="2134"/>
        <v>0</v>
      </c>
      <c r="BE255" s="64">
        <f t="shared" si="2134"/>
        <v>0</v>
      </c>
      <c r="BF255" s="64">
        <f t="shared" si="2134"/>
        <v>2110.2460000000001</v>
      </c>
      <c r="BG255" s="64">
        <f t="shared" si="2134"/>
        <v>1682.646</v>
      </c>
      <c r="BH255" s="64">
        <f t="shared" si="2134"/>
        <v>1811.855</v>
      </c>
      <c r="BI255" s="64">
        <f t="shared" si="2134"/>
        <v>2024.838</v>
      </c>
      <c r="BJ255" s="64">
        <f t="shared" si="2134"/>
        <v>2463.643</v>
      </c>
      <c r="BK255" s="64">
        <f t="shared" si="2134"/>
        <v>1951.3240000000001</v>
      </c>
      <c r="BL255" s="64">
        <f t="shared" si="2134"/>
        <v>2241.9430000000002</v>
      </c>
      <c r="BM255" s="64">
        <f t="shared" si="2134"/>
        <v>2507.3069999999998</v>
      </c>
      <c r="BN255" s="64">
        <f t="shared" si="2134"/>
        <v>2129.3809999999999</v>
      </c>
      <c r="BO255" s="64">
        <f t="shared" ref="BO255:CT255" si="2135">BO32-BO261</f>
        <v>976.59500000000003</v>
      </c>
      <c r="BP255" s="64">
        <f t="shared" si="2135"/>
        <v>2113.6819999999998</v>
      </c>
      <c r="BQ255" s="64">
        <f t="shared" si="2135"/>
        <v>2746.34</v>
      </c>
      <c r="BR255" s="64">
        <f t="shared" si="2135"/>
        <v>2942.741</v>
      </c>
      <c r="BS255" s="64">
        <f t="shared" si="2135"/>
        <v>1855.2280000000001</v>
      </c>
      <c r="BT255" s="64">
        <f t="shared" si="2135"/>
        <v>3006.5549999999998</v>
      </c>
      <c r="BU255" s="64">
        <f t="shared" si="2135"/>
        <v>3371.9960000000001</v>
      </c>
      <c r="BV255" s="64">
        <f t="shared" si="2135"/>
        <v>3969.982</v>
      </c>
      <c r="BW255" s="64">
        <f t="shared" si="2135"/>
        <v>2736.5569999999998</v>
      </c>
      <c r="BX255" s="64">
        <f t="shared" si="2135"/>
        <v>3332.3580000000002</v>
      </c>
      <c r="BY255" s="64">
        <f t="shared" si="2135"/>
        <v>3715.1819999999998</v>
      </c>
      <c r="BZ255" s="64">
        <f t="shared" si="2135"/>
        <v>4323.6809999999996</v>
      </c>
      <c r="CA255" s="64">
        <f t="shared" si="2135"/>
        <v>3889.3820000000001</v>
      </c>
      <c r="CB255" s="64">
        <f t="shared" si="2135"/>
        <v>4217.6970000000001</v>
      </c>
      <c r="CC255" s="64">
        <f t="shared" si="2135"/>
        <v>4340.47</v>
      </c>
      <c r="CD255" s="64">
        <f t="shared" si="2135"/>
        <v>5591.8950000000004</v>
      </c>
      <c r="CE255" s="64">
        <f t="shared" si="2135"/>
        <v>4698.03</v>
      </c>
      <c r="CF255" s="64">
        <f t="shared" si="2135"/>
        <v>5498.4229999999998</v>
      </c>
      <c r="CG255" s="64">
        <f t="shared" si="2135"/>
        <v>5226.0619999999999</v>
      </c>
      <c r="CH255" s="64">
        <f t="shared" si="2135"/>
        <v>6985.7979999999998</v>
      </c>
      <c r="CI255" s="64">
        <f t="shared" si="2135"/>
        <v>5905.9759999999997</v>
      </c>
      <c r="CJ255" s="64">
        <f t="shared" si="2135"/>
        <v>6477.2110000000002</v>
      </c>
      <c r="CK255" s="64">
        <f t="shared" si="2135"/>
        <v>7636.1279999999997</v>
      </c>
      <c r="CL255" s="64">
        <f t="shared" ref="CL255" si="2136">CL32-CL261</f>
        <v>8864.4770000000008</v>
      </c>
      <c r="CM255" s="30">
        <f t="shared" si="2135"/>
        <v>7341.902</v>
      </c>
      <c r="CN255" s="30">
        <f t="shared" si="2135"/>
        <v>7969.9261200000001</v>
      </c>
      <c r="CO255" s="30">
        <f t="shared" si="2135"/>
        <v>9482.2489000000005</v>
      </c>
      <c r="CP255" s="30">
        <f t="shared" si="2135"/>
        <v>10909.486429999999</v>
      </c>
      <c r="CQ255" s="30">
        <f t="shared" si="2135"/>
        <v>8853.5597999999973</v>
      </c>
      <c r="CR255" s="30">
        <f t="shared" si="2135"/>
        <v>9538.372672559999</v>
      </c>
      <c r="CS255" s="30">
        <f t="shared" si="2135"/>
        <v>11286.121788384</v>
      </c>
      <c r="CT255" s="30">
        <f t="shared" si="2135"/>
        <v>12879.714771191935</v>
      </c>
      <c r="CU255" s="30">
        <f t="shared" ref="CU255:DB255" si="2137">CU32-CU261</f>
        <v>10137.765102238078</v>
      </c>
      <c r="CV255" s="30">
        <f t="shared" si="2137"/>
        <v>10920.483710201448</v>
      </c>
      <c r="CW255" s="30">
        <f t="shared" si="2137"/>
        <v>12928.069713878584</v>
      </c>
      <c r="CX255" s="30">
        <f t="shared" si="2137"/>
        <v>14744.174427617478</v>
      </c>
      <c r="CY255" s="30">
        <f t="shared" si="2137"/>
        <v>11610.594162654628</v>
      </c>
      <c r="CZ255" s="30">
        <f t="shared" si="2137"/>
        <v>12505.683822879728</v>
      </c>
      <c r="DA255" s="30">
        <f t="shared" si="2137"/>
        <v>14811.838673532864</v>
      </c>
      <c r="DB255" s="30">
        <f t="shared" si="2137"/>
        <v>16882.541395179669</v>
      </c>
      <c r="DE255" s="139"/>
      <c r="DF255" s="64">
        <v>8949.6599249508618</v>
      </c>
    </row>
    <row r="256" spans="1:110" s="64" customFormat="1" hidden="1" outlineLevel="1" x14ac:dyDescent="0.2">
      <c r="A256" s="64" t="s">
        <v>475</v>
      </c>
      <c r="B256" s="64">
        <f t="shared" ref="B256:Z256" si="2138">B52-B262</f>
        <v>0</v>
      </c>
      <c r="C256" s="64">
        <f t="shared" si="2138"/>
        <v>0</v>
      </c>
      <c r="D256" s="64">
        <f t="shared" si="2138"/>
        <v>0</v>
      </c>
      <c r="E256" s="64">
        <f t="shared" si="2138"/>
        <v>0</v>
      </c>
      <c r="F256" s="64">
        <f t="shared" si="2138"/>
        <v>0</v>
      </c>
      <c r="G256" s="64">
        <f t="shared" si="2138"/>
        <v>0</v>
      </c>
      <c r="H256" s="64">
        <f t="shared" si="2138"/>
        <v>0</v>
      </c>
      <c r="I256" s="64">
        <f t="shared" si="2138"/>
        <v>269.57318550000002</v>
      </c>
      <c r="J256" s="64">
        <f t="shared" si="2138"/>
        <v>173.13032760000016</v>
      </c>
      <c r="K256" s="64">
        <f t="shared" si="2138"/>
        <v>126.19870179999998</v>
      </c>
      <c r="L256" s="64">
        <f t="shared" si="2138"/>
        <v>0</v>
      </c>
      <c r="M256" s="64">
        <f t="shared" si="2138"/>
        <v>214.78899999999976</v>
      </c>
      <c r="N256" s="64">
        <f t="shared" si="2138"/>
        <v>282.35799999999972</v>
      </c>
      <c r="O256" s="64">
        <f t="shared" si="2138"/>
        <v>317.76200000000017</v>
      </c>
      <c r="P256" s="64">
        <f t="shared" si="2138"/>
        <v>440.03600000000051</v>
      </c>
      <c r="Q256" s="64">
        <f t="shared" si="2138"/>
        <v>485.97999999999979</v>
      </c>
      <c r="R256" s="64">
        <f t="shared" si="2138"/>
        <v>479.94700000000057</v>
      </c>
      <c r="S256" s="64">
        <f t="shared" si="2138"/>
        <v>728.87999999999965</v>
      </c>
      <c r="T256" s="64">
        <f t="shared" si="2138"/>
        <v>952.76099999999997</v>
      </c>
      <c r="U256" s="64">
        <f t="shared" si="2138"/>
        <v>1135.0259999999989</v>
      </c>
      <c r="V256" s="64">
        <f t="shared" si="2138"/>
        <v>1106.115</v>
      </c>
      <c r="W256" s="64">
        <f t="shared" si="2138"/>
        <v>1250.1950000000015</v>
      </c>
      <c r="X256" s="64">
        <f t="shared" si="2138"/>
        <v>1848.9980000000014</v>
      </c>
      <c r="Y256" s="64">
        <f t="shared" si="2138"/>
        <v>2491.8050000000012</v>
      </c>
      <c r="Z256" s="64">
        <f t="shared" si="2138"/>
        <v>2960.24</v>
      </c>
      <c r="AA256" s="64">
        <f t="shared" ref="AA256" si="2139">AA52-AA262</f>
        <v>4005.7280000000019</v>
      </c>
      <c r="AB256" s="30"/>
      <c r="AC256" s="30"/>
      <c r="AD256" s="30"/>
      <c r="AE256" s="30"/>
      <c r="AI256" s="64">
        <f t="shared" ref="AI256:BN256" si="2140">AI52-AI262</f>
        <v>0</v>
      </c>
      <c r="AJ256" s="64">
        <f t="shared" si="2140"/>
        <v>0</v>
      </c>
      <c r="AK256" s="64">
        <f t="shared" si="2140"/>
        <v>0</v>
      </c>
      <c r="AL256" s="64">
        <f t="shared" si="2140"/>
        <v>0</v>
      </c>
      <c r="AM256" s="64">
        <f t="shared" si="2140"/>
        <v>0</v>
      </c>
      <c r="AN256" s="64">
        <f t="shared" si="2140"/>
        <v>0</v>
      </c>
      <c r="AO256" s="64">
        <f t="shared" si="2140"/>
        <v>0</v>
      </c>
      <c r="AP256" s="64">
        <f t="shared" si="2140"/>
        <v>0</v>
      </c>
      <c r="AQ256" s="64">
        <f t="shared" si="2140"/>
        <v>0</v>
      </c>
      <c r="AR256" s="64">
        <f t="shared" si="2140"/>
        <v>0</v>
      </c>
      <c r="AS256" s="64">
        <f t="shared" si="2140"/>
        <v>0</v>
      </c>
      <c r="AT256" s="64">
        <f t="shared" si="2140"/>
        <v>0</v>
      </c>
      <c r="AU256" s="64">
        <f t="shared" si="2140"/>
        <v>0</v>
      </c>
      <c r="AV256" s="64">
        <f t="shared" si="2140"/>
        <v>0</v>
      </c>
      <c r="AW256" s="64">
        <f t="shared" si="2140"/>
        <v>0</v>
      </c>
      <c r="AX256" s="64">
        <f t="shared" si="2140"/>
        <v>0</v>
      </c>
      <c r="AY256" s="64">
        <f t="shared" si="2140"/>
        <v>0</v>
      </c>
      <c r="AZ256" s="64">
        <f t="shared" si="2140"/>
        <v>0</v>
      </c>
      <c r="BA256" s="64">
        <f t="shared" si="2140"/>
        <v>0</v>
      </c>
      <c r="BB256" s="64">
        <f t="shared" si="2140"/>
        <v>0</v>
      </c>
      <c r="BC256" s="64">
        <f t="shared" si="2140"/>
        <v>0</v>
      </c>
      <c r="BD256" s="64">
        <f t="shared" si="2140"/>
        <v>0</v>
      </c>
      <c r="BE256" s="64">
        <f t="shared" si="2140"/>
        <v>0</v>
      </c>
      <c r="BF256" s="64">
        <f t="shared" si="2140"/>
        <v>345.40800000000013</v>
      </c>
      <c r="BG256" s="64">
        <f t="shared" si="2140"/>
        <v>172.82799999999986</v>
      </c>
      <c r="BH256" s="64">
        <f t="shared" si="2140"/>
        <v>216.435</v>
      </c>
      <c r="BI256" s="64">
        <f t="shared" si="2140"/>
        <v>317.4140000000001</v>
      </c>
      <c r="BJ256" s="64">
        <f t="shared" si="2140"/>
        <v>243.51400000000024</v>
      </c>
      <c r="BK256" s="64">
        <f t="shared" si="2140"/>
        <v>223.62799999999993</v>
      </c>
      <c r="BL256" s="64">
        <f t="shared" si="2140"/>
        <v>271.71400000000017</v>
      </c>
      <c r="BM256" s="64">
        <f t="shared" si="2140"/>
        <v>339.11199999999997</v>
      </c>
      <c r="BN256" s="64">
        <f t="shared" si="2140"/>
        <v>300.57199999999978</v>
      </c>
      <c r="BO256" s="64">
        <f t="shared" ref="BO256:CT256" si="2141">BO52-BO262</f>
        <v>57.477000000000004</v>
      </c>
      <c r="BP256" s="64">
        <f t="shared" si="2141"/>
        <v>312.47599999999989</v>
      </c>
      <c r="BQ256" s="64">
        <f t="shared" si="2141"/>
        <v>349.91600000000022</v>
      </c>
      <c r="BR256" s="64">
        <f t="shared" si="2141"/>
        <v>404.04899999999998</v>
      </c>
      <c r="BS256" s="64">
        <f t="shared" si="2141"/>
        <v>134.20199999999994</v>
      </c>
      <c r="BT256" s="64">
        <f t="shared" si="2141"/>
        <v>292.96099999999984</v>
      </c>
      <c r="BU256" s="64">
        <f t="shared" si="2141"/>
        <v>361.69400000000007</v>
      </c>
      <c r="BV256" s="64">
        <f t="shared" si="2141"/>
        <v>476.34099999999989</v>
      </c>
      <c r="BW256" s="64">
        <f t="shared" si="2141"/>
        <v>311.09199999999987</v>
      </c>
      <c r="BX256" s="64">
        <f t="shared" si="2141"/>
        <v>427.64400000000035</v>
      </c>
      <c r="BY256" s="64">
        <f t="shared" si="2141"/>
        <v>503.83899999999966</v>
      </c>
      <c r="BZ256" s="64">
        <f t="shared" si="2141"/>
        <v>609.53899999999965</v>
      </c>
      <c r="CA256" s="64">
        <f t="shared" si="2141"/>
        <v>548.56000000000006</v>
      </c>
      <c r="CB256" s="64">
        <f t="shared" si="2141"/>
        <v>608.91800000000001</v>
      </c>
      <c r="CC256" s="64">
        <f t="shared" si="2141"/>
        <v>569.51099999999997</v>
      </c>
      <c r="CD256" s="64">
        <f t="shared" si="2141"/>
        <v>761.54600000000039</v>
      </c>
      <c r="CE256" s="64">
        <f t="shared" si="2141"/>
        <v>583.38699999999994</v>
      </c>
      <c r="CF256" s="64">
        <f t="shared" si="2141"/>
        <v>631.55399999999941</v>
      </c>
      <c r="CG256" s="64">
        <f t="shared" si="2141"/>
        <v>719.91099999999983</v>
      </c>
      <c r="CH256" s="64">
        <f t="shared" si="2141"/>
        <v>1025.3880000000001</v>
      </c>
      <c r="CI256" s="64">
        <f t="shared" si="2141"/>
        <v>857.60099999999977</v>
      </c>
      <c r="CJ256" s="64">
        <f t="shared" si="2141"/>
        <v>1020.7489999999998</v>
      </c>
      <c r="CK256" s="64">
        <f t="shared" si="2141"/>
        <v>966.07199999999921</v>
      </c>
      <c r="CL256" s="64">
        <f t="shared" ref="CL256" si="2142">CL52-CL262</f>
        <v>1161.3060000000005</v>
      </c>
      <c r="CM256" s="30">
        <f t="shared" si="2141"/>
        <v>1018.168894785993</v>
      </c>
      <c r="CN256" s="30">
        <f t="shared" si="2141"/>
        <v>1092.3822615192455</v>
      </c>
      <c r="CO256" s="30">
        <f t="shared" si="2141"/>
        <v>1251.4900406832455</v>
      </c>
      <c r="CP256" s="30">
        <f t="shared" si="2141"/>
        <v>1454.6273251033581</v>
      </c>
      <c r="CQ256" s="30">
        <f t="shared" si="2141"/>
        <v>1185.6023552993424</v>
      </c>
      <c r="CR256" s="30">
        <f t="shared" si="2141"/>
        <v>1266.0544597232206</v>
      </c>
      <c r="CS256" s="30">
        <f t="shared" si="2141"/>
        <v>1485.9421675415308</v>
      </c>
      <c r="CT256" s="30">
        <f t="shared" si="2141"/>
        <v>1694.7316890789825</v>
      </c>
      <c r="CU256" s="30">
        <f t="shared" ref="CU256:DB256" si="2143">CU52-CU262</f>
        <v>1357.4612046824768</v>
      </c>
      <c r="CV256" s="30">
        <f t="shared" si="2143"/>
        <v>1462.1657315090922</v>
      </c>
      <c r="CW256" s="30">
        <f t="shared" si="2143"/>
        <v>1734.6349256114045</v>
      </c>
      <c r="CX256" s="30">
        <f t="shared" si="2143"/>
        <v>1987.5015440593447</v>
      </c>
      <c r="CY256" s="30">
        <f t="shared" si="2143"/>
        <v>1558.0500913156964</v>
      </c>
      <c r="CZ256" s="30">
        <f t="shared" si="2143"/>
        <v>1679.0728486224141</v>
      </c>
      <c r="DA256" s="30">
        <f t="shared" si="2143"/>
        <v>1990.0884823068777</v>
      </c>
      <c r="DB256" s="30">
        <f t="shared" si="2143"/>
        <v>2269.0724590044001</v>
      </c>
      <c r="DE256" s="139"/>
      <c r="DF256" s="64">
        <v>1220.5077857742865</v>
      </c>
    </row>
    <row r="257" spans="1:110" s="89" customFormat="1" hidden="1" outlineLevel="1" x14ac:dyDescent="0.2">
      <c r="A257" s="86" t="s">
        <v>476</v>
      </c>
      <c r="B257" s="86" t="e">
        <f>+B256/B255</f>
        <v>#DIV/0!</v>
      </c>
      <c r="C257" s="86" t="e">
        <f t="shared" ref="C257" si="2144">+C256/C255</f>
        <v>#DIV/0!</v>
      </c>
      <c r="D257" s="86" t="e">
        <f t="shared" ref="D257" si="2145">+D256/D255</f>
        <v>#DIV/0!</v>
      </c>
      <c r="E257" s="86" t="e">
        <f t="shared" ref="E257" si="2146">+E256/E255</f>
        <v>#DIV/0!</v>
      </c>
      <c r="F257" s="86" t="e">
        <f t="shared" ref="F257" si="2147">+F256/F255</f>
        <v>#DIV/0!</v>
      </c>
      <c r="G257" s="86" t="e">
        <f t="shared" ref="G257" si="2148">+G256/G255</f>
        <v>#DIV/0!</v>
      </c>
      <c r="H257" s="86" t="e">
        <f t="shared" ref="H257" si="2149">+H256/H255</f>
        <v>#DIV/0!</v>
      </c>
      <c r="I257" s="86">
        <f t="shared" ref="I257" si="2150">+I256/I255</f>
        <v>0.1092562734909434</v>
      </c>
      <c r="J257" s="86">
        <f t="shared" ref="J257" si="2151">+J256/J255</f>
        <v>6.9641953425924399E-2</v>
      </c>
      <c r="K257" s="86">
        <f t="shared" ref="K257" si="2152">+K256/K255</f>
        <v>5.0199876084746541E-2</v>
      </c>
      <c r="L257" s="86" t="e">
        <f t="shared" ref="L257" si="2153">+L256/L255</f>
        <v>#DIV/0!</v>
      </c>
      <c r="M257" s="86">
        <f t="shared" ref="M257" si="2154">+M256/M255</f>
        <v>5.6888766700674477E-2</v>
      </c>
      <c r="N257" s="86">
        <f t="shared" ref="N257" si="2155">+N256/N255</f>
        <v>7.5913442576407933E-2</v>
      </c>
      <c r="O257" s="86">
        <f t="shared" ref="O257" si="2156">+O256/O255</f>
        <v>7.4805689113882134E-2</v>
      </c>
      <c r="P257" s="86">
        <f t="shared" ref="P257" si="2157">+P256/P255</f>
        <v>8.6054889923288441E-2</v>
      </c>
      <c r="Q257" s="86">
        <f t="shared" ref="Q257" si="2158">+Q256/Q255</f>
        <v>8.497208569595173E-2</v>
      </c>
      <c r="R257" s="86">
        <f t="shared" ref="R257" si="2159">+R256/R255</f>
        <v>7.9369334388180168E-2</v>
      </c>
      <c r="S257" s="86">
        <f t="shared" ref="S257" si="2160">+S256/S255</f>
        <v>0.10540637158435802</v>
      </c>
      <c r="T257" s="86">
        <f t="shared" ref="T257" si="2161">+T256/T255</f>
        <v>0.11931059994349796</v>
      </c>
      <c r="U257" s="86">
        <f t="shared" ref="U257" si="2162">+U256/U255</f>
        <v>0.12854267094226401</v>
      </c>
      <c r="V257" s="86">
        <f t="shared" ref="V257" si="2163">+V256/V255</f>
        <v>0.12580591007928132</v>
      </c>
      <c r="W257" s="86">
        <f t="shared" ref="W257" si="2164">+W256/W255</f>
        <v>0.10244341887718068</v>
      </c>
      <c r="X257" s="86">
        <f t="shared" ref="X257:Y257" si="2165">+X256/X255</f>
        <v>0.13106231186796399</v>
      </c>
      <c r="Y257" s="86">
        <f t="shared" si="2165"/>
        <v>0.1381309202212663</v>
      </c>
      <c r="Z257" s="86">
        <f t="shared" ref="Z257:AA257" si="2166">+Z256/Z255</f>
        <v>0.13210454530869861</v>
      </c>
      <c r="AA257" s="86">
        <f t="shared" si="2166"/>
        <v>0.13868428355944407</v>
      </c>
      <c r="AB257" s="87"/>
      <c r="AC257" s="87"/>
      <c r="AD257" s="87"/>
      <c r="AE257" s="87"/>
      <c r="AF257" s="86"/>
      <c r="AG257" s="86"/>
      <c r="AH257" s="86"/>
      <c r="AI257" s="86" t="e">
        <f t="shared" ref="AI257" si="2167">+AI256/AI255</f>
        <v>#DIV/0!</v>
      </c>
      <c r="AJ257" s="86" t="e">
        <f t="shared" ref="AJ257" si="2168">+AJ256/AJ255</f>
        <v>#DIV/0!</v>
      </c>
      <c r="AK257" s="86" t="e">
        <f t="shared" ref="AK257" si="2169">+AK256/AK255</f>
        <v>#DIV/0!</v>
      </c>
      <c r="AL257" s="86" t="e">
        <f t="shared" ref="AL257" si="2170">+AL256/AL255</f>
        <v>#DIV/0!</v>
      </c>
      <c r="AM257" s="86" t="e">
        <f t="shared" ref="AM257" si="2171">+AM256/AM255</f>
        <v>#DIV/0!</v>
      </c>
      <c r="AN257" s="86" t="e">
        <f t="shared" ref="AN257" si="2172">+AN256/AN255</f>
        <v>#DIV/0!</v>
      </c>
      <c r="AO257" s="86" t="e">
        <f t="shared" ref="AO257" si="2173">+AO256/AO255</f>
        <v>#DIV/0!</v>
      </c>
      <c r="AP257" s="86" t="e">
        <f t="shared" ref="AP257" si="2174">+AP256/AP255</f>
        <v>#DIV/0!</v>
      </c>
      <c r="AQ257" s="86" t="e">
        <f t="shared" ref="AQ257" si="2175">+AQ256/AQ255</f>
        <v>#DIV/0!</v>
      </c>
      <c r="AR257" s="86" t="e">
        <f t="shared" ref="AR257" si="2176">+AR256/AR255</f>
        <v>#DIV/0!</v>
      </c>
      <c r="AS257" s="86" t="e">
        <f t="shared" ref="AS257" si="2177">+AS256/AS255</f>
        <v>#DIV/0!</v>
      </c>
      <c r="AT257" s="86" t="e">
        <f t="shared" ref="AT257" si="2178">+AT256/AT255</f>
        <v>#DIV/0!</v>
      </c>
      <c r="AU257" s="86" t="e">
        <f t="shared" ref="AU257" si="2179">+AU256/AU255</f>
        <v>#DIV/0!</v>
      </c>
      <c r="AV257" s="86" t="e">
        <f t="shared" ref="AV257" si="2180">+AV256/AV255</f>
        <v>#DIV/0!</v>
      </c>
      <c r="AW257" s="86" t="e">
        <f t="shared" ref="AW257" si="2181">+AW256/AW255</f>
        <v>#DIV/0!</v>
      </c>
      <c r="AX257" s="86" t="e">
        <f t="shared" ref="AX257" si="2182">+AX256/AX255</f>
        <v>#DIV/0!</v>
      </c>
      <c r="AY257" s="86" t="e">
        <f t="shared" ref="AY257" si="2183">+AY256/AY255</f>
        <v>#DIV/0!</v>
      </c>
      <c r="AZ257" s="86" t="e">
        <f t="shared" ref="AZ257" si="2184">+AZ256/AZ255</f>
        <v>#DIV/0!</v>
      </c>
      <c r="BA257" s="86" t="e">
        <f t="shared" ref="BA257" si="2185">+BA256/BA255</f>
        <v>#DIV/0!</v>
      </c>
      <c r="BB257" s="86" t="e">
        <f t="shared" ref="BB257" si="2186">+BB256/BB255</f>
        <v>#DIV/0!</v>
      </c>
      <c r="BC257" s="86" t="e">
        <f t="shared" ref="BC257" si="2187">+BC256/BC255</f>
        <v>#DIV/0!</v>
      </c>
      <c r="BD257" s="86" t="e">
        <f t="shared" ref="BD257" si="2188">+BD256/BD255</f>
        <v>#DIV/0!</v>
      </c>
      <c r="BE257" s="86" t="e">
        <f t="shared" ref="BE257" si="2189">+BE256/BE255</f>
        <v>#DIV/0!</v>
      </c>
      <c r="BF257" s="86">
        <f t="shared" ref="BF257" si="2190">+BF256/BF255</f>
        <v>0.16368139070042076</v>
      </c>
      <c r="BG257" s="86">
        <f t="shared" ref="BG257" si="2191">+BG256/BG255</f>
        <v>0.10271203806385887</v>
      </c>
      <c r="BH257" s="86">
        <f t="shared" ref="BH257" si="2192">+BH256/BH255</f>
        <v>0.11945492326924616</v>
      </c>
      <c r="BI257" s="86">
        <f t="shared" ref="BI257" si="2193">+BI256/BI255</f>
        <v>0.15676019513659864</v>
      </c>
      <c r="BJ257" s="86">
        <f t="shared" ref="BJ257" si="2194">+BJ256/BJ255</f>
        <v>9.8843054777011219E-2</v>
      </c>
      <c r="BK257" s="86">
        <f t="shared" ref="BK257" si="2195">+BK256/BK255</f>
        <v>0.11460321299794392</v>
      </c>
      <c r="BL257" s="86">
        <f t="shared" ref="BL257" si="2196">+BL256/BL255</f>
        <v>0.1211957663508841</v>
      </c>
      <c r="BM257" s="86">
        <f t="shared" ref="BM257" si="2197">+BM256/BM255</f>
        <v>0.13524949278249532</v>
      </c>
      <c r="BN257" s="86">
        <f t="shared" ref="BN257" si="2198">+BN256/BN255</f>
        <v>0.14115463601863631</v>
      </c>
      <c r="BO257" s="86">
        <f t="shared" ref="BO257" si="2199">+BO256/BO255</f>
        <v>5.8854489322595349E-2</v>
      </c>
      <c r="BP257" s="86">
        <f t="shared" ref="BP257" si="2200">+BP256/BP255</f>
        <v>0.1478349155644037</v>
      </c>
      <c r="BQ257" s="86">
        <f t="shared" ref="BQ257" si="2201">+BQ256/BQ255</f>
        <v>0.12741175528157483</v>
      </c>
      <c r="BR257" s="86">
        <f t="shared" ref="BR257" si="2202">+BR256/BR255</f>
        <v>0.13730362271093513</v>
      </c>
      <c r="BS257" s="86">
        <f t="shared" ref="BS257" si="2203">+BS256/BS255</f>
        <v>7.2337200602836924E-2</v>
      </c>
      <c r="BT257" s="86">
        <f t="shared" ref="BT257" si="2204">+BT256/BT255</f>
        <v>9.7440758609105727E-2</v>
      </c>
      <c r="BU257" s="86">
        <f t="shared" ref="BU257" si="2205">+BU256/BU255</f>
        <v>0.10726406555642416</v>
      </c>
      <c r="BV257" s="86">
        <f t="shared" ref="BV257" si="2206">+BV256/BV255</f>
        <v>0.11998568255473196</v>
      </c>
      <c r="BW257" s="86">
        <f t="shared" ref="BW257" si="2207">+BW256/BW255</f>
        <v>0.11368007317223792</v>
      </c>
      <c r="BX257" s="86">
        <f t="shared" ref="BX257" si="2208">+BX256/BX255</f>
        <v>0.12833074957732643</v>
      </c>
      <c r="BY257" s="86">
        <f t="shared" ref="BY257" si="2209">+BY256/BY255</f>
        <v>0.13561623629744107</v>
      </c>
      <c r="BZ257" s="86">
        <f t="shared" ref="BZ257" si="2210">+BZ256/BZ255</f>
        <v>0.14097686670223813</v>
      </c>
      <c r="CA257" s="86">
        <f t="shared" ref="CA257" si="2211">+CA256/CA255</f>
        <v>0.14104040179133859</v>
      </c>
      <c r="CB257" s="86">
        <f t="shared" ref="CB257:CC257" si="2212">+CB256/CB255</f>
        <v>0.14437215380810903</v>
      </c>
      <c r="CC257" s="86">
        <f t="shared" si="2212"/>
        <v>0.13120952339262798</v>
      </c>
      <c r="CD257" s="86">
        <f t="shared" ref="CD257" si="2213">+CD256/CD255</f>
        <v>0.13618746417806493</v>
      </c>
      <c r="CE257" s="86">
        <f t="shared" ref="CE257:CF257" si="2214">+CE256/CE255</f>
        <v>0.12417694225026234</v>
      </c>
      <c r="CF257" s="86">
        <f t="shared" si="2214"/>
        <v>0.11486093376228046</v>
      </c>
      <c r="CG257" s="86">
        <f t="shared" ref="CG257:CH257" si="2215">+CG256/CG255</f>
        <v>0.13775401057239656</v>
      </c>
      <c r="CH257" s="86">
        <f t="shared" si="2215"/>
        <v>0.14678179930195523</v>
      </c>
      <c r="CI257" s="86">
        <f t="shared" ref="CI257:CJ257" si="2216">+CI256/CI255</f>
        <v>0.14520902218363227</v>
      </c>
      <c r="CJ257" s="86">
        <f t="shared" si="2216"/>
        <v>0.15759082111112324</v>
      </c>
      <c r="CK257" s="86">
        <f t="shared" ref="CK257:DB257" si="2217">+CK256/CK255</f>
        <v>0.12651333241140003</v>
      </c>
      <c r="CL257" s="86">
        <f t="shared" si="2217"/>
        <v>0.13100671365045002</v>
      </c>
      <c r="CM257" s="47">
        <f t="shared" si="2217"/>
        <v>0.1386791726157599</v>
      </c>
      <c r="CN257" s="47">
        <f t="shared" si="2217"/>
        <v>0.13706303484771143</v>
      </c>
      <c r="CO257" s="47">
        <f t="shared" si="2217"/>
        <v>0.1319824077475171</v>
      </c>
      <c r="CP257" s="47">
        <f t="shared" si="2217"/>
        <v>0.13333600389320602</v>
      </c>
      <c r="CQ257" s="47">
        <f t="shared" si="2217"/>
        <v>0.13391250322828821</v>
      </c>
      <c r="CR257" s="47">
        <f t="shared" si="2217"/>
        <v>0.13273275255488889</v>
      </c>
      <c r="CS257" s="47">
        <f t="shared" si="2217"/>
        <v>0.13166100768741526</v>
      </c>
      <c r="CT257" s="47">
        <f t="shared" si="2217"/>
        <v>0.13158146117254008</v>
      </c>
      <c r="CU257" s="47">
        <f t="shared" si="2217"/>
        <v>0.13390142610256328</v>
      </c>
      <c r="CV257" s="47">
        <f t="shared" si="2217"/>
        <v>0.13389202990552512</v>
      </c>
      <c r="CW257" s="47">
        <f t="shared" si="2217"/>
        <v>0.13417586414692934</v>
      </c>
      <c r="CX257" s="47">
        <f t="shared" si="2217"/>
        <v>0.13479910684836538</v>
      </c>
      <c r="CY257" s="47">
        <f t="shared" si="2217"/>
        <v>0.13419210675084575</v>
      </c>
      <c r="CZ257" s="47">
        <f t="shared" si="2217"/>
        <v>0.13426477691291638</v>
      </c>
      <c r="DA257" s="47">
        <f t="shared" si="2217"/>
        <v>0.13435796366476421</v>
      </c>
      <c r="DB257" s="47">
        <f t="shared" si="2217"/>
        <v>0.13440348854422293</v>
      </c>
      <c r="DE257" s="130"/>
      <c r="DF257" s="89">
        <v>0.13637476686366803</v>
      </c>
    </row>
    <row r="258" spans="1:110" s="64" customFormat="1" hidden="1" outlineLevel="1" x14ac:dyDescent="0.2">
      <c r="A258" s="64" t="s">
        <v>477</v>
      </c>
      <c r="B258" s="64">
        <f t="shared" ref="B258:Z258" si="2218">B65-B264</f>
        <v>0</v>
      </c>
      <c r="C258" s="64">
        <f t="shared" si="2218"/>
        <v>0</v>
      </c>
      <c r="D258" s="64">
        <f t="shared" si="2218"/>
        <v>0</v>
      </c>
      <c r="E258" s="64">
        <f t="shared" si="2218"/>
        <v>0</v>
      </c>
      <c r="F258" s="64">
        <f t="shared" si="2218"/>
        <v>0</v>
      </c>
      <c r="G258" s="64">
        <f t="shared" si="2218"/>
        <v>0</v>
      </c>
      <c r="H258" s="64">
        <f t="shared" si="2218"/>
        <v>0</v>
      </c>
      <c r="I258" s="64">
        <f t="shared" si="2218"/>
        <v>153.66491380000008</v>
      </c>
      <c r="J258" s="64">
        <f t="shared" si="2218"/>
        <v>64.814335900000145</v>
      </c>
      <c r="K258" s="64">
        <f t="shared" si="2218"/>
        <v>113.95661349999997</v>
      </c>
      <c r="L258" s="64">
        <f t="shared" si="2218"/>
        <v>0</v>
      </c>
      <c r="M258" s="64">
        <f t="shared" si="2218"/>
        <v>33.236999999999767</v>
      </c>
      <c r="N258" s="64">
        <f t="shared" si="2218"/>
        <v>76.890999999999707</v>
      </c>
      <c r="O258" s="64">
        <f t="shared" si="2218"/>
        <v>93.241000000000156</v>
      </c>
      <c r="P258" s="64">
        <f t="shared" si="2218"/>
        <v>160.32500000000056</v>
      </c>
      <c r="Q258" s="64">
        <f t="shared" si="2218"/>
        <v>187.95999999999981</v>
      </c>
      <c r="R258" s="64">
        <f t="shared" si="2218"/>
        <v>233.07600000000059</v>
      </c>
      <c r="S258" s="64">
        <f t="shared" si="2218"/>
        <v>358.45599999999973</v>
      </c>
      <c r="T258" s="64">
        <f t="shared" si="2218"/>
        <v>502.63199999999995</v>
      </c>
      <c r="U258" s="64">
        <f t="shared" si="2218"/>
        <v>773.02599999999893</v>
      </c>
      <c r="V258" s="64">
        <f t="shared" si="2218"/>
        <v>841.23300000000017</v>
      </c>
      <c r="W258" s="64">
        <f t="shared" si="2218"/>
        <v>847.78600000000142</v>
      </c>
      <c r="X258" s="64">
        <f t="shared" si="2218"/>
        <v>1292.3490000000013</v>
      </c>
      <c r="Y258" s="64">
        <f t="shared" si="2218"/>
        <v>1802.9170000000011</v>
      </c>
      <c r="Z258" s="64">
        <f t="shared" si="2218"/>
        <v>2045.5369999999998</v>
      </c>
      <c r="AA258" s="64">
        <f t="shared" ref="AA258" si="2219">AA65-AA264</f>
        <v>2708.4270000000015</v>
      </c>
      <c r="AB258" s="30"/>
      <c r="AC258" s="30"/>
      <c r="AD258" s="30"/>
      <c r="AE258" s="30"/>
      <c r="AI258" s="64">
        <f t="shared" ref="AI258:BN258" si="2220">AI65-AI264</f>
        <v>0</v>
      </c>
      <c r="AJ258" s="64">
        <f t="shared" si="2220"/>
        <v>0</v>
      </c>
      <c r="AK258" s="64">
        <f t="shared" si="2220"/>
        <v>0</v>
      </c>
      <c r="AL258" s="64">
        <f t="shared" si="2220"/>
        <v>0</v>
      </c>
      <c r="AM258" s="64">
        <f t="shared" si="2220"/>
        <v>0</v>
      </c>
      <c r="AN258" s="64">
        <f t="shared" si="2220"/>
        <v>0</v>
      </c>
      <c r="AO258" s="64">
        <f t="shared" si="2220"/>
        <v>0</v>
      </c>
      <c r="AP258" s="64">
        <f t="shared" si="2220"/>
        <v>0</v>
      </c>
      <c r="AQ258" s="64">
        <f t="shared" si="2220"/>
        <v>0</v>
      </c>
      <c r="AR258" s="64">
        <f t="shared" si="2220"/>
        <v>0</v>
      </c>
      <c r="AS258" s="64">
        <f t="shared" si="2220"/>
        <v>0</v>
      </c>
      <c r="AT258" s="64">
        <f t="shared" si="2220"/>
        <v>0</v>
      </c>
      <c r="AU258" s="64">
        <f t="shared" si="2220"/>
        <v>0</v>
      </c>
      <c r="AV258" s="64">
        <f t="shared" si="2220"/>
        <v>0</v>
      </c>
      <c r="AW258" s="64">
        <f t="shared" si="2220"/>
        <v>0</v>
      </c>
      <c r="AX258" s="64">
        <f t="shared" si="2220"/>
        <v>0</v>
      </c>
      <c r="AY258" s="64">
        <f t="shared" si="2220"/>
        <v>0</v>
      </c>
      <c r="AZ258" s="64">
        <f t="shared" si="2220"/>
        <v>0</v>
      </c>
      <c r="BA258" s="64">
        <f t="shared" si="2220"/>
        <v>0</v>
      </c>
      <c r="BB258" s="64">
        <f t="shared" si="2220"/>
        <v>0</v>
      </c>
      <c r="BC258" s="64">
        <f t="shared" si="2220"/>
        <v>0</v>
      </c>
      <c r="BD258" s="64">
        <f t="shared" si="2220"/>
        <v>0</v>
      </c>
      <c r="BE258" s="64">
        <f t="shared" si="2220"/>
        <v>0</v>
      </c>
      <c r="BF258" s="64">
        <f t="shared" si="2220"/>
        <v>188.94300000000015</v>
      </c>
      <c r="BG258" s="64">
        <f t="shared" si="2220"/>
        <v>80.451999999999856</v>
      </c>
      <c r="BH258" s="64">
        <f t="shared" si="2220"/>
        <v>92.545999999999992</v>
      </c>
      <c r="BI258" s="64">
        <f t="shared" si="2220"/>
        <v>191.74300000000011</v>
      </c>
      <c r="BJ258" s="64">
        <f t="shared" si="2220"/>
        <v>137.89100000000022</v>
      </c>
      <c r="BK258" s="64">
        <f t="shared" si="2220"/>
        <v>135.05399999999992</v>
      </c>
      <c r="BL258" s="64">
        <f t="shared" si="2220"/>
        <v>195.41200000000018</v>
      </c>
      <c r="BM258" s="64">
        <f t="shared" si="2220"/>
        <v>221.63099999999991</v>
      </c>
      <c r="BN258" s="64">
        <f t="shared" si="2220"/>
        <v>220.92899999999975</v>
      </c>
      <c r="BO258" s="64">
        <f t="shared" ref="BO258:CT258" si="2221">BO65-BO264</f>
        <v>109.00500000000001</v>
      </c>
      <c r="BP258" s="64">
        <f t="shared" si="2221"/>
        <v>221.81299999999987</v>
      </c>
      <c r="BQ258" s="64">
        <f t="shared" si="2221"/>
        <v>244.5300000000002</v>
      </c>
      <c r="BR258" s="64">
        <f t="shared" si="2221"/>
        <v>270.35699999999997</v>
      </c>
      <c r="BS258" s="64">
        <f t="shared" si="2221"/>
        <v>75.855999999999938</v>
      </c>
      <c r="BT258" s="64">
        <f t="shared" si="2221"/>
        <v>198.11199999999985</v>
      </c>
      <c r="BU258" s="64">
        <f t="shared" si="2221"/>
        <v>248.10700000000008</v>
      </c>
      <c r="BV258" s="64">
        <f t="shared" si="2221"/>
        <v>325.70999999999992</v>
      </c>
      <c r="BW258" s="64">
        <f t="shared" si="2221"/>
        <v>223.82499999999982</v>
      </c>
      <c r="BX258" s="64">
        <f t="shared" si="2221"/>
        <v>271.43300000000033</v>
      </c>
      <c r="BY258" s="64">
        <f t="shared" si="2221"/>
        <v>361.87599999999964</v>
      </c>
      <c r="BZ258" s="64">
        <f t="shared" si="2221"/>
        <v>435.07299999999964</v>
      </c>
      <c r="CA258" s="64">
        <f t="shared" si="2221"/>
        <v>403.16200000000009</v>
      </c>
      <c r="CB258" s="64">
        <f t="shared" si="2221"/>
        <v>429.76699999999994</v>
      </c>
      <c r="CC258" s="64">
        <f t="shared" si="2221"/>
        <v>416.51099999999997</v>
      </c>
      <c r="CD258" s="64">
        <f t="shared" si="2221"/>
        <v>553.47700000000043</v>
      </c>
      <c r="CE258" s="64">
        <f t="shared" si="2221"/>
        <v>401.6189999999998</v>
      </c>
      <c r="CF258" s="64">
        <f t="shared" si="2221"/>
        <v>445.2079999999994</v>
      </c>
      <c r="CG258" s="64">
        <f t="shared" si="2221"/>
        <v>464.34799999999984</v>
      </c>
      <c r="CH258" s="64">
        <f t="shared" si="2221"/>
        <v>734.36200000000008</v>
      </c>
      <c r="CI258" s="64">
        <f t="shared" si="2221"/>
        <v>599.69599999999991</v>
      </c>
      <c r="CJ258" s="64">
        <f t="shared" si="2221"/>
        <v>692.95899999999983</v>
      </c>
      <c r="CK258" s="64">
        <f t="shared" si="2221"/>
        <v>630.16799999999921</v>
      </c>
      <c r="CL258" s="64">
        <f t="shared" ref="CL258" si="2222">CL65-CL264</f>
        <v>785.60400000000027</v>
      </c>
      <c r="CM258" s="30">
        <f t="shared" si="2221"/>
        <v>662.88505874377086</v>
      </c>
      <c r="CN258" s="30">
        <f t="shared" si="2221"/>
        <v>736.34296092260399</v>
      </c>
      <c r="CO258" s="30">
        <f t="shared" si="2221"/>
        <v>848.82955073197525</v>
      </c>
      <c r="CP258" s="30">
        <f t="shared" si="2221"/>
        <v>993.58922241258483</v>
      </c>
      <c r="CQ258" s="30">
        <f t="shared" si="2221"/>
        <v>782.72502689792782</v>
      </c>
      <c r="CR258" s="30">
        <f t="shared" si="2221"/>
        <v>837.7568172337858</v>
      </c>
      <c r="CS258" s="30">
        <f t="shared" si="2221"/>
        <v>994.97629506095859</v>
      </c>
      <c r="CT258" s="30">
        <f t="shared" si="2221"/>
        <v>1143.5149978628203</v>
      </c>
      <c r="CU258" s="30">
        <f t="shared" ref="CU258:DB258" si="2223">CU65-CU264</f>
        <v>891.35449596318188</v>
      </c>
      <c r="CV258" s="30">
        <f t="shared" si="2223"/>
        <v>965.79947530513118</v>
      </c>
      <c r="CW258" s="30">
        <f t="shared" si="2223"/>
        <v>1163.5286363665321</v>
      </c>
      <c r="CX258" s="30">
        <f t="shared" si="2223"/>
        <v>1346.8016515106776</v>
      </c>
      <c r="CY258" s="30">
        <f t="shared" si="2223"/>
        <v>1025.0869469814538</v>
      </c>
      <c r="CZ258" s="30">
        <f t="shared" si="2223"/>
        <v>1112.7045630520204</v>
      </c>
      <c r="DA258" s="30">
        <f t="shared" si="2223"/>
        <v>1339.8501212378292</v>
      </c>
      <c r="DB258" s="30">
        <f t="shared" si="2223"/>
        <v>1543.0760743793171</v>
      </c>
      <c r="DE258" s="139"/>
      <c r="DF258" s="64">
        <v>826.95664459443174</v>
      </c>
    </row>
    <row r="259" spans="1:110" s="64" customFormat="1" hidden="1" outlineLevel="1" x14ac:dyDescent="0.2">
      <c r="AB259" s="30"/>
      <c r="AC259" s="30"/>
      <c r="AD259" s="30"/>
      <c r="AE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64" customFormat="1" hidden="1" outlineLevel="1" x14ac:dyDescent="0.2">
      <c r="A260" s="65" t="s">
        <v>352</v>
      </c>
      <c r="AB260" s="30"/>
      <c r="AC260" s="30"/>
      <c r="AD260" s="30"/>
      <c r="AE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64" customFormat="1" hidden="1" outlineLevel="1" x14ac:dyDescent="0.2">
      <c r="A261" s="64" t="s">
        <v>478</v>
      </c>
      <c r="AB261" s="30"/>
      <c r="AC261" s="30"/>
      <c r="AD261" s="30"/>
      <c r="AE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64" customFormat="1" hidden="1" outlineLevel="1" x14ac:dyDescent="0.2">
      <c r="A262" s="64" t="s">
        <v>479</v>
      </c>
      <c r="AB262" s="30"/>
      <c r="AC262" s="30"/>
      <c r="AD262" s="30"/>
      <c r="AE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89" customFormat="1" hidden="1" outlineLevel="1" x14ac:dyDescent="0.2">
      <c r="A263" s="86" t="s">
        <v>480</v>
      </c>
      <c r="B263" s="86" t="e">
        <f>+B262/B261</f>
        <v>#DIV/0!</v>
      </c>
      <c r="C263" s="86" t="e">
        <f t="shared" ref="C263:X263" si="2224">+C262/C261</f>
        <v>#DIV/0!</v>
      </c>
      <c r="D263" s="86" t="e">
        <f t="shared" si="2224"/>
        <v>#DIV/0!</v>
      </c>
      <c r="E263" s="86" t="e">
        <f t="shared" si="2224"/>
        <v>#DIV/0!</v>
      </c>
      <c r="F263" s="86" t="e">
        <f t="shared" si="2224"/>
        <v>#DIV/0!</v>
      </c>
      <c r="G263" s="86" t="e">
        <f t="shared" si="2224"/>
        <v>#DIV/0!</v>
      </c>
      <c r="H263" s="86" t="e">
        <f t="shared" si="2224"/>
        <v>#DIV/0!</v>
      </c>
      <c r="I263" s="86" t="e">
        <f t="shared" si="2224"/>
        <v>#DIV/0!</v>
      </c>
      <c r="J263" s="86" t="e">
        <f t="shared" si="2224"/>
        <v>#DIV/0!</v>
      </c>
      <c r="K263" s="86" t="e">
        <f t="shared" si="2224"/>
        <v>#DIV/0!</v>
      </c>
      <c r="L263" s="86" t="e">
        <f t="shared" si="2224"/>
        <v>#DIV/0!</v>
      </c>
      <c r="M263" s="86" t="e">
        <f t="shared" si="2224"/>
        <v>#DIV/0!</v>
      </c>
      <c r="N263" s="86" t="e">
        <f t="shared" si="2224"/>
        <v>#DIV/0!</v>
      </c>
      <c r="O263" s="86" t="e">
        <f t="shared" si="2224"/>
        <v>#DIV/0!</v>
      </c>
      <c r="P263" s="86" t="e">
        <f t="shared" si="2224"/>
        <v>#DIV/0!</v>
      </c>
      <c r="Q263" s="86" t="e">
        <f t="shared" si="2224"/>
        <v>#DIV/0!</v>
      </c>
      <c r="R263" s="86" t="e">
        <f t="shared" si="2224"/>
        <v>#DIV/0!</v>
      </c>
      <c r="S263" s="86" t="e">
        <f t="shared" si="2224"/>
        <v>#DIV/0!</v>
      </c>
      <c r="T263" s="86" t="e">
        <f t="shared" si="2224"/>
        <v>#DIV/0!</v>
      </c>
      <c r="U263" s="86" t="e">
        <f t="shared" si="2224"/>
        <v>#DIV/0!</v>
      </c>
      <c r="V263" s="86" t="e">
        <f t="shared" si="2224"/>
        <v>#DIV/0!</v>
      </c>
      <c r="W263" s="86" t="e">
        <f t="shared" si="2224"/>
        <v>#DIV/0!</v>
      </c>
      <c r="X263" s="86" t="e">
        <f t="shared" si="2224"/>
        <v>#DIV/0!</v>
      </c>
      <c r="Y263" s="86" t="e">
        <f t="shared" ref="Y263:Z263" si="2225">+Y262/Y261</f>
        <v>#DIV/0!</v>
      </c>
      <c r="Z263" s="86" t="e">
        <f t="shared" si="2225"/>
        <v>#DIV/0!</v>
      </c>
      <c r="AA263" s="86" t="e">
        <f t="shared" ref="AA263" si="2226">+AA262/AA261</f>
        <v>#DIV/0!</v>
      </c>
      <c r="AB263" s="87"/>
      <c r="AC263" s="87"/>
      <c r="AD263" s="87"/>
      <c r="AE263" s="87"/>
      <c r="AF263" s="86"/>
      <c r="AG263" s="86"/>
      <c r="AH263" s="86"/>
      <c r="AI263" s="86" t="e">
        <f t="shared" ref="AI263" si="2227">+AI262/AI261</f>
        <v>#DIV/0!</v>
      </c>
      <c r="AJ263" s="86" t="e">
        <f t="shared" ref="AJ263" si="2228">+AJ262/AJ261</f>
        <v>#DIV/0!</v>
      </c>
      <c r="AK263" s="86" t="e">
        <f t="shared" ref="AK263" si="2229">+AK262/AK261</f>
        <v>#DIV/0!</v>
      </c>
      <c r="AL263" s="86" t="e">
        <f t="shared" ref="AL263" si="2230">+AL262/AL261</f>
        <v>#DIV/0!</v>
      </c>
      <c r="AM263" s="86" t="e">
        <f t="shared" ref="AM263" si="2231">+AM262/AM261</f>
        <v>#DIV/0!</v>
      </c>
      <c r="AN263" s="86" t="e">
        <f t="shared" ref="AN263" si="2232">+AN262/AN261</f>
        <v>#DIV/0!</v>
      </c>
      <c r="AO263" s="86" t="e">
        <f t="shared" ref="AO263" si="2233">+AO262/AO261</f>
        <v>#DIV/0!</v>
      </c>
      <c r="AP263" s="86" t="e">
        <f t="shared" ref="AP263" si="2234">+AP262/AP261</f>
        <v>#DIV/0!</v>
      </c>
      <c r="AQ263" s="86" t="e">
        <f t="shared" ref="AQ263" si="2235">+AQ262/AQ261</f>
        <v>#DIV/0!</v>
      </c>
      <c r="AR263" s="86" t="e">
        <f t="shared" ref="AR263" si="2236">+AR262/AR261</f>
        <v>#DIV/0!</v>
      </c>
      <c r="AS263" s="86" t="e">
        <f t="shared" ref="AS263" si="2237">+AS262/AS261</f>
        <v>#DIV/0!</v>
      </c>
      <c r="AT263" s="86" t="e">
        <f t="shared" ref="AT263" si="2238">+AT262/AT261</f>
        <v>#DIV/0!</v>
      </c>
      <c r="AU263" s="86" t="e">
        <f t="shared" ref="AU263" si="2239">+AU262/AU261</f>
        <v>#DIV/0!</v>
      </c>
      <c r="AV263" s="86" t="e">
        <f t="shared" ref="AV263" si="2240">+AV262/AV261</f>
        <v>#DIV/0!</v>
      </c>
      <c r="AW263" s="86" t="e">
        <f t="shared" ref="AW263" si="2241">+AW262/AW261</f>
        <v>#DIV/0!</v>
      </c>
      <c r="AX263" s="86" t="e">
        <f t="shared" ref="AX263" si="2242">+AX262/AX261</f>
        <v>#DIV/0!</v>
      </c>
      <c r="AY263" s="86" t="e">
        <f t="shared" ref="AY263" si="2243">+AY262/AY261</f>
        <v>#DIV/0!</v>
      </c>
      <c r="AZ263" s="86" t="e">
        <f t="shared" ref="AZ263" si="2244">+AZ262/AZ261</f>
        <v>#DIV/0!</v>
      </c>
      <c r="BA263" s="86" t="e">
        <f t="shared" ref="BA263" si="2245">+BA262/BA261</f>
        <v>#DIV/0!</v>
      </c>
      <c r="BB263" s="86" t="e">
        <f t="shared" ref="BB263" si="2246">+BB262/BB261</f>
        <v>#DIV/0!</v>
      </c>
      <c r="BC263" s="86" t="e">
        <f t="shared" ref="BC263" si="2247">+BC262/BC261</f>
        <v>#DIV/0!</v>
      </c>
      <c r="BD263" s="86" t="e">
        <f t="shared" ref="BD263" si="2248">+BD262/BD261</f>
        <v>#DIV/0!</v>
      </c>
      <c r="BE263" s="86" t="e">
        <f t="shared" ref="BE263" si="2249">+BE262/BE261</f>
        <v>#DIV/0!</v>
      </c>
      <c r="BF263" s="86" t="e">
        <f t="shared" ref="BF263" si="2250">+BF262/BF261</f>
        <v>#DIV/0!</v>
      </c>
      <c r="BG263" s="86" t="e">
        <f t="shared" ref="BG263" si="2251">+BG262/BG261</f>
        <v>#DIV/0!</v>
      </c>
      <c r="BH263" s="86" t="e">
        <f t="shared" ref="BH263" si="2252">+BH262/BH261</f>
        <v>#DIV/0!</v>
      </c>
      <c r="BI263" s="86" t="e">
        <f t="shared" ref="BI263" si="2253">+BI262/BI261</f>
        <v>#DIV/0!</v>
      </c>
      <c r="BJ263" s="86" t="e">
        <f t="shared" ref="BJ263" si="2254">+BJ262/BJ261</f>
        <v>#DIV/0!</v>
      </c>
      <c r="BK263" s="86" t="e">
        <f t="shared" ref="BK263" si="2255">+BK262/BK261</f>
        <v>#DIV/0!</v>
      </c>
      <c r="BL263" s="86" t="e">
        <f t="shared" ref="BL263" si="2256">+BL262/BL261</f>
        <v>#DIV/0!</v>
      </c>
      <c r="BM263" s="86" t="e">
        <f t="shared" ref="BM263" si="2257">+BM262/BM261</f>
        <v>#DIV/0!</v>
      </c>
      <c r="BN263" s="86" t="e">
        <f t="shared" ref="BN263" si="2258">+BN262/BN261</f>
        <v>#DIV/0!</v>
      </c>
      <c r="BO263" s="86" t="e">
        <f t="shared" ref="BO263" si="2259">+BO262/BO261</f>
        <v>#DIV/0!</v>
      </c>
      <c r="BP263" s="86" t="e">
        <f t="shared" ref="BP263" si="2260">+BP262/BP261</f>
        <v>#DIV/0!</v>
      </c>
      <c r="BQ263" s="86" t="e">
        <f t="shared" ref="BQ263" si="2261">+BQ262/BQ261</f>
        <v>#DIV/0!</v>
      </c>
      <c r="BR263" s="86" t="e">
        <f t="shared" ref="BR263" si="2262">+BR262/BR261</f>
        <v>#DIV/0!</v>
      </c>
      <c r="BS263" s="86" t="e">
        <f t="shared" ref="BS263" si="2263">+BS262/BS261</f>
        <v>#DIV/0!</v>
      </c>
      <c r="BT263" s="86" t="e">
        <f t="shared" ref="BT263" si="2264">+BT262/BT261</f>
        <v>#DIV/0!</v>
      </c>
      <c r="BU263" s="86" t="e">
        <f t="shared" ref="BU263" si="2265">+BU262/BU261</f>
        <v>#DIV/0!</v>
      </c>
      <c r="BV263" s="86" t="e">
        <f t="shared" ref="BV263" si="2266">+BV262/BV261</f>
        <v>#DIV/0!</v>
      </c>
      <c r="BW263" s="86" t="e">
        <f t="shared" ref="BW263" si="2267">+BW262/BW261</f>
        <v>#DIV/0!</v>
      </c>
      <c r="BX263" s="86" t="e">
        <f t="shared" ref="BX263" si="2268">+BX262/BX261</f>
        <v>#DIV/0!</v>
      </c>
      <c r="BY263" s="86" t="e">
        <f t="shared" ref="BY263" si="2269">+BY262/BY261</f>
        <v>#DIV/0!</v>
      </c>
      <c r="BZ263" s="86" t="e">
        <f t="shared" ref="BZ263" si="2270">+BZ262/BZ261</f>
        <v>#DIV/0!</v>
      </c>
      <c r="CA263" s="86" t="e">
        <f t="shared" ref="CA263" si="2271">+CA262/CA261</f>
        <v>#DIV/0!</v>
      </c>
      <c r="CB263" s="86" t="e">
        <f t="shared" ref="CB263:CC263" si="2272">+CB262/CB261</f>
        <v>#DIV/0!</v>
      </c>
      <c r="CC263" s="86" t="e">
        <f t="shared" si="2272"/>
        <v>#DIV/0!</v>
      </c>
      <c r="CD263" s="86" t="e">
        <f t="shared" ref="CD263" si="2273">+CD262/CD261</f>
        <v>#DIV/0!</v>
      </c>
      <c r="CE263" s="86" t="e">
        <f t="shared" ref="CE263:CF263" si="2274">+CE262/CE261</f>
        <v>#DIV/0!</v>
      </c>
      <c r="CF263" s="86" t="e">
        <f t="shared" si="2274"/>
        <v>#DIV/0!</v>
      </c>
      <c r="CG263" s="86" t="e">
        <f t="shared" ref="CG263:CH263" si="2275">+CG262/CG261</f>
        <v>#DIV/0!</v>
      </c>
      <c r="CH263" s="86" t="e">
        <f t="shared" si="2275"/>
        <v>#DIV/0!</v>
      </c>
      <c r="CI263" s="86" t="e">
        <f t="shared" ref="CI263:CJ263" si="2276">+CI262/CI261</f>
        <v>#DIV/0!</v>
      </c>
      <c r="CJ263" s="86" t="e">
        <f t="shared" si="2276"/>
        <v>#DIV/0!</v>
      </c>
      <c r="CK263" s="86" t="e">
        <f t="shared" ref="CK263:DB263" si="2277">+CK262/CK261</f>
        <v>#DIV/0!</v>
      </c>
      <c r="CL263" s="86" t="e">
        <f t="shared" si="2277"/>
        <v>#DIV/0!</v>
      </c>
      <c r="CM263" s="47" t="e">
        <f t="shared" si="2277"/>
        <v>#DIV/0!</v>
      </c>
      <c r="CN263" s="47" t="e">
        <f t="shared" si="2277"/>
        <v>#DIV/0!</v>
      </c>
      <c r="CO263" s="47" t="e">
        <f t="shared" si="2277"/>
        <v>#DIV/0!</v>
      </c>
      <c r="CP263" s="47" t="e">
        <f t="shared" si="2277"/>
        <v>#DIV/0!</v>
      </c>
      <c r="CQ263" s="47" t="e">
        <f t="shared" si="2277"/>
        <v>#DIV/0!</v>
      </c>
      <c r="CR263" s="47" t="e">
        <f t="shared" si="2277"/>
        <v>#DIV/0!</v>
      </c>
      <c r="CS263" s="47" t="e">
        <f t="shared" si="2277"/>
        <v>#DIV/0!</v>
      </c>
      <c r="CT263" s="47" t="e">
        <f t="shared" si="2277"/>
        <v>#DIV/0!</v>
      </c>
      <c r="CU263" s="47" t="e">
        <f t="shared" si="2277"/>
        <v>#DIV/0!</v>
      </c>
      <c r="CV263" s="47" t="e">
        <f t="shared" si="2277"/>
        <v>#DIV/0!</v>
      </c>
      <c r="CW263" s="47" t="e">
        <f t="shared" si="2277"/>
        <v>#DIV/0!</v>
      </c>
      <c r="CX263" s="47" t="e">
        <f t="shared" si="2277"/>
        <v>#DIV/0!</v>
      </c>
      <c r="CY263" s="47" t="e">
        <f t="shared" si="2277"/>
        <v>#DIV/0!</v>
      </c>
      <c r="CZ263" s="47" t="e">
        <f t="shared" si="2277"/>
        <v>#DIV/0!</v>
      </c>
      <c r="DA263" s="47" t="e">
        <f t="shared" si="2277"/>
        <v>#DIV/0!</v>
      </c>
      <c r="DB263" s="47" t="e">
        <f t="shared" si="2277"/>
        <v>#DIV/0!</v>
      </c>
      <c r="DE263" s="130"/>
    </row>
    <row r="264" spans="1:110" s="64" customFormat="1" hidden="1" outlineLevel="1" x14ac:dyDescent="0.2">
      <c r="A264" s="64" t="s">
        <v>481</v>
      </c>
      <c r="AB264" s="30"/>
      <c r="AC264" s="30"/>
      <c r="AD264" s="30"/>
      <c r="AE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9"/>
    </row>
    <row r="265" spans="1:110" s="62" customFormat="1" hidden="1" outlineLevel="1" x14ac:dyDescent="0.2">
      <c r="AB265" s="63"/>
      <c r="AC265" s="63"/>
      <c r="AD265" s="63"/>
      <c r="AE265" s="63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E265" s="139"/>
    </row>
    <row r="266" spans="1:110" s="11" customFormat="1" collapsed="1" x14ac:dyDescent="0.2">
      <c r="AB266" s="63"/>
      <c r="AC266" s="63"/>
      <c r="AD266" s="63"/>
      <c r="AE266" s="63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9"/>
    </row>
    <row r="267" spans="1:110" s="62" customFormat="1" x14ac:dyDescent="0.2">
      <c r="A267" s="154" t="s">
        <v>497</v>
      </c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63"/>
      <c r="AC267" s="63"/>
      <c r="AD267" s="63"/>
      <c r="AE267" s="63"/>
      <c r="AL267" s="180"/>
      <c r="CF267" s="180"/>
      <c r="CG267" s="180"/>
      <c r="CH267" s="180"/>
      <c r="CI267" s="180"/>
      <c r="CJ267" s="180"/>
      <c r="CK267" s="180"/>
      <c r="CL267" s="18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9"/>
    </row>
    <row r="268" spans="1:110" s="84" customFormat="1" x14ac:dyDescent="0.2">
      <c r="A268" s="84" t="s">
        <v>512</v>
      </c>
      <c r="B268" s="84" t="e">
        <f>B32/B189</f>
        <v>#DIV/0!</v>
      </c>
      <c r="C268" s="84" t="e">
        <f>C32/C189</f>
        <v>#DIV/0!</v>
      </c>
      <c r="D268" s="84" t="e">
        <f>D32/D189</f>
        <v>#DIV/0!</v>
      </c>
      <c r="E268" s="84" t="e">
        <f t="shared" ref="E268:Y268" si="2278">E34/(E185+E172+E162)</f>
        <v>#DIV/0!</v>
      </c>
      <c r="F268" s="84" t="e">
        <f t="shared" si="2278"/>
        <v>#DIV/0!</v>
      </c>
      <c r="G268" s="84" t="e">
        <f t="shared" si="2278"/>
        <v>#DIV/0!</v>
      </c>
      <c r="H268" s="84" t="e">
        <f t="shared" si="2278"/>
        <v>#DIV/0!</v>
      </c>
      <c r="I268" s="84">
        <f t="shared" si="2278"/>
        <v>1.586456797053283</v>
      </c>
      <c r="J268" s="84">
        <f t="shared" si="2278"/>
        <v>1.5215858195846732</v>
      </c>
      <c r="K268" s="84">
        <f t="shared" si="2278"/>
        <v>1.0834259832097313</v>
      </c>
      <c r="L268" s="84">
        <f t="shared" si="2278"/>
        <v>0</v>
      </c>
      <c r="M268" s="84">
        <f t="shared" si="2278"/>
        <v>1.3550120173284961</v>
      </c>
      <c r="N268" s="84">
        <f t="shared" si="2278"/>
        <v>1.4346226581384522</v>
      </c>
      <c r="O268" s="84">
        <f t="shared" si="2278"/>
        <v>1.4984424040483457</v>
      </c>
      <c r="P268" s="84">
        <f t="shared" si="2278"/>
        <v>1.421468230605498</v>
      </c>
      <c r="Q268" s="84">
        <f t="shared" si="2278"/>
        <v>1.3467318547444838</v>
      </c>
      <c r="R268" s="84">
        <f t="shared" si="2278"/>
        <v>1.2168688506564205</v>
      </c>
      <c r="S268" s="84">
        <f t="shared" si="2278"/>
        <v>1.5329380025834616</v>
      </c>
      <c r="T268" s="84">
        <f t="shared" si="2278"/>
        <v>1.4262690416527499</v>
      </c>
      <c r="U268" s="84">
        <f t="shared" si="2278"/>
        <v>1.4877506779999139</v>
      </c>
      <c r="V268" s="84">
        <f t="shared" si="2278"/>
        <v>1.2555165144864644</v>
      </c>
      <c r="W268" s="84">
        <f t="shared" si="2278"/>
        <v>1.6485700900517302</v>
      </c>
      <c r="X268" s="84">
        <f t="shared" si="2278"/>
        <v>1.4969843376557121</v>
      </c>
      <c r="Y268" s="84">
        <f t="shared" si="2278"/>
        <v>1.4950622885849221</v>
      </c>
      <c r="Z268" s="84">
        <f>Z34/(Z185+Z172+Z162)</f>
        <v>1.62985005996205</v>
      </c>
      <c r="AA268" s="84">
        <f>AA34/(AA185+AA172+AA162)</f>
        <v>1.4114035425487188</v>
      </c>
      <c r="AB268" s="50">
        <f t="shared" ref="AA268:AE268" si="2279">AB34/(AB185+AB172+AB162)</f>
        <v>1.5505906345384028</v>
      </c>
      <c r="AC268" s="50">
        <f t="shared" si="2279"/>
        <v>1.5139600862576827</v>
      </c>
      <c r="AD268" s="50">
        <f t="shared" si="2279"/>
        <v>1.444753474551137</v>
      </c>
      <c r="AE268" s="50">
        <f t="shared" si="2279"/>
        <v>1.3885676402096685</v>
      </c>
      <c r="AL268" s="84" t="e">
        <f>SUM(AI34:AL34)/(AL185+AL172+AL162)</f>
        <v>#DIV/0!</v>
      </c>
      <c r="AM268" s="84" t="e">
        <f t="shared" ref="AM268:CL268" si="2280">SUM(AJ34:AM34)/(AM185+AM172+AM162)</f>
        <v>#DIV/0!</v>
      </c>
      <c r="AN268" s="84" t="e">
        <f t="shared" si="2280"/>
        <v>#DIV/0!</v>
      </c>
      <c r="AO268" s="84" t="e">
        <f t="shared" si="2280"/>
        <v>#DIV/0!</v>
      </c>
      <c r="AP268" s="84" t="e">
        <f t="shared" si="2280"/>
        <v>#DIV/0!</v>
      </c>
      <c r="AQ268" s="84" t="e">
        <f t="shared" si="2280"/>
        <v>#DIV/0!</v>
      </c>
      <c r="AR268" s="84" t="e">
        <f t="shared" si="2280"/>
        <v>#DIV/0!</v>
      </c>
      <c r="AS268" s="84" t="e">
        <f t="shared" si="2280"/>
        <v>#DIV/0!</v>
      </c>
      <c r="AT268" s="84" t="e">
        <f t="shared" si="2280"/>
        <v>#DIV/0!</v>
      </c>
      <c r="AU268" s="84" t="e">
        <f t="shared" si="2280"/>
        <v>#DIV/0!</v>
      </c>
      <c r="AV268" s="84" t="e">
        <f t="shared" si="2280"/>
        <v>#DIV/0!</v>
      </c>
      <c r="AW268" s="84" t="e">
        <f t="shared" si="2280"/>
        <v>#DIV/0!</v>
      </c>
      <c r="AX268" s="84" t="e">
        <f t="shared" si="2280"/>
        <v>#DIV/0!</v>
      </c>
      <c r="AY268" s="84" t="e">
        <f t="shared" si="2280"/>
        <v>#DIV/0!</v>
      </c>
      <c r="AZ268" s="84" t="e">
        <f t="shared" si="2280"/>
        <v>#DIV/0!</v>
      </c>
      <c r="BA268" s="84" t="e">
        <f t="shared" si="2280"/>
        <v>#DIV/0!</v>
      </c>
      <c r="BB268" s="84" t="e">
        <f t="shared" si="2280"/>
        <v>#DIV/0!</v>
      </c>
      <c r="BC268" s="84" t="e">
        <f t="shared" si="2280"/>
        <v>#DIV/0!</v>
      </c>
      <c r="BD268" s="84" t="e">
        <f t="shared" si="2280"/>
        <v>#DIV/0!</v>
      </c>
      <c r="BE268" s="84" t="e">
        <f t="shared" si="2280"/>
        <v>#DIV/0!</v>
      </c>
      <c r="BF268" s="84">
        <f t="shared" si="2280"/>
        <v>0.47780362748794025</v>
      </c>
      <c r="BG268" s="84">
        <f t="shared" si="2280"/>
        <v>0.88069276902577198</v>
      </c>
      <c r="BH268" s="84" t="e">
        <f t="shared" si="2280"/>
        <v>#DIV/0!</v>
      </c>
      <c r="BI268" s="84">
        <f t="shared" si="2280"/>
        <v>39.4628263748086</v>
      </c>
      <c r="BJ268" s="84">
        <f t="shared" si="2280"/>
        <v>1.4258100237367628</v>
      </c>
      <c r="BK268" s="84">
        <f t="shared" si="2280"/>
        <v>1.5232060137272181</v>
      </c>
      <c r="BL268" s="84">
        <f t="shared" si="2280"/>
        <v>1.5258100850854501</v>
      </c>
      <c r="BM268" s="84">
        <f t="shared" si="2280"/>
        <v>1.5109238227411501</v>
      </c>
      <c r="BN268" s="84">
        <f t="shared" si="2280"/>
        <v>1.4877506779999139</v>
      </c>
      <c r="BO268" s="84">
        <f t="shared" si="2280"/>
        <v>1.4765848976953815</v>
      </c>
      <c r="BP268" s="84">
        <f t="shared" si="2280"/>
        <v>1.1998459929279108</v>
      </c>
      <c r="BQ268" s="84">
        <f t="shared" si="2280"/>
        <v>1.1219918533934758</v>
      </c>
      <c r="BR268" s="84">
        <f t="shared" si="2280"/>
        <v>1.2536778429223854</v>
      </c>
      <c r="BS268" s="84">
        <f t="shared" si="2280"/>
        <v>1.468071793110592</v>
      </c>
      <c r="BT268" s="84">
        <f t="shared" si="2280"/>
        <v>1.5081024207850093</v>
      </c>
      <c r="BU268" s="84">
        <f t="shared" si="2280"/>
        <v>1.496155738947196</v>
      </c>
      <c r="BV268" s="84">
        <f t="shared" si="2280"/>
        <v>1.6485700900517299</v>
      </c>
      <c r="BW268" s="84">
        <f t="shared" si="2280"/>
        <v>1.806305156454705</v>
      </c>
      <c r="BX268" s="84">
        <f t="shared" si="2280"/>
        <v>1.661762213077012</v>
      </c>
      <c r="BY268" s="84">
        <f t="shared" si="2280"/>
        <v>1.595810052053696</v>
      </c>
      <c r="BZ268" s="84">
        <f t="shared" si="2280"/>
        <v>1.4969843376557119</v>
      </c>
      <c r="CA268" s="84">
        <f t="shared" si="2280"/>
        <v>1.5663618740301826</v>
      </c>
      <c r="CB268" s="84">
        <f t="shared" si="2280"/>
        <v>1.6336570169999689</v>
      </c>
      <c r="CC268" s="84">
        <f t="shared" si="2280"/>
        <v>1.620248658482492</v>
      </c>
      <c r="CD268" s="84">
        <f t="shared" si="2280"/>
        <v>1.5045762965047464</v>
      </c>
      <c r="CE268" s="84">
        <f t="shared" si="2280"/>
        <v>1.541690089534</v>
      </c>
      <c r="CF268" s="84">
        <f t="shared" si="2280"/>
        <v>1.4780190679327321</v>
      </c>
      <c r="CG268" s="84">
        <f t="shared" si="2280"/>
        <v>1.4993755368106378</v>
      </c>
      <c r="CH268" s="84">
        <f t="shared" si="2280"/>
        <v>1.62985005996205</v>
      </c>
      <c r="CI268" s="84">
        <f t="shared" si="2280"/>
        <v>1.7143123858721749</v>
      </c>
      <c r="CJ268" s="84">
        <f t="shared" si="2280"/>
        <v>1.4407170522054058</v>
      </c>
      <c r="CK268" s="84">
        <f t="shared" ref="CK268" si="2281">SUM(CH34:CK34)/(CK185+CK172+CK162)</f>
        <v>1.4355854213568957</v>
      </c>
      <c r="CL268" s="84">
        <f t="shared" si="2280"/>
        <v>1.4175199543233739</v>
      </c>
      <c r="CM268" s="50">
        <f t="shared" ref="CM268:DB268" si="2282">SUM(CJ34:CM34)/(CM185+CM172+CM162)</f>
        <v>1.6851356905134292</v>
      </c>
      <c r="CN268" s="50">
        <f t="shared" si="2282"/>
        <v>1.6608049926085751</v>
      </c>
      <c r="CO268" s="50">
        <f t="shared" si="2282"/>
        <v>1.5991593463288682</v>
      </c>
      <c r="CP268" s="50">
        <f t="shared" si="2282"/>
        <v>1.5505906345384028</v>
      </c>
      <c r="CQ268" s="50">
        <f t="shared" si="2282"/>
        <v>1.6644436815531858</v>
      </c>
      <c r="CR268" s="50">
        <f t="shared" si="2282"/>
        <v>1.6390397888219703</v>
      </c>
      <c r="CS268" s="50">
        <f t="shared" si="2282"/>
        <v>1.5691508819576825</v>
      </c>
      <c r="CT268" s="50">
        <f t="shared" si="2282"/>
        <v>1.5139600862576827</v>
      </c>
      <c r="CU268" s="50">
        <f t="shared" si="2282"/>
        <v>1.6194206362049564</v>
      </c>
      <c r="CV268" s="50">
        <f t="shared" si="2282"/>
        <v>1.5827799125939841</v>
      </c>
      <c r="CW268" s="50">
        <f t="shared" si="2282"/>
        <v>1.5056783618822218</v>
      </c>
      <c r="CX268" s="50">
        <f t="shared" si="2282"/>
        <v>1.444753474551137</v>
      </c>
      <c r="CY268" s="50">
        <f t="shared" si="2282"/>
        <v>1.5422627520487995</v>
      </c>
      <c r="CZ268" s="50">
        <f t="shared" si="2282"/>
        <v>1.5108781400106219</v>
      </c>
      <c r="DA268" s="50">
        <f t="shared" si="2282"/>
        <v>1.4421951865759763</v>
      </c>
      <c r="DB268" s="50">
        <f t="shared" si="2282"/>
        <v>1.3885676402096685</v>
      </c>
      <c r="DE268" s="138"/>
      <c r="DF268" s="84">
        <v>1.3862736989580693</v>
      </c>
    </row>
    <row r="269" spans="1:110" s="84" customFormat="1" x14ac:dyDescent="0.2">
      <c r="A269" s="84" t="s">
        <v>513</v>
      </c>
      <c r="E269" s="181" t="e">
        <f>+E66</f>
        <v>#DIV/0!</v>
      </c>
      <c r="F269" s="181" t="e">
        <f t="shared" ref="F269:AE269" si="2283">+F66</f>
        <v>#DIV/0!</v>
      </c>
      <c r="G269" s="181" t="e">
        <f t="shared" si="2283"/>
        <v>#DIV/0!</v>
      </c>
      <c r="H269" s="181" t="e">
        <f t="shared" si="2283"/>
        <v>#DIV/0!</v>
      </c>
      <c r="I269" s="181">
        <f t="shared" si="2283"/>
        <v>7.1934214311206973E-2</v>
      </c>
      <c r="J269" s="181">
        <f t="shared" si="2283"/>
        <v>2.893711822743809E-2</v>
      </c>
      <c r="K269" s="181">
        <f t="shared" si="2283"/>
        <v>4.5330164218356124E-2</v>
      </c>
      <c r="L269" s="181" t="e">
        <f t="shared" si="2283"/>
        <v>#DIV/0!</v>
      </c>
      <c r="M269" s="181">
        <f t="shared" si="2283"/>
        <v>8.8031134687079245E-3</v>
      </c>
      <c r="N269" s="181">
        <f t="shared" si="2283"/>
        <v>2.0672552267485128E-2</v>
      </c>
      <c r="O269" s="181">
        <f t="shared" si="2283"/>
        <v>2.4266861826636982E-2</v>
      </c>
      <c r="P269" s="181">
        <f t="shared" si="2283"/>
        <v>3.4052899291351475E-2</v>
      </c>
      <c r="Q269" s="181">
        <f t="shared" si="2283"/>
        <v>3.6237933381275234E-2</v>
      </c>
      <c r="R269" s="181">
        <f t="shared" si="2283"/>
        <v>4.2376553080598213E-2</v>
      </c>
      <c r="S269" s="181">
        <f t="shared" si="2283"/>
        <v>5.2945325210607158E-2</v>
      </c>
      <c r="T269" s="181">
        <f t="shared" si="2283"/>
        <v>6.2942674470092982E-2</v>
      </c>
      <c r="U269" s="181">
        <f t="shared" si="2283"/>
        <v>8.7545859520235261E-2</v>
      </c>
      <c r="V269" s="181">
        <f t="shared" si="2283"/>
        <v>9.5679095893034707E-2</v>
      </c>
      <c r="W269" s="181">
        <f t="shared" si="2283"/>
        <v>6.946923985155079E-2</v>
      </c>
      <c r="X269" s="181">
        <f t="shared" si="2283"/>
        <v>9.1605425035749879E-2</v>
      </c>
      <c r="Y269" s="181">
        <f t="shared" si="2283"/>
        <v>9.9943047025174453E-2</v>
      </c>
      <c r="Z269" s="181">
        <f t="shared" si="2283"/>
        <v>9.1284738837769719E-2</v>
      </c>
      <c r="AA269" s="181">
        <f t="shared" ref="AA269" si="2284">+AA66</f>
        <v>9.3769786183199255E-2</v>
      </c>
      <c r="AB269" s="182">
        <f t="shared" si="2283"/>
        <v>9.0793368492492491E-2</v>
      </c>
      <c r="AC269" s="182">
        <f t="shared" si="2283"/>
        <v>8.8326367254285304E-2</v>
      </c>
      <c r="AD269" s="182">
        <f t="shared" si="2283"/>
        <v>8.962528376788749E-2</v>
      </c>
      <c r="AE269" s="182">
        <f t="shared" si="2283"/>
        <v>8.9959837075753057E-2</v>
      </c>
      <c r="AL269" s="181" t="e">
        <f t="shared" ref="AL269:CW269" si="2285">+AL66</f>
        <v>#DIV/0!</v>
      </c>
      <c r="AM269" s="181" t="e">
        <f t="shared" si="2285"/>
        <v>#DIV/0!</v>
      </c>
      <c r="AN269" s="181" t="e">
        <f t="shared" si="2285"/>
        <v>#DIV/0!</v>
      </c>
      <c r="AO269" s="181" t="e">
        <f t="shared" si="2285"/>
        <v>#DIV/0!</v>
      </c>
      <c r="AP269" s="181" t="e">
        <f t="shared" si="2285"/>
        <v>#DIV/0!</v>
      </c>
      <c r="AQ269" s="181" t="e">
        <f t="shared" si="2285"/>
        <v>#DIV/0!</v>
      </c>
      <c r="AR269" s="181" t="e">
        <f t="shared" si="2285"/>
        <v>#DIV/0!</v>
      </c>
      <c r="AS269" s="181" t="e">
        <f t="shared" si="2285"/>
        <v>#DIV/0!</v>
      </c>
      <c r="AT269" s="181" t="e">
        <f t="shared" si="2285"/>
        <v>#DIV/0!</v>
      </c>
      <c r="AU269" s="181" t="e">
        <f t="shared" si="2285"/>
        <v>#DIV/0!</v>
      </c>
      <c r="AV269" s="181" t="e">
        <f t="shared" si="2285"/>
        <v>#DIV/0!</v>
      </c>
      <c r="AW269" s="181" t="e">
        <f t="shared" si="2285"/>
        <v>#DIV/0!</v>
      </c>
      <c r="AX269" s="181" t="e">
        <f t="shared" si="2285"/>
        <v>#DIV/0!</v>
      </c>
      <c r="AY269" s="181" t="e">
        <f t="shared" si="2285"/>
        <v>#DIV/0!</v>
      </c>
      <c r="AZ269" s="181" t="e">
        <f t="shared" si="2285"/>
        <v>#DIV/0!</v>
      </c>
      <c r="BA269" s="181" t="e">
        <f t="shared" si="2285"/>
        <v>#DIV/0!</v>
      </c>
      <c r="BB269" s="181" t="e">
        <f t="shared" si="2285"/>
        <v>#DIV/0!</v>
      </c>
      <c r="BC269" s="181" t="e">
        <f t="shared" si="2285"/>
        <v>#DIV/0!</v>
      </c>
      <c r="BD269" s="181" t="e">
        <f t="shared" si="2285"/>
        <v>#DIV/0!</v>
      </c>
      <c r="BE269" s="181" t="e">
        <f t="shared" si="2285"/>
        <v>#DIV/0!</v>
      </c>
      <c r="BF269" s="181">
        <f t="shared" si="2285"/>
        <v>8.9536006702536169E-2</v>
      </c>
      <c r="BG269" s="181">
        <f t="shared" si="2285"/>
        <v>4.7812790093697578E-2</v>
      </c>
      <c r="BH269" s="181">
        <f t="shared" si="2285"/>
        <v>5.1078038805533549E-2</v>
      </c>
      <c r="BI269" s="181">
        <f t="shared" si="2285"/>
        <v>9.4695476872717774E-2</v>
      </c>
      <c r="BJ269" s="181">
        <f t="shared" si="2285"/>
        <v>5.5970365836283995E-2</v>
      </c>
      <c r="BK269" s="181">
        <f t="shared" si="2285"/>
        <v>6.9211468725849684E-2</v>
      </c>
      <c r="BL269" s="181">
        <f t="shared" si="2285"/>
        <v>8.7161894838539672E-2</v>
      </c>
      <c r="BM269" s="181">
        <f t="shared" si="2285"/>
        <v>8.8394041894351169E-2</v>
      </c>
      <c r="BN269" s="181">
        <f t="shared" si="2285"/>
        <v>0.10375268681367954</v>
      </c>
      <c r="BO269" s="181">
        <f t="shared" si="2285"/>
        <v>0.1116174053727492</v>
      </c>
      <c r="BP269" s="181">
        <f t="shared" si="2285"/>
        <v>0.10494151911214643</v>
      </c>
      <c r="BQ269" s="181">
        <f t="shared" si="2285"/>
        <v>8.9038502151955037E-2</v>
      </c>
      <c r="BR269" s="181">
        <f t="shared" si="2285"/>
        <v>9.1872509337383057E-2</v>
      </c>
      <c r="BS269" s="181">
        <f t="shared" si="2285"/>
        <v>4.0887696822169528E-2</v>
      </c>
      <c r="BT269" s="181">
        <f t="shared" si="2285"/>
        <v>6.5893356349709178E-2</v>
      </c>
      <c r="BU269" s="181">
        <f t="shared" si="2285"/>
        <v>7.357867565679202E-2</v>
      </c>
      <c r="BV269" s="181">
        <f t="shared" si="2285"/>
        <v>8.2043193142941187E-2</v>
      </c>
      <c r="BW269" s="181">
        <f t="shared" si="2285"/>
        <v>8.1790731930670491E-2</v>
      </c>
      <c r="BX269" s="181">
        <f t="shared" si="2285"/>
        <v>8.145373336238193E-2</v>
      </c>
      <c r="BY269" s="181">
        <f t="shared" si="2285"/>
        <v>9.740464935499786E-2</v>
      </c>
      <c r="BZ269" s="181">
        <f t="shared" si="2285"/>
        <v>0.1006256011949077</v>
      </c>
      <c r="CA269" s="181">
        <f t="shared" si="2285"/>
        <v>0.10365708485306922</v>
      </c>
      <c r="CB269" s="181">
        <f t="shared" si="2285"/>
        <v>0.10189612957023701</v>
      </c>
      <c r="CC269" s="181">
        <f t="shared" si="2285"/>
        <v>9.5959884528633979E-2</v>
      </c>
      <c r="CD269" s="181">
        <f t="shared" si="2285"/>
        <v>9.8978432177285233E-2</v>
      </c>
      <c r="CE269" s="181">
        <f t="shared" si="2285"/>
        <v>8.5486682715946866E-2</v>
      </c>
      <c r="CF269" s="181">
        <f t="shared" si="2285"/>
        <v>8.0970125434147097E-2</v>
      </c>
      <c r="CG269" s="181">
        <f t="shared" si="2285"/>
        <v>8.8852371058743634E-2</v>
      </c>
      <c r="CH269" s="181">
        <f t="shared" si="2285"/>
        <v>0.10512213493719688</v>
      </c>
      <c r="CI269" s="181">
        <f t="shared" si="2285"/>
        <v>0.10154054130934496</v>
      </c>
      <c r="CJ269" s="181">
        <f t="shared" si="2285"/>
        <v>0.10698416339995714</v>
      </c>
      <c r="CK269" s="181">
        <f t="shared" si="2285"/>
        <v>8.2524546471719598E-2</v>
      </c>
      <c r="CL269" s="181">
        <f t="shared" ref="CL269" si="2286">+CL66</f>
        <v>8.8623840977871585E-2</v>
      </c>
      <c r="CM269" s="182">
        <f t="shared" si="2285"/>
        <v>9.0287919771167041E-2</v>
      </c>
      <c r="CN269" s="182">
        <f t="shared" si="2285"/>
        <v>9.2390186538216484E-2</v>
      </c>
      <c r="CO269" s="182">
        <f t="shared" si="2285"/>
        <v>8.9517746231273801E-2</v>
      </c>
      <c r="CP269" s="182">
        <f t="shared" si="2285"/>
        <v>9.1075710005955338E-2</v>
      </c>
      <c r="CQ269" s="182">
        <f t="shared" si="2285"/>
        <v>8.840794489216959E-2</v>
      </c>
      <c r="CR269" s="182">
        <f t="shared" si="2285"/>
        <v>8.7830162019549254E-2</v>
      </c>
      <c r="CS269" s="182">
        <f t="shared" si="2285"/>
        <v>8.8159273284204392E-2</v>
      </c>
      <c r="CT269" s="182">
        <f t="shared" si="2285"/>
        <v>8.8784186465100987E-2</v>
      </c>
      <c r="CU269" s="182">
        <f t="shared" si="2285"/>
        <v>8.7924161486677255E-2</v>
      </c>
      <c r="CV269" s="182">
        <f t="shared" si="2285"/>
        <v>8.8439257906032381E-2</v>
      </c>
      <c r="CW269" s="182">
        <f t="shared" si="2285"/>
        <v>9.0000182712308321E-2</v>
      </c>
      <c r="CX269" s="182">
        <f t="shared" ref="CX269:DB269" si="2287">+CX66</f>
        <v>9.1344663488785671E-2</v>
      </c>
      <c r="CY269" s="182">
        <f t="shared" si="2287"/>
        <v>8.8288931007392948E-2</v>
      </c>
      <c r="CZ269" s="182">
        <f t="shared" si="2287"/>
        <v>8.8975907180403505E-2</v>
      </c>
      <c r="DA269" s="182">
        <f t="shared" si="2287"/>
        <v>9.0458055260350279E-2</v>
      </c>
      <c r="DB269" s="182">
        <f t="shared" si="2287"/>
        <v>9.1400698405507755E-2</v>
      </c>
      <c r="DE269" s="138"/>
      <c r="DF269" s="84">
        <v>9.2400901434137137E-2</v>
      </c>
    </row>
    <row r="270" spans="1:110" s="84" customFormat="1" x14ac:dyDescent="0.2">
      <c r="A270" s="84" t="s">
        <v>514</v>
      </c>
      <c r="E270" s="84" t="e">
        <f>(E185+E172+E162+E164)/E144</f>
        <v>#DIV/0!</v>
      </c>
      <c r="F270" s="84" t="e">
        <f t="shared" ref="F270:AE270" si="2288">(F185+F172+F162+F164)/F144</f>
        <v>#DIV/0!</v>
      </c>
      <c r="G270" s="84" t="e">
        <f t="shared" si="2288"/>
        <v>#DIV/0!</v>
      </c>
      <c r="H270" s="84" t="e">
        <f t="shared" si="2288"/>
        <v>#DIV/0!</v>
      </c>
      <c r="I270" s="84">
        <f t="shared" si="2288"/>
        <v>2.8019379574315182</v>
      </c>
      <c r="J270" s="84">
        <f t="shared" si="2288"/>
        <v>2.7059331025076507</v>
      </c>
      <c r="K270" s="84">
        <f t="shared" si="2288"/>
        <v>2.642724181883727</v>
      </c>
      <c r="L270" s="84">
        <f t="shared" si="2288"/>
        <v>2.9641616693563777</v>
      </c>
      <c r="M270" s="84">
        <f t="shared" si="2288"/>
        <v>2.6516713106446801</v>
      </c>
      <c r="N270" s="84">
        <f t="shared" si="2288"/>
        <v>2.0141588856574311</v>
      </c>
      <c r="O270" s="84">
        <f t="shared" si="2288"/>
        <v>1.8919677656409097</v>
      </c>
      <c r="P270" s="84">
        <f t="shared" si="2288"/>
        <v>2.0422839603230245</v>
      </c>
      <c r="Q270" s="84">
        <f t="shared" si="2288"/>
        <v>2.156935328509666</v>
      </c>
      <c r="R270" s="84">
        <f t="shared" si="2288"/>
        <v>2.2837270126603739</v>
      </c>
      <c r="S270" s="84">
        <f t="shared" si="2288"/>
        <v>1.8947286591222854</v>
      </c>
      <c r="T270" s="84">
        <f t="shared" si="2288"/>
        <v>1.9769525686215628</v>
      </c>
      <c r="U270" s="84">
        <f t="shared" si="2288"/>
        <v>1.5536851461585879</v>
      </c>
      <c r="V270" s="84">
        <f t="shared" si="2288"/>
        <v>1.4755550133152713</v>
      </c>
      <c r="W270" s="84">
        <f t="shared" si="2288"/>
        <v>1.3369847184419332</v>
      </c>
      <c r="X270" s="84">
        <f t="shared" si="2288"/>
        <v>1.41989424165918</v>
      </c>
      <c r="Y270" s="84">
        <f t="shared" si="2288"/>
        <v>1.4737776369606264</v>
      </c>
      <c r="Z270" s="84">
        <f t="shared" si="2288"/>
        <v>1.3989233881983769</v>
      </c>
      <c r="AA270" s="84">
        <f t="shared" ref="AA270" si="2289">(AA185+AA172+AA162+AA164)/AA144</f>
        <v>1.7041644238251064</v>
      </c>
      <c r="AB270" s="50">
        <f t="shared" si="2288"/>
        <v>1.5207764642807959</v>
      </c>
      <c r="AC270" s="50">
        <f t="shared" si="2288"/>
        <v>1.4914736140273537</v>
      </c>
      <c r="AD270" s="50">
        <f t="shared" si="2288"/>
        <v>1.4562342598559175</v>
      </c>
      <c r="AE270" s="50">
        <f t="shared" si="2288"/>
        <v>1.4288197656638053</v>
      </c>
      <c r="AL270" s="84" t="e">
        <f t="shared" ref="AL270:CW270" si="2290">(AL185+AL172+AL162+AL164)/AL144</f>
        <v>#DIV/0!</v>
      </c>
      <c r="AM270" s="84" t="e">
        <f t="shared" si="2290"/>
        <v>#DIV/0!</v>
      </c>
      <c r="AN270" s="84" t="e">
        <f t="shared" si="2290"/>
        <v>#DIV/0!</v>
      </c>
      <c r="AO270" s="84" t="e">
        <f t="shared" si="2290"/>
        <v>#DIV/0!</v>
      </c>
      <c r="AP270" s="84" t="e">
        <f t="shared" si="2290"/>
        <v>#DIV/0!</v>
      </c>
      <c r="AQ270" s="84" t="e">
        <f t="shared" si="2290"/>
        <v>#DIV/0!</v>
      </c>
      <c r="AR270" s="84" t="e">
        <f t="shared" si="2290"/>
        <v>#DIV/0!</v>
      </c>
      <c r="AS270" s="84" t="e">
        <f t="shared" si="2290"/>
        <v>#DIV/0!</v>
      </c>
      <c r="AT270" s="84" t="e">
        <f t="shared" si="2290"/>
        <v>#DIV/0!</v>
      </c>
      <c r="AU270" s="84" t="e">
        <f t="shared" si="2290"/>
        <v>#DIV/0!</v>
      </c>
      <c r="AV270" s="84" t="e">
        <f t="shared" si="2290"/>
        <v>#DIV/0!</v>
      </c>
      <c r="AW270" s="84" t="e">
        <f t="shared" si="2290"/>
        <v>#DIV/0!</v>
      </c>
      <c r="AX270" s="84" t="e">
        <f t="shared" si="2290"/>
        <v>#DIV/0!</v>
      </c>
      <c r="AY270" s="84" t="e">
        <f t="shared" si="2290"/>
        <v>#DIV/0!</v>
      </c>
      <c r="AZ270" s="84" t="e">
        <f t="shared" si="2290"/>
        <v>#DIV/0!</v>
      </c>
      <c r="BA270" s="84" t="e">
        <f t="shared" si="2290"/>
        <v>#DIV/0!</v>
      </c>
      <c r="BB270" s="84" t="e">
        <f t="shared" si="2290"/>
        <v>#DIV/0!</v>
      </c>
      <c r="BC270" s="84" t="e">
        <f t="shared" si="2290"/>
        <v>#DIV/0!</v>
      </c>
      <c r="BD270" s="84" t="e">
        <f t="shared" si="2290"/>
        <v>#DIV/0!</v>
      </c>
      <c r="BE270" s="84" t="e">
        <f t="shared" si="2290"/>
        <v>#DIV/0!</v>
      </c>
      <c r="BF270" s="84">
        <f t="shared" si="2290"/>
        <v>1.8947286591222854</v>
      </c>
      <c r="BG270" s="84">
        <f t="shared" si="2290"/>
        <v>1.7892528929085594</v>
      </c>
      <c r="BH270" s="84" t="e">
        <f t="shared" si="2290"/>
        <v>#DIV/0!</v>
      </c>
      <c r="BI270" s="84">
        <f t="shared" si="2290"/>
        <v>1</v>
      </c>
      <c r="BJ270" s="84">
        <f t="shared" si="2290"/>
        <v>1.9769525686215628</v>
      </c>
      <c r="BK270" s="84">
        <f t="shared" si="2290"/>
        <v>1.8268464532914839</v>
      </c>
      <c r="BL270" s="84">
        <f t="shared" si="2290"/>
        <v>1.6265634035217198</v>
      </c>
      <c r="BM270" s="84">
        <f t="shared" si="2290"/>
        <v>1.6317880222828525</v>
      </c>
      <c r="BN270" s="84">
        <f t="shared" si="2290"/>
        <v>1.5536851461585879</v>
      </c>
      <c r="BO270" s="84">
        <f t="shared" si="2290"/>
        <v>1.3518752504187976</v>
      </c>
      <c r="BP270" s="84">
        <f t="shared" si="2290"/>
        <v>1.5308616455921207</v>
      </c>
      <c r="BQ270" s="84">
        <f t="shared" si="2290"/>
        <v>1.5885117862439828</v>
      </c>
      <c r="BR270" s="84">
        <f t="shared" si="2290"/>
        <v>1.4755550133152715</v>
      </c>
      <c r="BS270" s="84">
        <f t="shared" si="2290"/>
        <v>1.3650811082045913</v>
      </c>
      <c r="BT270" s="84">
        <f t="shared" si="2290"/>
        <v>1.4329307567614558</v>
      </c>
      <c r="BU270" s="84">
        <f t="shared" si="2290"/>
        <v>1.4374219330372753</v>
      </c>
      <c r="BV270" s="84">
        <f t="shared" si="2290"/>
        <v>1.336984718441933</v>
      </c>
      <c r="BW270" s="84">
        <f t="shared" si="2290"/>
        <v>1.2585034773631487</v>
      </c>
      <c r="BX270" s="84">
        <f t="shared" si="2290"/>
        <v>1.3847446452002665</v>
      </c>
      <c r="BY270" s="84">
        <f t="shared" si="2290"/>
        <v>1.3933070846964675</v>
      </c>
      <c r="BZ270" s="84">
        <f t="shared" si="2290"/>
        <v>1.4198942416591798</v>
      </c>
      <c r="CA270" s="84">
        <f t="shared" si="2290"/>
        <v>1.3845305136343706</v>
      </c>
      <c r="CB270" s="84">
        <f t="shared" si="2290"/>
        <v>1.3736109358382866</v>
      </c>
      <c r="CC270" s="84">
        <f t="shared" si="2290"/>
        <v>1.3605476856778818</v>
      </c>
      <c r="CD270" s="84">
        <f t="shared" si="2290"/>
        <v>1.4737776369606264</v>
      </c>
      <c r="CE270" s="84">
        <f t="shared" si="2290"/>
        <v>1.4332722278073387</v>
      </c>
      <c r="CF270" s="84">
        <f t="shared" si="2290"/>
        <v>1.5935818006303957</v>
      </c>
      <c r="CG270" s="84">
        <f t="shared" si="2290"/>
        <v>1.5568483120982968</v>
      </c>
      <c r="CH270" s="84">
        <f t="shared" si="2290"/>
        <v>1.3989233881983769</v>
      </c>
      <c r="CI270" s="84">
        <f t="shared" si="2290"/>
        <v>1.3220445366228539</v>
      </c>
      <c r="CJ270" s="84">
        <f t="shared" si="2290"/>
        <v>1.6189807510523686</v>
      </c>
      <c r="CK270" s="84">
        <f t="shared" si="2290"/>
        <v>1.6843660195179202</v>
      </c>
      <c r="CL270" s="84">
        <f t="shared" ref="CL270" si="2291">(CL185+CL172+CL162+CL164)/CL144</f>
        <v>1.7041644238251064</v>
      </c>
      <c r="CM270" s="50">
        <f t="shared" si="2290"/>
        <v>1.4283347354691747</v>
      </c>
      <c r="CN270" s="50">
        <f t="shared" si="2290"/>
        <v>1.4379723058197231</v>
      </c>
      <c r="CO270" s="50">
        <f t="shared" si="2290"/>
        <v>1.4865507900369057</v>
      </c>
      <c r="CP270" s="50">
        <f t="shared" si="2290"/>
        <v>1.5207764642807959</v>
      </c>
      <c r="CQ270" s="50">
        <f t="shared" si="2290"/>
        <v>1.4056983754030763</v>
      </c>
      <c r="CR270" s="50">
        <f t="shared" si="2290"/>
        <v>1.4142664925966348</v>
      </c>
      <c r="CS270" s="50">
        <f t="shared" si="2290"/>
        <v>1.4600865366832763</v>
      </c>
      <c r="CT270" s="50">
        <f t="shared" si="2290"/>
        <v>1.4914736140273537</v>
      </c>
      <c r="CU270" s="50">
        <f t="shared" si="2290"/>
        <v>1.3728036184348869</v>
      </c>
      <c r="CV270" s="50">
        <f t="shared" si="2290"/>
        <v>1.3820479684957154</v>
      </c>
      <c r="CW270" s="50">
        <f t="shared" si="2290"/>
        <v>1.4260577354479331</v>
      </c>
      <c r="CX270" s="50">
        <f t="shared" ref="CX270:DB270" si="2292">(CX185+CX172+CX162+CX164)/CX144</f>
        <v>1.4562342598559175</v>
      </c>
      <c r="CY270" s="50">
        <f t="shared" si="2292"/>
        <v>1.3468208673145226</v>
      </c>
      <c r="CZ270" s="50">
        <f t="shared" si="2292"/>
        <v>1.3564537505673655</v>
      </c>
      <c r="DA270" s="50">
        <f t="shared" si="2292"/>
        <v>1.3991576288778271</v>
      </c>
      <c r="DB270" s="50">
        <f t="shared" si="2292"/>
        <v>1.4288197656638053</v>
      </c>
      <c r="DE270" s="138"/>
      <c r="DF270" s="84">
        <v>1.7431310714883532</v>
      </c>
    </row>
    <row r="271" spans="1:110" s="84" customFormat="1" x14ac:dyDescent="0.2">
      <c r="A271" s="154" t="s">
        <v>498</v>
      </c>
      <c r="AB271" s="50"/>
      <c r="AC271" s="50"/>
      <c r="AD271" s="50"/>
      <c r="AE271" s="50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E271" s="138"/>
    </row>
    <row r="272" spans="1:110" s="88" customFormat="1" x14ac:dyDescent="0.2">
      <c r="A272" s="88" t="s">
        <v>102</v>
      </c>
      <c r="B272" s="88" t="e">
        <f t="shared" ref="B272:AE272" si="2293">B185/B144</f>
        <v>#DIV/0!</v>
      </c>
      <c r="C272" s="88" t="e">
        <f t="shared" si="2293"/>
        <v>#DIV/0!</v>
      </c>
      <c r="D272" s="88" t="e">
        <f t="shared" si="2293"/>
        <v>#DIV/0!</v>
      </c>
      <c r="F272" s="88" t="e">
        <f t="shared" si="2293"/>
        <v>#DIV/0!</v>
      </c>
      <c r="G272" s="88" t="e">
        <f t="shared" si="2293"/>
        <v>#DIV/0!</v>
      </c>
      <c r="H272" s="88" t="e">
        <f t="shared" si="2293"/>
        <v>#DIV/0!</v>
      </c>
      <c r="I272" s="88">
        <f t="shared" si="2293"/>
        <v>3.3410733635641454E-2</v>
      </c>
      <c r="J272" s="88">
        <f t="shared" si="2293"/>
        <v>4.5893720736296509E-2</v>
      </c>
      <c r="K272" s="88">
        <f t="shared" si="2293"/>
        <v>3.1593531694725861E-2</v>
      </c>
      <c r="L272" s="88">
        <f t="shared" si="2293"/>
        <v>1.266711430760944E-2</v>
      </c>
      <c r="M272" s="88">
        <f t="shared" si="2293"/>
        <v>2.0293504466846361E-2</v>
      </c>
      <c r="N272" s="88">
        <f t="shared" si="2293"/>
        <v>2.6515731322098991E-2</v>
      </c>
      <c r="O272" s="88">
        <f t="shared" si="2293"/>
        <v>1.9887692168771551E-2</v>
      </c>
      <c r="P272" s="88">
        <f t="shared" si="2293"/>
        <v>1.6638333897522319E-2</v>
      </c>
      <c r="Q272" s="88">
        <f t="shared" si="2293"/>
        <v>2.8409981855245174E-2</v>
      </c>
      <c r="R272" s="88">
        <f t="shared" si="2293"/>
        <v>1.5127338612711139E-2</v>
      </c>
      <c r="S272" s="88">
        <f t="shared" si="2293"/>
        <v>4.5331035402252232E-3</v>
      </c>
      <c r="T272" s="88">
        <f t="shared" si="2293"/>
        <v>0.11122374607255822</v>
      </c>
      <c r="U272" s="88">
        <f t="shared" si="2293"/>
        <v>8.3751888155999807E-2</v>
      </c>
      <c r="V272" s="88">
        <f t="shared" si="2293"/>
        <v>0.24283962355435704</v>
      </c>
      <c r="W272" s="88">
        <f t="shared" si="2293"/>
        <v>0.21125968907999132</v>
      </c>
      <c r="X272" s="88">
        <f t="shared" si="2293"/>
        <v>0.30822272079204399</v>
      </c>
      <c r="Y272" s="88">
        <f t="shared" si="2293"/>
        <v>0.27174039169262409</v>
      </c>
      <c r="Z272" s="88">
        <f t="shared" si="2293"/>
        <v>0.25637605813154279</v>
      </c>
      <c r="AA272" s="88">
        <f t="shared" ref="AA272" si="2294">AA185/AA144</f>
        <v>0.35701926689725744</v>
      </c>
      <c r="AB272" s="42">
        <f t="shared" si="2293"/>
        <v>0.26979938527066855</v>
      </c>
      <c r="AC272" s="42">
        <f t="shared" si="2293"/>
        <v>0.31513802865843482</v>
      </c>
      <c r="AD272" s="42">
        <f t="shared" si="2293"/>
        <v>0.36927719342997345</v>
      </c>
      <c r="AE272" s="42">
        <f t="shared" si="2293"/>
        <v>0.41809795132327082</v>
      </c>
      <c r="AL272" s="88" t="e">
        <f t="shared" ref="AL272:CW272" si="2295">AL185/AL144</f>
        <v>#DIV/0!</v>
      </c>
      <c r="AM272" s="88" t="e">
        <f t="shared" si="2295"/>
        <v>#DIV/0!</v>
      </c>
      <c r="AN272" s="88" t="e">
        <f t="shared" si="2295"/>
        <v>#DIV/0!</v>
      </c>
      <c r="AO272" s="88" t="e">
        <f t="shared" si="2295"/>
        <v>#DIV/0!</v>
      </c>
      <c r="AP272" s="88" t="e">
        <f t="shared" si="2295"/>
        <v>#DIV/0!</v>
      </c>
      <c r="AQ272" s="88" t="e">
        <f t="shared" si="2295"/>
        <v>#DIV/0!</v>
      </c>
      <c r="AR272" s="88" t="e">
        <f t="shared" si="2295"/>
        <v>#DIV/0!</v>
      </c>
      <c r="AS272" s="88" t="e">
        <f t="shared" si="2295"/>
        <v>#DIV/0!</v>
      </c>
      <c r="AT272" s="88" t="e">
        <f t="shared" si="2295"/>
        <v>#DIV/0!</v>
      </c>
      <c r="AU272" s="88" t="e">
        <f t="shared" si="2295"/>
        <v>#DIV/0!</v>
      </c>
      <c r="AV272" s="88" t="e">
        <f t="shared" si="2295"/>
        <v>#DIV/0!</v>
      </c>
      <c r="AW272" s="88" t="e">
        <f t="shared" si="2295"/>
        <v>#DIV/0!</v>
      </c>
      <c r="AX272" s="88" t="e">
        <f t="shared" si="2295"/>
        <v>#DIV/0!</v>
      </c>
      <c r="AY272" s="88" t="e">
        <f t="shared" si="2295"/>
        <v>#DIV/0!</v>
      </c>
      <c r="AZ272" s="88" t="e">
        <f t="shared" si="2295"/>
        <v>#DIV/0!</v>
      </c>
      <c r="BA272" s="88" t="e">
        <f t="shared" si="2295"/>
        <v>#DIV/0!</v>
      </c>
      <c r="BB272" s="88" t="e">
        <f t="shared" si="2295"/>
        <v>#DIV/0!</v>
      </c>
      <c r="BC272" s="88" t="e">
        <f t="shared" si="2295"/>
        <v>#DIV/0!</v>
      </c>
      <c r="BD272" s="88" t="e">
        <f t="shared" si="2295"/>
        <v>#DIV/0!</v>
      </c>
      <c r="BE272" s="88" t="e">
        <f t="shared" si="2295"/>
        <v>#DIV/0!</v>
      </c>
      <c r="BF272" s="88">
        <f t="shared" si="2295"/>
        <v>4.5331035402252232E-3</v>
      </c>
      <c r="BG272" s="88">
        <f t="shared" si="2295"/>
        <v>0.18109702263303415</v>
      </c>
      <c r="BH272" s="88" t="e">
        <f t="shared" si="2295"/>
        <v>#DIV/0!</v>
      </c>
      <c r="BI272" s="88">
        <f t="shared" si="2295"/>
        <v>1</v>
      </c>
      <c r="BJ272" s="88">
        <f t="shared" si="2295"/>
        <v>0.11122374607255822</v>
      </c>
      <c r="BK272" s="88">
        <f t="shared" si="2295"/>
        <v>0.27756031394729808</v>
      </c>
      <c r="BL272" s="88">
        <f t="shared" si="2295"/>
        <v>0.15852515120173899</v>
      </c>
      <c r="BM272" s="88">
        <f t="shared" si="2295"/>
        <v>0.15371411048567296</v>
      </c>
      <c r="BN272" s="88">
        <f t="shared" si="2295"/>
        <v>8.3751888155999807E-2</v>
      </c>
      <c r="BO272" s="88">
        <f t="shared" si="2295"/>
        <v>0.38550975486044564</v>
      </c>
      <c r="BP272" s="88">
        <f t="shared" si="2295"/>
        <v>0.21354237245095925</v>
      </c>
      <c r="BQ272" s="88">
        <f t="shared" si="2295"/>
        <v>0.13953414108535306</v>
      </c>
      <c r="BR272" s="88">
        <f t="shared" si="2295"/>
        <v>0.24283962355435704</v>
      </c>
      <c r="BS272" s="88">
        <f t="shared" si="2295"/>
        <v>0.41332474663926344</v>
      </c>
      <c r="BT272" s="88">
        <f t="shared" si="2295"/>
        <v>0.18492327045311596</v>
      </c>
      <c r="BU272" s="88">
        <f t="shared" si="2295"/>
        <v>0.18900611815584309</v>
      </c>
      <c r="BV272" s="88">
        <f t="shared" si="2295"/>
        <v>0.21125968907999132</v>
      </c>
      <c r="BW272" s="88">
        <f t="shared" si="2295"/>
        <v>0.36415933258004629</v>
      </c>
      <c r="BX272" s="88">
        <f t="shared" si="2295"/>
        <v>0.30303018354660188</v>
      </c>
      <c r="BY272" s="88">
        <f t="shared" si="2295"/>
        <v>0.3115272631738904</v>
      </c>
      <c r="BZ272" s="88">
        <f t="shared" si="2295"/>
        <v>0.30822272079204394</v>
      </c>
      <c r="CA272" s="88">
        <f t="shared" si="2295"/>
        <v>0.39591472549675311</v>
      </c>
      <c r="CB272" s="88">
        <f t="shared" si="2295"/>
        <v>0.23456373003302791</v>
      </c>
      <c r="CC272" s="88">
        <f t="shared" si="2295"/>
        <v>0.26512767754420508</v>
      </c>
      <c r="CD272" s="88">
        <f t="shared" si="2295"/>
        <v>0.27174039169262409</v>
      </c>
      <c r="CE272" s="88">
        <f t="shared" si="2295"/>
        <v>0.39325716833430424</v>
      </c>
      <c r="CF272" s="88">
        <f t="shared" si="2295"/>
        <v>0.29433760982121421</v>
      </c>
      <c r="CG272" s="88">
        <f t="shared" si="2295"/>
        <v>0.35937141678723611</v>
      </c>
      <c r="CH272" s="88">
        <f t="shared" si="2295"/>
        <v>0.25637605813154279</v>
      </c>
      <c r="CI272" s="88">
        <f t="shared" si="2295"/>
        <v>0.36404654138947556</v>
      </c>
      <c r="CJ272" s="88">
        <f t="shared" si="2295"/>
        <v>0.263967092963172</v>
      </c>
      <c r="CK272" s="88">
        <f t="shared" si="2295"/>
        <v>0.24172387548183286</v>
      </c>
      <c r="CL272" s="88">
        <f t="shared" ref="CL272" si="2296">CL185/CL144</f>
        <v>0.35701926689725744</v>
      </c>
      <c r="CM272" s="42">
        <f t="shared" si="2295"/>
        <v>0.30581951041638905</v>
      </c>
      <c r="CN272" s="42">
        <f t="shared" si="2295"/>
        <v>0.31946836341952245</v>
      </c>
      <c r="CO272" s="42">
        <f t="shared" si="2295"/>
        <v>0.28763913705557037</v>
      </c>
      <c r="CP272" s="42">
        <f t="shared" si="2295"/>
        <v>0.26979938527066855</v>
      </c>
      <c r="CQ272" s="42">
        <f t="shared" si="2295"/>
        <v>0.35924015112714364</v>
      </c>
      <c r="CR272" s="42">
        <f t="shared" si="2295"/>
        <v>0.35697755188957547</v>
      </c>
      <c r="CS272" s="42">
        <f t="shared" si="2295"/>
        <v>0.32958982932125036</v>
      </c>
      <c r="CT272" s="42">
        <f t="shared" si="2295"/>
        <v>0.31513802865843482</v>
      </c>
      <c r="CU272" s="42">
        <f t="shared" si="2295"/>
        <v>0.40879981588264463</v>
      </c>
      <c r="CV272" s="42">
        <f t="shared" si="2295"/>
        <v>0.40734046967080983</v>
      </c>
      <c r="CW272" s="42">
        <f t="shared" si="2295"/>
        <v>0.38224647180504218</v>
      </c>
      <c r="CX272" s="42">
        <f t="shared" ref="CX272:DB272" si="2297">CX185/CX144</f>
        <v>0.36927719342997345</v>
      </c>
      <c r="CY272" s="42">
        <f t="shared" si="2297"/>
        <v>0.45665920731891435</v>
      </c>
      <c r="CZ272" s="42">
        <f t="shared" si="2297"/>
        <v>0.4553333004350647</v>
      </c>
      <c r="DA272" s="42">
        <f t="shared" si="2297"/>
        <v>0.43116236463395807</v>
      </c>
      <c r="DB272" s="42">
        <f t="shared" si="2297"/>
        <v>0.41809795132327082</v>
      </c>
      <c r="DE272" s="125"/>
      <c r="DF272" s="88">
        <v>0.22662647785429729</v>
      </c>
    </row>
    <row r="273" spans="1:110" s="89" customFormat="1" x14ac:dyDescent="0.2">
      <c r="A273" s="89" t="s">
        <v>103</v>
      </c>
      <c r="C273" s="89" t="e">
        <f t="shared" ref="C273:AE273" si="2298">C152/B152-1</f>
        <v>#DIV/0!</v>
      </c>
      <c r="D273" s="89" t="e">
        <f t="shared" si="2298"/>
        <v>#DIV/0!</v>
      </c>
      <c r="F273" s="89" t="e">
        <f t="shared" si="2298"/>
        <v>#DIV/0!</v>
      </c>
      <c r="G273" s="89" t="e">
        <f t="shared" si="2298"/>
        <v>#DIV/0!</v>
      </c>
      <c r="H273" s="89" t="e">
        <f t="shared" si="2298"/>
        <v>#DIV/0!</v>
      </c>
      <c r="I273" s="89" t="e">
        <f t="shared" si="2298"/>
        <v>#DIV/0!</v>
      </c>
      <c r="J273" s="89">
        <f t="shared" si="2298"/>
        <v>-3.8788272536391943E-2</v>
      </c>
      <c r="K273" s="89">
        <f>K152/J152-1</f>
        <v>1.287373055018572</v>
      </c>
      <c r="L273" s="89">
        <f t="shared" si="2298"/>
        <v>0.16247867635247282</v>
      </c>
      <c r="M273" s="89">
        <f t="shared" si="2298"/>
        <v>-0.23369436633905361</v>
      </c>
      <c r="N273" s="89">
        <f t="shared" si="2298"/>
        <v>-0.44606221787464717</v>
      </c>
      <c r="O273" s="89">
        <f t="shared" si="2298"/>
        <v>-0.1815870750088755</v>
      </c>
      <c r="P273" s="89">
        <f t="shared" si="2298"/>
        <v>0.22609139314877291</v>
      </c>
      <c r="Q273" s="89">
        <f t="shared" si="2298"/>
        <v>0.45872440898691846</v>
      </c>
      <c r="R273" s="89">
        <f t="shared" si="2298"/>
        <v>7.5363812300500266E-2</v>
      </c>
      <c r="S273" s="89">
        <f t="shared" si="2298"/>
        <v>-6.4748571361793017E-2</v>
      </c>
      <c r="T273" s="89">
        <f t="shared" si="2298"/>
        <v>-0.6596055998720487</v>
      </c>
      <c r="U273" s="89">
        <f t="shared" si="2298"/>
        <v>-0.42346899445339714</v>
      </c>
      <c r="V273" s="89">
        <f t="shared" si="2298"/>
        <v>0.58339594290007524</v>
      </c>
      <c r="W273" s="89">
        <f t="shared" si="2298"/>
        <v>-0.66570159036532162</v>
      </c>
      <c r="X273" s="89">
        <f t="shared" si="2298"/>
        <v>-0.12169363084140239</v>
      </c>
      <c r="Y273" s="89">
        <f t="shared" si="2298"/>
        <v>0.22947766304198969</v>
      </c>
      <c r="Z273" s="89">
        <f t="shared" si="2298"/>
        <v>0.21420455811259376</v>
      </c>
      <c r="AA273" s="89">
        <f t="shared" si="2298"/>
        <v>0.21545998311988579</v>
      </c>
      <c r="AB273" s="47">
        <f t="shared" si="2298"/>
        <v>0</v>
      </c>
      <c r="AC273" s="47">
        <f t="shared" si="2298"/>
        <v>0</v>
      </c>
      <c r="AD273" s="47">
        <f t="shared" si="2298"/>
        <v>0</v>
      </c>
      <c r="AE273" s="47">
        <f t="shared" si="2298"/>
        <v>0</v>
      </c>
      <c r="AL273" s="89" t="e">
        <f t="shared" ref="AL273:CW273" si="2299">AL152/AK152-1</f>
        <v>#DIV/0!</v>
      </c>
      <c r="AM273" s="89" t="e">
        <f t="shared" si="2299"/>
        <v>#DIV/0!</v>
      </c>
      <c r="AN273" s="89" t="e">
        <f t="shared" si="2299"/>
        <v>#DIV/0!</v>
      </c>
      <c r="AO273" s="89" t="e">
        <f t="shared" si="2299"/>
        <v>#DIV/0!</v>
      </c>
      <c r="AP273" s="89" t="e">
        <f t="shared" si="2299"/>
        <v>#DIV/0!</v>
      </c>
      <c r="AQ273" s="89" t="e">
        <f t="shared" si="2299"/>
        <v>#DIV/0!</v>
      </c>
      <c r="AR273" s="89" t="e">
        <f t="shared" si="2299"/>
        <v>#DIV/0!</v>
      </c>
      <c r="AS273" s="89" t="e">
        <f t="shared" si="2299"/>
        <v>#DIV/0!</v>
      </c>
      <c r="AT273" s="89" t="e">
        <f t="shared" si="2299"/>
        <v>#DIV/0!</v>
      </c>
      <c r="AU273" s="89" t="e">
        <f t="shared" si="2299"/>
        <v>#DIV/0!</v>
      </c>
      <c r="AV273" s="89" t="e">
        <f t="shared" si="2299"/>
        <v>#DIV/0!</v>
      </c>
      <c r="AW273" s="89" t="e">
        <f t="shared" si="2299"/>
        <v>#DIV/0!</v>
      </c>
      <c r="AX273" s="89" t="e">
        <f t="shared" si="2299"/>
        <v>#DIV/0!</v>
      </c>
      <c r="AY273" s="89" t="e">
        <f t="shared" si="2299"/>
        <v>#DIV/0!</v>
      </c>
      <c r="AZ273" s="89" t="e">
        <f t="shared" si="2299"/>
        <v>#DIV/0!</v>
      </c>
      <c r="BA273" s="89" t="e">
        <f t="shared" si="2299"/>
        <v>#DIV/0!</v>
      </c>
      <c r="BB273" s="89" t="e">
        <f t="shared" si="2299"/>
        <v>#DIV/0!</v>
      </c>
      <c r="BC273" s="89" t="e">
        <f t="shared" si="2299"/>
        <v>#DIV/0!</v>
      </c>
      <c r="BD273" s="89" t="e">
        <f t="shared" si="2299"/>
        <v>#DIV/0!</v>
      </c>
      <c r="BE273" s="89" t="e">
        <f t="shared" si="2299"/>
        <v>#DIV/0!</v>
      </c>
      <c r="BF273" s="89" t="e">
        <f t="shared" si="2299"/>
        <v>#DIV/0!</v>
      </c>
      <c r="BG273" s="89">
        <f t="shared" si="2299"/>
        <v>0</v>
      </c>
      <c r="BH273" s="89">
        <f t="shared" si="2299"/>
        <v>-1</v>
      </c>
      <c r="BI273" s="89" t="e">
        <f t="shared" si="2299"/>
        <v>#DIV/0!</v>
      </c>
      <c r="BJ273" s="89" t="e">
        <f t="shared" si="2299"/>
        <v>#DIV/0!</v>
      </c>
      <c r="BK273" s="89">
        <f t="shared" si="2299"/>
        <v>0</v>
      </c>
      <c r="BL273" s="89">
        <f t="shared" si="2299"/>
        <v>-0.3134700722931727</v>
      </c>
      <c r="BM273" s="89">
        <f t="shared" si="2299"/>
        <v>0</v>
      </c>
      <c r="BN273" s="89">
        <f t="shared" si="2299"/>
        <v>-7.3612976155252641E-2</v>
      </c>
      <c r="BO273" s="89">
        <f t="shared" si="2299"/>
        <v>0</v>
      </c>
      <c r="BP273" s="89">
        <f t="shared" si="2299"/>
        <v>0.74791168473810044</v>
      </c>
      <c r="BQ273" s="89">
        <f t="shared" si="2299"/>
        <v>0</v>
      </c>
      <c r="BR273" s="89">
        <f t="shared" si="2299"/>
        <v>0.165161127093153</v>
      </c>
      <c r="BS273" s="89">
        <f t="shared" si="2299"/>
        <v>0</v>
      </c>
      <c r="BT273" s="89">
        <f t="shared" si="2299"/>
        <v>-5.1800470474696936E-2</v>
      </c>
      <c r="BU273" s="89">
        <f t="shared" si="2299"/>
        <v>0</v>
      </c>
      <c r="BV273" s="89">
        <f t="shared" si="2299"/>
        <v>-0.6474387518394592</v>
      </c>
      <c r="BW273" s="89">
        <f t="shared" si="2299"/>
        <v>0</v>
      </c>
      <c r="BX273" s="89">
        <f t="shared" si="2299"/>
        <v>0.24045227641787448</v>
      </c>
      <c r="BY273" s="89">
        <f t="shared" si="2299"/>
        <v>0</v>
      </c>
      <c r="BZ273" s="89">
        <f t="shared" si="2299"/>
        <v>-0.29194666666666669</v>
      </c>
      <c r="CA273" s="89">
        <f t="shared" si="2299"/>
        <v>0</v>
      </c>
      <c r="CB273" s="89">
        <f t="shared" si="2299"/>
        <v>1.1795995507956945</v>
      </c>
      <c r="CC273" s="89">
        <f t="shared" si="2299"/>
        <v>0</v>
      </c>
      <c r="CD273" s="89">
        <f t="shared" si="2299"/>
        <v>-0.43591580270185359</v>
      </c>
      <c r="CE273" s="89">
        <f t="shared" si="2299"/>
        <v>0</v>
      </c>
      <c r="CF273" s="89">
        <f t="shared" si="2299"/>
        <v>0.22822866308730827</v>
      </c>
      <c r="CG273" s="89">
        <f t="shared" si="2299"/>
        <v>0</v>
      </c>
      <c r="CH273" s="89">
        <f t="shared" si="2299"/>
        <v>-1.1418154775400757E-2</v>
      </c>
      <c r="CI273" s="89">
        <f t="shared" si="2299"/>
        <v>0</v>
      </c>
      <c r="CJ273" s="89">
        <f t="shared" si="2299"/>
        <v>0.16611317015889338</v>
      </c>
      <c r="CK273" s="89">
        <f t="shared" si="2299"/>
        <v>0</v>
      </c>
      <c r="CL273" s="89">
        <f t="shared" si="2299"/>
        <v>4.2317344682993641E-2</v>
      </c>
      <c r="CM273" s="47">
        <f t="shared" si="2299"/>
        <v>0</v>
      </c>
      <c r="CN273" s="47">
        <f t="shared" si="2299"/>
        <v>0</v>
      </c>
      <c r="CO273" s="47">
        <f t="shared" si="2299"/>
        <v>0</v>
      </c>
      <c r="CP273" s="47">
        <f t="shared" si="2299"/>
        <v>0</v>
      </c>
      <c r="CQ273" s="47">
        <f t="shared" si="2299"/>
        <v>0</v>
      </c>
      <c r="CR273" s="47">
        <f t="shared" si="2299"/>
        <v>0</v>
      </c>
      <c r="CS273" s="47">
        <f t="shared" si="2299"/>
        <v>0</v>
      </c>
      <c r="CT273" s="47">
        <f t="shared" si="2299"/>
        <v>0</v>
      </c>
      <c r="CU273" s="47">
        <f t="shared" si="2299"/>
        <v>0</v>
      </c>
      <c r="CV273" s="47">
        <f t="shared" si="2299"/>
        <v>0</v>
      </c>
      <c r="CW273" s="47">
        <f t="shared" si="2299"/>
        <v>0</v>
      </c>
      <c r="CX273" s="47">
        <f t="shared" ref="CX273:DB273" si="2300">CX152/CW152-1</f>
        <v>0</v>
      </c>
      <c r="CY273" s="47">
        <f t="shared" si="2300"/>
        <v>0</v>
      </c>
      <c r="CZ273" s="47">
        <f t="shared" si="2300"/>
        <v>0</v>
      </c>
      <c r="DA273" s="47">
        <f t="shared" si="2300"/>
        <v>0</v>
      </c>
      <c r="DB273" s="47">
        <f t="shared" si="2300"/>
        <v>0</v>
      </c>
      <c r="DE273" s="130"/>
      <c r="DF273" s="89">
        <v>0</v>
      </c>
    </row>
    <row r="274" spans="1:110" s="89" customFormat="1" x14ac:dyDescent="0.2">
      <c r="A274" s="89" t="s">
        <v>104</v>
      </c>
      <c r="C274" s="89" t="e">
        <f>C52/B52-1</f>
        <v>#DIV/0!</v>
      </c>
      <c r="D274" s="89" t="e">
        <f>D52/C52-1</f>
        <v>#DIV/0!</v>
      </c>
      <c r="F274" s="89" t="e">
        <f t="shared" ref="F274:AE274" si="2301">F52/E52-1</f>
        <v>#DIV/0!</v>
      </c>
      <c r="G274" s="89" t="e">
        <f t="shared" si="2301"/>
        <v>#DIV/0!</v>
      </c>
      <c r="H274" s="89" t="e">
        <f t="shared" si="2301"/>
        <v>#DIV/0!</v>
      </c>
      <c r="I274" s="89" t="e">
        <f t="shared" si="2301"/>
        <v>#DIV/0!</v>
      </c>
      <c r="J274" s="89">
        <f t="shared" si="2301"/>
        <v>-0.35776131710251224</v>
      </c>
      <c r="K274" s="89">
        <f t="shared" si="2301"/>
        <v>-0.27107686129047748</v>
      </c>
      <c r="L274" s="89">
        <f t="shared" si="2301"/>
        <v>-1</v>
      </c>
      <c r="M274" s="89" t="e">
        <f t="shared" si="2301"/>
        <v>#DIV/0!</v>
      </c>
      <c r="N274" s="89">
        <f t="shared" si="2301"/>
        <v>0.31458314904394569</v>
      </c>
      <c r="O274" s="89">
        <f t="shared" si="2301"/>
        <v>0.1253869201510156</v>
      </c>
      <c r="P274" s="89">
        <f t="shared" si="2301"/>
        <v>0.38479742700511799</v>
      </c>
      <c r="Q274" s="89">
        <f t="shared" si="2301"/>
        <v>0.10440963921133539</v>
      </c>
      <c r="R274" s="89">
        <f t="shared" si="2301"/>
        <v>-1.2414091114859138E-2</v>
      </c>
      <c r="S274" s="89">
        <f t="shared" si="2301"/>
        <v>0.51866768622368475</v>
      </c>
      <c r="T274" s="89">
        <f t="shared" si="2301"/>
        <v>0.30715755679947376</v>
      </c>
      <c r="U274" s="89">
        <f t="shared" si="2301"/>
        <v>0.19130191097242544</v>
      </c>
      <c r="V274" s="89">
        <f t="shared" si="2301"/>
        <v>-2.5471663204190031E-2</v>
      </c>
      <c r="W274" s="89">
        <f t="shared" si="2301"/>
        <v>0.13025770376498058</v>
      </c>
      <c r="X274" s="89">
        <f t="shared" si="2301"/>
        <v>0.47896768104175691</v>
      </c>
      <c r="Y274" s="89">
        <f t="shared" si="2301"/>
        <v>0.34765153883346511</v>
      </c>
      <c r="Z274" s="89">
        <f t="shared" si="2301"/>
        <v>0.18799023198043119</v>
      </c>
      <c r="AA274" s="89">
        <f t="shared" si="2301"/>
        <v>0.3531767694511263</v>
      </c>
      <c r="AB274" s="47">
        <f t="shared" si="2301"/>
        <v>0.20244522895509665</v>
      </c>
      <c r="AC274" s="47">
        <f t="shared" si="2301"/>
        <v>0.16934155751224322</v>
      </c>
      <c r="AD274" s="47">
        <f t="shared" si="2301"/>
        <v>0.16146650245482541</v>
      </c>
      <c r="AE274" s="47">
        <f t="shared" si="2301"/>
        <v>0.14591180025429917</v>
      </c>
      <c r="AL274" s="89" t="e">
        <f t="shared" ref="AL274:CW274" si="2302">AL52/AK52-1</f>
        <v>#DIV/0!</v>
      </c>
      <c r="AM274" s="89" t="e">
        <f t="shared" si="2302"/>
        <v>#DIV/0!</v>
      </c>
      <c r="AN274" s="89" t="e">
        <f t="shared" si="2302"/>
        <v>#DIV/0!</v>
      </c>
      <c r="AO274" s="89" t="e">
        <f t="shared" si="2302"/>
        <v>#DIV/0!</v>
      </c>
      <c r="AP274" s="89" t="e">
        <f t="shared" si="2302"/>
        <v>#DIV/0!</v>
      </c>
      <c r="AQ274" s="89" t="e">
        <f t="shared" si="2302"/>
        <v>#DIV/0!</v>
      </c>
      <c r="AR274" s="89" t="e">
        <f t="shared" si="2302"/>
        <v>#DIV/0!</v>
      </c>
      <c r="AS274" s="89" t="e">
        <f t="shared" si="2302"/>
        <v>#DIV/0!</v>
      </c>
      <c r="AT274" s="89" t="e">
        <f t="shared" si="2302"/>
        <v>#DIV/0!</v>
      </c>
      <c r="AU274" s="89" t="e">
        <f t="shared" si="2302"/>
        <v>#DIV/0!</v>
      </c>
      <c r="AV274" s="89" t="e">
        <f t="shared" si="2302"/>
        <v>#DIV/0!</v>
      </c>
      <c r="AW274" s="89" t="e">
        <f t="shared" si="2302"/>
        <v>#DIV/0!</v>
      </c>
      <c r="AX274" s="89" t="e">
        <f t="shared" si="2302"/>
        <v>#DIV/0!</v>
      </c>
      <c r="AY274" s="89" t="e">
        <f t="shared" si="2302"/>
        <v>#DIV/0!</v>
      </c>
      <c r="AZ274" s="89" t="e">
        <f t="shared" si="2302"/>
        <v>#DIV/0!</v>
      </c>
      <c r="BA274" s="89" t="e">
        <f t="shared" si="2302"/>
        <v>#DIV/0!</v>
      </c>
      <c r="BB274" s="89" t="e">
        <f t="shared" si="2302"/>
        <v>#DIV/0!</v>
      </c>
      <c r="BC274" s="89" t="e">
        <f t="shared" si="2302"/>
        <v>#DIV/0!</v>
      </c>
      <c r="BD274" s="89" t="e">
        <f t="shared" si="2302"/>
        <v>#DIV/0!</v>
      </c>
      <c r="BE274" s="89" t="e">
        <f t="shared" si="2302"/>
        <v>#DIV/0!</v>
      </c>
      <c r="BF274" s="89" t="e">
        <f t="shared" si="2302"/>
        <v>#DIV/0!</v>
      </c>
      <c r="BG274" s="89">
        <f t="shared" si="2302"/>
        <v>-0.49964100426162739</v>
      </c>
      <c r="BH274" s="89">
        <f t="shared" si="2302"/>
        <v>0.2523144397898498</v>
      </c>
      <c r="BI274" s="89">
        <f t="shared" si="2302"/>
        <v>0.4665557788712551</v>
      </c>
      <c r="BJ274" s="89">
        <f t="shared" si="2302"/>
        <v>-0.23281896828747262</v>
      </c>
      <c r="BK274" s="89">
        <f t="shared" si="2302"/>
        <v>-8.1662655945860529E-2</v>
      </c>
      <c r="BL274" s="89">
        <f t="shared" si="2302"/>
        <v>0.21502674083746331</v>
      </c>
      <c r="BM274" s="89">
        <f t="shared" si="2302"/>
        <v>0.24804757944014577</v>
      </c>
      <c r="BN274" s="89">
        <f t="shared" si="2302"/>
        <v>-0.11364976762839474</v>
      </c>
      <c r="BO274" s="89">
        <f t="shared" si="2302"/>
        <v>-0.80877460309010807</v>
      </c>
      <c r="BP274" s="89">
        <f t="shared" si="2302"/>
        <v>4.4365398333246322</v>
      </c>
      <c r="BQ274" s="89">
        <f t="shared" si="2302"/>
        <v>0.11981720196111167</v>
      </c>
      <c r="BR274" s="89">
        <f t="shared" si="2302"/>
        <v>0.15470284296802572</v>
      </c>
      <c r="BS274" s="89">
        <f t="shared" si="2302"/>
        <v>-0.66785711633985001</v>
      </c>
      <c r="BT274" s="89">
        <f t="shared" si="2302"/>
        <v>1.182985350441871</v>
      </c>
      <c r="BU274" s="89">
        <f t="shared" si="2302"/>
        <v>0.23461484634473617</v>
      </c>
      <c r="BV274" s="89">
        <f t="shared" si="2302"/>
        <v>0.31697235784945232</v>
      </c>
      <c r="BW274" s="89">
        <f t="shared" si="2302"/>
        <v>-0.34691324072460705</v>
      </c>
      <c r="BX274" s="89">
        <f t="shared" si="2302"/>
        <v>0.3746544430586467</v>
      </c>
      <c r="BY274" s="89">
        <f t="shared" si="2302"/>
        <v>0.17817390165651625</v>
      </c>
      <c r="BZ274" s="89">
        <f t="shared" si="2302"/>
        <v>0.20978923822887885</v>
      </c>
      <c r="CA274" s="89">
        <f t="shared" si="2302"/>
        <v>-0.10004117866124995</v>
      </c>
      <c r="CB274" s="89">
        <f t="shared" si="2302"/>
        <v>0.11002989645617611</v>
      </c>
      <c r="CC274" s="89">
        <f t="shared" si="2302"/>
        <v>-6.4716431440686617E-2</v>
      </c>
      <c r="CD274" s="89">
        <f t="shared" si="2302"/>
        <v>0.33719278468721492</v>
      </c>
      <c r="CE274" s="89">
        <f t="shared" si="2302"/>
        <v>-0.23394384580839545</v>
      </c>
      <c r="CF274" s="89">
        <f t="shared" si="2302"/>
        <v>8.2564404074824127E-2</v>
      </c>
      <c r="CG274" s="89">
        <f t="shared" si="2302"/>
        <v>0.13990410954566124</v>
      </c>
      <c r="CH274" s="89">
        <f t="shared" si="2302"/>
        <v>0.42432606252717409</v>
      </c>
      <c r="CI274" s="89">
        <f t="shared" si="2302"/>
        <v>-0.16363269318540918</v>
      </c>
      <c r="CJ274" s="89">
        <f t="shared" si="2302"/>
        <v>0.19023765130870895</v>
      </c>
      <c r="CK274" s="89">
        <f t="shared" si="2302"/>
        <v>-5.3565568028967503E-2</v>
      </c>
      <c r="CL274" s="89">
        <f t="shared" si="2302"/>
        <v>0.20209052741410738</v>
      </c>
      <c r="CM274" s="47">
        <f t="shared" si="2302"/>
        <v>-0.12325528776567718</v>
      </c>
      <c r="CN274" s="47">
        <f t="shared" si="2302"/>
        <v>7.2889053194707287E-2</v>
      </c>
      <c r="CO274" s="47">
        <f t="shared" si="2302"/>
        <v>0.14565210802921569</v>
      </c>
      <c r="CP274" s="47">
        <f t="shared" si="2302"/>
        <v>0.16231634117456561</v>
      </c>
      <c r="CQ274" s="47">
        <f t="shared" si="2302"/>
        <v>-0.18494425696623029</v>
      </c>
      <c r="CR274" s="47">
        <f t="shared" si="2302"/>
        <v>6.7857578103044158E-2</v>
      </c>
      <c r="CS274" s="47">
        <f t="shared" si="2302"/>
        <v>0.17367950180151115</v>
      </c>
      <c r="CT274" s="47">
        <f t="shared" si="2302"/>
        <v>0.14050985704436325</v>
      </c>
      <c r="CU274" s="47">
        <f t="shared" si="2302"/>
        <v>-0.19901113938560888</v>
      </c>
      <c r="CV274" s="47">
        <f t="shared" si="2302"/>
        <v>7.7132610836643911E-2</v>
      </c>
      <c r="CW274" s="47">
        <f t="shared" si="2302"/>
        <v>0.18634631371171473</v>
      </c>
      <c r="CX274" s="47">
        <f t="shared" ref="CX274:DB274" si="2303">CX52/CW52-1</f>
        <v>0.14577512231215617</v>
      </c>
      <c r="CY274" s="47">
        <f t="shared" si="2303"/>
        <v>-0.21607603477203907</v>
      </c>
      <c r="CZ274" s="47">
        <f t="shared" si="2303"/>
        <v>7.7675780760373403E-2</v>
      </c>
      <c r="DA274" s="47">
        <f t="shared" si="2303"/>
        <v>0.18523057766054318</v>
      </c>
      <c r="DB274" s="47">
        <f t="shared" si="2303"/>
        <v>0.1401867199262059</v>
      </c>
      <c r="DE274" s="130"/>
      <c r="DF274" s="89">
        <v>0.26337145241171211</v>
      </c>
    </row>
    <row r="275" spans="1:110" s="103" customFormat="1" x14ac:dyDescent="0.2">
      <c r="A275" s="147" t="s">
        <v>105</v>
      </c>
      <c r="C275" s="103" t="e">
        <f>IF(C273&gt;C274,"RF",0)</f>
        <v>#DIV/0!</v>
      </c>
      <c r="D275" s="103" t="e">
        <f t="shared" ref="D275:U275" si="2304">IF(D273&gt;D274,"RF",0)</f>
        <v>#DIV/0!</v>
      </c>
      <c r="F275" s="103" t="e">
        <f t="shared" si="2304"/>
        <v>#DIV/0!</v>
      </c>
      <c r="G275" s="103" t="e">
        <f t="shared" si="2304"/>
        <v>#DIV/0!</v>
      </c>
      <c r="H275" s="103" t="e">
        <f t="shared" si="2304"/>
        <v>#DIV/0!</v>
      </c>
      <c r="I275" s="103" t="e">
        <f t="shared" si="2304"/>
        <v>#DIV/0!</v>
      </c>
      <c r="J275" s="103" t="str">
        <f t="shared" si="2304"/>
        <v>RF</v>
      </c>
      <c r="K275" s="103" t="str">
        <f t="shared" si="2304"/>
        <v>RF</v>
      </c>
      <c r="L275" s="103" t="str">
        <f t="shared" si="2304"/>
        <v>RF</v>
      </c>
      <c r="M275" s="103" t="e">
        <f t="shared" si="2304"/>
        <v>#DIV/0!</v>
      </c>
      <c r="N275" s="103">
        <f t="shared" si="2304"/>
        <v>0</v>
      </c>
      <c r="O275" s="103">
        <f t="shared" si="2304"/>
        <v>0</v>
      </c>
      <c r="P275" s="103">
        <f t="shared" si="2304"/>
        <v>0</v>
      </c>
      <c r="Q275" s="103" t="str">
        <f t="shared" si="2304"/>
        <v>RF</v>
      </c>
      <c r="R275" s="103" t="str">
        <f t="shared" si="2304"/>
        <v>RF</v>
      </c>
      <c r="S275" s="103">
        <f t="shared" si="2304"/>
        <v>0</v>
      </c>
      <c r="T275" s="103">
        <f t="shared" si="2304"/>
        <v>0</v>
      </c>
      <c r="U275" s="103">
        <f t="shared" si="2304"/>
        <v>0</v>
      </c>
      <c r="V275" s="103" t="str">
        <f>IF(V273&gt;V274,"RF",0)</f>
        <v>RF</v>
      </c>
      <c r="W275" s="103">
        <f t="shared" ref="W275:AE275" si="2305">IF(W273&gt;W274,"RF",0)</f>
        <v>0</v>
      </c>
      <c r="X275" s="103">
        <f t="shared" si="2305"/>
        <v>0</v>
      </c>
      <c r="Y275" s="103">
        <f t="shared" si="2305"/>
        <v>0</v>
      </c>
      <c r="Z275" s="103" t="str">
        <f t="shared" si="2305"/>
        <v>RF</v>
      </c>
      <c r="AA275" s="103">
        <f t="shared" ref="AA275" si="2306">IF(AA273&gt;AA274,"RF",0)</f>
        <v>0</v>
      </c>
      <c r="AB275" s="73">
        <f t="shared" si="2305"/>
        <v>0</v>
      </c>
      <c r="AC275" s="73">
        <f t="shared" si="2305"/>
        <v>0</v>
      </c>
      <c r="AD275" s="73">
        <f t="shared" si="2305"/>
        <v>0</v>
      </c>
      <c r="AE275" s="73">
        <f t="shared" si="2305"/>
        <v>0</v>
      </c>
      <c r="AL275" s="103" t="e">
        <f t="shared" ref="AL275:CW275" si="2307">IF(AL273&gt;AL274,"RF",0)</f>
        <v>#DIV/0!</v>
      </c>
      <c r="AM275" s="103" t="e">
        <f t="shared" si="2307"/>
        <v>#DIV/0!</v>
      </c>
      <c r="AN275" s="103" t="e">
        <f t="shared" si="2307"/>
        <v>#DIV/0!</v>
      </c>
      <c r="AO275" s="103" t="e">
        <f t="shared" si="2307"/>
        <v>#DIV/0!</v>
      </c>
      <c r="AP275" s="103" t="e">
        <f t="shared" si="2307"/>
        <v>#DIV/0!</v>
      </c>
      <c r="AQ275" s="103" t="e">
        <f t="shared" si="2307"/>
        <v>#DIV/0!</v>
      </c>
      <c r="AR275" s="103" t="e">
        <f t="shared" si="2307"/>
        <v>#DIV/0!</v>
      </c>
      <c r="AS275" s="103" t="e">
        <f t="shared" si="2307"/>
        <v>#DIV/0!</v>
      </c>
      <c r="AT275" s="103" t="e">
        <f t="shared" si="2307"/>
        <v>#DIV/0!</v>
      </c>
      <c r="AU275" s="103" t="e">
        <f t="shared" si="2307"/>
        <v>#DIV/0!</v>
      </c>
      <c r="AV275" s="103" t="e">
        <f t="shared" si="2307"/>
        <v>#DIV/0!</v>
      </c>
      <c r="AW275" s="103" t="e">
        <f t="shared" si="2307"/>
        <v>#DIV/0!</v>
      </c>
      <c r="AX275" s="103" t="e">
        <f t="shared" si="2307"/>
        <v>#DIV/0!</v>
      </c>
      <c r="AY275" s="103" t="e">
        <f t="shared" si="2307"/>
        <v>#DIV/0!</v>
      </c>
      <c r="AZ275" s="103" t="e">
        <f t="shared" si="2307"/>
        <v>#DIV/0!</v>
      </c>
      <c r="BA275" s="103" t="e">
        <f t="shared" si="2307"/>
        <v>#DIV/0!</v>
      </c>
      <c r="BB275" s="103" t="e">
        <f t="shared" si="2307"/>
        <v>#DIV/0!</v>
      </c>
      <c r="BC275" s="103" t="e">
        <f t="shared" si="2307"/>
        <v>#DIV/0!</v>
      </c>
      <c r="BD275" s="103" t="e">
        <f t="shared" si="2307"/>
        <v>#DIV/0!</v>
      </c>
      <c r="BE275" s="103" t="e">
        <f t="shared" si="2307"/>
        <v>#DIV/0!</v>
      </c>
      <c r="BF275" s="103" t="e">
        <f t="shared" si="2307"/>
        <v>#DIV/0!</v>
      </c>
      <c r="BG275" s="103" t="str">
        <f t="shared" si="2307"/>
        <v>RF</v>
      </c>
      <c r="BH275" s="103">
        <f t="shared" si="2307"/>
        <v>0</v>
      </c>
      <c r="BI275" s="103" t="e">
        <f t="shared" si="2307"/>
        <v>#DIV/0!</v>
      </c>
      <c r="BJ275" s="103" t="e">
        <f t="shared" si="2307"/>
        <v>#DIV/0!</v>
      </c>
      <c r="BK275" s="103" t="str">
        <f t="shared" si="2307"/>
        <v>RF</v>
      </c>
      <c r="BL275" s="103">
        <f t="shared" si="2307"/>
        <v>0</v>
      </c>
      <c r="BM275" s="103">
        <f t="shared" si="2307"/>
        <v>0</v>
      </c>
      <c r="BN275" s="103" t="str">
        <f t="shared" si="2307"/>
        <v>RF</v>
      </c>
      <c r="BO275" s="103" t="str">
        <f t="shared" si="2307"/>
        <v>RF</v>
      </c>
      <c r="BP275" s="103">
        <f t="shared" si="2307"/>
        <v>0</v>
      </c>
      <c r="BQ275" s="103">
        <f t="shared" si="2307"/>
        <v>0</v>
      </c>
      <c r="BR275" s="103" t="str">
        <f t="shared" si="2307"/>
        <v>RF</v>
      </c>
      <c r="BS275" s="103" t="str">
        <f t="shared" si="2307"/>
        <v>RF</v>
      </c>
      <c r="BT275" s="103">
        <f t="shared" si="2307"/>
        <v>0</v>
      </c>
      <c r="BU275" s="103">
        <f t="shared" si="2307"/>
        <v>0</v>
      </c>
      <c r="BV275" s="103">
        <f t="shared" si="2307"/>
        <v>0</v>
      </c>
      <c r="BW275" s="103" t="str">
        <f t="shared" si="2307"/>
        <v>RF</v>
      </c>
      <c r="BX275" s="103">
        <f t="shared" si="2307"/>
        <v>0</v>
      </c>
      <c r="BY275" s="103">
        <f t="shared" si="2307"/>
        <v>0</v>
      </c>
      <c r="BZ275" s="103">
        <f t="shared" si="2307"/>
        <v>0</v>
      </c>
      <c r="CA275" s="103" t="str">
        <f t="shared" si="2307"/>
        <v>RF</v>
      </c>
      <c r="CB275" s="103" t="str">
        <f t="shared" si="2307"/>
        <v>RF</v>
      </c>
      <c r="CC275" s="103" t="str">
        <f t="shared" si="2307"/>
        <v>RF</v>
      </c>
      <c r="CD275" s="103">
        <f t="shared" si="2307"/>
        <v>0</v>
      </c>
      <c r="CE275" s="103" t="str">
        <f t="shared" si="2307"/>
        <v>RF</v>
      </c>
      <c r="CF275" s="103" t="str">
        <f t="shared" si="2307"/>
        <v>RF</v>
      </c>
      <c r="CG275" s="103">
        <f t="shared" si="2307"/>
        <v>0</v>
      </c>
      <c r="CH275" s="103">
        <f t="shared" si="2307"/>
        <v>0</v>
      </c>
      <c r="CI275" s="103" t="str">
        <f t="shared" si="2307"/>
        <v>RF</v>
      </c>
      <c r="CJ275" s="103">
        <f t="shared" si="2307"/>
        <v>0</v>
      </c>
      <c r="CK275" s="103" t="str">
        <f t="shared" si="2307"/>
        <v>RF</v>
      </c>
      <c r="CL275" s="103">
        <f t="shared" ref="CL275" si="2308">IF(CL273&gt;CL274,"RF",0)</f>
        <v>0</v>
      </c>
      <c r="CM275" s="73" t="str">
        <f t="shared" si="2307"/>
        <v>RF</v>
      </c>
      <c r="CN275" s="73">
        <f t="shared" si="2307"/>
        <v>0</v>
      </c>
      <c r="CO275" s="73">
        <f t="shared" si="2307"/>
        <v>0</v>
      </c>
      <c r="CP275" s="73">
        <f t="shared" si="2307"/>
        <v>0</v>
      </c>
      <c r="CQ275" s="73" t="str">
        <f t="shared" si="2307"/>
        <v>RF</v>
      </c>
      <c r="CR275" s="73">
        <f t="shared" si="2307"/>
        <v>0</v>
      </c>
      <c r="CS275" s="73">
        <f t="shared" si="2307"/>
        <v>0</v>
      </c>
      <c r="CT275" s="73">
        <f t="shared" si="2307"/>
        <v>0</v>
      </c>
      <c r="CU275" s="73" t="str">
        <f t="shared" si="2307"/>
        <v>RF</v>
      </c>
      <c r="CV275" s="73">
        <f t="shared" si="2307"/>
        <v>0</v>
      </c>
      <c r="CW275" s="73">
        <f t="shared" si="2307"/>
        <v>0</v>
      </c>
      <c r="CX275" s="73">
        <f t="shared" ref="CX275:DB275" si="2309">IF(CX273&gt;CX274,"RF",0)</f>
        <v>0</v>
      </c>
      <c r="CY275" s="73" t="str">
        <f t="shared" si="2309"/>
        <v>RF</v>
      </c>
      <c r="CZ275" s="73">
        <f t="shared" si="2309"/>
        <v>0</v>
      </c>
      <c r="DA275" s="73">
        <f t="shared" si="2309"/>
        <v>0</v>
      </c>
      <c r="DB275" s="73">
        <f t="shared" si="2309"/>
        <v>0</v>
      </c>
      <c r="DE275" s="142"/>
      <c r="DF275" s="103">
        <v>0</v>
      </c>
    </row>
    <row r="276" spans="1:110" s="86" customFormat="1" x14ac:dyDescent="0.2">
      <c r="A276" s="86" t="s">
        <v>432</v>
      </c>
      <c r="B276" s="86" t="e">
        <f>B60/B32</f>
        <v>#DIV/0!</v>
      </c>
      <c r="C276" s="86" t="e">
        <f>C60/C32</f>
        <v>#DIV/0!</v>
      </c>
      <c r="D276" s="86" t="e">
        <f>D60/D32</f>
        <v>#DIV/0!</v>
      </c>
      <c r="F276" s="86" t="e">
        <f t="shared" ref="F276:AE276" si="2310">F60/F32</f>
        <v>#DIV/0!</v>
      </c>
      <c r="G276" s="86" t="e">
        <f t="shared" si="2310"/>
        <v>#DIV/0!</v>
      </c>
      <c r="H276" s="86" t="e">
        <f t="shared" si="2310"/>
        <v>#DIV/0!</v>
      </c>
      <c r="I276" s="86">
        <f t="shared" si="2310"/>
        <v>1.5939638065458679E-2</v>
      </c>
      <c r="J276" s="86">
        <f t="shared" si="2310"/>
        <v>2.9652596590072782E-2</v>
      </c>
      <c r="K276" s="86">
        <f t="shared" si="2310"/>
        <v>0</v>
      </c>
      <c r="L276" s="86" t="e">
        <f t="shared" si="2310"/>
        <v>#DIV/0!</v>
      </c>
      <c r="M276" s="86">
        <f t="shared" si="2310"/>
        <v>3.2676430423170276E-2</v>
      </c>
      <c r="N276" s="86">
        <f t="shared" si="2310"/>
        <v>3.2447607497083593E-2</v>
      </c>
      <c r="O276" s="86">
        <f t="shared" si="2310"/>
        <v>2.2263592345459989E-2</v>
      </c>
      <c r="P276" s="86">
        <f t="shared" si="2310"/>
        <v>2.1210794937413877E-2</v>
      </c>
      <c r="Q276" s="86">
        <f t="shared" si="2310"/>
        <v>2.029098017411252E-2</v>
      </c>
      <c r="R276" s="86">
        <f t="shared" si="2310"/>
        <v>1.0906054696802121E-2</v>
      </c>
      <c r="S276" s="86">
        <f t="shared" si="2310"/>
        <v>1.3547454848565833E-2</v>
      </c>
      <c r="T276" s="86">
        <f t="shared" si="2310"/>
        <v>1.4614644047149152E-2</v>
      </c>
      <c r="U276" s="86">
        <f t="shared" si="2310"/>
        <v>5.6098813640613112E-3</v>
      </c>
      <c r="V276" s="86">
        <f t="shared" si="2310"/>
        <v>4.8550800627007876E-3</v>
      </c>
      <c r="W276" s="86">
        <f t="shared" si="2310"/>
        <v>2.8835372964121468E-3</v>
      </c>
      <c r="X276" s="86">
        <f t="shared" si="2310"/>
        <v>4.235748535311514E-3</v>
      </c>
      <c r="Y276" s="86">
        <f t="shared" si="2310"/>
        <v>6.0057283361948412E-3</v>
      </c>
      <c r="Z276" s="86">
        <f t="shared" si="2310"/>
        <v>7.5386308643582414E-3</v>
      </c>
      <c r="AA276" s="86">
        <f t="shared" ref="AA276" si="2311">AA60/AA32</f>
        <v>8.4142691513635053E-3</v>
      </c>
      <c r="AB276" s="87">
        <f t="shared" si="2310"/>
        <v>-1.8840697056321385E-4</v>
      </c>
      <c r="AC276" s="87">
        <f t="shared" si="2310"/>
        <v>-4.9722997311632761E-4</v>
      </c>
      <c r="AD276" s="87">
        <f t="shared" si="2310"/>
        <v>-6.2241480069895989E-4</v>
      </c>
      <c r="AE276" s="87">
        <f t="shared" si="2310"/>
        <v>-7.551245499083358E-4</v>
      </c>
      <c r="AL276" s="86" t="e">
        <f t="shared" ref="AL276:CW276" si="2312">AL60/AL32</f>
        <v>#DIV/0!</v>
      </c>
      <c r="AM276" s="86" t="e">
        <f t="shared" si="2312"/>
        <v>#DIV/0!</v>
      </c>
      <c r="AN276" s="86" t="e">
        <f t="shared" si="2312"/>
        <v>#DIV/0!</v>
      </c>
      <c r="AO276" s="86" t="e">
        <f t="shared" si="2312"/>
        <v>#DIV/0!</v>
      </c>
      <c r="AP276" s="86" t="e">
        <f t="shared" si="2312"/>
        <v>#DIV/0!</v>
      </c>
      <c r="AQ276" s="86" t="e">
        <f t="shared" si="2312"/>
        <v>#DIV/0!</v>
      </c>
      <c r="AR276" s="86" t="e">
        <f t="shared" si="2312"/>
        <v>#DIV/0!</v>
      </c>
      <c r="AS276" s="86" t="e">
        <f t="shared" si="2312"/>
        <v>#DIV/0!</v>
      </c>
      <c r="AT276" s="86" t="e">
        <f t="shared" si="2312"/>
        <v>#DIV/0!</v>
      </c>
      <c r="AU276" s="86" t="e">
        <f t="shared" si="2312"/>
        <v>#DIV/0!</v>
      </c>
      <c r="AV276" s="86" t="e">
        <f t="shared" si="2312"/>
        <v>#DIV/0!</v>
      </c>
      <c r="AW276" s="86" t="e">
        <f t="shared" si="2312"/>
        <v>#DIV/0!</v>
      </c>
      <c r="AX276" s="86" t="e">
        <f t="shared" si="2312"/>
        <v>#DIV/0!</v>
      </c>
      <c r="AY276" s="86" t="e">
        <f t="shared" si="2312"/>
        <v>#DIV/0!</v>
      </c>
      <c r="AZ276" s="86" t="e">
        <f t="shared" si="2312"/>
        <v>#DIV/0!</v>
      </c>
      <c r="BA276" s="86" t="e">
        <f t="shared" si="2312"/>
        <v>#DIV/0!</v>
      </c>
      <c r="BB276" s="86" t="e">
        <f t="shared" si="2312"/>
        <v>#DIV/0!</v>
      </c>
      <c r="BC276" s="86" t="e">
        <f t="shared" si="2312"/>
        <v>#DIV/0!</v>
      </c>
      <c r="BD276" s="86" t="e">
        <f t="shared" si="2312"/>
        <v>#DIV/0!</v>
      </c>
      <c r="BE276" s="86" t="e">
        <f t="shared" si="2312"/>
        <v>#DIV/0!</v>
      </c>
      <c r="BF276" s="86">
        <f t="shared" si="2312"/>
        <v>1.8400698307211576E-2</v>
      </c>
      <c r="BG276" s="86">
        <f t="shared" si="2312"/>
        <v>2.2089019318383071E-2</v>
      </c>
      <c r="BH276" s="86">
        <f t="shared" si="2312"/>
        <v>1.9961310369759171E-2</v>
      </c>
      <c r="BI276" s="86">
        <f t="shared" si="2312"/>
        <v>8.4742581875685858E-3</v>
      </c>
      <c r="BJ276" s="86">
        <f t="shared" si="2312"/>
        <v>1.0639528535587339E-2</v>
      </c>
      <c r="BK276" s="86">
        <f t="shared" si="2312"/>
        <v>6.3141743759621664E-3</v>
      </c>
      <c r="BL276" s="86">
        <f t="shared" si="2312"/>
        <v>5.6682975436931262E-3</v>
      </c>
      <c r="BM276" s="86">
        <f t="shared" si="2312"/>
        <v>3.4223970179958021E-3</v>
      </c>
      <c r="BN276" s="86">
        <f t="shared" si="2312"/>
        <v>7.4786992088311122E-3</v>
      </c>
      <c r="BO276" s="86">
        <f t="shared" si="2312"/>
        <v>1.6686548671660206E-2</v>
      </c>
      <c r="BP276" s="86">
        <f t="shared" si="2312"/>
        <v>5.384915990200986E-3</v>
      </c>
      <c r="BQ276" s="86">
        <f t="shared" si="2312"/>
        <v>2.379530575238317E-3</v>
      </c>
      <c r="BR276" s="86">
        <f t="shared" si="2312"/>
        <v>4.486633380239715E-3</v>
      </c>
      <c r="BS276" s="86">
        <f t="shared" si="2312"/>
        <v>5.2651210525067544E-3</v>
      </c>
      <c r="BT276" s="86">
        <f t="shared" si="2312"/>
        <v>1.6936327457837957E-3</v>
      </c>
      <c r="BU276" s="86">
        <f t="shared" si="2312"/>
        <v>2.3176184076137696E-3</v>
      </c>
      <c r="BV276" s="86">
        <f t="shared" si="2312"/>
        <v>3.1524072401335826E-3</v>
      </c>
      <c r="BW276" s="86">
        <f t="shared" si="2312"/>
        <v>3.0812440595975165E-3</v>
      </c>
      <c r="BX276" s="86">
        <f t="shared" si="2312"/>
        <v>4.172120762535118E-3</v>
      </c>
      <c r="BY276" s="86">
        <f t="shared" si="2312"/>
        <v>2.4930138012081242E-3</v>
      </c>
      <c r="BZ276" s="86">
        <f t="shared" si="2312"/>
        <v>6.5129689262459472E-3</v>
      </c>
      <c r="CA276" s="86">
        <f t="shared" si="2312"/>
        <v>6.407701789127424E-3</v>
      </c>
      <c r="CB276" s="86">
        <f t="shared" si="2312"/>
        <v>6.3522818258400261E-3</v>
      </c>
      <c r="CC276" s="86">
        <f t="shared" si="2312"/>
        <v>7.4243111921059243E-3</v>
      </c>
      <c r="CD276" s="86">
        <f t="shared" si="2312"/>
        <v>4.3636370139281937E-3</v>
      </c>
      <c r="CE276" s="86">
        <f t="shared" si="2312"/>
        <v>8.7911316019693361E-3</v>
      </c>
      <c r="CF276" s="86">
        <f t="shared" si="2312"/>
        <v>8.2392715147597776E-3</v>
      </c>
      <c r="CG276" s="86">
        <f t="shared" si="2312"/>
        <v>9.526484760418074E-3</v>
      </c>
      <c r="CH276" s="86">
        <f t="shared" si="2312"/>
        <v>4.6577355944159848E-3</v>
      </c>
      <c r="CI276" s="86">
        <f t="shared" si="2312"/>
        <v>8.6786671669508986E-3</v>
      </c>
      <c r="CJ276" s="86">
        <f t="shared" si="2312"/>
        <v>7.4731238491381555E-3</v>
      </c>
      <c r="CK276" s="86">
        <f t="shared" si="2312"/>
        <v>9.0011587024209118E-3</v>
      </c>
      <c r="CL276" s="86">
        <f t="shared" ref="CL276" si="2313">CL60/CL32</f>
        <v>8.420237313492944E-3</v>
      </c>
      <c r="CM276" s="87">
        <f t="shared" si="2312"/>
        <v>3.1149687085498716E-3</v>
      </c>
      <c r="CN276" s="87">
        <f t="shared" si="2312"/>
        <v>-1.1727724479742834E-3</v>
      </c>
      <c r="CO276" s="87">
        <f t="shared" si="2312"/>
        <v>-1.092218887418509E-3</v>
      </c>
      <c r="CP276" s="87">
        <f t="shared" si="2312"/>
        <v>-9.0682491544707337E-4</v>
      </c>
      <c r="CQ276" s="87">
        <f t="shared" si="2312"/>
        <v>-4.4819892634697175E-4</v>
      </c>
      <c r="CR276" s="87">
        <f t="shared" si="2312"/>
        <v>-5.8753512416084689E-4</v>
      </c>
      <c r="CS276" s="87">
        <f t="shared" si="2312"/>
        <v>-5.1944110501401586E-4</v>
      </c>
      <c r="CT276" s="87">
        <f t="shared" si="2312"/>
        <v>-4.4459352642599521E-4</v>
      </c>
      <c r="CU276" s="87">
        <f t="shared" si="2312"/>
        <v>-5.7464979084380266E-4</v>
      </c>
      <c r="CV276" s="87">
        <f t="shared" si="2312"/>
        <v>-7.2850415904965088E-4</v>
      </c>
      <c r="CW276" s="87">
        <f t="shared" si="2312"/>
        <v>-6.4316828293562475E-4</v>
      </c>
      <c r="CX276" s="87">
        <f t="shared" ref="CX276:DB276" si="2314">CX60/CX32</f>
        <v>-5.5848316929662904E-4</v>
      </c>
      <c r="CY276" s="87">
        <f t="shared" si="2314"/>
        <v>-7.2718892472828714E-4</v>
      </c>
      <c r="CZ276" s="87">
        <f t="shared" si="2314"/>
        <v>-8.7436945557122295E-4</v>
      </c>
      <c r="DA276" s="87">
        <f t="shared" si="2314"/>
        <v>-7.6987475317335109E-4</v>
      </c>
      <c r="DB276" s="87">
        <f t="shared" si="2314"/>
        <v>-6.7306536937391788E-4</v>
      </c>
      <c r="DE276" s="141"/>
      <c r="DF276" s="86">
        <v>1.9770010248729404E-3</v>
      </c>
    </row>
    <row r="277" spans="1:110" s="86" customFormat="1" x14ac:dyDescent="0.2">
      <c r="A277" s="86" t="s">
        <v>433</v>
      </c>
      <c r="B277" s="86" t="e">
        <f>B56/B32</f>
        <v>#DIV/0!</v>
      </c>
      <c r="C277" s="86" t="e">
        <f>C56/C32</f>
        <v>#DIV/0!</v>
      </c>
      <c r="D277" s="86" t="e">
        <f>D56/D32</f>
        <v>#DIV/0!</v>
      </c>
      <c r="F277" s="86" t="e">
        <f t="shared" ref="F277:AE277" si="2315">F56/F32</f>
        <v>#DIV/0!</v>
      </c>
      <c r="G277" s="86" t="e">
        <f t="shared" si="2315"/>
        <v>#DIV/0!</v>
      </c>
      <c r="H277" s="86" t="e">
        <f t="shared" si="2315"/>
        <v>#DIV/0!</v>
      </c>
      <c r="I277" s="86">
        <f t="shared" si="2315"/>
        <v>1.5553531516862031E-3</v>
      </c>
      <c r="J277" s="86">
        <f t="shared" si="2315"/>
        <v>2.2315614147381856E-3</v>
      </c>
      <c r="K277" s="86">
        <f t="shared" si="2315"/>
        <v>4.8697118663904165E-3</v>
      </c>
      <c r="L277" s="86" t="e">
        <f t="shared" si="2315"/>
        <v>#DIV/0!</v>
      </c>
      <c r="M277" s="86">
        <f t="shared" si="2315"/>
        <v>1.0631434083519528E-2</v>
      </c>
      <c r="N277" s="86">
        <f t="shared" si="2315"/>
        <v>1.2246089701417379E-2</v>
      </c>
      <c r="O277" s="86">
        <f t="shared" si="2315"/>
        <v>1.4731985634083455E-2</v>
      </c>
      <c r="P277" s="86">
        <f t="shared" si="2315"/>
        <v>1.9073874816806082E-2</v>
      </c>
      <c r="Q277" s="86">
        <f t="shared" si="2315"/>
        <v>1.9428985066328164E-2</v>
      </c>
      <c r="R277" s="86">
        <f t="shared" si="2315"/>
        <v>2.1148144669231463E-2</v>
      </c>
      <c r="S277" s="86">
        <f t="shared" si="2315"/>
        <v>1.922688689668417E-2</v>
      </c>
      <c r="T277" s="86">
        <f t="shared" si="2315"/>
        <v>1.7712613980849414E-2</v>
      </c>
      <c r="U277" s="86">
        <f t="shared" si="2315"/>
        <v>1.8220591158165586E-2</v>
      </c>
      <c r="V277" s="86">
        <f t="shared" si="2315"/>
        <v>2.0036545888109891E-2</v>
      </c>
      <c r="W277" s="86">
        <f t="shared" si="2315"/>
        <v>1.6512860256768385E-2</v>
      </c>
      <c r="X277" s="86">
        <f t="shared" si="2315"/>
        <v>1.4826147675417064E-2</v>
      </c>
      <c r="Y277" s="86">
        <f t="shared" si="2315"/>
        <v>1.3583567209721098E-2</v>
      </c>
      <c r="Z277" s="86">
        <f t="shared" si="2315"/>
        <v>1.3303232599437541E-2</v>
      </c>
      <c r="AA277" s="86">
        <f t="shared" ref="AA277" si="2316">AA56/AA32</f>
        <v>1.3359360848464773E-2</v>
      </c>
      <c r="AB277" s="87">
        <f t="shared" si="2315"/>
        <v>1.332815682402127E-2</v>
      </c>
      <c r="AC277" s="87">
        <f t="shared" si="2315"/>
        <v>1.3734363680349315E-2</v>
      </c>
      <c r="AD277" s="87">
        <f t="shared" si="2315"/>
        <v>1.3961961178902733E-2</v>
      </c>
      <c r="AE277" s="87">
        <f t="shared" si="2315"/>
        <v>1.3706562307797808E-2</v>
      </c>
      <c r="AL277" s="86" t="e">
        <f t="shared" ref="AL277:CW277" si="2317">AL56/AL32</f>
        <v>#DIV/0!</v>
      </c>
      <c r="AM277" s="86" t="e">
        <f t="shared" si="2317"/>
        <v>#DIV/0!</v>
      </c>
      <c r="AN277" s="86" t="e">
        <f t="shared" si="2317"/>
        <v>#DIV/0!</v>
      </c>
      <c r="AO277" s="86" t="e">
        <f t="shared" si="2317"/>
        <v>#DIV/0!</v>
      </c>
      <c r="AP277" s="86" t="e">
        <f t="shared" si="2317"/>
        <v>#DIV/0!</v>
      </c>
      <c r="AQ277" s="86" t="e">
        <f t="shared" si="2317"/>
        <v>#DIV/0!</v>
      </c>
      <c r="AR277" s="86" t="e">
        <f t="shared" si="2317"/>
        <v>#DIV/0!</v>
      </c>
      <c r="AS277" s="86" t="e">
        <f t="shared" si="2317"/>
        <v>#DIV/0!</v>
      </c>
      <c r="AT277" s="86" t="e">
        <f t="shared" si="2317"/>
        <v>#DIV/0!</v>
      </c>
      <c r="AU277" s="86" t="e">
        <f t="shared" si="2317"/>
        <v>#DIV/0!</v>
      </c>
      <c r="AV277" s="86" t="e">
        <f t="shared" si="2317"/>
        <v>#DIV/0!</v>
      </c>
      <c r="AW277" s="86" t="e">
        <f t="shared" si="2317"/>
        <v>#DIV/0!</v>
      </c>
      <c r="AX277" s="86" t="e">
        <f t="shared" si="2317"/>
        <v>#DIV/0!</v>
      </c>
      <c r="AY277" s="86" t="e">
        <f t="shared" si="2317"/>
        <v>#DIV/0!</v>
      </c>
      <c r="AZ277" s="86" t="e">
        <f t="shared" si="2317"/>
        <v>#DIV/0!</v>
      </c>
      <c r="BA277" s="86" t="e">
        <f t="shared" si="2317"/>
        <v>#DIV/0!</v>
      </c>
      <c r="BB277" s="86" t="e">
        <f t="shared" si="2317"/>
        <v>#DIV/0!</v>
      </c>
      <c r="BC277" s="86" t="e">
        <f t="shared" si="2317"/>
        <v>#DIV/0!</v>
      </c>
      <c r="BD277" s="86" t="e">
        <f t="shared" si="2317"/>
        <v>#DIV/0!</v>
      </c>
      <c r="BE277" s="86" t="e">
        <f t="shared" si="2317"/>
        <v>#DIV/0!</v>
      </c>
      <c r="BF277" s="86">
        <f t="shared" si="2317"/>
        <v>1.6020407099456652E-2</v>
      </c>
      <c r="BG277" s="86">
        <f t="shared" si="2317"/>
        <v>2.0892689252522516E-2</v>
      </c>
      <c r="BH277" s="86">
        <f t="shared" si="2317"/>
        <v>2.0083284810318704E-2</v>
      </c>
      <c r="BI277" s="86">
        <f t="shared" si="2317"/>
        <v>1.7579184112506779E-2</v>
      </c>
      <c r="BJ277" s="86">
        <f t="shared" si="2317"/>
        <v>1.3925313042514683E-2</v>
      </c>
      <c r="BK277" s="86">
        <f t="shared" si="2317"/>
        <v>1.9729680975583759E-2</v>
      </c>
      <c r="BL277" s="86">
        <f t="shared" si="2317"/>
        <v>1.7632473260916978E-2</v>
      </c>
      <c r="BM277" s="86">
        <f t="shared" si="2317"/>
        <v>1.6223382298218767E-2</v>
      </c>
      <c r="BN277" s="86">
        <f t="shared" si="2317"/>
        <v>1.9808573477456595E-2</v>
      </c>
      <c r="BO277" s="86">
        <f t="shared" si="2317"/>
        <v>4.5333019317117126E-2</v>
      </c>
      <c r="BP277" s="86">
        <f t="shared" si="2317"/>
        <v>2.1574673957577346E-2</v>
      </c>
      <c r="BQ277" s="86">
        <f t="shared" si="2317"/>
        <v>1.637087906085918E-2</v>
      </c>
      <c r="BR277" s="86">
        <f t="shared" si="2317"/>
        <v>1.565275367421054E-2</v>
      </c>
      <c r="BS277" s="86">
        <f t="shared" si="2317"/>
        <v>2.6563311894818316E-2</v>
      </c>
      <c r="BT277" s="86">
        <f t="shared" si="2317"/>
        <v>1.6920694948204838E-2</v>
      </c>
      <c r="BU277" s="86">
        <f t="shared" si="2317"/>
        <v>1.5156898169511471E-2</v>
      </c>
      <c r="BV277" s="86">
        <f t="shared" si="2317"/>
        <v>1.2658999461458516E-2</v>
      </c>
      <c r="BW277" s="86">
        <f t="shared" si="2317"/>
        <v>1.8631075471842905E-2</v>
      </c>
      <c r="BX277" s="86">
        <f t="shared" si="2317"/>
        <v>1.5684689340100914E-2</v>
      </c>
      <c r="BY277" s="86">
        <f t="shared" si="2317"/>
        <v>1.4118285456809383E-2</v>
      </c>
      <c r="BZ277" s="86">
        <f t="shared" si="2317"/>
        <v>1.2364464445920041E-2</v>
      </c>
      <c r="CA277" s="86">
        <f t="shared" si="2317"/>
        <v>1.4692308443860746E-2</v>
      </c>
      <c r="CB277" s="86">
        <f t="shared" si="2317"/>
        <v>1.4295953455167595E-2</v>
      </c>
      <c r="CC277" s="86">
        <f t="shared" si="2317"/>
        <v>1.4256059827622354E-2</v>
      </c>
      <c r="CD277" s="86">
        <f t="shared" si="2317"/>
        <v>1.1753081915880035E-2</v>
      </c>
      <c r="CE277" s="86">
        <f t="shared" si="2317"/>
        <v>1.4287477942882444E-2</v>
      </c>
      <c r="CF277" s="86">
        <f t="shared" si="2317"/>
        <v>1.3105575907855762E-2</v>
      </c>
      <c r="CG277" s="86">
        <f t="shared" si="2317"/>
        <v>1.5031777273212603E-2</v>
      </c>
      <c r="CH277" s="86">
        <f t="shared" si="2317"/>
        <v>1.1503768073454171E-2</v>
      </c>
      <c r="CI277" s="86">
        <f t="shared" si="2317"/>
        <v>1.4511234044974109E-2</v>
      </c>
      <c r="CJ277" s="86">
        <f t="shared" si="2317"/>
        <v>1.4940998525445595E-2</v>
      </c>
      <c r="CK277" s="86">
        <f t="shared" si="2317"/>
        <v>1.3828343369833507E-2</v>
      </c>
      <c r="CL277" s="86">
        <f t="shared" ref="CL277" si="2318">CL56/CL32</f>
        <v>1.1032235742729097E-2</v>
      </c>
      <c r="CM277" s="87">
        <f t="shared" si="2317"/>
        <v>1.4712830905501031E-2</v>
      </c>
      <c r="CN277" s="87">
        <f t="shared" si="2317"/>
        <v>1.4488070529128864E-2</v>
      </c>
      <c r="CO277" s="87">
        <f t="shared" si="2317"/>
        <v>1.2938729466940888E-2</v>
      </c>
      <c r="CP277" s="87">
        <f t="shared" si="2317"/>
        <v>1.1887399652178669E-2</v>
      </c>
      <c r="CQ277" s="87">
        <f t="shared" si="2317"/>
        <v>1.5413823520360951E-2</v>
      </c>
      <c r="CR277" s="87">
        <f t="shared" si="2317"/>
        <v>1.4996293140967796E-2</v>
      </c>
      <c r="CS277" s="87">
        <f t="shared" si="2317"/>
        <v>1.323846466178724E-2</v>
      </c>
      <c r="CT277" s="87">
        <f t="shared" si="2317"/>
        <v>1.2079887997663097E-2</v>
      </c>
      <c r="CU277" s="87">
        <f t="shared" si="2317"/>
        <v>1.5937440829908549E-2</v>
      </c>
      <c r="CV277" s="87">
        <f t="shared" si="2317"/>
        <v>1.5326274768126038E-2</v>
      </c>
      <c r="CW277" s="87">
        <f t="shared" si="2317"/>
        <v>1.3381122918146604E-2</v>
      </c>
      <c r="CX277" s="87">
        <f t="shared" ref="CX277:DB277" si="2319">CX56/CX32</f>
        <v>1.2102460967485686E-2</v>
      </c>
      <c r="CY277" s="87">
        <f t="shared" si="2319"/>
        <v>1.5823632707459821E-2</v>
      </c>
      <c r="CZ277" s="87">
        <f t="shared" si="2319"/>
        <v>1.5100349699650441E-2</v>
      </c>
      <c r="DA277" s="87">
        <f t="shared" si="2319"/>
        <v>1.3084200280967432E-2</v>
      </c>
      <c r="DB277" s="87">
        <f t="shared" si="2319"/>
        <v>1.1764177985583829E-2</v>
      </c>
      <c r="DE277" s="141"/>
      <c r="DF277" s="86">
        <v>1.1778030049818956E-2</v>
      </c>
    </row>
    <row r="278" spans="1:110" s="85" customFormat="1" x14ac:dyDescent="0.2">
      <c r="AB278" s="58"/>
      <c r="AC278" s="58"/>
      <c r="AD278" s="58"/>
      <c r="AE278" s="58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E278" s="143"/>
    </row>
  </sheetData>
  <sortState xmlns:xlrd2="http://schemas.microsoft.com/office/spreadsheetml/2017/richdata2" ref="A44:DE49">
    <sortCondition ref="A44:A4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211337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Polycab India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2110.2460000000001</v>
      </c>
      <c r="AA6">
        <f>_xll.EQNXTDZ($A$1,$B6,AA$1,$B$1)</f>
        <v>1682.646</v>
      </c>
      <c r="AB6">
        <f>_xll.EQNXTDZ($A$1,$B6,AB$1,$B$1)</f>
        <v>1811.855</v>
      </c>
      <c r="AC6">
        <f>_xll.EQNXTDZ($A$1,$B6,AC$1,$B$1)</f>
        <v>2024.838</v>
      </c>
      <c r="AD6">
        <f>_xll.EQNXTDZ($A$1,$B6,AD$1,$B$1)</f>
        <v>2463.643</v>
      </c>
      <c r="AE6">
        <f>_xll.EQNXTDZ($A$1,$B6,AE$1,$B$1)</f>
        <v>1951.3240000000001</v>
      </c>
      <c r="AF6">
        <f>_xll.EQNXTDZ($A$1,$B6,AF$1,$B$1)</f>
        <v>2241.9430000000002</v>
      </c>
      <c r="AG6">
        <f>_xll.EQNXTDZ($A$1,$B6,AG$1,$B$1)</f>
        <v>2507.3069999999998</v>
      </c>
      <c r="AH6">
        <f>_xll.EQNXTDZ($A$1,$B6,AH$1,$B$1)</f>
        <v>2129.3809999999999</v>
      </c>
      <c r="AI6">
        <f>_xll.EQNXTDZ($A$1,$B6,AI$1,$B$1)</f>
        <v>976.59500000000003</v>
      </c>
      <c r="AJ6">
        <f>_xll.EQNXTDZ($A$1,$B6,AJ$1,$B$1)</f>
        <v>2113.6819999999998</v>
      </c>
      <c r="AK6">
        <f>_xll.EQNXTDZ($A$1,$B6,AK$1,$B$1)</f>
        <v>2746.34</v>
      </c>
      <c r="AL6">
        <f>_xll.EQNXTDZ($A$1,$B6,AL$1,$B$1)</f>
        <v>2942.741</v>
      </c>
      <c r="AM6">
        <f>_xll.EQNXTDZ($A$1,$B6,AM$1,$B$1)</f>
        <v>1855.2280000000001</v>
      </c>
      <c r="AN6">
        <f>_xll.EQNXTDZ($A$1,$B6,AN$1,$B$1)</f>
        <v>3006.5549999999998</v>
      </c>
      <c r="AO6">
        <f>_xll.EQNXTDZ($A$1,$B6,AO$1,$B$1)</f>
        <v>3371.9960000000001</v>
      </c>
      <c r="AP6">
        <f>_xll.EQNXTDZ($A$1,$B6,AP$1,$B$1)</f>
        <v>3969.982</v>
      </c>
      <c r="AQ6">
        <f>_xll.EQNXTDZ($A$1,$B6,AQ$1,$B$1)</f>
        <v>2736.5569999999998</v>
      </c>
      <c r="AR6">
        <f>_xll.EQNXTDZ($A$1,$B6,AR$1,$B$1)</f>
        <v>3332.3580000000002</v>
      </c>
      <c r="AS6">
        <f>_xll.EQNXTDZ($A$1,$B6,AS$1,$B$1)</f>
        <v>3715.1819999999998</v>
      </c>
      <c r="AT6">
        <f>_xll.EQNXTDZ($A$1,$B6,AT$1,$B$1)</f>
        <v>4323.6809999999996</v>
      </c>
      <c r="AU6">
        <f>_xll.EQNXTDZ($A$1,$B6,AU$1,$B$1)</f>
        <v>3889.3820000000001</v>
      </c>
      <c r="AV6">
        <f>_xll.EQNXTDZ($A$1,$B6,AV$1,$B$1)</f>
        <v>4217.6970000000001</v>
      </c>
      <c r="AW6">
        <f>_xll.EQNXTDZ($A$1,$B6,AW$1,$B$1)</f>
        <v>4340.47</v>
      </c>
      <c r="AX6">
        <f>_xll.EQNXTDZ($A$1,$B6,AX$1,$B$1)</f>
        <v>5591.8950000000004</v>
      </c>
      <c r="AY6">
        <f>_xll.EQNXTDZ($A$1,$B6,AY$1,$B$1)</f>
        <v>4698.03</v>
      </c>
      <c r="AZ6">
        <f>_xll.EQNXTDZ($A$1,$B6,AZ$1,$B$1)</f>
        <v>5498.4229999999998</v>
      </c>
      <c r="BA6">
        <f>_xll.EQNXTDZ($A$1,$B6,BA$1,$B$1)</f>
        <v>5226.0619999999999</v>
      </c>
      <c r="BB6">
        <f>_xll.EQNXTDZ($A$1,$B6,BB$1,$B$1)</f>
        <v>6985.7979999999998</v>
      </c>
      <c r="BC6">
        <f>_xll.EQNXTDZ($A$1,$B6,BC$1,$B$1)</f>
        <v>5905.9759999999997</v>
      </c>
      <c r="BD6">
        <f>_xll.EQNXTDZ($A$1,$B6,BD$1,$B$1)</f>
        <v>6477.2110000000002</v>
      </c>
      <c r="BE6">
        <f>_xll.EQNXTDZ($A$1,$B6,BE$1,$B$1)</f>
        <v>7636.1279999999997</v>
      </c>
      <c r="BF6">
        <f>_xll.EQNXTDZ($A$1,$B6,BF$1,$B$1)</f>
        <v>8864.4770000000008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2110.2460000000001</v>
      </c>
      <c r="AA9">
        <f>_xll.EQNXTDZ($A$1,$B9,AA$1,$B$1)</f>
        <v>1682.646</v>
      </c>
      <c r="AB9">
        <f>_xll.EQNXTDZ($A$1,$B9,AB$1,$B$1)</f>
        <v>1811.855</v>
      </c>
      <c r="AC9">
        <f>_xll.EQNXTDZ($A$1,$B9,AC$1,$B$1)</f>
        <v>2024.838</v>
      </c>
      <c r="AD9">
        <f>_xll.EQNXTDZ($A$1,$B9,AD$1,$B$1)</f>
        <v>2463.643</v>
      </c>
      <c r="AE9">
        <f>_xll.EQNXTDZ($A$1,$B9,AE$1,$B$1)</f>
        <v>1951.3240000000001</v>
      </c>
      <c r="AF9">
        <f>_xll.EQNXTDZ($A$1,$B9,AF$1,$B$1)</f>
        <v>2241.9430000000002</v>
      </c>
      <c r="AG9">
        <f>_xll.EQNXTDZ($A$1,$B9,AG$1,$B$1)</f>
        <v>2507.3069999999998</v>
      </c>
      <c r="AH9">
        <f>_xll.EQNXTDZ($A$1,$B9,AH$1,$B$1)</f>
        <v>2129.3809999999999</v>
      </c>
      <c r="AI9">
        <f>_xll.EQNXTDZ($A$1,$B9,AI$1,$B$1)</f>
        <v>976.59500000000003</v>
      </c>
      <c r="AJ9">
        <f>_xll.EQNXTDZ($A$1,$B9,AJ$1,$B$1)</f>
        <v>2113.6819999999998</v>
      </c>
      <c r="AK9">
        <f>_xll.EQNXTDZ($A$1,$B9,AK$1,$B$1)</f>
        <v>2746.34</v>
      </c>
      <c r="AL9">
        <f>_xll.EQNXTDZ($A$1,$B9,AL$1,$B$1)</f>
        <v>2942.741</v>
      </c>
      <c r="AM9">
        <f>_xll.EQNXTDZ($A$1,$B9,AM$1,$B$1)</f>
        <v>1855.2280000000001</v>
      </c>
      <c r="AN9">
        <f>_xll.EQNXTDZ($A$1,$B9,AN$1,$B$1)</f>
        <v>3006.5549999999998</v>
      </c>
      <c r="AO9">
        <f>_xll.EQNXTDZ($A$1,$B9,AO$1,$B$1)</f>
        <v>3371.9960000000001</v>
      </c>
      <c r="AP9">
        <f>_xll.EQNXTDZ($A$1,$B9,AP$1,$B$1)</f>
        <v>3969.982</v>
      </c>
      <c r="AQ9">
        <f>_xll.EQNXTDZ($A$1,$B9,AQ$1,$B$1)</f>
        <v>2736.5569999999998</v>
      </c>
      <c r="AR9">
        <f>_xll.EQNXTDZ($A$1,$B9,AR$1,$B$1)</f>
        <v>3332.3580000000002</v>
      </c>
      <c r="AS9">
        <f>_xll.EQNXTDZ($A$1,$B9,AS$1,$B$1)</f>
        <v>3715.1819999999998</v>
      </c>
      <c r="AT9">
        <f>_xll.EQNXTDZ($A$1,$B9,AT$1,$B$1)</f>
        <v>4323.6809999999996</v>
      </c>
      <c r="AU9">
        <f>_xll.EQNXTDZ($A$1,$B9,AU$1,$B$1)</f>
        <v>3889.3820000000001</v>
      </c>
      <c r="AV9">
        <f>_xll.EQNXTDZ($A$1,$B9,AV$1,$B$1)</f>
        <v>4217.6970000000001</v>
      </c>
      <c r="AW9">
        <f>_xll.EQNXTDZ($A$1,$B9,AW$1,$B$1)</f>
        <v>4340.47</v>
      </c>
      <c r="AX9">
        <f>_xll.EQNXTDZ($A$1,$B9,AX$1,$B$1)</f>
        <v>5591.8950000000004</v>
      </c>
      <c r="AY9">
        <f>_xll.EQNXTDZ($A$1,$B9,AY$1,$B$1)</f>
        <v>4698.03</v>
      </c>
      <c r="AZ9">
        <f>_xll.EQNXTDZ($A$1,$B9,AZ$1,$B$1)</f>
        <v>5498.4229999999998</v>
      </c>
      <c r="BA9">
        <f>_xll.EQNXTDZ($A$1,$B9,BA$1,$B$1)</f>
        <v>5226.0619999999999</v>
      </c>
      <c r="BB9">
        <f>_xll.EQNXTDZ($A$1,$B9,BB$1,$B$1)</f>
        <v>6985.7979999999998</v>
      </c>
      <c r="BC9">
        <f>_xll.EQNXTDZ($A$1,$B9,BC$1,$B$1)</f>
        <v>5905.9759999999997</v>
      </c>
      <c r="BD9">
        <f>_xll.EQNXTDZ($A$1,$B9,BD$1,$B$1)</f>
        <v>6477.2110000000002</v>
      </c>
      <c r="BE9">
        <f>_xll.EQNXTDZ($A$1,$B9,BE$1,$B$1)</f>
        <v>7636.1279999999997</v>
      </c>
      <c r="BF9">
        <f>_xll.EQNXTDZ($A$1,$B9,BF$1,$B$1)</f>
        <v>8864.4770000000008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120.33</v>
      </c>
      <c r="AA10">
        <f>_xll.EQNXTDZ($A$1,$B10,AA$1,$B$1)</f>
        <v>-65.346999999999994</v>
      </c>
      <c r="AB10">
        <f>_xll.EQNXTDZ($A$1,$B10,AB$1,$B$1)</f>
        <v>12.298999999999999</v>
      </c>
      <c r="AC10">
        <f>_xll.EQNXTDZ($A$1,$B10,AC$1,$B$1)</f>
        <v>-246.667</v>
      </c>
      <c r="AD10">
        <f>_xll.EQNXTDZ($A$1,$B10,AD$1,$B$1)</f>
        <v>192.017</v>
      </c>
      <c r="AE10">
        <f>_xll.EQNXTDZ($A$1,$B10,AE$1,$B$1)</f>
        <v>-72.454999999999998</v>
      </c>
      <c r="AF10">
        <f>_xll.EQNXTDZ($A$1,$B10,AF$1,$B$1)</f>
        <v>-130.95699999999999</v>
      </c>
      <c r="AG10">
        <f>_xll.EQNXTDZ($A$1,$B10,AG$1,$B$1)</f>
        <v>14.712</v>
      </c>
      <c r="AH10">
        <f>_xll.EQNXTDZ($A$1,$B10,AH$1,$B$1)</f>
        <v>-48.448</v>
      </c>
      <c r="AI10">
        <f>_xll.EQNXTDZ($A$1,$B10,AI$1,$B$1)</f>
        <v>126.218</v>
      </c>
      <c r="AJ10">
        <f>_xll.EQNXTDZ($A$1,$B10,AJ$1,$B$1)</f>
        <v>-34.389000000000003</v>
      </c>
      <c r="AK10">
        <f>_xll.EQNXTDZ($A$1,$B10,AK$1,$B$1)</f>
        <v>-6.8440000000000003</v>
      </c>
      <c r="AL10">
        <f>_xll.EQNXTDZ($A$1,$B10,AL$1,$B$1)</f>
        <v>-39.280999999999999</v>
      </c>
      <c r="AM10">
        <f>_xll.EQNXTDZ($A$1,$B10,AM$1,$B$1)</f>
        <v>-422.721</v>
      </c>
      <c r="AN10">
        <f>_xll.EQNXTDZ($A$1,$B10,AN$1,$B$1)</f>
        <v>63.841999999999999</v>
      </c>
      <c r="AO10">
        <f>_xll.EQNXTDZ($A$1,$B10,AO$1,$B$1)</f>
        <v>-203.691</v>
      </c>
      <c r="AP10">
        <f>_xll.EQNXTDZ($A$1,$B10,AP$1,$B$1)</f>
        <v>69.819000000000003</v>
      </c>
      <c r="AQ10">
        <f>_xll.EQNXTDZ($A$1,$B10,AQ$1,$B$1)</f>
        <v>-214.04300000000001</v>
      </c>
      <c r="AR10">
        <f>_xll.EQNXTDZ($A$1,$B10,AR$1,$B$1)</f>
        <v>131.739</v>
      </c>
      <c r="AS10">
        <f>_xll.EQNXTDZ($A$1,$B10,AS$1,$B$1)</f>
        <v>3.016</v>
      </c>
      <c r="AT10">
        <f>_xll.EQNXTDZ($A$1,$B10,AT$1,$B$1)</f>
        <v>113.964</v>
      </c>
      <c r="AU10">
        <f>_xll.EQNXTDZ($A$1,$B10,AU$1,$B$1)</f>
        <v>-153.83699999999999</v>
      </c>
      <c r="AV10">
        <f>_xll.EQNXTDZ($A$1,$B10,AV$1,$B$1)</f>
        <v>-363.45499999999998</v>
      </c>
      <c r="AW10">
        <f>_xll.EQNXTDZ($A$1,$B10,AW$1,$B$1)</f>
        <v>-120.15</v>
      </c>
      <c r="AX10">
        <f>_xll.EQNXTDZ($A$1,$B10,AX$1,$B$1)</f>
        <v>215.93299999999999</v>
      </c>
      <c r="AY10">
        <f>_xll.EQNXTDZ($A$1,$B10,AY$1,$B$1)</f>
        <v>-831.06899999999996</v>
      </c>
      <c r="AZ10">
        <f>_xll.EQNXTDZ($A$1,$B10,AZ$1,$B$1)</f>
        <v>437.32299999999998</v>
      </c>
      <c r="BA10">
        <f>_xll.EQNXTDZ($A$1,$B10,BA$1,$B$1)</f>
        <v>-353.68</v>
      </c>
      <c r="BB10">
        <f>_xll.EQNXTDZ($A$1,$B10,BB$1,$B$1)</f>
        <v>295.56200000000001</v>
      </c>
      <c r="BC10">
        <f>_xll.EQNXTDZ($A$1,$B10,BC$1,$B$1)</f>
        <v>-168.56299999999999</v>
      </c>
      <c r="BD10">
        <f>_xll.EQNXTDZ($A$1,$B10,BD$1,$B$1)</f>
        <v>-491.99400000000003</v>
      </c>
      <c r="BE10">
        <f>_xll.EQNXTDZ($A$1,$B10,BE$1,$B$1)</f>
        <v>-234.30199999999999</v>
      </c>
      <c r="BF10">
        <f>_xll.EQNXTDZ($A$1,$B10,BF$1,$B$1)</f>
        <v>134.697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1264.721</v>
      </c>
      <c r="AA11">
        <f>_xll.EQNXTDZ($A$1,$B11,AA$1,$B$1)</f>
        <v>1231.0340000000001</v>
      </c>
      <c r="AB11">
        <f>_xll.EQNXTDZ($A$1,$B11,AB$1,$B$1)</f>
        <v>1193.4680000000001</v>
      </c>
      <c r="AC11">
        <f>_xll.EQNXTDZ($A$1,$B11,AC$1,$B$1)</f>
        <v>1577.953</v>
      </c>
      <c r="AD11">
        <f>_xll.EQNXTDZ($A$1,$B11,AD$1,$B$1)</f>
        <v>1479.864</v>
      </c>
      <c r="AE11">
        <f>_xll.EQNXTDZ($A$1,$B11,AE$1,$B$1)</f>
        <v>1321.3710000000001</v>
      </c>
      <c r="AF11">
        <f>_xll.EQNXTDZ($A$1,$B11,AF$1,$B$1)</f>
        <v>1567.2719999999999</v>
      </c>
      <c r="AG11">
        <f>_xll.EQNXTDZ($A$1,$B11,AG$1,$B$1)</f>
        <v>1618.5229999999999</v>
      </c>
      <c r="AH11">
        <f>_xll.EQNXTDZ($A$1,$B11,AH$1,$B$1)</f>
        <v>1356.54</v>
      </c>
      <c r="AI11">
        <f>_xll.EQNXTDZ($A$1,$B11,AI$1,$B$1)</f>
        <v>512.95500000000004</v>
      </c>
      <c r="AJ11">
        <f>_xll.EQNXTDZ($A$1,$B11,AJ$1,$B$1)</f>
        <v>1347.508</v>
      </c>
      <c r="AK11">
        <f>_xll.EQNXTDZ($A$1,$B11,AK$1,$B$1)</f>
        <v>1839.549</v>
      </c>
      <c r="AL11">
        <f>_xll.EQNXTDZ($A$1,$B11,AL$1,$B$1)</f>
        <v>2003.971</v>
      </c>
      <c r="AM11">
        <f>_xll.EQNXTDZ($A$1,$B11,AM$1,$B$1)</f>
        <v>1691.66</v>
      </c>
      <c r="AN11">
        <f>_xll.EQNXTDZ($A$1,$B11,AN$1,$B$1)</f>
        <v>2104.85</v>
      </c>
      <c r="AO11">
        <f>_xll.EQNXTDZ($A$1,$B11,AO$1,$B$1)</f>
        <v>2549.3359999999998</v>
      </c>
      <c r="AP11">
        <f>_xll.EQNXTDZ($A$1,$B11,AP$1,$B$1)</f>
        <v>2858.4070000000002</v>
      </c>
      <c r="AQ11">
        <f>_xll.EQNXTDZ($A$1,$B11,AQ$1,$B$1)</f>
        <v>2087.444</v>
      </c>
      <c r="AR11">
        <f>_xll.EQNXTDZ($A$1,$B11,AR$1,$B$1)</f>
        <v>2156.8939999999998</v>
      </c>
      <c r="AS11">
        <f>_xll.EQNXTDZ($A$1,$B11,AS$1,$B$1)</f>
        <v>2613.8620000000001</v>
      </c>
      <c r="AT11">
        <f>_xll.EQNXTDZ($A$1,$B11,AT$1,$B$1)</f>
        <v>2912.9549999999999</v>
      </c>
      <c r="AU11">
        <f>_xll.EQNXTDZ($A$1,$B11,AU$1,$B$1)</f>
        <v>2822.2350000000001</v>
      </c>
      <c r="AV11">
        <f>_xll.EQNXTDZ($A$1,$B11,AV$1,$B$1)</f>
        <v>3252.7710000000002</v>
      </c>
      <c r="AW11">
        <f>_xll.EQNXTDZ($A$1,$B11,AW$1,$B$1)</f>
        <v>3051.056</v>
      </c>
      <c r="AX11">
        <f>_xll.EQNXTDZ($A$1,$B11,AX$1,$B$1)</f>
        <v>3535.5340000000001</v>
      </c>
      <c r="AY11">
        <f>_xll.EQNXTDZ($A$1,$B11,AY$1,$B$1)</f>
        <v>3918.1950000000002</v>
      </c>
      <c r="AZ11">
        <f>_xll.EQNXTDZ($A$1,$B11,AZ$1,$B$1)</f>
        <v>3305.33</v>
      </c>
      <c r="BA11">
        <f>_xll.EQNXTDZ($A$1,$B11,BA$1,$B$1)</f>
        <v>3795.0770000000002</v>
      </c>
      <c r="BB11">
        <f>_xll.EQNXTDZ($A$1,$B11,BB$1,$B$1)</f>
        <v>4398.7709999999997</v>
      </c>
      <c r="BC11">
        <f>_xll.EQNXTDZ($A$1,$B11,BC$1,$B$1)</f>
        <v>4185.3119999999999</v>
      </c>
      <c r="BD11">
        <f>_xll.EQNXTDZ($A$1,$B11,BD$1,$B$1)</f>
        <v>4813.1530000000002</v>
      </c>
      <c r="BE11">
        <f>_xll.EQNXTDZ($A$1,$B11,BE$1,$B$1)</f>
        <v>5655.1390000000001</v>
      </c>
      <c r="BF11">
        <f>_xll.EQNXTDZ($A$1,$B11,BF$1,$B$1)</f>
        <v>5962.0630000000001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109.288</v>
      </c>
      <c r="AA12">
        <f>_xll.EQNXTDZ($A$1,$B12,AA$1,$B$1)</f>
        <v>65.278999999999996</v>
      </c>
      <c r="AB12">
        <f>_xll.EQNXTDZ($A$1,$B12,AB$1,$B$1)</f>
        <v>94.438999999999993</v>
      </c>
      <c r="AC12">
        <f>_xll.EQNXTDZ($A$1,$B12,AC$1,$B$1)</f>
        <v>75.878</v>
      </c>
      <c r="AD12">
        <f>_xll.EQNXTDZ($A$1,$B12,AD$1,$B$1)</f>
        <v>101.44499999999999</v>
      </c>
      <c r="AE12">
        <f>_xll.EQNXTDZ($A$1,$B12,AE$1,$B$1)</f>
        <v>101.746</v>
      </c>
      <c r="AF12">
        <f>_xll.EQNXTDZ($A$1,$B12,AF$1,$B$1)</f>
        <v>119.139</v>
      </c>
      <c r="AG12">
        <f>_xll.EQNXTDZ($A$1,$B12,AG$1,$B$1)</f>
        <v>110.839</v>
      </c>
      <c r="AH12">
        <f>_xll.EQNXTDZ($A$1,$B12,AH$1,$B$1)</f>
        <v>92.888000000000005</v>
      </c>
      <c r="AI12">
        <f>_xll.EQNXTDZ($A$1,$B12,AI$1,$B$1)</f>
        <v>42.456000000000003</v>
      </c>
      <c r="AJ12">
        <f>_xll.EQNXTDZ($A$1,$B12,AJ$1,$B$1)</f>
        <v>176.423</v>
      </c>
      <c r="AK12">
        <f>_xll.EQNXTDZ($A$1,$B12,AK$1,$B$1)</f>
        <v>235.62</v>
      </c>
      <c r="AL12">
        <f>_xll.EQNXTDZ($A$1,$B12,AL$1,$B$1)</f>
        <v>183.666</v>
      </c>
      <c r="AM12">
        <f>_xll.EQNXTDZ($A$1,$B12,AM$1,$B$1)</f>
        <v>126.199</v>
      </c>
      <c r="AN12">
        <f>_xll.EQNXTDZ($A$1,$B12,AN$1,$B$1)</f>
        <v>146.70400000000001</v>
      </c>
      <c r="AO12">
        <f>_xll.EQNXTDZ($A$1,$B12,AO$1,$B$1)</f>
        <v>239.49</v>
      </c>
      <c r="AP12">
        <f>_xll.EQNXTDZ($A$1,$B12,AP$1,$B$1)</f>
        <v>130.309</v>
      </c>
      <c r="AQ12">
        <f>_xll.EQNXTDZ($A$1,$B12,AQ$1,$B$1)</f>
        <v>151.78700000000001</v>
      </c>
      <c r="AR12">
        <f>_xll.EQNXTDZ($A$1,$B12,AR$1,$B$1)</f>
        <v>148.83099999999999</v>
      </c>
      <c r="AS12">
        <f>_xll.EQNXTDZ($A$1,$B12,AS$1,$B$1)</f>
        <v>100.413</v>
      </c>
      <c r="AT12">
        <f>_xll.EQNXTDZ($A$1,$B12,AT$1,$B$1)</f>
        <v>168.881</v>
      </c>
      <c r="AU12">
        <f>_xll.EQNXTDZ($A$1,$B12,AU$1,$B$1)</f>
        <v>160.78200000000001</v>
      </c>
      <c r="AV12">
        <f>_xll.EQNXTDZ($A$1,$B12,AV$1,$B$1)</f>
        <v>144.59100000000001</v>
      </c>
      <c r="AW12">
        <f>_xll.EQNXTDZ($A$1,$B12,AW$1,$B$1)</f>
        <v>126.895</v>
      </c>
      <c r="AX12">
        <f>_xll.EQNXTDZ($A$1,$B12,AX$1,$B$1)</f>
        <v>133.59899999999999</v>
      </c>
      <c r="AY12">
        <f>_xll.EQNXTDZ($A$1,$B12,AY$1,$B$1)</f>
        <v>169.738</v>
      </c>
      <c r="AZ12">
        <f>_xll.EQNXTDZ($A$1,$B12,AZ$1,$B$1)</f>
        <v>152.61000000000001</v>
      </c>
      <c r="BA12">
        <f>_xll.EQNXTDZ($A$1,$B12,BA$1,$B$1)</f>
        <v>166.02799999999999</v>
      </c>
      <c r="BB12">
        <f>_xll.EQNXTDZ($A$1,$B12,BB$1,$B$1)</f>
        <v>119.261</v>
      </c>
      <c r="BC12">
        <f>_xll.EQNXTDZ($A$1,$B12,BC$1,$B$1)</f>
        <v>125.526</v>
      </c>
      <c r="BD12">
        <f>_xll.EQNXTDZ($A$1,$B12,BD$1,$B$1)</f>
        <v>139.47499999999999</v>
      </c>
      <c r="BE12">
        <f>_xll.EQNXTDZ($A$1,$B12,BE$1,$B$1)</f>
        <v>107.268</v>
      </c>
      <c r="BF12">
        <f>_xll.EQNXTDZ($A$1,$B12,BF$1,$B$1)</f>
        <v>359.185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201.72399999999999</v>
      </c>
      <c r="AA14">
        <f>_xll.EQNXTDZ($A$1,$B14,AA$1,$B$1)</f>
        <v>207.66800000000001</v>
      </c>
      <c r="AB14">
        <f>_xll.EQNXTDZ($A$1,$B14,AB$1,$B$1)</f>
        <v>181.88300000000001</v>
      </c>
      <c r="AC14">
        <f>_xll.EQNXTDZ($A$1,$B14,AC$1,$B$1)</f>
        <v>161.602</v>
      </c>
      <c r="AD14">
        <f>_xll.EQNXTDZ($A$1,$B14,AD$1,$B$1)</f>
        <v>296.82100000000003</v>
      </c>
      <c r="AE14">
        <f>_xll.EQNXTDZ($A$1,$B14,AE$1,$B$1)</f>
        <v>203.17</v>
      </c>
      <c r="AF14">
        <f>_xll.EQNXTDZ($A$1,$B14,AF$1,$B$1)</f>
        <v>264.47399999999999</v>
      </c>
      <c r="AG14">
        <f>_xll.EQNXTDZ($A$1,$B14,AG$1,$B$1)</f>
        <v>242.464</v>
      </c>
      <c r="AH14">
        <f>_xll.EQNXTDZ($A$1,$B14,AH$1,$B$1)</f>
        <v>269.553</v>
      </c>
      <c r="AI14">
        <f>_xll.EQNXTDZ($A$1,$B14,AI$1,$B$1)</f>
        <v>126.596</v>
      </c>
      <c r="AJ14">
        <f>_xll.EQNXTDZ($A$1,$B14,AJ$1,$B$1)</f>
        <v>161.36099999999999</v>
      </c>
      <c r="AK14">
        <f>_xll.EQNXTDZ($A$1,$B14,AK$1,$B$1)</f>
        <v>150.73599999999999</v>
      </c>
      <c r="AL14">
        <f>_xll.EQNXTDZ($A$1,$B14,AL$1,$B$1)</f>
        <v>208.06100000000001</v>
      </c>
      <c r="AM14">
        <f>_xll.EQNXTDZ($A$1,$B14,AM$1,$B$1)</f>
        <v>184.13499999999999</v>
      </c>
      <c r="AN14">
        <f>_xll.EQNXTDZ($A$1,$B14,AN$1,$B$1)</f>
        <v>209.857</v>
      </c>
      <c r="AO14">
        <f>_xll.EQNXTDZ($A$1,$B14,AO$1,$B$1)</f>
        <v>193.13499999999999</v>
      </c>
      <c r="AP14">
        <f>_xll.EQNXTDZ($A$1,$B14,AP$1,$B$1)</f>
        <v>234.34800000000001</v>
      </c>
      <c r="AQ14">
        <f>_xll.EQNXTDZ($A$1,$B14,AQ$1,$B$1)</f>
        <v>215.27500000000001</v>
      </c>
      <c r="AR14">
        <f>_xll.EQNXTDZ($A$1,$B14,AR$1,$B$1)</f>
        <v>246.279</v>
      </c>
      <c r="AS14">
        <f>_xll.EQNXTDZ($A$1,$B14,AS$1,$B$1)</f>
        <v>235.33699999999999</v>
      </c>
      <c r="AT14">
        <f>_xll.EQNXTDZ($A$1,$B14,AT$1,$B$1)</f>
        <v>287.245</v>
      </c>
      <c r="AU14">
        <f>_xll.EQNXTDZ($A$1,$B14,AU$1,$B$1)</f>
        <v>271.03899999999999</v>
      </c>
      <c r="AV14">
        <f>_xll.EQNXTDZ($A$1,$B14,AV$1,$B$1)</f>
        <v>288.279</v>
      </c>
      <c r="AW14">
        <f>_xll.EQNXTDZ($A$1,$B14,AW$1,$B$1)</f>
        <v>385.85899999999998</v>
      </c>
      <c r="AX14">
        <f>_xll.EQNXTDZ($A$1,$B14,AX$1,$B$1)</f>
        <v>641.54600000000005</v>
      </c>
      <c r="AY14">
        <f>_xll.EQNXTDZ($A$1,$B14,AY$1,$B$1)</f>
        <v>601.56399999999996</v>
      </c>
      <c r="AZ14">
        <f>_xll.EQNXTDZ($A$1,$B14,AZ$1,$B$1)</f>
        <v>667.39300000000003</v>
      </c>
      <c r="BA14">
        <f>_xll.EQNXTDZ($A$1,$B14,BA$1,$B$1)</f>
        <v>570.48800000000006</v>
      </c>
      <c r="BB14">
        <f>_xll.EQNXTDZ($A$1,$B14,BB$1,$B$1)</f>
        <v>803.14800000000002</v>
      </c>
      <c r="BC14">
        <f>_xll.EQNXTDZ($A$1,$B14,BC$1,$B$1)</f>
        <v>574.13</v>
      </c>
      <c r="BD14">
        <f>_xll.EQNXTDZ($A$1,$B14,BD$1,$B$1)</f>
        <v>626.49099999999999</v>
      </c>
      <c r="BE14">
        <f>_xll.EQNXTDZ($A$1,$B14,BE$1,$B$1)</f>
        <v>688.68899999999996</v>
      </c>
      <c r="BF14">
        <f>_xll.EQNXTDZ($A$1,$B14,BF$1,$B$1)</f>
        <v>868.14700000000005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68.775000000000006</v>
      </c>
      <c r="AA16">
        <f>_xll.EQNXTDZ($A$1,$B16,AA$1,$B$1)</f>
        <v>71.183999999999997</v>
      </c>
      <c r="AB16">
        <f>_xll.EQNXTDZ($A$1,$B16,AB$1,$B$1)</f>
        <v>78.078999999999994</v>
      </c>
      <c r="AC16">
        <f>_xll.EQNXTDZ($A$1,$B16,AC$1,$B$1)</f>
        <v>86.569000000000003</v>
      </c>
      <c r="AD16">
        <f>_xll.EQNXTDZ($A$1,$B16,AD$1,$B$1)</f>
        <v>64.415999999999997</v>
      </c>
      <c r="AE16">
        <f>_xll.EQNXTDZ($A$1,$B16,AE$1,$B$1)</f>
        <v>92.007000000000005</v>
      </c>
      <c r="AF16">
        <f>_xll.EQNXTDZ($A$1,$B16,AF$1,$B$1)</f>
        <v>92.399000000000001</v>
      </c>
      <c r="AG16">
        <f>_xll.EQNXTDZ($A$1,$B16,AG$1,$B$1)</f>
        <v>91.480999999999995</v>
      </c>
      <c r="AH16">
        <f>_xll.EQNXTDZ($A$1,$B16,AH$1,$B$1)</f>
        <v>89.858999999999995</v>
      </c>
      <c r="AI16">
        <f>_xll.EQNXTDZ($A$1,$B16,AI$1,$B$1)</f>
        <v>81.248000000000005</v>
      </c>
      <c r="AJ16">
        <f>_xll.EQNXTDZ($A$1,$B16,AJ$1,$B$1)</f>
        <v>89.715999999999994</v>
      </c>
      <c r="AK16">
        <f>_xll.EQNXTDZ($A$1,$B16,AK$1,$B$1)</f>
        <v>88.097999999999999</v>
      </c>
      <c r="AL16">
        <f>_xll.EQNXTDZ($A$1,$B16,AL$1,$B$1)</f>
        <v>97.599000000000004</v>
      </c>
      <c r="AM16">
        <f>_xll.EQNXTDZ($A$1,$B16,AM$1,$B$1)</f>
        <v>93.893000000000001</v>
      </c>
      <c r="AN16">
        <f>_xll.EQNXTDZ($A$1,$B16,AN$1,$B$1)</f>
        <v>105.15900000000001</v>
      </c>
      <c r="AO16">
        <f>_xll.EQNXTDZ($A$1,$B16,AO$1,$B$1)</f>
        <v>102.547</v>
      </c>
      <c r="AP16">
        <f>_xll.EQNXTDZ($A$1,$B16,AP$1,$B$1)</f>
        <v>105.029</v>
      </c>
      <c r="AQ16">
        <f>_xll.EQNXTDZ($A$1,$B16,AQ$1,$B$1)</f>
        <v>110.092</v>
      </c>
      <c r="AR16">
        <f>_xll.EQNXTDZ($A$1,$B16,AR$1,$B$1)</f>
        <v>114.79600000000001</v>
      </c>
      <c r="AS16">
        <f>_xll.EQNXTDZ($A$1,$B16,AS$1,$B$1)</f>
        <v>113.229</v>
      </c>
      <c r="AT16">
        <f>_xll.EQNXTDZ($A$1,$B16,AT$1,$B$1)</f>
        <v>118.655</v>
      </c>
      <c r="AU16">
        <f>_xll.EQNXTDZ($A$1,$B16,AU$1,$B$1)</f>
        <v>134.934</v>
      </c>
      <c r="AV16">
        <f>_xll.EQNXTDZ($A$1,$B16,AV$1,$B$1)</f>
        <v>155.67099999999999</v>
      </c>
      <c r="AW16">
        <f>_xll.EQNXTDZ($A$1,$B16,AW$1,$B$1)</f>
        <v>149.35900000000001</v>
      </c>
      <c r="AX16">
        <f>_xll.EQNXTDZ($A$1,$B16,AX$1,$B$1)</f>
        <v>169.578</v>
      </c>
      <c r="AY16">
        <f>_xll.EQNXTDZ($A$1,$B16,AY$1,$B$1)</f>
        <v>153.899</v>
      </c>
      <c r="AZ16">
        <f>_xll.EQNXTDZ($A$1,$B16,AZ$1,$B$1)</f>
        <v>180.29300000000001</v>
      </c>
      <c r="BA16">
        <f>_xll.EQNXTDZ($A$1,$B16,BA$1,$B$1)</f>
        <v>198.893</v>
      </c>
      <c r="BB16">
        <f>_xll.EQNXTDZ($A$1,$B16,BB$1,$B$1)</f>
        <v>203.64099999999999</v>
      </c>
      <c r="BC16">
        <f>_xll.EQNXTDZ($A$1,$B16,BC$1,$B$1)</f>
        <v>218.899</v>
      </c>
      <c r="BD16">
        <f>_xll.EQNXTDZ($A$1,$B16,BD$1,$B$1)</f>
        <v>230.459</v>
      </c>
      <c r="BE16">
        <f>_xll.EQNXTDZ($A$1,$B16,BE$1,$B$1)</f>
        <v>236.964</v>
      </c>
      <c r="BF16">
        <f>_xll.EQNXTDZ($A$1,$B16,BF$1,$B$1)</f>
        <v>193.102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35.252000000000002</v>
      </c>
      <c r="AC18">
        <f>_xll.EQNXTDZ($A$1,$B18,AC$1,$B$1)</f>
        <v>52.088999999999999</v>
      </c>
      <c r="AD18">
        <f>_xll.EQNXTDZ($A$1,$B18,AD$1,$B$1)</f>
        <v>85.566000000000003</v>
      </c>
      <c r="AE18">
        <f>_xll.EQNXTDZ($A$1,$B18,AE$1,$B$1)</f>
        <v>81.856999999999999</v>
      </c>
      <c r="AF18">
        <f>_xll.EQNXTDZ($A$1,$B18,AF$1,$B$1)</f>
        <v>57.902000000000001</v>
      </c>
      <c r="AG18">
        <f>_xll.EQNXTDZ($A$1,$B18,AG$1,$B$1)</f>
        <v>90.176000000000002</v>
      </c>
      <c r="AH18">
        <f>_xll.EQNXTDZ($A$1,$B18,AH$1,$B$1)</f>
        <v>68.417000000000002</v>
      </c>
      <c r="AI18">
        <f>_xll.EQNXTDZ($A$1,$B18,AI$1,$B$1)</f>
        <v>29.645</v>
      </c>
      <c r="AJ18">
        <f>_xll.EQNXTDZ($A$1,$B18,AJ$1,$B$1)</f>
        <v>60.587000000000003</v>
      </c>
      <c r="AK18">
        <f>_xll.EQNXTDZ($A$1,$B18,AK$1,$B$1)</f>
        <v>89.265000000000001</v>
      </c>
      <c r="AL18">
        <f>_xll.EQNXTDZ($A$1,$B18,AL$1,$B$1)</f>
        <v>84.676000000000002</v>
      </c>
      <c r="AM18">
        <f>_xll.EQNXTDZ($A$1,$B18,AM$1,$B$1)</f>
        <v>47.86</v>
      </c>
      <c r="AN18">
        <f>_xll.EQNXTDZ($A$1,$B18,AN$1,$B$1)</f>
        <v>83.182000000000002</v>
      </c>
      <c r="AO18">
        <f>_xll.EQNXTDZ($A$1,$B18,AO$1,$B$1)</f>
        <v>129.48500000000001</v>
      </c>
      <c r="AP18">
        <f>_xll.EQNXTDZ($A$1,$B18,AP$1,$B$1)</f>
        <v>95.728999999999999</v>
      </c>
      <c r="AQ18">
        <f>_xll.EQNXTDZ($A$1,$B18,AQ$1,$B$1)</f>
        <v>74.91</v>
      </c>
      <c r="AR18">
        <f>_xll.EQNXTDZ($A$1,$B18,AR$1,$B$1)</f>
        <v>106.175</v>
      </c>
      <c r="AS18">
        <f>_xll.EQNXTDZ($A$1,$B18,AS$1,$B$1)</f>
        <v>145.48599999999999</v>
      </c>
      <c r="AT18">
        <f>_xll.EQNXTDZ($A$1,$B18,AT$1,$B$1)</f>
        <v>112.44199999999999</v>
      </c>
      <c r="AU18">
        <f>_xll.EQNXTDZ($A$1,$B18,AU$1,$B$1)</f>
        <v>105.669</v>
      </c>
      <c r="AV18">
        <f>_xll.EQNXTDZ($A$1,$B18,AV$1,$B$1)</f>
        <v>130.922</v>
      </c>
      <c r="AW18">
        <f>_xll.EQNXTDZ($A$1,$B18,AW$1,$B$1)</f>
        <v>177.94</v>
      </c>
      <c r="AX18">
        <f>_xll.EQNXTDZ($A$1,$B18,AX$1,$B$1)</f>
        <v>134.15899999999999</v>
      </c>
      <c r="AY18">
        <f>_xll.EQNXTDZ($A$1,$B18,AY$1,$B$1)</f>
        <v>102.316</v>
      </c>
      <c r="AZ18">
        <f>_xll.EQNXTDZ($A$1,$B18,AZ$1,$B$1)</f>
        <v>123.92</v>
      </c>
      <c r="BA18">
        <f>_xll.EQNXTDZ($A$1,$B18,BA$1,$B$1)</f>
        <v>129.345</v>
      </c>
      <c r="BB18">
        <f>_xll.EQNXTDZ($A$1,$B18,BB$1,$B$1)</f>
        <v>140.02699999999999</v>
      </c>
      <c r="BC18">
        <f>_xll.EQNXTDZ($A$1,$B18,BC$1,$B$1)</f>
        <v>113.071</v>
      </c>
      <c r="BD18">
        <f>_xll.EQNXTDZ($A$1,$B18,BD$1,$B$1)</f>
        <v>138.87799999999999</v>
      </c>
      <c r="BE18">
        <f>_xll.EQNXTDZ($A$1,$B18,BE$1,$B$1)</f>
        <v>216.298</v>
      </c>
      <c r="BF18">
        <f>_xll.EQNXTDZ($A$1,$B18,BF$1,$B$1)</f>
        <v>185.977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345.40800000000002</v>
      </c>
      <c r="AA22">
        <f>_xll.EQNXTDZ($A$1,$B22,AA$1,$B$1)</f>
        <v>172.828</v>
      </c>
      <c r="AB22">
        <f>_xll.EQNXTDZ($A$1,$B22,AB$1,$B$1)</f>
        <v>216.435</v>
      </c>
      <c r="AC22">
        <f>_xll.EQNXTDZ($A$1,$B22,AC$1,$B$1)</f>
        <v>317.41399999999999</v>
      </c>
      <c r="AD22">
        <f>_xll.EQNXTDZ($A$1,$B22,AD$1,$B$1)</f>
        <v>243.51400000000001</v>
      </c>
      <c r="AE22">
        <f>_xll.EQNXTDZ($A$1,$B22,AE$1,$B$1)</f>
        <v>223.62799999999999</v>
      </c>
      <c r="AF22">
        <f>_xll.EQNXTDZ($A$1,$B22,AF$1,$B$1)</f>
        <v>271.714</v>
      </c>
      <c r="AG22">
        <f>_xll.EQNXTDZ($A$1,$B22,AG$1,$B$1)</f>
        <v>339.11200000000002</v>
      </c>
      <c r="AH22">
        <f>_xll.EQNXTDZ($A$1,$B22,AH$1,$B$1)</f>
        <v>300.572</v>
      </c>
      <c r="AI22">
        <f>_xll.EQNXTDZ($A$1,$B22,AI$1,$B$1)</f>
        <v>57.476999999999997</v>
      </c>
      <c r="AJ22">
        <f>_xll.EQNXTDZ($A$1,$B22,AJ$1,$B$1)</f>
        <v>312.476</v>
      </c>
      <c r="AK22">
        <f>_xll.EQNXTDZ($A$1,$B22,AK$1,$B$1)</f>
        <v>349.916</v>
      </c>
      <c r="AL22">
        <f>_xll.EQNXTDZ($A$1,$B22,AL$1,$B$1)</f>
        <v>404.04899999999998</v>
      </c>
      <c r="AM22">
        <f>_xll.EQNXTDZ($A$1,$B22,AM$1,$B$1)</f>
        <v>134.202</v>
      </c>
      <c r="AN22">
        <f>_xll.EQNXTDZ($A$1,$B22,AN$1,$B$1)</f>
        <v>292.96100000000001</v>
      </c>
      <c r="AO22">
        <f>_xll.EQNXTDZ($A$1,$B22,AO$1,$B$1)</f>
        <v>361.69400000000002</v>
      </c>
      <c r="AP22">
        <f>_xll.EQNXTDZ($A$1,$B22,AP$1,$B$1)</f>
        <v>476.34100000000001</v>
      </c>
      <c r="AQ22">
        <f>_xll.EQNXTDZ($A$1,$B22,AQ$1,$B$1)</f>
        <v>311.09199999999998</v>
      </c>
      <c r="AR22">
        <f>_xll.EQNXTDZ($A$1,$B22,AR$1,$B$1)</f>
        <v>427.64400000000001</v>
      </c>
      <c r="AS22">
        <f>_xll.EQNXTDZ($A$1,$B22,AS$1,$B$1)</f>
        <v>503.839</v>
      </c>
      <c r="AT22">
        <f>_xll.EQNXTDZ($A$1,$B22,AT$1,$B$1)</f>
        <v>609.53899999999999</v>
      </c>
      <c r="AU22">
        <f>_xll.EQNXTDZ($A$1,$B22,AU$1,$B$1)</f>
        <v>548.55999999999995</v>
      </c>
      <c r="AV22">
        <f>_xll.EQNXTDZ($A$1,$B22,AV$1,$B$1)</f>
        <v>608.91799999999898</v>
      </c>
      <c r="AW22">
        <f>_xll.EQNXTDZ($A$1,$B22,AW$1,$B$1)</f>
        <v>569.51099999999997</v>
      </c>
      <c r="AX22">
        <f>_xll.EQNXTDZ($A$1,$B22,AX$1,$B$1)</f>
        <v>761.54600000000096</v>
      </c>
      <c r="AY22">
        <f>_xll.EQNXTDZ($A$1,$B22,AY$1,$B$1)</f>
        <v>583.38700000000097</v>
      </c>
      <c r="AZ22">
        <f>_xll.EQNXTDZ($A$1,$B22,AZ$1,$B$1)</f>
        <v>631.554000000001</v>
      </c>
      <c r="BA22">
        <f>_xll.EQNXTDZ($A$1,$B22,BA$1,$B$1)</f>
        <v>719.91100000000199</v>
      </c>
      <c r="BB22">
        <f>_xll.EQNXTDZ($A$1,$B22,BB$1,$B$1)</f>
        <v>1025.3879999999999</v>
      </c>
      <c r="BC22">
        <f>_xll.EQNXTDZ($A$1,$B22,BC$1,$B$1)</f>
        <v>857.60099999999898</v>
      </c>
      <c r="BD22">
        <f>_xll.EQNXTDZ($A$1,$B22,BD$1,$B$1)</f>
        <v>1020.749</v>
      </c>
      <c r="BE22">
        <f>_xll.EQNXTDZ($A$1,$B22,BE$1,$B$1)</f>
        <v>966.072</v>
      </c>
      <c r="BF22">
        <f>_xll.EQNXTDZ($A$1,$B22,BF$1,$B$1)</f>
        <v>1161.306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18.204000000000001</v>
      </c>
      <c r="AA23">
        <f>_xll.EQNXTDZ($A$1,$B23,AA$1,$B$1)</f>
        <v>23.094999999999999</v>
      </c>
      <c r="AB23">
        <f>_xll.EQNXTDZ($A$1,$B23,AB$1,$B$1)</f>
        <v>-2.2639999999999998</v>
      </c>
      <c r="AC23">
        <f>_xll.EQNXTDZ($A$1,$B23,AC$1,$B$1)</f>
        <v>23.824000000000002</v>
      </c>
      <c r="AD23">
        <f>_xll.EQNXTDZ($A$1,$B23,AD$1,$B$1)</f>
        <v>21.695</v>
      </c>
      <c r="AE23">
        <f>_xll.EQNXTDZ($A$1,$B23,AE$1,$B$1)</f>
        <v>33.558999999999997</v>
      </c>
      <c r="AF23">
        <f>_xll.EQNXTDZ($A$1,$B23,AF$1,$B$1)</f>
        <v>12.43</v>
      </c>
      <c r="AG23">
        <f>_xll.EQNXTDZ($A$1,$B23,AG$1,$B$1)</f>
        <v>0.34599999999999997</v>
      </c>
      <c r="AH23">
        <f>_xll.EQNXTDZ($A$1,$B23,AH$1,$B$1)</f>
        <v>46.457000000000001</v>
      </c>
      <c r="AI23">
        <f>_xll.EQNXTDZ($A$1,$B23,AI$1,$B$1)</f>
        <v>33.628</v>
      </c>
      <c r="AJ23">
        <f>_xll.EQNXTDZ($A$1,$B23,AJ$1,$B$1)</f>
        <v>32.741</v>
      </c>
      <c r="AK23">
        <f>_xll.EQNXTDZ($A$1,$B23,AK$1,$B$1)</f>
        <v>32.503</v>
      </c>
      <c r="AL23">
        <f>_xll.EQNXTDZ($A$1,$B23,AL$1,$B$1)</f>
        <v>23.135000000000002</v>
      </c>
      <c r="AM23">
        <f>_xll.EQNXTDZ($A$1,$B23,AM$1,$B$1)</f>
        <v>23.968</v>
      </c>
      <c r="AN23">
        <f>_xll.EQNXTDZ($A$1,$B23,AN$1,$B$1)</f>
        <v>27.481999999999999</v>
      </c>
      <c r="AO23">
        <f>_xll.EQNXTDZ($A$1,$B23,AO$1,$B$1)</f>
        <v>21.649000000000001</v>
      </c>
      <c r="AP23">
        <f>_xll.EQNXTDZ($A$1,$B23,AP$1,$B$1)</f>
        <v>16.824000000000002</v>
      </c>
      <c r="AQ23">
        <f>_xll.EQNXTDZ($A$1,$B23,AQ$1,$B$1)</f>
        <v>44.347000000000001</v>
      </c>
      <c r="AR23">
        <f>_xll.EQNXTDZ($A$1,$B23,AR$1,$B$1)</f>
        <v>-2.2160000000000002</v>
      </c>
      <c r="AS23">
        <f>_xll.EQNXTDZ($A$1,$B23,AS$1,$B$1)</f>
        <v>39.68</v>
      </c>
      <c r="AT23">
        <f>_xll.EQNXTDZ($A$1,$B23,AT$1,$B$1)</f>
        <v>51.515000000000001</v>
      </c>
      <c r="AU23">
        <f>_xll.EQNXTDZ($A$1,$B23,AU$1,$B$1)</f>
        <v>63.997999999999998</v>
      </c>
      <c r="AV23">
        <f>_xll.EQNXTDZ($A$1,$B23,AV$1,$B$1)</f>
        <v>35.322000000000003</v>
      </c>
      <c r="AW23">
        <f>_xll.EQNXTDZ($A$1,$B23,AW$1,$B$1)</f>
        <v>70.986999999999995</v>
      </c>
      <c r="AX23">
        <f>_xll.EQNXTDZ($A$1,$B23,AX$1,$B$1)</f>
        <v>53.838000000000001</v>
      </c>
      <c r="AY23">
        <f>_xll.EQNXTDZ($A$1,$B23,AY$1,$B$1)</f>
        <v>58.405000000000001</v>
      </c>
      <c r="AZ23">
        <f>_xll.EQNXTDZ($A$1,$B23,AZ$1,$B$1)</f>
        <v>76.156000000000006</v>
      </c>
      <c r="BA23">
        <f>_xll.EQNXTDZ($A$1,$B23,BA$1,$B$1)</f>
        <v>25.004999999999999</v>
      </c>
      <c r="BB23">
        <f>_xll.EQNXTDZ($A$1,$B23,BB$1,$B$1)</f>
        <v>48.07</v>
      </c>
      <c r="BC23">
        <f>_xll.EQNXTDZ($A$1,$B23,BC$1,$B$1)</f>
        <v>79.944999999999993</v>
      </c>
      <c r="BD23">
        <f>_xll.EQNXTDZ($A$1,$B23,BD$1,$B$1)</f>
        <v>45.433</v>
      </c>
      <c r="BE23">
        <f>_xll.EQNXTDZ($A$1,$B23,BE$1,$B$1)</f>
        <v>50.456000000000003</v>
      </c>
      <c r="BF23">
        <f>_xll.EQNXTDZ($A$1,$B23,BF$1,$B$1)</f>
        <v>60.417999999999999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363.61200000000002</v>
      </c>
      <c r="AA24">
        <f>_xll.EQNXTDZ($A$1,$B24,AA$1,$B$1)</f>
        <v>195.923</v>
      </c>
      <c r="AB24">
        <f>_xll.EQNXTDZ($A$1,$B24,AB$1,$B$1)</f>
        <v>214.17099999999999</v>
      </c>
      <c r="AC24">
        <f>_xll.EQNXTDZ($A$1,$B24,AC$1,$B$1)</f>
        <v>341.238</v>
      </c>
      <c r="AD24">
        <f>_xll.EQNXTDZ($A$1,$B24,AD$1,$B$1)</f>
        <v>265.209</v>
      </c>
      <c r="AE24">
        <f>_xll.EQNXTDZ($A$1,$B24,AE$1,$B$1)</f>
        <v>257.18700000000001</v>
      </c>
      <c r="AF24">
        <f>_xll.EQNXTDZ($A$1,$B24,AF$1,$B$1)</f>
        <v>284.14400000000001</v>
      </c>
      <c r="AG24">
        <f>_xll.EQNXTDZ($A$1,$B24,AG$1,$B$1)</f>
        <v>339.45800000000003</v>
      </c>
      <c r="AH24">
        <f>_xll.EQNXTDZ($A$1,$B24,AH$1,$B$1)</f>
        <v>347.029</v>
      </c>
      <c r="AI24">
        <f>_xll.EQNXTDZ($A$1,$B24,AI$1,$B$1)</f>
        <v>91.104999999999905</v>
      </c>
      <c r="AJ24">
        <f>_xll.EQNXTDZ($A$1,$B24,AJ$1,$B$1)</f>
        <v>345.21699999999998</v>
      </c>
      <c r="AK24">
        <f>_xll.EQNXTDZ($A$1,$B24,AK$1,$B$1)</f>
        <v>382.41899999999998</v>
      </c>
      <c r="AL24">
        <f>_xll.EQNXTDZ($A$1,$B24,AL$1,$B$1)</f>
        <v>427.18400000000003</v>
      </c>
      <c r="AM24">
        <f>_xll.EQNXTDZ($A$1,$B24,AM$1,$B$1)</f>
        <v>158.16999999999999</v>
      </c>
      <c r="AN24">
        <f>_xll.EQNXTDZ($A$1,$B24,AN$1,$B$1)</f>
        <v>320.44299999999998</v>
      </c>
      <c r="AO24">
        <f>_xll.EQNXTDZ($A$1,$B24,AO$1,$B$1)</f>
        <v>383.34300000000002</v>
      </c>
      <c r="AP24">
        <f>_xll.EQNXTDZ($A$1,$B24,AP$1,$B$1)</f>
        <v>493.16500000000002</v>
      </c>
      <c r="AQ24">
        <f>_xll.EQNXTDZ($A$1,$B24,AQ$1,$B$1)</f>
        <v>355.43900000000002</v>
      </c>
      <c r="AR24">
        <f>_xll.EQNXTDZ($A$1,$B24,AR$1,$B$1)</f>
        <v>425.428</v>
      </c>
      <c r="AS24">
        <f>_xll.EQNXTDZ($A$1,$B24,AS$1,$B$1)</f>
        <v>543.51900000000001</v>
      </c>
      <c r="AT24">
        <f>_xll.EQNXTDZ($A$1,$B24,AT$1,$B$1)</f>
        <v>661.05399999999997</v>
      </c>
      <c r="AU24">
        <f>_xll.EQNXTDZ($A$1,$B24,AU$1,$B$1)</f>
        <v>612.55799999999999</v>
      </c>
      <c r="AV24">
        <f>_xll.EQNXTDZ($A$1,$B24,AV$1,$B$1)</f>
        <v>644.23999999999899</v>
      </c>
      <c r="AW24">
        <f>_xll.EQNXTDZ($A$1,$B24,AW$1,$B$1)</f>
        <v>640.49800000000005</v>
      </c>
      <c r="AX24">
        <f>_xll.EQNXTDZ($A$1,$B24,AX$1,$B$1)</f>
        <v>815.38400000000104</v>
      </c>
      <c r="AY24">
        <f>_xll.EQNXTDZ($A$1,$B24,AY$1,$B$1)</f>
        <v>641.79200000000105</v>
      </c>
      <c r="AZ24">
        <f>_xll.EQNXTDZ($A$1,$B24,AZ$1,$B$1)</f>
        <v>707.71000000000095</v>
      </c>
      <c r="BA24">
        <f>_xll.EQNXTDZ($A$1,$B24,BA$1,$B$1)</f>
        <v>744.91600000000096</v>
      </c>
      <c r="BB24">
        <f>_xll.EQNXTDZ($A$1,$B24,BB$1,$B$1)</f>
        <v>1073.4580000000001</v>
      </c>
      <c r="BC24">
        <f>_xll.EQNXTDZ($A$1,$B24,BC$1,$B$1)</f>
        <v>937.54599999999903</v>
      </c>
      <c r="BD24">
        <f>_xll.EQNXTDZ($A$1,$B24,BD$1,$B$1)</f>
        <v>1066.182</v>
      </c>
      <c r="BE24">
        <f>_xll.EQNXTDZ($A$1,$B24,BE$1,$B$1)</f>
        <v>1016.528</v>
      </c>
      <c r="BF24">
        <f>_xll.EQNXTDZ($A$1,$B24,BF$1,$B$1)</f>
        <v>1221.7239999999999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38.83</v>
      </c>
      <c r="AA25">
        <f>_xll.EQNXTDZ($A$1,$B25,AA$1,$B$1)</f>
        <v>37.167999999999999</v>
      </c>
      <c r="AB25">
        <f>_xll.EQNXTDZ($A$1,$B25,AB$1,$B$1)</f>
        <v>36.167000000000002</v>
      </c>
      <c r="AC25">
        <f>_xll.EQNXTDZ($A$1,$B25,AC$1,$B$1)</f>
        <v>17.158999999999999</v>
      </c>
      <c r="AD25">
        <f>_xll.EQNXTDZ($A$1,$B25,AD$1,$B$1)</f>
        <v>26.212</v>
      </c>
      <c r="AE25">
        <f>_xll.EQNXTDZ($A$1,$B25,AE$1,$B$1)</f>
        <v>12.321</v>
      </c>
      <c r="AF25">
        <f>_xll.EQNXTDZ($A$1,$B25,AF$1,$B$1)</f>
        <v>12.708</v>
      </c>
      <c r="AG25">
        <f>_xll.EQNXTDZ($A$1,$B25,AG$1,$B$1)</f>
        <v>8.5809999999999995</v>
      </c>
      <c r="AH25">
        <f>_xll.EQNXTDZ($A$1,$B25,AH$1,$B$1)</f>
        <v>15.925000000000001</v>
      </c>
      <c r="AI25">
        <f>_xll.EQNXTDZ($A$1,$B25,AI$1,$B$1)</f>
        <v>16.295999999999999</v>
      </c>
      <c r="AJ25">
        <f>_xll.EQNXTDZ($A$1,$B25,AJ$1,$B$1)</f>
        <v>11.382</v>
      </c>
      <c r="AK25">
        <f>_xll.EQNXTDZ($A$1,$B25,AK$1,$B$1)</f>
        <v>6.5350000000000001</v>
      </c>
      <c r="AL25">
        <f>_xll.EQNXTDZ($A$1,$B25,AL$1,$B$1)</f>
        <v>13.202999999999999</v>
      </c>
      <c r="AM25">
        <f>_xll.EQNXTDZ($A$1,$B25,AM$1,$B$1)</f>
        <v>9.7680000000000007</v>
      </c>
      <c r="AN25">
        <f>_xll.EQNXTDZ($A$1,$B25,AN$1,$B$1)</f>
        <v>5.0919999999999996</v>
      </c>
      <c r="AO25">
        <f>_xll.EQNXTDZ($A$1,$B25,AO$1,$B$1)</f>
        <v>7.8150000000000004</v>
      </c>
      <c r="AP25">
        <f>_xll.EQNXTDZ($A$1,$B25,AP$1,$B$1)</f>
        <v>12.515000000000001</v>
      </c>
      <c r="AQ25">
        <f>_xll.EQNXTDZ($A$1,$B25,AQ$1,$B$1)</f>
        <v>8.4320000000000004</v>
      </c>
      <c r="AR25">
        <f>_xll.EQNXTDZ($A$1,$B25,AR$1,$B$1)</f>
        <v>13.903</v>
      </c>
      <c r="AS25">
        <f>_xll.EQNXTDZ($A$1,$B25,AS$1,$B$1)</f>
        <v>9.2620000000000005</v>
      </c>
      <c r="AT25">
        <f>_xll.EQNXTDZ($A$1,$B25,AT$1,$B$1)</f>
        <v>28.16</v>
      </c>
      <c r="AU25">
        <f>_xll.EQNXTDZ($A$1,$B25,AU$1,$B$1)</f>
        <v>24.922000000000001</v>
      </c>
      <c r="AV25">
        <f>_xll.EQNXTDZ($A$1,$B25,AV$1,$B$1)</f>
        <v>26.792000000000002</v>
      </c>
      <c r="AW25">
        <f>_xll.EQNXTDZ($A$1,$B25,AW$1,$B$1)</f>
        <v>32.225000000000001</v>
      </c>
      <c r="AX25">
        <f>_xll.EQNXTDZ($A$1,$B25,AX$1,$B$1)</f>
        <v>24.401</v>
      </c>
      <c r="AY25">
        <f>_xll.EQNXTDZ($A$1,$B25,AY$1,$B$1)</f>
        <v>41.301000000000002</v>
      </c>
      <c r="AZ25">
        <f>_xll.EQNXTDZ($A$1,$B25,AZ$1,$B$1)</f>
        <v>45.302999999999997</v>
      </c>
      <c r="BA25">
        <f>_xll.EQNXTDZ($A$1,$B25,BA$1,$B$1)</f>
        <v>49.786000000000001</v>
      </c>
      <c r="BB25">
        <f>_xll.EQNXTDZ($A$1,$B25,BB$1,$B$1)</f>
        <v>32.537999999999997</v>
      </c>
      <c r="BC25">
        <f>_xll.EQNXTDZ($A$1,$B25,BC$1,$B$1)</f>
        <v>51.256</v>
      </c>
      <c r="BD25">
        <f>_xll.EQNXTDZ($A$1,$B25,BD$1,$B$1)</f>
        <v>48.405000000000001</v>
      </c>
      <c r="BE25">
        <f>_xll.EQNXTDZ($A$1,$B25,BE$1,$B$1)</f>
        <v>68.733999999999995</v>
      </c>
      <c r="BF25">
        <f>_xll.EQNXTDZ($A$1,$B25,BF$1,$B$1)</f>
        <v>74.641000000000005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9.718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324.78199999999998</v>
      </c>
      <c r="AA27">
        <f>_xll.EQNXTDZ($A$1,$B27,AA$1,$B$1)</f>
        <v>158.755</v>
      </c>
      <c r="AB27">
        <f>_xll.EQNXTDZ($A$1,$B27,AB$1,$B$1)</f>
        <v>178.00399999999999</v>
      </c>
      <c r="AC27">
        <f>_xll.EQNXTDZ($A$1,$B27,AC$1,$B$1)</f>
        <v>324.07900000000001</v>
      </c>
      <c r="AD27">
        <f>_xll.EQNXTDZ($A$1,$B27,AD$1,$B$1)</f>
        <v>238.99700000000001</v>
      </c>
      <c r="AE27">
        <f>_xll.EQNXTDZ($A$1,$B27,AE$1,$B$1)</f>
        <v>244.86600000000001</v>
      </c>
      <c r="AF27">
        <f>_xll.EQNXTDZ($A$1,$B27,AF$1,$B$1)</f>
        <v>271.43599999999998</v>
      </c>
      <c r="AG27">
        <f>_xll.EQNXTDZ($A$1,$B27,AG$1,$B$1)</f>
        <v>330.87700000000001</v>
      </c>
      <c r="AH27">
        <f>_xll.EQNXTDZ($A$1,$B27,AH$1,$B$1)</f>
        <v>331.10399999999998</v>
      </c>
      <c r="AI27">
        <f>_xll.EQNXTDZ($A$1,$B27,AI$1,$B$1)</f>
        <v>84.526999999999902</v>
      </c>
      <c r="AJ27">
        <f>_xll.EQNXTDZ($A$1,$B27,AJ$1,$B$1)</f>
        <v>333.83499999999998</v>
      </c>
      <c r="AK27">
        <f>_xll.EQNXTDZ($A$1,$B27,AK$1,$B$1)</f>
        <v>375.88400000000001</v>
      </c>
      <c r="AL27">
        <f>_xll.EQNXTDZ($A$1,$B27,AL$1,$B$1)</f>
        <v>413.98099999999999</v>
      </c>
      <c r="AM27">
        <f>_xll.EQNXTDZ($A$1,$B27,AM$1,$B$1)</f>
        <v>148.40199999999999</v>
      </c>
      <c r="AN27">
        <f>_xll.EQNXTDZ($A$1,$B27,AN$1,$B$1)</f>
        <v>315.351</v>
      </c>
      <c r="AO27">
        <f>_xll.EQNXTDZ($A$1,$B27,AO$1,$B$1)</f>
        <v>375.52800000000002</v>
      </c>
      <c r="AP27">
        <f>_xll.EQNXTDZ($A$1,$B27,AP$1,$B$1)</f>
        <v>480.65</v>
      </c>
      <c r="AQ27">
        <f>_xll.EQNXTDZ($A$1,$B27,AQ$1,$B$1)</f>
        <v>347.00700000000001</v>
      </c>
      <c r="AR27">
        <f>_xll.EQNXTDZ($A$1,$B27,AR$1,$B$1)</f>
        <v>411.52499999999998</v>
      </c>
      <c r="AS27">
        <f>_xll.EQNXTDZ($A$1,$B27,AS$1,$B$1)</f>
        <v>534.25699999999995</v>
      </c>
      <c r="AT27">
        <f>_xll.EQNXTDZ($A$1,$B27,AT$1,$B$1)</f>
        <v>632.89400000000001</v>
      </c>
      <c r="AU27">
        <f>_xll.EQNXTDZ($A$1,$B27,AU$1,$B$1)</f>
        <v>587.63599999999997</v>
      </c>
      <c r="AV27">
        <f>_xll.EQNXTDZ($A$1,$B27,AV$1,$B$1)</f>
        <v>617.44799999999896</v>
      </c>
      <c r="AW27">
        <f>_xll.EQNXTDZ($A$1,$B27,AW$1,$B$1)</f>
        <v>608.27300000000002</v>
      </c>
      <c r="AX27">
        <f>_xll.EQNXTDZ($A$1,$B27,AX$1,$B$1)</f>
        <v>790.98300000000097</v>
      </c>
      <c r="AY27">
        <f>_xll.EQNXTDZ($A$1,$B27,AY$1,$B$1)</f>
        <v>600.49100000000101</v>
      </c>
      <c r="AZ27">
        <f>_xll.EQNXTDZ($A$1,$B27,AZ$1,$B$1)</f>
        <v>662.40700000000095</v>
      </c>
      <c r="BA27">
        <f>_xll.EQNXTDZ($A$1,$B27,BA$1,$B$1)</f>
        <v>695.13000000000102</v>
      </c>
      <c r="BB27">
        <f>_xll.EQNXTDZ($A$1,$B27,BB$1,$B$1)</f>
        <v>1040.92</v>
      </c>
      <c r="BC27">
        <f>_xll.EQNXTDZ($A$1,$B27,BC$1,$B$1)</f>
        <v>886.28999999999905</v>
      </c>
      <c r="BD27">
        <f>_xll.EQNXTDZ($A$1,$B27,BD$1,$B$1)</f>
        <v>1017.777</v>
      </c>
      <c r="BE27">
        <f>_xll.EQNXTDZ($A$1,$B27,BE$1,$B$1)</f>
        <v>947.79399999999998</v>
      </c>
      <c r="BF27">
        <f>_xll.EQNXTDZ($A$1,$B27,BF$1,$B$1)</f>
        <v>1147.0830000000001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33.807000000000002</v>
      </c>
      <c r="AA28">
        <f>_xll.EQNXTDZ($A$1,$B28,AA$1,$B$1)</f>
        <v>35.155000000000001</v>
      </c>
      <c r="AB28">
        <f>_xll.EQNXTDZ($A$1,$B28,AB$1,$B$1)</f>
        <v>36.387999999999998</v>
      </c>
      <c r="AC28">
        <f>_xll.EQNXTDZ($A$1,$B28,AC$1,$B$1)</f>
        <v>35.594999999999999</v>
      </c>
      <c r="AD28">
        <f>_xll.EQNXTDZ($A$1,$B28,AD$1,$B$1)</f>
        <v>34.307000000000002</v>
      </c>
      <c r="AE28">
        <f>_xll.EQNXTDZ($A$1,$B28,AE$1,$B$1)</f>
        <v>38.499000000000002</v>
      </c>
      <c r="AF28">
        <f>_xll.EQNXTDZ($A$1,$B28,AF$1,$B$1)</f>
        <v>39.530999999999999</v>
      </c>
      <c r="AG28">
        <f>_xll.EQNXTDZ($A$1,$B28,AG$1,$B$1)</f>
        <v>40.677</v>
      </c>
      <c r="AH28">
        <f>_xll.EQNXTDZ($A$1,$B28,AH$1,$B$1)</f>
        <v>42.18</v>
      </c>
      <c r="AI28">
        <f>_xll.EQNXTDZ($A$1,$B28,AI$1,$B$1)</f>
        <v>44.271999999999998</v>
      </c>
      <c r="AJ28">
        <f>_xll.EQNXTDZ($A$1,$B28,AJ$1,$B$1)</f>
        <v>45.601999999999997</v>
      </c>
      <c r="AK28">
        <f>_xll.EQNXTDZ($A$1,$B28,AK$1,$B$1)</f>
        <v>44.96</v>
      </c>
      <c r="AL28">
        <f>_xll.EQNXTDZ($A$1,$B28,AL$1,$B$1)</f>
        <v>46.061999999999998</v>
      </c>
      <c r="AM28">
        <f>_xll.EQNXTDZ($A$1,$B28,AM$1,$B$1)</f>
        <v>49.280999999999999</v>
      </c>
      <c r="AN28">
        <f>_xll.EQNXTDZ($A$1,$B28,AN$1,$B$1)</f>
        <v>50.872999999999998</v>
      </c>
      <c r="AO28">
        <f>_xll.EQNXTDZ($A$1,$B28,AO$1,$B$1)</f>
        <v>51.109000000000002</v>
      </c>
      <c r="AP28">
        <f>_xll.EQNXTDZ($A$1,$B28,AP$1,$B$1)</f>
        <v>50.256</v>
      </c>
      <c r="AQ28">
        <f>_xll.EQNXTDZ($A$1,$B28,AQ$1,$B$1)</f>
        <v>50.984999999999999</v>
      </c>
      <c r="AR28">
        <f>_xll.EQNXTDZ($A$1,$B28,AR$1,$B$1)</f>
        <v>52.267000000000003</v>
      </c>
      <c r="AS28">
        <f>_xll.EQNXTDZ($A$1,$B28,AS$1,$B$1)</f>
        <v>52.451999999999998</v>
      </c>
      <c r="AT28">
        <f>_xll.EQNXTDZ($A$1,$B28,AT$1,$B$1)</f>
        <v>53.46</v>
      </c>
      <c r="AU28">
        <f>_xll.EQNXTDZ($A$1,$B28,AU$1,$B$1)</f>
        <v>57.143999999999998</v>
      </c>
      <c r="AV28">
        <f>_xll.EQNXTDZ($A$1,$B28,AV$1,$B$1)</f>
        <v>60.295999999999999</v>
      </c>
      <c r="AW28">
        <f>_xll.EQNXTDZ($A$1,$B28,AW$1,$B$1)</f>
        <v>61.878</v>
      </c>
      <c r="AX28">
        <f>_xll.EQNXTDZ($A$1,$B28,AX$1,$B$1)</f>
        <v>65.721999999999994</v>
      </c>
      <c r="AY28">
        <f>_xll.EQNXTDZ($A$1,$B28,AY$1,$B$1)</f>
        <v>67.123000000000005</v>
      </c>
      <c r="AZ28">
        <f>_xll.EQNXTDZ($A$1,$B28,AZ$1,$B$1)</f>
        <v>72.06</v>
      </c>
      <c r="BA28">
        <f>_xll.EQNXTDZ($A$1,$B28,BA$1,$B$1)</f>
        <v>78.557000000000002</v>
      </c>
      <c r="BB28">
        <f>_xll.EQNXTDZ($A$1,$B28,BB$1,$B$1)</f>
        <v>80.363</v>
      </c>
      <c r="BC28">
        <f>_xll.EQNXTDZ($A$1,$B28,BC$1,$B$1)</f>
        <v>85.703000000000003</v>
      </c>
      <c r="BD28">
        <f>_xll.EQNXTDZ($A$1,$B28,BD$1,$B$1)</f>
        <v>96.775999999999996</v>
      </c>
      <c r="BE28">
        <f>_xll.EQNXTDZ($A$1,$B28,BE$1,$B$1)</f>
        <v>105.595</v>
      </c>
      <c r="BF28">
        <f>_xll.EQNXTDZ($A$1,$B28,BF$1,$B$1)</f>
        <v>97.795000000000002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102.032</v>
      </c>
      <c r="AA29">
        <f>_xll.EQNXTDZ($A$1,$B29,AA$1,$B$1)</f>
        <v>43.148000000000003</v>
      </c>
      <c r="AB29">
        <f>_xll.EQNXTDZ($A$1,$B29,AB$1,$B$1)</f>
        <v>49.07</v>
      </c>
      <c r="AC29">
        <f>_xll.EQNXTDZ($A$1,$B29,AC$1,$B$1)</f>
        <v>96.741</v>
      </c>
      <c r="AD29">
        <f>_xll.EQNXTDZ($A$1,$B29,AD$1,$B$1)</f>
        <v>66.799000000000007</v>
      </c>
      <c r="AE29">
        <f>_xll.EQNXTDZ($A$1,$B29,AE$1,$B$1)</f>
        <v>71.313000000000002</v>
      </c>
      <c r="AF29">
        <f>_xll.EQNXTDZ($A$1,$B29,AF$1,$B$1)</f>
        <v>36.493000000000002</v>
      </c>
      <c r="AG29">
        <f>_xll.EQNXTDZ($A$1,$B29,AG$1,$B$1)</f>
        <v>68.569000000000003</v>
      </c>
      <c r="AH29">
        <f>_xll.EQNXTDZ($A$1,$B29,AH$1,$B$1)</f>
        <v>67.995000000000005</v>
      </c>
      <c r="AI29">
        <f>_xll.EQNXTDZ($A$1,$B29,AI$1,$B$1)</f>
        <v>-78.468000000000004</v>
      </c>
      <c r="AJ29">
        <f>_xll.EQNXTDZ($A$1,$B29,AJ$1,$B$1)</f>
        <v>66.42</v>
      </c>
      <c r="AK29">
        <f>_xll.EQNXTDZ($A$1,$B29,AK$1,$B$1)</f>
        <v>86.394000000000005</v>
      </c>
      <c r="AL29">
        <f>_xll.EQNXTDZ($A$1,$B29,AL$1,$B$1)</f>
        <v>97.561999999999998</v>
      </c>
      <c r="AM29">
        <f>_xll.EQNXTDZ($A$1,$B29,AM$1,$B$1)</f>
        <v>23.265000000000001</v>
      </c>
      <c r="AN29">
        <f>_xll.EQNXTDZ($A$1,$B29,AN$1,$B$1)</f>
        <v>66.366</v>
      </c>
      <c r="AO29">
        <f>_xll.EQNXTDZ($A$1,$B29,AO$1,$B$1)</f>
        <v>76.311999999999998</v>
      </c>
      <c r="AP29">
        <f>_xll.EQNXTDZ($A$1,$B29,AP$1,$B$1)</f>
        <v>104.684</v>
      </c>
      <c r="AQ29">
        <f>_xll.EQNXTDZ($A$1,$B29,AQ$1,$B$1)</f>
        <v>72.197000000000003</v>
      </c>
      <c r="AR29">
        <f>_xll.EQNXTDZ($A$1,$B29,AR$1,$B$1)</f>
        <v>87.825000000000003</v>
      </c>
      <c r="AS29">
        <f>_xll.EQNXTDZ($A$1,$B29,AS$1,$B$1)</f>
        <v>119.929</v>
      </c>
      <c r="AT29">
        <f>_xll.EQNXTDZ($A$1,$B29,AT$1,$B$1)</f>
        <v>144.36099999999999</v>
      </c>
      <c r="AU29">
        <f>_xll.EQNXTDZ($A$1,$B29,AU$1,$B$1)</f>
        <v>127.33</v>
      </c>
      <c r="AV29">
        <f>_xll.EQNXTDZ($A$1,$B29,AV$1,$B$1)</f>
        <v>127.38500000000001</v>
      </c>
      <c r="AW29">
        <f>_xll.EQNXTDZ($A$1,$B29,AW$1,$B$1)</f>
        <v>129.88399999999999</v>
      </c>
      <c r="AX29">
        <f>_xll.EQNXTDZ($A$1,$B29,AX$1,$B$1)</f>
        <v>171.78399999999999</v>
      </c>
      <c r="AY29">
        <f>_xll.EQNXTDZ($A$1,$B29,AY$1,$B$1)</f>
        <v>131.749</v>
      </c>
      <c r="AZ29">
        <f>_xll.EQNXTDZ($A$1,$B29,AZ$1,$B$1)</f>
        <v>145.13900000000001</v>
      </c>
      <c r="BA29">
        <f>_xll.EQNXTDZ($A$1,$B29,BA$1,$B$1)</f>
        <v>152.22499999999999</v>
      </c>
      <c r="BB29">
        <f>_xll.EQNXTDZ($A$1,$B29,BB$1,$B$1)</f>
        <v>226.19499999999999</v>
      </c>
      <c r="BC29">
        <f>_xll.EQNXTDZ($A$1,$B29,BC$1,$B$1)</f>
        <v>200.89099999999999</v>
      </c>
      <c r="BD29">
        <f>_xll.EQNXTDZ($A$1,$B29,BD$1,$B$1)</f>
        <v>228.042</v>
      </c>
      <c r="BE29">
        <f>_xll.EQNXTDZ($A$1,$B29,BE$1,$B$1)</f>
        <v>212.03100000000001</v>
      </c>
      <c r="BF29">
        <f>_xll.EQNXTDZ($A$1,$B29,BF$1,$B$1)</f>
        <v>263.68400000000003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188.94300000000001</v>
      </c>
      <c r="AA30">
        <f>_xll.EQNXTDZ($A$1,$B30,AA$1,$B$1)</f>
        <v>80.451999999999998</v>
      </c>
      <c r="AB30">
        <f>_xll.EQNXTDZ($A$1,$B30,AB$1,$B$1)</f>
        <v>92.545999999999907</v>
      </c>
      <c r="AC30">
        <f>_xll.EQNXTDZ($A$1,$B30,AC$1,$B$1)</f>
        <v>191.74299999999999</v>
      </c>
      <c r="AD30">
        <f>_xll.EQNXTDZ($A$1,$B30,AD$1,$B$1)</f>
        <v>137.89099999999999</v>
      </c>
      <c r="AE30">
        <f>_xll.EQNXTDZ($A$1,$B30,AE$1,$B$1)</f>
        <v>135.054</v>
      </c>
      <c r="AF30">
        <f>_xll.EQNXTDZ($A$1,$B30,AF$1,$B$1)</f>
        <v>195.41200000000001</v>
      </c>
      <c r="AG30">
        <f>_xll.EQNXTDZ($A$1,$B30,AG$1,$B$1)</f>
        <v>221.631</v>
      </c>
      <c r="AH30">
        <f>_xll.EQNXTDZ($A$1,$B30,AH$1,$B$1)</f>
        <v>220.929</v>
      </c>
      <c r="AI30">
        <f>_xll.EQNXTDZ($A$1,$B30,AI$1,$B$1)</f>
        <v>118.723</v>
      </c>
      <c r="AJ30">
        <f>_xll.EQNXTDZ($A$1,$B30,AJ$1,$B$1)</f>
        <v>221.81299999999999</v>
      </c>
      <c r="AK30">
        <f>_xll.EQNXTDZ($A$1,$B30,AK$1,$B$1)</f>
        <v>244.53</v>
      </c>
      <c r="AL30">
        <f>_xll.EQNXTDZ($A$1,$B30,AL$1,$B$1)</f>
        <v>270.35700000000003</v>
      </c>
      <c r="AM30">
        <f>_xll.EQNXTDZ($A$1,$B30,AM$1,$B$1)</f>
        <v>75.855999999999696</v>
      </c>
      <c r="AN30">
        <f>_xll.EQNXTDZ($A$1,$B30,AN$1,$B$1)</f>
        <v>198.11199999999999</v>
      </c>
      <c r="AO30">
        <f>_xll.EQNXTDZ($A$1,$B30,AO$1,$B$1)</f>
        <v>248.107</v>
      </c>
      <c r="AP30">
        <f>_xll.EQNXTDZ($A$1,$B30,AP$1,$B$1)</f>
        <v>325.70999999999998</v>
      </c>
      <c r="AQ30">
        <f>_xll.EQNXTDZ($A$1,$B30,AQ$1,$B$1)</f>
        <v>223.82499999999999</v>
      </c>
      <c r="AR30">
        <f>_xll.EQNXTDZ($A$1,$B30,AR$1,$B$1)</f>
        <v>271.43299999999999</v>
      </c>
      <c r="AS30">
        <f>_xll.EQNXTDZ($A$1,$B30,AS$1,$B$1)</f>
        <v>361.87599999999998</v>
      </c>
      <c r="AT30">
        <f>_xll.EQNXTDZ($A$1,$B30,AT$1,$B$1)</f>
        <v>435.07299999999998</v>
      </c>
      <c r="AU30">
        <f>_xll.EQNXTDZ($A$1,$B30,AU$1,$B$1)</f>
        <v>403.16199999999998</v>
      </c>
      <c r="AV30">
        <f>_xll.EQNXTDZ($A$1,$B30,AV$1,$B$1)</f>
        <v>429.76699999999897</v>
      </c>
      <c r="AW30">
        <f>_xll.EQNXTDZ($A$1,$B30,AW$1,$B$1)</f>
        <v>416.51100000000002</v>
      </c>
      <c r="AX30">
        <f>_xll.EQNXTDZ($A$1,$B30,AX$1,$B$1)</f>
        <v>553.477000000001</v>
      </c>
      <c r="AY30">
        <f>_xll.EQNXTDZ($A$1,$B30,AY$1,$B$1)</f>
        <v>401.61900000000099</v>
      </c>
      <c r="AZ30">
        <f>_xll.EQNXTDZ($A$1,$B30,AZ$1,$B$1)</f>
        <v>445.20800000000099</v>
      </c>
      <c r="BA30">
        <f>_xll.EQNXTDZ($A$1,$B30,BA$1,$B$1)</f>
        <v>464.34800000000098</v>
      </c>
      <c r="BB30">
        <f>_xll.EQNXTDZ($A$1,$B30,BB$1,$B$1)</f>
        <v>734.36199999999997</v>
      </c>
      <c r="BC30">
        <f>_xll.EQNXTDZ($A$1,$B30,BC$1,$B$1)</f>
        <v>599.695999999999</v>
      </c>
      <c r="BD30">
        <f>_xll.EQNXTDZ($A$1,$B30,BD$1,$B$1)</f>
        <v>692.95900000000097</v>
      </c>
      <c r="BE30">
        <f>_xll.EQNXTDZ($A$1,$B30,BE$1,$B$1)</f>
        <v>630.16800000000001</v>
      </c>
      <c r="BF30">
        <f>_xll.EQNXTDZ($A$1,$B30,BF$1,$B$1)</f>
        <v>785.60399999999902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-0.30399999999999999</v>
      </c>
      <c r="AC34">
        <f>_xll.EQNXTDZ($A$1,$B34,AC$1,$B$1)</f>
        <v>-0.28799999999999998</v>
      </c>
      <c r="AD34">
        <f>_xll.EQNXTDZ($A$1,$B34,AD$1,$B$1)</f>
        <v>0.21099999999999999</v>
      </c>
      <c r="AE34">
        <f>_xll.EQNXTDZ($A$1,$B34,AE$1,$B$1)</f>
        <v>-0.76100000000000001</v>
      </c>
      <c r="AF34">
        <f>_xll.EQNXTDZ($A$1,$B34,AF$1,$B$1)</f>
        <v>-1.9670000000000001</v>
      </c>
      <c r="AG34">
        <f>_xll.EQNXTDZ($A$1,$B34,AG$1,$B$1)</f>
        <v>-2.6219999999999999</v>
      </c>
      <c r="AH34">
        <f>_xll.EQNXTDZ($A$1,$B34,AH$1,$B$1)</f>
        <v>-1.2110000000000001</v>
      </c>
      <c r="AI34">
        <f>_xll.EQNXTDZ($A$1,$B34,AI$1,$B$1)</f>
        <v>4.7E-2</v>
      </c>
      <c r="AJ34">
        <f>_xll.EQNXTDZ($A$1,$B34,AJ$1,$B$1)</f>
        <v>-1.002</v>
      </c>
      <c r="AK34">
        <f>_xll.EQNXTDZ($A$1,$B34,AK$1,$B$1)</f>
        <v>-1.115</v>
      </c>
      <c r="AL34">
        <f>_xll.EQNXTDZ($A$1,$B34,AL$1,$B$1)</f>
        <v>-1.7589999999999999</v>
      </c>
      <c r="AM34">
        <f>_xll.EQNXTDZ($A$1,$B34,AM$1,$B$1)</f>
        <v>-1.2769999999999999</v>
      </c>
      <c r="AN34">
        <f>_xll.EQNXTDZ($A$1,$B34,AN$1,$B$1)</f>
        <v>-2.6</v>
      </c>
      <c r="AO34">
        <f>_xll.EQNXTDZ($A$1,$B34,AO$1,$B$1)</f>
        <v>-1.647</v>
      </c>
      <c r="AP34">
        <f>_xll.EQNXTDZ($A$1,$B34,AP$1,$B$1)</f>
        <v>-3.1829999999999998</v>
      </c>
      <c r="AQ34">
        <f>_xll.EQNXTDZ($A$1,$B34,AQ$1,$B$1)</f>
        <v>-2.7890000000000001</v>
      </c>
      <c r="AR34">
        <f>_xll.EQNXTDZ($A$1,$B34,AR$1,$B$1)</f>
        <v>-2.6589999999999998</v>
      </c>
      <c r="AS34">
        <f>_xll.EQNXTDZ($A$1,$B34,AS$1,$B$1)</f>
        <v>-3.1869999999999998</v>
      </c>
      <c r="AT34">
        <f>_xll.EQNXTDZ($A$1,$B34,AT$1,$B$1)</f>
        <v>-3.6680000000000001</v>
      </c>
      <c r="AU34">
        <f>_xll.EQNXTDZ($A$1,$B34,AU$1,$B$1)</f>
        <v>-3.5390000000000001</v>
      </c>
      <c r="AV34">
        <f>_xll.EQNXTDZ($A$1,$B34,AV$1,$B$1)</f>
        <v>-4.1989999999999998</v>
      </c>
      <c r="AW34">
        <f>_xll.EQNXTDZ($A$1,$B34,AW$1,$B$1)</f>
        <v>-3.661</v>
      </c>
      <c r="AX34">
        <f>_xll.EQNXTDZ($A$1,$B34,AX$1,$B$1)</f>
        <v>-7.4729999999999999</v>
      </c>
      <c r="AY34">
        <f>_xll.EQNXTDZ($A$1,$B34,AY$1,$B$1)</f>
        <v>-5.665</v>
      </c>
      <c r="AZ34">
        <f>_xll.EQNXTDZ($A$1,$B34,AZ$1,$B$1)</f>
        <v>-5.3970000000000002</v>
      </c>
      <c r="BA34">
        <f>_xll.EQNXTDZ($A$1,$B34,BA$1,$B$1)</f>
        <v>-6.7910000000000004</v>
      </c>
      <c r="BB34">
        <f>_xll.EQNXTDZ($A$1,$B34,BB$1,$B$1)</f>
        <v>-7.694</v>
      </c>
      <c r="BC34">
        <f>_xll.EQNXTDZ($A$1,$B34,BC$1,$B$1)</f>
        <v>-7.5750000000000002</v>
      </c>
      <c r="BD34">
        <f>_xll.EQNXTDZ($A$1,$B34,BD$1,$B$1)</f>
        <v>-7.5030000000000001</v>
      </c>
      <c r="BE34">
        <f>_xll.EQNXTDZ($A$1,$B34,BE$1,$B$1)</f>
        <v>-8.4779999999999998</v>
      </c>
      <c r="BF34">
        <f>_xll.EQNXTDZ($A$1,$B34,BF$1,$B$1)</f>
        <v>-12.837999999999999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-0.224</v>
      </c>
      <c r="AA35">
        <f>_xll.EQNXTDZ($A$1,$B35,AA$1,$B$1)</f>
        <v>-3.45</v>
      </c>
      <c r="AB35">
        <f>_xll.EQNXTDZ($A$1,$B35,AB$1,$B$1)</f>
        <v>-3.0369999999999999</v>
      </c>
      <c r="AC35">
        <f>_xll.EQNXTDZ($A$1,$B35,AC$1,$B$1)</f>
        <v>1.881</v>
      </c>
      <c r="AD35">
        <f>_xll.EQNXTDZ($A$1,$B35,AD$1,$B$1)</f>
        <v>2.2799999999999998</v>
      </c>
      <c r="AE35">
        <f>_xll.EQNXTDZ($A$1,$B35,AE$1,$B$1)</f>
        <v>0.219</v>
      </c>
      <c r="AF35">
        <f>_xll.EQNXTDZ($A$1,$B35,AF$1,$B$1)</f>
        <v>-1.617</v>
      </c>
      <c r="AG35">
        <f>_xll.EQNXTDZ($A$1,$B35,AG$1,$B$1)</f>
        <v>-0.22900000000000001</v>
      </c>
      <c r="AH35">
        <f>_xll.EQNXTDZ($A$1,$B35,AH$1,$B$1)</f>
        <v>-5.7809999999999997</v>
      </c>
      <c r="AI35">
        <f>_xll.EQNXTDZ($A$1,$B35,AI$1,$B$1)</f>
        <v>-1.1679999999999999</v>
      </c>
      <c r="AJ35">
        <f>_xll.EQNXTDZ($A$1,$B35,AJ$1,$B$1)</f>
        <v>-0.26300000000000001</v>
      </c>
      <c r="AK35">
        <f>_xll.EQNXTDZ($A$1,$B35,AK$1,$B$1)</f>
        <v>0.49199999999999999</v>
      </c>
      <c r="AL35">
        <f>_xll.EQNXTDZ($A$1,$B35,AL$1,$B$1)</f>
        <v>0.70899999999999996</v>
      </c>
      <c r="AM35">
        <f>_xll.EQNXTDZ($A$1,$B35,AM$1,$B$1)</f>
        <v>-2.14</v>
      </c>
      <c r="AN35">
        <f>_xll.EQNXTDZ($A$1,$B35,AN$1,$B$1)</f>
        <v>-0.30599999999999999</v>
      </c>
      <c r="AO35">
        <f>_xll.EQNXTDZ($A$1,$B35,AO$1,$B$1)</f>
        <v>0.26400000000000001</v>
      </c>
      <c r="AP35">
        <f>_xll.EQNXTDZ($A$1,$B35,AP$1,$B$1)</f>
        <v>-0.373</v>
      </c>
      <c r="AQ35">
        <f>_xll.EQNXTDZ($A$1,$B35,AQ$1,$B$1)</f>
        <v>-1.2789999999999999</v>
      </c>
      <c r="AR35">
        <f>_xll.EQNXTDZ($A$1,$B35,AR$1,$B$1)</f>
        <v>-0.80600000000000005</v>
      </c>
      <c r="AS35">
        <f>_xll.EQNXTDZ($A$1,$B35,AS$1,$B$1)</f>
        <v>-0.80700000000000005</v>
      </c>
      <c r="AT35">
        <f>_xll.EQNXTDZ($A$1,$B35,AT$1,$B$1)</f>
        <v>-6.3710000000000004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188.71899999999999</v>
      </c>
      <c r="AA38">
        <f>_xll.EQNXTDZ($A$1,$B38,AA$1,$B$1)</f>
        <v>77.001999999999995</v>
      </c>
      <c r="AB38">
        <f>_xll.EQNXTDZ($A$1,$B38,AB$1,$B$1)</f>
        <v>89.204999999999998</v>
      </c>
      <c r="AC38">
        <f>_xll.EQNXTDZ($A$1,$B38,AC$1,$B$1)</f>
        <v>193.33600000000001</v>
      </c>
      <c r="AD38">
        <f>_xll.EQNXTDZ($A$1,$B38,AD$1,$B$1)</f>
        <v>140.38200000000001</v>
      </c>
      <c r="AE38">
        <f>_xll.EQNXTDZ($A$1,$B38,AE$1,$B$1)</f>
        <v>134.512</v>
      </c>
      <c r="AF38">
        <f>_xll.EQNXTDZ($A$1,$B38,AF$1,$B$1)</f>
        <v>191.828</v>
      </c>
      <c r="AG38">
        <f>_xll.EQNXTDZ($A$1,$B38,AG$1,$B$1)</f>
        <v>218.78</v>
      </c>
      <c r="AH38">
        <f>_xll.EQNXTDZ($A$1,$B38,AH$1,$B$1)</f>
        <v>213.93700000000001</v>
      </c>
      <c r="AI38">
        <f>_xll.EQNXTDZ($A$1,$B38,AI$1,$B$1)</f>
        <v>117.602</v>
      </c>
      <c r="AJ38">
        <f>_xll.EQNXTDZ($A$1,$B38,AJ$1,$B$1)</f>
        <v>220.548</v>
      </c>
      <c r="AK38">
        <f>_xll.EQNXTDZ($A$1,$B38,AK$1,$B$1)</f>
        <v>262.50200000000001</v>
      </c>
      <c r="AL38">
        <f>_xll.EQNXTDZ($A$1,$B38,AL$1,$B$1)</f>
        <v>281.43200000000002</v>
      </c>
      <c r="AM38">
        <f>_xll.EQNXTDZ($A$1,$B38,AM$1,$B$1)</f>
        <v>73.984999999999999</v>
      </c>
      <c r="AN38">
        <f>_xll.EQNXTDZ($A$1,$B38,AN$1,$B$1)</f>
        <v>197.928</v>
      </c>
      <c r="AO38">
        <f>_xll.EQNXTDZ($A$1,$B38,AO$1,$B$1)</f>
        <v>314.50900000000001</v>
      </c>
      <c r="AP38">
        <f>_xll.EQNXTDZ($A$1,$B38,AP$1,$B$1)</f>
        <v>322.154</v>
      </c>
      <c r="AQ38">
        <f>_xll.EQNXTDZ($A$1,$B38,AQ$1,$B$1)</f>
        <v>219.75700000000001</v>
      </c>
      <c r="AR38">
        <f>_xll.EQNXTDZ($A$1,$B38,AR$1,$B$1)</f>
        <v>267.96800000000002</v>
      </c>
      <c r="AS38">
        <f>_xll.EQNXTDZ($A$1,$B38,AS$1,$B$1)</f>
        <v>357.88200000000001</v>
      </c>
      <c r="AT38">
        <f>_xll.EQNXTDZ($A$1,$B38,AT$1,$B$1)</f>
        <v>425.03399999999999</v>
      </c>
      <c r="AU38">
        <f>_xll.EQNXTDZ($A$1,$B38,AU$1,$B$1)</f>
        <v>399.62299999999999</v>
      </c>
      <c r="AV38">
        <f>_xll.EQNXTDZ($A$1,$B38,AV$1,$B$1)</f>
        <v>425.56799999999998</v>
      </c>
      <c r="AW38">
        <f>_xll.EQNXTDZ($A$1,$B38,AW$1,$B$1)</f>
        <v>412.85</v>
      </c>
      <c r="AX38">
        <f>_xll.EQNXTDZ($A$1,$B38,AX$1,$B$1)</f>
        <v>546.00400000000002</v>
      </c>
      <c r="AY38">
        <f>_xll.EQNXTDZ($A$1,$B38,AY$1,$B$1)</f>
        <v>395.95400000000001</v>
      </c>
      <c r="AZ38">
        <f>_xll.EQNXTDZ($A$1,$B38,AZ$1,$B$1)</f>
        <v>439.81099999999998</v>
      </c>
      <c r="BA38">
        <f>_xll.EQNXTDZ($A$1,$B38,BA$1,$B$1)</f>
        <v>457.55700000000002</v>
      </c>
      <c r="BB38">
        <f>_xll.EQNXTDZ($A$1,$B38,BB$1,$B$1)</f>
        <v>726.66800000000001</v>
      </c>
      <c r="BC38">
        <f>_xll.EQNXTDZ($A$1,$B38,BC$1,$B$1)</f>
        <v>592.12099999999998</v>
      </c>
      <c r="BD38">
        <f>_xll.EQNXTDZ($A$1,$B38,BD$1,$B$1)</f>
        <v>685.45600000000002</v>
      </c>
      <c r="BE38">
        <f>_xll.EQNXTDZ($A$1,$B38,BE$1,$B$1)</f>
        <v>621.69000000000005</v>
      </c>
      <c r="BF38">
        <f>_xll.EQNXTDZ($A$1,$B38,BF$1,$B$1)</f>
        <v>772.76599999999996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18.594999999999999</v>
      </c>
      <c r="AL39">
        <f>_xll.EQNXTDZ($A$1,$B39,AL$1,$B$1)</f>
        <v>12.125999999999999</v>
      </c>
      <c r="AM39">
        <f>_xll.EQNXTDZ($A$1,$B39,AM$1,$B$1)</f>
        <v>1.546</v>
      </c>
      <c r="AN39">
        <f>_xll.EQNXTDZ($A$1,$B39,AN$1,$B$1)</f>
        <v>2.722</v>
      </c>
      <c r="AO39">
        <f>_xll.EQNXTDZ($A$1,$B39,AO$1,$B$1)</f>
        <v>67.784999999999997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2.1819999999999999</v>
      </c>
      <c r="AA40">
        <f>_xll.EQNXTDZ($A$1,$B40,AA$1,$B$1)</f>
        <v>-0.221</v>
      </c>
      <c r="AB40">
        <f>_xll.EQNXTDZ($A$1,$B40,AB$1,$B$1)</f>
        <v>0.86799999999999999</v>
      </c>
      <c r="AC40">
        <f>_xll.EQNXTDZ($A$1,$B40,AC$1,$B$1)</f>
        <v>-1.512</v>
      </c>
      <c r="AD40">
        <f>_xll.EQNXTDZ($A$1,$B40,AD$1,$B$1)</f>
        <v>0.375</v>
      </c>
      <c r="AE40">
        <f>_xll.EQNXTDZ($A$1,$B40,AE$1,$B$1)</f>
        <v>-2.64</v>
      </c>
      <c r="AF40">
        <f>_xll.EQNXTDZ($A$1,$B40,AF$1,$B$1)</f>
        <v>-8.9770000000000003</v>
      </c>
      <c r="AG40">
        <f>_xll.EQNXTDZ($A$1,$B40,AG$1,$B$1)</f>
        <v>10.401</v>
      </c>
      <c r="AH40">
        <f>_xll.EQNXTDZ($A$1,$B40,AH$1,$B$1)</f>
        <v>-15.173</v>
      </c>
      <c r="AI40">
        <f>_xll.EQNXTDZ($A$1,$B40,AI$1,$B$1)</f>
        <v>22.137</v>
      </c>
      <c r="AJ40">
        <f>_xll.EQNXTDZ($A$1,$B40,AJ$1,$B$1)</f>
        <v>5.1829999999999998</v>
      </c>
      <c r="AK40">
        <f>_xll.EQNXTDZ($A$1,$B40,AK$1,$B$1)</f>
        <v>-6.9820000000000002</v>
      </c>
      <c r="AL40">
        <f>_xll.EQNXTDZ($A$1,$B40,AL$1,$B$1)</f>
        <v>-4.33</v>
      </c>
      <c r="AM40">
        <f>_xll.EQNXTDZ($A$1,$B40,AM$1,$B$1)</f>
        <v>-2.7050000000000001</v>
      </c>
      <c r="AN40">
        <f>_xll.EQNXTDZ($A$1,$B40,AN$1,$B$1)</f>
        <v>-1.7090000000000001</v>
      </c>
      <c r="AO40">
        <f>_xll.EQNXTDZ($A$1,$B40,AO$1,$B$1)</f>
        <v>6.34</v>
      </c>
      <c r="AP40">
        <f>_xll.EQNXTDZ($A$1,$B40,AP$1,$B$1)</f>
        <v>-1.925</v>
      </c>
      <c r="AQ40">
        <f>_xll.EQNXTDZ($A$1,$B40,AQ$1,$B$1)</f>
        <v>-8.3569999999999993</v>
      </c>
      <c r="AR40">
        <f>_xll.EQNXTDZ($A$1,$B40,AR$1,$B$1)</f>
        <v>5.016</v>
      </c>
      <c r="AS40">
        <f>_xll.EQNXTDZ($A$1,$B40,AS$1,$B$1)</f>
        <v>13.31</v>
      </c>
      <c r="AT40">
        <f>_xll.EQNXTDZ($A$1,$B40,AT$1,$B$1)</f>
        <v>-6.6</v>
      </c>
      <c r="AU40">
        <f>_xll.EQNXTDZ($A$1,$B40,AU$1,$B$1)</f>
        <v>-13.1</v>
      </c>
      <c r="AV40">
        <f>_xll.EQNXTDZ($A$1,$B40,AV$1,$B$1)</f>
        <v>7.125</v>
      </c>
      <c r="AW40">
        <f>_xll.EQNXTDZ($A$1,$B40,AW$1,$B$1)</f>
        <v>-2.3090000000000002</v>
      </c>
      <c r="AX40">
        <f>_xll.EQNXTDZ($A$1,$B40,AX$1,$B$1)</f>
        <v>-1.9650000000000001</v>
      </c>
      <c r="AY40">
        <f>_xll.EQNXTDZ($A$1,$B40,AY$1,$B$1)</f>
        <v>-9.1750000000000007</v>
      </c>
      <c r="AZ40">
        <f>_xll.EQNXTDZ($A$1,$B40,AZ$1,$B$1)</f>
        <v>-0.86099999999999999</v>
      </c>
      <c r="BA40">
        <f>_xll.EQNXTDZ($A$1,$B40,BA$1,$B$1)</f>
        <v>-0.54900000000000004</v>
      </c>
      <c r="BB40">
        <f>_xll.EQNXTDZ($A$1,$B40,BB$1,$B$1)</f>
        <v>3.6150000000000002</v>
      </c>
      <c r="BC40">
        <f>_xll.EQNXTDZ($A$1,$B40,BC$1,$B$1)</f>
        <v>-9.4429999999999996</v>
      </c>
      <c r="BD40">
        <f>_xll.EQNXTDZ($A$1,$B40,BD$1,$B$1)</f>
        <v>2.577</v>
      </c>
      <c r="BE40">
        <f>_xll.EQNXTDZ($A$1,$B40,BE$1,$B$1)</f>
        <v>0.623</v>
      </c>
      <c r="BF40">
        <f>_xll.EQNXTDZ($A$1,$B40,BF$1,$B$1)</f>
        <v>11.532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190.90100000000001</v>
      </c>
      <c r="AA41">
        <f>_xll.EQNXTDZ($A$1,$B41,AA$1,$B$1)</f>
        <v>76.781000000000006</v>
      </c>
      <c r="AB41">
        <f>_xll.EQNXTDZ($A$1,$B41,AB$1,$B$1)</f>
        <v>90.072999999999993</v>
      </c>
      <c r="AC41">
        <f>_xll.EQNXTDZ($A$1,$B41,AC$1,$B$1)</f>
        <v>191.82400000000001</v>
      </c>
      <c r="AD41">
        <f>_xll.EQNXTDZ($A$1,$B41,AD$1,$B$1)</f>
        <v>140.75700000000001</v>
      </c>
      <c r="AE41">
        <f>_xll.EQNXTDZ($A$1,$B41,AE$1,$B$1)</f>
        <v>131.87200000000001</v>
      </c>
      <c r="AF41">
        <f>_xll.EQNXTDZ($A$1,$B41,AF$1,$B$1)</f>
        <v>182.851</v>
      </c>
      <c r="AG41">
        <f>_xll.EQNXTDZ($A$1,$B41,AG$1,$B$1)</f>
        <v>229.18100000000001</v>
      </c>
      <c r="AH41">
        <f>_xll.EQNXTDZ($A$1,$B41,AH$1,$B$1)</f>
        <v>198.75</v>
      </c>
      <c r="AI41">
        <f>_xll.EQNXTDZ($A$1,$B41,AI$1,$B$1)</f>
        <v>139.739</v>
      </c>
      <c r="AJ41">
        <f>_xll.EQNXTDZ($A$1,$B41,AJ$1,$B$1)</f>
        <v>225.727</v>
      </c>
      <c r="AK41">
        <f>_xll.EQNXTDZ($A$1,$B41,AK$1,$B$1)</f>
        <v>255.518</v>
      </c>
      <c r="AL41">
        <f>_xll.EQNXTDZ($A$1,$B41,AL$1,$B$1)</f>
        <v>277.09800000000001</v>
      </c>
      <c r="AM41">
        <f>_xll.EQNXTDZ($A$1,$B41,AM$1,$B$1)</f>
        <v>71.28</v>
      </c>
      <c r="AN41">
        <f>_xll.EQNXTDZ($A$1,$B41,AN$1,$B$1)</f>
        <v>196.21899999999999</v>
      </c>
      <c r="AO41">
        <f>_xll.EQNXTDZ($A$1,$B41,AO$1,$B$1)</f>
        <v>320.84500000000003</v>
      </c>
      <c r="AP41">
        <f>_xll.EQNXTDZ($A$1,$B41,AP$1,$B$1)</f>
        <v>320.23700000000002</v>
      </c>
      <c r="AQ41">
        <f>_xll.EQNXTDZ($A$1,$B41,AQ$1,$B$1)</f>
        <v>211.39500000000001</v>
      </c>
      <c r="AR41">
        <f>_xll.EQNXTDZ($A$1,$B41,AR$1,$B$1)</f>
        <v>272.98899999999998</v>
      </c>
      <c r="AS41">
        <f>_xll.EQNXTDZ($A$1,$B41,AS$1,$B$1)</f>
        <v>371.19499999999999</v>
      </c>
      <c r="AT41">
        <f>_xll.EQNXTDZ($A$1,$B41,AT$1,$B$1)</f>
        <v>418.42700000000002</v>
      </c>
      <c r="AU41">
        <f>_xll.EQNXTDZ($A$1,$B41,AU$1,$B$1)</f>
        <v>386.529</v>
      </c>
      <c r="AV41">
        <f>_xll.EQNXTDZ($A$1,$B41,AV$1,$B$1)</f>
        <v>432.7</v>
      </c>
      <c r="AW41">
        <f>_xll.EQNXTDZ($A$1,$B41,AW$1,$B$1)</f>
        <v>410.53</v>
      </c>
      <c r="AX41">
        <f>_xll.EQNXTDZ($A$1,$B41,AX$1,$B$1)</f>
        <v>544.05399999999997</v>
      </c>
      <c r="AY41">
        <f>_xll.EQNXTDZ($A$1,$B41,AY$1,$B$1)</f>
        <v>386.77300000000002</v>
      </c>
      <c r="AZ41">
        <f>_xll.EQNXTDZ($A$1,$B41,AZ$1,$B$1)</f>
        <v>438.95800000000003</v>
      </c>
      <c r="BA41">
        <f>_xll.EQNXTDZ($A$1,$B41,BA$1,$B$1)</f>
        <v>457.00099999999998</v>
      </c>
      <c r="BB41">
        <f>_xll.EQNXTDZ($A$1,$B41,BB$1,$B$1)</f>
        <v>730.27300000000002</v>
      </c>
      <c r="BC41">
        <f>_xll.EQNXTDZ($A$1,$B41,BC$1,$B$1)</f>
        <v>582.69299999999998</v>
      </c>
      <c r="BD41">
        <f>_xll.EQNXTDZ($A$1,$B41,BD$1,$B$1)</f>
        <v>688.02099999999996</v>
      </c>
      <c r="BE41">
        <f>_xll.EQNXTDZ($A$1,$B41,BE$1,$B$1)</f>
        <v>622.32000000000005</v>
      </c>
      <c r="BF41">
        <f>_xll.EQNXTDZ($A$1,$B41,BF$1,$B$1)</f>
        <v>784.25800000000004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188.71899999999999</v>
      </c>
      <c r="AA42">
        <f>_xll.EQNXTDZ($A$1,$B42,AA$1,$B$1)</f>
        <v>77.001999999999995</v>
      </c>
      <c r="AB42">
        <f>_xll.EQNXTDZ($A$1,$B42,AB$1,$B$1)</f>
        <v>89.204999999999998</v>
      </c>
      <c r="AC42">
        <f>_xll.EQNXTDZ($A$1,$B42,AC$1,$B$1)</f>
        <v>193.33600000000001</v>
      </c>
      <c r="AD42">
        <f>_xll.EQNXTDZ($A$1,$B42,AD$1,$B$1)</f>
        <v>140.38200000000001</v>
      </c>
      <c r="AE42">
        <f>_xll.EQNXTDZ($A$1,$B42,AE$1,$B$1)</f>
        <v>134.512</v>
      </c>
      <c r="AF42">
        <f>_xll.EQNXTDZ($A$1,$B42,AF$1,$B$1)</f>
        <v>191.828</v>
      </c>
      <c r="AG42">
        <f>_xll.EQNXTDZ($A$1,$B42,AG$1,$B$1)</f>
        <v>218.78</v>
      </c>
      <c r="AH42">
        <f>_xll.EQNXTDZ($A$1,$B42,AH$1,$B$1)</f>
        <v>213.93700000000001</v>
      </c>
      <c r="AI42">
        <f>_xll.EQNXTDZ($A$1,$B42,AI$1,$B$1)</f>
        <v>117.602</v>
      </c>
      <c r="AJ42">
        <f>_xll.EQNXTDZ($A$1,$B42,AJ$1,$B$1)</f>
        <v>220.548</v>
      </c>
      <c r="AK42">
        <f>_xll.EQNXTDZ($A$1,$B42,AK$1,$B$1)</f>
        <v>262.50200000000001</v>
      </c>
      <c r="AL42">
        <f>_xll.EQNXTDZ($A$1,$B42,AL$1,$B$1)</f>
        <v>281.43200000000002</v>
      </c>
      <c r="AM42">
        <f>_xll.EQNXTDZ($A$1,$B42,AM$1,$B$1)</f>
        <v>73.984999999999999</v>
      </c>
      <c r="AN42">
        <f>_xll.EQNXTDZ($A$1,$B42,AN$1,$B$1)</f>
        <v>197.928</v>
      </c>
      <c r="AO42">
        <f>_xll.EQNXTDZ($A$1,$B42,AO$1,$B$1)</f>
        <v>314.50900000000001</v>
      </c>
      <c r="AP42">
        <f>_xll.EQNXTDZ($A$1,$B42,AP$1,$B$1)</f>
        <v>322.154</v>
      </c>
      <c r="AQ42">
        <f>_xll.EQNXTDZ($A$1,$B42,AQ$1,$B$1)</f>
        <v>219.75700000000001</v>
      </c>
      <c r="AR42">
        <f>_xll.EQNXTDZ($A$1,$B42,AR$1,$B$1)</f>
        <v>267.96800000000002</v>
      </c>
      <c r="AS42">
        <f>_xll.EQNXTDZ($A$1,$B42,AS$1,$B$1)</f>
        <v>357.88200000000001</v>
      </c>
      <c r="AT42">
        <f>_xll.EQNXTDZ($A$1,$B42,AT$1,$B$1)</f>
        <v>425.03399999999999</v>
      </c>
      <c r="AU42">
        <f>_xll.EQNXTDZ($A$1,$B42,AU$1,$B$1)</f>
        <v>399.62299999999999</v>
      </c>
      <c r="AV42">
        <f>_xll.EQNXTDZ($A$1,$B42,AV$1,$B$1)</f>
        <v>425.56799999999998</v>
      </c>
      <c r="AW42">
        <f>_xll.EQNXTDZ($A$1,$B42,AW$1,$B$1)</f>
        <v>412.85</v>
      </c>
      <c r="AX42">
        <f>_xll.EQNXTDZ($A$1,$B42,AX$1,$B$1)</f>
        <v>546.00400000000002</v>
      </c>
      <c r="AY42">
        <f>_xll.EQNXTDZ($A$1,$B42,AY$1,$B$1)</f>
        <v>395.95400000000001</v>
      </c>
      <c r="AZ42">
        <f>_xll.EQNXTDZ($A$1,$B42,AZ$1,$B$1)</f>
        <v>439.81099999999998</v>
      </c>
      <c r="BA42">
        <f>_xll.EQNXTDZ($A$1,$B42,BA$1,$B$1)</f>
        <v>457.55700000000002</v>
      </c>
      <c r="BB42">
        <f>_xll.EQNXTDZ($A$1,$B42,BB$1,$B$1)</f>
        <v>726.66800000000001</v>
      </c>
      <c r="BC42">
        <f>_xll.EQNXTDZ($A$1,$B42,BC$1,$B$1)</f>
        <v>592.12099999999998</v>
      </c>
      <c r="BD42">
        <f>_xll.EQNXTDZ($A$1,$B42,BD$1,$B$1)</f>
        <v>685.45600000000002</v>
      </c>
      <c r="BE42">
        <f>_xll.EQNXTDZ($A$1,$B42,BE$1,$B$1)</f>
        <v>621.69000000000005</v>
      </c>
      <c r="BF42">
        <f>_xll.EQNXTDZ($A$1,$B42,BF$1,$B$1)</f>
        <v>772.76599999999996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141.20599999999999</v>
      </c>
      <c r="AA45">
        <f>_xll.EQNXTDZ($A$1,$B45,AA$1,$B$1)</f>
        <v>141.20599999999999</v>
      </c>
      <c r="AB45">
        <f>_xll.EQNXTDZ($A$1,$B45,AB$1,$B$1)</f>
        <v>141.20599999999999</v>
      </c>
      <c r="AC45">
        <f>_xll.EQNXTDZ($A$1,$B45,AC$1,$B$1)</f>
        <v>141.20599999999999</v>
      </c>
      <c r="AD45">
        <f>_xll.EQNXTDZ($A$1,$B45,AD$1,$B$1)</f>
        <v>141.20599999999999</v>
      </c>
      <c r="AE45">
        <f>_xll.EQNXTDZ($A$1,$B45,AE$1,$B$1)</f>
        <v>148.64599999999999</v>
      </c>
      <c r="AF45">
        <f>_xll.EQNXTDZ($A$1,$B45,AF$1,$B$1)</f>
        <v>148.64599999999999</v>
      </c>
      <c r="AG45">
        <f>_xll.EQNXTDZ($A$1,$B45,AG$1,$B$1)</f>
        <v>148.83000000000001</v>
      </c>
      <c r="AH45">
        <f>_xll.EQNXTDZ($A$1,$B45,AH$1,$B$1)</f>
        <v>148.87899999999999</v>
      </c>
      <c r="AI45">
        <f>_xll.EQNXTDZ($A$1,$B45,AI$1,$B$1)</f>
        <v>148.93299999999999</v>
      </c>
      <c r="AJ45">
        <f>_xll.EQNXTDZ($A$1,$B45,AJ$1,$B$1)</f>
        <v>148.97800000000001</v>
      </c>
      <c r="AK45">
        <f>_xll.EQNXTDZ($A$1,$B45,AK$1,$B$1)</f>
        <v>149.07300000000001</v>
      </c>
      <c r="AL45">
        <f>_xll.EQNXTDZ($A$1,$B45,AL$1,$B$1)</f>
        <v>149.119</v>
      </c>
      <c r="AM45">
        <f>_xll.EQNXTDZ($A$1,$B45,AM$1,$B$1)</f>
        <v>149.16</v>
      </c>
      <c r="AN45">
        <f>_xll.EQNXTDZ($A$1,$B45,AN$1,$B$1)</f>
        <v>149.256</v>
      </c>
      <c r="AO45">
        <f>_xll.EQNXTDZ($A$1,$B45,AO$1,$B$1)</f>
        <v>149.38900000000001</v>
      </c>
      <c r="AP45">
        <f>_xll.EQNXTDZ($A$1,$B45,AP$1,$B$1)</f>
        <v>149.44300000000001</v>
      </c>
      <c r="AQ45">
        <f>_xll.EQNXTDZ($A$1,$B45,AQ$1,$B$1)</f>
        <v>149.60599999999999</v>
      </c>
      <c r="AR45">
        <f>_xll.EQNXTDZ($A$1,$B45,AR$1,$B$1)</f>
        <v>149.65100000000001</v>
      </c>
      <c r="AS45">
        <f>_xll.EQNXTDZ($A$1,$B45,AS$1,$B$1)</f>
        <v>149.70699999999999</v>
      </c>
      <c r="AT45">
        <f>_xll.EQNXTDZ($A$1,$B45,AT$1,$B$1)</f>
        <v>149.76499999999999</v>
      </c>
      <c r="AU45">
        <f>_xll.EQNXTDZ($A$1,$B45,AU$1,$B$1)</f>
        <v>149.86500000000001</v>
      </c>
      <c r="AV45">
        <f>_xll.EQNXTDZ($A$1,$B45,AV$1,$B$1)</f>
        <v>150.00700000000001</v>
      </c>
      <c r="AW45">
        <f>_xll.EQNXTDZ($A$1,$B45,AW$1,$B$1)</f>
        <v>150.16300000000001</v>
      </c>
      <c r="AX45">
        <f>_xll.EQNXTDZ($A$1,$B45,AX$1,$B$1)</f>
        <v>150.23599999999999</v>
      </c>
      <c r="AY45">
        <f>_xll.EQNXTDZ($A$1,$B45,AY$1,$B$1)</f>
        <v>150.29499999999999</v>
      </c>
      <c r="AZ45">
        <f>_xll.EQNXTDZ($A$1,$B45,AZ$1,$B$1)</f>
        <v>150.38900000000001</v>
      </c>
      <c r="BA45">
        <f>_xll.EQNXTDZ($A$1,$B45,BA$1,$B$1)</f>
        <v>150.41999999999999</v>
      </c>
      <c r="BB45">
        <f>_xll.EQNXTDZ($A$1,$B45,BB$1,$B$1)</f>
        <v>150.42599999999999</v>
      </c>
      <c r="BC45">
        <f>_xll.EQNXTDZ($A$1,$B45,BC$1,$B$1)</f>
        <v>150.506</v>
      </c>
      <c r="BD45">
        <f>_xll.EQNXTDZ($A$1,$B45,BD$1,$B$1)</f>
        <v>150.53</v>
      </c>
      <c r="BE45">
        <f>_xll.EQNXTDZ($A$1,$B45,BE$1,$B$1)</f>
        <v>150.53800000000001</v>
      </c>
      <c r="BF45">
        <f>_xll.EQNXTDZ($A$1,$B45,BF$1,$B$1)</f>
        <v>150.55099999999999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620.6</v>
      </c>
      <c r="AF48" s="55">
        <f>_xll.EQNXTDZ($A$1,$B48,AF$5)</f>
        <v>682.85</v>
      </c>
      <c r="AG48" s="55">
        <f>_xll.EQNXTDZ($A$1,$B48,AG$5)</f>
        <v>991.7</v>
      </c>
      <c r="AH48" s="55">
        <f>_xll.EQNXTDZ($A$1,$B48,AH$5)</f>
        <v>741.9</v>
      </c>
      <c r="AI48" s="55">
        <f>_xll.EQNXTDZ($A$1,$B48,AI$5)</f>
        <v>789.6</v>
      </c>
      <c r="AJ48" s="55">
        <f>_xll.EQNXTDZ($A$1,$B48,AJ$5)</f>
        <v>820.3</v>
      </c>
      <c r="AK48" s="55">
        <f>_xll.EQNXTDZ($A$1,$B48,AK$5)</f>
        <v>1035.95</v>
      </c>
      <c r="AL48" s="55">
        <f>_xll.EQNXTDZ($A$1,$B48,AL$5)</f>
        <v>1380.15</v>
      </c>
      <c r="AM48" s="55">
        <f>_xll.EQNXTDZ($A$1,$B48,AM$5)</f>
        <v>1976.75</v>
      </c>
      <c r="AN48" s="55">
        <f>_xll.EQNXTDZ($A$1,$B48,AN$5)</f>
        <v>2392.4499999999998</v>
      </c>
      <c r="AO48" s="55">
        <f>_xll.EQNXTDZ($A$1,$B48,AO$5)</f>
        <v>2463.75</v>
      </c>
      <c r="AP48" s="55">
        <f>_xll.EQNXTDZ($A$1,$B48,AP$5)</f>
        <v>2365.15</v>
      </c>
      <c r="AQ48" s="55">
        <f>_xll.EQNXTDZ($A$1,$B48,AQ$5)</f>
        <v>2199.4</v>
      </c>
      <c r="AR48" s="55">
        <f>_xll.EQNXTDZ($A$1,$B48,AR$5)</f>
        <v>2559.4499999999998</v>
      </c>
      <c r="AS48" s="55">
        <f>_xll.EQNXTDZ($A$1,$B48,AS$5)</f>
        <v>2570.5500000000002</v>
      </c>
      <c r="AT48" s="55">
        <f>_xll.EQNXTDZ($A$1,$B48,AT$5)</f>
        <v>2878.5</v>
      </c>
      <c r="AU48" s="55">
        <f>_xll.EQNXTDZ($A$1,$B48,AU$5)</f>
        <v>3552.15</v>
      </c>
      <c r="AV48" s="55">
        <f>_xll.EQNXTDZ($A$1,$B48,AV$5)</f>
        <v>5338.25</v>
      </c>
      <c r="AW48" s="55">
        <f>_xll.EQNXTDZ($A$1,$B48,AW$5)</f>
        <v>5491.35</v>
      </c>
      <c r="AX48" s="55">
        <f>_xll.EQNXTDZ($A$1,$B48,AX$5)</f>
        <v>5066.3</v>
      </c>
      <c r="AY48" s="55">
        <f>_xll.EQNXTDZ($A$1,$B48,AY$5)</f>
        <v>6735.9</v>
      </c>
      <c r="AZ48" s="55">
        <f>_xll.EQNXTDZ($A$1,$B48,AZ$5)</f>
        <v>6955.25</v>
      </c>
      <c r="BA48" s="55">
        <f>_xll.EQNXTDZ($A$1,$B48,BA$5)</f>
        <v>7271.55</v>
      </c>
      <c r="BB48" s="55">
        <f>_xll.EQNXTDZ($A$1,$B48,BB$5)</f>
        <v>5148.3500000000004</v>
      </c>
      <c r="BC48" s="55">
        <f>_xll.EQNXTDZ($A$1,$B48,BC$5)</f>
        <v>6548.65</v>
      </c>
      <c r="BD48" s="55">
        <f>_xll.EQNXTDZ($A$1,$B48,BD$5)</f>
        <v>7287.45</v>
      </c>
      <c r="BE48" s="55">
        <f>_xll.EQNXTDZ($A$1,$B48,BE$5)</f>
        <v>7627.6</v>
      </c>
      <c r="BF48" s="55">
        <f>_xll.EQNXTDZ($A$1,$B48,BF$5)</f>
        <v>6841.05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68.69</v>
      </c>
      <c r="AF49" s="55">
        <f>_xll.EQNXTDZ($A$1,$B49,AF$5)</f>
        <v>68.69</v>
      </c>
      <c r="AG49" s="55">
        <f>_xll.EQNXTDZ($A$1,$B49,AG$5)</f>
        <v>68.599999999999994</v>
      </c>
      <c r="AH49" s="55">
        <f>_xll.EQNXTDZ($A$1,$B49,AH$5)</f>
        <v>68.58</v>
      </c>
      <c r="AI49" s="55">
        <f>_xll.EQNXTDZ($A$1,$B49,AI$5)</f>
        <v>68.55</v>
      </c>
      <c r="AJ49" s="55">
        <f>_xll.EQNXTDZ($A$1,$B49,AJ$5)</f>
        <v>68.53</v>
      </c>
      <c r="AK49" s="55">
        <f>_xll.EQNXTDZ($A$1,$B49,AK$5)</f>
        <v>68.44</v>
      </c>
      <c r="AL49" s="55">
        <f>_xll.EQNXTDZ($A$1,$B49,AL$5)</f>
        <v>68.42</v>
      </c>
      <c r="AM49" s="55">
        <f>_xll.EQNXTDZ($A$1,$B49,AM$5)</f>
        <v>68.400000000000006</v>
      </c>
      <c r="AN49" s="55">
        <f>_xll.EQNXTDZ($A$1,$B49,AN$5)</f>
        <v>68.36</v>
      </c>
      <c r="AO49" s="55">
        <f>_xll.EQNXTDZ($A$1,$B49,AO$5)</f>
        <v>68.150000000000006</v>
      </c>
      <c r="AP49" s="55">
        <f>_xll.EQNXTDZ($A$1,$B49,AP$5)</f>
        <v>68.08</v>
      </c>
      <c r="AQ49" s="55">
        <f>_xll.EQNXTDZ($A$1,$B49,AQ$5)</f>
        <v>67.989999999999995</v>
      </c>
      <c r="AR49" s="55">
        <f>_xll.EQNXTDZ($A$1,$B49,AR$5)</f>
        <v>67.97</v>
      </c>
      <c r="AS49" s="55">
        <f>_xll.EQNXTDZ($A$1,$B49,AS$5)</f>
        <v>66.61</v>
      </c>
      <c r="AT49" s="55">
        <f>_xll.EQNXTDZ($A$1,$B49,AT$5)</f>
        <v>66.2</v>
      </c>
      <c r="AU49" s="55">
        <f>_xll.EQNXTDZ($A$1,$B49,AU$5)</f>
        <v>65.989999999999995</v>
      </c>
      <c r="AV49" s="55">
        <f>_xll.EQNXTDZ($A$1,$B49,AV$5)</f>
        <v>65.91</v>
      </c>
      <c r="AW49" s="55">
        <f>_xll.EQNXTDZ($A$1,$B49,AW$5)</f>
        <v>65.790000000000006</v>
      </c>
      <c r="AX49" s="55">
        <f>_xll.EQNXTDZ($A$1,$B49,AX$5)</f>
        <v>65.239999999999995</v>
      </c>
      <c r="AY49" s="55">
        <f>_xll.EQNXTDZ($A$1,$B49,AY$5)</f>
        <v>65.02</v>
      </c>
      <c r="AZ49" s="55">
        <f>_xll.EQNXTDZ($A$1,$B49,AZ$5)</f>
        <v>63.06</v>
      </c>
      <c r="BA49" s="55">
        <f>_xll.EQNXTDZ($A$1,$B49,BA$5)</f>
        <v>63.05</v>
      </c>
      <c r="BB49" s="55">
        <f>_xll.EQNXTDZ($A$1,$B49,BB$5)</f>
        <v>63.04</v>
      </c>
      <c r="BC49" s="55">
        <f>_xll.EQNXTDZ($A$1,$B49,BC$5)</f>
        <v>63.01</v>
      </c>
      <c r="BD49" s="55">
        <f>_xll.EQNXTDZ($A$1,$B49,BD$5)</f>
        <v>61.52</v>
      </c>
      <c r="BE49" s="55">
        <f>_xll.EQNXTDZ($A$1,$B49,BE$5)</f>
        <v>61.5</v>
      </c>
      <c r="BF49" s="55">
        <f>_xll.EQNXTDZ($A$1,$B49,BF$5)</f>
        <v>61.5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141.20599999999999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141.20599999999999</v>
      </c>
      <c r="AE56" s="55">
        <f>_xll.EQNXTDZ($A$1,$B56,AE$5,$B$1)</f>
        <v>0</v>
      </c>
      <c r="AF56" s="55">
        <f>_xll.EQNXTDZ($A$1,$B56,AF$5,$B$1)</f>
        <v>148.64599999999999</v>
      </c>
      <c r="AG56" s="55">
        <f>_xll.EQNXTDZ($A$1,$B56,AG$5,$B$1)</f>
        <v>0</v>
      </c>
      <c r="AH56" s="55">
        <f>_xll.EQNXTDZ($A$1,$B56,AH$5,$B$1)</f>
        <v>148.87899999999999</v>
      </c>
      <c r="AI56" s="55">
        <f>_xll.EQNXTDZ($A$1,$B56,AI$5,$B$1)</f>
        <v>0</v>
      </c>
      <c r="AJ56" s="55">
        <f>_xll.EQNXTDZ($A$1,$B56,AJ$5,$B$1)</f>
        <v>148.97800000000001</v>
      </c>
      <c r="AK56" s="55">
        <f>_xll.EQNXTDZ($A$1,$B56,AK$5,$B$1)</f>
        <v>0</v>
      </c>
      <c r="AL56" s="55">
        <f>_xll.EQNXTDZ($A$1,$B56,AL$5,$B$1)</f>
        <v>149.119</v>
      </c>
      <c r="AM56" s="55">
        <f>_xll.EQNXTDZ($A$1,$B56,AM$5,$B$1)</f>
        <v>0</v>
      </c>
      <c r="AN56" s="55">
        <f>_xll.EQNXTDZ($A$1,$B56,AN$5,$B$1)</f>
        <v>149.256</v>
      </c>
      <c r="AO56" s="55">
        <f>_xll.EQNXTDZ($A$1,$B56,AO$5,$B$1)</f>
        <v>0</v>
      </c>
      <c r="AP56" s="55">
        <f>_xll.EQNXTDZ($A$1,$B56,AP$5,$B$1)</f>
        <v>149.44300000000001</v>
      </c>
      <c r="AQ56" s="55">
        <f>_xll.EQNXTDZ($A$1,$B56,AQ$5,$B$1)</f>
        <v>0</v>
      </c>
      <c r="AR56" s="55">
        <f>_xll.EQNXTDZ($A$1,$B56,AR$5,$B$1)</f>
        <v>149.65100000000001</v>
      </c>
      <c r="AS56" s="55">
        <f>_xll.EQNXTDZ($A$1,$B56,AS$5,$B$1)</f>
        <v>0</v>
      </c>
      <c r="AT56" s="55">
        <f>_xll.EQNXTDZ($A$1,$B56,AT$5,$B$1)</f>
        <v>149.76499999999999</v>
      </c>
      <c r="AU56" s="55">
        <f>_xll.EQNXTDZ($A$1,$B56,AU$5,$B$1)</f>
        <v>0</v>
      </c>
      <c r="AV56" s="55">
        <f>_xll.EQNXTDZ($A$1,$B56,AV$5,$B$1)</f>
        <v>150.00700000000001</v>
      </c>
      <c r="AW56" s="55">
        <f>_xll.EQNXTDZ($A$1,$B56,AW$5,$B$1)</f>
        <v>0</v>
      </c>
      <c r="AX56" s="55">
        <f>_xll.EQNXTDZ($A$1,$B56,AX$5,$B$1)</f>
        <v>150.23599999999999</v>
      </c>
      <c r="AY56" s="55">
        <f>_xll.EQNXTDZ($A$1,$B56,AY$5,$B$1)</f>
        <v>0</v>
      </c>
      <c r="AZ56" s="55">
        <f>_xll.EQNXTDZ($A$1,$B56,AZ$5,$B$1)</f>
        <v>150.38900000000001</v>
      </c>
      <c r="BA56" s="55">
        <f>_xll.EQNXTDZ($A$1,$B56,BA$5,$B$1)</f>
        <v>0</v>
      </c>
      <c r="BB56" s="55">
        <f>_xll.EQNXTDZ($A$1,$B56,BB$5,$B$1)</f>
        <v>150.42599999999999</v>
      </c>
      <c r="BC56" s="55">
        <f>_xll.EQNXTDZ($A$1,$B56,BC$5,$B$1)</f>
        <v>0</v>
      </c>
      <c r="BD56" s="55">
        <f>_xll.EQNXTDZ($A$1,$B56,BD$5,$B$1)</f>
        <v>150.53</v>
      </c>
      <c r="BE56" s="55">
        <f>_xll.EQNXTDZ($A$1,$B56,BE$5,$B$1)</f>
        <v>0</v>
      </c>
      <c r="BF56" s="55">
        <f>_xll.EQNXTDZ($A$1,$B56,BF$5,$B$1)</f>
        <v>150.55099999999999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1.1080000000000001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2206.413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2705.7489999999998</v>
      </c>
      <c r="AE58" s="55">
        <f>_xll.EQNXTDZ($A$1,$B58,AE$5,$B$1)</f>
        <v>0</v>
      </c>
      <c r="AF58" s="55">
        <f>_xll.EQNXTDZ($A$1,$B58,AF$5,$B$1)</f>
        <v>3367.732</v>
      </c>
      <c r="AG58" s="55">
        <f>_xll.EQNXTDZ($A$1,$B58,AG$5,$B$1)</f>
        <v>0</v>
      </c>
      <c r="AH58" s="55">
        <f>_xll.EQNXTDZ($A$1,$B58,AH$5,$B$1)</f>
        <v>3687.5360000000001</v>
      </c>
      <c r="AI58" s="55">
        <f>_xll.EQNXTDZ($A$1,$B58,AI$5,$B$1)</f>
        <v>0</v>
      </c>
      <c r="AJ58" s="55">
        <f>_xll.EQNXTDZ($A$1,$B58,AJ$5,$B$1)</f>
        <v>4064.7150000000001</v>
      </c>
      <c r="AK58" s="55">
        <f>_xll.EQNXTDZ($A$1,$B58,AK$5,$B$1)</f>
        <v>0</v>
      </c>
      <c r="AL58" s="55">
        <f>_xll.EQNXTDZ($A$1,$B58,AL$5,$B$1)</f>
        <v>4604.8209999999999</v>
      </c>
      <c r="AM58" s="55">
        <f>_xll.EQNXTDZ($A$1,$B58,AM$5,$B$1)</f>
        <v>0</v>
      </c>
      <c r="AN58" s="55">
        <f>_xll.EQNXTDZ($A$1,$B58,AN$5,$B$1)</f>
        <v>4739.6689999999999</v>
      </c>
      <c r="AO58" s="55">
        <f>_xll.EQNXTDZ($A$1,$B58,AO$5,$B$1)</f>
        <v>0</v>
      </c>
      <c r="AP58" s="55">
        <f>_xll.EQNXTDZ($A$1,$B58,AP$5,$B$1)</f>
        <v>5394.2979999999998</v>
      </c>
      <c r="AQ58" s="55">
        <f>_xll.EQNXTDZ($A$1,$B58,AQ$5,$B$1)</f>
        <v>0</v>
      </c>
      <c r="AR58" s="55">
        <f>_xll.EQNXTDZ($A$1,$B58,AR$5,$B$1)</f>
        <v>5683.527</v>
      </c>
      <c r="AS58" s="55">
        <f>_xll.EQNXTDZ($A$1,$B58,AS$5,$B$1)</f>
        <v>0</v>
      </c>
      <c r="AT58" s="55">
        <f>_xll.EQNXTDZ($A$1,$B58,AT$5,$B$1)</f>
        <v>6487.442</v>
      </c>
      <c r="AU58" s="55">
        <f>_xll.EQNXTDZ($A$1,$B58,AU$5,$B$1)</f>
        <v>0</v>
      </c>
      <c r="AV58" s="55">
        <f>_xll.EQNXTDZ($A$1,$B58,AV$5,$B$1)</f>
        <v>7045.125</v>
      </c>
      <c r="AW58" s="55">
        <f>_xll.EQNXTDZ($A$1,$B58,AW$5,$B$1)</f>
        <v>0</v>
      </c>
      <c r="AX58" s="55">
        <f>_xll.EQNXTDZ($A$1,$B58,AX$5,$B$1)</f>
        <v>8036.8980000000001</v>
      </c>
      <c r="AY58" s="55">
        <f>_xll.EQNXTDZ($A$1,$B58,AY$5,$B$1)</f>
        <v>0</v>
      </c>
      <c r="AZ58" s="55">
        <f>_xll.EQNXTDZ($A$1,$B58,AZ$5,$B$1)</f>
        <v>8443.5789999999997</v>
      </c>
      <c r="BA58" s="55">
        <f>_xll.EQNXTDZ($A$1,$B58,BA$5,$B$1)</f>
        <v>0</v>
      </c>
      <c r="BB58" s="55">
        <f>_xll.EQNXTDZ($A$1,$B58,BB$5,$B$1)</f>
        <v>9677.6290000000008</v>
      </c>
      <c r="BC58" s="55">
        <f>_xll.EQNXTDZ($A$1,$B58,BC$5,$B$1)</f>
        <v>0</v>
      </c>
      <c r="BD58" s="55">
        <f>_xll.EQNXTDZ($A$1,$B58,BD$5,$B$1)</f>
        <v>10443.191999999999</v>
      </c>
      <c r="BE58" s="55">
        <f>_xll.EQNXTDZ($A$1,$B58,BE$5,$B$1)</f>
        <v>0</v>
      </c>
      <c r="BF58" s="55">
        <f>_xll.EQNXTDZ($A$1,$B58,BF$5,$B$1)</f>
        <v>11858.025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2347.6190000000001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2846.9549999999999</v>
      </c>
      <c r="AE59" s="55">
        <f>_xll.EQNXTDZ($A$1,$B59,AE$5,$B$1)</f>
        <v>0</v>
      </c>
      <c r="AF59" s="55">
        <f>_xll.EQNXTDZ($A$1,$B59,AF$5,$B$1)</f>
        <v>3517.4859999999999</v>
      </c>
      <c r="AG59" s="55">
        <f>_xll.EQNXTDZ($A$1,$B59,AG$5,$B$1)</f>
        <v>0</v>
      </c>
      <c r="AH59" s="55">
        <f>_xll.EQNXTDZ($A$1,$B59,AH$5,$B$1)</f>
        <v>3836.415</v>
      </c>
      <c r="AI59" s="55">
        <f>_xll.EQNXTDZ($A$1,$B59,AI$5,$B$1)</f>
        <v>0</v>
      </c>
      <c r="AJ59" s="55">
        <f>_xll.EQNXTDZ($A$1,$B59,AJ$5,$B$1)</f>
        <v>4213.6930000000002</v>
      </c>
      <c r="AK59" s="55">
        <f>_xll.EQNXTDZ($A$1,$B59,AK$5,$B$1)</f>
        <v>0</v>
      </c>
      <c r="AL59" s="55">
        <f>_xll.EQNXTDZ($A$1,$B59,AL$5,$B$1)</f>
        <v>4753.9399999999996</v>
      </c>
      <c r="AM59" s="55">
        <f>_xll.EQNXTDZ($A$1,$B59,AM$5,$B$1)</f>
        <v>0</v>
      </c>
      <c r="AN59" s="55">
        <f>_xll.EQNXTDZ($A$1,$B59,AN$5,$B$1)</f>
        <v>4888.9250000000002</v>
      </c>
      <c r="AO59" s="55">
        <f>_xll.EQNXTDZ($A$1,$B59,AO$5,$B$1)</f>
        <v>0</v>
      </c>
      <c r="AP59" s="55">
        <f>_xll.EQNXTDZ($A$1,$B59,AP$5,$B$1)</f>
        <v>5543.741</v>
      </c>
      <c r="AQ59" s="55">
        <f>_xll.EQNXTDZ($A$1,$B59,AQ$5,$B$1)</f>
        <v>0</v>
      </c>
      <c r="AR59" s="55">
        <f>_xll.EQNXTDZ($A$1,$B59,AR$5,$B$1)</f>
        <v>5833.1779999999999</v>
      </c>
      <c r="AS59" s="55">
        <f>_xll.EQNXTDZ($A$1,$B59,AS$5,$B$1)</f>
        <v>0</v>
      </c>
      <c r="AT59" s="55">
        <f>_xll.EQNXTDZ($A$1,$B59,AT$5,$B$1)</f>
        <v>6637.2070000000003</v>
      </c>
      <c r="AU59" s="55">
        <f>_xll.EQNXTDZ($A$1,$B59,AU$5,$B$1)</f>
        <v>0</v>
      </c>
      <c r="AV59" s="55">
        <f>_xll.EQNXTDZ($A$1,$B59,AV$5,$B$1)</f>
        <v>7195.1319999999996</v>
      </c>
      <c r="AW59" s="55">
        <f>_xll.EQNXTDZ($A$1,$B59,AW$5,$B$1)</f>
        <v>0</v>
      </c>
      <c r="AX59" s="55">
        <f>_xll.EQNXTDZ($A$1,$B59,AX$5,$B$1)</f>
        <v>8187.134</v>
      </c>
      <c r="AY59" s="55">
        <f>_xll.EQNXTDZ($A$1,$B59,AY$5,$B$1)</f>
        <v>0</v>
      </c>
      <c r="AZ59" s="55">
        <f>_xll.EQNXTDZ($A$1,$B59,AZ$5,$B$1)</f>
        <v>8593.9680000000008</v>
      </c>
      <c r="BA59" s="55">
        <f>_xll.EQNXTDZ($A$1,$B59,BA$5,$B$1)</f>
        <v>0</v>
      </c>
      <c r="BB59" s="55">
        <f>_xll.EQNXTDZ($A$1,$B59,BB$5,$B$1)</f>
        <v>9828.0550000000003</v>
      </c>
      <c r="BC59" s="55">
        <f>_xll.EQNXTDZ($A$1,$B59,BC$5,$B$1)</f>
        <v>0</v>
      </c>
      <c r="BD59" s="55">
        <f>_xll.EQNXTDZ($A$1,$B59,BD$5,$B$1)</f>
        <v>10593.722</v>
      </c>
      <c r="BE59" s="55">
        <f>_xll.EQNXTDZ($A$1,$B59,BE$5,$B$1)</f>
        <v>0</v>
      </c>
      <c r="BF59" s="55">
        <f>_xll.EQNXTDZ($A$1,$B59,BF$5,$B$1)</f>
        <v>12008.575999999999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4.0490000000000004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8.4250000000000007</v>
      </c>
      <c r="AE60" s="55">
        <f>_xll.EQNXTDZ($A$1,$B60,AE$5,$B$1)</f>
        <v>0</v>
      </c>
      <c r="AF60" s="55">
        <f>_xll.EQNXTDZ($A$1,$B60,AF$5,$B$1)</f>
        <v>11.153</v>
      </c>
      <c r="AG60" s="55">
        <f>_xll.EQNXTDZ($A$1,$B60,AG$5,$B$1)</f>
        <v>0</v>
      </c>
      <c r="AH60" s="55">
        <f>_xll.EQNXTDZ($A$1,$B60,AH$5,$B$1)</f>
        <v>15</v>
      </c>
      <c r="AI60" s="55">
        <f>_xll.EQNXTDZ($A$1,$B60,AI$5,$B$1)</f>
        <v>0</v>
      </c>
      <c r="AJ60" s="55">
        <f>_xll.EQNXTDZ($A$1,$B60,AJ$5,$B$1)</f>
        <v>15.959</v>
      </c>
      <c r="AK60" s="55">
        <f>_xll.EQNXTDZ($A$1,$B60,AK$5,$B$1)</f>
        <v>0</v>
      </c>
      <c r="AL60" s="55">
        <f>_xll.EQNXTDZ($A$1,$B60,AL$5,$B$1)</f>
        <v>18.829000000000001</v>
      </c>
      <c r="AM60" s="55">
        <f>_xll.EQNXTDZ($A$1,$B60,AM$5,$B$1)</f>
        <v>0</v>
      </c>
      <c r="AN60" s="55">
        <f>_xll.EQNXTDZ($A$1,$B60,AN$5,$B$1)</f>
        <v>22.706</v>
      </c>
      <c r="AO60" s="55">
        <f>_xll.EQNXTDZ($A$1,$B60,AO$5,$B$1)</f>
        <v>0</v>
      </c>
      <c r="AP60" s="55">
        <f>_xll.EQNXTDZ($A$1,$B60,AP$5,$B$1)</f>
        <v>25.07</v>
      </c>
      <c r="AQ60" s="55">
        <f>_xll.EQNXTDZ($A$1,$B60,AQ$5,$B$1)</f>
        <v>0</v>
      </c>
      <c r="AR60" s="55">
        <f>_xll.EQNXTDZ($A$1,$B60,AR$5,$B$1)</f>
        <v>30.518000000000001</v>
      </c>
      <c r="AS60" s="55">
        <f>_xll.EQNXTDZ($A$1,$B60,AS$5,$B$1)</f>
        <v>0</v>
      </c>
      <c r="AT60" s="55">
        <f>_xll.EQNXTDZ($A$1,$B60,AT$5,$B$1)</f>
        <v>37.377000000000002</v>
      </c>
      <c r="AU60" s="55">
        <f>_xll.EQNXTDZ($A$1,$B60,AU$5,$B$1)</f>
        <v>0</v>
      </c>
      <c r="AV60" s="55">
        <f>_xll.EQNXTDZ($A$1,$B60,AV$5,$B$1)</f>
        <v>45.076999999999998</v>
      </c>
      <c r="AW60" s="55">
        <f>_xll.EQNXTDZ($A$1,$B60,AW$5,$B$1)</f>
        <v>0</v>
      </c>
      <c r="AX60" s="55">
        <f>_xll.EQNXTDZ($A$1,$B60,AX$5,$B$1)</f>
        <v>56.207000000000001</v>
      </c>
      <c r="AY60" s="55">
        <f>_xll.EQNXTDZ($A$1,$B60,AY$5,$B$1)</f>
        <v>0</v>
      </c>
      <c r="AZ60" s="55">
        <f>_xll.EQNXTDZ($A$1,$B60,AZ$5,$B$1)</f>
        <v>67.266999999999996</v>
      </c>
      <c r="BA60" s="55">
        <f>_xll.EQNXTDZ($A$1,$B60,BA$5,$B$1)</f>
        <v>0</v>
      </c>
      <c r="BB60" s="55">
        <f>_xll.EQNXTDZ($A$1,$B60,BB$5,$B$1)</f>
        <v>81.769000000000005</v>
      </c>
      <c r="BC60" s="55">
        <f>_xll.EQNXTDZ($A$1,$B60,BC$5,$B$1)</f>
        <v>0</v>
      </c>
      <c r="BD60" s="55">
        <f>_xll.EQNXTDZ($A$1,$B60,BD$5,$B$1)</f>
        <v>96.843999999999994</v>
      </c>
      <c r="BE60" s="55">
        <f>_xll.EQNXTDZ($A$1,$B60,BE$5,$B$1)</f>
        <v>0</v>
      </c>
      <c r="BF60" s="55">
        <f>_xll.EQNXTDZ($A$1,$B60,BF$5,$B$1)</f>
        <v>118.193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158.94900000000001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88.924999999999997</v>
      </c>
      <c r="AE61" s="55">
        <f>_xll.EQNXTDZ($A$1,$B61,AE$5,$B$1)</f>
        <v>0</v>
      </c>
      <c r="AF61" s="55">
        <f>_xll.EQNXTDZ($A$1,$B61,AF$5,$B$1)</f>
        <v>15.76</v>
      </c>
      <c r="AG61" s="55">
        <f>_xll.EQNXTDZ($A$1,$B61,AG$5,$B$1)</f>
        <v>0</v>
      </c>
      <c r="AH61" s="55">
        <f>_xll.EQNXTDZ($A$1,$B61,AH$5,$B$1)</f>
        <v>10.654999999999999</v>
      </c>
      <c r="AI61" s="55">
        <f>_xll.EQNXTDZ($A$1,$B61,AI$5,$B$1)</f>
        <v>0</v>
      </c>
      <c r="AJ61" s="55">
        <f>_xll.EQNXTDZ($A$1,$B61,AJ$5,$B$1)</f>
        <v>130.83099999999999</v>
      </c>
      <c r="AK61" s="55">
        <f>_xll.EQNXTDZ($A$1,$B61,AK$5,$B$1)</f>
        <v>0</v>
      </c>
      <c r="AL61" s="55">
        <f>_xll.EQNXTDZ($A$1,$B61,AL$5,$B$1)</f>
        <v>103.676</v>
      </c>
      <c r="AM61" s="55">
        <f>_xll.EQNXTDZ($A$1,$B61,AM$5,$B$1)</f>
        <v>0</v>
      </c>
      <c r="AN61" s="55">
        <f>_xll.EQNXTDZ($A$1,$B61,AN$5,$B$1)</f>
        <v>77.872</v>
      </c>
      <c r="AO61" s="55">
        <f>_xll.EQNXTDZ($A$1,$B61,AO$5,$B$1)</f>
        <v>0</v>
      </c>
      <c r="AP61" s="55">
        <f>_xll.EQNXTDZ($A$1,$B61,AP$5,$B$1)</f>
        <v>2.9740000000000002</v>
      </c>
      <c r="AQ61" s="55">
        <f>_xll.EQNXTDZ($A$1,$B61,AQ$5,$B$1)</f>
        <v>0</v>
      </c>
      <c r="AR61" s="55">
        <f>_xll.EQNXTDZ($A$1,$B61,AR$5,$B$1)</f>
        <v>2.7719999999999998</v>
      </c>
      <c r="AS61" s="55">
        <f>_xll.EQNXTDZ($A$1,$B61,AS$5,$B$1)</f>
        <v>0</v>
      </c>
      <c r="AT61" s="55">
        <f>_xll.EQNXTDZ($A$1,$B61,AT$5,$B$1)</f>
        <v>4.2080000000000002</v>
      </c>
      <c r="AU61" s="55">
        <f>_xll.EQNXTDZ($A$1,$B61,AU$5,$B$1)</f>
        <v>0</v>
      </c>
      <c r="AV61" s="55">
        <f>_xll.EQNXTDZ($A$1,$B61,AV$5,$B$1)</f>
        <v>3.3479999999999999</v>
      </c>
      <c r="AW61" s="55">
        <f>_xll.EQNXTDZ($A$1,$B61,AW$5,$B$1)</f>
        <v>0</v>
      </c>
      <c r="AX61" s="55">
        <f>_xll.EQNXTDZ($A$1,$B61,AX$5,$B$1)</f>
        <v>22.603999999999999</v>
      </c>
      <c r="AY61" s="55">
        <f>_xll.EQNXTDZ($A$1,$B61,AY$5,$B$1)</f>
        <v>0</v>
      </c>
      <c r="AZ61" s="55">
        <f>_xll.EQNXTDZ($A$1,$B61,AZ$5,$B$1)</f>
        <v>33.357999999999997</v>
      </c>
      <c r="BA61" s="55">
        <f>_xll.EQNXTDZ($A$1,$B61,BA$5,$B$1)</f>
        <v>0</v>
      </c>
      <c r="BB61" s="55">
        <f>_xll.EQNXTDZ($A$1,$B61,BB$5,$B$1)</f>
        <v>41.94</v>
      </c>
      <c r="BC61" s="55">
        <f>_xll.EQNXTDZ($A$1,$B61,BC$5,$B$1)</f>
        <v>0</v>
      </c>
      <c r="BD61" s="55">
        <f>_xll.EQNXTDZ($A$1,$B61,BD$5,$B$1)</f>
        <v>43.215000000000003</v>
      </c>
      <c r="BE61" s="55">
        <f>_xll.EQNXTDZ($A$1,$B61,BE$5,$B$1)</f>
        <v>0</v>
      </c>
      <c r="BF61" s="55">
        <f>_xll.EQNXTDZ($A$1,$B61,BF$5,$B$1)</f>
        <v>39.267000000000003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158.94900000000001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88.924999999999997</v>
      </c>
      <c r="AE63" s="55">
        <f>_xll.EQNXTDZ($A$1,$B63,AE$5,$B$1)</f>
        <v>0</v>
      </c>
      <c r="AF63" s="55">
        <f>_xll.EQNXTDZ($A$1,$B63,AF$5,$B$1)</f>
        <v>15.76</v>
      </c>
      <c r="AG63" s="55">
        <f>_xll.EQNXTDZ($A$1,$B63,AG$5,$B$1)</f>
        <v>0</v>
      </c>
      <c r="AH63" s="55">
        <f>_xll.EQNXTDZ($A$1,$B63,AH$5,$B$1)</f>
        <v>10.654999999999999</v>
      </c>
      <c r="AI63" s="55">
        <f>_xll.EQNXTDZ($A$1,$B63,AI$5,$B$1)</f>
        <v>0</v>
      </c>
      <c r="AJ63" s="55">
        <f>_xll.EQNXTDZ($A$1,$B63,AJ$5,$B$1)</f>
        <v>130.83099999999999</v>
      </c>
      <c r="AK63" s="55">
        <f>_xll.EQNXTDZ($A$1,$B63,AK$5,$B$1)</f>
        <v>0</v>
      </c>
      <c r="AL63" s="55">
        <f>_xll.EQNXTDZ($A$1,$B63,AL$5,$B$1)</f>
        <v>103.676</v>
      </c>
      <c r="AM63" s="55">
        <f>_xll.EQNXTDZ($A$1,$B63,AM$5,$B$1)</f>
        <v>0</v>
      </c>
      <c r="AN63" s="55">
        <f>_xll.EQNXTDZ($A$1,$B63,AN$5,$B$1)</f>
        <v>77.872</v>
      </c>
      <c r="AO63" s="55">
        <f>_xll.EQNXTDZ($A$1,$B63,AO$5,$B$1)</f>
        <v>0</v>
      </c>
      <c r="AP63" s="55">
        <f>_xll.EQNXTDZ($A$1,$B63,AP$5,$B$1)</f>
        <v>2.9740000000000002</v>
      </c>
      <c r="AQ63" s="55">
        <f>_xll.EQNXTDZ($A$1,$B63,AQ$5,$B$1)</f>
        <v>0</v>
      </c>
      <c r="AR63" s="55">
        <f>_xll.EQNXTDZ($A$1,$B63,AR$5,$B$1)</f>
        <v>2.7719999999999998</v>
      </c>
      <c r="AS63" s="55">
        <f>_xll.EQNXTDZ($A$1,$B63,AS$5,$B$1)</f>
        <v>0</v>
      </c>
      <c r="AT63" s="55">
        <f>_xll.EQNXTDZ($A$1,$B63,AT$5,$B$1)</f>
        <v>4.2080000000000002</v>
      </c>
      <c r="AU63" s="55">
        <f>_xll.EQNXTDZ($A$1,$B63,AU$5,$B$1)</f>
        <v>0</v>
      </c>
      <c r="AV63" s="55">
        <f>_xll.EQNXTDZ($A$1,$B63,AV$5,$B$1)</f>
        <v>3.3479999999999999</v>
      </c>
      <c r="AW63" s="55">
        <f>_xll.EQNXTDZ($A$1,$B63,AW$5,$B$1)</f>
        <v>0</v>
      </c>
      <c r="AX63" s="55">
        <f>_xll.EQNXTDZ($A$1,$B63,AX$5,$B$1)</f>
        <v>22.603999999999999</v>
      </c>
      <c r="AY63" s="55">
        <f>_xll.EQNXTDZ($A$1,$B63,AY$5,$B$1)</f>
        <v>0</v>
      </c>
      <c r="AZ63" s="55">
        <f>_xll.EQNXTDZ($A$1,$B63,AZ$5,$B$1)</f>
        <v>33.357999999999997</v>
      </c>
      <c r="BA63" s="55">
        <f>_xll.EQNXTDZ($A$1,$B63,BA$5,$B$1)</f>
        <v>0</v>
      </c>
      <c r="BB63" s="55">
        <f>_xll.EQNXTDZ($A$1,$B63,BB$5,$B$1)</f>
        <v>41.94</v>
      </c>
      <c r="BC63" s="55">
        <f>_xll.EQNXTDZ($A$1,$B63,BC$5,$B$1)</f>
        <v>0</v>
      </c>
      <c r="BD63" s="55">
        <f>_xll.EQNXTDZ($A$1,$B63,BD$5,$B$1)</f>
        <v>43.215000000000003</v>
      </c>
      <c r="BE63" s="55">
        <f>_xll.EQNXTDZ($A$1,$B63,BE$5,$B$1)</f>
        <v>0</v>
      </c>
      <c r="BF63" s="55">
        <f>_xll.EQNXTDZ($A$1,$B63,BF$5,$B$1)</f>
        <v>39.267000000000003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18.22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25.704000000000001</v>
      </c>
      <c r="AE64" s="55">
        <f>_xll.EQNXTDZ($A$1,$B64,AE$5,$B$1)</f>
        <v>0</v>
      </c>
      <c r="AF64" s="55">
        <f>_xll.EQNXTDZ($A$1,$B64,AF$5,$B$1)</f>
        <v>58.957999999999998</v>
      </c>
      <c r="AG64" s="55">
        <f>_xll.EQNXTDZ($A$1,$B64,AG$5,$B$1)</f>
        <v>0</v>
      </c>
      <c r="AH64" s="55">
        <f>_xll.EQNXTDZ($A$1,$B64,AH$5,$B$1)</f>
        <v>47.308</v>
      </c>
      <c r="AI64" s="55">
        <f>_xll.EQNXTDZ($A$1,$B64,AI$5,$B$1)</f>
        <v>0</v>
      </c>
      <c r="AJ64" s="55">
        <f>_xll.EQNXTDZ($A$1,$B64,AJ$5,$B$1)</f>
        <v>67.418000000000006</v>
      </c>
      <c r="AK64" s="55">
        <f>_xll.EQNXTDZ($A$1,$B64,AK$5,$B$1)</f>
        <v>0</v>
      </c>
      <c r="AL64" s="55">
        <f>_xll.EQNXTDZ($A$1,$B64,AL$5,$B$1)</f>
        <v>56.73</v>
      </c>
      <c r="AM64" s="55">
        <f>_xll.EQNXTDZ($A$1,$B64,AM$5,$B$1)</f>
        <v>0</v>
      </c>
      <c r="AN64" s="55">
        <f>_xll.EQNXTDZ($A$1,$B64,AN$5,$B$1)</f>
        <v>60.021999999999998</v>
      </c>
      <c r="AO64" s="55">
        <f>_xll.EQNXTDZ($A$1,$B64,AO$5,$B$1)</f>
        <v>0</v>
      </c>
      <c r="AP64" s="55">
        <f>_xll.EQNXTDZ($A$1,$B64,AP$5,$B$1)</f>
        <v>45.180999999999997</v>
      </c>
      <c r="AQ64" s="55">
        <f>_xll.EQNXTDZ($A$1,$B64,AQ$5,$B$1)</f>
        <v>0</v>
      </c>
      <c r="AR64" s="55">
        <f>_xll.EQNXTDZ($A$1,$B64,AR$5,$B$1)</f>
        <v>50.378999999999998</v>
      </c>
      <c r="AS64" s="55">
        <f>_xll.EQNXTDZ($A$1,$B64,AS$5,$B$1)</f>
        <v>0</v>
      </c>
      <c r="AT64" s="55">
        <f>_xll.EQNXTDZ($A$1,$B64,AT$5,$B$1)</f>
        <v>38.951000000000001</v>
      </c>
      <c r="AU64" s="55">
        <f>_xll.EQNXTDZ($A$1,$B64,AU$5,$B$1)</f>
        <v>0</v>
      </c>
      <c r="AV64" s="55">
        <f>_xll.EQNXTDZ($A$1,$B64,AV$5,$B$1)</f>
        <v>74.143000000000001</v>
      </c>
      <c r="AW64" s="55">
        <f>_xll.EQNXTDZ($A$1,$B64,AW$5,$B$1)</f>
        <v>0</v>
      </c>
      <c r="AX64" s="55">
        <f>_xll.EQNXTDZ($A$1,$B64,AX$5,$B$1)</f>
        <v>120.548</v>
      </c>
      <c r="AY64" s="55">
        <f>_xll.EQNXTDZ($A$1,$B64,AY$5,$B$1)</f>
        <v>0</v>
      </c>
      <c r="AZ64" s="55">
        <f>_xll.EQNXTDZ($A$1,$B64,AZ$5,$B$1)</f>
        <v>191.24299999999999</v>
      </c>
      <c r="BA64" s="55">
        <f>_xll.EQNXTDZ($A$1,$B64,BA$5,$B$1)</f>
        <v>0</v>
      </c>
      <c r="BB64" s="55">
        <f>_xll.EQNXTDZ($A$1,$B64,BB$5,$B$1)</f>
        <v>170.03800000000001</v>
      </c>
      <c r="BC64" s="55">
        <f>_xll.EQNXTDZ($A$1,$B64,BC$5,$B$1)</f>
        <v>0</v>
      </c>
      <c r="BD64" s="55">
        <f>_xll.EQNXTDZ($A$1,$B64,BD$5,$B$1)</f>
        <v>201.262</v>
      </c>
      <c r="BE64" s="55">
        <f>_xll.EQNXTDZ($A$1,$B64,BE$5,$B$1)</f>
        <v>0</v>
      </c>
      <c r="BF64" s="55">
        <f>_xll.EQNXTDZ($A$1,$B64,BF$5,$B$1)</f>
        <v>236.10599999999999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9.51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16.242000000000001</v>
      </c>
      <c r="AE66" s="55">
        <f>_xll.EQNXTDZ($A$1,$B66,AE$5,$B$1)</f>
        <v>0</v>
      </c>
      <c r="AF66" s="55">
        <f>_xll.EQNXTDZ($A$1,$B66,AF$5,$B$1)</f>
        <v>23.484000000000002</v>
      </c>
      <c r="AG66" s="55">
        <f>_xll.EQNXTDZ($A$1,$B66,AG$5,$B$1)</f>
        <v>0</v>
      </c>
      <c r="AH66" s="55">
        <f>_xll.EQNXTDZ($A$1,$B66,AH$5,$B$1)</f>
        <v>25.632000000000001</v>
      </c>
      <c r="AI66" s="55">
        <f>_xll.EQNXTDZ($A$1,$B66,AI$5,$B$1)</f>
        <v>0</v>
      </c>
      <c r="AJ66" s="55">
        <f>_xll.EQNXTDZ($A$1,$B66,AJ$5,$B$1)</f>
        <v>26.352</v>
      </c>
      <c r="AK66" s="55">
        <f>_xll.EQNXTDZ($A$1,$B66,AK$5,$B$1)</f>
        <v>0</v>
      </c>
      <c r="AL66" s="55">
        <f>_xll.EQNXTDZ($A$1,$B66,AL$5,$B$1)</f>
        <v>25.143999999999998</v>
      </c>
      <c r="AM66" s="55">
        <f>_xll.EQNXTDZ($A$1,$B66,AM$5,$B$1)</f>
        <v>0</v>
      </c>
      <c r="AN66" s="55">
        <f>_xll.EQNXTDZ($A$1,$B66,AN$5,$B$1)</f>
        <v>32.006</v>
      </c>
      <c r="AO66" s="55">
        <f>_xll.EQNXTDZ($A$1,$B66,AO$5,$B$1)</f>
        <v>0</v>
      </c>
      <c r="AP66" s="55">
        <f>_xll.EQNXTDZ($A$1,$B66,AP$5,$B$1)</f>
        <v>26.427</v>
      </c>
      <c r="AQ66" s="55">
        <f>_xll.EQNXTDZ($A$1,$B66,AQ$5,$B$1)</f>
        <v>0</v>
      </c>
      <c r="AR66" s="55">
        <f>_xll.EQNXTDZ($A$1,$B66,AR$5,$B$1)</f>
        <v>29.91</v>
      </c>
      <c r="AS66" s="55">
        <f>_xll.EQNXTDZ($A$1,$B66,AS$5,$B$1)</f>
        <v>0</v>
      </c>
      <c r="AT66" s="55">
        <f>_xll.EQNXTDZ($A$1,$B66,AT$5,$B$1)</f>
        <v>44.973999999999997</v>
      </c>
      <c r="AU66" s="55">
        <f>_xll.EQNXTDZ($A$1,$B66,AU$5,$B$1)</f>
        <v>0</v>
      </c>
      <c r="AV66" s="55">
        <f>_xll.EQNXTDZ($A$1,$B66,AV$5,$B$1)</f>
        <v>55.133000000000003</v>
      </c>
      <c r="AW66" s="55">
        <f>_xll.EQNXTDZ($A$1,$B66,AW$5,$B$1)</f>
        <v>0</v>
      </c>
      <c r="AX66" s="55">
        <f>_xll.EQNXTDZ($A$1,$B66,AX$5,$B$1)</f>
        <v>43.877000000000002</v>
      </c>
      <c r="AY66" s="55">
        <f>_xll.EQNXTDZ($A$1,$B66,AY$5,$B$1)</f>
        <v>0</v>
      </c>
      <c r="AZ66" s="55">
        <f>_xll.EQNXTDZ($A$1,$B66,AZ$5,$B$1)</f>
        <v>65.698999999999998</v>
      </c>
      <c r="BA66" s="55">
        <f>_xll.EQNXTDZ($A$1,$B66,BA$5,$B$1)</f>
        <v>0</v>
      </c>
      <c r="BB66" s="55">
        <f>_xll.EQNXTDZ($A$1,$B66,BB$5,$B$1)</f>
        <v>41.314999999999998</v>
      </c>
      <c r="BC66" s="55">
        <f>_xll.EQNXTDZ($A$1,$B66,BC$5,$B$1)</f>
        <v>0</v>
      </c>
      <c r="BD66" s="55">
        <f>_xll.EQNXTDZ($A$1,$B66,BD$5,$B$1)</f>
        <v>52.25</v>
      </c>
      <c r="BE66" s="55">
        <f>_xll.EQNXTDZ($A$1,$B66,BE$5,$B$1)</f>
        <v>0</v>
      </c>
      <c r="BF66" s="55">
        <f>_xll.EQNXTDZ($A$1,$B66,BF$5,$B$1)</f>
        <v>56.398000000000003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2538.3470000000002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2986.2510000000002</v>
      </c>
      <c r="AE67" s="55">
        <f>_xll.EQNXTDZ($A$1,$B67,AE$5,$B$1)</f>
        <v>0</v>
      </c>
      <c r="AF67" s="55">
        <f>_xll.EQNXTDZ($A$1,$B67,AF$5,$B$1)</f>
        <v>3626.8409999999999</v>
      </c>
      <c r="AG67" s="55">
        <f>_xll.EQNXTDZ($A$1,$B67,AG$5,$B$1)</f>
        <v>0</v>
      </c>
      <c r="AH67" s="55">
        <f>_xll.EQNXTDZ($A$1,$B67,AH$5,$B$1)</f>
        <v>3935.01</v>
      </c>
      <c r="AI67" s="55">
        <f>_xll.EQNXTDZ($A$1,$B67,AI$5,$B$1)</f>
        <v>0</v>
      </c>
      <c r="AJ67" s="55">
        <f>_xll.EQNXTDZ($A$1,$B67,AJ$5,$B$1)</f>
        <v>4454.2529999999997</v>
      </c>
      <c r="AK67" s="55">
        <f>_xll.EQNXTDZ($A$1,$B67,AK$5,$B$1)</f>
        <v>0</v>
      </c>
      <c r="AL67" s="55">
        <f>_xll.EQNXTDZ($A$1,$B67,AL$5,$B$1)</f>
        <v>4958.3190000000004</v>
      </c>
      <c r="AM67" s="55">
        <f>_xll.EQNXTDZ($A$1,$B67,AM$5,$B$1)</f>
        <v>0</v>
      </c>
      <c r="AN67" s="55">
        <f>_xll.EQNXTDZ($A$1,$B67,AN$5,$B$1)</f>
        <v>5081.5309999999999</v>
      </c>
      <c r="AO67" s="55">
        <f>_xll.EQNXTDZ($A$1,$B67,AO$5,$B$1)</f>
        <v>0</v>
      </c>
      <c r="AP67" s="55">
        <f>_xll.EQNXTDZ($A$1,$B67,AP$5,$B$1)</f>
        <v>5643.393</v>
      </c>
      <c r="AQ67" s="55">
        <f>_xll.EQNXTDZ($A$1,$B67,AQ$5,$B$1)</f>
        <v>0</v>
      </c>
      <c r="AR67" s="55">
        <f>_xll.EQNXTDZ($A$1,$B67,AR$5,$B$1)</f>
        <v>5946.7569999999996</v>
      </c>
      <c r="AS67" s="55">
        <f>_xll.EQNXTDZ($A$1,$B67,AS$5,$B$1)</f>
        <v>0</v>
      </c>
      <c r="AT67" s="55">
        <f>_xll.EQNXTDZ($A$1,$B67,AT$5,$B$1)</f>
        <v>6762.7169999999996</v>
      </c>
      <c r="AU67" s="55">
        <f>_xll.EQNXTDZ($A$1,$B67,AU$5,$B$1)</f>
        <v>0</v>
      </c>
      <c r="AV67" s="55">
        <f>_xll.EQNXTDZ($A$1,$B67,AV$5,$B$1)</f>
        <v>7372.8329999999996</v>
      </c>
      <c r="AW67" s="55">
        <f>_xll.EQNXTDZ($A$1,$B67,AW$5,$B$1)</f>
        <v>0</v>
      </c>
      <c r="AX67" s="55">
        <f>_xll.EQNXTDZ($A$1,$B67,AX$5,$B$1)</f>
        <v>8430.3700000000008</v>
      </c>
      <c r="AY67" s="55">
        <f>_xll.EQNXTDZ($A$1,$B67,AY$5,$B$1)</f>
        <v>0</v>
      </c>
      <c r="AZ67" s="55">
        <f>_xll.EQNXTDZ($A$1,$B67,AZ$5,$B$1)</f>
        <v>8951.5349999999999</v>
      </c>
      <c r="BA67" s="55">
        <f>_xll.EQNXTDZ($A$1,$B67,BA$5,$B$1)</f>
        <v>0</v>
      </c>
      <c r="BB67" s="55">
        <f>_xll.EQNXTDZ($A$1,$B67,BB$5,$B$1)</f>
        <v>10163.117</v>
      </c>
      <c r="BC67" s="55">
        <f>_xll.EQNXTDZ($A$1,$B67,BC$5,$B$1)</f>
        <v>0</v>
      </c>
      <c r="BD67" s="55">
        <f>_xll.EQNXTDZ($A$1,$B67,BD$5,$B$1)</f>
        <v>10987.293</v>
      </c>
      <c r="BE67" s="55">
        <f>_xll.EQNXTDZ($A$1,$B67,BE$5,$B$1)</f>
        <v>0</v>
      </c>
      <c r="BF67" s="55">
        <f>_xll.EQNXTDZ($A$1,$B67,BF$5,$B$1)</f>
        <v>12458.54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1197.127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1275.5840000000001</v>
      </c>
      <c r="AE68" s="55">
        <f>_xll.EQNXTDZ($A$1,$B68,AE$5,$B$1)</f>
        <v>0</v>
      </c>
      <c r="AF68" s="55">
        <f>_xll.EQNXTDZ($A$1,$B68,AF$5,$B$1)</f>
        <v>1294.3050000000001</v>
      </c>
      <c r="AG68" s="55">
        <f>_xll.EQNXTDZ($A$1,$B68,AG$5,$B$1)</f>
        <v>0</v>
      </c>
      <c r="AH68" s="55">
        <f>_xll.EQNXTDZ($A$1,$B68,AH$5,$B$1)</f>
        <v>1388.221</v>
      </c>
      <c r="AI68" s="55">
        <f>_xll.EQNXTDZ($A$1,$B68,AI$5,$B$1)</f>
        <v>0</v>
      </c>
      <c r="AJ68" s="55">
        <f>_xll.EQNXTDZ($A$1,$B68,AJ$5,$B$1)</f>
        <v>1700.3789999999999</v>
      </c>
      <c r="AK68" s="55">
        <f>_xll.EQNXTDZ($A$1,$B68,AK$5,$B$1)</f>
        <v>0</v>
      </c>
      <c r="AL68" s="55">
        <f>_xll.EQNXTDZ($A$1,$B68,AL$5,$B$1)</f>
        <v>1833.242</v>
      </c>
      <c r="AM68" s="55">
        <f>_xll.EQNXTDZ($A$1,$B68,AM$5,$B$1)</f>
        <v>0</v>
      </c>
      <c r="AN68" s="55">
        <f>_xll.EQNXTDZ($A$1,$B68,AN$5,$B$1)</f>
        <v>1846.0840000000001</v>
      </c>
      <c r="AO68" s="55">
        <f>_xll.EQNXTDZ($A$1,$B68,AO$5,$B$1)</f>
        <v>0</v>
      </c>
      <c r="AP68" s="55">
        <f>_xll.EQNXTDZ($A$1,$B68,AP$5,$B$1)</f>
        <v>1635.365</v>
      </c>
      <c r="AQ68" s="55">
        <f>_xll.EQNXTDZ($A$1,$B68,AQ$5,$B$1)</f>
        <v>0</v>
      </c>
      <c r="AR68" s="55">
        <f>_xll.EQNXTDZ($A$1,$B68,AR$5,$B$1)</f>
        <v>1622.2860000000001</v>
      </c>
      <c r="AS68" s="55">
        <f>_xll.EQNXTDZ($A$1,$B68,AS$5,$B$1)</f>
        <v>0</v>
      </c>
      <c r="AT68" s="55">
        <f>_xll.EQNXTDZ($A$1,$B68,AT$5,$B$1)</f>
        <v>2026.136</v>
      </c>
      <c r="AU68" s="55">
        <f>_xll.EQNXTDZ($A$1,$B68,AU$5,$B$1)</f>
        <v>0</v>
      </c>
      <c r="AV68" s="55">
        <f>_xll.EQNXTDZ($A$1,$B68,AV$5,$B$1)</f>
        <v>2048.5070000000001</v>
      </c>
      <c r="AW68" s="55">
        <f>_xll.EQNXTDZ($A$1,$B68,AW$5,$B$1)</f>
        <v>0</v>
      </c>
      <c r="AX68" s="55">
        <f>_xll.EQNXTDZ($A$1,$B68,AX$5,$B$1)</f>
        <v>2183.7739999999999</v>
      </c>
      <c r="AY68" s="55">
        <f>_xll.EQNXTDZ($A$1,$B68,AY$5,$B$1)</f>
        <v>0</v>
      </c>
      <c r="AZ68" s="55">
        <f>_xll.EQNXTDZ($A$1,$B68,AZ$5,$B$1)</f>
        <v>2426.9290000000001</v>
      </c>
      <c r="BA68" s="55">
        <f>_xll.EQNXTDZ($A$1,$B68,BA$5,$B$1)</f>
        <v>0</v>
      </c>
      <c r="BB68" s="55">
        <f>_xll.EQNXTDZ($A$1,$B68,BB$5,$B$1)</f>
        <v>2801.1709999999998</v>
      </c>
      <c r="BC68" s="55">
        <f>_xll.EQNXTDZ($A$1,$B68,BC$5,$B$1)</f>
        <v>0</v>
      </c>
      <c r="BD68" s="55">
        <f>_xll.EQNXTDZ($A$1,$B68,BD$5,$B$1)</f>
        <v>3182.5859999999998</v>
      </c>
      <c r="BE68" s="55">
        <f>_xll.EQNXTDZ($A$1,$B68,BE$5,$B$1)</f>
        <v>0</v>
      </c>
      <c r="BF68" s="55">
        <f>_xll.EQNXTDZ($A$1,$B68,BF$5,$B$1)</f>
        <v>3509.1680000000001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1197.127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1275.5840000000001</v>
      </c>
      <c r="AE71" s="55">
        <f>_xll.EQNXTDZ($A$1,$B71,AE$5,$B$1)</f>
        <v>0</v>
      </c>
      <c r="AF71" s="55">
        <f>_xll.EQNXTDZ($A$1,$B71,AF$5,$B$1)</f>
        <v>1294.3050000000001</v>
      </c>
      <c r="AG71" s="55">
        <f>_xll.EQNXTDZ($A$1,$B71,AG$5,$B$1)</f>
        <v>0</v>
      </c>
      <c r="AH71" s="55">
        <f>_xll.EQNXTDZ($A$1,$B71,AH$5,$B$1)</f>
        <v>1388.221</v>
      </c>
      <c r="AI71" s="55">
        <f>_xll.EQNXTDZ($A$1,$B71,AI$5,$B$1)</f>
        <v>0</v>
      </c>
      <c r="AJ71" s="55">
        <f>_xll.EQNXTDZ($A$1,$B71,AJ$5,$B$1)</f>
        <v>1700.3789999999999</v>
      </c>
      <c r="AK71" s="55">
        <f>_xll.EQNXTDZ($A$1,$B71,AK$5,$B$1)</f>
        <v>0</v>
      </c>
      <c r="AL71" s="55">
        <f>_xll.EQNXTDZ($A$1,$B71,AL$5,$B$1)</f>
        <v>1833.242</v>
      </c>
      <c r="AM71" s="55">
        <f>_xll.EQNXTDZ($A$1,$B71,AM$5,$B$1)</f>
        <v>0</v>
      </c>
      <c r="AN71" s="55">
        <f>_xll.EQNXTDZ($A$1,$B71,AN$5,$B$1)</f>
        <v>1846.0840000000001</v>
      </c>
      <c r="AO71" s="55">
        <f>_xll.EQNXTDZ($A$1,$B71,AO$5,$B$1)</f>
        <v>0</v>
      </c>
      <c r="AP71" s="55">
        <f>_xll.EQNXTDZ($A$1,$B71,AP$5,$B$1)</f>
        <v>1635.365</v>
      </c>
      <c r="AQ71" s="55">
        <f>_xll.EQNXTDZ($A$1,$B71,AQ$5,$B$1)</f>
        <v>0</v>
      </c>
      <c r="AR71" s="55">
        <f>_xll.EQNXTDZ($A$1,$B71,AR$5,$B$1)</f>
        <v>1622.2860000000001</v>
      </c>
      <c r="AS71" s="55">
        <f>_xll.EQNXTDZ($A$1,$B71,AS$5,$B$1)</f>
        <v>0</v>
      </c>
      <c r="AT71" s="55">
        <f>_xll.EQNXTDZ($A$1,$B71,AT$5,$B$1)</f>
        <v>2026.136</v>
      </c>
      <c r="AU71" s="55">
        <f>_xll.EQNXTDZ($A$1,$B71,AU$5,$B$1)</f>
        <v>0</v>
      </c>
      <c r="AV71" s="55">
        <f>_xll.EQNXTDZ($A$1,$B71,AV$5,$B$1)</f>
        <v>2048.5070000000001</v>
      </c>
      <c r="AW71" s="55">
        <f>_xll.EQNXTDZ($A$1,$B71,AW$5,$B$1)</f>
        <v>0</v>
      </c>
      <c r="AX71" s="55">
        <f>_xll.EQNXTDZ($A$1,$B71,AX$5,$B$1)</f>
        <v>2183.7739999999999</v>
      </c>
      <c r="AY71" s="55">
        <f>_xll.EQNXTDZ($A$1,$B71,AY$5,$B$1)</f>
        <v>0</v>
      </c>
      <c r="AZ71" s="55">
        <f>_xll.EQNXTDZ($A$1,$B71,AZ$5,$B$1)</f>
        <v>2426.9290000000001</v>
      </c>
      <c r="BA71" s="55">
        <f>_xll.EQNXTDZ($A$1,$B71,BA$5,$B$1)</f>
        <v>0</v>
      </c>
      <c r="BB71" s="55">
        <f>_xll.EQNXTDZ($A$1,$B71,BB$5,$B$1)</f>
        <v>2801.1709999999998</v>
      </c>
      <c r="BC71" s="55">
        <f>_xll.EQNXTDZ($A$1,$B71,BC$5,$B$1)</f>
        <v>0</v>
      </c>
      <c r="BD71" s="55">
        <f>_xll.EQNXTDZ($A$1,$B71,BD$5,$B$1)</f>
        <v>3182.5859999999998</v>
      </c>
      <c r="BE71" s="55">
        <f>_xll.EQNXTDZ($A$1,$B71,BE$5,$B$1)</f>
        <v>0</v>
      </c>
      <c r="BF71" s="55">
        <f>_xll.EQNXTDZ($A$1,$B71,BF$5,$B$1)</f>
        <v>3509.1680000000001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2.258</v>
      </c>
      <c r="AK72" s="55">
        <f>_xll.EQNXTDZ($A$1,$B72,AK$5,$B$1)</f>
        <v>0</v>
      </c>
      <c r="AL72" s="55">
        <f>_xll.EQNXTDZ($A$1,$B72,AL$5,$B$1)</f>
        <v>2.258</v>
      </c>
      <c r="AM72" s="55">
        <f>_xll.EQNXTDZ($A$1,$B72,AM$5,$B$1)</f>
        <v>0</v>
      </c>
      <c r="AN72" s="55">
        <f>_xll.EQNXTDZ($A$1,$B72,AN$5,$B$1)</f>
        <v>6.88</v>
      </c>
      <c r="AO72" s="55">
        <f>_xll.EQNXTDZ($A$1,$B72,AO$5,$B$1)</f>
        <v>0</v>
      </c>
      <c r="AP72" s="55">
        <f>_xll.EQNXTDZ($A$1,$B72,AP$5,$B$1)</f>
        <v>4.6219999999999999</v>
      </c>
      <c r="AQ72" s="55">
        <f>_xll.EQNXTDZ($A$1,$B72,AQ$5,$B$1)</f>
        <v>0</v>
      </c>
      <c r="AR72" s="55">
        <f>_xll.EQNXTDZ($A$1,$B72,AR$5,$B$1)</f>
        <v>4.6219999999999999</v>
      </c>
      <c r="AS72" s="55">
        <f>_xll.EQNXTDZ($A$1,$B72,AS$5,$B$1)</f>
        <v>0</v>
      </c>
      <c r="AT72" s="55">
        <f>_xll.EQNXTDZ($A$1,$B72,AT$5,$B$1)</f>
        <v>4.6219999999999999</v>
      </c>
      <c r="AU72" s="55">
        <f>_xll.EQNXTDZ($A$1,$B72,AU$5,$B$1)</f>
        <v>0</v>
      </c>
      <c r="AV72" s="55">
        <f>_xll.EQNXTDZ($A$1,$B72,AV$5,$B$1)</f>
        <v>4.6219999999999999</v>
      </c>
      <c r="AW72" s="55">
        <f>_xll.EQNXTDZ($A$1,$B72,AW$5,$B$1)</f>
        <v>0</v>
      </c>
      <c r="AX72" s="55">
        <f>_xll.EQNXTDZ($A$1,$B72,AX$5,$B$1)</f>
        <v>4.6219999999999999</v>
      </c>
      <c r="AY72" s="55">
        <f>_xll.EQNXTDZ($A$1,$B72,AY$5,$B$1)</f>
        <v>0</v>
      </c>
      <c r="AZ72" s="55">
        <f>_xll.EQNXTDZ($A$1,$B72,AZ$5,$B$1)</f>
        <v>4.6219999999999999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135.99299999999999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192.99700000000001</v>
      </c>
      <c r="AE74" s="55">
        <f>_xll.EQNXTDZ($A$1,$B74,AE$5,$B$1)</f>
        <v>0</v>
      </c>
      <c r="AF74" s="55">
        <f>_xll.EQNXTDZ($A$1,$B74,AF$5,$B$1)</f>
        <v>264.18</v>
      </c>
      <c r="AG74" s="55">
        <f>_xll.EQNXTDZ($A$1,$B74,AG$5,$B$1)</f>
        <v>0</v>
      </c>
      <c r="AH74" s="55">
        <f>_xll.EQNXTDZ($A$1,$B74,AH$5,$B$1)</f>
        <v>241.178</v>
      </c>
      <c r="AI74" s="55">
        <f>_xll.EQNXTDZ($A$1,$B74,AI$5,$B$1)</f>
        <v>0</v>
      </c>
      <c r="AJ74" s="55">
        <f>_xll.EQNXTDZ($A$1,$B74,AJ$5,$B$1)</f>
        <v>190.815</v>
      </c>
      <c r="AK74" s="55">
        <f>_xll.EQNXTDZ($A$1,$B74,AK$5,$B$1)</f>
        <v>0</v>
      </c>
      <c r="AL74" s="55">
        <f>_xll.EQNXTDZ($A$1,$B74,AL$5,$B$1)</f>
        <v>99.05</v>
      </c>
      <c r="AM74" s="55">
        <f>_xll.EQNXTDZ($A$1,$B74,AM$5,$B$1)</f>
        <v>0</v>
      </c>
      <c r="AN74" s="55">
        <f>_xll.EQNXTDZ($A$1,$B74,AN$5,$B$1)</f>
        <v>141.613</v>
      </c>
      <c r="AO74" s="55">
        <f>_xll.EQNXTDZ($A$1,$B74,AO$5,$B$1)</f>
        <v>0</v>
      </c>
      <c r="AP74" s="55">
        <f>_xll.EQNXTDZ($A$1,$B74,AP$5,$B$1)</f>
        <v>375.45</v>
      </c>
      <c r="AQ74" s="55">
        <f>_xll.EQNXTDZ($A$1,$B74,AQ$5,$B$1)</f>
        <v>0</v>
      </c>
      <c r="AR74" s="55">
        <f>_xll.EQNXTDZ($A$1,$B74,AR$5,$B$1)</f>
        <v>452.07100000000003</v>
      </c>
      <c r="AS74" s="55">
        <f>_xll.EQNXTDZ($A$1,$B74,AS$5,$B$1)</f>
        <v>0</v>
      </c>
      <c r="AT74" s="55">
        <f>_xll.EQNXTDZ($A$1,$B74,AT$5,$B$1)</f>
        <v>250.767</v>
      </c>
      <c r="AU74" s="55">
        <f>_xll.EQNXTDZ($A$1,$B74,AU$5,$B$1)</f>
        <v>0</v>
      </c>
      <c r="AV74" s="55">
        <f>_xll.EQNXTDZ($A$1,$B74,AV$5,$B$1)</f>
        <v>367.05200000000002</v>
      </c>
      <c r="AW74" s="55">
        <f>_xll.EQNXTDZ($A$1,$B74,AW$5,$B$1)</f>
        <v>0</v>
      </c>
      <c r="AX74" s="55">
        <f>_xll.EQNXTDZ($A$1,$B74,AX$5,$B$1)</f>
        <v>578.44600000000003</v>
      </c>
      <c r="AY74" s="55">
        <f>_xll.EQNXTDZ($A$1,$B74,AY$5,$B$1)</f>
        <v>0</v>
      </c>
      <c r="AZ74" s="55">
        <f>_xll.EQNXTDZ($A$1,$B74,AZ$5,$B$1)</f>
        <v>767.41099999999994</v>
      </c>
      <c r="BA74" s="55">
        <f>_xll.EQNXTDZ($A$1,$B74,BA$5,$B$1)</f>
        <v>0</v>
      </c>
      <c r="BB74" s="55">
        <f>_xll.EQNXTDZ($A$1,$B74,BB$5,$B$1)</f>
        <v>708.14400000000001</v>
      </c>
      <c r="BC74" s="55">
        <f>_xll.EQNXTDZ($A$1,$B74,BC$5,$B$1)</f>
        <v>0</v>
      </c>
      <c r="BD74" s="55">
        <f>_xll.EQNXTDZ($A$1,$B74,BD$5,$B$1)</f>
        <v>860.12900000000002</v>
      </c>
      <c r="BE74" s="55">
        <f>_xll.EQNXTDZ($A$1,$B74,BE$5,$B$1)</f>
        <v>0</v>
      </c>
      <c r="BF74" s="55">
        <f>_xll.EQNXTDZ($A$1,$B74,BF$5,$B$1)</f>
        <v>1139.259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31.545999999999999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29.385000000000002</v>
      </c>
      <c r="AE77" s="55">
        <f>_xll.EQNXTDZ($A$1,$B77,AE$5,$B$1)</f>
        <v>0</v>
      </c>
      <c r="AF77" s="55">
        <f>_xll.EQNXTDZ($A$1,$B77,AF$5,$B$1)</f>
        <v>31.486999999999998</v>
      </c>
      <c r="AG77" s="55">
        <f>_xll.EQNXTDZ($A$1,$B77,AG$5,$B$1)</f>
        <v>0</v>
      </c>
      <c r="AH77" s="55">
        <f>_xll.EQNXTDZ($A$1,$B77,AH$5,$B$1)</f>
        <v>25.477</v>
      </c>
      <c r="AI77" s="55">
        <f>_xll.EQNXTDZ($A$1,$B77,AI$5,$B$1)</f>
        <v>0</v>
      </c>
      <c r="AJ77" s="55">
        <f>_xll.EQNXTDZ($A$1,$B77,AJ$5,$B$1)</f>
        <v>10.617000000000001</v>
      </c>
      <c r="AK77" s="55">
        <f>_xll.EQNXTDZ($A$1,$B77,AK$5,$B$1)</f>
        <v>0</v>
      </c>
      <c r="AL77" s="55">
        <f>_xll.EQNXTDZ($A$1,$B77,AL$5,$B$1)</f>
        <v>11.818</v>
      </c>
      <c r="AM77" s="55">
        <f>_xll.EQNXTDZ($A$1,$B77,AM$5,$B$1)</f>
        <v>0</v>
      </c>
      <c r="AN77" s="55">
        <f>_xll.EQNXTDZ($A$1,$B77,AN$5,$B$1)</f>
        <v>9.3719999999999999</v>
      </c>
      <c r="AO77" s="55">
        <f>_xll.EQNXTDZ($A$1,$B77,AO$5,$B$1)</f>
        <v>0</v>
      </c>
      <c r="AP77" s="55">
        <f>_xll.EQNXTDZ($A$1,$B77,AP$5,$B$1)</f>
        <v>9.2629999999999999</v>
      </c>
      <c r="AQ77" s="55">
        <f>_xll.EQNXTDZ($A$1,$B77,AQ$5,$B$1)</f>
        <v>0</v>
      </c>
      <c r="AR77" s="55">
        <f>_xll.EQNXTDZ($A$1,$B77,AR$5,$B$1)</f>
        <v>7.1779999999999999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76.298000000000002</v>
      </c>
      <c r="AY77" s="55">
        <f>_xll.EQNXTDZ($A$1,$B77,AY$5,$B$1)</f>
        <v>0</v>
      </c>
      <c r="AZ77" s="55">
        <f>_xll.EQNXTDZ($A$1,$B77,AZ$5,$B$1)</f>
        <v>76.41</v>
      </c>
      <c r="BA77" s="55">
        <f>_xll.EQNXTDZ($A$1,$B77,BA$5,$B$1)</f>
        <v>0</v>
      </c>
      <c r="BB77" s="55">
        <f>_xll.EQNXTDZ($A$1,$B77,BB$5,$B$1)</f>
        <v>79.007999999999996</v>
      </c>
      <c r="BC77" s="55">
        <f>_xll.EQNXTDZ($A$1,$B77,BC$5,$B$1)</f>
        <v>0</v>
      </c>
      <c r="BD77" s="55">
        <f>_xll.EQNXTDZ($A$1,$B77,BD$5,$B$1)</f>
        <v>79.638999999999996</v>
      </c>
      <c r="BE77" s="55">
        <f>_xll.EQNXTDZ($A$1,$B77,BE$5,$B$1)</f>
        <v>0</v>
      </c>
      <c r="BF77" s="55">
        <f>_xll.EQNXTDZ($A$1,$B77,BF$5,$B$1)</f>
        <v>88.302000000000007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5.0880000000000001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5.3410000000000002</v>
      </c>
      <c r="AI78" s="55">
        <f>_xll.EQNXTDZ($A$1,$B78,AI$5,$B$1)</f>
        <v>0</v>
      </c>
      <c r="AJ78" s="55">
        <f>_xll.EQNXTDZ($A$1,$B78,AJ$5,$B$1)</f>
        <v>2.8279999999999998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157.529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201.05799999999999</v>
      </c>
      <c r="AE79" s="55">
        <f>_xll.EQNXTDZ($A$1,$B79,AE$5,$B$1)</f>
        <v>0</v>
      </c>
      <c r="AF79" s="55">
        <f>_xll.EQNXTDZ($A$1,$B79,AF$5,$B$1)</f>
        <v>256.69</v>
      </c>
      <c r="AG79" s="55">
        <f>_xll.EQNXTDZ($A$1,$B79,AG$5,$B$1)</f>
        <v>0</v>
      </c>
      <c r="AH79" s="55">
        <f>_xll.EQNXTDZ($A$1,$B79,AH$5,$B$1)</f>
        <v>250.446</v>
      </c>
      <c r="AI79" s="55">
        <f>_xll.EQNXTDZ($A$1,$B79,AI$5,$B$1)</f>
        <v>0</v>
      </c>
      <c r="AJ79" s="55">
        <f>_xll.EQNXTDZ($A$1,$B79,AJ$5,$B$1)</f>
        <v>239.10300000000001</v>
      </c>
      <c r="AK79" s="55">
        <f>_xll.EQNXTDZ($A$1,$B79,AK$5,$B$1)</f>
        <v>0</v>
      </c>
      <c r="AL79" s="55">
        <f>_xll.EQNXTDZ($A$1,$B79,AL$5,$B$1)</f>
        <v>295.68900000000002</v>
      </c>
      <c r="AM79" s="55">
        <f>_xll.EQNXTDZ($A$1,$B79,AM$5,$B$1)</f>
        <v>0</v>
      </c>
      <c r="AN79" s="55">
        <f>_xll.EQNXTDZ($A$1,$B79,AN$5,$B$1)</f>
        <v>470.59199999999998</v>
      </c>
      <c r="AO79" s="55">
        <f>_xll.EQNXTDZ($A$1,$B79,AO$5,$B$1)</f>
        <v>0</v>
      </c>
      <c r="AP79" s="55">
        <f>_xll.EQNXTDZ($A$1,$B79,AP$5,$B$1)</f>
        <v>246.06100000000001</v>
      </c>
      <c r="AQ79" s="55">
        <f>_xll.EQNXTDZ($A$1,$B79,AQ$5,$B$1)</f>
        <v>0</v>
      </c>
      <c r="AR79" s="55">
        <f>_xll.EQNXTDZ($A$1,$B79,AR$5,$B$1)</f>
        <v>217.178</v>
      </c>
      <c r="AS79" s="55">
        <f>_xll.EQNXTDZ($A$1,$B79,AS$5,$B$1)</f>
        <v>0</v>
      </c>
      <c r="AT79" s="55">
        <f>_xll.EQNXTDZ($A$1,$B79,AT$5,$B$1)</f>
        <v>233.858</v>
      </c>
      <c r="AU79" s="55">
        <f>_xll.EQNXTDZ($A$1,$B79,AU$5,$B$1)</f>
        <v>0</v>
      </c>
      <c r="AV79" s="55">
        <f>_xll.EQNXTDZ($A$1,$B79,AV$5,$B$1)</f>
        <v>383.05</v>
      </c>
      <c r="AW79" s="55">
        <f>_xll.EQNXTDZ($A$1,$B79,AW$5,$B$1)</f>
        <v>0</v>
      </c>
      <c r="AX79" s="55">
        <f>_xll.EQNXTDZ($A$1,$B79,AX$5,$B$1)</f>
        <v>508.91399999999999</v>
      </c>
      <c r="AY79" s="55">
        <f>_xll.EQNXTDZ($A$1,$B79,AY$5,$B$1)</f>
        <v>0</v>
      </c>
      <c r="AZ79" s="55">
        <f>_xll.EQNXTDZ($A$1,$B79,AZ$5,$B$1)</f>
        <v>656.84799999999996</v>
      </c>
      <c r="BA79" s="55">
        <f>_xll.EQNXTDZ($A$1,$B79,BA$5,$B$1)</f>
        <v>0</v>
      </c>
      <c r="BB79" s="55">
        <f>_xll.EQNXTDZ($A$1,$B79,BB$5,$B$1)</f>
        <v>841.37699999999995</v>
      </c>
      <c r="BC79" s="55">
        <f>_xll.EQNXTDZ($A$1,$B79,BC$5,$B$1)</f>
        <v>0</v>
      </c>
      <c r="BD79" s="55">
        <f>_xll.EQNXTDZ($A$1,$B79,BD$5,$B$1)</f>
        <v>1225.223</v>
      </c>
      <c r="BE79" s="55">
        <f>_xll.EQNXTDZ($A$1,$B79,BE$5,$B$1)</f>
        <v>0</v>
      </c>
      <c r="BF79" s="55">
        <f>_xll.EQNXTDZ($A$1,$B79,BF$5,$B$1)</f>
        <v>1069.971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99.027000000000001</v>
      </c>
      <c r="AG80" s="55">
        <f>_xll.EQNXTDZ($A$1,$B80,AG$5,$B$1)</f>
        <v>0</v>
      </c>
      <c r="AH80" s="55">
        <f>_xll.EQNXTDZ($A$1,$B80,AH$5,$B$1)</f>
        <v>40</v>
      </c>
      <c r="AI80" s="55">
        <f>_xll.EQNXTDZ($A$1,$B80,AI$5,$B$1)</f>
        <v>0</v>
      </c>
      <c r="AJ80" s="55">
        <f>_xll.EQNXTDZ($A$1,$B80,AJ$5,$B$1)</f>
        <v>561.14</v>
      </c>
      <c r="AK80" s="55">
        <f>_xll.EQNXTDZ($A$1,$B80,AK$5,$B$1)</f>
        <v>0</v>
      </c>
      <c r="AL80" s="55">
        <f>_xll.EQNXTDZ($A$1,$B80,AL$5,$B$1)</f>
        <v>623.12699999999995</v>
      </c>
      <c r="AM80" s="55">
        <f>_xll.EQNXTDZ($A$1,$B80,AM$5,$B$1)</f>
        <v>0</v>
      </c>
      <c r="AN80" s="55">
        <f>_xll.EQNXTDZ($A$1,$B80,AN$5,$B$1)</f>
        <v>661.92700000000002</v>
      </c>
      <c r="AO80" s="55">
        <f>_xll.EQNXTDZ($A$1,$B80,AO$5,$B$1)</f>
        <v>0</v>
      </c>
      <c r="AP80" s="55">
        <f>_xll.EQNXTDZ($A$1,$B80,AP$5,$B$1)</f>
        <v>764.05100000000004</v>
      </c>
      <c r="AQ80" s="55">
        <f>_xll.EQNXTDZ($A$1,$B80,AQ$5,$B$1)</f>
        <v>0</v>
      </c>
      <c r="AR80" s="55">
        <f>_xll.EQNXTDZ($A$1,$B80,AR$5,$B$1)</f>
        <v>1279.873</v>
      </c>
      <c r="AS80" s="55">
        <f>_xll.EQNXTDZ($A$1,$B80,AS$5,$B$1)</f>
        <v>0</v>
      </c>
      <c r="AT80" s="55">
        <f>_xll.EQNXTDZ($A$1,$B80,AT$5,$B$1)</f>
        <v>1350.4949999999999</v>
      </c>
      <c r="AU80" s="55">
        <f>_xll.EQNXTDZ($A$1,$B80,AU$5,$B$1)</f>
        <v>0</v>
      </c>
      <c r="AV80" s="55">
        <f>_xll.EQNXTDZ($A$1,$B80,AV$5,$B$1)</f>
        <v>1278.837</v>
      </c>
      <c r="AW80" s="55">
        <f>_xll.EQNXTDZ($A$1,$B80,AW$5,$B$1)</f>
        <v>0</v>
      </c>
      <c r="AX80" s="55">
        <f>_xll.EQNXTDZ($A$1,$B80,AX$5,$B$1)</f>
        <v>1822.4169999999999</v>
      </c>
      <c r="AY80" s="55">
        <f>_xll.EQNXTDZ($A$1,$B80,AY$5,$B$1)</f>
        <v>0</v>
      </c>
      <c r="AZ80" s="55">
        <f>_xll.EQNXTDZ($A$1,$B80,AZ$5,$B$1)</f>
        <v>2186.0360000000001</v>
      </c>
      <c r="BA80" s="55">
        <f>_xll.EQNXTDZ($A$1,$B80,BA$5,$B$1)</f>
        <v>0</v>
      </c>
      <c r="BB80" s="55">
        <f>_xll.EQNXTDZ($A$1,$B80,BB$5,$B$1)</f>
        <v>1749.0419999999999</v>
      </c>
      <c r="BC80" s="55">
        <f>_xll.EQNXTDZ($A$1,$B80,BC$5,$B$1)</f>
        <v>0</v>
      </c>
      <c r="BD80" s="55">
        <f>_xll.EQNXTDZ($A$1,$B80,BD$5,$B$1)</f>
        <v>1697.4680000000001</v>
      </c>
      <c r="BE80" s="55">
        <f>_xll.EQNXTDZ($A$1,$B80,BE$5,$B$1)</f>
        <v>0</v>
      </c>
      <c r="BF80" s="55">
        <f>_xll.EQNXTDZ($A$1,$B80,BF$5,$B$1)</f>
        <v>3404.8229999999999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1365.6980000000001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1995.7850000000001</v>
      </c>
      <c r="AE81" s="55">
        <f>_xll.EQNXTDZ($A$1,$B81,AE$5,$B$1)</f>
        <v>0</v>
      </c>
      <c r="AF81" s="55">
        <f>_xll.EQNXTDZ($A$1,$B81,AF$5,$B$1)</f>
        <v>1894.317</v>
      </c>
      <c r="AG81" s="55">
        <f>_xll.EQNXTDZ($A$1,$B81,AG$5,$B$1)</f>
        <v>0</v>
      </c>
      <c r="AH81" s="55">
        <f>_xll.EQNXTDZ($A$1,$B81,AH$5,$B$1)</f>
        <v>1924.954</v>
      </c>
      <c r="AI81" s="55">
        <f>_xll.EQNXTDZ($A$1,$B81,AI$5,$B$1)</f>
        <v>0</v>
      </c>
      <c r="AJ81" s="55">
        <f>_xll.EQNXTDZ($A$1,$B81,AJ$5,$B$1)</f>
        <v>2041.5640000000001</v>
      </c>
      <c r="AK81" s="55">
        <f>_xll.EQNXTDZ($A$1,$B81,AK$5,$B$1)</f>
        <v>0</v>
      </c>
      <c r="AL81" s="55">
        <f>_xll.EQNXTDZ($A$1,$B81,AL$5,$B$1)</f>
        <v>1987.91</v>
      </c>
      <c r="AM81" s="55">
        <f>_xll.EQNXTDZ($A$1,$B81,AM$5,$B$1)</f>
        <v>0</v>
      </c>
      <c r="AN81" s="55">
        <f>_xll.EQNXTDZ($A$1,$B81,AN$5,$B$1)</f>
        <v>2155.9389999999999</v>
      </c>
      <c r="AO81" s="55">
        <f>_xll.EQNXTDZ($A$1,$B81,AO$5,$B$1)</f>
        <v>0</v>
      </c>
      <c r="AP81" s="55">
        <f>_xll.EQNXTDZ($A$1,$B81,AP$5,$B$1)</f>
        <v>2199.6469999999999</v>
      </c>
      <c r="AQ81" s="55">
        <f>_xll.EQNXTDZ($A$1,$B81,AQ$5,$B$1)</f>
        <v>0</v>
      </c>
      <c r="AR81" s="55">
        <f>_xll.EQNXTDZ($A$1,$B81,AR$5,$B$1)</f>
        <v>2412.9340000000002</v>
      </c>
      <c r="AS81" s="55">
        <f>_xll.EQNXTDZ($A$1,$B81,AS$5,$B$1)</f>
        <v>0</v>
      </c>
      <c r="AT81" s="55">
        <f>_xll.EQNXTDZ($A$1,$B81,AT$5,$B$1)</f>
        <v>2951.384</v>
      </c>
      <c r="AU81" s="55">
        <f>_xll.EQNXTDZ($A$1,$B81,AU$5,$B$1)</f>
        <v>0</v>
      </c>
      <c r="AV81" s="55">
        <f>_xll.EQNXTDZ($A$1,$B81,AV$5,$B$1)</f>
        <v>3431.1729999999998</v>
      </c>
      <c r="AW81" s="55">
        <f>_xll.EQNXTDZ($A$1,$B81,AW$5,$B$1)</f>
        <v>0</v>
      </c>
      <c r="AX81" s="55">
        <f>_xll.EQNXTDZ($A$1,$B81,AX$5,$B$1)</f>
        <v>3675.114</v>
      </c>
      <c r="AY81" s="55">
        <f>_xll.EQNXTDZ($A$1,$B81,AY$5,$B$1)</f>
        <v>0</v>
      </c>
      <c r="AZ81" s="55">
        <f>_xll.EQNXTDZ($A$1,$B81,AZ$5,$B$1)</f>
        <v>4255.8959999999997</v>
      </c>
      <c r="BA81" s="55">
        <f>_xll.EQNXTDZ($A$1,$B81,BA$5,$B$1)</f>
        <v>0</v>
      </c>
      <c r="BB81" s="55">
        <f>_xll.EQNXTDZ($A$1,$B81,BB$5,$B$1)</f>
        <v>3661.3</v>
      </c>
      <c r="BC81" s="55">
        <f>_xll.EQNXTDZ($A$1,$B81,BC$5,$B$1)</f>
        <v>0</v>
      </c>
      <c r="BD81" s="55">
        <f>_xll.EQNXTDZ($A$1,$B81,BD$5,$B$1)</f>
        <v>5418.1869999999999</v>
      </c>
      <c r="BE81" s="55">
        <f>_xll.EQNXTDZ($A$1,$B81,BE$5,$B$1)</f>
        <v>0</v>
      </c>
      <c r="BF81" s="55">
        <f>_xll.EQNXTDZ($A$1,$B81,BF$5,$B$1)</f>
        <v>5559.598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1290.816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1334.316</v>
      </c>
      <c r="AE82" s="55">
        <f>_xll.EQNXTDZ($A$1,$B82,AE$5,$B$1)</f>
        <v>0</v>
      </c>
      <c r="AF82" s="55">
        <f>_xll.EQNXTDZ($A$1,$B82,AF$5,$B$1)</f>
        <v>1135.9549999999999</v>
      </c>
      <c r="AG82" s="55">
        <f>_xll.EQNXTDZ($A$1,$B82,AG$5,$B$1)</f>
        <v>0</v>
      </c>
      <c r="AH82" s="55">
        <f>_xll.EQNXTDZ($A$1,$B82,AH$5,$B$1)</f>
        <v>1433.643</v>
      </c>
      <c r="AI82" s="55">
        <f>_xll.EQNXTDZ($A$1,$B82,AI$5,$B$1)</f>
        <v>0</v>
      </c>
      <c r="AJ82" s="55">
        <f>_xll.EQNXTDZ($A$1,$B82,AJ$5,$B$1)</f>
        <v>1082.655</v>
      </c>
      <c r="AK82" s="55">
        <f>_xll.EQNXTDZ($A$1,$B82,AK$5,$B$1)</f>
        <v>0</v>
      </c>
      <c r="AL82" s="55">
        <f>_xll.EQNXTDZ($A$1,$B82,AL$5,$B$1)</f>
        <v>1435.7670000000001</v>
      </c>
      <c r="AM82" s="55">
        <f>_xll.EQNXTDZ($A$1,$B82,AM$5,$B$1)</f>
        <v>0</v>
      </c>
      <c r="AN82" s="55">
        <f>_xll.EQNXTDZ($A$1,$B82,AN$5,$B$1)</f>
        <v>1090.7950000000001</v>
      </c>
      <c r="AO82" s="55">
        <f>_xll.EQNXTDZ($A$1,$B82,AO$5,$B$1)</f>
        <v>0</v>
      </c>
      <c r="AP82" s="55">
        <f>_xll.EQNXTDZ($A$1,$B82,AP$5,$B$1)</f>
        <v>1296.394</v>
      </c>
      <c r="AQ82" s="55">
        <f>_xll.EQNXTDZ($A$1,$B82,AQ$5,$B$1)</f>
        <v>0</v>
      </c>
      <c r="AR82" s="55">
        <f>_xll.EQNXTDZ($A$1,$B82,AR$5,$B$1)</f>
        <v>960.39499999999998</v>
      </c>
      <c r="AS82" s="55">
        <f>_xll.EQNXTDZ($A$1,$B82,AS$5,$B$1)</f>
        <v>0</v>
      </c>
      <c r="AT82" s="55">
        <f>_xll.EQNXTDZ($A$1,$B82,AT$5,$B$1)</f>
        <v>1246.596</v>
      </c>
      <c r="AU82" s="55">
        <f>_xll.EQNXTDZ($A$1,$B82,AU$5,$B$1)</f>
        <v>0</v>
      </c>
      <c r="AV82" s="55">
        <f>_xll.EQNXTDZ($A$1,$B82,AV$5,$B$1)</f>
        <v>1321.3309999999999</v>
      </c>
      <c r="AW82" s="55">
        <f>_xll.EQNXTDZ($A$1,$B82,AW$5,$B$1)</f>
        <v>0</v>
      </c>
      <c r="AX82" s="55">
        <f>_xll.EQNXTDZ($A$1,$B82,AX$5,$B$1)</f>
        <v>2047.117</v>
      </c>
      <c r="AY82" s="55">
        <f>_xll.EQNXTDZ($A$1,$B82,AY$5,$B$1)</f>
        <v>0</v>
      </c>
      <c r="AZ82" s="55">
        <f>_xll.EQNXTDZ($A$1,$B82,AZ$5,$B$1)</f>
        <v>2338.9360000000001</v>
      </c>
      <c r="BA82" s="55">
        <f>_xll.EQNXTDZ($A$1,$B82,BA$5,$B$1)</f>
        <v>0</v>
      </c>
      <c r="BB82" s="55">
        <f>_xll.EQNXTDZ($A$1,$B82,BB$5,$B$1)</f>
        <v>2596.268</v>
      </c>
      <c r="BC82" s="55">
        <f>_xll.EQNXTDZ($A$1,$B82,BC$5,$B$1)</f>
        <v>0</v>
      </c>
      <c r="BD82" s="55">
        <f>_xll.EQNXTDZ($A$1,$B82,BD$5,$B$1)</f>
        <v>2814.587</v>
      </c>
      <c r="BE82" s="55">
        <f>_xll.EQNXTDZ($A$1,$B82,BE$5,$B$1)</f>
        <v>0</v>
      </c>
      <c r="BF82" s="55">
        <f>_xll.EQNXTDZ($A$1,$B82,BF$5,$B$1)</f>
        <v>3758.5039999999999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10.641999999999999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316.649</v>
      </c>
      <c r="AE83" s="55">
        <f>_xll.EQNXTDZ($A$1,$B83,AE$5,$B$1)</f>
        <v>0</v>
      </c>
      <c r="AF83" s="55">
        <f>_xll.EQNXTDZ($A$1,$B83,AF$5,$B$1)</f>
        <v>458.58300000000003</v>
      </c>
      <c r="AG83" s="55">
        <f>_xll.EQNXTDZ($A$1,$B83,AG$5,$B$1)</f>
        <v>0</v>
      </c>
      <c r="AH83" s="55">
        <f>_xll.EQNXTDZ($A$1,$B83,AH$5,$B$1)</f>
        <v>281.30700000000002</v>
      </c>
      <c r="AI83" s="55">
        <f>_xll.EQNXTDZ($A$1,$B83,AI$5,$B$1)</f>
        <v>0</v>
      </c>
      <c r="AJ83" s="55">
        <f>_xll.EQNXTDZ($A$1,$B83,AJ$5,$B$1)</f>
        <v>338.66199999999998</v>
      </c>
      <c r="AK83" s="55">
        <f>_xll.EQNXTDZ($A$1,$B83,AK$5,$B$1)</f>
        <v>0</v>
      </c>
      <c r="AL83" s="55">
        <f>_xll.EQNXTDZ($A$1,$B83,AL$5,$B$1)</f>
        <v>531.31799999999998</v>
      </c>
      <c r="AM83" s="55">
        <f>_xll.EQNXTDZ($A$1,$B83,AM$5,$B$1)</f>
        <v>0</v>
      </c>
      <c r="AN83" s="55">
        <f>_xll.EQNXTDZ($A$1,$B83,AN$5,$B$1)</f>
        <v>242.149</v>
      </c>
      <c r="AO83" s="55">
        <f>_xll.EQNXTDZ($A$1,$B83,AO$5,$B$1)</f>
        <v>0</v>
      </c>
      <c r="AP83" s="55">
        <f>_xll.EQNXTDZ($A$1,$B83,AP$5,$B$1)</f>
        <v>407.11799999999999</v>
      </c>
      <c r="AQ83" s="55">
        <f>_xll.EQNXTDZ($A$1,$B83,AQ$5,$B$1)</f>
        <v>0</v>
      </c>
      <c r="AR83" s="55">
        <f>_xll.EQNXTDZ($A$1,$B83,AR$5,$B$1)</f>
        <v>487.75599999999997</v>
      </c>
      <c r="AS83" s="55">
        <f>_xll.EQNXTDZ($A$1,$B83,AS$5,$B$1)</f>
        <v>0</v>
      </c>
      <c r="AT83" s="55">
        <f>_xll.EQNXTDZ($A$1,$B83,AT$5,$B$1)</f>
        <v>695.24300000000005</v>
      </c>
      <c r="AU83" s="55">
        <f>_xll.EQNXTDZ($A$1,$B83,AU$5,$B$1)</f>
        <v>0</v>
      </c>
      <c r="AV83" s="55">
        <f>_xll.EQNXTDZ($A$1,$B83,AV$5,$B$1)</f>
        <v>408.88</v>
      </c>
      <c r="AW83" s="55">
        <f>_xll.EQNXTDZ($A$1,$B83,AW$5,$B$1)</f>
        <v>0</v>
      </c>
      <c r="AX83" s="55">
        <f>_xll.EQNXTDZ($A$1,$B83,AX$5,$B$1)</f>
        <v>402.358</v>
      </c>
      <c r="AY83" s="55">
        <f>_xll.EQNXTDZ($A$1,$B83,AY$5,$B$1)</f>
        <v>0</v>
      </c>
      <c r="AZ83" s="55">
        <f>_xll.EQNXTDZ($A$1,$B83,AZ$5,$B$1)</f>
        <v>343.49200000000002</v>
      </c>
      <c r="BA83" s="55">
        <f>_xll.EQNXTDZ($A$1,$B83,BA$5,$B$1)</f>
        <v>0</v>
      </c>
      <c r="BB83" s="55">
        <f>_xll.EQNXTDZ($A$1,$B83,BB$5,$B$1)</f>
        <v>770.63599999999997</v>
      </c>
      <c r="BC83" s="55">
        <f>_xll.EQNXTDZ($A$1,$B83,BC$5,$B$1)</f>
        <v>0</v>
      </c>
      <c r="BD83" s="55">
        <f>_xll.EQNXTDZ($A$1,$B83,BD$5,$B$1)</f>
        <v>1098.9259999999999</v>
      </c>
      <c r="BE83" s="55">
        <f>_xll.EQNXTDZ($A$1,$B83,BE$5,$B$1)</f>
        <v>0</v>
      </c>
      <c r="BF83" s="55">
        <f>_xll.EQNXTDZ($A$1,$B83,BF$5,$B$1)</f>
        <v>882.47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243.476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256.69299999999998</v>
      </c>
      <c r="AE84" s="55">
        <f>_xll.EQNXTDZ($A$1,$B84,AE$5,$B$1)</f>
        <v>0</v>
      </c>
      <c r="AF84" s="55">
        <f>_xll.EQNXTDZ($A$1,$B84,AF$5,$B$1)</f>
        <v>268.24799999999999</v>
      </c>
      <c r="AG84" s="55">
        <f>_xll.EQNXTDZ($A$1,$B84,AG$5,$B$1)</f>
        <v>0</v>
      </c>
      <c r="AH84" s="55">
        <f>_xll.EQNXTDZ($A$1,$B84,AH$5,$B$1)</f>
        <v>345.577</v>
      </c>
      <c r="AI84" s="55">
        <f>_xll.EQNXTDZ($A$1,$B84,AI$5,$B$1)</f>
        <v>0</v>
      </c>
      <c r="AJ84" s="55">
        <f>_xll.EQNXTDZ($A$1,$B84,AJ$5,$B$1)</f>
        <v>260.05399999999997</v>
      </c>
      <c r="AK84" s="55">
        <f>_xll.EQNXTDZ($A$1,$B84,AK$5,$B$1)</f>
        <v>0</v>
      </c>
      <c r="AL84" s="55">
        <f>_xll.EQNXTDZ($A$1,$B84,AL$5,$B$1)</f>
        <v>182.255</v>
      </c>
      <c r="AM84" s="55">
        <f>_xll.EQNXTDZ($A$1,$B84,AM$5,$B$1)</f>
        <v>0</v>
      </c>
      <c r="AN84" s="55">
        <f>_xll.EQNXTDZ($A$1,$B84,AN$5,$B$1)</f>
        <v>365.67700000000002</v>
      </c>
      <c r="AO84" s="55">
        <f>_xll.EQNXTDZ($A$1,$B84,AO$5,$B$1)</f>
        <v>0</v>
      </c>
      <c r="AP84" s="55">
        <f>_xll.EQNXTDZ($A$1,$B84,AP$5,$B$1)</f>
        <v>461.24599999999998</v>
      </c>
      <c r="AQ84" s="55">
        <f>_xll.EQNXTDZ($A$1,$B84,AQ$5,$B$1)</f>
        <v>0</v>
      </c>
      <c r="AR84" s="55">
        <f>_xll.EQNXTDZ($A$1,$B84,AR$5,$B$1)</f>
        <v>622.29399999999998</v>
      </c>
      <c r="AS84" s="55">
        <f>_xll.EQNXTDZ($A$1,$B84,AS$5,$B$1)</f>
        <v>0</v>
      </c>
      <c r="AT84" s="55">
        <f>_xll.EQNXTDZ($A$1,$B84,AT$5,$B$1)</f>
        <v>654.68399999999997</v>
      </c>
      <c r="AU84" s="55">
        <f>_xll.EQNXTDZ($A$1,$B84,AU$5,$B$1)</f>
        <v>0</v>
      </c>
      <c r="AV84" s="55">
        <f>_xll.EQNXTDZ($A$1,$B84,AV$5,$B$1)</f>
        <v>629.01099999999997</v>
      </c>
      <c r="AW84" s="55">
        <f>_xll.EQNXTDZ($A$1,$B84,AW$5,$B$1)</f>
        <v>0</v>
      </c>
      <c r="AX84" s="55">
        <f>_xll.EQNXTDZ($A$1,$B84,AX$5,$B$1)</f>
        <v>756.32899999999995</v>
      </c>
      <c r="AY84" s="55">
        <f>_xll.EQNXTDZ($A$1,$B84,AY$5,$B$1)</f>
        <v>0</v>
      </c>
      <c r="AZ84" s="55">
        <f>_xll.EQNXTDZ($A$1,$B84,AZ$5,$B$1)</f>
        <v>627.89700000000005</v>
      </c>
      <c r="BA84" s="55">
        <f>_xll.EQNXTDZ($A$1,$B84,BA$5,$B$1)</f>
        <v>0</v>
      </c>
      <c r="BB84" s="55">
        <f>_xll.EQNXTDZ($A$1,$B84,BB$5,$B$1)</f>
        <v>530.65</v>
      </c>
      <c r="BC84" s="55">
        <f>_xll.EQNXTDZ($A$1,$B84,BC$5,$B$1)</f>
        <v>0</v>
      </c>
      <c r="BD84" s="55">
        <f>_xll.EQNXTDZ($A$1,$B84,BD$5,$B$1)</f>
        <v>763.27099999999996</v>
      </c>
      <c r="BE84" s="55">
        <f>_xll.EQNXTDZ($A$1,$B84,BE$5,$B$1)</f>
        <v>0</v>
      </c>
      <c r="BF84" s="55">
        <f>_xll.EQNXTDZ($A$1,$B84,BF$5,$B$1)</f>
        <v>1041.2619999999999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15.273999999999999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20.74</v>
      </c>
      <c r="AE85" s="55">
        <f>_xll.EQNXTDZ($A$1,$B85,AE$5,$B$1)</f>
        <v>0</v>
      </c>
      <c r="AF85" s="55">
        <f>_xll.EQNXTDZ($A$1,$B85,AF$5,$B$1)</f>
        <v>18.622</v>
      </c>
      <c r="AG85" s="55">
        <f>_xll.EQNXTDZ($A$1,$B85,AG$5,$B$1)</f>
        <v>0</v>
      </c>
      <c r="AH85" s="55">
        <f>_xll.EQNXTDZ($A$1,$B85,AH$5,$B$1)</f>
        <v>24.437000000000001</v>
      </c>
      <c r="AI85" s="55">
        <f>_xll.EQNXTDZ($A$1,$B85,AI$5,$B$1)</f>
        <v>0</v>
      </c>
      <c r="AJ85" s="55">
        <f>_xll.EQNXTDZ($A$1,$B85,AJ$5,$B$1)</f>
        <v>20.506</v>
      </c>
      <c r="AK85" s="55">
        <f>_xll.EQNXTDZ($A$1,$B85,AK$5,$B$1)</f>
        <v>0</v>
      </c>
      <c r="AL85" s="55">
        <f>_xll.EQNXTDZ($A$1,$B85,AL$5,$B$1)</f>
        <v>12.266</v>
      </c>
      <c r="AM85" s="55">
        <f>_xll.EQNXTDZ($A$1,$B85,AM$5,$B$1)</f>
        <v>0</v>
      </c>
      <c r="AN85" s="55">
        <f>_xll.EQNXTDZ($A$1,$B85,AN$5,$B$1)</f>
        <v>14.462999999999999</v>
      </c>
      <c r="AO85" s="55">
        <f>_xll.EQNXTDZ($A$1,$B85,AO$5,$B$1)</f>
        <v>0</v>
      </c>
      <c r="AP85" s="55">
        <f>_xll.EQNXTDZ($A$1,$B85,AP$5,$B$1)</f>
        <v>12.68</v>
      </c>
      <c r="AQ85" s="55">
        <f>_xll.EQNXTDZ($A$1,$B85,AQ$5,$B$1)</f>
        <v>0</v>
      </c>
      <c r="AR85" s="55">
        <f>_xll.EQNXTDZ($A$1,$B85,AR$5,$B$1)</f>
        <v>10.875</v>
      </c>
      <c r="AS85" s="55">
        <f>_xll.EQNXTDZ($A$1,$B85,AS$5,$B$1)</f>
        <v>0</v>
      </c>
      <c r="AT85" s="55">
        <f>_xll.EQNXTDZ($A$1,$B85,AT$5,$B$1)</f>
        <v>10.347</v>
      </c>
      <c r="AU85" s="55">
        <f>_xll.EQNXTDZ($A$1,$B85,AU$5,$B$1)</f>
        <v>0</v>
      </c>
      <c r="AV85" s="55">
        <f>_xll.EQNXTDZ($A$1,$B85,AV$5,$B$1)</f>
        <v>10.849</v>
      </c>
      <c r="AW85" s="55">
        <f>_xll.EQNXTDZ($A$1,$B85,AW$5,$B$1)</f>
        <v>0</v>
      </c>
      <c r="AX85" s="55">
        <f>_xll.EQNXTDZ($A$1,$B85,AX$5,$B$1)</f>
        <v>10.625999999999999</v>
      </c>
      <c r="AY85" s="55">
        <f>_xll.EQNXTDZ($A$1,$B85,AY$5,$B$1)</f>
        <v>0</v>
      </c>
      <c r="AZ85" s="55">
        <f>_xll.EQNXTDZ($A$1,$B85,AZ$5,$B$1)</f>
        <v>10.714</v>
      </c>
      <c r="BA85" s="55">
        <f>_xll.EQNXTDZ($A$1,$B85,BA$5,$B$1)</f>
        <v>0</v>
      </c>
      <c r="BB85" s="55">
        <f>_xll.EQNXTDZ($A$1,$B85,BB$5,$B$1)</f>
        <v>11.1</v>
      </c>
      <c r="BC85" s="55">
        <f>_xll.EQNXTDZ($A$1,$B85,BC$5,$B$1)</f>
        <v>0</v>
      </c>
      <c r="BD85" s="55">
        <f>_xll.EQNXTDZ($A$1,$B85,BD$5,$B$1)</f>
        <v>11.016</v>
      </c>
      <c r="BE85" s="55">
        <f>_xll.EQNXTDZ($A$1,$B85,BE$5,$B$1)</f>
        <v>0</v>
      </c>
      <c r="BF85" s="55">
        <f>_xll.EQNXTDZ($A$1,$B85,BF$5,$B$1)</f>
        <v>11.231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2925.9059999999999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3924.183</v>
      </c>
      <c r="AE86" s="55">
        <f>_xll.EQNXTDZ($A$1,$B86,AE$5,$B$1)</f>
        <v>0</v>
      </c>
      <c r="AF86" s="55">
        <f>_xll.EQNXTDZ($A$1,$B86,AF$5,$B$1)</f>
        <v>3874.752</v>
      </c>
      <c r="AG86" s="55">
        <f>_xll.EQNXTDZ($A$1,$B86,AG$5,$B$1)</f>
        <v>0</v>
      </c>
      <c r="AH86" s="55">
        <f>_xll.EQNXTDZ($A$1,$B86,AH$5,$B$1)</f>
        <v>4049.9180000000001</v>
      </c>
      <c r="AI86" s="55">
        <f>_xll.EQNXTDZ($A$1,$B86,AI$5,$B$1)</f>
        <v>0</v>
      </c>
      <c r="AJ86" s="55">
        <f>_xll.EQNXTDZ($A$1,$B86,AJ$5,$B$1)</f>
        <v>4304.5810000000001</v>
      </c>
      <c r="AK86" s="55">
        <f>_xll.EQNXTDZ($A$1,$B86,AK$5,$B$1)</f>
        <v>0</v>
      </c>
      <c r="AL86" s="55">
        <f>_xll.EQNXTDZ($A$1,$B86,AL$5,$B$1)</f>
        <v>4772.643</v>
      </c>
      <c r="AM86" s="55">
        <f>_xll.EQNXTDZ($A$1,$B86,AM$5,$B$1)</f>
        <v>0</v>
      </c>
      <c r="AN86" s="55">
        <f>_xll.EQNXTDZ($A$1,$B86,AN$5,$B$1)</f>
        <v>4530.95</v>
      </c>
      <c r="AO86" s="55">
        <f>_xll.EQNXTDZ($A$1,$B86,AO$5,$B$1)</f>
        <v>0</v>
      </c>
      <c r="AP86" s="55">
        <f>_xll.EQNXTDZ($A$1,$B86,AP$5,$B$1)</f>
        <v>5141.1360000000004</v>
      </c>
      <c r="AQ86" s="55">
        <f>_xll.EQNXTDZ($A$1,$B86,AQ$5,$B$1)</f>
        <v>0</v>
      </c>
      <c r="AR86" s="55">
        <f>_xll.EQNXTDZ($A$1,$B86,AR$5,$B$1)</f>
        <v>5774.1270000000004</v>
      </c>
      <c r="AS86" s="55">
        <f>_xll.EQNXTDZ($A$1,$B86,AS$5,$B$1)</f>
        <v>0</v>
      </c>
      <c r="AT86" s="55">
        <f>_xll.EQNXTDZ($A$1,$B86,AT$5,$B$1)</f>
        <v>6908.7489999999998</v>
      </c>
      <c r="AU86" s="55">
        <f>_xll.EQNXTDZ($A$1,$B86,AU$5,$B$1)</f>
        <v>0</v>
      </c>
      <c r="AV86" s="55">
        <f>_xll.EQNXTDZ($A$1,$B86,AV$5,$B$1)</f>
        <v>7080.0810000000001</v>
      </c>
      <c r="AW86" s="55">
        <f>_xll.EQNXTDZ($A$1,$B86,AW$5,$B$1)</f>
        <v>0</v>
      </c>
      <c r="AX86" s="55">
        <f>_xll.EQNXTDZ($A$1,$B86,AX$5,$B$1)</f>
        <v>8713.9609999999993</v>
      </c>
      <c r="AY86" s="55">
        <f>_xll.EQNXTDZ($A$1,$B86,AY$5,$B$1)</f>
        <v>0</v>
      </c>
      <c r="AZ86" s="55">
        <f>_xll.EQNXTDZ($A$1,$B86,AZ$5,$B$1)</f>
        <v>9762.9709999999995</v>
      </c>
      <c r="BA86" s="55">
        <f>_xll.EQNXTDZ($A$1,$B86,BA$5,$B$1)</f>
        <v>0</v>
      </c>
      <c r="BB86" s="55">
        <f>_xll.EQNXTDZ($A$1,$B86,BB$5,$B$1)</f>
        <v>9318.9959999999992</v>
      </c>
      <c r="BC86" s="55">
        <f>_xll.EQNXTDZ($A$1,$B86,BC$5,$B$1)</f>
        <v>0</v>
      </c>
      <c r="BD86" s="55">
        <f>_xll.EQNXTDZ($A$1,$B86,BD$5,$B$1)</f>
        <v>11803.455</v>
      </c>
      <c r="BE86" s="55">
        <f>_xll.EQNXTDZ($A$1,$B86,BE$5,$B$1)</f>
        <v>0</v>
      </c>
      <c r="BF86" s="55">
        <f>_xll.EQNXTDZ($A$1,$B86,BF$5,$B$1)</f>
        <v>14657.888000000001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568.745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103.071</v>
      </c>
      <c r="AE88" s="55">
        <f>_xll.EQNXTDZ($A$1,$B88,AE$5,$B$1)</f>
        <v>0</v>
      </c>
      <c r="AF88" s="55">
        <f>_xll.EQNXTDZ($A$1,$B88,AF$5,$B$1)</f>
        <v>116.051</v>
      </c>
      <c r="AG88" s="55">
        <f>_xll.EQNXTDZ($A$1,$B88,AG$5,$B$1)</f>
        <v>0</v>
      </c>
      <c r="AH88" s="55">
        <f>_xll.EQNXTDZ($A$1,$B88,AH$5,$B$1)</f>
        <v>111.453</v>
      </c>
      <c r="AI88" s="55">
        <f>_xll.EQNXTDZ($A$1,$B88,AI$5,$B$1)</f>
        <v>0</v>
      </c>
      <c r="AJ88" s="55">
        <f>_xll.EQNXTDZ($A$1,$B88,AJ$5,$B$1)</f>
        <v>82.602999999999994</v>
      </c>
      <c r="AK88" s="55">
        <f>_xll.EQNXTDZ($A$1,$B88,AK$5,$B$1)</f>
        <v>0</v>
      </c>
      <c r="AL88" s="55">
        <f>_xll.EQNXTDZ($A$1,$B88,AL$5,$B$1)</f>
        <v>145.00899999999999</v>
      </c>
      <c r="AM88" s="55">
        <f>_xll.EQNXTDZ($A$1,$B88,AM$5,$B$1)</f>
        <v>0</v>
      </c>
      <c r="AN88" s="55">
        <f>_xll.EQNXTDZ($A$1,$B88,AN$5,$B$1)</f>
        <v>157.93100000000001</v>
      </c>
      <c r="AO88" s="55">
        <f>_xll.EQNXTDZ($A$1,$B88,AO$5,$B$1)</f>
        <v>0</v>
      </c>
      <c r="AP88" s="55">
        <f>_xll.EQNXTDZ($A$1,$B88,AP$5,$B$1)</f>
        <v>80.161000000000001</v>
      </c>
      <c r="AQ88" s="55">
        <f>_xll.EQNXTDZ($A$1,$B88,AQ$5,$B$1)</f>
        <v>0</v>
      </c>
      <c r="AR88" s="55">
        <f>_xll.EQNXTDZ($A$1,$B88,AR$5,$B$1)</f>
        <v>100.35299999999999</v>
      </c>
      <c r="AS88" s="55">
        <f>_xll.EQNXTDZ($A$1,$B88,AS$5,$B$1)</f>
        <v>0</v>
      </c>
      <c r="AT88" s="55">
        <f>_xll.EQNXTDZ($A$1,$B88,AT$5,$B$1)</f>
        <v>68.81</v>
      </c>
      <c r="AU88" s="55">
        <f>_xll.EQNXTDZ($A$1,$B88,AU$5,$B$1)</f>
        <v>0</v>
      </c>
      <c r="AV88" s="55">
        <f>_xll.EQNXTDZ($A$1,$B88,AV$5,$B$1)</f>
        <v>155.80199999999999</v>
      </c>
      <c r="AW88" s="55">
        <f>_xll.EQNXTDZ($A$1,$B88,AW$5,$B$1)</f>
        <v>0</v>
      </c>
      <c r="AX88" s="55">
        <f>_xll.EQNXTDZ($A$1,$B88,AX$5,$B$1)</f>
        <v>67.17</v>
      </c>
      <c r="AY88" s="55">
        <f>_xll.EQNXTDZ($A$1,$B88,AY$5,$B$1)</f>
        <v>0</v>
      </c>
      <c r="AZ88" s="55">
        <f>_xll.EQNXTDZ($A$1,$B88,AZ$5,$B$1)</f>
        <v>76.905000000000001</v>
      </c>
      <c r="BA88" s="55">
        <f>_xll.EQNXTDZ($A$1,$B88,BA$5,$B$1)</f>
        <v>0</v>
      </c>
      <c r="BB88" s="55">
        <f>_xll.EQNXTDZ($A$1,$B88,BB$5,$B$1)</f>
        <v>67.063999999999993</v>
      </c>
      <c r="BC88" s="55">
        <f>_xll.EQNXTDZ($A$1,$B88,BC$5,$B$1)</f>
        <v>0</v>
      </c>
      <c r="BD88" s="55">
        <f>_xll.EQNXTDZ($A$1,$B88,BD$5,$B$1)</f>
        <v>83.896000000000001</v>
      </c>
      <c r="BE88" s="55">
        <f>_xll.EQNXTDZ($A$1,$B88,BE$5,$B$1)</f>
        <v>0</v>
      </c>
      <c r="BF88" s="55">
        <f>_xll.EQNXTDZ($A$1,$B88,BF$5,$B$1)</f>
        <v>93.222999999999999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922.08699999999999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1520.182</v>
      </c>
      <c r="AE89" s="55">
        <f>_xll.EQNXTDZ($A$1,$B89,AE$5,$B$1)</f>
        <v>0</v>
      </c>
      <c r="AF89" s="55">
        <f>_xll.EQNXTDZ($A$1,$B89,AF$5,$B$1)</f>
        <v>1323.0450000000001</v>
      </c>
      <c r="AG89" s="55">
        <f>_xll.EQNXTDZ($A$1,$B89,AG$5,$B$1)</f>
        <v>0</v>
      </c>
      <c r="AH89" s="55">
        <f>_xll.EQNXTDZ($A$1,$B89,AH$5,$B$1)</f>
        <v>1353.683</v>
      </c>
      <c r="AI89" s="55">
        <f>_xll.EQNXTDZ($A$1,$B89,AI$5,$B$1)</f>
        <v>0</v>
      </c>
      <c r="AJ89" s="55">
        <f>_xll.EQNXTDZ($A$1,$B89,AJ$5,$B$1)</f>
        <v>1327.7139999999999</v>
      </c>
      <c r="AK89" s="55">
        <f>_xll.EQNXTDZ($A$1,$B89,AK$5,$B$1)</f>
        <v>0</v>
      </c>
      <c r="AL89" s="55">
        <f>_xll.EQNXTDZ($A$1,$B89,AL$5,$B$1)</f>
        <v>1348.0319999999999</v>
      </c>
      <c r="AM89" s="55">
        <f>_xll.EQNXTDZ($A$1,$B89,AM$5,$B$1)</f>
        <v>0</v>
      </c>
      <c r="AN89" s="55">
        <f>_xll.EQNXTDZ($A$1,$B89,AN$5,$B$1)</f>
        <v>1312.4860000000001</v>
      </c>
      <c r="AO89" s="55">
        <f>_xll.EQNXTDZ($A$1,$B89,AO$5,$B$1)</f>
        <v>0</v>
      </c>
      <c r="AP89" s="55">
        <f>_xll.EQNXTDZ($A$1,$B89,AP$5,$B$1)</f>
        <v>1217.53</v>
      </c>
      <c r="AQ89" s="55">
        <f>_xll.EQNXTDZ($A$1,$B89,AQ$5,$B$1)</f>
        <v>0</v>
      </c>
      <c r="AR89" s="55">
        <f>_xll.EQNXTDZ($A$1,$B89,AR$5,$B$1)</f>
        <v>1660.0139999999999</v>
      </c>
      <c r="AS89" s="55">
        <f>_xll.EQNXTDZ($A$1,$B89,AS$5,$B$1)</f>
        <v>0</v>
      </c>
      <c r="AT89" s="55">
        <f>_xll.EQNXTDZ($A$1,$B89,AT$5,$B$1)</f>
        <v>806.88800000000003</v>
      </c>
      <c r="AU89" s="55">
        <f>_xll.EQNXTDZ($A$1,$B89,AU$5,$B$1)</f>
        <v>0</v>
      </c>
      <c r="AV89" s="55">
        <f>_xll.EQNXTDZ($A$1,$B89,AV$5,$B$1)</f>
        <v>1884.65</v>
      </c>
      <c r="AW89" s="55">
        <f>_xll.EQNXTDZ($A$1,$B89,AW$5,$B$1)</f>
        <v>0</v>
      </c>
      <c r="AX89" s="55">
        <f>_xll.EQNXTDZ($A$1,$B89,AX$5,$B$1)</f>
        <v>1001.359</v>
      </c>
      <c r="AY89" s="55">
        <f>_xll.EQNXTDZ($A$1,$B89,AY$5,$B$1)</f>
        <v>0</v>
      </c>
      <c r="AZ89" s="55">
        <f>_xll.EQNXTDZ($A$1,$B89,AZ$5,$B$1)</f>
        <v>1229.3800000000001</v>
      </c>
      <c r="BA89" s="55">
        <f>_xll.EQNXTDZ($A$1,$B89,BA$5,$B$1)</f>
        <v>0</v>
      </c>
      <c r="BB89" s="55">
        <f>_xll.EQNXTDZ($A$1,$B89,BB$5,$B$1)</f>
        <v>1429.519</v>
      </c>
      <c r="BC89" s="55">
        <f>_xll.EQNXTDZ($A$1,$B89,BC$5,$B$1)</f>
        <v>0</v>
      </c>
      <c r="BD89" s="55">
        <f>_xll.EQNXTDZ($A$1,$B89,BD$5,$B$1)</f>
        <v>1574.864</v>
      </c>
      <c r="BE89" s="55">
        <f>_xll.EQNXTDZ($A$1,$B89,BE$5,$B$1)</f>
        <v>0</v>
      </c>
      <c r="BF89" s="55">
        <f>_xll.EQNXTDZ($A$1,$B89,BF$5,$B$1)</f>
        <v>1798.8140000000001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325.952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974.81799999999998</v>
      </c>
      <c r="AE91" s="55">
        <f>_xll.EQNXTDZ($A$1,$B91,AE$5,$B$1)</f>
        <v>0</v>
      </c>
      <c r="AF91" s="55">
        <f>_xll.EQNXTDZ($A$1,$B91,AF$5,$B$1)</f>
        <v>626.95799999999997</v>
      </c>
      <c r="AG91" s="55">
        <f>_xll.EQNXTDZ($A$1,$B91,AG$5,$B$1)</f>
        <v>0</v>
      </c>
      <c r="AH91" s="55">
        <f>_xll.EQNXTDZ($A$1,$B91,AH$5,$B$1)</f>
        <v>520.173</v>
      </c>
      <c r="AI91" s="55">
        <f>_xll.EQNXTDZ($A$1,$B91,AI$5,$B$1)</f>
        <v>0</v>
      </c>
      <c r="AJ91" s="55">
        <f>_xll.EQNXTDZ($A$1,$B91,AJ$5,$B$1)</f>
        <v>524.86599999999999</v>
      </c>
      <c r="AK91" s="55">
        <f>_xll.EQNXTDZ($A$1,$B91,AK$5,$B$1)</f>
        <v>0</v>
      </c>
      <c r="AL91" s="55">
        <f>_xll.EQNXTDZ($A$1,$B91,AL$5,$B$1)</f>
        <v>498.012</v>
      </c>
      <c r="AM91" s="55">
        <f>_xll.EQNXTDZ($A$1,$B91,AM$5,$B$1)</f>
        <v>0</v>
      </c>
      <c r="AN91" s="55">
        <f>_xll.EQNXTDZ($A$1,$B91,AN$5,$B$1)</f>
        <v>390.91899999999998</v>
      </c>
      <c r="AO91" s="55">
        <f>_xll.EQNXTDZ($A$1,$B91,AO$5,$B$1)</f>
        <v>0</v>
      </c>
      <c r="AP91" s="55">
        <f>_xll.EQNXTDZ($A$1,$B91,AP$5,$B$1)</f>
        <v>418.25799999999998</v>
      </c>
      <c r="AQ91" s="55">
        <f>_xll.EQNXTDZ($A$1,$B91,AQ$5,$B$1)</f>
        <v>0</v>
      </c>
      <c r="AR91" s="55">
        <f>_xll.EQNXTDZ($A$1,$B91,AR$5,$B$1)</f>
        <v>318.40699999999998</v>
      </c>
      <c r="AS91" s="55">
        <f>_xll.EQNXTDZ($A$1,$B91,AS$5,$B$1)</f>
        <v>0</v>
      </c>
      <c r="AT91" s="55">
        <f>_xll.EQNXTDZ($A$1,$B91,AT$5,$B$1)</f>
        <v>1718.0360000000001</v>
      </c>
      <c r="AU91" s="55">
        <f>_xll.EQNXTDZ($A$1,$B91,AU$5,$B$1)</f>
        <v>0</v>
      </c>
      <c r="AV91" s="55">
        <f>_xll.EQNXTDZ($A$1,$B91,AV$5,$B$1)</f>
        <v>412.7</v>
      </c>
      <c r="AW91" s="55">
        <f>_xll.EQNXTDZ($A$1,$B91,AW$5,$B$1)</f>
        <v>0</v>
      </c>
      <c r="AX91" s="55">
        <f>_xll.EQNXTDZ($A$1,$B91,AX$5,$B$1)</f>
        <v>2477.92</v>
      </c>
      <c r="AY91" s="55">
        <f>_xll.EQNXTDZ($A$1,$B91,AY$5,$B$1)</f>
        <v>0</v>
      </c>
      <c r="AZ91" s="55">
        <f>_xll.EQNXTDZ($A$1,$B91,AZ$5,$B$1)</f>
        <v>3345.0540000000001</v>
      </c>
      <c r="BA91" s="55">
        <f>_xll.EQNXTDZ($A$1,$B91,BA$5,$B$1)</f>
        <v>0</v>
      </c>
      <c r="BB91" s="55">
        <f>_xll.EQNXTDZ($A$1,$B91,BB$5,$B$1)</f>
        <v>1950.6679999999999</v>
      </c>
      <c r="BC91" s="55">
        <f>_xll.EQNXTDZ($A$1,$B91,BC$5,$B$1)</f>
        <v>0</v>
      </c>
      <c r="BD91" s="55">
        <f>_xll.EQNXTDZ($A$1,$B91,BD$5,$B$1)</f>
        <v>4349.4620000000004</v>
      </c>
      <c r="BE91" s="55">
        <f>_xll.EQNXTDZ($A$1,$B91,BE$5,$B$1)</f>
        <v>0</v>
      </c>
      <c r="BF91" s="55">
        <f>_xll.EQNXTDZ($A$1,$B91,BF$5,$B$1)</f>
        <v>5939.0119999999997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37.633000000000003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20.870999999999999</v>
      </c>
      <c r="AE92" s="55">
        <f>_xll.EQNXTDZ($A$1,$B92,AE$5,$B$1)</f>
        <v>0</v>
      </c>
      <c r="AF92" s="55">
        <f>_xll.EQNXTDZ($A$1,$B92,AF$5,$B$1)</f>
        <v>22.388000000000002</v>
      </c>
      <c r="AG92" s="55">
        <f>_xll.EQNXTDZ($A$1,$B92,AG$5,$B$1)</f>
        <v>0</v>
      </c>
      <c r="AH92" s="55">
        <f>_xll.EQNXTDZ($A$1,$B92,AH$5,$B$1)</f>
        <v>23.780999999999999</v>
      </c>
      <c r="AI92" s="55">
        <f>_xll.EQNXTDZ($A$1,$B92,AI$5,$B$1)</f>
        <v>0</v>
      </c>
      <c r="AJ92" s="55">
        <f>_xll.EQNXTDZ($A$1,$B92,AJ$5,$B$1)</f>
        <v>23.852</v>
      </c>
      <c r="AK92" s="55">
        <f>_xll.EQNXTDZ($A$1,$B92,AK$5,$B$1)</f>
        <v>0</v>
      </c>
      <c r="AL92" s="55">
        <f>_xll.EQNXTDZ($A$1,$B92,AL$5,$B$1)</f>
        <v>23.524999999999999</v>
      </c>
      <c r="AM92" s="55">
        <f>_xll.EQNXTDZ($A$1,$B92,AM$5,$B$1)</f>
        <v>0</v>
      </c>
      <c r="AN92" s="55">
        <f>_xll.EQNXTDZ($A$1,$B92,AN$5,$B$1)</f>
        <v>26.068999999999999</v>
      </c>
      <c r="AO92" s="55">
        <f>_xll.EQNXTDZ($A$1,$B92,AO$5,$B$1)</f>
        <v>0</v>
      </c>
      <c r="AP92" s="55">
        <f>_xll.EQNXTDZ($A$1,$B92,AP$5,$B$1)</f>
        <v>25.38</v>
      </c>
      <c r="AQ92" s="55">
        <f>_xll.EQNXTDZ($A$1,$B92,AQ$5,$B$1)</f>
        <v>0</v>
      </c>
      <c r="AR92" s="55">
        <f>_xll.EQNXTDZ($A$1,$B92,AR$5,$B$1)</f>
        <v>26.306999999999999</v>
      </c>
      <c r="AS92" s="55">
        <f>_xll.EQNXTDZ($A$1,$B92,AS$5,$B$1)</f>
        <v>0</v>
      </c>
      <c r="AT92" s="55">
        <f>_xll.EQNXTDZ($A$1,$B92,AT$5,$B$1)</f>
        <v>26.757000000000001</v>
      </c>
      <c r="AU92" s="55">
        <f>_xll.EQNXTDZ($A$1,$B92,AU$5,$B$1)</f>
        <v>0</v>
      </c>
      <c r="AV92" s="55">
        <f>_xll.EQNXTDZ($A$1,$B92,AV$5,$B$1)</f>
        <v>26.983000000000001</v>
      </c>
      <c r="AW92" s="55">
        <f>_xll.EQNXTDZ($A$1,$B92,AW$5,$B$1)</f>
        <v>0</v>
      </c>
      <c r="AX92" s="55">
        <f>_xll.EQNXTDZ($A$1,$B92,AX$5,$B$1)</f>
        <v>47.694000000000003</v>
      </c>
      <c r="AY92" s="55">
        <f>_xll.EQNXTDZ($A$1,$B92,AY$5,$B$1)</f>
        <v>0</v>
      </c>
      <c r="AZ92" s="55">
        <f>_xll.EQNXTDZ($A$1,$B92,AZ$5,$B$1)</f>
        <v>33.445999999999998</v>
      </c>
      <c r="BA92" s="55">
        <f>_xll.EQNXTDZ($A$1,$B92,BA$5,$B$1)</f>
        <v>0</v>
      </c>
      <c r="BB92" s="55">
        <f>_xll.EQNXTDZ($A$1,$B92,BB$5,$B$1)</f>
        <v>62.895000000000003</v>
      </c>
      <c r="BC92" s="55">
        <f>_xll.EQNXTDZ($A$1,$B92,BC$5,$B$1)</f>
        <v>0</v>
      </c>
      <c r="BD92" s="55">
        <f>_xll.EQNXTDZ($A$1,$B92,BD$5,$B$1)</f>
        <v>71.451999999999998</v>
      </c>
      <c r="BE92" s="55">
        <f>_xll.EQNXTDZ($A$1,$B92,BE$5,$B$1)</f>
        <v>0</v>
      </c>
      <c r="BF92" s="55">
        <f>_xll.EQNXTDZ($A$1,$B92,BF$5,$B$1)</f>
        <v>134.19499999999999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1854.4169999999999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2618.942</v>
      </c>
      <c r="AE93" s="55">
        <f>_xll.EQNXTDZ($A$1,$B93,AE$5,$B$1)</f>
        <v>0</v>
      </c>
      <c r="AF93" s="55">
        <f>_xll.EQNXTDZ($A$1,$B93,AF$5,$B$1)</f>
        <v>2088.442</v>
      </c>
      <c r="AG93" s="55">
        <f>_xll.EQNXTDZ($A$1,$B93,AG$5,$B$1)</f>
        <v>0</v>
      </c>
      <c r="AH93" s="55">
        <f>_xll.EQNXTDZ($A$1,$B93,AH$5,$B$1)</f>
        <v>2009.09</v>
      </c>
      <c r="AI93" s="55">
        <f>_xll.EQNXTDZ($A$1,$B93,AI$5,$B$1)</f>
        <v>0</v>
      </c>
      <c r="AJ93" s="55">
        <f>_xll.EQNXTDZ($A$1,$B93,AJ$5,$B$1)</f>
        <v>1959.0350000000001</v>
      </c>
      <c r="AK93" s="55">
        <f>_xll.EQNXTDZ($A$1,$B93,AK$5,$B$1)</f>
        <v>0</v>
      </c>
      <c r="AL93" s="55">
        <f>_xll.EQNXTDZ($A$1,$B93,AL$5,$B$1)</f>
        <v>2014.578</v>
      </c>
      <c r="AM93" s="55">
        <f>_xll.EQNXTDZ($A$1,$B93,AM$5,$B$1)</f>
        <v>0</v>
      </c>
      <c r="AN93" s="55">
        <f>_xll.EQNXTDZ($A$1,$B93,AN$5,$B$1)</f>
        <v>1887.405</v>
      </c>
      <c r="AO93" s="55">
        <f>_xll.EQNXTDZ($A$1,$B93,AO$5,$B$1)</f>
        <v>0</v>
      </c>
      <c r="AP93" s="55">
        <f>_xll.EQNXTDZ($A$1,$B93,AP$5,$B$1)</f>
        <v>1741.329</v>
      </c>
      <c r="AQ93" s="55">
        <f>_xll.EQNXTDZ($A$1,$B93,AQ$5,$B$1)</f>
        <v>0</v>
      </c>
      <c r="AR93" s="55">
        <f>_xll.EQNXTDZ($A$1,$B93,AR$5,$B$1)</f>
        <v>2105.0810000000001</v>
      </c>
      <c r="AS93" s="55">
        <f>_xll.EQNXTDZ($A$1,$B93,AS$5,$B$1)</f>
        <v>0</v>
      </c>
      <c r="AT93" s="55">
        <f>_xll.EQNXTDZ($A$1,$B93,AT$5,$B$1)</f>
        <v>2620.491</v>
      </c>
      <c r="AU93" s="55">
        <f>_xll.EQNXTDZ($A$1,$B93,AU$5,$B$1)</f>
        <v>0</v>
      </c>
      <c r="AV93" s="55">
        <f>_xll.EQNXTDZ($A$1,$B93,AV$5,$B$1)</f>
        <v>2480.1350000000002</v>
      </c>
      <c r="AW93" s="55">
        <f>_xll.EQNXTDZ($A$1,$B93,AW$5,$B$1)</f>
        <v>0</v>
      </c>
      <c r="AX93" s="55">
        <f>_xll.EQNXTDZ($A$1,$B93,AX$5,$B$1)</f>
        <v>3594.143</v>
      </c>
      <c r="AY93" s="55">
        <f>_xll.EQNXTDZ($A$1,$B93,AY$5,$B$1)</f>
        <v>0</v>
      </c>
      <c r="AZ93" s="55">
        <f>_xll.EQNXTDZ($A$1,$B93,AZ$5,$B$1)</f>
        <v>4684.7849999999999</v>
      </c>
      <c r="BA93" s="55">
        <f>_xll.EQNXTDZ($A$1,$B93,BA$5,$B$1)</f>
        <v>0</v>
      </c>
      <c r="BB93" s="55">
        <f>_xll.EQNXTDZ($A$1,$B93,BB$5,$B$1)</f>
        <v>3510.1460000000002</v>
      </c>
      <c r="BC93" s="55">
        <f>_xll.EQNXTDZ($A$1,$B93,BC$5,$B$1)</f>
        <v>0</v>
      </c>
      <c r="BD93" s="55">
        <f>_xll.EQNXTDZ($A$1,$B93,BD$5,$B$1)</f>
        <v>6079.674</v>
      </c>
      <c r="BE93" s="55">
        <f>_xll.EQNXTDZ($A$1,$B93,BE$5,$B$1)</f>
        <v>0</v>
      </c>
      <c r="BF93" s="55">
        <f>_xll.EQNXTDZ($A$1,$B93,BF$5,$B$1)</f>
        <v>7965.2439999999997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1071.489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1305.241</v>
      </c>
      <c r="AE94" s="55">
        <f>_xll.EQNXTDZ($A$1,$B94,AE$5,$B$1)</f>
        <v>0</v>
      </c>
      <c r="AF94" s="55">
        <f>_xll.EQNXTDZ($A$1,$B94,AF$5,$B$1)</f>
        <v>1786.31</v>
      </c>
      <c r="AG94" s="55">
        <f>_xll.EQNXTDZ($A$1,$B94,AG$5,$B$1)</f>
        <v>0</v>
      </c>
      <c r="AH94" s="55">
        <f>_xll.EQNXTDZ($A$1,$B94,AH$5,$B$1)</f>
        <v>2040.828</v>
      </c>
      <c r="AI94" s="55">
        <f>_xll.EQNXTDZ($A$1,$B94,AI$5,$B$1)</f>
        <v>0</v>
      </c>
      <c r="AJ94" s="55">
        <f>_xll.EQNXTDZ($A$1,$B94,AJ$5,$B$1)</f>
        <v>2345.5459999999998</v>
      </c>
      <c r="AK94" s="55">
        <f>_xll.EQNXTDZ($A$1,$B94,AK$5,$B$1)</f>
        <v>0</v>
      </c>
      <c r="AL94" s="55">
        <f>_xll.EQNXTDZ($A$1,$B94,AL$5,$B$1)</f>
        <v>2758.0650000000001</v>
      </c>
      <c r="AM94" s="55">
        <f>_xll.EQNXTDZ($A$1,$B94,AM$5,$B$1)</f>
        <v>0</v>
      </c>
      <c r="AN94" s="55">
        <f>_xll.EQNXTDZ($A$1,$B94,AN$5,$B$1)</f>
        <v>2643.5450000000001</v>
      </c>
      <c r="AO94" s="55">
        <f>_xll.EQNXTDZ($A$1,$B94,AO$5,$B$1)</f>
        <v>0</v>
      </c>
      <c r="AP94" s="55">
        <f>_xll.EQNXTDZ($A$1,$B94,AP$5,$B$1)</f>
        <v>3399.8069999999998</v>
      </c>
      <c r="AQ94" s="55">
        <f>_xll.EQNXTDZ($A$1,$B94,AQ$5,$B$1)</f>
        <v>0</v>
      </c>
      <c r="AR94" s="55">
        <f>_xll.EQNXTDZ($A$1,$B94,AR$5,$B$1)</f>
        <v>3669.0459999999998</v>
      </c>
      <c r="AS94" s="55">
        <f>_xll.EQNXTDZ($A$1,$B94,AS$5,$B$1)</f>
        <v>0</v>
      </c>
      <c r="AT94" s="55">
        <f>_xll.EQNXTDZ($A$1,$B94,AT$5,$B$1)</f>
        <v>4288.2579999999998</v>
      </c>
      <c r="AU94" s="55">
        <f>_xll.EQNXTDZ($A$1,$B94,AU$5,$B$1)</f>
        <v>0</v>
      </c>
      <c r="AV94" s="55">
        <f>_xll.EQNXTDZ($A$1,$B94,AV$5,$B$1)</f>
        <v>4599.9459999999999</v>
      </c>
      <c r="AW94" s="55">
        <f>_xll.EQNXTDZ($A$1,$B94,AW$5,$B$1)</f>
        <v>0</v>
      </c>
      <c r="AX94" s="55">
        <f>_xll.EQNXTDZ($A$1,$B94,AX$5,$B$1)</f>
        <v>5119.8180000000002</v>
      </c>
      <c r="AY94" s="55">
        <f>_xll.EQNXTDZ($A$1,$B94,AY$5,$B$1)</f>
        <v>0</v>
      </c>
      <c r="AZ94" s="55">
        <f>_xll.EQNXTDZ($A$1,$B94,AZ$5,$B$1)</f>
        <v>5078.1859999999997</v>
      </c>
      <c r="BA94" s="55">
        <f>_xll.EQNXTDZ($A$1,$B94,BA$5,$B$1)</f>
        <v>0</v>
      </c>
      <c r="BB94" s="55">
        <f>_xll.EQNXTDZ($A$1,$B94,BB$5,$B$1)</f>
        <v>5808.85</v>
      </c>
      <c r="BC94" s="55">
        <f>_xll.EQNXTDZ($A$1,$B94,BC$5,$B$1)</f>
        <v>0</v>
      </c>
      <c r="BD94" s="55">
        <f>_xll.EQNXTDZ($A$1,$B94,BD$5,$B$1)</f>
        <v>5723.7809999999999</v>
      </c>
      <c r="BE94" s="55">
        <f>_xll.EQNXTDZ($A$1,$B94,BE$5,$B$1)</f>
        <v>0</v>
      </c>
      <c r="BF94" s="55">
        <f>_xll.EQNXTDZ($A$1,$B94,BF$5,$B$1)</f>
        <v>6692.6440000000002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-55.337000000000003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-23.102</v>
      </c>
      <c r="AE96" s="55">
        <f>_xll.EQNXTDZ($A$1,$B96,AE$5,$B$1)</f>
        <v>0</v>
      </c>
      <c r="AF96" s="55">
        <f>_xll.EQNXTDZ($A$1,$B96,AF$5,$B$1)</f>
        <v>-6.1310000000000002</v>
      </c>
      <c r="AG96" s="55">
        <f>_xll.EQNXTDZ($A$1,$B96,AG$5,$B$1)</f>
        <v>0</v>
      </c>
      <c r="AH96" s="55">
        <f>_xll.EQNXTDZ($A$1,$B96,AH$5,$B$1)</f>
        <v>-16.481000000000002</v>
      </c>
      <c r="AI96" s="55">
        <f>_xll.EQNXTDZ($A$1,$B96,AI$5,$B$1)</f>
        <v>0</v>
      </c>
      <c r="AJ96" s="55">
        <f>_xll.EQNXTDZ($A$1,$B96,AJ$5,$B$1)</f>
        <v>-37.292999999999999</v>
      </c>
      <c r="AK96" s="55">
        <f>_xll.EQNXTDZ($A$1,$B96,AK$5,$B$1)</f>
        <v>0</v>
      </c>
      <c r="AL96" s="55">
        <f>_xll.EQNXTDZ($A$1,$B96,AL$5,$B$1)</f>
        <v>-41.802999999999997</v>
      </c>
      <c r="AM96" s="55">
        <f>_xll.EQNXTDZ($A$1,$B96,AM$5,$B$1)</f>
        <v>0</v>
      </c>
      <c r="AN96" s="55">
        <f>_xll.EQNXTDZ($A$1,$B96,AN$5,$B$1)</f>
        <v>-36.555</v>
      </c>
      <c r="AO96" s="55">
        <f>_xll.EQNXTDZ($A$1,$B96,AO$5,$B$1)</f>
        <v>0</v>
      </c>
      <c r="AP96" s="55">
        <f>_xll.EQNXTDZ($A$1,$B96,AP$5,$B$1)</f>
        <v>-27.175000000000001</v>
      </c>
      <c r="AQ96" s="55">
        <f>_xll.EQNXTDZ($A$1,$B96,AQ$5,$B$1)</f>
        <v>0</v>
      </c>
      <c r="AR96" s="55">
        <f>_xll.EQNXTDZ($A$1,$B96,AR$5,$B$1)</f>
        <v>-25.623999999999999</v>
      </c>
      <c r="AS96" s="55">
        <f>_xll.EQNXTDZ($A$1,$B96,AS$5,$B$1)</f>
        <v>0</v>
      </c>
      <c r="AT96" s="55">
        <f>_xll.EQNXTDZ($A$1,$B96,AT$5,$B$1)</f>
        <v>-40.923999999999999</v>
      </c>
      <c r="AU96" s="55">
        <f>_xll.EQNXTDZ($A$1,$B96,AU$5,$B$1)</f>
        <v>0</v>
      </c>
      <c r="AV96" s="55">
        <f>_xll.EQNXTDZ($A$1,$B96,AV$5,$B$1)</f>
        <v>-30.344000000000001</v>
      </c>
      <c r="AW96" s="55">
        <f>_xll.EQNXTDZ($A$1,$B96,AW$5,$B$1)</f>
        <v>0</v>
      </c>
      <c r="AX96" s="55">
        <f>_xll.EQNXTDZ($A$1,$B96,AX$5,$B$1)</f>
        <v>-41.502000000000002</v>
      </c>
      <c r="AY96" s="55">
        <f>_xll.EQNXTDZ($A$1,$B96,AY$5,$B$1)</f>
        <v>0</v>
      </c>
      <c r="AZ96" s="55">
        <f>_xll.EQNXTDZ($A$1,$B96,AZ$5,$B$1)</f>
        <v>-58.871000000000002</v>
      </c>
      <c r="BA96" s="55">
        <f>_xll.EQNXTDZ($A$1,$B96,BA$5,$B$1)</f>
        <v>0</v>
      </c>
      <c r="BB96" s="55">
        <f>_xll.EQNXTDZ($A$1,$B96,BB$5,$B$1)</f>
        <v>-75.433000000000007</v>
      </c>
      <c r="BC96" s="55">
        <f>_xll.EQNXTDZ($A$1,$B96,BC$5,$B$1)</f>
        <v>0</v>
      </c>
      <c r="BD96" s="55">
        <f>_xll.EQNXTDZ($A$1,$B96,BD$5,$B$1)</f>
        <v>-84.064999999999998</v>
      </c>
      <c r="BE96" s="55">
        <f>_xll.EQNXTDZ($A$1,$B96,BE$5,$B$1)</f>
        <v>0</v>
      </c>
      <c r="BF96" s="55">
        <f>_xll.EQNXTDZ($A$1,$B96,BF$5,$B$1)</f>
        <v>-40.804000000000002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2538.3470000000002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2986.2510000000002</v>
      </c>
      <c r="AE97" s="55">
        <f>_xll.EQNXTDZ($A$1,$B97,AE$5,$B$1)</f>
        <v>0</v>
      </c>
      <c r="AF97" s="55">
        <f>_xll.EQNXTDZ($A$1,$B97,AF$5,$B$1)</f>
        <v>3626.8409999999999</v>
      </c>
      <c r="AG97" s="55">
        <f>_xll.EQNXTDZ($A$1,$B97,AG$5,$B$1)</f>
        <v>0</v>
      </c>
      <c r="AH97" s="55">
        <f>_xll.EQNXTDZ($A$1,$B97,AH$5,$B$1)</f>
        <v>3935.01</v>
      </c>
      <c r="AI97" s="55">
        <f>_xll.EQNXTDZ($A$1,$B97,AI$5,$B$1)</f>
        <v>0</v>
      </c>
      <c r="AJ97" s="55">
        <f>_xll.EQNXTDZ($A$1,$B97,AJ$5,$B$1)</f>
        <v>4454.2529999999997</v>
      </c>
      <c r="AK97" s="55">
        <f>_xll.EQNXTDZ($A$1,$B97,AK$5,$B$1)</f>
        <v>0</v>
      </c>
      <c r="AL97" s="55">
        <f>_xll.EQNXTDZ($A$1,$B97,AL$5,$B$1)</f>
        <v>4958.3190000000004</v>
      </c>
      <c r="AM97" s="55">
        <f>_xll.EQNXTDZ($A$1,$B97,AM$5,$B$1)</f>
        <v>0</v>
      </c>
      <c r="AN97" s="55">
        <f>_xll.EQNXTDZ($A$1,$B97,AN$5,$B$1)</f>
        <v>5081.5309999999999</v>
      </c>
      <c r="AO97" s="55">
        <f>_xll.EQNXTDZ($A$1,$B97,AO$5,$B$1)</f>
        <v>0</v>
      </c>
      <c r="AP97" s="55">
        <f>_xll.EQNXTDZ($A$1,$B97,AP$5,$B$1)</f>
        <v>5643.393</v>
      </c>
      <c r="AQ97" s="55">
        <f>_xll.EQNXTDZ($A$1,$B97,AQ$5,$B$1)</f>
        <v>0</v>
      </c>
      <c r="AR97" s="55">
        <f>_xll.EQNXTDZ($A$1,$B97,AR$5,$B$1)</f>
        <v>5946.7569999999996</v>
      </c>
      <c r="AS97" s="55">
        <f>_xll.EQNXTDZ($A$1,$B97,AS$5,$B$1)</f>
        <v>0</v>
      </c>
      <c r="AT97" s="55">
        <f>_xll.EQNXTDZ($A$1,$B97,AT$5,$B$1)</f>
        <v>6762.7169999999996</v>
      </c>
      <c r="AU97" s="55">
        <f>_xll.EQNXTDZ($A$1,$B97,AU$5,$B$1)</f>
        <v>0</v>
      </c>
      <c r="AV97" s="55">
        <f>_xll.EQNXTDZ($A$1,$B97,AV$5,$B$1)</f>
        <v>7372.8329999999996</v>
      </c>
      <c r="AW97" s="55">
        <f>_xll.EQNXTDZ($A$1,$B97,AW$5,$B$1)</f>
        <v>0</v>
      </c>
      <c r="AX97" s="55">
        <f>_xll.EQNXTDZ($A$1,$B97,AX$5,$B$1)</f>
        <v>8430.3700000000008</v>
      </c>
      <c r="AY97" s="55">
        <f>_xll.EQNXTDZ($A$1,$B97,AY$5,$B$1)</f>
        <v>0</v>
      </c>
      <c r="AZ97" s="55">
        <f>_xll.EQNXTDZ($A$1,$B97,AZ$5,$B$1)</f>
        <v>8951.5349999999999</v>
      </c>
      <c r="BA97" s="55">
        <f>_xll.EQNXTDZ($A$1,$B97,BA$5,$B$1)</f>
        <v>0</v>
      </c>
      <c r="BB97" s="55">
        <f>_xll.EQNXTDZ($A$1,$B97,BB$5,$B$1)</f>
        <v>10163.117</v>
      </c>
      <c r="BC97" s="55">
        <f>_xll.EQNXTDZ($A$1,$B97,BC$5,$B$1)</f>
        <v>0</v>
      </c>
      <c r="BD97" s="55">
        <f>_xll.EQNXTDZ($A$1,$B97,BD$5,$B$1)</f>
        <v>10987.293</v>
      </c>
      <c r="BE97" s="55">
        <f>_xll.EQNXTDZ($A$1,$B97,BE$5,$B$1)</f>
        <v>0</v>
      </c>
      <c r="BF97" s="55">
        <f>_xll.EQNXTDZ($A$1,$B97,BF$5,$B$1)</f>
        <v>12458.54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211337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Polycab India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2467.3474289999999</v>
      </c>
      <c r="K6" s="100">
        <f>_xll.EQNXTDZ($A$1,$B6,K$1,$B$1)</f>
        <v>2486.0061943000001</v>
      </c>
      <c r="L6" s="100">
        <f>_xll.EQNXTDZ($A$1,$B6,L$1,$B$1)</f>
        <v>2513.9245679999999</v>
      </c>
      <c r="M6" s="100">
        <f>_xll.EQNXTDZ($A$1,$B6,M$1,$B$1)</f>
        <v>0</v>
      </c>
      <c r="N6" s="100">
        <f>_xll.EQNXTDZ($A$1,$B6,N$1,$B$1)</f>
        <v>3775.596</v>
      </c>
      <c r="O6" s="100">
        <f>_xll.EQNXTDZ($A$1,$B6,O$1,$B$1)</f>
        <v>3719.473</v>
      </c>
      <c r="P6" s="100">
        <f>_xll.EQNXTDZ($A$1,$B6,P$1,$B$1)</f>
        <v>4247.8320000000003</v>
      </c>
      <c r="Q6" s="100">
        <f>_xll.EQNXTDZ($A$1,$B6,Q$1,$B$1)</f>
        <v>5113.4340000000002</v>
      </c>
      <c r="R6" s="100">
        <f>_xll.EQNXTDZ($A$1,$B6,R$1,$B$1)</f>
        <v>5719.29</v>
      </c>
      <c r="S6" s="100">
        <f>_xll.EQNXTDZ($A$1,$B6,S$1,$B$1)</f>
        <v>6047.0079999999998</v>
      </c>
      <c r="T6" s="100">
        <f>_xll.EQNXTDZ($A$1,$B6,T$1,$B$1)</f>
        <v>6914.9520000000002</v>
      </c>
      <c r="U6" s="100">
        <f>_xll.EQNXTDZ($A$1,$B6,U$1,$B$1)</f>
        <v>7985.5519999999997</v>
      </c>
      <c r="V6" s="100">
        <f>_xll.EQNXTDZ($A$1,$B6,V$1,$B$1)</f>
        <v>8829.9549999999999</v>
      </c>
      <c r="W6" s="100">
        <f>_xll.EQNXTDZ($A$1,$B6,W$1,$B$1)</f>
        <v>8792.2340000000004</v>
      </c>
      <c r="X6" s="100">
        <f>_xll.EQNXTDZ($A$1,$B6,X$1,$B$1)</f>
        <v>12203.761</v>
      </c>
      <c r="Y6" s="100">
        <f>_xll.EQNXTDZ($A$1,$B6,Y$1,$B$1)</f>
        <v>14107.778</v>
      </c>
      <c r="Z6" s="100">
        <f>_xll.EQNXTDZ($A$1,$B6,Z$1,$B$1)</f>
        <v>18039.444</v>
      </c>
      <c r="AA6" s="100">
        <f>_xll.EQNXTDZ($A$1,$B6,AA$1,$B$1)</f>
        <v>22408.312999999998</v>
      </c>
      <c r="AB6" s="100">
        <f>_xll.EQNXTDZ($A$1,$B6,AB$1,$B$1)</f>
        <v>28883.792000000001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331.16070239999999</v>
      </c>
      <c r="K9" s="100">
        <f>_xll.EQNXTDZ($A$1,$B9,K$1,$B$1)</f>
        <v>246.17237979999999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405.51400000000001</v>
      </c>
      <c r="Q9" s="100">
        <f>_xll.EQNXTDZ($A$1,$B9,Q$1,$B$1)</f>
        <v>405.31799999999998</v>
      </c>
      <c r="R9" s="100">
        <f>_xll.EQNXTDZ($A$1,$B9,R$1,$B$1)</f>
        <v>532.46</v>
      </c>
      <c r="S9" s="100">
        <f>_xll.EQNXTDZ($A$1,$B9,S$1,$B$1)</f>
        <v>546.89099999999996</v>
      </c>
      <c r="T9" s="100">
        <f>_xll.EQNXTDZ($A$1,$B9,T$1,$B$1)</f>
        <v>144.64699999999999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2136.1867265999999</v>
      </c>
      <c r="K10" s="100">
        <f>_xll.EQNXTDZ($A$1,$B10,K$1,$B$1)</f>
        <v>2239.8338144999998</v>
      </c>
      <c r="L10" s="100">
        <f>_xll.EQNXTDZ($A$1,$B10,L$1,$B$1)</f>
        <v>2513.9245679999999</v>
      </c>
      <c r="M10" s="100">
        <f>_xll.EQNXTDZ($A$1,$B10,M$1,$B$1)</f>
        <v>0</v>
      </c>
      <c r="N10" s="100">
        <f>_xll.EQNXTDZ($A$1,$B10,N$1,$B$1)</f>
        <v>3775.596</v>
      </c>
      <c r="O10" s="100">
        <f>_xll.EQNXTDZ($A$1,$B10,O$1,$B$1)</f>
        <v>3719.473</v>
      </c>
      <c r="P10" s="100">
        <f>_xll.EQNXTDZ($A$1,$B10,P$1,$B$1)</f>
        <v>3842.3180000000002</v>
      </c>
      <c r="Q10" s="100">
        <f>_xll.EQNXTDZ($A$1,$B10,Q$1,$B$1)</f>
        <v>4708.116</v>
      </c>
      <c r="R10" s="100">
        <f>_xll.EQNXTDZ($A$1,$B10,R$1,$B$1)</f>
        <v>5186.83</v>
      </c>
      <c r="S10" s="100">
        <f>_xll.EQNXTDZ($A$1,$B10,S$1,$B$1)</f>
        <v>5500.1170000000002</v>
      </c>
      <c r="T10" s="100">
        <f>_xll.EQNXTDZ($A$1,$B10,T$1,$B$1)</f>
        <v>6770.3050000000003</v>
      </c>
      <c r="U10" s="100">
        <f>_xll.EQNXTDZ($A$1,$B10,U$1,$B$1)</f>
        <v>7985.5519999999997</v>
      </c>
      <c r="V10" s="100">
        <f>_xll.EQNXTDZ($A$1,$B10,V$1,$B$1)</f>
        <v>8829.9549999999999</v>
      </c>
      <c r="W10" s="100">
        <f>_xll.EQNXTDZ($A$1,$B10,W$1,$B$1)</f>
        <v>8792.2340000000004</v>
      </c>
      <c r="X10" s="100">
        <f>_xll.EQNXTDZ($A$1,$B10,X$1,$B$1)</f>
        <v>12203.761</v>
      </c>
      <c r="Y10" s="100">
        <f>_xll.EQNXTDZ($A$1,$B10,Y$1,$B$1)</f>
        <v>14107.778</v>
      </c>
      <c r="Z10" s="100">
        <f>_xll.EQNXTDZ($A$1,$B10,Z$1,$B$1)</f>
        <v>18039.444</v>
      </c>
      <c r="AA10" s="100">
        <f>_xll.EQNXTDZ($A$1,$B10,AA$1,$B$1)</f>
        <v>22408.312999999998</v>
      </c>
      <c r="AB10" s="100">
        <f>_xll.EQNXTDZ($A$1,$B10,AB$1,$B$1)</f>
        <v>28883.792000000001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-20.8488203</v>
      </c>
      <c r="K11" s="100">
        <f>_xll.EQNXTDZ($A$1,$B11,K$1,$B$1)</f>
        <v>-29.4611768</v>
      </c>
      <c r="L11" s="100">
        <f>_xll.EQNXTDZ($A$1,$B11,L$1,$B$1)</f>
        <v>-61.886988700000003</v>
      </c>
      <c r="M11" s="100">
        <f>_xll.EQNXTDZ($A$1,$B11,M$1,$B$1)</f>
        <v>0</v>
      </c>
      <c r="N11" s="100">
        <f>_xll.EQNXTDZ($A$1,$B11,N$1,$B$1)</f>
        <v>127.76</v>
      </c>
      <c r="O11" s="100">
        <f>_xll.EQNXTDZ($A$1,$B11,O$1,$B$1)</f>
        <v>54.98</v>
      </c>
      <c r="P11" s="100">
        <f>_xll.EQNXTDZ($A$1,$B11,P$1,$B$1)</f>
        <v>-21.462</v>
      </c>
      <c r="Q11" s="100">
        <f>_xll.EQNXTDZ($A$1,$B11,Q$1,$B$1)</f>
        <v>-100.85899999999999</v>
      </c>
      <c r="R11" s="100">
        <f>_xll.EQNXTDZ($A$1,$B11,R$1,$B$1)</f>
        <v>-58.66</v>
      </c>
      <c r="S11" s="100">
        <f>_xll.EQNXTDZ($A$1,$B11,S$1,$B$1)</f>
        <v>-208.49299999999999</v>
      </c>
      <c r="T11" s="100">
        <f>_xll.EQNXTDZ($A$1,$B11,T$1,$B$1)</f>
        <v>-8.3059999999999992</v>
      </c>
      <c r="U11" s="100">
        <f>_xll.EQNXTDZ($A$1,$B11,U$1,$B$1)</f>
        <v>-107.69799999999999</v>
      </c>
      <c r="V11" s="100">
        <f>_xll.EQNXTDZ($A$1,$B11,V$1,$B$1)</f>
        <v>-237.148</v>
      </c>
      <c r="W11" s="100">
        <f>_xll.EQNXTDZ($A$1,$B11,W$1,$B$1)</f>
        <v>67.771000000000001</v>
      </c>
      <c r="X11" s="100">
        <f>_xll.EQNXTDZ($A$1,$B11,X$1,$B$1)</f>
        <v>-492.75099999999998</v>
      </c>
      <c r="Y11" s="100">
        <f>_xll.EQNXTDZ($A$1,$B11,Y$1,$B$1)</f>
        <v>34.676000000000002</v>
      </c>
      <c r="Z11" s="100">
        <f>_xll.EQNXTDZ($A$1,$B11,Z$1,$B$1)</f>
        <v>-421.50900000000001</v>
      </c>
      <c r="AA11" s="100">
        <f>_xll.EQNXTDZ($A$1,$B11,AA$1,$B$1)</f>
        <v>-451.86399999999998</v>
      </c>
      <c r="AB11" s="100">
        <f>_xll.EQNXTDZ($A$1,$B11,AB$1,$B$1)</f>
        <v>-760.16200000000003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1666.5145884000001</v>
      </c>
      <c r="K12" s="100">
        <f>_xll.EQNXTDZ($A$1,$B12,K$1,$B$1)</f>
        <v>1868.0721229000001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3021.482</v>
      </c>
      <c r="Q12" s="100">
        <f>_xll.EQNXTDZ($A$1,$B12,Q$1,$B$1)</f>
        <v>3589.2939999999999</v>
      </c>
      <c r="R12" s="100">
        <f>_xll.EQNXTDZ($A$1,$B12,R$1,$B$1)</f>
        <v>3780.67</v>
      </c>
      <c r="S12" s="100">
        <f>_xll.EQNXTDZ($A$1,$B12,S$1,$B$1)</f>
        <v>4253.674</v>
      </c>
      <c r="T12" s="100">
        <f>_xll.EQNXTDZ($A$1,$B12,T$1,$B$1)</f>
        <v>4919.5990000000002</v>
      </c>
      <c r="U12" s="100">
        <f>_xll.EQNXTDZ($A$1,$B12,U$1,$B$1)</f>
        <v>5727.2650000000003</v>
      </c>
      <c r="V12" s="100">
        <f>_xll.EQNXTDZ($A$1,$B12,V$1,$B$1)</f>
        <v>6114.3360000000002</v>
      </c>
      <c r="W12" s="100">
        <f>_xll.EQNXTDZ($A$1,$B12,W$1,$B$1)</f>
        <v>6192.6229999999996</v>
      </c>
      <c r="X12" s="100">
        <f>_xll.EQNXTDZ($A$1,$B12,X$1,$B$1)</f>
        <v>9645.7559999999994</v>
      </c>
      <c r="Y12" s="100">
        <f>_xll.EQNXTDZ($A$1,$B12,Y$1,$B$1)</f>
        <v>10087.096</v>
      </c>
      <c r="Z12" s="100">
        <f>_xll.EQNXTDZ($A$1,$B12,Z$1,$B$1)</f>
        <v>13039.58</v>
      </c>
      <c r="AA12" s="100">
        <f>_xll.EQNXTDZ($A$1,$B12,AA$1,$B$1)</f>
        <v>15801.894</v>
      </c>
      <c r="AB12" s="100">
        <f>_xll.EQNXTDZ($A$1,$B12,AB$1,$B$1)</f>
        <v>21100.106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5.5864805000000004</v>
      </c>
      <c r="K13" s="100">
        <f>_xll.EQNXTDZ($A$1,$B13,K$1,$B$1)</f>
        <v>7.1327370999999999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55.110999999999997</v>
      </c>
      <c r="Q13" s="100">
        <f>_xll.EQNXTDZ($A$1,$B13,Q$1,$B$1)</f>
        <v>74.287000000000006</v>
      </c>
      <c r="R13" s="100">
        <f>_xll.EQNXTDZ($A$1,$B13,R$1,$B$1)</f>
        <v>80.540000000000006</v>
      </c>
      <c r="S13" s="100">
        <f>_xll.EQNXTDZ($A$1,$B13,S$1,$B$1)</f>
        <v>84.781999999999996</v>
      </c>
      <c r="T13" s="100">
        <f>_xll.EQNXTDZ($A$1,$B13,T$1,$B$1)</f>
        <v>89.628</v>
      </c>
      <c r="U13" s="100">
        <f>_xll.EQNXTDZ($A$1,$B13,U$1,$B$1)</f>
        <v>107.648</v>
      </c>
      <c r="V13" s="100">
        <f>_xll.EQNXTDZ($A$1,$B13,V$1,$B$1)</f>
        <v>128.316</v>
      </c>
      <c r="W13" s="100">
        <f>_xll.EQNXTDZ($A$1,$B13,W$1,$B$1)</f>
        <v>116.03400000000001</v>
      </c>
      <c r="X13" s="100">
        <f>_xll.EQNXTDZ($A$1,$B13,X$1,$B$1)</f>
        <v>143.982</v>
      </c>
      <c r="Y13" s="100">
        <f>_xll.EQNXTDZ($A$1,$B13,Y$1,$B$1)</f>
        <v>183.751</v>
      </c>
      <c r="Z13" s="100">
        <f>_xll.EQNXTDZ($A$1,$B13,Z$1,$B$1)</f>
        <v>218.17699999999999</v>
      </c>
      <c r="AA13" s="100">
        <f>_xll.EQNXTDZ($A$1,$B13,AA$1,$B$1)</f>
        <v>256.45400000000001</v>
      </c>
      <c r="AB13" s="100">
        <f>_xll.EQNXTDZ($A$1,$B13,AB$1,$B$1)</f>
        <v>307.60899999999998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10.430059</v>
      </c>
      <c r="K14" s="100">
        <f>_xll.EQNXTDZ($A$1,$B14,K$1,$B$1)</f>
        <v>15.2822528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113.938</v>
      </c>
      <c r="Q14" s="100">
        <f>_xll.EQNXTDZ($A$1,$B14,Q$1,$B$1)</f>
        <v>161.887</v>
      </c>
      <c r="R14" s="100">
        <f>_xll.EQNXTDZ($A$1,$B14,R$1,$B$1)</f>
        <v>206.06</v>
      </c>
      <c r="S14" s="100">
        <f>_xll.EQNXTDZ($A$1,$B14,S$1,$B$1)</f>
        <v>229.09800000000001</v>
      </c>
      <c r="T14" s="100">
        <f>_xll.EQNXTDZ($A$1,$B14,T$1,$B$1)</f>
        <v>259.255</v>
      </c>
      <c r="U14" s="100">
        <f>_xll.EQNXTDZ($A$1,$B14,U$1,$B$1)</f>
        <v>300.24799999999999</v>
      </c>
      <c r="V14" s="100">
        <f>_xll.EQNXTDZ($A$1,$B14,V$1,$B$1)</f>
        <v>365.74599999999998</v>
      </c>
      <c r="W14" s="100">
        <f>_xll.EQNXTDZ($A$1,$B14,W$1,$B$1)</f>
        <v>353.72899999999998</v>
      </c>
      <c r="X14" s="100">
        <f>_xll.EQNXTDZ($A$1,$B14,X$1,$B$1)</f>
        <v>406.62799999999999</v>
      </c>
      <c r="Y14" s="100">
        <f>_xll.EQNXTDZ($A$1,$B14,Y$1,$B$1)</f>
        <v>456.77199999999999</v>
      </c>
      <c r="Z14" s="100">
        <f>_xll.EQNXTDZ($A$1,$B14,Z$1,$B$1)</f>
        <v>609.54200000000003</v>
      </c>
      <c r="AA14" s="100">
        <f>_xll.EQNXTDZ($A$1,$B14,AA$1,$B$1)</f>
        <v>736.726</v>
      </c>
      <c r="AB14" s="100">
        <f>_xll.EQNXTDZ($A$1,$B14,AB$1,$B$1)</f>
        <v>879.42399999999998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158.67490119999999</v>
      </c>
      <c r="K15" s="100">
        <f>_xll.EQNXTDZ($A$1,$B15,K$1,$B$1)</f>
        <v>164.4958767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160.09800000000001</v>
      </c>
      <c r="Q15" s="100">
        <f>_xll.EQNXTDZ($A$1,$B15,Q$1,$B$1)</f>
        <v>265.334</v>
      </c>
      <c r="R15" s="100">
        <f>_xll.EQNXTDZ($A$1,$B15,R$1,$B$1)</f>
        <v>377.4</v>
      </c>
      <c r="S15" s="100">
        <f>_xll.EQNXTDZ($A$1,$B15,S$1,$B$1)</f>
        <v>327.82499999999999</v>
      </c>
      <c r="T15" s="100">
        <f>_xll.EQNXTDZ($A$1,$B15,T$1,$B$1)</f>
        <v>365.327</v>
      </c>
      <c r="U15" s="100">
        <f>_xll.EQNXTDZ($A$1,$B15,U$1,$B$1)</f>
        <v>525.94399999999996</v>
      </c>
      <c r="V15" s="100">
        <f>_xll.EQNXTDZ($A$1,$B15,V$1,$B$1)</f>
        <v>750.19899999999996</v>
      </c>
      <c r="W15" s="100">
        <f>_xll.EQNXTDZ($A$1,$B15,W$1,$B$1)</f>
        <v>505.95</v>
      </c>
      <c r="X15" s="100">
        <f>_xll.EQNXTDZ($A$1,$B15,X$1,$B$1)</f>
        <v>628.07600000000002</v>
      </c>
      <c r="Y15" s="100">
        <f>_xll.EQNXTDZ($A$1,$B15,Y$1,$B$1)</f>
        <v>718.34100000000001</v>
      </c>
      <c r="Z15" s="100">
        <f>_xll.EQNXTDZ($A$1,$B15,Z$1,$B$1)</f>
        <v>1149.3979999999999</v>
      </c>
      <c r="AA15" s="100">
        <f>_xll.EQNXTDZ($A$1,$B15,AA$1,$B$1)</f>
        <v>2031.4</v>
      </c>
      <c r="AB15" s="100">
        <f>_xll.EQNXTDZ($A$1,$B15,AB$1,$B$1)</f>
        <v>1859.038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10.2726226</v>
      </c>
      <c r="K17" s="100">
        <f>_xll.EQNXTDZ($A$1,$B17,K$1,$B$1)</f>
        <v>10.4228092</v>
      </c>
      <c r="L17" s="100">
        <f>_xll.EQNXTDZ($A$1,$B17,L$1,$B$1)</f>
        <v>2449.6128549</v>
      </c>
      <c r="M17" s="100">
        <f>_xll.EQNXTDZ($A$1,$B17,M$1,$B$1)</f>
        <v>0</v>
      </c>
      <c r="N17" s="100">
        <f>_xll.EQNXTDZ($A$1,$B17,N$1,$B$1)</f>
        <v>3433.047</v>
      </c>
      <c r="O17" s="100">
        <f>_xll.EQNXTDZ($A$1,$B17,O$1,$B$1)</f>
        <v>3382.1350000000002</v>
      </c>
      <c r="P17" s="100">
        <f>_xll.EQNXTDZ($A$1,$B17,P$1,$B$1)</f>
        <v>34.204000000000001</v>
      </c>
      <c r="Q17" s="100">
        <f>_xll.EQNXTDZ($A$1,$B17,Q$1,$B$1)</f>
        <v>47.426000000000002</v>
      </c>
      <c r="R17" s="100">
        <f>_xll.EQNXTDZ($A$1,$B17,R$1,$B$1)</f>
        <v>81.760000000000005</v>
      </c>
      <c r="S17" s="100">
        <f>_xll.EQNXTDZ($A$1,$B17,S$1,$B$1)</f>
        <v>81.683000000000007</v>
      </c>
      <c r="T17" s="100">
        <f>_xll.EQNXTDZ($A$1,$B17,T$1,$B$1)</f>
        <v>85.77</v>
      </c>
      <c r="U17" s="100">
        <f>_xll.EQNXTDZ($A$1,$B17,U$1,$B$1)</f>
        <v>87.087000000000003</v>
      </c>
      <c r="V17" s="100">
        <f>_xll.EQNXTDZ($A$1,$B17,V$1,$B$1)</f>
        <v>98.156999999999996</v>
      </c>
      <c r="W17" s="100">
        <f>_xll.EQNXTDZ($A$1,$B17,W$1,$B$1)</f>
        <v>80.802000000000007</v>
      </c>
      <c r="X17" s="100">
        <f>_xll.EQNXTDZ($A$1,$B17,X$1,$B$1)</f>
        <v>138.55799999999999</v>
      </c>
      <c r="Y17" s="100">
        <f>_xll.EQNXTDZ($A$1,$B17,Y$1,$B$1)</f>
        <v>171.524</v>
      </c>
      <c r="Z17" s="100">
        <f>_xll.EQNXTDZ($A$1,$B17,Z$1,$B$1)</f>
        <v>194.28700000000001</v>
      </c>
      <c r="AA17" s="100">
        <f>_xll.EQNXTDZ($A$1,$B17,AA$1,$B$1)</f>
        <v>282.67399999999998</v>
      </c>
      <c r="AB17" s="100">
        <f>_xll.EQNXTDZ($A$1,$B17,AB$1,$B$1)</f>
        <v>320.32299999999998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27.1213984</v>
      </c>
      <c r="K18" s="100">
        <f>_xll.EQNXTDZ($A$1,$B18,K$1,$B$1)</f>
        <v>26.1392363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95.512</v>
      </c>
      <c r="Q18" s="100">
        <f>_xll.EQNXTDZ($A$1,$B18,Q$1,$B$1)</f>
        <v>144.56700000000001</v>
      </c>
      <c r="R18" s="100">
        <f>_xll.EQNXTDZ($A$1,$B18,R$1,$B$1)</f>
        <v>175.99</v>
      </c>
      <c r="S18" s="100">
        <f>_xll.EQNXTDZ($A$1,$B18,S$1,$B$1)</f>
        <v>187.98</v>
      </c>
      <c r="T18" s="100">
        <f>_xll.EQNXTDZ($A$1,$B18,T$1,$B$1)</f>
        <v>254.274</v>
      </c>
      <c r="U18" s="100">
        <f>_xll.EQNXTDZ($A$1,$B18,U$1,$B$1)</f>
        <v>277.858</v>
      </c>
      <c r="V18" s="100">
        <f>_xll.EQNXTDZ($A$1,$B18,V$1,$B$1)</f>
        <v>344.89</v>
      </c>
      <c r="W18" s="100">
        <f>_xll.EQNXTDZ($A$1,$B18,W$1,$B$1)</f>
        <v>302.68</v>
      </c>
      <c r="X18" s="100">
        <f>_xll.EQNXTDZ($A$1,$B18,X$1,$B$1)</f>
        <v>396.88799999999998</v>
      </c>
      <c r="Y18" s="100">
        <f>_xll.EQNXTDZ($A$1,$B18,Y$1,$B$1)</f>
        <v>491.57799999999997</v>
      </c>
      <c r="Z18" s="100">
        <f>_xll.EQNXTDZ($A$1,$B18,Z$1,$B$1)</f>
        <v>599.255</v>
      </c>
      <c r="AA18" s="100">
        <f>_xll.EQNXTDZ($A$1,$B18,AA$1,$B$1)</f>
        <v>542.28599999999994</v>
      </c>
      <c r="AB18" s="100">
        <f>_xll.EQNXTDZ($A$1,$B18,AB$1,$B$1)</f>
        <v>726.56200000000001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8.8623113</v>
      </c>
      <c r="K19" s="100">
        <f>_xll.EQNXTDZ($A$1,$B19,K$1,$B$1)</f>
        <v>4.6196286999999998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65.673000000000002</v>
      </c>
      <c r="Q19" s="100">
        <f>_xll.EQNXTDZ($A$1,$B19,Q$1,$B$1)</f>
        <v>86.144000000000005</v>
      </c>
      <c r="R19" s="100">
        <f>_xll.EQNXTDZ($A$1,$B19,R$1,$B$1)</f>
        <v>57.09</v>
      </c>
      <c r="S19" s="100">
        <f>_xll.EQNXTDZ($A$1,$B19,S$1,$B$1)</f>
        <v>63.621000000000002</v>
      </c>
      <c r="T19" s="100">
        <f>_xll.EQNXTDZ($A$1,$B19,T$1,$B$1)</f>
        <v>75.878</v>
      </c>
      <c r="U19" s="100">
        <f>_xll.EQNXTDZ($A$1,$B19,U$1,$B$1)</f>
        <v>114.43899999999999</v>
      </c>
      <c r="V19" s="100">
        <f>_xll.EQNXTDZ($A$1,$B19,V$1,$B$1)</f>
        <v>130.43299999999999</v>
      </c>
      <c r="W19" s="100">
        <f>_xll.EQNXTDZ($A$1,$B19,W$1,$B$1)</f>
        <v>66.53</v>
      </c>
      <c r="X19" s="100">
        <f>_xll.EQNXTDZ($A$1,$B19,X$1,$B$1)</f>
        <v>86.429000000000002</v>
      </c>
      <c r="Y19" s="100">
        <f>_xll.EQNXTDZ($A$1,$B19,Y$1,$B$1)</f>
        <v>115.042</v>
      </c>
      <c r="Z19" s="100">
        <f>_xll.EQNXTDZ($A$1,$B19,Z$1,$B$1)</f>
        <v>158.90899999999999</v>
      </c>
      <c r="AA19" s="100">
        <f>_xll.EQNXTDZ($A$1,$B19,AA$1,$B$1)</f>
        <v>248.50299999999999</v>
      </c>
      <c r="AB19" s="100">
        <f>_xll.EQNXTDZ($A$1,$B19,AB$1,$B$1)</f>
        <v>445.16399999999999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1866.6135411</v>
      </c>
      <c r="K21" s="100">
        <f>_xll.EQNXTDZ($A$1,$B21,K$1,$B$1)</f>
        <v>2066.7034868999999</v>
      </c>
      <c r="L21" s="100">
        <f>_xll.EQNXTDZ($A$1,$B21,L$1,$B$1)</f>
        <v>2387.7258661999999</v>
      </c>
      <c r="M21" s="100">
        <f>_xll.EQNXTDZ($A$1,$B21,M$1,$B$1)</f>
        <v>0</v>
      </c>
      <c r="N21" s="100">
        <f>_xll.EQNXTDZ($A$1,$B21,N$1,$B$1)</f>
        <v>3560.8069999999998</v>
      </c>
      <c r="O21" s="100">
        <f>_xll.EQNXTDZ($A$1,$B21,O$1,$B$1)</f>
        <v>3437.1149999999998</v>
      </c>
      <c r="P21" s="100">
        <f>_xll.EQNXTDZ($A$1,$B21,P$1,$B$1)</f>
        <v>3524.556</v>
      </c>
      <c r="Q21" s="100">
        <f>_xll.EQNXTDZ($A$1,$B21,Q$1,$B$1)</f>
        <v>4268.08</v>
      </c>
      <c r="R21" s="100">
        <f>_xll.EQNXTDZ($A$1,$B21,R$1,$B$1)</f>
        <v>4700.8500000000004</v>
      </c>
      <c r="S21" s="100">
        <f>_xll.EQNXTDZ($A$1,$B21,S$1,$B$1)</f>
        <v>5020.17</v>
      </c>
      <c r="T21" s="100">
        <f>_xll.EQNXTDZ($A$1,$B21,T$1,$B$1)</f>
        <v>6041.4250000000002</v>
      </c>
      <c r="U21" s="100">
        <f>_xll.EQNXTDZ($A$1,$B21,U$1,$B$1)</f>
        <v>7032.7910000000002</v>
      </c>
      <c r="V21" s="100">
        <f>_xll.EQNXTDZ($A$1,$B21,V$1,$B$1)</f>
        <v>7694.9290000000001</v>
      </c>
      <c r="W21" s="100">
        <f>_xll.EQNXTDZ($A$1,$B21,W$1,$B$1)</f>
        <v>7686.1189999999997</v>
      </c>
      <c r="X21" s="100">
        <f>_xll.EQNXTDZ($A$1,$B21,X$1,$B$1)</f>
        <v>10953.566000000001</v>
      </c>
      <c r="Y21" s="100">
        <f>_xll.EQNXTDZ($A$1,$B21,Y$1,$B$1)</f>
        <v>12258.78</v>
      </c>
      <c r="Z21" s="100">
        <f>_xll.EQNXTDZ($A$1,$B21,Z$1,$B$1)</f>
        <v>15547.638999999999</v>
      </c>
      <c r="AA21" s="100">
        <f>_xll.EQNXTDZ($A$1,$B21,AA$1,$B$1)</f>
        <v>19448.073</v>
      </c>
      <c r="AB21" s="100">
        <f>_xll.EQNXTDZ($A$1,$B21,AB$1,$B$1)</f>
        <v>24878.063999999998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269.57318550000002</v>
      </c>
      <c r="K22" s="100">
        <f>_xll.EQNXTDZ($A$1,$B22,K$1,$B$1)</f>
        <v>173.13032759999999</v>
      </c>
      <c r="L22" s="100">
        <f>_xll.EQNXTDZ($A$1,$B22,L$1,$B$1)</f>
        <v>126.19870179999999</v>
      </c>
      <c r="M22" s="100">
        <f>_xll.EQNXTDZ($A$1,$B22,M$1,$B$1)</f>
        <v>0</v>
      </c>
      <c r="N22" s="100">
        <f>_xll.EQNXTDZ($A$1,$B22,N$1,$B$1)</f>
        <v>214.78899999999999</v>
      </c>
      <c r="O22" s="100">
        <f>_xll.EQNXTDZ($A$1,$B22,O$1,$B$1)</f>
        <v>282.358</v>
      </c>
      <c r="P22" s="100">
        <f>_xll.EQNXTDZ($A$1,$B22,P$1,$B$1)</f>
        <v>317.762</v>
      </c>
      <c r="Q22" s="100">
        <f>_xll.EQNXTDZ($A$1,$B22,Q$1,$B$1)</f>
        <v>440.036</v>
      </c>
      <c r="R22" s="100">
        <f>_xll.EQNXTDZ($A$1,$B22,R$1,$B$1)</f>
        <v>485.98</v>
      </c>
      <c r="S22" s="100">
        <f>_xll.EQNXTDZ($A$1,$B22,S$1,$B$1)</f>
        <v>479.947</v>
      </c>
      <c r="T22" s="100">
        <f>_xll.EQNXTDZ($A$1,$B22,T$1,$B$1)</f>
        <v>728.88</v>
      </c>
      <c r="U22" s="100">
        <f>_xll.EQNXTDZ($A$1,$B22,U$1,$B$1)</f>
        <v>952.76099999999997</v>
      </c>
      <c r="V22" s="100">
        <f>_xll.EQNXTDZ($A$1,$B22,V$1,$B$1)</f>
        <v>1135.0260000000001</v>
      </c>
      <c r="W22" s="100">
        <f>_xll.EQNXTDZ($A$1,$B22,W$1,$B$1)</f>
        <v>1106.115</v>
      </c>
      <c r="X22" s="100">
        <f>_xll.EQNXTDZ($A$1,$B22,X$1,$B$1)</f>
        <v>1250.1949999999999</v>
      </c>
      <c r="Y22" s="100">
        <f>_xll.EQNXTDZ($A$1,$B22,Y$1,$B$1)</f>
        <v>1848.998</v>
      </c>
      <c r="Z22" s="100">
        <f>_xll.EQNXTDZ($A$1,$B22,Z$1,$B$1)</f>
        <v>2491.8049999999998</v>
      </c>
      <c r="AA22" s="100">
        <f>_xll.EQNXTDZ($A$1,$B22,AA$1,$B$1)</f>
        <v>2960.24</v>
      </c>
      <c r="AB22" s="100">
        <f>_xll.EQNXTDZ($A$1,$B22,AB$1,$B$1)</f>
        <v>4005.7280000000001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7.6235131000000003</v>
      </c>
      <c r="K23" s="100">
        <f>_xll.EQNXTDZ($A$1,$B23,K$1,$B$1)</f>
        <v>4.3013389000000002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-15.852</v>
      </c>
      <c r="Q23" s="100">
        <f>_xll.EQNXTDZ($A$1,$B23,Q$1,$B$1)</f>
        <v>11.153</v>
      </c>
      <c r="R23" s="100">
        <f>_xll.EQNXTDZ($A$1,$B23,R$1,$B$1)</f>
        <v>11.86</v>
      </c>
      <c r="S23" s="100">
        <f>_xll.EQNXTDZ($A$1,$B23,S$1,$B$1)</f>
        <v>75.212999999999994</v>
      </c>
      <c r="T23" s="100">
        <f>_xll.EQNXTDZ($A$1,$B23,T$1,$B$1)</f>
        <v>64.436999999999998</v>
      </c>
      <c r="U23" s="100">
        <f>_xll.EQNXTDZ($A$1,$B23,U$1,$B$1)</f>
        <v>63.78</v>
      </c>
      <c r="V23" s="100">
        <f>_xll.EQNXTDZ($A$1,$B23,V$1,$B$1)</f>
        <v>92.792000000000002</v>
      </c>
      <c r="W23" s="100">
        <f>_xll.EQNXTDZ($A$1,$B23,W$1,$B$1)</f>
        <v>124.315</v>
      </c>
      <c r="X23" s="100">
        <f>_xll.EQNXTDZ($A$1,$B23,X$1,$B$1)</f>
        <v>104.92700000000001</v>
      </c>
      <c r="Y23" s="100">
        <f>_xll.EQNXTDZ($A$1,$B23,Y$1,$B$1)</f>
        <v>136.44200000000001</v>
      </c>
      <c r="Z23" s="100">
        <f>_xll.EQNXTDZ($A$1,$B23,Z$1,$B$1)</f>
        <v>220.875</v>
      </c>
      <c r="AA23" s="100">
        <f>_xll.EQNXTDZ($A$1,$B23,AA$1,$B$1)</f>
        <v>207.636</v>
      </c>
      <c r="AB23" s="100">
        <f>_xll.EQNXTDZ($A$1,$B23,AB$1,$B$1)</f>
        <v>236.25200000000001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277.19669859999999</v>
      </c>
      <c r="K24" s="100">
        <f>_xll.EQNXTDZ($A$1,$B24,K$1,$B$1)</f>
        <v>177.43166650000001</v>
      </c>
      <c r="L24" s="100">
        <f>_xll.EQNXTDZ($A$1,$B24,L$1,$B$1)</f>
        <v>126.19870179999999</v>
      </c>
      <c r="M24" s="100">
        <f>_xll.EQNXTDZ($A$1,$B24,M$1,$B$1)</f>
        <v>0</v>
      </c>
      <c r="N24" s="100">
        <f>_xll.EQNXTDZ($A$1,$B24,N$1,$B$1)</f>
        <v>214.78899999999999</v>
      </c>
      <c r="O24" s="100">
        <f>_xll.EQNXTDZ($A$1,$B24,O$1,$B$1)</f>
        <v>282.358</v>
      </c>
      <c r="P24" s="100">
        <f>_xll.EQNXTDZ($A$1,$B24,P$1,$B$1)</f>
        <v>301.91000000000003</v>
      </c>
      <c r="Q24" s="100">
        <f>_xll.EQNXTDZ($A$1,$B24,Q$1,$B$1)</f>
        <v>451.18900000000002</v>
      </c>
      <c r="R24" s="100">
        <f>_xll.EQNXTDZ($A$1,$B24,R$1,$B$1)</f>
        <v>497.84</v>
      </c>
      <c r="S24" s="100">
        <f>_xll.EQNXTDZ($A$1,$B24,S$1,$B$1)</f>
        <v>555.16</v>
      </c>
      <c r="T24" s="100">
        <f>_xll.EQNXTDZ($A$1,$B24,T$1,$B$1)</f>
        <v>793.31700000000001</v>
      </c>
      <c r="U24" s="100">
        <f>_xll.EQNXTDZ($A$1,$B24,U$1,$B$1)</f>
        <v>1016.5410000000001</v>
      </c>
      <c r="V24" s="100">
        <f>_xll.EQNXTDZ($A$1,$B24,V$1,$B$1)</f>
        <v>1227.818</v>
      </c>
      <c r="W24" s="100">
        <f>_xll.EQNXTDZ($A$1,$B24,W$1,$B$1)</f>
        <v>1230.43</v>
      </c>
      <c r="X24" s="100">
        <f>_xll.EQNXTDZ($A$1,$B24,X$1,$B$1)</f>
        <v>1355.1220000000001</v>
      </c>
      <c r="Y24" s="100">
        <f>_xll.EQNXTDZ($A$1,$B24,Y$1,$B$1)</f>
        <v>1985.44</v>
      </c>
      <c r="Z24" s="100">
        <f>_xll.EQNXTDZ($A$1,$B24,Z$1,$B$1)</f>
        <v>2712.68</v>
      </c>
      <c r="AA24" s="100">
        <f>_xll.EQNXTDZ($A$1,$B24,AA$1,$B$1)</f>
        <v>3167.8760000000002</v>
      </c>
      <c r="AB24" s="100">
        <f>_xll.EQNXTDZ($A$1,$B24,AB$1,$B$1)</f>
        <v>4241.9799999999996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39.328625000000002</v>
      </c>
      <c r="K25" s="100">
        <f>_xll.EQNXTDZ($A$1,$B25,K$1,$B$1)</f>
        <v>73.716538799999995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123.373</v>
      </c>
      <c r="O25" s="100">
        <f>_xll.EQNXTDZ($A$1,$B25,O$1,$B$1)</f>
        <v>120.688</v>
      </c>
      <c r="P25" s="100">
        <f>_xll.EQNXTDZ($A$1,$B25,P$1,$B$1)</f>
        <v>94.572000000000003</v>
      </c>
      <c r="Q25" s="100">
        <f>_xll.EQNXTDZ($A$1,$B25,Q$1,$B$1)</f>
        <v>108.46</v>
      </c>
      <c r="R25" s="100">
        <f>_xll.EQNXTDZ($A$1,$B25,R$1,$B$1)</f>
        <v>116.05</v>
      </c>
      <c r="S25" s="100">
        <f>_xll.EQNXTDZ($A$1,$B25,S$1,$B$1)</f>
        <v>65.948999999999998</v>
      </c>
      <c r="T25" s="100">
        <f>_xll.EQNXTDZ($A$1,$B25,T$1,$B$1)</f>
        <v>93.68</v>
      </c>
      <c r="U25" s="100">
        <f>_xll.EQNXTDZ($A$1,$B25,U$1,$B$1)</f>
        <v>116.706</v>
      </c>
      <c r="V25" s="100">
        <f>_xll.EQNXTDZ($A$1,$B25,V$1,$B$1)</f>
        <v>49.534999999999997</v>
      </c>
      <c r="W25" s="100">
        <f>_xll.EQNXTDZ($A$1,$B25,W$1,$B$1)</f>
        <v>42.686999999999998</v>
      </c>
      <c r="X25" s="100">
        <f>_xll.EQNXTDZ($A$1,$B25,X$1,$B$1)</f>
        <v>35.19</v>
      </c>
      <c r="Y25" s="100">
        <f>_xll.EQNXTDZ($A$1,$B25,Y$1,$B$1)</f>
        <v>59.756999999999998</v>
      </c>
      <c r="Z25" s="100">
        <f>_xll.EQNXTDZ($A$1,$B25,Z$1,$B$1)</f>
        <v>108.34</v>
      </c>
      <c r="AA25" s="100">
        <f>_xll.EQNXTDZ($A$1,$B25,AA$1,$B$1)</f>
        <v>168.928</v>
      </c>
      <c r="AB25" s="100">
        <f>_xll.EQNXTDZ($A$1,$B25,AB$1,$B$1)</f>
        <v>243.036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237.8680736</v>
      </c>
      <c r="K26" s="100">
        <f>_xll.EQNXTDZ($A$1,$B26,K$1,$B$1)</f>
        <v>103.7151277</v>
      </c>
      <c r="L26" s="100">
        <f>_xll.EQNXTDZ($A$1,$B26,L$1,$B$1)</f>
        <v>126.19870179999999</v>
      </c>
      <c r="M26" s="100">
        <f>_xll.EQNXTDZ($A$1,$B26,M$1,$B$1)</f>
        <v>0</v>
      </c>
      <c r="N26" s="100">
        <f>_xll.EQNXTDZ($A$1,$B26,N$1,$B$1)</f>
        <v>91.415999999999997</v>
      </c>
      <c r="O26" s="100">
        <f>_xll.EQNXTDZ($A$1,$B26,O$1,$B$1)</f>
        <v>161.66999999999999</v>
      </c>
      <c r="P26" s="100">
        <f>_xll.EQNXTDZ($A$1,$B26,P$1,$B$1)</f>
        <v>207.33799999999999</v>
      </c>
      <c r="Q26" s="100">
        <f>_xll.EQNXTDZ($A$1,$B26,Q$1,$B$1)</f>
        <v>342.72899999999998</v>
      </c>
      <c r="R26" s="100">
        <f>_xll.EQNXTDZ($A$1,$B26,R$1,$B$1)</f>
        <v>381.79</v>
      </c>
      <c r="S26" s="100">
        <f>_xll.EQNXTDZ($A$1,$B26,S$1,$B$1)</f>
        <v>489.21100000000001</v>
      </c>
      <c r="T26" s="100">
        <f>_xll.EQNXTDZ($A$1,$B26,T$1,$B$1)</f>
        <v>699.63699999999994</v>
      </c>
      <c r="U26" s="100">
        <f>_xll.EQNXTDZ($A$1,$B26,U$1,$B$1)</f>
        <v>899.83500000000004</v>
      </c>
      <c r="V26" s="100">
        <f>_xll.EQNXTDZ($A$1,$B26,V$1,$B$1)</f>
        <v>1178.2829999999999</v>
      </c>
      <c r="W26" s="100">
        <f>_xll.EQNXTDZ($A$1,$B26,W$1,$B$1)</f>
        <v>1187.7429999999999</v>
      </c>
      <c r="X26" s="100">
        <f>_xll.EQNXTDZ($A$1,$B26,X$1,$B$1)</f>
        <v>1319.932</v>
      </c>
      <c r="Y26" s="100">
        <f>_xll.EQNXTDZ($A$1,$B26,Y$1,$B$1)</f>
        <v>1925.683</v>
      </c>
      <c r="Z26" s="100">
        <f>_xll.EQNXTDZ($A$1,$B26,Z$1,$B$1)</f>
        <v>2604.34</v>
      </c>
      <c r="AA26" s="100">
        <f>_xll.EQNXTDZ($A$1,$B26,AA$1,$B$1)</f>
        <v>2998.9479999999999</v>
      </c>
      <c r="AB26" s="100">
        <f>_xll.EQNXTDZ($A$1,$B26,AB$1,$B$1)</f>
        <v>3998.944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3.8375965999999999</v>
      </c>
      <c r="K27" s="100">
        <f>_xll.EQNXTDZ($A$1,$B27,K$1,$B$1)</f>
        <v>5.5476755000000004</v>
      </c>
      <c r="L27" s="100">
        <f>_xll.EQNXTDZ($A$1,$B27,L$1,$B$1)</f>
        <v>12.242088300000001</v>
      </c>
      <c r="M27" s="100">
        <f>_xll.EQNXTDZ($A$1,$B27,M$1,$B$1)</f>
        <v>0</v>
      </c>
      <c r="N27" s="100">
        <f>_xll.EQNXTDZ($A$1,$B27,N$1,$B$1)</f>
        <v>40.14</v>
      </c>
      <c r="O27" s="100">
        <f>_xll.EQNXTDZ($A$1,$B27,O$1,$B$1)</f>
        <v>45.548999999999999</v>
      </c>
      <c r="P27" s="100">
        <f>_xll.EQNXTDZ($A$1,$B27,P$1,$B$1)</f>
        <v>62.579000000000001</v>
      </c>
      <c r="Q27" s="100">
        <f>_xll.EQNXTDZ($A$1,$B27,Q$1,$B$1)</f>
        <v>97.533000000000001</v>
      </c>
      <c r="R27" s="100">
        <f>_xll.EQNXTDZ($A$1,$B27,R$1,$B$1)</f>
        <v>111.12</v>
      </c>
      <c r="S27" s="100">
        <f>_xll.EQNXTDZ($A$1,$B27,S$1,$B$1)</f>
        <v>127.883</v>
      </c>
      <c r="T27" s="100">
        <f>_xll.EQNXTDZ($A$1,$B27,T$1,$B$1)</f>
        <v>132.953</v>
      </c>
      <c r="U27" s="100">
        <f>_xll.EQNXTDZ($A$1,$B27,U$1,$B$1)</f>
        <v>141.44499999999999</v>
      </c>
      <c r="V27" s="100">
        <f>_xll.EQNXTDZ($A$1,$B27,V$1,$B$1)</f>
        <v>160.887</v>
      </c>
      <c r="W27" s="100">
        <f>_xll.EQNXTDZ($A$1,$B27,W$1,$B$1)</f>
        <v>176.166</v>
      </c>
      <c r="X27" s="100">
        <f>_xll.EQNXTDZ($A$1,$B27,X$1,$B$1)</f>
        <v>201.51900000000001</v>
      </c>
      <c r="Y27" s="100">
        <f>_xll.EQNXTDZ($A$1,$B27,Y$1,$B$1)</f>
        <v>209.16399999999999</v>
      </c>
      <c r="Z27" s="100">
        <f>_xll.EQNXTDZ($A$1,$B27,Z$1,$B$1)</f>
        <v>245.04</v>
      </c>
      <c r="AA27" s="100">
        <f>_xll.EQNXTDZ($A$1,$B27,AA$1,$B$1)</f>
        <v>298.10300000000001</v>
      </c>
      <c r="AB27" s="100">
        <f>_xll.EQNXTDZ($A$1,$B27,AB$1,$B$1)</f>
        <v>385.86900000000003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-0.32900000000000001</v>
      </c>
      <c r="T28" s="100">
        <f>_xll.EQNXTDZ($A$1,$B28,T$1,$B$1)</f>
        <v>0.105</v>
      </c>
      <c r="U28" s="100">
        <f>_xll.EQNXTDZ($A$1,$B28,U$1,$B$1)</f>
        <v>-2.3260000000000001</v>
      </c>
      <c r="V28" s="100">
        <f>_xll.EQNXTDZ($A$1,$B28,V$1,$B$1)</f>
        <v>-7.4080000000000004</v>
      </c>
      <c r="W28" s="100">
        <f>_xll.EQNXTDZ($A$1,$B28,W$1,$B$1)</f>
        <v>0.57799999999999996</v>
      </c>
      <c r="X28" s="100">
        <f>_xll.EQNXTDZ($A$1,$B28,X$1,$B$1)</f>
        <v>-2.5550000000000002</v>
      </c>
      <c r="Y28" s="100">
        <f>_xll.EQNXTDZ($A$1,$B28,Y$1,$B$1)</f>
        <v>-9.2629999999999999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80.365563199999997</v>
      </c>
      <c r="K30" s="100">
        <f>_xll.EQNXTDZ($A$1,$B30,K$1,$B$1)</f>
        <v>33.353116300000003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18.039000000000001</v>
      </c>
      <c r="O30" s="100">
        <f>_xll.EQNXTDZ($A$1,$B30,O$1,$B$1)</f>
        <v>39.229999999999997</v>
      </c>
      <c r="P30" s="100">
        <f>_xll.EQNXTDZ($A$1,$B30,P$1,$B$1)</f>
        <v>51.518000000000001</v>
      </c>
      <c r="Q30" s="100">
        <f>_xll.EQNXTDZ($A$1,$B30,Q$1,$B$1)</f>
        <v>84.870999999999995</v>
      </c>
      <c r="R30" s="100">
        <f>_xll.EQNXTDZ($A$1,$B30,R$1,$B$1)</f>
        <v>82.71</v>
      </c>
      <c r="S30" s="100">
        <f>_xll.EQNXTDZ($A$1,$B30,S$1,$B$1)</f>
        <v>128.25200000000001</v>
      </c>
      <c r="T30" s="100">
        <f>_xll.EQNXTDZ($A$1,$B30,T$1,$B$1)</f>
        <v>208.22800000000001</v>
      </c>
      <c r="U30" s="100">
        <f>_xll.EQNXTDZ($A$1,$B30,U$1,$B$1)</f>
        <v>255.75800000000001</v>
      </c>
      <c r="V30" s="100">
        <f>_xll.EQNXTDZ($A$1,$B30,V$1,$B$1)</f>
        <v>244.37</v>
      </c>
      <c r="W30" s="100">
        <f>_xll.EQNXTDZ($A$1,$B30,W$1,$B$1)</f>
        <v>170.34399999999999</v>
      </c>
      <c r="X30" s="100">
        <f>_xll.EQNXTDZ($A$1,$B30,X$1,$B$1)</f>
        <v>270.62700000000001</v>
      </c>
      <c r="Y30" s="100">
        <f>_xll.EQNXTDZ($A$1,$B30,Y$1,$B$1)</f>
        <v>424.17</v>
      </c>
      <c r="Z30" s="100">
        <f>_xll.EQNXTDZ($A$1,$B30,Z$1,$B$1)</f>
        <v>556.38300000000004</v>
      </c>
      <c r="AA30" s="100">
        <f>_xll.EQNXTDZ($A$1,$B30,AA$1,$B$1)</f>
        <v>655.30799999999999</v>
      </c>
      <c r="AB30" s="100">
        <f>_xll.EQNXTDZ($A$1,$B30,AB$1,$B$1)</f>
        <v>904.64800000000002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-0.254</v>
      </c>
      <c r="T32" s="100">
        <f>_xll.EQNXTDZ($A$1,$B32,T$1,$B$1)</f>
        <v>-0.54800000000000004</v>
      </c>
      <c r="U32" s="100">
        <f>_xll.EQNXTDZ($A$1,$B32,U$1,$B$1)</f>
        <v>-0.60299999999999998</v>
      </c>
      <c r="V32" s="100">
        <f>_xll.EQNXTDZ($A$1,$B32,V$1,$B$1)</f>
        <v>-6.5609999999999999</v>
      </c>
      <c r="W32" s="100">
        <f>_xll.EQNXTDZ($A$1,$B32,W$1,$B$1)</f>
        <v>-3.819</v>
      </c>
      <c r="X32" s="100">
        <f>_xll.EQNXTDZ($A$1,$B32,X$1,$B$1)</f>
        <v>-8.7070000000000007</v>
      </c>
      <c r="Y32" s="100">
        <f>_xll.EQNXTDZ($A$1,$B32,Y$1,$B$1)</f>
        <v>-12.303000000000001</v>
      </c>
      <c r="Z32" s="100">
        <f>_xll.EQNXTDZ($A$1,$B32,Z$1,$B$1)</f>
        <v>-18.872</v>
      </c>
      <c r="AA32" s="100">
        <f>_xll.EQNXTDZ($A$1,$B32,AA$1,$B$1)</f>
        <v>-25.547000000000001</v>
      </c>
      <c r="AB32" s="100">
        <f>_xll.EQNXTDZ($A$1,$B32,AB$1,$B$1)</f>
        <v>-36.393999999999998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153.66491379999999</v>
      </c>
      <c r="K35" s="100">
        <f>_xll.EQNXTDZ($A$1,$B35,K$1,$B$1)</f>
        <v>64.814335900000003</v>
      </c>
      <c r="L35" s="100">
        <f>_xll.EQNXTDZ($A$1,$B35,L$1,$B$1)</f>
        <v>113.9566135</v>
      </c>
      <c r="M35" s="100">
        <f>_xll.EQNXTDZ($A$1,$B35,M$1,$B$1)</f>
        <v>0</v>
      </c>
      <c r="N35" s="100">
        <f>_xll.EQNXTDZ($A$1,$B35,N$1,$B$1)</f>
        <v>33.237000000000002</v>
      </c>
      <c r="O35" s="100">
        <f>_xll.EQNXTDZ($A$1,$B35,O$1,$B$1)</f>
        <v>76.891000000000005</v>
      </c>
      <c r="P35" s="100">
        <f>_xll.EQNXTDZ($A$1,$B35,P$1,$B$1)</f>
        <v>93.241</v>
      </c>
      <c r="Q35" s="100">
        <f>_xll.EQNXTDZ($A$1,$B35,Q$1,$B$1)</f>
        <v>160.32499999999999</v>
      </c>
      <c r="R35" s="100">
        <f>_xll.EQNXTDZ($A$1,$B35,R$1,$B$1)</f>
        <v>187.96</v>
      </c>
      <c r="S35" s="100">
        <f>_xll.EQNXTDZ($A$1,$B35,S$1,$B$1)</f>
        <v>232.49299999999999</v>
      </c>
      <c r="T35" s="100">
        <f>_xll.EQNXTDZ($A$1,$B35,T$1,$B$1)</f>
        <v>358.01299999999998</v>
      </c>
      <c r="U35" s="100">
        <f>_xll.EQNXTDZ($A$1,$B35,U$1,$B$1)</f>
        <v>499.70299999999997</v>
      </c>
      <c r="V35" s="100">
        <f>_xll.EQNXTDZ($A$1,$B35,V$1,$B$1)</f>
        <v>759.05700000000002</v>
      </c>
      <c r="W35" s="100">
        <f>_xll.EQNXTDZ($A$1,$B35,W$1,$B$1)</f>
        <v>882.09400000000005</v>
      </c>
      <c r="X35" s="100">
        <f>_xll.EQNXTDZ($A$1,$B35,X$1,$B$1)</f>
        <v>908.577</v>
      </c>
      <c r="Y35" s="100">
        <f>_xll.EQNXTDZ($A$1,$B35,Y$1,$B$1)</f>
        <v>1270.7829999999999</v>
      </c>
      <c r="Z35" s="100">
        <f>_xll.EQNXTDZ($A$1,$B35,Z$1,$B$1)</f>
        <v>1784.0450000000001</v>
      </c>
      <c r="AA35" s="100">
        <f>_xll.EQNXTDZ($A$1,$B35,AA$1,$B$1)</f>
        <v>2019.99</v>
      </c>
      <c r="AB35" s="100">
        <f>_xll.EQNXTDZ($A$1,$B35,AB$1,$B$1)</f>
        <v>2672.0329999999999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44.101999999999997</v>
      </c>
      <c r="X36" s="100">
        <f>_xll.EQNXTDZ($A$1,$B36,X$1,$B$1)</f>
        <v>72.052999999999997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60</v>
      </c>
      <c r="K41" s="55">
        <f>_xll.EQNXTDZ($A$1,$B41,K$1,$B$1)</f>
        <v>60</v>
      </c>
      <c r="L41" s="55">
        <f>_xll.EQNXTDZ($A$1,$B41,L$1,$B$1)</f>
        <v>65.573769999999996</v>
      </c>
      <c r="M41" s="55">
        <f>_xll.EQNXTDZ($A$1,$B41,M$1,$B$1)</f>
        <v>65.573999999999998</v>
      </c>
      <c r="N41" s="55">
        <f>_xll.EQNXTDZ($A$1,$B41,N$1,$B$1)</f>
        <v>65.587999999999994</v>
      </c>
      <c r="O41" s="55">
        <f>_xll.EQNXTDZ($A$1,$B41,O$1,$B$1)</f>
        <v>70.602999999999994</v>
      </c>
      <c r="P41" s="55">
        <f>_xll.EQNXTDZ($A$1,$B41,P$1,$B$1)</f>
        <v>70.602999999999994</v>
      </c>
      <c r="Q41" s="55">
        <f>_xll.EQNXTDZ($A$1,$B41,Q$1,$B$1)</f>
        <v>141.20599999999999</v>
      </c>
      <c r="R41" s="55">
        <f>_xll.EQNXTDZ($A$1,$B41,R$1,$B$1)</f>
        <v>141.21</v>
      </c>
      <c r="S41" s="55">
        <f>_xll.EQNXTDZ($A$1,$B41,S$1,$B$1)</f>
        <v>141.20599999999999</v>
      </c>
      <c r="T41" s="55">
        <f>_xll.EQNXTDZ($A$1,$B41,T$1,$B$1)</f>
        <v>141.20599999999999</v>
      </c>
      <c r="U41" s="55">
        <f>_xll.EQNXTDZ($A$1,$B41,U$1,$B$1)</f>
        <v>141.20599999999999</v>
      </c>
      <c r="V41" s="55">
        <f>_xll.EQNXTDZ($A$1,$B41,V$1,$B$1)</f>
        <v>148.87899999999999</v>
      </c>
      <c r="W41" s="55">
        <f>_xll.EQNXTDZ($A$1,$B41,W$1,$B$1)</f>
        <v>149.119</v>
      </c>
      <c r="X41" s="55">
        <f>_xll.EQNXTDZ($A$1,$B41,X$1,$B$1)</f>
        <v>149.44300000000001</v>
      </c>
      <c r="Y41" s="55">
        <f>_xll.EQNXTDZ($A$1,$B41,Y$1,$B$1)</f>
        <v>149.76499999999999</v>
      </c>
      <c r="Z41" s="55">
        <f>_xll.EQNXTDZ($A$1,$B41,Z$1,$B$1)</f>
        <v>150.23599999999999</v>
      </c>
      <c r="AA41" s="55">
        <f>_xll.EQNXTDZ($A$1,$B41,AA$1,$B$1)</f>
        <v>150.42599999999999</v>
      </c>
      <c r="AB41" s="55">
        <f>_xll.EQNXTDZ($A$1,$B41,AB$1,$B$1)</f>
        <v>150.55099999999999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14.951000000000001</v>
      </c>
      <c r="V42" s="55">
        <f>_xll.EQNXTDZ($A$1,$B42,V$1,$B$1)</f>
        <v>26.86</v>
      </c>
      <c r="W42" s="55">
        <f>_xll.EQNXTDZ($A$1,$B42,W$1,$B$1)</f>
        <v>29.187999999999999</v>
      </c>
      <c r="X42" s="55">
        <f>_xll.EQNXTDZ($A$1,$B42,X$1,$B$1)</f>
        <v>35.152000000000001</v>
      </c>
      <c r="Y42" s="55">
        <f>_xll.EQNXTDZ($A$1,$B42,Y$1,$B$1)</f>
        <v>31.594999999999999</v>
      </c>
      <c r="Z42" s="55">
        <f>_xll.EQNXTDZ($A$1,$B42,Z$1,$B$1)</f>
        <v>70.296999999999997</v>
      </c>
      <c r="AA42" s="55">
        <f>_xll.EQNXTDZ($A$1,$B42,AA$1,$B$1)</f>
        <v>100.934</v>
      </c>
      <c r="AB42" s="55">
        <f>_xll.EQNXTDZ($A$1,$B42,AB$1,$B$1)</f>
        <v>95.965999999999994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434.1420407</v>
      </c>
      <c r="K43" s="55">
        <f>_xll.EQNXTDZ($A$1,$B43,K$1,$B$1)</f>
        <v>491.9366766</v>
      </c>
      <c r="L43" s="55">
        <f>_xll.EQNXTDZ($A$1,$B43,L$1,$B$1)</f>
        <v>820.56181530000003</v>
      </c>
      <c r="M43" s="55">
        <f>_xll.EQNXTDZ($A$1,$B43,M$1,$B$1)</f>
        <v>883.10299999999995</v>
      </c>
      <c r="N43" s="55">
        <f>_xll.EQNXTDZ($A$1,$B43,N$1,$B$1)</f>
        <v>989.18299999999999</v>
      </c>
      <c r="O43" s="55">
        <f>_xll.EQNXTDZ($A$1,$B43,O$1,$B$1)</f>
        <v>1222.931</v>
      </c>
      <c r="P43" s="55">
        <f>_xll.EQNXTDZ($A$1,$B43,P$1,$B$1)</f>
        <v>1291.546</v>
      </c>
      <c r="Q43" s="55">
        <f>_xll.EQNXTDZ($A$1,$B43,Q$1,$B$1)</f>
        <v>1480.5909999999999</v>
      </c>
      <c r="R43" s="55">
        <f>_xll.EQNXTDZ($A$1,$B43,R$1,$B$1)</f>
        <v>1644.43</v>
      </c>
      <c r="S43" s="55">
        <f>_xll.EQNXTDZ($A$1,$B43,S$1,$B$1)</f>
        <v>1852.337</v>
      </c>
      <c r="T43" s="55">
        <f>_xll.EQNXTDZ($A$1,$B43,T$1,$B$1)</f>
        <v>2206.413</v>
      </c>
      <c r="U43" s="55">
        <f>_xll.EQNXTDZ($A$1,$B43,U$1,$B$1)</f>
        <v>2690.7979999999998</v>
      </c>
      <c r="V43" s="55">
        <f>_xll.EQNXTDZ($A$1,$B43,V$1,$B$1)</f>
        <v>3660.6759999999999</v>
      </c>
      <c r="W43" s="55">
        <f>_xll.EQNXTDZ($A$1,$B43,W$1,$B$1)</f>
        <v>4575.6329999999998</v>
      </c>
      <c r="X43" s="55">
        <f>_xll.EQNXTDZ($A$1,$B43,X$1,$B$1)</f>
        <v>5359.1459999999997</v>
      </c>
      <c r="Y43" s="55">
        <f>_xll.EQNXTDZ($A$1,$B43,Y$1,$B$1)</f>
        <v>6455.8469999999998</v>
      </c>
      <c r="Z43" s="55">
        <f>_xll.EQNXTDZ($A$1,$B43,Z$1,$B$1)</f>
        <v>7966.6009999999997</v>
      </c>
      <c r="AA43" s="55">
        <f>_xll.EQNXTDZ($A$1,$B43,AA$1,$B$1)</f>
        <v>9576.6949999999997</v>
      </c>
      <c r="AB43" s="55">
        <f>_xll.EQNXTDZ($A$1,$B43,AB$1,$B$1)</f>
        <v>11762.058999999999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494.1420407</v>
      </c>
      <c r="K44" s="55">
        <f>_xll.EQNXTDZ($A$1,$B44,K$1,$B$1)</f>
        <v>551.93667660000006</v>
      </c>
      <c r="L44" s="55">
        <f>_xll.EQNXTDZ($A$1,$B44,L$1,$B$1)</f>
        <v>886.1355853</v>
      </c>
      <c r="M44" s="55">
        <f>_xll.EQNXTDZ($A$1,$B44,M$1,$B$1)</f>
        <v>948.67700000000002</v>
      </c>
      <c r="N44" s="55">
        <f>_xll.EQNXTDZ($A$1,$B44,N$1,$B$1)</f>
        <v>1054.771</v>
      </c>
      <c r="O44" s="55">
        <f>_xll.EQNXTDZ($A$1,$B44,O$1,$B$1)</f>
        <v>1293.5340000000001</v>
      </c>
      <c r="P44" s="55">
        <f>_xll.EQNXTDZ($A$1,$B44,P$1,$B$1)</f>
        <v>1362.1489999999999</v>
      </c>
      <c r="Q44" s="55">
        <f>_xll.EQNXTDZ($A$1,$B44,Q$1,$B$1)</f>
        <v>1621.797</v>
      </c>
      <c r="R44" s="55">
        <f>_xll.EQNXTDZ($A$1,$B44,R$1,$B$1)</f>
        <v>1785.64</v>
      </c>
      <c r="S44" s="55">
        <f>_xll.EQNXTDZ($A$1,$B44,S$1,$B$1)</f>
        <v>1993.5429999999999</v>
      </c>
      <c r="T44" s="55">
        <f>_xll.EQNXTDZ($A$1,$B44,T$1,$B$1)</f>
        <v>2347.6190000000001</v>
      </c>
      <c r="U44" s="55">
        <f>_xll.EQNXTDZ($A$1,$B44,U$1,$B$1)</f>
        <v>2846.9549999999999</v>
      </c>
      <c r="V44" s="55">
        <f>_xll.EQNXTDZ($A$1,$B44,V$1,$B$1)</f>
        <v>3836.415</v>
      </c>
      <c r="W44" s="55">
        <f>_xll.EQNXTDZ($A$1,$B44,W$1,$B$1)</f>
        <v>4753.9399999999996</v>
      </c>
      <c r="X44" s="55">
        <f>_xll.EQNXTDZ($A$1,$B44,X$1,$B$1)</f>
        <v>5543.741</v>
      </c>
      <c r="Y44" s="55">
        <f>_xll.EQNXTDZ($A$1,$B44,Y$1,$B$1)</f>
        <v>6637.2070000000003</v>
      </c>
      <c r="Z44" s="55">
        <f>_xll.EQNXTDZ($A$1,$B44,Z$1,$B$1)</f>
        <v>8187.134</v>
      </c>
      <c r="AA44" s="55">
        <f>_xll.EQNXTDZ($A$1,$B44,AA$1,$B$1)</f>
        <v>9828.0550000000003</v>
      </c>
      <c r="AB44" s="55">
        <f>_xll.EQNXTDZ($A$1,$B44,AB$1,$B$1)</f>
        <v>12008.575999999999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6.0000000000000001E-3</v>
      </c>
      <c r="R45" s="55">
        <f>_xll.EQNXTDZ($A$1,$B45,R$1,$B$1)</f>
        <v>2.8</v>
      </c>
      <c r="S45" s="55">
        <f>_xll.EQNXTDZ($A$1,$B45,S$1,$B$1)</f>
        <v>3.0510000000000002</v>
      </c>
      <c r="T45" s="55">
        <f>_xll.EQNXTDZ($A$1,$B45,T$1,$B$1)</f>
        <v>4.0490000000000004</v>
      </c>
      <c r="U45" s="55">
        <f>_xll.EQNXTDZ($A$1,$B45,U$1,$B$1)</f>
        <v>8.4250000000000007</v>
      </c>
      <c r="V45" s="55">
        <f>_xll.EQNXTDZ($A$1,$B45,V$1,$B$1)</f>
        <v>15</v>
      </c>
      <c r="W45" s="55">
        <f>_xll.EQNXTDZ($A$1,$B45,W$1,$B$1)</f>
        <v>18.829000000000001</v>
      </c>
      <c r="X45" s="55">
        <f>_xll.EQNXTDZ($A$1,$B45,X$1,$B$1)</f>
        <v>25.07</v>
      </c>
      <c r="Y45" s="55">
        <f>_xll.EQNXTDZ($A$1,$B45,Y$1,$B$1)</f>
        <v>37.377000000000002</v>
      </c>
      <c r="Z45" s="55">
        <f>_xll.EQNXTDZ($A$1,$B45,Z$1,$B$1)</f>
        <v>56.207000000000001</v>
      </c>
      <c r="AA45" s="55">
        <f>_xll.EQNXTDZ($A$1,$B45,AA$1,$B$1)</f>
        <v>81.769000000000005</v>
      </c>
      <c r="AB45" s="55">
        <f>_xll.EQNXTDZ($A$1,$B45,AB$1,$B$1)</f>
        <v>118.193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377.10914889999998</v>
      </c>
      <c r="K47" s="55">
        <f>_xll.EQNXTDZ($A$1,$B47,K$1,$B$1)</f>
        <v>435.59960419999999</v>
      </c>
      <c r="L47" s="55">
        <f>_xll.EQNXTDZ($A$1,$B47,L$1,$B$1)</f>
        <v>857.36587059999999</v>
      </c>
      <c r="M47" s="55">
        <f>_xll.EQNXTDZ($A$1,$B47,M$1,$B$1)</f>
        <v>46.363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100.85</v>
      </c>
      <c r="S47" s="55">
        <f>_xll.EQNXTDZ($A$1,$B47,S$1,$B$1)</f>
        <v>161.76499999999999</v>
      </c>
      <c r="T47" s="55">
        <f>_xll.EQNXTDZ($A$1,$B47,T$1,$B$1)</f>
        <v>158.94900000000001</v>
      </c>
      <c r="U47" s="55">
        <f>_xll.EQNXTDZ($A$1,$B47,U$1,$B$1)</f>
        <v>88.924999999999997</v>
      </c>
      <c r="V47" s="55">
        <f>_xll.EQNXTDZ($A$1,$B47,V$1,$B$1)</f>
        <v>10.654999999999999</v>
      </c>
      <c r="W47" s="55">
        <f>_xll.EQNXTDZ($A$1,$B47,W$1,$B$1)</f>
        <v>103.676</v>
      </c>
      <c r="X47" s="55">
        <f>_xll.EQNXTDZ($A$1,$B47,X$1,$B$1)</f>
        <v>2.9740000000000002</v>
      </c>
      <c r="Y47" s="55">
        <f>_xll.EQNXTDZ($A$1,$B47,Y$1,$B$1)</f>
        <v>4.2080000000000002</v>
      </c>
      <c r="Z47" s="55">
        <f>_xll.EQNXTDZ($A$1,$B47,Z$1,$B$1)</f>
        <v>22.603999999999999</v>
      </c>
      <c r="AA47" s="55">
        <f>_xll.EQNXTDZ($A$1,$B47,AA$1,$B$1)</f>
        <v>41.94</v>
      </c>
      <c r="AB47" s="55">
        <f>_xll.EQNXTDZ($A$1,$B47,AB$1,$B$1)</f>
        <v>39.267000000000003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123.9610259</v>
      </c>
      <c r="K48" s="55">
        <f>_xll.EQNXTDZ($A$1,$B48,K$1,$B$1)</f>
        <v>46.034924099999998</v>
      </c>
      <c r="L48" s="55">
        <f>_xll.EQNXTDZ($A$1,$B48,L$1,$B$1)</f>
        <v>244.31197180000001</v>
      </c>
      <c r="M48" s="55">
        <f>_xll.EQNXTDZ($A$1,$B48,M$1,$B$1)</f>
        <v>170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1.9680181000000001</v>
      </c>
      <c r="K49" s="55">
        <f>_xll.EQNXTDZ($A$1,$B49,K$1,$B$1)</f>
        <v>3.6678039</v>
      </c>
      <c r="L49" s="55">
        <f>_xll.EQNXTDZ($A$1,$B49,L$1,$B$1)</f>
        <v>-3.1358144999999999</v>
      </c>
      <c r="M49" s="55">
        <f>_xll.EQNXTDZ($A$1,$B49,M$1,$B$1)</f>
        <v>9.5389999999999997</v>
      </c>
      <c r="N49" s="55">
        <f>_xll.EQNXTDZ($A$1,$B49,N$1,$B$1)</f>
        <v>19.044</v>
      </c>
      <c r="O49" s="55">
        <f>_xll.EQNXTDZ($A$1,$B49,O$1,$B$1)</f>
        <v>20.189</v>
      </c>
      <c r="P49" s="55">
        <f>_xll.EQNXTDZ($A$1,$B49,P$1,$B$1)</f>
        <v>26.576000000000001</v>
      </c>
      <c r="Q49" s="55">
        <f>_xll.EQNXTDZ($A$1,$B49,Q$1,$B$1)</f>
        <v>17.135000000000002</v>
      </c>
      <c r="R49" s="55">
        <f>_xll.EQNXTDZ($A$1,$B49,R$1,$B$1)</f>
        <v>21.06</v>
      </c>
      <c r="S49" s="55">
        <f>_xll.EQNXTDZ($A$1,$B49,S$1,$B$1)</f>
        <v>65.668999999999997</v>
      </c>
      <c r="T49" s="55">
        <f>_xll.EQNXTDZ($A$1,$B49,T$1,$B$1)</f>
        <v>55.337000000000003</v>
      </c>
      <c r="U49" s="55">
        <f>_xll.EQNXTDZ($A$1,$B49,U$1,$B$1)</f>
        <v>23.102</v>
      </c>
      <c r="V49" s="55">
        <f>_xll.EQNXTDZ($A$1,$B49,V$1,$B$1)</f>
        <v>16.481000000000002</v>
      </c>
      <c r="W49" s="55">
        <f>_xll.EQNXTDZ($A$1,$B49,W$1,$B$1)</f>
        <v>41.802999999999997</v>
      </c>
      <c r="X49" s="55">
        <f>_xll.EQNXTDZ($A$1,$B49,X$1,$B$1)</f>
        <v>27.175000000000001</v>
      </c>
      <c r="Y49" s="55">
        <f>_xll.EQNXTDZ($A$1,$B49,Y$1,$B$1)</f>
        <v>40.923999999999999</v>
      </c>
      <c r="Z49" s="55">
        <f>_xll.EQNXTDZ($A$1,$B49,Z$1,$B$1)</f>
        <v>41.502000000000002</v>
      </c>
      <c r="AA49" s="55">
        <f>_xll.EQNXTDZ($A$1,$B49,AA$1,$B$1)</f>
        <v>75.433000000000007</v>
      </c>
      <c r="AB49" s="55">
        <f>_xll.EQNXTDZ($A$1,$B49,AB$1,$B$1)</f>
        <v>40.804000000000002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0.59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10.86</v>
      </c>
      <c r="S50" s="55">
        <f>_xll.EQNXTDZ($A$1,$B50,S$1,$B$1)</f>
        <v>19.463000000000001</v>
      </c>
      <c r="T50" s="55">
        <f>_xll.EQNXTDZ($A$1,$B50,T$1,$B$1)</f>
        <v>18.22</v>
      </c>
      <c r="U50" s="55">
        <f>_xll.EQNXTDZ($A$1,$B50,U$1,$B$1)</f>
        <v>25.704000000000001</v>
      </c>
      <c r="V50" s="55">
        <f>_xll.EQNXTDZ($A$1,$B50,V$1,$B$1)</f>
        <v>47.308</v>
      </c>
      <c r="W50" s="55">
        <f>_xll.EQNXTDZ($A$1,$B50,W$1,$B$1)</f>
        <v>56.73</v>
      </c>
      <c r="X50" s="55">
        <f>_xll.EQNXTDZ($A$1,$B50,X$1,$B$1)</f>
        <v>45.180999999999997</v>
      </c>
      <c r="Y50" s="55">
        <f>_xll.EQNXTDZ($A$1,$B50,Y$1,$B$1)</f>
        <v>38.951000000000001</v>
      </c>
      <c r="Z50" s="55">
        <f>_xll.EQNXTDZ($A$1,$B50,Z$1,$B$1)</f>
        <v>120.548</v>
      </c>
      <c r="AA50" s="55">
        <f>_xll.EQNXTDZ($A$1,$B50,AA$1,$B$1)</f>
        <v>170.03800000000001</v>
      </c>
      <c r="AB50" s="55">
        <f>_xll.EQNXTDZ($A$1,$B50,AB$1,$B$1)</f>
        <v>236.10599999999999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0.79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3.1989999999999998</v>
      </c>
      <c r="Q52" s="55">
        <f>_xll.EQNXTDZ($A$1,$B52,Q$1,$B$1)</f>
        <v>6.2830000000000004</v>
      </c>
      <c r="R52" s="55">
        <f>_xll.EQNXTDZ($A$1,$B52,R$1,$B$1)</f>
        <v>8.3699999999999992</v>
      </c>
      <c r="S52" s="55">
        <f>_xll.EQNXTDZ($A$1,$B52,S$1,$B$1)</f>
        <v>9.0229999999999997</v>
      </c>
      <c r="T52" s="55">
        <f>_xll.EQNXTDZ($A$1,$B52,T$1,$B$1)</f>
        <v>9.51</v>
      </c>
      <c r="U52" s="55">
        <f>_xll.EQNXTDZ($A$1,$B52,U$1,$B$1)</f>
        <v>16.242000000000001</v>
      </c>
      <c r="V52" s="55">
        <f>_xll.EQNXTDZ($A$1,$B52,V$1,$B$1)</f>
        <v>25.632000000000001</v>
      </c>
      <c r="W52" s="55">
        <f>_xll.EQNXTDZ($A$1,$B52,W$1,$B$1)</f>
        <v>25.143999999999998</v>
      </c>
      <c r="X52" s="55">
        <f>_xll.EQNXTDZ($A$1,$B52,X$1,$B$1)</f>
        <v>26.427</v>
      </c>
      <c r="Y52" s="55">
        <f>_xll.EQNXTDZ($A$1,$B52,Y$1,$B$1)</f>
        <v>44.973999999999997</v>
      </c>
      <c r="Z52" s="55">
        <f>_xll.EQNXTDZ($A$1,$B52,Z$1,$B$1)</f>
        <v>43.877000000000002</v>
      </c>
      <c r="AA52" s="55">
        <f>_xll.EQNXTDZ($A$1,$B52,AA$1,$B$1)</f>
        <v>41.314999999999998</v>
      </c>
      <c r="AB52" s="55">
        <f>_xll.EQNXTDZ($A$1,$B52,AB$1,$B$1)</f>
        <v>56.398000000000003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503.03819290000001</v>
      </c>
      <c r="K53" s="55">
        <f>_xll.EQNXTDZ($A$1,$B53,K$1,$B$1)</f>
        <v>485.30233220000002</v>
      </c>
      <c r="L53" s="55">
        <f>_xll.EQNXTDZ($A$1,$B53,L$1,$B$1)</f>
        <v>1098.5420279</v>
      </c>
      <c r="M53" s="55">
        <f>_xll.EQNXTDZ($A$1,$B53,M$1,$B$1)</f>
        <v>226.69200000000001</v>
      </c>
      <c r="N53" s="55">
        <f>_xll.EQNXTDZ($A$1,$B53,N$1,$B$1)</f>
        <v>19.044</v>
      </c>
      <c r="O53" s="55">
        <f>_xll.EQNXTDZ($A$1,$B53,O$1,$B$1)</f>
        <v>20.779</v>
      </c>
      <c r="P53" s="55">
        <f>_xll.EQNXTDZ($A$1,$B53,P$1,$B$1)</f>
        <v>29.774999999999999</v>
      </c>
      <c r="Q53" s="55">
        <f>_xll.EQNXTDZ($A$1,$B53,Q$1,$B$1)</f>
        <v>23.417999999999999</v>
      </c>
      <c r="R53" s="55">
        <f>_xll.EQNXTDZ($A$1,$B53,R$1,$B$1)</f>
        <v>141.13999999999999</v>
      </c>
      <c r="S53" s="55">
        <f>_xll.EQNXTDZ($A$1,$B53,S$1,$B$1)</f>
        <v>255.92</v>
      </c>
      <c r="T53" s="55">
        <f>_xll.EQNXTDZ($A$1,$B53,T$1,$B$1)</f>
        <v>242.01599999999999</v>
      </c>
      <c r="U53" s="55">
        <f>_xll.EQNXTDZ($A$1,$B53,U$1,$B$1)</f>
        <v>153.97300000000001</v>
      </c>
      <c r="V53" s="55">
        <f>_xll.EQNXTDZ($A$1,$B53,V$1,$B$1)</f>
        <v>100.07599999999999</v>
      </c>
      <c r="W53" s="55">
        <f>_xll.EQNXTDZ($A$1,$B53,W$1,$B$1)</f>
        <v>227.35300000000001</v>
      </c>
      <c r="X53" s="55">
        <f>_xll.EQNXTDZ($A$1,$B53,X$1,$B$1)</f>
        <v>101.75700000000001</v>
      </c>
      <c r="Y53" s="55">
        <f>_xll.EQNXTDZ($A$1,$B53,Y$1,$B$1)</f>
        <v>129.05699999999999</v>
      </c>
      <c r="Z53" s="55">
        <f>_xll.EQNXTDZ($A$1,$B53,Z$1,$B$1)</f>
        <v>228.53100000000001</v>
      </c>
      <c r="AA53" s="55">
        <f>_xll.EQNXTDZ($A$1,$B53,AA$1,$B$1)</f>
        <v>328.726</v>
      </c>
      <c r="AB53" s="55">
        <f>_xll.EQNXTDZ($A$1,$B53,AB$1,$B$1)</f>
        <v>372.57499999999999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191.3765612</v>
      </c>
      <c r="K54" s="55">
        <f>_xll.EQNXTDZ($A$1,$B54,K$1,$B$1)</f>
        <v>211.56802329999999</v>
      </c>
      <c r="L54" s="55">
        <f>_xll.EQNXTDZ($A$1,$B54,L$1,$B$1)</f>
        <v>0</v>
      </c>
      <c r="M54" s="55">
        <f>_xll.EQNXTDZ($A$1,$B54,M$1,$B$1)</f>
        <v>477.70800000000003</v>
      </c>
      <c r="N54" s="55">
        <f>_xll.EQNXTDZ($A$1,$B54,N$1,$B$1)</f>
        <v>649.90499999999997</v>
      </c>
      <c r="O54" s="55">
        <f>_xll.EQNXTDZ($A$1,$B54,O$1,$B$1)</f>
        <v>628.81200000000001</v>
      </c>
      <c r="P54" s="55">
        <f>_xll.EQNXTDZ($A$1,$B54,P$1,$B$1)</f>
        <v>620.04700000000003</v>
      </c>
      <c r="Q54" s="55">
        <f>_xll.EQNXTDZ($A$1,$B54,Q$1,$B$1)</f>
        <v>962.91</v>
      </c>
      <c r="R54" s="55">
        <f>_xll.EQNXTDZ($A$1,$B54,R$1,$B$1)</f>
        <v>1057.3599999999999</v>
      </c>
      <c r="S54" s="55">
        <f>_xll.EQNXTDZ($A$1,$B54,S$1,$B$1)</f>
        <v>1354.271</v>
      </c>
      <c r="T54" s="55">
        <f>_xll.EQNXTDZ($A$1,$B54,T$1,$B$1)</f>
        <v>922.08699999999999</v>
      </c>
      <c r="U54" s="55">
        <f>_xll.EQNXTDZ($A$1,$B54,U$1,$B$1)</f>
        <v>1520.182</v>
      </c>
      <c r="V54" s="55">
        <f>_xll.EQNXTDZ($A$1,$B54,V$1,$B$1)</f>
        <v>1353.683</v>
      </c>
      <c r="W54" s="55">
        <f>_xll.EQNXTDZ($A$1,$B54,W$1,$B$1)</f>
        <v>1348.0319999999999</v>
      </c>
      <c r="X54" s="55">
        <f>_xll.EQNXTDZ($A$1,$B54,X$1,$B$1)</f>
        <v>1217.53</v>
      </c>
      <c r="Y54" s="55">
        <f>_xll.EQNXTDZ($A$1,$B54,Y$1,$B$1)</f>
        <v>2032.644</v>
      </c>
      <c r="Z54" s="55">
        <f>_xll.EQNXTDZ($A$1,$B54,Z$1,$B$1)</f>
        <v>2863.3249999999998</v>
      </c>
      <c r="AA54" s="55">
        <f>_xll.EQNXTDZ($A$1,$B54,AA$1,$B$1)</f>
        <v>2735.7559999999999</v>
      </c>
      <c r="AB54" s="55">
        <f>_xll.EQNXTDZ($A$1,$B54,AB$1,$B$1)</f>
        <v>6064.433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41.252535199999997</v>
      </c>
      <c r="K55" s="55">
        <f>_xll.EQNXTDZ($A$1,$B55,K$1,$B$1)</f>
        <v>67.435558200000003</v>
      </c>
      <c r="L55" s="55">
        <f>_xll.EQNXTDZ($A$1,$B55,L$1,$B$1)</f>
        <v>338.49443780000001</v>
      </c>
      <c r="M55" s="55">
        <f>_xll.EQNXTDZ($A$1,$B55,M$1,$B$1)</f>
        <v>172.24100000000001</v>
      </c>
      <c r="N55" s="55">
        <f>_xll.EQNXTDZ($A$1,$B55,N$1,$B$1)</f>
        <v>296.92899999999997</v>
      </c>
      <c r="O55" s="55">
        <f>_xll.EQNXTDZ($A$1,$B55,O$1,$B$1)</f>
        <v>111.64400000000001</v>
      </c>
      <c r="P55" s="55">
        <f>_xll.EQNXTDZ($A$1,$B55,P$1,$B$1)</f>
        <v>91.027000000000001</v>
      </c>
      <c r="Q55" s="55">
        <f>_xll.EQNXTDZ($A$1,$B55,Q$1,$B$1)</f>
        <v>87.930999999999997</v>
      </c>
      <c r="R55" s="55">
        <f>_xll.EQNXTDZ($A$1,$B55,R$1,$B$1)</f>
        <v>139.5</v>
      </c>
      <c r="S55" s="55">
        <f>_xll.EQNXTDZ($A$1,$B55,S$1,$B$1)</f>
        <v>227.089</v>
      </c>
      <c r="T55" s="55">
        <f>_xll.EQNXTDZ($A$1,$B55,T$1,$B$1)</f>
        <v>243.57599999999999</v>
      </c>
      <c r="U55" s="55">
        <f>_xll.EQNXTDZ($A$1,$B55,U$1,$B$1)</f>
        <v>807.62699999999995</v>
      </c>
      <c r="V55" s="55">
        <f>_xll.EQNXTDZ($A$1,$B55,V$1,$B$1)</f>
        <v>401.012</v>
      </c>
      <c r="W55" s="55">
        <f>_xll.EQNXTDZ($A$1,$B55,W$1,$B$1)</f>
        <v>525.71299999999997</v>
      </c>
      <c r="X55" s="55">
        <f>_xll.EQNXTDZ($A$1,$B55,X$1,$B$1)</f>
        <v>405.923</v>
      </c>
      <c r="Y55" s="55">
        <f>_xll.EQNXTDZ($A$1,$B55,Y$1,$B$1)</f>
        <v>466.10599999999999</v>
      </c>
      <c r="Z55" s="55">
        <f>_xll.EQNXTDZ($A$1,$B55,Z$1,$B$1)</f>
        <v>608.19200000000001</v>
      </c>
      <c r="AA55" s="55">
        <f>_xll.EQNXTDZ($A$1,$B55,AA$1,$B$1)</f>
        <v>638.697</v>
      </c>
      <c r="AB55" s="55">
        <f>_xll.EQNXTDZ($A$1,$B55,AB$1,$B$1)</f>
        <v>1608.96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977.91399999999999</v>
      </c>
      <c r="N56" s="55">
        <f>_xll.EQNXTDZ($A$1,$B56,N$1,$B$1)</f>
        <v>765.63499999999999</v>
      </c>
      <c r="O56" s="55">
        <f>_xll.EQNXTDZ($A$1,$B56,O$1,$B$1)</f>
        <v>543.62900000000002</v>
      </c>
      <c r="P56" s="55">
        <f>_xll.EQNXTDZ($A$1,$B56,P$1,$B$1)</f>
        <v>444.91300000000001</v>
      </c>
      <c r="Q56" s="55">
        <f>_xll.EQNXTDZ($A$1,$B56,Q$1,$B$1)</f>
        <v>545.50400000000002</v>
      </c>
      <c r="R56" s="55">
        <f>_xll.EQNXTDZ($A$1,$B56,R$1,$B$1)</f>
        <v>694.79</v>
      </c>
      <c r="S56" s="55">
        <f>_xll.EQNXTDZ($A$1,$B56,S$1,$B$1)</f>
        <v>659.03200000000004</v>
      </c>
      <c r="T56" s="55">
        <f>_xll.EQNXTDZ($A$1,$B56,T$1,$B$1)</f>
        <v>568.745</v>
      </c>
      <c r="U56" s="55">
        <f>_xll.EQNXTDZ($A$1,$B56,U$1,$B$1)</f>
        <v>103.071</v>
      </c>
      <c r="V56" s="55">
        <f>_xll.EQNXTDZ($A$1,$B56,V$1,$B$1)</f>
        <v>111.453</v>
      </c>
      <c r="W56" s="55">
        <f>_xll.EQNXTDZ($A$1,$B56,W$1,$B$1)</f>
        <v>88.963999999999999</v>
      </c>
      <c r="X56" s="55">
        <f>_xll.EQNXTDZ($A$1,$B56,X$1,$B$1)</f>
        <v>76.543999999999997</v>
      </c>
      <c r="Y56" s="55">
        <f>_xll.EQNXTDZ($A$1,$B56,Y$1,$B$1)</f>
        <v>66.167000000000002</v>
      </c>
      <c r="Z56" s="55">
        <f>_xll.EQNXTDZ($A$1,$B56,Z$1,$B$1)</f>
        <v>62.387999999999998</v>
      </c>
      <c r="AA56" s="55">
        <f>_xll.EQNXTDZ($A$1,$B56,AA$1,$B$1)</f>
        <v>57.238999999999997</v>
      </c>
      <c r="AB56" s="55">
        <f>_xll.EQNXTDZ($A$1,$B56,AB$1,$B$1)</f>
        <v>80.501000000000005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154.7460102</v>
      </c>
      <c r="K57" s="55">
        <f>_xll.EQNXTDZ($A$1,$B57,K$1,$B$1)</f>
        <v>177.26113340000001</v>
      </c>
      <c r="L57" s="55">
        <f>_xll.EQNXTDZ($A$1,$B57,L$1,$B$1)</f>
        <v>18.6398887</v>
      </c>
      <c r="M57" s="55">
        <f>_xll.EQNXTDZ($A$1,$B57,M$1,$B$1)</f>
        <v>8.8000000000000007</v>
      </c>
      <c r="N57" s="55">
        <f>_xll.EQNXTDZ($A$1,$B57,N$1,$B$1)</f>
        <v>10.622</v>
      </c>
      <c r="O57" s="55">
        <f>_xll.EQNXTDZ($A$1,$B57,O$1,$B$1)</f>
        <v>6.9850000000000003</v>
      </c>
      <c r="P57" s="55">
        <f>_xll.EQNXTDZ($A$1,$B57,P$1,$B$1)</f>
        <v>29.231000000000002</v>
      </c>
      <c r="Q57" s="55">
        <f>_xll.EQNXTDZ($A$1,$B57,Q$1,$B$1)</f>
        <v>70.603999999999999</v>
      </c>
      <c r="R57" s="55">
        <f>_xll.EQNXTDZ($A$1,$B57,R$1,$B$1)</f>
        <v>30.28</v>
      </c>
      <c r="S57" s="55">
        <f>_xll.EQNXTDZ($A$1,$B57,S$1,$B$1)</f>
        <v>59.802</v>
      </c>
      <c r="T57" s="55">
        <f>_xll.EQNXTDZ($A$1,$B57,T$1,$B$1)</f>
        <v>120.009</v>
      </c>
      <c r="U57" s="55">
        <f>_xll.EQNXTDZ($A$1,$B57,U$1,$B$1)</f>
        <v>188.06200000000001</v>
      </c>
      <c r="V57" s="55">
        <f>_xll.EQNXTDZ($A$1,$B57,V$1,$B$1)</f>
        <v>142.94200000000001</v>
      </c>
      <c r="W57" s="55">
        <f>_xll.EQNXTDZ($A$1,$B57,W$1,$B$1)</f>
        <v>51.869</v>
      </c>
      <c r="X57" s="55">
        <f>_xll.EQNXTDZ($A$1,$B57,X$1,$B$1)</f>
        <v>41.332000000000001</v>
      </c>
      <c r="Y57" s="55">
        <f>_xll.EQNXTDZ($A$1,$B57,Y$1,$B$1)</f>
        <v>55.573999999999998</v>
      </c>
      <c r="Z57" s="55">
        <f>_xll.EQNXTDZ($A$1,$B57,Z$1,$B$1)</f>
        <v>60.238</v>
      </c>
      <c r="AA57" s="55">
        <f>_xll.EQNXTDZ($A$1,$B57,AA$1,$B$1)</f>
        <v>78.453999999999994</v>
      </c>
      <c r="AB57" s="55">
        <f>_xll.EQNXTDZ($A$1,$B57,AB$1,$B$1)</f>
        <v>211.35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387.37510659999998</v>
      </c>
      <c r="K59" s="55">
        <f>_xll.EQNXTDZ($A$1,$B59,K$1,$B$1)</f>
        <v>456.2647149</v>
      </c>
      <c r="L59" s="55">
        <f>_xll.EQNXTDZ($A$1,$B59,L$1,$B$1)</f>
        <v>357.13432649999999</v>
      </c>
      <c r="M59" s="55">
        <f>_xll.EQNXTDZ($A$1,$B59,M$1,$B$1)</f>
        <v>1636.663</v>
      </c>
      <c r="N59" s="55">
        <f>_xll.EQNXTDZ($A$1,$B59,N$1,$B$1)</f>
        <v>1723.0909999999999</v>
      </c>
      <c r="O59" s="55">
        <f>_xll.EQNXTDZ($A$1,$B59,O$1,$B$1)</f>
        <v>1291.07</v>
      </c>
      <c r="P59" s="55">
        <f>_xll.EQNXTDZ($A$1,$B59,P$1,$B$1)</f>
        <v>1185.2180000000001</v>
      </c>
      <c r="Q59" s="55">
        <f>_xll.EQNXTDZ($A$1,$B59,Q$1,$B$1)</f>
        <v>1666.9490000000001</v>
      </c>
      <c r="R59" s="55">
        <f>_xll.EQNXTDZ($A$1,$B59,R$1,$B$1)</f>
        <v>1921.93</v>
      </c>
      <c r="S59" s="55">
        <f>_xll.EQNXTDZ($A$1,$B59,S$1,$B$1)</f>
        <v>2300.194</v>
      </c>
      <c r="T59" s="55">
        <f>_xll.EQNXTDZ($A$1,$B59,T$1,$B$1)</f>
        <v>1854.4169999999999</v>
      </c>
      <c r="U59" s="55">
        <f>_xll.EQNXTDZ($A$1,$B59,U$1,$B$1)</f>
        <v>2618.942</v>
      </c>
      <c r="V59" s="55">
        <f>_xll.EQNXTDZ($A$1,$B59,V$1,$B$1)</f>
        <v>2009.09</v>
      </c>
      <c r="W59" s="55">
        <f>_xll.EQNXTDZ($A$1,$B59,W$1,$B$1)</f>
        <v>2014.578</v>
      </c>
      <c r="X59" s="55">
        <f>_xll.EQNXTDZ($A$1,$B59,X$1,$B$1)</f>
        <v>1741.329</v>
      </c>
      <c r="Y59" s="55">
        <f>_xll.EQNXTDZ($A$1,$B59,Y$1,$B$1)</f>
        <v>2620.491</v>
      </c>
      <c r="Z59" s="55">
        <f>_xll.EQNXTDZ($A$1,$B59,Z$1,$B$1)</f>
        <v>3594.143</v>
      </c>
      <c r="AA59" s="55">
        <f>_xll.EQNXTDZ($A$1,$B59,AA$1,$B$1)</f>
        <v>3510.1460000000002</v>
      </c>
      <c r="AB59" s="55">
        <f>_xll.EQNXTDZ($A$1,$B59,AB$1,$B$1)</f>
        <v>7965.2439999999997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1384.5553402</v>
      </c>
      <c r="K60" s="55">
        <f>_xll.EQNXTDZ($A$1,$B60,K$1,$B$1)</f>
        <v>1493.5037236999999</v>
      </c>
      <c r="L60" s="55">
        <f>_xll.EQNXTDZ($A$1,$B60,L$1,$B$1)</f>
        <v>2341.8119397</v>
      </c>
      <c r="M60" s="55">
        <f>_xll.EQNXTDZ($A$1,$B60,M$1,$B$1)</f>
        <v>2812.0320000000002</v>
      </c>
      <c r="N60" s="55">
        <f>_xll.EQNXTDZ($A$1,$B60,N$1,$B$1)</f>
        <v>2796.9059999999999</v>
      </c>
      <c r="O60" s="55">
        <f>_xll.EQNXTDZ($A$1,$B60,O$1,$B$1)</f>
        <v>2605.3829999999998</v>
      </c>
      <c r="P60" s="55">
        <f>_xll.EQNXTDZ($A$1,$B60,P$1,$B$1)</f>
        <v>2577.1419999999998</v>
      </c>
      <c r="Q60" s="55">
        <f>_xll.EQNXTDZ($A$1,$B60,Q$1,$B$1)</f>
        <v>3312.17</v>
      </c>
      <c r="R60" s="55">
        <f>_xll.EQNXTDZ($A$1,$B60,R$1,$B$1)</f>
        <v>3851.51</v>
      </c>
      <c r="S60" s="55">
        <f>_xll.EQNXTDZ($A$1,$B60,S$1,$B$1)</f>
        <v>4552.7079999999996</v>
      </c>
      <c r="T60" s="55">
        <f>_xll.EQNXTDZ($A$1,$B60,T$1,$B$1)</f>
        <v>4448.1009999999997</v>
      </c>
      <c r="U60" s="55">
        <f>_xll.EQNXTDZ($A$1,$B60,U$1,$B$1)</f>
        <v>5628.2950000000001</v>
      </c>
      <c r="V60" s="55">
        <f>_xll.EQNXTDZ($A$1,$B60,V$1,$B$1)</f>
        <v>5960.5810000000001</v>
      </c>
      <c r="W60" s="55">
        <f>_xll.EQNXTDZ($A$1,$B60,W$1,$B$1)</f>
        <v>7014.7</v>
      </c>
      <c r="X60" s="55">
        <f>_xll.EQNXTDZ($A$1,$B60,X$1,$B$1)</f>
        <v>7411.8969999999999</v>
      </c>
      <c r="Y60" s="55">
        <f>_xll.EQNXTDZ($A$1,$B60,Y$1,$B$1)</f>
        <v>9424.1319999999996</v>
      </c>
      <c r="Z60" s="55">
        <f>_xll.EQNXTDZ($A$1,$B60,Z$1,$B$1)</f>
        <v>12066.014999999999</v>
      </c>
      <c r="AA60" s="55">
        <f>_xll.EQNXTDZ($A$1,$B60,AA$1,$B$1)</f>
        <v>13748.696</v>
      </c>
      <c r="AB60" s="55">
        <f>_xll.EQNXTDZ($A$1,$B60,AB$1,$B$1)</f>
        <v>20464.588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85.352075799999994</v>
      </c>
      <c r="K62" s="55">
        <f>_xll.EQNXTDZ($A$1,$B62,K$1,$B$1)</f>
        <v>137.85735510000001</v>
      </c>
      <c r="L62" s="55">
        <f>_xll.EQNXTDZ($A$1,$B62,L$1,$B$1)</f>
        <v>320.03628379999998</v>
      </c>
      <c r="M62" s="55">
        <f>_xll.EQNXTDZ($A$1,$B62,M$1,$B$1)</f>
        <v>405.01299999999998</v>
      </c>
      <c r="N62" s="55">
        <f>_xll.EQNXTDZ($A$1,$B62,N$1,$B$1)</f>
        <v>601.649</v>
      </c>
      <c r="O62" s="55">
        <f>_xll.EQNXTDZ($A$1,$B62,O$1,$B$1)</f>
        <v>731.09</v>
      </c>
      <c r="P62" s="55">
        <f>_xll.EQNXTDZ($A$1,$B62,P$1,$B$1)</f>
        <v>948.71699999999998</v>
      </c>
      <c r="Q62" s="55">
        <f>_xll.EQNXTDZ($A$1,$B62,Q$1,$B$1)</f>
        <v>1220.6769999999999</v>
      </c>
      <c r="R62" s="55">
        <f>_xll.EQNXTDZ($A$1,$B62,R$1,$B$1)</f>
        <v>1096.08</v>
      </c>
      <c r="S62" s="55">
        <f>_xll.EQNXTDZ($A$1,$B62,S$1,$B$1)</f>
        <v>1366.5070000000001</v>
      </c>
      <c r="T62" s="55">
        <f>_xll.EQNXTDZ($A$1,$B62,T$1,$B$1)</f>
        <v>1567.5309999999999</v>
      </c>
      <c r="U62" s="55">
        <f>_xll.EQNXTDZ($A$1,$B62,U$1,$B$1)</f>
        <v>1785.9</v>
      </c>
      <c r="V62" s="55">
        <f>_xll.EQNXTDZ($A$1,$B62,V$1,$B$1)</f>
        <v>2066.375</v>
      </c>
      <c r="W62" s="55">
        <f>_xll.EQNXTDZ($A$1,$B62,W$1,$B$1)</f>
        <v>2698.8820000000001</v>
      </c>
      <c r="X62" s="55">
        <f>_xll.EQNXTDZ($A$1,$B62,X$1,$B$1)</f>
        <v>2668.5720000000001</v>
      </c>
      <c r="Y62" s="55">
        <f>_xll.EQNXTDZ($A$1,$B62,Y$1,$B$1)</f>
        <v>3246.6010000000001</v>
      </c>
      <c r="Z62" s="55">
        <f>_xll.EQNXTDZ($A$1,$B62,Z$1,$B$1)</f>
        <v>3667.7440000000001</v>
      </c>
      <c r="AA62" s="55">
        <f>_xll.EQNXTDZ($A$1,$B62,AA$1,$B$1)</f>
        <v>4603.9579999999996</v>
      </c>
      <c r="AB62" s="55">
        <f>_xll.EQNXTDZ($A$1,$B62,AB$1,$B$1)</f>
        <v>5666.8119999999999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13.2415339</v>
      </c>
      <c r="K63" s="55">
        <f>_xll.EQNXTDZ($A$1,$B63,K$1,$B$1)</f>
        <v>18.6635062</v>
      </c>
      <c r="L63" s="55">
        <f>_xll.EQNXTDZ($A$1,$B63,L$1,$B$1)</f>
        <v>30.905594499999999</v>
      </c>
      <c r="M63" s="55">
        <f>_xll.EQNXTDZ($A$1,$B63,M$1,$B$1)</f>
        <v>52.503999999999998</v>
      </c>
      <c r="N63" s="55">
        <f>_xll.EQNXTDZ($A$1,$B63,N$1,$B$1)</f>
        <v>127.057</v>
      </c>
      <c r="O63" s="55">
        <f>_xll.EQNXTDZ($A$1,$B63,O$1,$B$1)</f>
        <v>170.70699999999999</v>
      </c>
      <c r="P63" s="55">
        <f>_xll.EQNXTDZ($A$1,$B63,P$1,$B$1)</f>
        <v>251.14</v>
      </c>
      <c r="Q63" s="55">
        <f>_xll.EQNXTDZ($A$1,$B63,Q$1,$B$1)</f>
        <v>395.93400000000003</v>
      </c>
      <c r="R63" s="55">
        <f>_xll.EQNXTDZ($A$1,$B63,R$1,$B$1)</f>
        <v>111.05</v>
      </c>
      <c r="S63" s="55">
        <f>_xll.EQNXTDZ($A$1,$B63,S$1,$B$1)</f>
        <v>238.12100000000001</v>
      </c>
      <c r="T63" s="55">
        <f>_xll.EQNXTDZ($A$1,$B63,T$1,$B$1)</f>
        <v>370.404</v>
      </c>
      <c r="U63" s="55">
        <f>_xll.EQNXTDZ($A$1,$B63,U$1,$B$1)</f>
        <v>510.31599999999997</v>
      </c>
      <c r="V63" s="55">
        <f>_xll.EQNXTDZ($A$1,$B63,V$1,$B$1)</f>
        <v>644.36199999999997</v>
      </c>
      <c r="W63" s="55">
        <f>_xll.EQNXTDZ($A$1,$B63,W$1,$B$1)</f>
        <v>829.28200000000004</v>
      </c>
      <c r="X63" s="55">
        <f>_xll.EQNXTDZ($A$1,$B63,X$1,$B$1)</f>
        <v>993.44899999999996</v>
      </c>
      <c r="Y63" s="55">
        <f>_xll.EQNXTDZ($A$1,$B63,Y$1,$B$1)</f>
        <v>1179.6610000000001</v>
      </c>
      <c r="Z63" s="55">
        <f>_xll.EQNXTDZ($A$1,$B63,Z$1,$B$1)</f>
        <v>1406.5219999999999</v>
      </c>
      <c r="AA63" s="55">
        <f>_xll.EQNXTDZ($A$1,$B63,AA$1,$B$1)</f>
        <v>1671.816</v>
      </c>
      <c r="AB63" s="55">
        <f>_xll.EQNXTDZ($A$1,$B63,AB$1,$B$1)</f>
        <v>2015.0170000000001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72.110541900000001</v>
      </c>
      <c r="K65" s="55">
        <f>_xll.EQNXTDZ($A$1,$B65,K$1,$B$1)</f>
        <v>119.19384890000001</v>
      </c>
      <c r="L65" s="55">
        <f>_xll.EQNXTDZ($A$1,$B65,L$1,$B$1)</f>
        <v>289.13068929999997</v>
      </c>
      <c r="M65" s="55">
        <f>_xll.EQNXTDZ($A$1,$B65,M$1,$B$1)</f>
        <v>352.50900000000001</v>
      </c>
      <c r="N65" s="55">
        <f>_xll.EQNXTDZ($A$1,$B65,N$1,$B$1)</f>
        <v>474.59199999999998</v>
      </c>
      <c r="O65" s="55">
        <f>_xll.EQNXTDZ($A$1,$B65,O$1,$B$1)</f>
        <v>560.38300000000004</v>
      </c>
      <c r="P65" s="55">
        <f>_xll.EQNXTDZ($A$1,$B65,P$1,$B$1)</f>
        <v>697.577</v>
      </c>
      <c r="Q65" s="55">
        <f>_xll.EQNXTDZ($A$1,$B65,Q$1,$B$1)</f>
        <v>824.74300000000005</v>
      </c>
      <c r="R65" s="55">
        <f>_xll.EQNXTDZ($A$1,$B65,R$1,$B$1)</f>
        <v>985.03</v>
      </c>
      <c r="S65" s="55">
        <f>_xll.EQNXTDZ($A$1,$B65,S$1,$B$1)</f>
        <v>1128.386</v>
      </c>
      <c r="T65" s="55">
        <f>_xll.EQNXTDZ($A$1,$B65,T$1,$B$1)</f>
        <v>1197.127</v>
      </c>
      <c r="U65" s="55">
        <f>_xll.EQNXTDZ($A$1,$B65,U$1,$B$1)</f>
        <v>1275.5840000000001</v>
      </c>
      <c r="V65" s="55">
        <f>_xll.EQNXTDZ($A$1,$B65,V$1,$B$1)</f>
        <v>1422.0129999999999</v>
      </c>
      <c r="W65" s="55">
        <f>_xll.EQNXTDZ($A$1,$B65,W$1,$B$1)</f>
        <v>1869.6</v>
      </c>
      <c r="X65" s="55">
        <f>_xll.EQNXTDZ($A$1,$B65,X$1,$B$1)</f>
        <v>1675.123</v>
      </c>
      <c r="Y65" s="55">
        <f>_xll.EQNXTDZ($A$1,$B65,Y$1,$B$1)</f>
        <v>2066.94</v>
      </c>
      <c r="Z65" s="55">
        <f>_xll.EQNXTDZ($A$1,$B65,Z$1,$B$1)</f>
        <v>2261.2220000000002</v>
      </c>
      <c r="AA65" s="55">
        <f>_xll.EQNXTDZ($A$1,$B65,AA$1,$B$1)</f>
        <v>2932.1419999999998</v>
      </c>
      <c r="AB65" s="55">
        <f>_xll.EQNXTDZ($A$1,$B65,AB$1,$B$1)</f>
        <v>3651.7950000000001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32.423659200000003</v>
      </c>
      <c r="K67" s="55">
        <f>_xll.EQNXTDZ($A$1,$B67,K$1,$B$1)</f>
        <v>93.037596600000001</v>
      </c>
      <c r="L67" s="55">
        <f>_xll.EQNXTDZ($A$1,$B67,L$1,$B$1)</f>
        <v>128.93843670000001</v>
      </c>
      <c r="M67" s="55">
        <f>_xll.EQNXTDZ($A$1,$B67,M$1,$B$1)</f>
        <v>160.58799999999999</v>
      </c>
      <c r="N67" s="55">
        <f>_xll.EQNXTDZ($A$1,$B67,N$1,$B$1)</f>
        <v>220.15100000000001</v>
      </c>
      <c r="O67" s="55">
        <f>_xll.EQNXTDZ($A$1,$B67,O$1,$B$1)</f>
        <v>161.39099999999999</v>
      </c>
      <c r="P67" s="55">
        <f>_xll.EQNXTDZ($A$1,$B67,P$1,$B$1)</f>
        <v>113.45699999999999</v>
      </c>
      <c r="Q67" s="55">
        <f>_xll.EQNXTDZ($A$1,$B67,Q$1,$B$1)</f>
        <v>177.209</v>
      </c>
      <c r="R67" s="55">
        <f>_xll.EQNXTDZ($A$1,$B67,R$1,$B$1)</f>
        <v>138.08000000000001</v>
      </c>
      <c r="S67" s="55">
        <f>_xll.EQNXTDZ($A$1,$B67,S$1,$B$1)</f>
        <v>164.88</v>
      </c>
      <c r="T67" s="55">
        <f>_xll.EQNXTDZ($A$1,$B67,T$1,$B$1)</f>
        <v>135.99299999999999</v>
      </c>
      <c r="U67" s="55">
        <f>_xll.EQNXTDZ($A$1,$B67,U$1,$B$1)</f>
        <v>192.99700000000001</v>
      </c>
      <c r="V67" s="55">
        <f>_xll.EQNXTDZ($A$1,$B67,V$1,$B$1)</f>
        <v>241.178</v>
      </c>
      <c r="W67" s="55">
        <f>_xll.EQNXTDZ($A$1,$B67,W$1,$B$1)</f>
        <v>99.05</v>
      </c>
      <c r="X67" s="55">
        <f>_xll.EQNXTDZ($A$1,$B67,X$1,$B$1)</f>
        <v>375.45</v>
      </c>
      <c r="Y67" s="55">
        <f>_xll.EQNXTDZ($A$1,$B67,Y$1,$B$1)</f>
        <v>250.767</v>
      </c>
      <c r="Z67" s="55">
        <f>_xll.EQNXTDZ($A$1,$B67,Z$1,$B$1)</f>
        <v>578.44600000000003</v>
      </c>
      <c r="AA67" s="55">
        <f>_xll.EQNXTDZ($A$1,$B67,AA$1,$B$1)</f>
        <v>708.14400000000001</v>
      </c>
      <c r="AB67" s="55">
        <f>_xll.EQNXTDZ($A$1,$B67,AB$1,$B$1)</f>
        <v>1139.259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76.298000000000002</v>
      </c>
      <c r="AA70" s="55">
        <f>_xll.EQNXTDZ($A$1,$B70,AA$1,$B$1)</f>
        <v>79.007999999999996</v>
      </c>
      <c r="AB70" s="55">
        <f>_xll.EQNXTDZ($A$1,$B70,AB$1,$B$1)</f>
        <v>88.302000000000007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38.0410635</v>
      </c>
      <c r="K71" s="55">
        <f>_xll.EQNXTDZ($A$1,$B71,K$1,$B$1)</f>
        <v>21.4646276</v>
      </c>
      <c r="L71" s="55">
        <f>_xll.EQNXTDZ($A$1,$B71,L$1,$B$1)</f>
        <v>21.4646276</v>
      </c>
      <c r="M71" s="55">
        <f>_xll.EQNXTDZ($A$1,$B71,M$1,$B$1)</f>
        <v>28.965</v>
      </c>
      <c r="N71" s="55">
        <f>_xll.EQNXTDZ($A$1,$B71,N$1,$B$1)</f>
        <v>10.513</v>
      </c>
      <c r="O71" s="55">
        <f>_xll.EQNXTDZ($A$1,$B71,O$1,$B$1)</f>
        <v>12.734</v>
      </c>
      <c r="P71" s="55">
        <f>_xll.EQNXTDZ($A$1,$B71,P$1,$B$1)</f>
        <v>12.933999999999999</v>
      </c>
      <c r="Q71" s="55">
        <f>_xll.EQNXTDZ($A$1,$B71,Q$1,$B$1)</f>
        <v>0.02</v>
      </c>
      <c r="R71" s="55">
        <f>_xll.EQNXTDZ($A$1,$B71,R$1,$B$1)</f>
        <v>0.09</v>
      </c>
      <c r="S71" s="55">
        <f>_xll.EQNXTDZ($A$1,$B71,S$1,$B$1)</f>
        <v>32.814999999999998</v>
      </c>
      <c r="T71" s="55">
        <f>_xll.EQNXTDZ($A$1,$B71,T$1,$B$1)</f>
        <v>31.545999999999999</v>
      </c>
      <c r="U71" s="55">
        <f>_xll.EQNXTDZ($A$1,$B71,U$1,$B$1)</f>
        <v>29.385000000000002</v>
      </c>
      <c r="V71" s="55">
        <f>_xll.EQNXTDZ($A$1,$B71,V$1,$B$1)</f>
        <v>25.477</v>
      </c>
      <c r="W71" s="55">
        <f>_xll.EQNXTDZ($A$1,$B71,W$1,$B$1)</f>
        <v>11.818</v>
      </c>
      <c r="X71" s="55">
        <f>_xll.EQNXTDZ($A$1,$B71,X$1,$B$1)</f>
        <v>9.2629999999999999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169.53800000000001</v>
      </c>
      <c r="N72" s="55">
        <f>_xll.EQNXTDZ($A$1,$B72,N$1,$B$1)</f>
        <v>165.28</v>
      </c>
      <c r="O72" s="55">
        <f>_xll.EQNXTDZ($A$1,$B72,O$1,$B$1)</f>
        <v>143.73400000000001</v>
      </c>
      <c r="P72" s="55">
        <f>_xll.EQNXTDZ($A$1,$B72,P$1,$B$1)</f>
        <v>122.557</v>
      </c>
      <c r="Q72" s="55">
        <f>_xll.EQNXTDZ($A$1,$B72,Q$1,$B$1)</f>
        <v>56.7</v>
      </c>
      <c r="R72" s="55">
        <f>_xll.EQNXTDZ($A$1,$B72,R$1,$B$1)</f>
        <v>101.56</v>
      </c>
      <c r="S72" s="55">
        <f>_xll.EQNXTDZ($A$1,$B72,S$1,$B$1)</f>
        <v>144.24600000000001</v>
      </c>
      <c r="T72" s="55">
        <f>_xll.EQNXTDZ($A$1,$B72,T$1,$B$1)</f>
        <v>156.55500000000001</v>
      </c>
      <c r="U72" s="55">
        <f>_xll.EQNXTDZ($A$1,$B72,U$1,$B$1)</f>
        <v>199.24799999999999</v>
      </c>
      <c r="V72" s="55">
        <f>_xll.EQNXTDZ($A$1,$B72,V$1,$B$1)</f>
        <v>218.65100000000001</v>
      </c>
      <c r="W72" s="55">
        <f>_xll.EQNXTDZ($A$1,$B72,W$1,$B$1)</f>
        <v>202.417</v>
      </c>
      <c r="X72" s="55">
        <f>_xll.EQNXTDZ($A$1,$B72,X$1,$B$1)</f>
        <v>197.005</v>
      </c>
      <c r="Y72" s="55">
        <f>_xll.EQNXTDZ($A$1,$B72,Y$1,$B$1)</f>
        <v>185.911</v>
      </c>
      <c r="Z72" s="55">
        <f>_xll.EQNXTDZ($A$1,$B72,Z$1,$B$1)</f>
        <v>401.98200000000003</v>
      </c>
      <c r="AA72" s="55">
        <f>_xll.EQNXTDZ($A$1,$B72,AA$1,$B$1)</f>
        <v>626.50099999999998</v>
      </c>
      <c r="AB72" s="55">
        <f>_xll.EQNXTDZ($A$1,$B72,AB$1,$B$1)</f>
        <v>839.84400000000005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0.25800000000000001</v>
      </c>
      <c r="N73" s="55">
        <f>_xll.EQNXTDZ($A$1,$B73,N$1,$B$1)</f>
        <v>0</v>
      </c>
      <c r="O73" s="55">
        <f>_xll.EQNXTDZ($A$1,$B73,O$1,$B$1)</f>
        <v>2.198</v>
      </c>
      <c r="P73" s="55">
        <f>_xll.EQNXTDZ($A$1,$B73,P$1,$B$1)</f>
        <v>8.0020000000000007</v>
      </c>
      <c r="Q73" s="55">
        <f>_xll.EQNXTDZ($A$1,$B73,Q$1,$B$1)</f>
        <v>8.2970000000000006</v>
      </c>
      <c r="R73" s="55">
        <f>_xll.EQNXTDZ($A$1,$B73,R$1,$B$1)</f>
        <v>1.36</v>
      </c>
      <c r="S73" s="55">
        <f>_xll.EQNXTDZ($A$1,$B73,S$1,$B$1)</f>
        <v>2.3769999999999998</v>
      </c>
      <c r="T73" s="55">
        <f>_xll.EQNXTDZ($A$1,$B73,T$1,$B$1)</f>
        <v>0.97399999999999998</v>
      </c>
      <c r="U73" s="55">
        <f>_xll.EQNXTDZ($A$1,$B73,U$1,$B$1)</f>
        <v>6.8979999999999997</v>
      </c>
      <c r="V73" s="55">
        <f>_xll.EQNXTDZ($A$1,$B73,V$1,$B$1)</f>
        <v>3.3439999999999999</v>
      </c>
      <c r="W73" s="55">
        <f>_xll.EQNXTDZ($A$1,$B73,W$1,$B$1)</f>
        <v>59.171999999999997</v>
      </c>
      <c r="X73" s="55">
        <f>_xll.EQNXTDZ($A$1,$B73,X$1,$B$1)</f>
        <v>13.92</v>
      </c>
      <c r="Y73" s="55">
        <f>_xll.EQNXTDZ($A$1,$B73,Y$1,$B$1)</f>
        <v>11.765000000000001</v>
      </c>
      <c r="Z73" s="55">
        <f>_xll.EQNXTDZ($A$1,$B73,Z$1,$B$1)</f>
        <v>34.106000000000002</v>
      </c>
      <c r="AA73" s="55">
        <f>_xll.EQNXTDZ($A$1,$B73,AA$1,$B$1)</f>
        <v>83.905000000000001</v>
      </c>
      <c r="AB73" s="55">
        <f>_xll.EQNXTDZ($A$1,$B73,AB$1,$B$1)</f>
        <v>84.882000000000005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142.5752646</v>
      </c>
      <c r="K74" s="55">
        <f>_xll.EQNXTDZ($A$1,$B74,K$1,$B$1)</f>
        <v>233.69607310000001</v>
      </c>
      <c r="L74" s="55">
        <f>_xll.EQNXTDZ($A$1,$B74,L$1,$B$1)</f>
        <v>439.53375360000001</v>
      </c>
      <c r="M74" s="55">
        <f>_xll.EQNXTDZ($A$1,$B74,M$1,$B$1)</f>
        <v>711.85799999999995</v>
      </c>
      <c r="N74" s="55">
        <f>_xll.EQNXTDZ($A$1,$B74,N$1,$B$1)</f>
        <v>870.53599999999994</v>
      </c>
      <c r="O74" s="55">
        <f>_xll.EQNXTDZ($A$1,$B74,O$1,$B$1)</f>
        <v>880.44</v>
      </c>
      <c r="P74" s="55">
        <f>_xll.EQNXTDZ($A$1,$B74,P$1,$B$1)</f>
        <v>954.52700000000004</v>
      </c>
      <c r="Q74" s="55">
        <f>_xll.EQNXTDZ($A$1,$B74,Q$1,$B$1)</f>
        <v>1066.9690000000001</v>
      </c>
      <c r="R74" s="55">
        <f>_xll.EQNXTDZ($A$1,$B74,R$1,$B$1)</f>
        <v>1226.1199999999999</v>
      </c>
      <c r="S74" s="55">
        <f>_xll.EQNXTDZ($A$1,$B74,S$1,$B$1)</f>
        <v>1472.704</v>
      </c>
      <c r="T74" s="55">
        <f>_xll.EQNXTDZ($A$1,$B74,T$1,$B$1)</f>
        <v>1522.1949999999999</v>
      </c>
      <c r="U74" s="55">
        <f>_xll.EQNXTDZ($A$1,$B74,U$1,$B$1)</f>
        <v>1704.1120000000001</v>
      </c>
      <c r="V74" s="55">
        <f>_xll.EQNXTDZ($A$1,$B74,V$1,$B$1)</f>
        <v>1910.663</v>
      </c>
      <c r="W74" s="55">
        <f>_xll.EQNXTDZ($A$1,$B74,W$1,$B$1)</f>
        <v>2242.0569999999998</v>
      </c>
      <c r="X74" s="55">
        <f>_xll.EQNXTDZ($A$1,$B74,X$1,$B$1)</f>
        <v>2270.761</v>
      </c>
      <c r="Y74" s="55">
        <f>_xll.EQNXTDZ($A$1,$B74,Y$1,$B$1)</f>
        <v>2515.3829999999998</v>
      </c>
      <c r="Z74" s="55">
        <f>_xll.EQNXTDZ($A$1,$B74,Z$1,$B$1)</f>
        <v>3352.0540000000001</v>
      </c>
      <c r="AA74" s="55">
        <f>_xll.EQNXTDZ($A$1,$B74,AA$1,$B$1)</f>
        <v>4429.7</v>
      </c>
      <c r="AB74" s="55">
        <f>_xll.EQNXTDZ($A$1,$B74,AB$1,$B$1)</f>
        <v>5804.0820000000003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40</v>
      </c>
      <c r="W75" s="55">
        <f>_xll.EQNXTDZ($A$1,$B75,W$1,$B$1)</f>
        <v>623.12699999999995</v>
      </c>
      <c r="X75" s="55">
        <f>_xll.EQNXTDZ($A$1,$B75,X$1,$B$1)</f>
        <v>764.05100000000004</v>
      </c>
      <c r="Y75" s="55">
        <f>_xll.EQNXTDZ($A$1,$B75,Y$1,$B$1)</f>
        <v>1350.4949999999999</v>
      </c>
      <c r="Z75" s="55">
        <f>_xll.EQNXTDZ($A$1,$B75,Z$1,$B$1)</f>
        <v>1822.4169999999999</v>
      </c>
      <c r="AA75" s="55">
        <f>_xll.EQNXTDZ($A$1,$B75,AA$1,$B$1)</f>
        <v>1749.0419999999999</v>
      </c>
      <c r="AB75" s="55">
        <f>_xll.EQNXTDZ($A$1,$B75,AB$1,$B$1)</f>
        <v>3404.8229999999999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359.88630000000001</v>
      </c>
      <c r="K76" s="55">
        <f>_xll.EQNXTDZ($A$1,$B76,K$1,$B$1)</f>
        <v>323.34411890000001</v>
      </c>
      <c r="L76" s="55">
        <f>_xll.EQNXTDZ($A$1,$B76,L$1,$B$1)</f>
        <v>833.54723220000005</v>
      </c>
      <c r="M76" s="55">
        <f>_xll.EQNXTDZ($A$1,$B76,M$1,$B$1)</f>
        <v>813.88099999999997</v>
      </c>
      <c r="N76" s="55">
        <f>_xll.EQNXTDZ($A$1,$B76,N$1,$B$1)</f>
        <v>659.971</v>
      </c>
      <c r="O76" s="55">
        <f>_xll.EQNXTDZ($A$1,$B76,O$1,$B$1)</f>
        <v>609.66200000000003</v>
      </c>
      <c r="P76" s="55">
        <f>_xll.EQNXTDZ($A$1,$B76,P$1,$B$1)</f>
        <v>578.02599999999995</v>
      </c>
      <c r="Q76" s="55">
        <f>_xll.EQNXTDZ($A$1,$B76,Q$1,$B$1)</f>
        <v>903.98099999999999</v>
      </c>
      <c r="R76" s="55">
        <f>_xll.EQNXTDZ($A$1,$B76,R$1,$B$1)</f>
        <v>980.42</v>
      </c>
      <c r="S76" s="55">
        <f>_xll.EQNXTDZ($A$1,$B76,S$1,$B$1)</f>
        <v>1519.8150000000001</v>
      </c>
      <c r="T76" s="55">
        <f>_xll.EQNXTDZ($A$1,$B76,T$1,$B$1)</f>
        <v>1365.6980000000001</v>
      </c>
      <c r="U76" s="55">
        <f>_xll.EQNXTDZ($A$1,$B76,U$1,$B$1)</f>
        <v>1995.7850000000001</v>
      </c>
      <c r="V76" s="55">
        <f>_xll.EQNXTDZ($A$1,$B76,V$1,$B$1)</f>
        <v>1924.954</v>
      </c>
      <c r="W76" s="55">
        <f>_xll.EQNXTDZ($A$1,$B76,W$1,$B$1)</f>
        <v>1987.91</v>
      </c>
      <c r="X76" s="55">
        <f>_xll.EQNXTDZ($A$1,$B76,X$1,$B$1)</f>
        <v>2199.6469999999999</v>
      </c>
      <c r="Y76" s="55">
        <f>_xll.EQNXTDZ($A$1,$B76,Y$1,$B$1)</f>
        <v>2951.384</v>
      </c>
      <c r="Z76" s="55">
        <f>_xll.EQNXTDZ($A$1,$B76,Z$1,$B$1)</f>
        <v>3675.114</v>
      </c>
      <c r="AA76" s="55">
        <f>_xll.EQNXTDZ($A$1,$B76,AA$1,$B$1)</f>
        <v>3661.3</v>
      </c>
      <c r="AB76" s="55">
        <f>_xll.EQNXTDZ($A$1,$B76,AB$1,$B$1)</f>
        <v>5559.598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615.15009320000001</v>
      </c>
      <c r="K77" s="55">
        <f>_xll.EQNXTDZ($A$1,$B77,K$1,$B$1)</f>
        <v>634.40463079999995</v>
      </c>
      <c r="L77" s="55">
        <f>_xll.EQNXTDZ($A$1,$B77,L$1,$B$1)</f>
        <v>809.10726650000004</v>
      </c>
      <c r="M77" s="55">
        <f>_xll.EQNXTDZ($A$1,$B77,M$1,$B$1)</f>
        <v>1076.4770000000001</v>
      </c>
      <c r="N77" s="55">
        <f>_xll.EQNXTDZ($A$1,$B77,N$1,$B$1)</f>
        <v>1117.816</v>
      </c>
      <c r="O77" s="55">
        <f>_xll.EQNXTDZ($A$1,$B77,O$1,$B$1)</f>
        <v>987.38499999999999</v>
      </c>
      <c r="P77" s="55">
        <f>_xll.EQNXTDZ($A$1,$B77,P$1,$B$1)</f>
        <v>828.12400000000002</v>
      </c>
      <c r="Q77" s="55">
        <f>_xll.EQNXTDZ($A$1,$B77,Q$1,$B$1)</f>
        <v>1085.221</v>
      </c>
      <c r="R77" s="55">
        <f>_xll.EQNXTDZ($A$1,$B77,R$1,$B$1)</f>
        <v>1349.16</v>
      </c>
      <c r="S77" s="55">
        <f>_xll.EQNXTDZ($A$1,$B77,S$1,$B$1)</f>
        <v>1173.422</v>
      </c>
      <c r="T77" s="55">
        <f>_xll.EQNXTDZ($A$1,$B77,T$1,$B$1)</f>
        <v>1290.816</v>
      </c>
      <c r="U77" s="55">
        <f>_xll.EQNXTDZ($A$1,$B77,U$1,$B$1)</f>
        <v>1334.316</v>
      </c>
      <c r="V77" s="55">
        <f>_xll.EQNXTDZ($A$1,$B77,V$1,$B$1)</f>
        <v>1433.643</v>
      </c>
      <c r="W77" s="55">
        <f>_xll.EQNXTDZ($A$1,$B77,W$1,$B$1)</f>
        <v>1435.7670000000001</v>
      </c>
      <c r="X77" s="55">
        <f>_xll.EQNXTDZ($A$1,$B77,X$1,$B$1)</f>
        <v>1296.394</v>
      </c>
      <c r="Y77" s="55">
        <f>_xll.EQNXTDZ($A$1,$B77,Y$1,$B$1)</f>
        <v>1246.596</v>
      </c>
      <c r="Z77" s="55">
        <f>_xll.EQNXTDZ($A$1,$B77,Z$1,$B$1)</f>
        <v>2047.117</v>
      </c>
      <c r="AA77" s="55">
        <f>_xll.EQNXTDZ($A$1,$B77,AA$1,$B$1)</f>
        <v>2596.268</v>
      </c>
      <c r="AB77" s="55">
        <f>_xll.EQNXTDZ($A$1,$B77,AB$1,$B$1)</f>
        <v>3758.5039999999999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16.5096481</v>
      </c>
      <c r="K78" s="55">
        <f>_xll.EQNXTDZ($A$1,$B78,K$1,$B$1)</f>
        <v>25.330427700000001</v>
      </c>
      <c r="L78" s="55">
        <f>_xll.EQNXTDZ($A$1,$B78,L$1,$B$1)</f>
        <v>27.9961527</v>
      </c>
      <c r="M78" s="55">
        <f>_xll.EQNXTDZ($A$1,$B78,M$1,$B$1)</f>
        <v>12.016999999999999</v>
      </c>
      <c r="N78" s="55">
        <f>_xll.EQNXTDZ($A$1,$B78,N$1,$B$1)</f>
        <v>21.405000000000001</v>
      </c>
      <c r="O78" s="55">
        <f>_xll.EQNXTDZ($A$1,$B78,O$1,$B$1)</f>
        <v>34.298999999999999</v>
      </c>
      <c r="P78" s="55">
        <f>_xll.EQNXTDZ($A$1,$B78,P$1,$B$1)</f>
        <v>27.09</v>
      </c>
      <c r="Q78" s="55">
        <f>_xll.EQNXTDZ($A$1,$B78,Q$1,$B$1)</f>
        <v>26.984000000000002</v>
      </c>
      <c r="R78" s="55">
        <f>_xll.EQNXTDZ($A$1,$B78,R$1,$B$1)</f>
        <v>50.73</v>
      </c>
      <c r="S78" s="55">
        <f>_xll.EQNXTDZ($A$1,$B78,S$1,$B$1)</f>
        <v>30.157</v>
      </c>
      <c r="T78" s="55">
        <f>_xll.EQNXTDZ($A$1,$B78,T$1,$B$1)</f>
        <v>10.641999999999999</v>
      </c>
      <c r="U78" s="55">
        <f>_xll.EQNXTDZ($A$1,$B78,U$1,$B$1)</f>
        <v>316.649</v>
      </c>
      <c r="V78" s="55">
        <f>_xll.EQNXTDZ($A$1,$B78,V$1,$B$1)</f>
        <v>281.30700000000002</v>
      </c>
      <c r="W78" s="55">
        <f>_xll.EQNXTDZ($A$1,$B78,W$1,$B$1)</f>
        <v>531.31799999999998</v>
      </c>
      <c r="X78" s="55">
        <f>_xll.EQNXTDZ($A$1,$B78,X$1,$B$1)</f>
        <v>407.11799999999999</v>
      </c>
      <c r="Y78" s="55">
        <f>_xll.EQNXTDZ($A$1,$B78,Y$1,$B$1)</f>
        <v>695.24300000000005</v>
      </c>
      <c r="Z78" s="55">
        <f>_xll.EQNXTDZ($A$1,$B78,Z$1,$B$1)</f>
        <v>402.358</v>
      </c>
      <c r="AA78" s="55">
        <f>_xll.EQNXTDZ($A$1,$B78,AA$1,$B$1)</f>
        <v>770.63599999999997</v>
      </c>
      <c r="AB78" s="55">
        <f>_xll.EQNXTDZ($A$1,$B78,AB$1,$B$1)</f>
        <v>882.47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65.816000000000003</v>
      </c>
      <c r="N79" s="55">
        <f>_xll.EQNXTDZ($A$1,$B79,N$1,$B$1)</f>
        <v>49.877000000000002</v>
      </c>
      <c r="O79" s="55">
        <f>_xll.EQNXTDZ($A$1,$B79,O$1,$B$1)</f>
        <v>9.9969999999999999</v>
      </c>
      <c r="P79" s="55">
        <f>_xll.EQNXTDZ($A$1,$B79,P$1,$B$1)</f>
        <v>11.186</v>
      </c>
      <c r="Q79" s="55">
        <f>_xll.EQNXTDZ($A$1,$B79,Q$1,$B$1)</f>
        <v>15.738</v>
      </c>
      <c r="R79" s="55">
        <f>_xll.EQNXTDZ($A$1,$B79,R$1,$B$1)</f>
        <v>7.04</v>
      </c>
      <c r="S79" s="55">
        <f>_xll.EQNXTDZ($A$1,$B79,S$1,$B$1)</f>
        <v>44.55</v>
      </c>
      <c r="T79" s="55">
        <f>_xll.EQNXTDZ($A$1,$B79,T$1,$B$1)</f>
        <v>32.098999999999997</v>
      </c>
      <c r="U79" s="55">
        <f>_xll.EQNXTDZ($A$1,$B79,U$1,$B$1)</f>
        <v>81.263000000000005</v>
      </c>
      <c r="V79" s="55">
        <f>_xll.EQNXTDZ($A$1,$B79,V$1,$B$1)</f>
        <v>155.352</v>
      </c>
      <c r="W79" s="55">
        <f>_xll.EQNXTDZ($A$1,$B79,W$1,$B$1)</f>
        <v>47.207000000000001</v>
      </c>
      <c r="X79" s="55">
        <f>_xll.EQNXTDZ($A$1,$B79,X$1,$B$1)</f>
        <v>74.882000000000005</v>
      </c>
      <c r="Y79" s="55">
        <f>_xll.EQNXTDZ($A$1,$B79,Y$1,$B$1)</f>
        <v>58.191000000000003</v>
      </c>
      <c r="Z79" s="55">
        <f>_xll.EQNXTDZ($A$1,$B79,Z$1,$B$1)</f>
        <v>75.521000000000001</v>
      </c>
      <c r="AA79" s="55">
        <f>_xll.EQNXTDZ($A$1,$B79,AA$1,$B$1)</f>
        <v>154.06200000000001</v>
      </c>
      <c r="AB79" s="55">
        <f>_xll.EQNXTDZ($A$1,$B79,AB$1,$B$1)</f>
        <v>207.28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250.43403430000001</v>
      </c>
      <c r="K80" s="55">
        <f>_xll.EQNXTDZ($A$1,$B80,K$1,$B$1)</f>
        <v>276.7284732</v>
      </c>
      <c r="L80" s="55">
        <f>_xll.EQNXTDZ($A$1,$B80,L$1,$B$1)</f>
        <v>231.62753470000001</v>
      </c>
      <c r="M80" s="55">
        <f>_xll.EQNXTDZ($A$1,$B80,M$1,$B$1)</f>
        <v>131.983</v>
      </c>
      <c r="N80" s="55">
        <f>_xll.EQNXTDZ($A$1,$B80,N$1,$B$1)</f>
        <v>77.301000000000002</v>
      </c>
      <c r="O80" s="55">
        <f>_xll.EQNXTDZ($A$1,$B80,O$1,$B$1)</f>
        <v>83.6</v>
      </c>
      <c r="P80" s="55">
        <f>_xll.EQNXTDZ($A$1,$B80,P$1,$B$1)</f>
        <v>178.18899999999999</v>
      </c>
      <c r="Q80" s="55">
        <f>_xll.EQNXTDZ($A$1,$B80,Q$1,$B$1)</f>
        <v>213.27699999999999</v>
      </c>
      <c r="R80" s="55">
        <f>_xll.EQNXTDZ($A$1,$B80,R$1,$B$1)</f>
        <v>238.04</v>
      </c>
      <c r="S80" s="55">
        <f>_xll.EQNXTDZ($A$1,$B80,S$1,$B$1)</f>
        <v>311.31400000000002</v>
      </c>
      <c r="T80" s="55">
        <f>_xll.EQNXTDZ($A$1,$B80,T$1,$B$1)</f>
        <v>226.381</v>
      </c>
      <c r="U80" s="55">
        <f>_xll.EQNXTDZ($A$1,$B80,U$1,$B$1)</f>
        <v>196.148</v>
      </c>
      <c r="V80" s="55">
        <f>_xll.EQNXTDZ($A$1,$B80,V$1,$B$1)</f>
        <v>214.66200000000001</v>
      </c>
      <c r="W80" s="55">
        <f>_xll.EQNXTDZ($A$1,$B80,W$1,$B$1)</f>
        <v>147.31399999999999</v>
      </c>
      <c r="X80" s="55">
        <f>_xll.EQNXTDZ($A$1,$B80,X$1,$B$1)</f>
        <v>399.04399999999998</v>
      </c>
      <c r="Y80" s="55">
        <f>_xll.EQNXTDZ($A$1,$B80,Y$1,$B$1)</f>
        <v>606.84</v>
      </c>
      <c r="Z80" s="55">
        <f>_xll.EQNXTDZ($A$1,$B80,Z$1,$B$1)</f>
        <v>691.43399999999997</v>
      </c>
      <c r="AA80" s="55">
        <f>_xll.EQNXTDZ($A$1,$B80,AA$1,$B$1)</f>
        <v>387.68799999999999</v>
      </c>
      <c r="AB80" s="55">
        <f>_xll.EQNXTDZ($A$1,$B80,AB$1,$B$1)</f>
        <v>845.21299999999997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0.746</v>
      </c>
      <c r="T81" s="55">
        <f>_xll.EQNXTDZ($A$1,$B81,T$1,$B$1)</f>
        <v>0.27</v>
      </c>
      <c r="U81" s="55">
        <f>_xll.EQNXTDZ($A$1,$B81,U$1,$B$1)</f>
        <v>2.1999999999999999E-2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2.6179999999999999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1241.9800756</v>
      </c>
      <c r="K82" s="55">
        <f>_xll.EQNXTDZ($A$1,$B82,K$1,$B$1)</f>
        <v>1259.8076506</v>
      </c>
      <c r="L82" s="55">
        <f>_xll.EQNXTDZ($A$1,$B82,L$1,$B$1)</f>
        <v>1902.2781861000001</v>
      </c>
      <c r="M82" s="55">
        <f>_xll.EQNXTDZ($A$1,$B82,M$1,$B$1)</f>
        <v>2100.174</v>
      </c>
      <c r="N82" s="55">
        <f>_xll.EQNXTDZ($A$1,$B82,N$1,$B$1)</f>
        <v>1926.37</v>
      </c>
      <c r="O82" s="55">
        <f>_xll.EQNXTDZ($A$1,$B82,O$1,$B$1)</f>
        <v>1724.943</v>
      </c>
      <c r="P82" s="55">
        <f>_xll.EQNXTDZ($A$1,$B82,P$1,$B$1)</f>
        <v>1622.615</v>
      </c>
      <c r="Q82" s="55">
        <f>_xll.EQNXTDZ($A$1,$B82,Q$1,$B$1)</f>
        <v>2245.201</v>
      </c>
      <c r="R82" s="55">
        <f>_xll.EQNXTDZ($A$1,$B82,R$1,$B$1)</f>
        <v>2625.39</v>
      </c>
      <c r="S82" s="55">
        <f>_xll.EQNXTDZ($A$1,$B82,S$1,$B$1)</f>
        <v>3079.2579999999998</v>
      </c>
      <c r="T82" s="55">
        <f>_xll.EQNXTDZ($A$1,$B82,T$1,$B$1)</f>
        <v>2925.636</v>
      </c>
      <c r="U82" s="55">
        <f>_xll.EQNXTDZ($A$1,$B82,U$1,$B$1)</f>
        <v>3924.1610000000001</v>
      </c>
      <c r="V82" s="55">
        <f>_xll.EQNXTDZ($A$1,$B82,V$1,$B$1)</f>
        <v>4049.9180000000001</v>
      </c>
      <c r="W82" s="55">
        <f>_xll.EQNXTDZ($A$1,$B82,W$1,$B$1)</f>
        <v>4772.643</v>
      </c>
      <c r="X82" s="55">
        <f>_xll.EQNXTDZ($A$1,$B82,X$1,$B$1)</f>
        <v>5141.1360000000004</v>
      </c>
      <c r="Y82" s="55">
        <f>_xll.EQNXTDZ($A$1,$B82,Y$1,$B$1)</f>
        <v>6908.7489999999998</v>
      </c>
      <c r="Z82" s="55">
        <f>_xll.EQNXTDZ($A$1,$B82,Z$1,$B$1)</f>
        <v>8713.9609999999993</v>
      </c>
      <c r="AA82" s="55">
        <f>_xll.EQNXTDZ($A$1,$B82,AA$1,$B$1)</f>
        <v>9318.9959999999992</v>
      </c>
      <c r="AB82" s="55">
        <f>_xll.EQNXTDZ($A$1,$B82,AB$1,$B$1)</f>
        <v>14657.888000000001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1384.5553402</v>
      </c>
      <c r="K84" s="55">
        <f>_xll.EQNXTDZ($A$1,$B84,K$1,$B$1)</f>
        <v>1493.5037236999999</v>
      </c>
      <c r="L84" s="55">
        <f>_xll.EQNXTDZ($A$1,$B84,L$1,$B$1)</f>
        <v>2341.8119397</v>
      </c>
      <c r="M84" s="55">
        <f>_xll.EQNXTDZ($A$1,$B84,M$1,$B$1)</f>
        <v>2812.0320000000002</v>
      </c>
      <c r="N84" s="55">
        <f>_xll.EQNXTDZ($A$1,$B84,N$1,$B$1)</f>
        <v>2796.9059999999999</v>
      </c>
      <c r="O84" s="55">
        <f>_xll.EQNXTDZ($A$1,$B84,O$1,$B$1)</f>
        <v>2605.3829999999998</v>
      </c>
      <c r="P84" s="55">
        <f>_xll.EQNXTDZ($A$1,$B84,P$1,$B$1)</f>
        <v>2577.1419999999998</v>
      </c>
      <c r="Q84" s="55">
        <f>_xll.EQNXTDZ($A$1,$B84,Q$1,$B$1)</f>
        <v>3312.17</v>
      </c>
      <c r="R84" s="55">
        <f>_xll.EQNXTDZ($A$1,$B84,R$1,$B$1)</f>
        <v>3851.51</v>
      </c>
      <c r="S84" s="55">
        <f>_xll.EQNXTDZ($A$1,$B84,S$1,$B$1)</f>
        <v>4552.7079999999996</v>
      </c>
      <c r="T84" s="55">
        <f>_xll.EQNXTDZ($A$1,$B84,T$1,$B$1)</f>
        <v>4448.1009999999997</v>
      </c>
      <c r="U84" s="55">
        <f>_xll.EQNXTDZ($A$1,$B84,U$1,$B$1)</f>
        <v>5628.2950000000001</v>
      </c>
      <c r="V84" s="55">
        <f>_xll.EQNXTDZ($A$1,$B84,V$1,$B$1)</f>
        <v>5960.5810000000001</v>
      </c>
      <c r="W84" s="55">
        <f>_xll.EQNXTDZ($A$1,$B84,W$1,$B$1)</f>
        <v>7014.7</v>
      </c>
      <c r="X84" s="55">
        <f>_xll.EQNXTDZ($A$1,$B84,X$1,$B$1)</f>
        <v>7411.8969999999999</v>
      </c>
      <c r="Y84" s="55">
        <f>_xll.EQNXTDZ($A$1,$B84,Y$1,$B$1)</f>
        <v>9424.1319999999996</v>
      </c>
      <c r="Z84" s="55">
        <f>_xll.EQNXTDZ($A$1,$B84,Z$1,$B$1)</f>
        <v>12066.014999999999</v>
      </c>
      <c r="AA84" s="55">
        <f>_xll.EQNXTDZ($A$1,$B84,AA$1,$B$1)</f>
        <v>13748.696</v>
      </c>
      <c r="AB84" s="55">
        <f>_xll.EQNXTDZ($A$1,$B84,AB$1,$B$1)</f>
        <v>20464.588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25.571000000000002</v>
      </c>
      <c r="K85" s="55">
        <f>_xll.EQNXTDZ($A$1,$B85,K$1,$B$1)</f>
        <v>227.7302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389.43099999999998</v>
      </c>
      <c r="Q85" s="55">
        <f>_xll.EQNXTDZ($A$1,$B85,Q$1,$B$1)</f>
        <v>0</v>
      </c>
      <c r="R85" s="55">
        <f>_xll.EQNXTDZ($A$1,$B85,R$1,$B$1)</f>
        <v>428.29</v>
      </c>
      <c r="S85" s="55">
        <f>_xll.EQNXTDZ($A$1,$B85,S$1,$B$1)</f>
        <v>520.99400000000003</v>
      </c>
      <c r="T85" s="55">
        <f>_xll.EQNXTDZ($A$1,$B85,T$1,$B$1)</f>
        <v>526.92399999999998</v>
      </c>
      <c r="U85" s="55">
        <f>_xll.EQNXTDZ($A$1,$B85,U$1,$B$1)</f>
        <v>242.875</v>
      </c>
      <c r="V85" s="55">
        <f>_xll.EQNXTDZ($A$1,$B85,V$1,$B$1)</f>
        <v>209.68700000000001</v>
      </c>
      <c r="W85" s="55">
        <f>_xll.EQNXTDZ($A$1,$B85,W$1,$B$1)</f>
        <v>35.247999999999998</v>
      </c>
      <c r="X85" s="55">
        <f>_xll.EQNXTDZ($A$1,$B85,X$1,$B$1)</f>
        <v>28.201000000000001</v>
      </c>
      <c r="Y85" s="55">
        <f>_xll.EQNXTDZ($A$1,$B85,Y$1,$B$1)</f>
        <v>29.684999999999999</v>
      </c>
      <c r="Z85" s="55">
        <f>_xll.EQNXTDZ($A$1,$B85,Z$1,$B$1)</f>
        <v>58.341000000000001</v>
      </c>
      <c r="AA85" s="55">
        <f>_xll.EQNXTDZ($A$1,$B85,AA$1,$B$1)</f>
        <v>68.066999999999993</v>
      </c>
      <c r="AB85" s="55">
        <f>_xll.EQNXTDZ($A$1,$B85,AB$1,$B$1)</f>
        <v>83.608999999999995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0.108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2.258</v>
      </c>
      <c r="X86" s="55">
        <f>_xll.EQNXTDZ($A$1,$B86,X$1,$B$1)</f>
        <v>4.6219999999999999</v>
      </c>
      <c r="Y86" s="55">
        <f>_xll.EQNXTDZ($A$1,$B86,Y$1,$B$1)</f>
        <v>4.6219999999999999</v>
      </c>
      <c r="Z86" s="55">
        <f>_xll.EQNXTDZ($A$1,$B86,Z$1,$B$1)</f>
        <v>4.6219999999999999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86.4</v>
      </c>
      <c r="N88" s="55">
        <f>_xll.EQNXTDZ($A$1,$B88,N$1,$B$1)</f>
        <v>215.755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0.1</v>
      </c>
      <c r="S88" s="55">
        <f>_xll.EQNXTDZ($A$1,$B88,S$1,$B$1)</f>
        <v>34.912999999999997</v>
      </c>
      <c r="T88" s="55">
        <f>_xll.EQNXTDZ($A$1,$B88,T$1,$B$1)</f>
        <v>72.61</v>
      </c>
      <c r="U88" s="55">
        <f>_xll.EQNXTDZ($A$1,$B88,U$1,$B$1)</f>
        <v>80.423000000000002</v>
      </c>
      <c r="V88" s="55">
        <f>_xll.EQNXTDZ($A$1,$B88,V$1,$B$1)</f>
        <v>34.950000000000003</v>
      </c>
      <c r="W88" s="55">
        <f>_xll.EQNXTDZ($A$1,$B88,W$1,$B$1)</f>
        <v>56.045000000000002</v>
      </c>
      <c r="X88" s="55">
        <f>_xll.EQNXTDZ($A$1,$B88,X$1,$B$1)</f>
        <v>3.617</v>
      </c>
      <c r="Y88" s="55">
        <f>_xll.EQNXTDZ($A$1,$B88,Y$1,$B$1)</f>
        <v>2.6429999999999998</v>
      </c>
      <c r="Z88" s="55">
        <f>_xll.EQNXTDZ($A$1,$B88,Z$1,$B$1)</f>
        <v>4.782</v>
      </c>
      <c r="AA88" s="55">
        <f>_xll.EQNXTDZ($A$1,$B88,AA$1,$B$1)</f>
        <v>9.8249999999999993</v>
      </c>
      <c r="AB88" s="55">
        <f>_xll.EQNXTDZ($A$1,$B88,AB$1,$B$1)</f>
        <v>12.722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0.41899999999999998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2.258</v>
      </c>
      <c r="X91" s="55">
        <f>_xll.EQNXTDZ($A$1,$B91,X$1,$B$1)</f>
        <v>4.6219999999999999</v>
      </c>
      <c r="Y91" s="55">
        <f>_xll.EQNXTDZ($A$1,$B91,Y$1,$B$1)</f>
        <v>4.6219999999999999</v>
      </c>
      <c r="Z91" s="55">
        <f>_xll.EQNXTDZ($A$1,$B91,Z$1,$B$1)</f>
        <v>4.6219999999999999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0.311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4.0902000000000003</v>
      </c>
      <c r="K93" s="55">
        <f>_xll.EQNXTDZ($A$1,$B93,K$1,$B$1)</f>
        <v>4.9101999999999997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6.5730000000000004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37.973999999999997</v>
      </c>
      <c r="T93" s="55">
        <f>_xll.EQNXTDZ($A$1,$B93,T$1,$B$1)</f>
        <v>42.024000000000001</v>
      </c>
      <c r="U93" s="55">
        <f>_xll.EQNXTDZ($A$1,$B93,U$1,$B$1)</f>
        <v>112.83199999999999</v>
      </c>
      <c r="V93" s="55">
        <f>_xll.EQNXTDZ($A$1,$B93,V$1,$B$1)</f>
        <v>85.3</v>
      </c>
      <c r="W93" s="55">
        <f>_xll.EQNXTDZ($A$1,$B93,W$1,$B$1)</f>
        <v>35.247999999999998</v>
      </c>
      <c r="X93" s="55">
        <f>_xll.EQNXTDZ($A$1,$B93,X$1,$B$1)</f>
        <v>28.201000000000001</v>
      </c>
      <c r="Y93" s="55">
        <f>_xll.EQNXTDZ($A$1,$B93,Y$1,$B$1)</f>
        <v>29.684999999999999</v>
      </c>
      <c r="Z93" s="55">
        <f>_xll.EQNXTDZ($A$1,$B93,Z$1,$B$1)</f>
        <v>58.341000000000001</v>
      </c>
      <c r="AA93" s="55">
        <f>_xll.EQNXTDZ($A$1,$B93,AA$1,$B$1)</f>
        <v>68.066999999999993</v>
      </c>
      <c r="AB93" s="55">
        <f>_xll.EQNXTDZ($A$1,$B93,AB$1,$B$1)</f>
        <v>83.608999999999995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21.480799999999999</v>
      </c>
      <c r="K95" s="55">
        <f>_xll.EQNXTDZ($A$1,$B95,K$1,$B$1)</f>
        <v>222.82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382.858</v>
      </c>
      <c r="Q95" s="55">
        <f>_xll.EQNXTDZ($A$1,$B95,Q$1,$B$1)</f>
        <v>0</v>
      </c>
      <c r="R95" s="55">
        <f>_xll.EQNXTDZ($A$1,$B95,R$1,$B$1)</f>
        <v>416.33</v>
      </c>
      <c r="S95" s="55">
        <f>_xll.EQNXTDZ($A$1,$B95,S$1,$B$1)</f>
        <v>483.02</v>
      </c>
      <c r="T95" s="55">
        <f>_xll.EQNXTDZ($A$1,$B95,T$1,$B$1)</f>
        <v>484.9</v>
      </c>
      <c r="U95" s="55">
        <f>_xll.EQNXTDZ($A$1,$B95,U$1,$B$1)</f>
        <v>130.04300000000001</v>
      </c>
      <c r="V95" s="55">
        <f>_xll.EQNXTDZ($A$1,$B95,V$1,$B$1)</f>
        <v>124.387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11.96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60</v>
      </c>
      <c r="K104" s="55">
        <f>_xll.EQNXTDZ($A$1,$B104,K$1,$B$1)</f>
        <v>60</v>
      </c>
      <c r="L104" s="55">
        <f>_xll.EQNXTDZ($A$1,$B104,L$1,$B$1)</f>
        <v>65.573769999999996</v>
      </c>
      <c r="M104" s="55">
        <f>_xll.EQNXTDZ($A$1,$B104,M$1,$B$1)</f>
        <v>65.573769999999996</v>
      </c>
      <c r="N104" s="55">
        <f>_xll.EQNXTDZ($A$1,$B104,N$1,$B$1)</f>
        <v>65.588465999999997</v>
      </c>
      <c r="O104" s="55">
        <f>_xll.EQNXTDZ($A$1,$B104,O$1,$B$1)</f>
        <v>70.602919</v>
      </c>
      <c r="P104" s="55">
        <f>_xll.EQNXTDZ($A$1,$B104,P$1,$B$1)</f>
        <v>70.602919</v>
      </c>
      <c r="Q104" s="55">
        <f>_xll.EQNXTDZ($A$1,$B104,Q$1,$B$1)</f>
        <v>141.20599999999999</v>
      </c>
      <c r="R104" s="55">
        <f>_xll.EQNXTDZ($A$1,$B104,R$1,$B$1)</f>
        <v>141.21</v>
      </c>
      <c r="S104" s="55">
        <f>_xll.EQNXTDZ($A$1,$B104,S$1,$B$1)</f>
        <v>141.20599999999999</v>
      </c>
      <c r="T104" s="55">
        <f>_xll.EQNXTDZ($A$1,$B104,T$1,$B$1)</f>
        <v>141.20599999999999</v>
      </c>
      <c r="U104" s="55">
        <f>_xll.EQNXTDZ($A$1,$B104,U$1,$B$1)</f>
        <v>141.20599999999999</v>
      </c>
      <c r="V104" s="55">
        <f>_xll.EQNXTDZ($A$1,$B104,V$1,$B$1)</f>
        <v>148.87899999999999</v>
      </c>
      <c r="W104" s="55">
        <f>_xll.EQNXTDZ($A$1,$B104,W$1,$B$1)</f>
        <v>149.119</v>
      </c>
      <c r="X104" s="55">
        <f>_xll.EQNXTDZ($A$1,$B104,X$1,$B$1)</f>
        <v>149.44300000000001</v>
      </c>
      <c r="Y104" s="55">
        <f>_xll.EQNXTDZ($A$1,$B104,Y$1,$B$1)</f>
        <v>149.76499999999999</v>
      </c>
      <c r="Z104" s="55">
        <f>_xll.EQNXTDZ($A$1,$B104,Z$1,$B$1)</f>
        <v>150.23599999999999</v>
      </c>
      <c r="AA104" s="55">
        <f>_xll.EQNXTDZ($A$1,$B104,AA$1,$B$1)</f>
        <v>150.42599999999999</v>
      </c>
      <c r="AB104" s="55">
        <f>_xll.EQNXTDZ($A$1,$B104,AB$1,$B$1)</f>
        <v>150.55099999999999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741.9</v>
      </c>
      <c r="W106" s="55">
        <f>_xll.EQNXTDZ($A$1,$B106,W$1,$B$1)</f>
        <v>1380.15</v>
      </c>
      <c r="X106" s="55">
        <f>_xll.EQNXTDZ($A$1,$B106,X$1,$B$1)</f>
        <v>2365.15</v>
      </c>
      <c r="Y106" s="55">
        <f>_xll.EQNXTDZ($A$1,$B106,Y$1,$B$1)</f>
        <v>2878.5</v>
      </c>
      <c r="Z106" s="55">
        <f>_xll.EQNXTDZ($A$1,$B106,Z$1,$B$1)</f>
        <v>5066.3</v>
      </c>
      <c r="AA106" s="55">
        <f>_xll.EQNXTDZ($A$1,$B106,AA$1,$B$1)</f>
        <v>5148.3500000000004</v>
      </c>
      <c r="AB106" s="55">
        <f>_xll.EQNXTDZ($A$1,$B106,AB$1,$B$1)</f>
        <v>6841.05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1180</v>
      </c>
      <c r="W107" s="55">
        <f>_xll.EQNXTDZ($A$1,$B107,W$1,$B$1)</f>
        <v>1444</v>
      </c>
      <c r="X107" s="55">
        <f>_xll.EQNXTDZ($A$1,$B107,X$1,$B$1)</f>
        <v>2770.85</v>
      </c>
      <c r="Y107" s="55">
        <f>_xll.EQNXTDZ($A$1,$B107,Y$1,$B$1)</f>
        <v>3142</v>
      </c>
      <c r="Z107" s="55">
        <f>_xll.EQNXTDZ($A$1,$B107,Z$1,$B$1)</f>
        <v>5722.9</v>
      </c>
      <c r="AA107" s="55">
        <f>_xll.EQNXTDZ($A$1,$B107,AA$1,$B$1)</f>
        <v>7607.15</v>
      </c>
      <c r="AB107" s="55">
        <f>_xll.EQNXTDZ($A$1,$B107,AB$1,$B$1)</f>
        <v>8724.35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525.04999999999995</v>
      </c>
      <c r="W108" s="55">
        <f>_xll.EQNXTDZ($A$1,$B108,W$1,$B$1)</f>
        <v>624.1</v>
      </c>
      <c r="X108" s="55">
        <f>_xll.EQNXTDZ($A$1,$B108,X$1,$B$1)</f>
        <v>1322.3</v>
      </c>
      <c r="Y108" s="55">
        <f>_xll.EQNXTDZ($A$1,$B108,Y$1,$B$1)</f>
        <v>2045</v>
      </c>
      <c r="Z108" s="55">
        <f>_xll.EQNXTDZ($A$1,$B108,Z$1,$B$1)</f>
        <v>2880.1</v>
      </c>
      <c r="AA108" s="55">
        <f>_xll.EQNXTDZ($A$1,$B108,AA$1,$B$1)</f>
        <v>4557.45</v>
      </c>
      <c r="AB108" s="55">
        <f>_xll.EQNXTDZ($A$1,$B108,AB$1,$B$1)</f>
        <v>4574.55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11045.33301</v>
      </c>
      <c r="W109" s="55">
        <f>_xll.EQNXTDZ($A$1,$B109,W$1,$B$1)</f>
        <v>20580.658785</v>
      </c>
      <c r="X109" s="55">
        <f>_xll.EQNXTDZ($A$1,$B109,X$1,$B$1)</f>
        <v>35345.511144999997</v>
      </c>
      <c r="Y109" s="55">
        <f>_xll.EQNXTDZ($A$1,$B109,Y$1,$B$1)</f>
        <v>43109.855250000001</v>
      </c>
      <c r="Z109" s="55">
        <f>_xll.EQNXTDZ($A$1,$B109,Z$1,$B$1)</f>
        <v>76114.064679999996</v>
      </c>
      <c r="AA109" s="55">
        <f>_xll.EQNXTDZ($A$1,$B109,AA$1,$B$1)</f>
        <v>77444.569709999996</v>
      </c>
      <c r="AB109" s="55">
        <f>_xll.EQNXTDZ($A$1,$B109,AB$1,$B$1)</f>
        <v>102992.691855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1.25</v>
      </c>
      <c r="K110" s="55">
        <f>_xll.EQNXTDZ($A$1,$B110,K$1,$B$1)</f>
        <v>0.5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0.5</v>
      </c>
      <c r="O110" s="55">
        <f>_xll.EQNXTDZ($A$1,$B110,O$1,$B$1)</f>
        <v>0.5</v>
      </c>
      <c r="P110" s="55">
        <f>_xll.EQNXTDZ($A$1,$B110,P$1,$B$1)</f>
        <v>0.5</v>
      </c>
      <c r="Q110" s="55">
        <f>_xll.EQNXTDZ($A$1,$B110,Q$1,$B$1)</f>
        <v>1.5</v>
      </c>
      <c r="R110" s="55">
        <f>_xll.EQNXTDZ($A$1,$B110,R$1,$B$1)</f>
        <v>1.75</v>
      </c>
      <c r="S110" s="55">
        <f>_xll.EQNXTDZ($A$1,$B110,S$1,$B$1)</f>
        <v>1</v>
      </c>
      <c r="T110" s="55">
        <f>_xll.EQNXTDZ($A$1,$B110,T$1,$B$1)</f>
        <v>1</v>
      </c>
      <c r="U110" s="55">
        <f>_xll.EQNXTDZ($A$1,$B110,U$1,$B$1)</f>
        <v>3</v>
      </c>
      <c r="V110" s="55">
        <f>_xll.EQNXTDZ($A$1,$B110,V$1,$B$1)</f>
        <v>7</v>
      </c>
      <c r="W110" s="55">
        <f>_xll.EQNXTDZ($A$1,$B110,W$1,$B$1)</f>
        <v>10</v>
      </c>
      <c r="X110" s="55">
        <f>_xll.EQNXTDZ($A$1,$B110,X$1,$B$1)</f>
        <v>14</v>
      </c>
      <c r="Y110" s="55">
        <f>_xll.EQNXTDZ($A$1,$B110,Y$1,$B$1)</f>
        <v>20</v>
      </c>
      <c r="Z110" s="55">
        <f>_xll.EQNXTDZ($A$1,$B110,Z$1,$B$1)</f>
        <v>30</v>
      </c>
      <c r="AA110" s="55">
        <f>_xll.EQNXTDZ($A$1,$B110,AA$1,$B$1)</f>
        <v>35</v>
      </c>
      <c r="AB110" s="55">
        <f>_xll.EQNXTDZ($A$1,$B110,AB$1,$B$1)</f>
        <v>47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15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68.58</v>
      </c>
      <c r="W112" s="56">
        <f>_xll.EQNXTDZ($A$1,$B112,W$5)</f>
        <v>68.42</v>
      </c>
      <c r="X112" s="56">
        <f>_xll.EQNXTDZ($A$1,$B112,X$5)</f>
        <v>68.08</v>
      </c>
      <c r="Y112" s="56">
        <f>_xll.EQNXTDZ($A$1,$B112,Y$5)</f>
        <v>66.2</v>
      </c>
      <c r="Z112" s="56">
        <f>_xll.EQNXTDZ($A$1,$B112,Z$5)</f>
        <v>65.239999999999995</v>
      </c>
      <c r="AA112" s="56">
        <f>_xll.EQNXTDZ($A$1,$B112,AA$5)</f>
        <v>63.04</v>
      </c>
      <c r="AB112" s="56">
        <f>_xll.EQNXTDZ($A$1,$B112,AB$5)</f>
        <v>61.5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211337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633</v>
      </c>
      <c r="CH6" cm="1">
        <f t="array" ref="CH6">_xll.EQNXTDZ($A$1,$B6,CH$1)</f>
        <v>638.9</v>
      </c>
      <c r="CI6" cm="1">
        <f t="array" ref="CI6">_xll.EQNXTDZ($A$1,$B6,CI$1)</f>
        <v>614</v>
      </c>
      <c r="CJ6" cm="1">
        <f t="array" ref="CJ6">_xll.EQNXTDZ($A$1,$B6,CJ$1)</f>
        <v>626.4</v>
      </c>
      <c r="CK6" cm="1">
        <f t="array" ref="CK6">_xll.EQNXTDZ($A$1,$B6,CK$1)</f>
        <v>563</v>
      </c>
      <c r="CL6" cm="1">
        <f t="array" ref="CL6">_xll.EQNXTDZ($A$1,$B6,CL$1)</f>
        <v>610</v>
      </c>
      <c r="CM6" cm="1">
        <f t="array" ref="CM6">_xll.EQNXTDZ($A$1,$B6,CM$1)</f>
        <v>684.7</v>
      </c>
      <c r="CN6" cm="1">
        <f t="array" ref="CN6">_xll.EQNXTDZ($A$1,$B6,CN$1)</f>
        <v>857.65</v>
      </c>
      <c r="CO6" cm="1">
        <f t="array" ref="CO6">_xll.EQNXTDZ($A$1,$B6,CO$1)</f>
        <v>924.25</v>
      </c>
      <c r="CP6" cm="1">
        <f t="array" ref="CP6">_xll.EQNXTDZ($A$1,$B6,CP$1)</f>
        <v>988.15</v>
      </c>
      <c r="CQ6" cm="1">
        <f t="array" ref="CQ6">_xll.EQNXTDZ($A$1,$B6,CQ$1)</f>
        <v>984.8</v>
      </c>
      <c r="CR6" cm="1">
        <f t="array" ref="CR6">_xll.EQNXTDZ($A$1,$B6,CR$1)</f>
        <v>1090</v>
      </c>
      <c r="CS6" cm="1">
        <f t="array" ref="CS6">_xll.EQNXTDZ($A$1,$B6,CS$1)</f>
        <v>745</v>
      </c>
      <c r="CT6" cm="1">
        <f t="array" ref="CT6">_xll.EQNXTDZ($A$1,$B6,CT$1)</f>
        <v>705</v>
      </c>
      <c r="CU6" cm="1">
        <f t="array" ref="CU6">_xll.EQNXTDZ($A$1,$B6,CU$1)</f>
        <v>694</v>
      </c>
      <c r="CV6" cm="1">
        <f t="array" ref="CV6">_xll.EQNXTDZ($A$1,$B6,CV$1)</f>
        <v>790.9</v>
      </c>
      <c r="CW6" cm="1">
        <f t="array" ref="CW6">_xll.EQNXTDZ($A$1,$B6,CW$1)</f>
        <v>820</v>
      </c>
      <c r="CX6" cm="1">
        <f t="array" ref="CX6">_xll.EQNXTDZ($A$1,$B6,CX$1)</f>
        <v>892.85</v>
      </c>
      <c r="CY6" cm="1">
        <f t="array" ref="CY6">_xll.EQNXTDZ($A$1,$B6,CY$1)</f>
        <v>828.9</v>
      </c>
      <c r="CZ6" cm="1">
        <f t="array" ref="CZ6">_xll.EQNXTDZ($A$1,$B6,CZ$1)</f>
        <v>920</v>
      </c>
      <c r="DA6" cm="1">
        <f t="array" ref="DA6">_xll.EQNXTDZ($A$1,$B6,DA$1)</f>
        <v>963.5</v>
      </c>
      <c r="DB6" cm="1">
        <f t="array" ref="DB6">_xll.EQNXTDZ($A$1,$B6,DB$1)</f>
        <v>1038.8</v>
      </c>
      <c r="DC6" cm="1">
        <f t="array" ref="DC6">_xll.EQNXTDZ($A$1,$B6,DC$1)</f>
        <v>1238.3499999999999</v>
      </c>
      <c r="DD6" cm="1">
        <f t="array" ref="DD6">_xll.EQNXTDZ($A$1,$B6,DD$1)</f>
        <v>1360</v>
      </c>
      <c r="DE6" cm="1">
        <f t="array" ref="DE6">_xll.EQNXTDZ($A$1,$B6,DE$1)</f>
        <v>1394</v>
      </c>
      <c r="DF6" cm="1">
        <f t="array" ref="DF6">_xll.EQNXTDZ($A$1,$B6,DF$1)</f>
        <v>1460</v>
      </c>
      <c r="DG6" cm="1">
        <f t="array" ref="DG6">_xll.EQNXTDZ($A$1,$B6,DG$1)</f>
        <v>1680</v>
      </c>
      <c r="DH6" cm="1">
        <f t="array" ref="DH6">_xll.EQNXTDZ($A$1,$B6,DH$1)</f>
        <v>1980</v>
      </c>
      <c r="DI6" cm="1">
        <f t="array" ref="DI6">_xll.EQNXTDZ($A$1,$B6,DI$1)</f>
        <v>1869.95</v>
      </c>
      <c r="DJ6" cm="1">
        <f t="array" ref="DJ6">_xll.EQNXTDZ($A$1,$B6,DJ$1)</f>
        <v>2086.0500000000002</v>
      </c>
      <c r="DK6" cm="1">
        <f t="array" ref="DK6">_xll.EQNXTDZ($A$1,$B6,DK$1)</f>
        <v>2387</v>
      </c>
      <c r="DL6" cm="1">
        <f t="array" ref="DL6">_xll.EQNXTDZ($A$1,$B6,DL$1)</f>
        <v>2280</v>
      </c>
      <c r="DM6" cm="1">
        <f t="array" ref="DM6">_xll.EQNXTDZ($A$1,$B6,DM$1)</f>
        <v>2324</v>
      </c>
      <c r="DN6" cm="1">
        <f t="array" ref="DN6">_xll.EQNXTDZ($A$1,$B6,DN$1)</f>
        <v>2470</v>
      </c>
      <c r="DO6" cm="1">
        <f t="array" ref="DO6">_xll.EQNXTDZ($A$1,$B6,DO$1)</f>
        <v>2549.9</v>
      </c>
      <c r="DP6" cm="1">
        <f t="array" ref="DP6">_xll.EQNXTDZ($A$1,$B6,DP$1)</f>
        <v>2350</v>
      </c>
      <c r="DQ6" cm="1">
        <f t="array" ref="DQ6">_xll.EQNXTDZ($A$1,$B6,DQ$1)</f>
        <v>2355</v>
      </c>
      <c r="DR6" cm="1">
        <f t="array" ref="DR6">_xll.EQNXTDZ($A$1,$B6,DR$1)</f>
        <v>2480</v>
      </c>
      <c r="DS6" cm="1">
        <f t="array" ref="DS6">_xll.EQNXTDZ($A$1,$B6,DS$1)</f>
        <v>2449.9499999999998</v>
      </c>
      <c r="DT6" cm="1">
        <f t="array" ref="DT6">_xll.EQNXTDZ($A$1,$B6,DT$1)</f>
        <v>2202.5</v>
      </c>
      <c r="DU6" cm="1">
        <f t="array" ref="DU6">_xll.EQNXTDZ($A$1,$B6,DU$1)</f>
        <v>2336</v>
      </c>
      <c r="DV6" cm="1">
        <f t="array" ref="DV6">_xll.EQNXTDZ($A$1,$B6,DV$1)</f>
        <v>2462.9499999999998</v>
      </c>
      <c r="DW6" cm="1">
        <f t="array" ref="DW6">_xll.EQNXTDZ($A$1,$B6,DW$1)</f>
        <v>2550</v>
      </c>
      <c r="DX6" cm="1">
        <f t="array" ref="DX6">_xll.EQNXTDZ($A$1,$B6,DX$1)</f>
        <v>2782.3</v>
      </c>
      <c r="DY6" cm="1">
        <f t="array" ref="DY6">_xll.EQNXTDZ($A$1,$B6,DY$1)</f>
        <v>2573.9</v>
      </c>
      <c r="DZ6" cm="1">
        <f t="array" ref="DZ6">_xll.EQNXTDZ($A$1,$B6,DZ$1)</f>
        <v>2570.1999999999998</v>
      </c>
      <c r="EA6" cm="1">
        <f t="array" ref="EA6">_xll.EQNXTDZ($A$1,$B6,EA$1)</f>
        <v>2949</v>
      </c>
      <c r="EB6" cm="1">
        <f t="array" ref="EB6">_xll.EQNXTDZ($A$1,$B6,EB$1)</f>
        <v>3084</v>
      </c>
      <c r="EC6" cm="1">
        <f t="array" ref="EC6">_xll.EQNXTDZ($A$1,$B6,EC$1)</f>
        <v>2903.4</v>
      </c>
      <c r="ED6" cm="1">
        <f t="array" ref="ED6">_xll.EQNXTDZ($A$1,$B6,ED$1)</f>
        <v>3209</v>
      </c>
      <c r="EE6" cm="1">
        <f t="array" ref="EE6">_xll.EQNXTDZ($A$1,$B6,EE$1)</f>
        <v>3450</v>
      </c>
      <c r="EF6" cm="1">
        <f t="array" ref="EF6">_xll.EQNXTDZ($A$1,$B6,EF$1)</f>
        <v>3579.9</v>
      </c>
      <c r="EG6" cm="1">
        <f t="array" ref="EG6">_xll.EQNXTDZ($A$1,$B6,EG$1)</f>
        <v>4844.95</v>
      </c>
      <c r="EH6" cm="1">
        <f t="array" ref="EH6">_xll.EQNXTDZ($A$1,$B6,EH$1)</f>
        <v>5139.75</v>
      </c>
      <c r="EI6" cm="1">
        <f t="array" ref="EI6">_xll.EQNXTDZ($A$1,$B6,EI$1)</f>
        <v>5325</v>
      </c>
      <c r="EJ6" cm="1">
        <f t="array" ref="EJ6">_xll.EQNXTDZ($A$1,$B6,EJ$1)</f>
        <v>4922.1000000000004</v>
      </c>
      <c r="EK6" cm="1">
        <f t="array" ref="EK6">_xll.EQNXTDZ($A$1,$B6,EK$1)</f>
        <v>5344</v>
      </c>
      <c r="EL6" cm="1">
        <f t="array" ref="EL6">_xll.EQNXTDZ($A$1,$B6,EL$1)</f>
        <v>5500</v>
      </c>
      <c r="EM6" cm="1">
        <f t="array" ref="EM6">_xll.EQNXTDZ($A$1,$B6,EM$1)</f>
        <v>4350</v>
      </c>
      <c r="EN6" cm="1">
        <f t="array" ref="EN6">_xll.EQNXTDZ($A$1,$B6,EN$1)</f>
        <v>4780</v>
      </c>
      <c r="EO6" cm="1">
        <f t="array" ref="EO6">_xll.EQNXTDZ($A$1,$B6,EO$1)</f>
        <v>5073</v>
      </c>
      <c r="EP6" cm="1">
        <f t="array" ref="EP6">_xll.EQNXTDZ($A$1,$B6,EP$1)</f>
        <v>5700</v>
      </c>
      <c r="EQ6" cm="1">
        <f t="array" ref="EQ6">_xll.EQNXTDZ($A$1,$B6,EQ$1)</f>
        <v>7000</v>
      </c>
      <c r="ER6" cm="1">
        <f t="array" ref="ER6">_xll.EQNXTDZ($A$1,$B6,ER$1)</f>
        <v>6750</v>
      </c>
      <c r="ES6" cm="1">
        <f t="array" ref="ES6">_xll.EQNXTDZ($A$1,$B6,ES$1)</f>
        <v>6900</v>
      </c>
      <c r="ET6" cm="1">
        <f t="array" ref="ET6">_xll.EQNXTDZ($A$1,$B6,ET$1)</f>
        <v>6839.95</v>
      </c>
      <c r="EU6" cm="1">
        <f t="array" ref="EU6">_xll.EQNXTDZ($A$1,$B6,EU$1)</f>
        <v>6987.95</v>
      </c>
      <c r="EV6" cm="1">
        <f t="array" ref="EV6">_xll.EQNXTDZ($A$1,$B6,EV$1)</f>
        <v>6500</v>
      </c>
      <c r="EW6" cm="1">
        <f t="array" ref="EW6">_xll.EQNXTDZ($A$1,$B6,EW$1)</f>
        <v>7308</v>
      </c>
      <c r="EX6" cm="1">
        <f t="array" ref="EX6">_xll.EQNXTDZ($A$1,$B6,EX$1)</f>
        <v>7285</v>
      </c>
      <c r="EY6" cm="1">
        <f t="array" ref="EY6">_xll.EQNXTDZ($A$1,$B6,EY$1)</f>
        <v>6080.95</v>
      </c>
      <c r="EZ6" cm="1">
        <f t="array" ref="EZ6">_xll.EQNXTDZ($A$1,$B6,EZ$1)</f>
        <v>4830.75</v>
      </c>
      <c r="FA6" cm="1">
        <f t="array" ref="FA6">_xll.EQNXTDZ($A$1,$B6,FA$1)</f>
        <v>5091</v>
      </c>
      <c r="FB6" cm="1">
        <f t="array" ref="FB6">_xll.EQNXTDZ($A$1,$B6,FB$1)</f>
        <v>5499</v>
      </c>
      <c r="FC6" cm="1">
        <f t="array" ref="FC6">_xll.EQNXTDZ($A$1,$B6,FC$1)</f>
        <v>5982</v>
      </c>
      <c r="FD6" cm="1">
        <f t="array" ref="FD6">_xll.EQNXTDZ($A$1,$B6,FD$1)</f>
        <v>6560.5</v>
      </c>
      <c r="FE6" cm="1">
        <f t="array" ref="FE6">_xll.EQNXTDZ($A$1,$B6,FE$1)</f>
        <v>6820.5</v>
      </c>
      <c r="FF6" cm="1">
        <f t="array" ref="FF6">_xll.EQNXTDZ($A$1,$B6,FF$1)</f>
        <v>7126.5</v>
      </c>
      <c r="FG6" cm="1">
        <f t="array" ref="FG6">_xll.EQNXTDZ($A$1,$B6,FG$1)</f>
        <v>7334</v>
      </c>
      <c r="FH6" cm="1">
        <f t="array" ref="FH6">_xll.EQNXTDZ($A$1,$B6,FH$1)</f>
        <v>7704</v>
      </c>
      <c r="FI6" cm="1">
        <f t="array" ref="FI6">_xll.EQNXTDZ($A$1,$B6,FI$1)</f>
        <v>7478</v>
      </c>
      <c r="FJ6" cm="1">
        <f t="array" ref="FJ6">_xll.EQNXTDZ($A$1,$B6,FJ$1)</f>
        <v>7615</v>
      </c>
      <c r="FK6" cm="1">
        <f t="array" ref="FK6">_xll.EQNXTDZ($A$1,$B6,FK$1)</f>
        <v>7050</v>
      </c>
      <c r="FL6" cm="1">
        <f t="array" ref="FL6">_xll.EQNXTDZ($A$1,$B6,FL$1)</f>
        <v>8400</v>
      </c>
      <c r="FM6" cm="1">
        <f t="array" ref="FM6">_xll.EQNXTDZ($A$1,$B6,FM$1)</f>
        <v>7148.5</v>
      </c>
      <c r="FN6" cm="1">
        <f t="array" ref="FN6">_xll.EQNXTDZ($A$1,$B6,FN$1)</f>
        <v>8110.5</v>
      </c>
      <c r="FO6" cm="1">
        <f t="array" ref="FO6">_xll.EQNXTDZ($A$1,$B6,FO$1)</f>
        <v>9501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667.8</v>
      </c>
      <c r="CH7" s="116" cm="1">
        <f t="array" ref="CH7">_xll.EQNXTDZ($A$1,$B7,CH$1)</f>
        <v>677.7</v>
      </c>
      <c r="CI7" s="116" cm="1">
        <f t="array" ref="CI7">_xll.EQNXTDZ($A$1,$B7,CI$1)</f>
        <v>624.9</v>
      </c>
      <c r="CJ7" s="116" cm="1">
        <f t="array" ref="CJ7">_xll.EQNXTDZ($A$1,$B7,CJ$1)</f>
        <v>654.79999999999995</v>
      </c>
      <c r="CK7" s="116" cm="1">
        <f t="array" ref="CK7">_xll.EQNXTDZ($A$1,$B7,CK$1)</f>
        <v>620</v>
      </c>
      <c r="CL7" s="116" cm="1">
        <f t="array" ref="CL7">_xll.EQNXTDZ($A$1,$B7,CL$1)</f>
        <v>710.95</v>
      </c>
      <c r="CM7" s="116" cm="1">
        <f t="array" ref="CM7">_xll.EQNXTDZ($A$1,$B7,CM$1)</f>
        <v>888.8</v>
      </c>
      <c r="CN7" s="116" cm="1">
        <f t="array" ref="CN7">_xll.EQNXTDZ($A$1,$B7,CN$1)</f>
        <v>956</v>
      </c>
      <c r="CO7" s="116" cm="1">
        <f t="array" ref="CO7">_xll.EQNXTDZ($A$1,$B7,CO$1)</f>
        <v>1091.7</v>
      </c>
      <c r="CP7" s="116" cm="1">
        <f t="array" ref="CP7">_xll.EQNXTDZ($A$1,$B7,CP$1)</f>
        <v>1147</v>
      </c>
      <c r="CQ7" s="116" cm="1">
        <f t="array" ref="CQ7">_xll.EQNXTDZ($A$1,$B7,CQ$1)</f>
        <v>1182</v>
      </c>
      <c r="CR7" s="116" cm="1">
        <f t="array" ref="CR7">_xll.EQNXTDZ($A$1,$B7,CR$1)</f>
        <v>1120</v>
      </c>
      <c r="CS7" s="116" cm="1">
        <f t="array" ref="CS7">_xll.EQNXTDZ($A$1,$B7,CS$1)</f>
        <v>793</v>
      </c>
      <c r="CT7" s="116" cm="1">
        <f t="array" ref="CT7">_xll.EQNXTDZ($A$1,$B7,CT$1)</f>
        <v>731</v>
      </c>
      <c r="CU7" s="116" cm="1">
        <f t="array" ref="CU7">_xll.EQNXTDZ($A$1,$B7,CU$1)</f>
        <v>839.85</v>
      </c>
      <c r="CV7" s="116" cm="1">
        <f t="array" ref="CV7">_xll.EQNXTDZ($A$1,$B7,CV$1)</f>
        <v>885</v>
      </c>
      <c r="CW7" s="116" cm="1">
        <f t="array" ref="CW7">_xll.EQNXTDZ($A$1,$B7,CW$1)</f>
        <v>939</v>
      </c>
      <c r="CX7" s="116" cm="1">
        <f t="array" ref="CX7">_xll.EQNXTDZ($A$1,$B7,CX$1)</f>
        <v>910</v>
      </c>
      <c r="CY7" s="116" cm="1">
        <f t="array" ref="CY7">_xll.EQNXTDZ($A$1,$B7,CY$1)</f>
        <v>975.75</v>
      </c>
      <c r="CZ7" s="116" cm="1">
        <f t="array" ref="CZ7">_xll.EQNXTDZ($A$1,$B7,CZ$1)</f>
        <v>975.6</v>
      </c>
      <c r="DA7" s="116" cm="1">
        <f t="array" ref="DA7">_xll.EQNXTDZ($A$1,$B7,DA$1)</f>
        <v>1069.8</v>
      </c>
      <c r="DB7" s="116" cm="1">
        <f t="array" ref="DB7">_xll.EQNXTDZ($A$1,$B7,DB$1)</f>
        <v>1324.95</v>
      </c>
      <c r="DC7" s="116" cm="1">
        <f t="array" ref="DC7">_xll.EQNXTDZ($A$1,$B7,DC$1)</f>
        <v>1387.95</v>
      </c>
      <c r="DD7" s="116" cm="1">
        <f t="array" ref="DD7">_xll.EQNXTDZ($A$1,$B7,DD$1)</f>
        <v>1444.4</v>
      </c>
      <c r="DE7" s="116" cm="1">
        <f t="array" ref="DE7">_xll.EQNXTDZ($A$1,$B7,DE$1)</f>
        <v>1585</v>
      </c>
      <c r="DF7" s="116" cm="1">
        <f t="array" ref="DF7">_xll.EQNXTDZ($A$1,$B7,DF$1)</f>
        <v>1700</v>
      </c>
      <c r="DG7" s="116" cm="1">
        <f t="array" ref="DG7">_xll.EQNXTDZ($A$1,$B7,DG$1)</f>
        <v>2008.3</v>
      </c>
      <c r="DH7" s="116" cm="1">
        <f t="array" ref="DH7">_xll.EQNXTDZ($A$1,$B7,DH$1)</f>
        <v>2033</v>
      </c>
      <c r="DI7" s="116" cm="1">
        <f t="array" ref="DI7">_xll.EQNXTDZ($A$1,$B7,DI$1)</f>
        <v>2124.3000000000002</v>
      </c>
      <c r="DJ7" s="116" cm="1">
        <f t="array" ref="DJ7">_xll.EQNXTDZ($A$1,$B7,DJ$1)</f>
        <v>2627</v>
      </c>
      <c r="DK7" s="116" cm="1">
        <f t="array" ref="DK7">_xll.EQNXTDZ($A$1,$B7,DK$1)</f>
        <v>2648</v>
      </c>
      <c r="DL7" s="116" cm="1">
        <f t="array" ref="DL7">_xll.EQNXTDZ($A$1,$B7,DL$1)</f>
        <v>2543.85</v>
      </c>
      <c r="DM7" s="116" cm="1">
        <f t="array" ref="DM7">_xll.EQNXTDZ($A$1,$B7,DM$1)</f>
        <v>2609.25</v>
      </c>
      <c r="DN7" s="116" cm="1">
        <f t="array" ref="DN7">_xll.EQNXTDZ($A$1,$B7,DN$1)</f>
        <v>2771.75</v>
      </c>
      <c r="DO7" s="116" cm="1">
        <f t="array" ref="DO7">_xll.EQNXTDZ($A$1,$B7,DO$1)</f>
        <v>2584.9499999999998</v>
      </c>
      <c r="DP7" s="116" cm="1">
        <f t="array" ref="DP7">_xll.EQNXTDZ($A$1,$B7,DP$1)</f>
        <v>2498</v>
      </c>
      <c r="DQ7" s="116" cm="1">
        <f t="array" ref="DQ7">_xll.EQNXTDZ($A$1,$B7,DQ$1)</f>
        <v>2820</v>
      </c>
      <c r="DR7" s="116" cm="1">
        <f t="array" ref="DR7">_xll.EQNXTDZ($A$1,$B7,DR$1)</f>
        <v>2629.9</v>
      </c>
      <c r="DS7" s="116" cm="1">
        <f t="array" ref="DS7">_xll.EQNXTDZ($A$1,$B7,DS$1)</f>
        <v>2570.6999999999998</v>
      </c>
      <c r="DT7" s="116" cm="1">
        <f t="array" ref="DT7">_xll.EQNXTDZ($A$1,$B7,DT$1)</f>
        <v>2336</v>
      </c>
      <c r="DU7" s="116" cm="1">
        <f t="array" ref="DU7">_xll.EQNXTDZ($A$1,$B7,DU$1)</f>
        <v>2502.9499999999998</v>
      </c>
      <c r="DV7" s="116" cm="1">
        <f t="array" ref="DV7">_xll.EQNXTDZ($A$1,$B7,DV$1)</f>
        <v>2719.75</v>
      </c>
      <c r="DW7" s="116" cm="1">
        <f t="array" ref="DW7">_xll.EQNXTDZ($A$1,$B7,DW$1)</f>
        <v>2862.5</v>
      </c>
      <c r="DX7" s="116" cm="1">
        <f t="array" ref="DX7">_xll.EQNXTDZ($A$1,$B7,DX$1)</f>
        <v>2846.4</v>
      </c>
      <c r="DY7" s="116" cm="1">
        <f t="array" ref="DY7">_xll.EQNXTDZ($A$1,$B7,DY$1)</f>
        <v>3025</v>
      </c>
      <c r="DZ7" s="116" cm="1">
        <f t="array" ref="DZ7">_xll.EQNXTDZ($A$1,$B7,DZ$1)</f>
        <v>2934.65</v>
      </c>
      <c r="EA7" s="116" cm="1">
        <f t="array" ref="EA7">_xll.EQNXTDZ($A$1,$B7,EA$1)</f>
        <v>3143.4</v>
      </c>
      <c r="EB7" s="116" cm="1">
        <f t="array" ref="EB7">_xll.EQNXTDZ($A$1,$B7,EB$1)</f>
        <v>3142</v>
      </c>
      <c r="EC7" s="116" cm="1">
        <f t="array" ref="EC7">_xll.EQNXTDZ($A$1,$B7,EC$1)</f>
        <v>3213</v>
      </c>
      <c r="ED7" s="116" cm="1">
        <f t="array" ref="ED7">_xll.EQNXTDZ($A$1,$B7,ED$1)</f>
        <v>3516</v>
      </c>
      <c r="EE7" s="116" cm="1">
        <f t="array" ref="EE7">_xll.EQNXTDZ($A$1,$B7,EE$1)</f>
        <v>3637.95</v>
      </c>
      <c r="EF7" s="116" cm="1">
        <f t="array" ref="EF7">_xll.EQNXTDZ($A$1,$B7,EF$1)</f>
        <v>4924</v>
      </c>
      <c r="EG7" s="116" cm="1">
        <f t="array" ref="EG7">_xll.EQNXTDZ($A$1,$B7,EG$1)</f>
        <v>5166</v>
      </c>
      <c r="EH7" s="116" cm="1">
        <f t="array" ref="EH7">_xll.EQNXTDZ($A$1,$B7,EH$1)</f>
        <v>5398</v>
      </c>
      <c r="EI7" s="116" cm="1">
        <f t="array" ref="EI7">_xll.EQNXTDZ($A$1,$B7,EI$1)</f>
        <v>5493.65</v>
      </c>
      <c r="EJ7" s="116" cm="1">
        <f t="array" ref="EJ7">_xll.EQNXTDZ($A$1,$B7,EJ$1)</f>
        <v>5433</v>
      </c>
      <c r="EK7" s="116" cm="1">
        <f t="array" ref="EK7">_xll.EQNXTDZ($A$1,$B7,EK$1)</f>
        <v>5733</v>
      </c>
      <c r="EL7" s="116" cm="1">
        <f t="array" ref="EL7">_xll.EQNXTDZ($A$1,$B7,EL$1)</f>
        <v>5530.45</v>
      </c>
      <c r="EM7" s="116" cm="1">
        <f t="array" ref="EM7">_xll.EQNXTDZ($A$1,$B7,EM$1)</f>
        <v>4867.6000000000004</v>
      </c>
      <c r="EN7" s="116" cm="1">
        <f t="array" ref="EN7">_xll.EQNXTDZ($A$1,$B7,EN$1)</f>
        <v>5136.3</v>
      </c>
      <c r="EO7" s="116" cm="1">
        <f t="array" ref="EO7">_xll.EQNXTDZ($A$1,$B7,EO$1)</f>
        <v>5789</v>
      </c>
      <c r="EP7" s="116" cm="1">
        <f t="array" ref="EP7">_xll.EQNXTDZ($A$1,$B7,EP$1)</f>
        <v>6900</v>
      </c>
      <c r="EQ7" s="116" cm="1">
        <f t="array" ref="EQ7">_xll.EQNXTDZ($A$1,$B7,EQ$1)</f>
        <v>7331.45</v>
      </c>
      <c r="ER7" s="116" cm="1">
        <f t="array" ref="ER7">_xll.EQNXTDZ($A$1,$B7,ER$1)</f>
        <v>6882</v>
      </c>
      <c r="ES7" s="116" cm="1">
        <f t="array" ref="ES7">_xll.EQNXTDZ($A$1,$B7,ES$1)</f>
        <v>6906</v>
      </c>
      <c r="ET7" s="116" cm="1">
        <f t="array" ref="ET7">_xll.EQNXTDZ($A$1,$B7,ET$1)</f>
        <v>7119</v>
      </c>
      <c r="EU7" s="116" cm="1">
        <f t="array" ref="EU7">_xll.EQNXTDZ($A$1,$B7,EU$1)</f>
        <v>7605</v>
      </c>
      <c r="EV7" s="116" cm="1">
        <f t="array" ref="EV7">_xll.EQNXTDZ($A$1,$B7,EV$1)</f>
        <v>7320</v>
      </c>
      <c r="EW7" s="116" cm="1">
        <f t="array" ref="EW7">_xll.EQNXTDZ($A$1,$B7,EW$1)</f>
        <v>7595</v>
      </c>
      <c r="EX7" s="116" cm="1">
        <f t="array" ref="EX7">_xll.EQNXTDZ($A$1,$B7,EX$1)</f>
        <v>7440</v>
      </c>
      <c r="EY7" s="116" cm="1">
        <f t="array" ref="EY7">_xll.EQNXTDZ($A$1,$B7,EY$1)</f>
        <v>6092.25</v>
      </c>
      <c r="EZ7" s="116" cm="1">
        <f t="array" ref="EZ7">_xll.EQNXTDZ($A$1,$B7,EZ$1)</f>
        <v>5456.1</v>
      </c>
      <c r="FA7" s="116" cm="1">
        <f t="array" ref="FA7">_xll.EQNXTDZ($A$1,$B7,FA$1)</f>
        <v>5694</v>
      </c>
      <c r="FB7" s="116" cm="1">
        <f t="array" ref="FB7">_xll.EQNXTDZ($A$1,$B7,FB$1)</f>
        <v>6167</v>
      </c>
      <c r="FC7" s="116" cm="1">
        <f t="array" ref="FC7">_xll.EQNXTDZ($A$1,$B7,FC$1)</f>
        <v>6586</v>
      </c>
      <c r="FD7" s="116" cm="1">
        <f t="array" ref="FD7">_xll.EQNXTDZ($A$1,$B7,FD$1)</f>
        <v>7080</v>
      </c>
      <c r="FE7" s="116" cm="1">
        <f t="array" ref="FE7">_xll.EQNXTDZ($A$1,$B7,FE$1)</f>
        <v>7208</v>
      </c>
      <c r="FF7" s="116" cm="1">
        <f t="array" ref="FF7">_xll.EQNXTDZ($A$1,$B7,FF$1)</f>
        <v>7714</v>
      </c>
      <c r="FG7" s="116" cm="1">
        <f t="array" ref="FG7">_xll.EQNXTDZ($A$1,$B7,FG$1)</f>
        <v>7903</v>
      </c>
      <c r="FH7" s="116" cm="1">
        <f t="array" ref="FH7">_xll.EQNXTDZ($A$1,$B7,FH$1)</f>
        <v>7816</v>
      </c>
      <c r="FI7" s="116" cm="1">
        <f t="array" ref="FI7">_xll.EQNXTDZ($A$1,$B7,FI$1)</f>
        <v>7680.5</v>
      </c>
      <c r="FJ7" s="116" cm="1">
        <f t="array" ref="FJ7">_xll.EQNXTDZ($A$1,$B7,FJ$1)</f>
        <v>7948</v>
      </c>
      <c r="FK7" s="116" cm="1">
        <f t="array" ref="FK7">_xll.EQNXTDZ($A$1,$B7,FK$1)</f>
        <v>8722</v>
      </c>
      <c r="FL7" s="116" cm="1">
        <f t="array" ref="FL7">_xll.EQNXTDZ($A$1,$B7,FL$1)</f>
        <v>8696.5</v>
      </c>
      <c r="FM7" s="116" cm="1">
        <f t="array" ref="FM7">_xll.EQNXTDZ($A$1,$B7,FM$1)</f>
        <v>8338.5</v>
      </c>
      <c r="FN7" s="116" cm="1">
        <f t="array" ref="FN7">_xll.EQNXTDZ($A$1,$B7,FN$1)</f>
        <v>9747</v>
      </c>
      <c r="FO7" s="116" cm="1">
        <f t="array" ref="FO7">_xll.EQNXTDZ($A$1,$B7,FO$1)</f>
        <v>9833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677.7</v>
      </c>
      <c r="IR7" s="116">
        <f>+MAX(CJ7:CL7)</f>
        <v>710.95</v>
      </c>
      <c r="IS7" s="116">
        <f>+MAX(CM7:CO7)</f>
        <v>1091.7</v>
      </c>
      <c r="IT7" s="116">
        <f>+MAX(CP7:CR7)</f>
        <v>1182</v>
      </c>
      <c r="IU7" s="116">
        <f>+MAX(CS7:CU7)</f>
        <v>839.85</v>
      </c>
      <c r="IV7" s="116">
        <f>+MAX(CV7:CX7)</f>
        <v>939</v>
      </c>
      <c r="IW7" s="116">
        <f>+MAX(CY7:DA7)</f>
        <v>1069.8</v>
      </c>
      <c r="IX7" s="116">
        <f>+MAX(DB7:DD7)</f>
        <v>1444.4</v>
      </c>
      <c r="IY7" s="116">
        <f>+MAX(DE7:DG7)</f>
        <v>2008.3</v>
      </c>
      <c r="IZ7" s="116">
        <f>+MAX(DH7:DJ7)</f>
        <v>2627</v>
      </c>
      <c r="JA7" s="116">
        <f>+MAX(DK7:DM7)</f>
        <v>2648</v>
      </c>
      <c r="JB7" s="116">
        <f>+MAX(DN7:DP7)</f>
        <v>2771.75</v>
      </c>
      <c r="JC7" s="116">
        <f>+MAX(DQ7:DS7)</f>
        <v>2820</v>
      </c>
      <c r="JD7" s="116">
        <f>+MAX(DT7:DV7)</f>
        <v>2719.75</v>
      </c>
      <c r="JE7" s="116">
        <f>+MAX(DW7:DY7)</f>
        <v>3025</v>
      </c>
      <c r="JF7" s="116">
        <f>+MAX(DZ7:EB7)</f>
        <v>3143.4</v>
      </c>
      <c r="JG7" s="116">
        <f>+MAX(EC7:EE7)</f>
        <v>3637.95</v>
      </c>
      <c r="JH7" s="116">
        <f>+MAX(EF7:EH7)</f>
        <v>5398</v>
      </c>
      <c r="JI7" s="116">
        <f>+MAX(EI7:EK7)</f>
        <v>5733</v>
      </c>
      <c r="JJ7" s="116">
        <f>+MAX(EL7:EN7)</f>
        <v>5530.45</v>
      </c>
      <c r="JK7" s="116">
        <f>MAX(EO7:EQ7)</f>
        <v>7331.45</v>
      </c>
      <c r="JL7" s="116">
        <f>MAX(ER7:ET7)</f>
        <v>7119</v>
      </c>
      <c r="JM7" s="116">
        <f>MAX(EU7:EW7)</f>
        <v>7605</v>
      </c>
      <c r="JN7" s="116">
        <f>MAX(EX7:EZ7)</f>
        <v>7440</v>
      </c>
      <c r="JO7" s="116">
        <f>MAX(FA7:FC7)</f>
        <v>6586</v>
      </c>
      <c r="JP7" s="116">
        <f>MAX(FD7:FF7)</f>
        <v>7714</v>
      </c>
      <c r="JQ7" s="116">
        <f>MAX(FG7:FI7)</f>
        <v>7903</v>
      </c>
      <c r="JR7" s="116">
        <f>MAX(FJ7:FL7)</f>
        <v>8722</v>
      </c>
      <c r="JS7" s="116">
        <f>MAX(FM7:FO7)</f>
        <v>9833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614</v>
      </c>
      <c r="CH8" s="116" cm="1">
        <f t="array" ref="CH8">_xll.EQNXTDZ($A$1,$B8,CH$1)</f>
        <v>583.29999999999995</v>
      </c>
      <c r="CI8" s="116" cm="1">
        <f t="array" ref="CI8">_xll.EQNXTDZ($A$1,$B8,CI$1)</f>
        <v>578</v>
      </c>
      <c r="CJ8" s="116" cm="1">
        <f t="array" ref="CJ8">_xll.EQNXTDZ($A$1,$B8,CJ$1)</f>
        <v>548.6</v>
      </c>
      <c r="CK8" s="116" cm="1">
        <f t="array" ref="CK8">_xll.EQNXTDZ($A$1,$B8,CK$1)</f>
        <v>525.15</v>
      </c>
      <c r="CL8" s="116" cm="1">
        <f t="array" ref="CL8">_xll.EQNXTDZ($A$1,$B8,CL$1)</f>
        <v>583</v>
      </c>
      <c r="CM8" s="116" cm="1">
        <f t="array" ref="CM8">_xll.EQNXTDZ($A$1,$B8,CM$1)</f>
        <v>656</v>
      </c>
      <c r="CN8" s="116" cm="1">
        <f t="array" ref="CN8">_xll.EQNXTDZ($A$1,$B8,CN$1)</f>
        <v>836.05</v>
      </c>
      <c r="CO8" s="116" cm="1">
        <f t="array" ref="CO8">_xll.EQNXTDZ($A$1,$B8,CO$1)</f>
        <v>918.55</v>
      </c>
      <c r="CP8" s="116" cm="1">
        <f t="array" ref="CP8">_xll.EQNXTDZ($A$1,$B8,CP$1)</f>
        <v>950</v>
      </c>
      <c r="CQ8" s="116" cm="1">
        <f t="array" ref="CQ8">_xll.EQNXTDZ($A$1,$B8,CQ$1)</f>
        <v>950</v>
      </c>
      <c r="CR8" s="116" cm="1">
        <f t="array" ref="CR8">_xll.EQNXTDZ($A$1,$B8,CR$1)</f>
        <v>570</v>
      </c>
      <c r="CS8" s="116" cm="1">
        <f t="array" ref="CS8">_xll.EQNXTDZ($A$1,$B8,CS$1)</f>
        <v>685.15</v>
      </c>
      <c r="CT8" s="116" cm="1">
        <f t="array" ref="CT8">_xll.EQNXTDZ($A$1,$B8,CT$1)</f>
        <v>623.95000000000005</v>
      </c>
      <c r="CU8" s="116" cm="1">
        <f t="array" ref="CU8">_xll.EQNXTDZ($A$1,$B8,CU$1)</f>
        <v>693.95</v>
      </c>
      <c r="CV8" s="116" cm="1">
        <f t="array" ref="CV8">_xll.EQNXTDZ($A$1,$B8,CV$1)</f>
        <v>790.9</v>
      </c>
      <c r="CW8" s="116" cm="1">
        <f t="array" ref="CW8">_xll.EQNXTDZ($A$1,$B8,CW$1)</f>
        <v>815</v>
      </c>
      <c r="CX8" s="116" cm="1">
        <f t="array" ref="CX8">_xll.EQNXTDZ($A$1,$B8,CX$1)</f>
        <v>798</v>
      </c>
      <c r="CY8" s="116" cm="1">
        <f t="array" ref="CY8">_xll.EQNXTDZ($A$1,$B8,CY$1)</f>
        <v>800.9</v>
      </c>
      <c r="CZ8" s="116" cm="1">
        <f t="array" ref="CZ8">_xll.EQNXTDZ($A$1,$B8,CZ$1)</f>
        <v>905</v>
      </c>
      <c r="DA8" s="116" cm="1">
        <f t="array" ref="DA8">_xll.EQNXTDZ($A$1,$B8,DA$1)</f>
        <v>853.8</v>
      </c>
      <c r="DB8" s="116" cm="1">
        <f t="array" ref="DB8">_xll.EQNXTDZ($A$1,$B8,DB$1)</f>
        <v>1031</v>
      </c>
      <c r="DC8" s="116" cm="1">
        <f t="array" ref="DC8">_xll.EQNXTDZ($A$1,$B8,DC$1)</f>
        <v>1202.5</v>
      </c>
      <c r="DD8" s="116" cm="1">
        <f t="array" ref="DD8">_xll.EQNXTDZ($A$1,$B8,DD$1)</f>
        <v>1126.0999999999999</v>
      </c>
      <c r="DE8" s="116" cm="1">
        <f t="array" ref="DE8">_xll.EQNXTDZ($A$1,$B8,DE$1)</f>
        <v>1323.2</v>
      </c>
      <c r="DF8" s="116" cm="1">
        <f t="array" ref="DF8">_xll.EQNXTDZ($A$1,$B8,DF$1)</f>
        <v>1425.45</v>
      </c>
      <c r="DG8" s="116" cm="1">
        <f t="array" ref="DG8">_xll.EQNXTDZ($A$1,$B8,DG$1)</f>
        <v>1671</v>
      </c>
      <c r="DH8" s="116" cm="1">
        <f t="array" ref="DH8">_xll.EQNXTDZ($A$1,$B8,DH$1)</f>
        <v>1762</v>
      </c>
      <c r="DI8" s="116" cm="1">
        <f t="array" ref="DI8">_xll.EQNXTDZ($A$1,$B8,DI$1)</f>
        <v>1795</v>
      </c>
      <c r="DJ8" s="116" cm="1">
        <f t="array" ref="DJ8">_xll.EQNXTDZ($A$1,$B8,DJ$1)</f>
        <v>2030.35</v>
      </c>
      <c r="DK8" s="116" cm="1">
        <f t="array" ref="DK8">_xll.EQNXTDZ($A$1,$B8,DK$1)</f>
        <v>2121.1</v>
      </c>
      <c r="DL8" s="116" cm="1">
        <f t="array" ref="DL8">_xll.EQNXTDZ($A$1,$B8,DL$1)</f>
        <v>2142</v>
      </c>
      <c r="DM8" s="116" cm="1">
        <f t="array" ref="DM8">_xll.EQNXTDZ($A$1,$B8,DM$1)</f>
        <v>2207.1999999999998</v>
      </c>
      <c r="DN8" s="116" cm="1">
        <f t="array" ref="DN8">_xll.EQNXTDZ($A$1,$B8,DN$1)</f>
        <v>2377.3000000000002</v>
      </c>
      <c r="DO8" s="116" cm="1">
        <f t="array" ref="DO8">_xll.EQNXTDZ($A$1,$B8,DO$1)</f>
        <v>2253</v>
      </c>
      <c r="DP8" s="116" cm="1">
        <f t="array" ref="DP8">_xll.EQNXTDZ($A$1,$B8,DP$1)</f>
        <v>2162</v>
      </c>
      <c r="DQ8" s="116" cm="1">
        <f t="array" ref="DQ8">_xll.EQNXTDZ($A$1,$B8,DQ$1)</f>
        <v>2355</v>
      </c>
      <c r="DR8" s="116" cm="1">
        <f t="array" ref="DR8">_xll.EQNXTDZ($A$1,$B8,DR$1)</f>
        <v>2365</v>
      </c>
      <c r="DS8" s="116" cm="1">
        <f t="array" ref="DS8">_xll.EQNXTDZ($A$1,$B8,DS$1)</f>
        <v>2043.85</v>
      </c>
      <c r="DT8" s="116" cm="1">
        <f t="array" ref="DT8">_xll.EQNXTDZ($A$1,$B8,DT$1)</f>
        <v>2104</v>
      </c>
      <c r="DU8" s="116" cm="1">
        <f t="array" ref="DU8">_xll.EQNXTDZ($A$1,$B8,DU$1)</f>
        <v>2288.35</v>
      </c>
      <c r="DV8" s="116" cm="1">
        <f t="array" ref="DV8">_xll.EQNXTDZ($A$1,$B8,DV$1)</f>
        <v>2441.1</v>
      </c>
      <c r="DW8" s="116" cm="1">
        <f t="array" ref="DW8">_xll.EQNXTDZ($A$1,$B8,DW$1)</f>
        <v>2531</v>
      </c>
      <c r="DX8" s="116" cm="1">
        <f t="array" ref="DX8">_xll.EQNXTDZ($A$1,$B8,DX$1)</f>
        <v>2500</v>
      </c>
      <c r="DY8" s="116" cm="1">
        <f t="array" ref="DY8">_xll.EQNXTDZ($A$1,$B8,DY$1)</f>
        <v>2500.25</v>
      </c>
      <c r="DZ8" s="116" cm="1">
        <f t="array" ref="DZ8">_xll.EQNXTDZ($A$1,$B8,DZ$1)</f>
        <v>2546.0500000000002</v>
      </c>
      <c r="EA8" s="116" cm="1">
        <f t="array" ref="EA8">_xll.EQNXTDZ($A$1,$B8,EA$1)</f>
        <v>2904.75</v>
      </c>
      <c r="EB8" s="116" cm="1">
        <f t="array" ref="EB8">_xll.EQNXTDZ($A$1,$B8,EB$1)</f>
        <v>2753.9</v>
      </c>
      <c r="EC8" s="116" cm="1">
        <f t="array" ref="EC8">_xll.EQNXTDZ($A$1,$B8,EC$1)</f>
        <v>2900</v>
      </c>
      <c r="ED8" s="116" cm="1">
        <f t="array" ref="ED8">_xll.EQNXTDZ($A$1,$B8,ED$1)</f>
        <v>3172.15</v>
      </c>
      <c r="EE8" s="116" cm="1">
        <f t="array" ref="EE8">_xll.EQNXTDZ($A$1,$B8,EE$1)</f>
        <v>3379.75</v>
      </c>
      <c r="EF8" s="116" cm="1">
        <f t="array" ref="EF8">_xll.EQNXTDZ($A$1,$B8,EF$1)</f>
        <v>3491</v>
      </c>
      <c r="EG8" s="116" cm="1">
        <f t="array" ref="EG8">_xll.EQNXTDZ($A$1,$B8,EG$1)</f>
        <v>4490.75</v>
      </c>
      <c r="EH8" s="116" cm="1">
        <f t="array" ref="EH8">_xll.EQNXTDZ($A$1,$B8,EH$1)</f>
        <v>4849.45</v>
      </c>
      <c r="EI8" s="116" cm="1">
        <f t="array" ref="EI8">_xll.EQNXTDZ($A$1,$B8,EI$1)</f>
        <v>4811.1000000000004</v>
      </c>
      <c r="EJ8" s="116" cm="1">
        <f t="array" ref="EJ8">_xll.EQNXTDZ($A$1,$B8,EJ$1)</f>
        <v>4890.8</v>
      </c>
      <c r="EK8" s="116" cm="1">
        <f t="array" ref="EK8">_xll.EQNXTDZ($A$1,$B8,EK$1)</f>
        <v>5226.1000000000004</v>
      </c>
      <c r="EL8" s="116" cm="1">
        <f t="array" ref="EL8">_xll.EQNXTDZ($A$1,$B8,EL$1)</f>
        <v>3801</v>
      </c>
      <c r="EM8" s="116" cm="1">
        <f t="array" ref="EM8">_xll.EQNXTDZ($A$1,$B8,EM$1)</f>
        <v>4236</v>
      </c>
      <c r="EN8" s="116" cm="1">
        <f t="array" ref="EN8">_xll.EQNXTDZ($A$1,$B8,EN$1)</f>
        <v>4635.05</v>
      </c>
      <c r="EO8" s="116" cm="1">
        <f t="array" ref="EO8">_xll.EQNXTDZ($A$1,$B8,EO$1)</f>
        <v>5073</v>
      </c>
      <c r="EP8" s="116" cm="1">
        <f t="array" ref="EP8">_xll.EQNXTDZ($A$1,$B8,EP$1)</f>
        <v>5680</v>
      </c>
      <c r="EQ8" s="116" cm="1">
        <f t="array" ref="EQ8">_xll.EQNXTDZ($A$1,$B8,EQ$1)</f>
        <v>6137</v>
      </c>
      <c r="ER8" s="116" cm="1">
        <f t="array" ref="ER8">_xll.EQNXTDZ($A$1,$B8,ER$1)</f>
        <v>5930.05</v>
      </c>
      <c r="ES8" s="116" cm="1">
        <f t="array" ref="ES8">_xll.EQNXTDZ($A$1,$B8,ES$1)</f>
        <v>6308.75</v>
      </c>
      <c r="ET8" s="116" cm="1">
        <f t="array" ref="ET8">_xll.EQNXTDZ($A$1,$B8,ET$1)</f>
        <v>6425.55</v>
      </c>
      <c r="EU8" s="116" cm="1">
        <f t="array" ref="EU8">_xll.EQNXTDZ($A$1,$B8,EU$1)</f>
        <v>6308</v>
      </c>
      <c r="EV8" s="116" cm="1">
        <f t="array" ref="EV8">_xll.EQNXTDZ($A$1,$B8,EV$1)</f>
        <v>6257.5</v>
      </c>
      <c r="EW8" s="116" cm="1">
        <f t="array" ref="EW8">_xll.EQNXTDZ($A$1,$B8,EW$1)</f>
        <v>7022</v>
      </c>
      <c r="EX8" s="116" cm="1">
        <f t="array" ref="EX8">_xll.EQNXTDZ($A$1,$B8,EX$1)</f>
        <v>5485.95</v>
      </c>
      <c r="EY8" s="116" cm="1">
        <f t="array" ref="EY8">_xll.EQNXTDZ($A$1,$B8,EY$1)</f>
        <v>4555</v>
      </c>
      <c r="EZ8" s="116" cm="1">
        <f t="array" ref="EZ8">_xll.EQNXTDZ($A$1,$B8,EZ$1)</f>
        <v>4581.05</v>
      </c>
      <c r="FA8" s="116" cm="1">
        <f t="array" ref="FA8">_xll.EQNXTDZ($A$1,$B8,FA$1)</f>
        <v>4567</v>
      </c>
      <c r="FB8" s="116" cm="1">
        <f t="array" ref="FB8">_xll.EQNXTDZ($A$1,$B8,FB$1)</f>
        <v>5445.5</v>
      </c>
      <c r="FC8" s="116" cm="1">
        <f t="array" ref="FC8">_xll.EQNXTDZ($A$1,$B8,FC$1)</f>
        <v>5760</v>
      </c>
      <c r="FD8" s="116" cm="1">
        <f t="array" ref="FD8">_xll.EQNXTDZ($A$1,$B8,FD$1)</f>
        <v>6560</v>
      </c>
      <c r="FE8" s="116" cm="1">
        <f t="array" ref="FE8">_xll.EQNXTDZ($A$1,$B8,FE$1)</f>
        <v>6620</v>
      </c>
      <c r="FF8" s="116" cm="1">
        <f t="array" ref="FF8">_xll.EQNXTDZ($A$1,$B8,FF$1)</f>
        <v>7059</v>
      </c>
      <c r="FG8" s="116" cm="1">
        <f t="array" ref="FG8">_xll.EQNXTDZ($A$1,$B8,FG$1)</f>
        <v>7239.5</v>
      </c>
      <c r="FH8" s="116" cm="1">
        <f t="array" ref="FH8">_xll.EQNXTDZ($A$1,$B8,FH$1)</f>
        <v>7384</v>
      </c>
      <c r="FI8" s="116" cm="1">
        <f t="array" ref="FI8">_xll.EQNXTDZ($A$1,$B8,FI$1)</f>
        <v>6932</v>
      </c>
      <c r="FJ8" s="116" cm="1">
        <f t="array" ref="FJ8">_xll.EQNXTDZ($A$1,$B8,FJ$1)</f>
        <v>6663</v>
      </c>
      <c r="FK8" s="116" cm="1">
        <f t="array" ref="FK8">_xll.EQNXTDZ($A$1,$B8,FK$1)</f>
        <v>6733</v>
      </c>
      <c r="FL8" s="116" cm="1">
        <f t="array" ref="FL8">_xll.EQNXTDZ($A$1,$B8,FL$1)</f>
        <v>6750</v>
      </c>
      <c r="FM8" s="116" cm="1">
        <f t="array" ref="FM8">_xll.EQNXTDZ($A$1,$B8,FM$1)</f>
        <v>6690.5</v>
      </c>
      <c r="FN8" s="116" cm="1">
        <f t="array" ref="FN8">_xll.EQNXTDZ($A$1,$B8,FN$1)</f>
        <v>8062.5</v>
      </c>
      <c r="FO8" s="116" cm="1">
        <f t="array" ref="FO8">_xll.EQNXTDZ($A$1,$B8,FO$1)</f>
        <v>9320.5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578</v>
      </c>
      <c r="IR8" s="116">
        <f>+MIN(CJ8:CL8)</f>
        <v>525.15</v>
      </c>
      <c r="IS8" s="116">
        <f>+MIN(CM8:CO8)</f>
        <v>656</v>
      </c>
      <c r="IT8" s="116">
        <f>+MIN(CP8:CR8)</f>
        <v>570</v>
      </c>
      <c r="IU8" s="116">
        <f>+MIN(CS8:CU8)</f>
        <v>623.95000000000005</v>
      </c>
      <c r="IV8" s="116">
        <f>+MIN(CV8:CX8)</f>
        <v>790.9</v>
      </c>
      <c r="IW8" s="116">
        <f>+MIN(CY8:DA8)</f>
        <v>800.9</v>
      </c>
      <c r="IX8" s="116">
        <f>+MIN(DB8:DD8)</f>
        <v>1031</v>
      </c>
      <c r="IY8" s="116">
        <f>+MIN(DE8:DG8)</f>
        <v>1323.2</v>
      </c>
      <c r="IZ8" s="116">
        <f>+MIN(DH8:DJ8)</f>
        <v>1762</v>
      </c>
      <c r="JA8" s="116">
        <f>+MIN(DK8:DM8)</f>
        <v>2121.1</v>
      </c>
      <c r="JB8" s="116">
        <f>+MIN(DN8:DP8)</f>
        <v>2162</v>
      </c>
      <c r="JC8" s="116">
        <f>+MIN(DQ8:DS8)</f>
        <v>2043.85</v>
      </c>
      <c r="JD8" s="116">
        <f>+MIN(DT8:DV8)</f>
        <v>2104</v>
      </c>
      <c r="JE8" s="116">
        <f>+MIN(DW8:DY8)</f>
        <v>2500</v>
      </c>
      <c r="JF8" s="116">
        <f>+MIN(DZ8:EB8)</f>
        <v>2546.0500000000002</v>
      </c>
      <c r="JG8" s="116">
        <f>+MIN(EC8:EE8)</f>
        <v>2900</v>
      </c>
      <c r="JH8" s="116">
        <f>+MIN(EF8:EH8)</f>
        <v>3491</v>
      </c>
      <c r="JI8" s="116">
        <f>+MIN(EI8:EK8)</f>
        <v>4811.1000000000004</v>
      </c>
      <c r="JJ8" s="116">
        <f>+MIN(EL8:EN8)</f>
        <v>3801</v>
      </c>
      <c r="JK8" s="116">
        <f>MIN(EO8:EQ8)</f>
        <v>5073</v>
      </c>
      <c r="JL8" s="116">
        <f>MIN(ER8:ET8)</f>
        <v>5930.05</v>
      </c>
      <c r="JM8" s="116">
        <f>MIN(EU8:EW8)</f>
        <v>6257.5</v>
      </c>
      <c r="JN8" s="116">
        <f>MIN(EX8:EZ8)</f>
        <v>4555</v>
      </c>
      <c r="JO8" s="116">
        <f>MIN(FA8:FC8)</f>
        <v>4567</v>
      </c>
      <c r="JP8" s="116">
        <f>MIN(FD8:FF8)</f>
        <v>6560</v>
      </c>
      <c r="JQ8" s="116">
        <f>MIN(FG8:FI8)</f>
        <v>6932</v>
      </c>
      <c r="JR8" s="116">
        <f>MIN(FJ8:FL8)</f>
        <v>6663</v>
      </c>
      <c r="JS8" s="116">
        <f>MIN(FM8:FO8)</f>
        <v>6690.5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639.25</v>
      </c>
      <c r="CH9" s="116" cm="1">
        <f t="array" ref="CH9">_xll.EQNXTDZ($A$1,$B9,CH$1)</f>
        <v>610.85</v>
      </c>
      <c r="CI9" s="116" cm="1">
        <f t="array" ref="CI9">_xll.EQNXTDZ($A$1,$B9,CI$1)</f>
        <v>622.04999999999995</v>
      </c>
      <c r="CJ9" s="116" cm="1">
        <f t="array" ref="CJ9">_xll.EQNXTDZ($A$1,$B9,CJ$1)</f>
        <v>560.4</v>
      </c>
      <c r="CK9" s="116" cm="1">
        <f t="array" ref="CK9">_xll.EQNXTDZ($A$1,$B9,CK$1)</f>
        <v>614.75</v>
      </c>
      <c r="CL9" s="116" cm="1">
        <f t="array" ref="CL9">_xll.EQNXTDZ($A$1,$B9,CL$1)</f>
        <v>685.45</v>
      </c>
      <c r="CM9" s="116" cm="1">
        <f t="array" ref="CM9">_xll.EQNXTDZ($A$1,$B9,CM$1)</f>
        <v>855.5</v>
      </c>
      <c r="CN9" s="116" cm="1">
        <f t="array" ref="CN9">_xll.EQNXTDZ($A$1,$B9,CN$1)</f>
        <v>924.25</v>
      </c>
      <c r="CO9" s="116" cm="1">
        <f t="array" ref="CO9">_xll.EQNXTDZ($A$1,$B9,CO$1)</f>
        <v>992.25</v>
      </c>
      <c r="CP9" s="116" cm="1">
        <f t="array" ref="CP9">_xll.EQNXTDZ($A$1,$B9,CP$1)</f>
        <v>984.55</v>
      </c>
      <c r="CQ9" s="116" cm="1">
        <f t="array" ref="CQ9">_xll.EQNXTDZ($A$1,$B9,CQ$1)</f>
        <v>1062.7</v>
      </c>
      <c r="CR9" s="116" cm="1">
        <f t="array" ref="CR9">_xll.EQNXTDZ($A$1,$B9,CR$1)</f>
        <v>742.05</v>
      </c>
      <c r="CS9" s="116" cm="1">
        <f t="array" ref="CS9">_xll.EQNXTDZ($A$1,$B9,CS$1)</f>
        <v>723.6</v>
      </c>
      <c r="CT9" s="116" cm="1">
        <f t="array" ref="CT9">_xll.EQNXTDZ($A$1,$B9,CT$1)</f>
        <v>679.4</v>
      </c>
      <c r="CU9" s="116" cm="1">
        <f t="array" ref="CU9">_xll.EQNXTDZ($A$1,$B9,CU$1)</f>
        <v>789.3</v>
      </c>
      <c r="CV9" s="116" cm="1">
        <f t="array" ref="CV9">_xll.EQNXTDZ($A$1,$B9,CV$1)</f>
        <v>820.3</v>
      </c>
      <c r="CW9" s="116" cm="1">
        <f t="array" ref="CW9">_xll.EQNXTDZ($A$1,$B9,CW$1)</f>
        <v>892.85</v>
      </c>
      <c r="CX9" s="116" cm="1">
        <f t="array" ref="CX9">_xll.EQNXTDZ($A$1,$B9,CX$1)</f>
        <v>819.9</v>
      </c>
      <c r="CY9" s="116" cm="1">
        <f t="array" ref="CY9">_xll.EQNXTDZ($A$1,$B9,CY$1)</f>
        <v>920.7</v>
      </c>
      <c r="CZ9" s="116" cm="1">
        <f t="array" ref="CZ9">_xll.EQNXTDZ($A$1,$B9,CZ$1)</f>
        <v>958.4</v>
      </c>
      <c r="DA9" s="116" cm="1">
        <f t="array" ref="DA9">_xll.EQNXTDZ($A$1,$B9,DA$1)</f>
        <v>1036.8499999999999</v>
      </c>
      <c r="DB9" s="116" cm="1">
        <f t="array" ref="DB9">_xll.EQNXTDZ($A$1,$B9,DB$1)</f>
        <v>1222.9000000000001</v>
      </c>
      <c r="DC9" s="116" cm="1">
        <f t="array" ref="DC9">_xll.EQNXTDZ($A$1,$B9,DC$1)</f>
        <v>1337.1</v>
      </c>
      <c r="DD9" s="116" cm="1">
        <f t="array" ref="DD9">_xll.EQNXTDZ($A$1,$B9,DD$1)</f>
        <v>1379.55</v>
      </c>
      <c r="DE9" s="116" cm="1">
        <f t="array" ref="DE9">_xll.EQNXTDZ($A$1,$B9,DE$1)</f>
        <v>1467.05</v>
      </c>
      <c r="DF9" s="116" cm="1">
        <f t="array" ref="DF9">_xll.EQNXTDZ($A$1,$B9,DF$1)</f>
        <v>1674.25</v>
      </c>
      <c r="DG9" s="116" cm="1">
        <f t="array" ref="DG9">_xll.EQNXTDZ($A$1,$B9,DG$1)</f>
        <v>1975.05</v>
      </c>
      <c r="DH9" s="116" cm="1">
        <f t="array" ref="DH9">_xll.EQNXTDZ($A$1,$B9,DH$1)</f>
        <v>1850.65</v>
      </c>
      <c r="DI9" s="116" cm="1">
        <f t="array" ref="DI9">_xll.EQNXTDZ($A$1,$B9,DI$1)</f>
        <v>2067.5</v>
      </c>
      <c r="DJ9" s="116" cm="1">
        <f t="array" ref="DJ9">_xll.EQNXTDZ($A$1,$B9,DJ$1)</f>
        <v>2389</v>
      </c>
      <c r="DK9" s="116" cm="1">
        <f t="array" ref="DK9">_xll.EQNXTDZ($A$1,$B9,DK$1)</f>
        <v>2261.4</v>
      </c>
      <c r="DL9" s="116" cm="1">
        <f t="array" ref="DL9">_xll.EQNXTDZ($A$1,$B9,DL$1)</f>
        <v>2305.9499999999998</v>
      </c>
      <c r="DM9" s="116" cm="1">
        <f t="array" ref="DM9">_xll.EQNXTDZ($A$1,$B9,DM$1)</f>
        <v>2466.5</v>
      </c>
      <c r="DN9" s="116" cm="1">
        <f t="array" ref="DN9">_xll.EQNXTDZ($A$1,$B9,DN$1)</f>
        <v>2523.9</v>
      </c>
      <c r="DO9" s="116" cm="1">
        <f t="array" ref="DO9">_xll.EQNXTDZ($A$1,$B9,DO$1)</f>
        <v>2374.85</v>
      </c>
      <c r="DP9" s="116" cm="1">
        <f t="array" ref="DP9">_xll.EQNXTDZ($A$1,$B9,DP$1)</f>
        <v>2364.4</v>
      </c>
      <c r="DQ9" s="116" cm="1">
        <f t="array" ref="DQ9">_xll.EQNXTDZ($A$1,$B9,DQ$1)</f>
        <v>2486.15</v>
      </c>
      <c r="DR9" s="116" cm="1">
        <f t="array" ref="DR9">_xll.EQNXTDZ($A$1,$B9,DR$1)</f>
        <v>2441.8000000000002</v>
      </c>
      <c r="DS9" s="116" cm="1">
        <f t="array" ref="DS9">_xll.EQNXTDZ($A$1,$B9,DS$1)</f>
        <v>2201.1999999999998</v>
      </c>
      <c r="DT9" s="116" cm="1">
        <f t="array" ref="DT9">_xll.EQNXTDZ($A$1,$B9,DT$1)</f>
        <v>2317.4499999999998</v>
      </c>
      <c r="DU9" s="116" cm="1">
        <f t="array" ref="DU9">_xll.EQNXTDZ($A$1,$B9,DU$1)</f>
        <v>2470.15</v>
      </c>
      <c r="DV9" s="116" cm="1">
        <f t="array" ref="DV9">_xll.EQNXTDZ($A$1,$B9,DV$1)</f>
        <v>2560.75</v>
      </c>
      <c r="DW9" s="116" cm="1">
        <f t="array" ref="DW9">_xll.EQNXTDZ($A$1,$B9,DW$1)</f>
        <v>2777.45</v>
      </c>
      <c r="DX9" s="116" cm="1">
        <f t="array" ref="DX9">_xll.EQNXTDZ($A$1,$B9,DX$1)</f>
        <v>2565</v>
      </c>
      <c r="DY9" s="116" cm="1">
        <f t="array" ref="DY9">_xll.EQNXTDZ($A$1,$B9,DY$1)</f>
        <v>2569.1</v>
      </c>
      <c r="DZ9" s="116" cm="1">
        <f t="array" ref="DZ9">_xll.EQNXTDZ($A$1,$B9,DZ$1)</f>
        <v>2921.25</v>
      </c>
      <c r="EA9" s="116" cm="1">
        <f t="array" ref="EA9">_xll.EQNXTDZ($A$1,$B9,EA$1)</f>
        <v>3081.35</v>
      </c>
      <c r="EB9" s="116" cm="1">
        <f t="array" ref="EB9">_xll.EQNXTDZ($A$1,$B9,EB$1)</f>
        <v>2880.05</v>
      </c>
      <c r="EC9" s="116" cm="1">
        <f t="array" ref="EC9">_xll.EQNXTDZ($A$1,$B9,EC$1)</f>
        <v>3205.35</v>
      </c>
      <c r="ED9" s="116" cm="1">
        <f t="array" ref="ED9">_xll.EQNXTDZ($A$1,$B9,ED$1)</f>
        <v>3423.5</v>
      </c>
      <c r="EE9" s="116" cm="1">
        <f t="array" ref="EE9">_xll.EQNXTDZ($A$1,$B9,EE$1)</f>
        <v>3551.15</v>
      </c>
      <c r="EF9" s="116" cm="1">
        <f t="array" ref="EF9">_xll.EQNXTDZ($A$1,$B9,EF$1)</f>
        <v>4816.8</v>
      </c>
      <c r="EG9" s="116" cm="1">
        <f t="array" ref="EG9">_xll.EQNXTDZ($A$1,$B9,EG$1)</f>
        <v>5123.05</v>
      </c>
      <c r="EH9" s="116" cm="1">
        <f t="array" ref="EH9">_xll.EQNXTDZ($A$1,$B9,EH$1)</f>
        <v>5343.05</v>
      </c>
      <c r="EI9" s="116" cm="1">
        <f t="array" ref="EI9">_xll.EQNXTDZ($A$1,$B9,EI$1)</f>
        <v>4922.1000000000004</v>
      </c>
      <c r="EJ9" s="116" cm="1">
        <f t="array" ref="EJ9">_xll.EQNXTDZ($A$1,$B9,EJ$1)</f>
        <v>5267.9</v>
      </c>
      <c r="EK9" s="116" cm="1">
        <f t="array" ref="EK9">_xll.EQNXTDZ($A$1,$B9,EK$1)</f>
        <v>5484.85</v>
      </c>
      <c r="EL9" s="116" cm="1">
        <f t="array" ref="EL9">_xll.EQNXTDZ($A$1,$B9,EL$1)</f>
        <v>4343.1499999999996</v>
      </c>
      <c r="EM9" s="116" cm="1">
        <f t="array" ref="EM9">_xll.EQNXTDZ($A$1,$B9,EM$1)</f>
        <v>4749.8500000000004</v>
      </c>
      <c r="EN9" s="116" cm="1">
        <f t="array" ref="EN9">_xll.EQNXTDZ($A$1,$B9,EN$1)</f>
        <v>5065</v>
      </c>
      <c r="EO9" s="116" cm="1">
        <f t="array" ref="EO9">_xll.EQNXTDZ($A$1,$B9,EO$1)</f>
        <v>5666.55</v>
      </c>
      <c r="EP9" s="116" cm="1">
        <f t="array" ref="EP9">_xll.EQNXTDZ($A$1,$B9,EP$1)</f>
        <v>6741.65</v>
      </c>
      <c r="EQ9" s="116" cm="1">
        <f t="array" ref="EQ9">_xll.EQNXTDZ($A$1,$B9,EQ$1)</f>
        <v>6739.5</v>
      </c>
      <c r="ER9" s="116" cm="1">
        <f t="array" ref="ER9">_xll.EQNXTDZ($A$1,$B9,ER$1)</f>
        <v>6858.2</v>
      </c>
      <c r="ES9" s="116" cm="1">
        <f t="array" ref="ES9">_xll.EQNXTDZ($A$1,$B9,ES$1)</f>
        <v>6813.4</v>
      </c>
      <c r="ET9" s="116" cm="1">
        <f t="array" ref="ET9">_xll.EQNXTDZ($A$1,$B9,ET$1)</f>
        <v>6955.2</v>
      </c>
      <c r="EU9" s="116" cm="1">
        <f t="array" ref="EU9">_xll.EQNXTDZ($A$1,$B9,EU$1)</f>
        <v>6480.4</v>
      </c>
      <c r="EV9" s="116" cm="1">
        <f t="array" ref="EV9">_xll.EQNXTDZ($A$1,$B9,EV$1)</f>
        <v>7297.9</v>
      </c>
      <c r="EW9" s="116" cm="1">
        <f t="array" ref="EW9">_xll.EQNXTDZ($A$1,$B9,EW$1)</f>
        <v>7272.35</v>
      </c>
      <c r="EX9" s="116" cm="1">
        <f t="array" ref="EX9">_xll.EQNXTDZ($A$1,$B9,EX$1)</f>
        <v>6037.95</v>
      </c>
      <c r="EY9" s="116" cm="1">
        <f t="array" ref="EY9">_xll.EQNXTDZ($A$1,$B9,EY$1)</f>
        <v>4713.3999999999996</v>
      </c>
      <c r="EZ9" s="116" cm="1">
        <f t="array" ref="EZ9">_xll.EQNXTDZ($A$1,$B9,EZ$1)</f>
        <v>5147.95</v>
      </c>
      <c r="FA9" s="116" cm="1">
        <f t="array" ref="FA9">_xll.EQNXTDZ($A$1,$B9,FA$1)</f>
        <v>5520</v>
      </c>
      <c r="FB9" s="116" cm="1">
        <f t="array" ref="FB9">_xll.EQNXTDZ($A$1,$B9,FB$1)</f>
        <v>5991</v>
      </c>
      <c r="FC9" s="116" cm="1">
        <f t="array" ref="FC9">_xll.EQNXTDZ($A$1,$B9,FC$1)</f>
        <v>6551</v>
      </c>
      <c r="FD9" s="116" cm="1">
        <f t="array" ref="FD9">_xll.EQNXTDZ($A$1,$B9,FD$1)</f>
        <v>6821</v>
      </c>
      <c r="FE9" s="116" cm="1">
        <f t="array" ref="FE9">_xll.EQNXTDZ($A$1,$B9,FE$1)</f>
        <v>7091</v>
      </c>
      <c r="FF9" s="116" cm="1">
        <f t="array" ref="FF9">_xll.EQNXTDZ($A$1,$B9,FF$1)</f>
        <v>7286</v>
      </c>
      <c r="FG9" s="116" cm="1">
        <f t="array" ref="FG9">_xll.EQNXTDZ($A$1,$B9,FG$1)</f>
        <v>7704</v>
      </c>
      <c r="FH9" s="116" cm="1">
        <f t="array" ref="FH9">_xll.EQNXTDZ($A$1,$B9,FH$1)</f>
        <v>7470</v>
      </c>
      <c r="FI9" s="116" cm="1">
        <f t="array" ref="FI9">_xll.EQNXTDZ($A$1,$B9,FI$1)</f>
        <v>7619</v>
      </c>
      <c r="FJ9" s="116" cm="1">
        <f t="array" ref="FJ9">_xll.EQNXTDZ($A$1,$B9,FJ$1)</f>
        <v>7013.5</v>
      </c>
      <c r="FK9" s="116" cm="1">
        <f t="array" ref="FK9">_xll.EQNXTDZ($A$1,$B9,FK$1)</f>
        <v>8610.5</v>
      </c>
      <c r="FL9" s="116" cm="1">
        <f t="array" ref="FL9">_xll.EQNXTDZ($A$1,$B9,FL$1)</f>
        <v>6843.5</v>
      </c>
      <c r="FM9" s="116" cm="1">
        <f t="array" ref="FM9">_xll.EQNXTDZ($A$1,$B9,FM$1)</f>
        <v>8110.5</v>
      </c>
      <c r="FN9" s="116" cm="1">
        <f t="array" ref="FN9">_xll.EQNXTDZ($A$1,$B9,FN$1)</f>
        <v>9477.5</v>
      </c>
      <c r="FO9" s="116" cm="1">
        <f t="array" ref="FO9">_xll.EQNXTDZ($A$1,$B9,FO$1)</f>
        <v>9591.5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622.04999999999995</v>
      </c>
      <c r="IR9" s="116">
        <f>+CL9</f>
        <v>685.45</v>
      </c>
      <c r="IS9" s="116">
        <f>+CO9</f>
        <v>992.25</v>
      </c>
      <c r="IT9" s="116">
        <f>+CR9</f>
        <v>742.05</v>
      </c>
      <c r="IU9" s="116">
        <f>+CU9</f>
        <v>789.3</v>
      </c>
      <c r="IV9" s="116">
        <f>+CX9</f>
        <v>819.9</v>
      </c>
      <c r="IW9" s="116">
        <f>+DA9</f>
        <v>1036.8499999999999</v>
      </c>
      <c r="IX9" s="116">
        <f>+DD9</f>
        <v>1379.55</v>
      </c>
      <c r="IY9" s="116">
        <f>+DG9</f>
        <v>1975.05</v>
      </c>
      <c r="IZ9" s="116">
        <f>+DJ9</f>
        <v>2389</v>
      </c>
      <c r="JA9" s="116">
        <f>+DM9</f>
        <v>2466.5</v>
      </c>
      <c r="JB9" s="116">
        <f>+DP9</f>
        <v>2364.4</v>
      </c>
      <c r="JC9" s="116">
        <f>+DS9</f>
        <v>2201.1999999999998</v>
      </c>
      <c r="JD9" s="116">
        <f>+DV9</f>
        <v>2560.75</v>
      </c>
      <c r="JE9" s="116">
        <f>+DY9</f>
        <v>2569.1</v>
      </c>
      <c r="JF9" s="116">
        <f>+EB9</f>
        <v>2880.05</v>
      </c>
      <c r="JG9" s="116">
        <f>+EE9</f>
        <v>3551.15</v>
      </c>
      <c r="JH9" s="116">
        <f>+EH9</f>
        <v>5343.05</v>
      </c>
      <c r="JI9" s="116">
        <f>+EK9</f>
        <v>5484.85</v>
      </c>
      <c r="JJ9" s="116">
        <f>+EN9</f>
        <v>5065</v>
      </c>
      <c r="JK9" s="116">
        <f>EQ9</f>
        <v>6739.5</v>
      </c>
      <c r="JL9" s="116">
        <f>ET9</f>
        <v>6955.2</v>
      </c>
      <c r="JM9" s="116">
        <f>EW9</f>
        <v>7272.35</v>
      </c>
      <c r="JN9" s="116">
        <f>EZ9</f>
        <v>5147.95</v>
      </c>
      <c r="JO9" s="116">
        <f>FC9</f>
        <v>6551</v>
      </c>
      <c r="JP9" s="116">
        <f>FF9</f>
        <v>7286</v>
      </c>
      <c r="JQ9" s="116">
        <f>FI9</f>
        <v>7619</v>
      </c>
      <c r="JR9" s="116">
        <f>FL9</f>
        <v>6843.5</v>
      </c>
      <c r="JS9" s="116">
        <f>FO9</f>
        <v>9591.5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633</v>
      </c>
      <c r="CH13" cm="1">
        <f t="array" ref="CH13">_xll.EQNXTDZ($A$1,$B13,CH$1)</f>
        <v>640</v>
      </c>
      <c r="CI13" cm="1">
        <f t="array" ref="CI13">_xll.EQNXTDZ($A$1,$B13,CI$1)</f>
        <v>610</v>
      </c>
      <c r="CJ13" cm="1">
        <f t="array" ref="CJ13">_xll.EQNXTDZ($A$1,$B13,CJ$1)</f>
        <v>624</v>
      </c>
      <c r="CK13" cm="1">
        <f t="array" ref="CK13">_xll.EQNXTDZ($A$1,$B13,CK$1)</f>
        <v>578.79999999999995</v>
      </c>
      <c r="CL13" cm="1">
        <f t="array" ref="CL13">_xll.EQNXTDZ($A$1,$B13,CL$1)</f>
        <v>608</v>
      </c>
      <c r="CM13" cm="1">
        <f t="array" ref="CM13">_xll.EQNXTDZ($A$1,$B13,CM$1)</f>
        <v>683</v>
      </c>
      <c r="CN13" cm="1">
        <f t="array" ref="CN13">_xll.EQNXTDZ($A$1,$B13,CN$1)</f>
        <v>860</v>
      </c>
      <c r="CO13" cm="1">
        <f t="array" ref="CO13">_xll.EQNXTDZ($A$1,$B13,CO$1)</f>
        <v>934</v>
      </c>
      <c r="CP13" cm="1">
        <f t="array" ref="CP13">_xll.EQNXTDZ($A$1,$B13,CP$1)</f>
        <v>997</v>
      </c>
      <c r="CQ13" cm="1">
        <f t="array" ref="CQ13">_xll.EQNXTDZ($A$1,$B13,CQ$1)</f>
        <v>999.95</v>
      </c>
      <c r="CR13" cm="1">
        <f t="array" ref="CR13">_xll.EQNXTDZ($A$1,$B13,CR$1)</f>
        <v>1095</v>
      </c>
      <c r="CS13" cm="1">
        <f t="array" ref="CS13">_xll.EQNXTDZ($A$1,$B13,CS$1)</f>
        <v>740</v>
      </c>
      <c r="CT13" cm="1">
        <f t="array" ref="CT13">_xll.EQNXTDZ($A$1,$B13,CT$1)</f>
        <v>710</v>
      </c>
      <c r="CU13" cm="1">
        <f t="array" ref="CU13">_xll.EQNXTDZ($A$1,$B13,CU$1)</f>
        <v>697.7</v>
      </c>
      <c r="CV13" cm="1">
        <f t="array" ref="CV13">_xll.EQNXTDZ($A$1,$B13,CV$1)</f>
        <v>792</v>
      </c>
      <c r="CW13" cm="1">
        <f t="array" ref="CW13">_xll.EQNXTDZ($A$1,$B13,CW$1)</f>
        <v>823.85</v>
      </c>
      <c r="CX13" cm="1">
        <f t="array" ref="CX13">_xll.EQNXTDZ($A$1,$B13,CX$1)</f>
        <v>877</v>
      </c>
      <c r="CY13" cm="1">
        <f t="array" ref="CY13">_xll.EQNXTDZ($A$1,$B13,CY$1)</f>
        <v>820</v>
      </c>
      <c r="CZ13" cm="1">
        <f t="array" ref="CZ13">_xll.EQNXTDZ($A$1,$B13,CZ$1)</f>
        <v>932.95</v>
      </c>
      <c r="DA13" cm="1">
        <f t="array" ref="DA13">_xll.EQNXTDZ($A$1,$B13,DA$1)</f>
        <v>974.9</v>
      </c>
      <c r="DB13" cm="1">
        <f t="array" ref="DB13">_xll.EQNXTDZ($A$1,$B13,DB$1)</f>
        <v>1049.9000000000001</v>
      </c>
      <c r="DC13" cm="1">
        <f t="array" ref="DC13">_xll.EQNXTDZ($A$1,$B13,DC$1)</f>
        <v>1246</v>
      </c>
      <c r="DD13" cm="1">
        <f t="array" ref="DD13">_xll.EQNXTDZ($A$1,$B13,DD$1)</f>
        <v>1351.05</v>
      </c>
      <c r="DE13" cm="1">
        <f t="array" ref="DE13">_xll.EQNXTDZ($A$1,$B13,DE$1)</f>
        <v>1399</v>
      </c>
      <c r="DF13" cm="1">
        <f t="array" ref="DF13">_xll.EQNXTDZ($A$1,$B13,DF$1)</f>
        <v>1461.25</v>
      </c>
      <c r="DG13" cm="1">
        <f t="array" ref="DG13">_xll.EQNXTDZ($A$1,$B13,DG$1)</f>
        <v>1660</v>
      </c>
      <c r="DH13" cm="1">
        <f t="array" ref="DH13">_xll.EQNXTDZ($A$1,$B13,DH$1)</f>
        <v>1979</v>
      </c>
      <c r="DI13" cm="1">
        <f t="array" ref="DI13">_xll.EQNXTDZ($A$1,$B13,DI$1)</f>
        <v>1888.3</v>
      </c>
      <c r="DJ13" cm="1">
        <f t="array" ref="DJ13">_xll.EQNXTDZ($A$1,$B13,DJ$1)</f>
        <v>2072.15</v>
      </c>
      <c r="DK13" cm="1">
        <f t="array" ref="DK13">_xll.EQNXTDZ($A$1,$B13,DK$1)</f>
        <v>2389.8000000000002</v>
      </c>
      <c r="DL13" cm="1">
        <f t="array" ref="DL13">_xll.EQNXTDZ($A$1,$B13,DL$1)</f>
        <v>2275</v>
      </c>
      <c r="DM13" cm="1">
        <f t="array" ref="DM13">_xll.EQNXTDZ($A$1,$B13,DM$1)</f>
        <v>2318</v>
      </c>
      <c r="DN13" cm="1">
        <f t="array" ref="DN13">_xll.EQNXTDZ($A$1,$B13,DN$1)</f>
        <v>2487.3000000000002</v>
      </c>
      <c r="DO13" cm="1">
        <f t="array" ref="DO13">_xll.EQNXTDZ($A$1,$B13,DO$1)</f>
        <v>2550</v>
      </c>
      <c r="DP13" cm="1">
        <f t="array" ref="DP13">_xll.EQNXTDZ($A$1,$B13,DP$1)</f>
        <v>2352.6</v>
      </c>
      <c r="DQ13" cm="1">
        <f t="array" ref="DQ13">_xll.EQNXTDZ($A$1,$B13,DQ$1)</f>
        <v>2354.4</v>
      </c>
      <c r="DR13" cm="1">
        <f t="array" ref="DR13">_xll.EQNXTDZ($A$1,$B13,DR$1)</f>
        <v>2472.6</v>
      </c>
      <c r="DS13" cm="1">
        <f t="array" ref="DS13">_xll.EQNXTDZ($A$1,$B13,DS$1)</f>
        <v>2474.65</v>
      </c>
      <c r="DT13" cm="1">
        <f t="array" ref="DT13">_xll.EQNXTDZ($A$1,$B13,DT$1)</f>
        <v>2190</v>
      </c>
      <c r="DU13" cm="1">
        <f t="array" ref="DU13">_xll.EQNXTDZ($A$1,$B13,DU$1)</f>
        <v>2343.9499999999998</v>
      </c>
      <c r="DV13" cm="1">
        <f t="array" ref="DV13">_xll.EQNXTDZ($A$1,$B13,DV$1)</f>
        <v>2470</v>
      </c>
      <c r="DW13" cm="1">
        <f t="array" ref="DW13">_xll.EQNXTDZ($A$1,$B13,DW$1)</f>
        <v>2535.0500000000002</v>
      </c>
      <c r="DX13" cm="1">
        <f t="array" ref="DX13">_xll.EQNXTDZ($A$1,$B13,DX$1)</f>
        <v>2755.95</v>
      </c>
      <c r="DY13" cm="1">
        <f t="array" ref="DY13">_xll.EQNXTDZ($A$1,$B13,DY$1)</f>
        <v>2567.0500000000002</v>
      </c>
      <c r="DZ13" cm="1">
        <f t="array" ref="DZ13">_xll.EQNXTDZ($A$1,$B13,DZ$1)</f>
        <v>2562.0500000000002</v>
      </c>
      <c r="EA13" cm="1">
        <f t="array" ref="EA13">_xll.EQNXTDZ($A$1,$B13,EA$1)</f>
        <v>2935</v>
      </c>
      <c r="EB13" cm="1">
        <f t="array" ref="EB13">_xll.EQNXTDZ($A$1,$B13,EB$1)</f>
        <v>3080</v>
      </c>
      <c r="EC13" cm="1">
        <f t="array" ref="EC13">_xll.EQNXTDZ($A$1,$B13,EC$1)</f>
        <v>2880.1</v>
      </c>
      <c r="ED13" cm="1">
        <f t="array" ref="ED13">_xll.EQNXTDZ($A$1,$B13,ED$1)</f>
        <v>3205.35</v>
      </c>
      <c r="EE13" cm="1">
        <f t="array" ref="EE13">_xll.EQNXTDZ($A$1,$B13,EE$1)</f>
        <v>3435</v>
      </c>
      <c r="EF13" cm="1">
        <f t="array" ref="EF13">_xll.EQNXTDZ($A$1,$B13,EF$1)</f>
        <v>3594.95</v>
      </c>
      <c r="EG13" cm="1">
        <f t="array" ref="EG13">_xll.EQNXTDZ($A$1,$B13,EG$1)</f>
        <v>4830</v>
      </c>
      <c r="EH13" cm="1">
        <f t="array" ref="EH13">_xll.EQNXTDZ($A$1,$B13,EH$1)</f>
        <v>5149.95</v>
      </c>
      <c r="EI13" cm="1">
        <f t="array" ref="EI13">_xll.EQNXTDZ($A$1,$B13,EI$1)</f>
        <v>5349.95</v>
      </c>
      <c r="EJ13" cm="1">
        <f t="array" ref="EJ13">_xll.EQNXTDZ($A$1,$B13,EJ$1)</f>
        <v>4920</v>
      </c>
      <c r="EK13" cm="1">
        <f t="array" ref="EK13">_xll.EQNXTDZ($A$1,$B13,EK$1)</f>
        <v>5340</v>
      </c>
      <c r="EL13" cm="1">
        <f t="array" ref="EL13">_xll.EQNXTDZ($A$1,$B13,EL$1)</f>
        <v>5491.35</v>
      </c>
      <c r="EM13" cm="1">
        <f t="array" ref="EM13">_xll.EQNXTDZ($A$1,$B13,EM$1)</f>
        <v>4333.1499999999996</v>
      </c>
      <c r="EN13" cm="1">
        <f t="array" ref="EN13">_xll.EQNXTDZ($A$1,$B13,EN$1)</f>
        <v>4794.95</v>
      </c>
      <c r="EO13" cm="1">
        <f t="array" ref="EO13">_xll.EQNXTDZ($A$1,$B13,EO$1)</f>
        <v>5070</v>
      </c>
      <c r="EP13" cm="1">
        <f t="array" ref="EP13">_xll.EQNXTDZ($A$1,$B13,EP$1)</f>
        <v>5700</v>
      </c>
      <c r="EQ13" cm="1">
        <f t="array" ref="EQ13">_xll.EQNXTDZ($A$1,$B13,EQ$1)</f>
        <v>6920.05</v>
      </c>
      <c r="ER13" cm="1">
        <f t="array" ref="ER13">_xll.EQNXTDZ($A$1,$B13,ER$1)</f>
        <v>6775.65</v>
      </c>
      <c r="ES13" cm="1">
        <f t="array" ref="ES13">_xll.EQNXTDZ($A$1,$B13,ES$1)</f>
        <v>6890</v>
      </c>
      <c r="ET13" cm="1">
        <f t="array" ref="ET13">_xll.EQNXTDZ($A$1,$B13,ET$1)</f>
        <v>6814.7</v>
      </c>
      <c r="EU13" cm="1">
        <f t="array" ref="EU13">_xll.EQNXTDZ($A$1,$B13,EU$1)</f>
        <v>6960</v>
      </c>
      <c r="EV13" cm="1">
        <f t="array" ref="EV13">_xll.EQNXTDZ($A$1,$B13,EV$1)</f>
        <v>6490.05</v>
      </c>
      <c r="EW13" cm="1">
        <f t="array" ref="EW13">_xll.EQNXTDZ($A$1,$B13,EW$1)</f>
        <v>7281.05</v>
      </c>
      <c r="EX13" cm="1">
        <f t="array" ref="EX13">_xll.EQNXTDZ($A$1,$B13,EX$1)</f>
        <v>7299.95</v>
      </c>
      <c r="EY13" cm="1">
        <f t="array" ref="EY13">_xll.EQNXTDZ($A$1,$B13,EY$1)</f>
        <v>6050.15</v>
      </c>
      <c r="EZ13" cm="1">
        <f t="array" ref="EZ13">_xll.EQNXTDZ($A$1,$B13,EZ$1)</f>
        <v>4849.95</v>
      </c>
      <c r="FA13" cm="1">
        <f t="array" ref="FA13">_xll.EQNXTDZ($A$1,$B13,FA$1)</f>
        <v>5068</v>
      </c>
      <c r="FB13" cm="1">
        <f t="array" ref="FB13">_xll.EQNXTDZ($A$1,$B13,FB$1)</f>
        <v>5475.5</v>
      </c>
      <c r="FC13" cm="1">
        <f t="array" ref="FC13">_xll.EQNXTDZ($A$1,$B13,FC$1)</f>
        <v>5950.3</v>
      </c>
      <c r="FD13" cm="1">
        <f t="array" ref="FD13">_xll.EQNXTDZ($A$1,$B13,FD$1)</f>
        <v>6593.75</v>
      </c>
      <c r="FE13" cm="1">
        <f t="array" ref="FE13">_xll.EQNXTDZ($A$1,$B13,FE$1)</f>
        <v>6771.75</v>
      </c>
      <c r="FF13" cm="1">
        <f t="array" ref="FF13">_xll.EQNXTDZ($A$1,$B13,FF$1)</f>
        <v>7101.85</v>
      </c>
      <c r="FG13" cm="1">
        <f t="array" ref="FG13">_xll.EQNXTDZ($A$1,$B13,FG$1)</f>
        <v>7320</v>
      </c>
      <c r="FH13" cm="1">
        <f t="array" ref="FH13">_xll.EQNXTDZ($A$1,$B13,FH$1)</f>
        <v>7724.75</v>
      </c>
      <c r="FI13" cm="1">
        <f t="array" ref="FI13">_xll.EQNXTDZ($A$1,$B13,FI$1)</f>
        <v>7625.95</v>
      </c>
      <c r="FJ13" cm="1">
        <f t="array" ref="FJ13">_xll.EQNXTDZ($A$1,$B13,FJ$1)</f>
        <v>7603.5</v>
      </c>
      <c r="FK13" cm="1">
        <f t="array" ref="FK13">_xll.EQNXTDZ($A$1,$B13,FK$1)</f>
        <v>7014.6</v>
      </c>
      <c r="FL13" cm="1">
        <f t="array" ref="FL13">_xll.EQNXTDZ($A$1,$B13,FL$1)</f>
        <v>8226.7000000000007</v>
      </c>
      <c r="FM13" cm="1">
        <f t="array" ref="FM13">_xll.EQNXTDZ($A$1,$B13,FM$1)</f>
        <v>7349.55</v>
      </c>
      <c r="FN13" cm="1">
        <f t="array" ref="FN13">_xll.EQNXTDZ($A$1,$B13,FN$1)</f>
        <v>8111</v>
      </c>
      <c r="FO13" cm="1">
        <f t="array" ref="FO13">_xll.EQNXTDZ($A$1,$B13,FO$1)</f>
        <v>9480.35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667.55</v>
      </c>
      <c r="CH14" s="116" cm="1">
        <f t="array" ref="CH14">_xll.EQNXTDZ($A$1,$B14,CH$1)</f>
        <v>677.7</v>
      </c>
      <c r="CI14" s="116" cm="1">
        <f t="array" ref="CI14">_xll.EQNXTDZ($A$1,$B14,CI$1)</f>
        <v>624</v>
      </c>
      <c r="CJ14" s="116" cm="1">
        <f t="array" ref="CJ14">_xll.EQNXTDZ($A$1,$B14,CJ$1)</f>
        <v>652.75</v>
      </c>
      <c r="CK14" s="116" cm="1">
        <f t="array" ref="CK14">_xll.EQNXTDZ($A$1,$B14,CK$1)</f>
        <v>620</v>
      </c>
      <c r="CL14" s="116" cm="1">
        <f t="array" ref="CL14">_xll.EQNXTDZ($A$1,$B14,CL$1)</f>
        <v>709</v>
      </c>
      <c r="CM14" s="116" cm="1">
        <f t="array" ref="CM14">_xll.EQNXTDZ($A$1,$B14,CM$1)</f>
        <v>888.8</v>
      </c>
      <c r="CN14" s="116" cm="1">
        <f t="array" ref="CN14">_xll.EQNXTDZ($A$1,$B14,CN$1)</f>
        <v>956.45</v>
      </c>
      <c r="CO14" s="116" cm="1">
        <f t="array" ref="CO14">_xll.EQNXTDZ($A$1,$B14,CO$1)</f>
        <v>1090.8</v>
      </c>
      <c r="CP14" s="116" cm="1">
        <f t="array" ref="CP14">_xll.EQNXTDZ($A$1,$B14,CP$1)</f>
        <v>1149</v>
      </c>
      <c r="CQ14" s="116" cm="1">
        <f t="array" ref="CQ14">_xll.EQNXTDZ($A$1,$B14,CQ$1)</f>
        <v>1180</v>
      </c>
      <c r="CR14" s="116" cm="1">
        <f t="array" ref="CR14">_xll.EQNXTDZ($A$1,$B14,CR$1)</f>
        <v>1117.6500000000001</v>
      </c>
      <c r="CS14" s="116" cm="1">
        <f t="array" ref="CS14">_xll.EQNXTDZ($A$1,$B14,CS$1)</f>
        <v>793.15</v>
      </c>
      <c r="CT14" s="116" cm="1">
        <f t="array" ref="CT14">_xll.EQNXTDZ($A$1,$B14,CT$1)</f>
        <v>731.5</v>
      </c>
      <c r="CU14" s="116" cm="1">
        <f t="array" ref="CU14">_xll.EQNXTDZ($A$1,$B14,CU$1)</f>
        <v>839.1</v>
      </c>
      <c r="CV14" s="116" cm="1">
        <f t="array" ref="CV14">_xll.EQNXTDZ($A$1,$B14,CV$1)</f>
        <v>884</v>
      </c>
      <c r="CW14" s="116" cm="1">
        <f t="array" ref="CW14">_xll.EQNXTDZ($A$1,$B14,CW$1)</f>
        <v>939.95</v>
      </c>
      <c r="CX14" s="116" cm="1">
        <f t="array" ref="CX14">_xll.EQNXTDZ($A$1,$B14,CX$1)</f>
        <v>910</v>
      </c>
      <c r="CY14" s="116" cm="1">
        <f t="array" ref="CY14">_xll.EQNXTDZ($A$1,$B14,CY$1)</f>
        <v>975</v>
      </c>
      <c r="CZ14" s="116" cm="1">
        <f t="array" ref="CZ14">_xll.EQNXTDZ($A$1,$B14,CZ$1)</f>
        <v>975</v>
      </c>
      <c r="DA14" s="116" cm="1">
        <f t="array" ref="DA14">_xll.EQNXTDZ($A$1,$B14,DA$1)</f>
        <v>1093.2</v>
      </c>
      <c r="DB14" s="116" cm="1">
        <f t="array" ref="DB14">_xll.EQNXTDZ($A$1,$B14,DB$1)</f>
        <v>1324.9</v>
      </c>
      <c r="DC14" s="116" cm="1">
        <f t="array" ref="DC14">_xll.EQNXTDZ($A$1,$B14,DC$1)</f>
        <v>1387.45</v>
      </c>
      <c r="DD14" s="116" cm="1">
        <f t="array" ref="DD14">_xll.EQNXTDZ($A$1,$B14,DD$1)</f>
        <v>1444</v>
      </c>
      <c r="DE14" s="116" cm="1">
        <f t="array" ref="DE14">_xll.EQNXTDZ($A$1,$B14,DE$1)</f>
        <v>1571.55</v>
      </c>
      <c r="DF14" s="116" cm="1">
        <f t="array" ref="DF14">_xll.EQNXTDZ($A$1,$B14,DF$1)</f>
        <v>1701.45</v>
      </c>
      <c r="DG14" s="116" cm="1">
        <f t="array" ref="DG14">_xll.EQNXTDZ($A$1,$B14,DG$1)</f>
        <v>2012</v>
      </c>
      <c r="DH14" s="116" cm="1">
        <f t="array" ref="DH14">_xll.EQNXTDZ($A$1,$B14,DH$1)</f>
        <v>2034.3</v>
      </c>
      <c r="DI14" s="116" cm="1">
        <f t="array" ref="DI14">_xll.EQNXTDZ($A$1,$B14,DI$1)</f>
        <v>2122.9499999999998</v>
      </c>
      <c r="DJ14" s="116" cm="1">
        <f t="array" ref="DJ14">_xll.EQNXTDZ($A$1,$B14,DJ$1)</f>
        <v>2625</v>
      </c>
      <c r="DK14" s="116" cm="1">
        <f t="array" ref="DK14">_xll.EQNXTDZ($A$1,$B14,DK$1)</f>
        <v>2647.4</v>
      </c>
      <c r="DL14" s="116" cm="1">
        <f t="array" ref="DL14">_xll.EQNXTDZ($A$1,$B14,DL$1)</f>
        <v>2544</v>
      </c>
      <c r="DM14" s="116" cm="1">
        <f t="array" ref="DM14">_xll.EQNXTDZ($A$1,$B14,DM$1)</f>
        <v>2610</v>
      </c>
      <c r="DN14" s="116" cm="1">
        <f t="array" ref="DN14">_xll.EQNXTDZ($A$1,$B14,DN$1)</f>
        <v>2770.85</v>
      </c>
      <c r="DO14" s="116" cm="1">
        <f t="array" ref="DO14">_xll.EQNXTDZ($A$1,$B14,DO$1)</f>
        <v>2585</v>
      </c>
      <c r="DP14" s="116" cm="1">
        <f t="array" ref="DP14">_xll.EQNXTDZ($A$1,$B14,DP$1)</f>
        <v>2496.9499999999998</v>
      </c>
      <c r="DQ14" s="116" cm="1">
        <f t="array" ref="DQ14">_xll.EQNXTDZ($A$1,$B14,DQ$1)</f>
        <v>2820.05</v>
      </c>
      <c r="DR14" s="116" cm="1">
        <f t="array" ref="DR14">_xll.EQNXTDZ($A$1,$B14,DR$1)</f>
        <v>2628.9</v>
      </c>
      <c r="DS14" s="116" cm="1">
        <f t="array" ref="DS14">_xll.EQNXTDZ($A$1,$B14,DS$1)</f>
        <v>2612.4499999999998</v>
      </c>
      <c r="DT14" s="116" cm="1">
        <f t="array" ref="DT14">_xll.EQNXTDZ($A$1,$B14,DT$1)</f>
        <v>2335.6999999999998</v>
      </c>
      <c r="DU14" s="116" cm="1">
        <f t="array" ref="DU14">_xll.EQNXTDZ($A$1,$B14,DU$1)</f>
        <v>2501</v>
      </c>
      <c r="DV14" s="116" cm="1">
        <f t="array" ref="DV14">_xll.EQNXTDZ($A$1,$B14,DV$1)</f>
        <v>2719</v>
      </c>
      <c r="DW14" s="116" cm="1">
        <f t="array" ref="DW14">_xll.EQNXTDZ($A$1,$B14,DW$1)</f>
        <v>2853.5</v>
      </c>
      <c r="DX14" s="116" cm="1">
        <f t="array" ref="DX14">_xll.EQNXTDZ($A$1,$B14,DX$1)</f>
        <v>2846</v>
      </c>
      <c r="DY14" s="116" cm="1">
        <f t="array" ref="DY14">_xll.EQNXTDZ($A$1,$B14,DY$1)</f>
        <v>3025</v>
      </c>
      <c r="DZ14" s="116" cm="1">
        <f t="array" ref="DZ14">_xll.EQNXTDZ($A$1,$B14,DZ$1)</f>
        <v>2934.95</v>
      </c>
      <c r="EA14" s="116" cm="1">
        <f t="array" ref="EA14">_xll.EQNXTDZ($A$1,$B14,EA$1)</f>
        <v>3142</v>
      </c>
      <c r="EB14" s="116" cm="1">
        <f t="array" ref="EB14">_xll.EQNXTDZ($A$1,$B14,EB$1)</f>
        <v>3140</v>
      </c>
      <c r="EC14" s="116" cm="1">
        <f t="array" ref="EC14">_xll.EQNXTDZ($A$1,$B14,EC$1)</f>
        <v>3212.25</v>
      </c>
      <c r="ED14" s="116" cm="1">
        <f t="array" ref="ED14">_xll.EQNXTDZ($A$1,$B14,ED$1)</f>
        <v>3515.85</v>
      </c>
      <c r="EE14" s="116" cm="1">
        <f t="array" ref="EE14">_xll.EQNXTDZ($A$1,$B14,EE$1)</f>
        <v>3635</v>
      </c>
      <c r="EF14" s="116" cm="1">
        <f t="array" ref="EF14">_xll.EQNXTDZ($A$1,$B14,EF$1)</f>
        <v>4875</v>
      </c>
      <c r="EG14" s="116" cm="1">
        <f t="array" ref="EG14">_xll.EQNXTDZ($A$1,$B14,EG$1)</f>
        <v>5162.8999999999996</v>
      </c>
      <c r="EH14" s="116" cm="1">
        <f t="array" ref="EH14">_xll.EQNXTDZ($A$1,$B14,EH$1)</f>
        <v>5398.15</v>
      </c>
      <c r="EI14" s="116" cm="1">
        <f t="array" ref="EI14">_xll.EQNXTDZ($A$1,$B14,EI$1)</f>
        <v>5492.85</v>
      </c>
      <c r="EJ14" s="116" cm="1">
        <f t="array" ref="EJ14">_xll.EQNXTDZ($A$1,$B14,EJ$1)</f>
        <v>5432.55</v>
      </c>
      <c r="EK14" s="116" cm="1">
        <f t="array" ref="EK14">_xll.EQNXTDZ($A$1,$B14,EK$1)</f>
        <v>5722.9</v>
      </c>
      <c r="EL14" s="116" cm="1">
        <f t="array" ref="EL14">_xll.EQNXTDZ($A$1,$B14,EL$1)</f>
        <v>5531.6</v>
      </c>
      <c r="EM14" s="116" cm="1">
        <f t="array" ref="EM14">_xll.EQNXTDZ($A$1,$B14,EM$1)</f>
        <v>4866.55</v>
      </c>
      <c r="EN14" s="116" cm="1">
        <f t="array" ref="EN14">_xll.EQNXTDZ($A$1,$B14,EN$1)</f>
        <v>5137.1000000000004</v>
      </c>
      <c r="EO14" s="116" cm="1">
        <f t="array" ref="EO14">_xll.EQNXTDZ($A$1,$B14,EO$1)</f>
        <v>5787.1</v>
      </c>
      <c r="EP14" s="116" cm="1">
        <f t="array" ref="EP14">_xll.EQNXTDZ($A$1,$B14,EP$1)</f>
        <v>6901</v>
      </c>
      <c r="EQ14" s="116" cm="1">
        <f t="array" ref="EQ14">_xll.EQNXTDZ($A$1,$B14,EQ$1)</f>
        <v>7330</v>
      </c>
      <c r="ER14" s="116" cm="1">
        <f t="array" ref="ER14">_xll.EQNXTDZ($A$1,$B14,ER$1)</f>
        <v>6882</v>
      </c>
      <c r="ES14" s="116" cm="1">
        <f t="array" ref="ES14">_xll.EQNXTDZ($A$1,$B14,ES$1)</f>
        <v>6909.2</v>
      </c>
      <c r="ET14" s="116" cm="1">
        <f t="array" ref="ET14">_xll.EQNXTDZ($A$1,$B14,ET$1)</f>
        <v>7117.35</v>
      </c>
      <c r="EU14" s="116" cm="1">
        <f t="array" ref="EU14">_xll.EQNXTDZ($A$1,$B14,EU$1)</f>
        <v>7607.15</v>
      </c>
      <c r="EV14" s="116" cm="1">
        <f t="array" ref="EV14">_xll.EQNXTDZ($A$1,$B14,EV$1)</f>
        <v>7317.65</v>
      </c>
      <c r="EW14" s="116" cm="1">
        <f t="array" ref="EW14">_xll.EQNXTDZ($A$1,$B14,EW$1)</f>
        <v>7595.5</v>
      </c>
      <c r="EX14" s="116" cm="1">
        <f t="array" ref="EX14">_xll.EQNXTDZ($A$1,$B14,EX$1)</f>
        <v>7449.45</v>
      </c>
      <c r="EY14" s="116" cm="1">
        <f t="array" ref="EY14">_xll.EQNXTDZ($A$1,$B14,EY$1)</f>
        <v>6092.45</v>
      </c>
      <c r="EZ14" s="116" cm="1">
        <f t="array" ref="EZ14">_xll.EQNXTDZ($A$1,$B14,EZ$1)</f>
        <v>5459.3</v>
      </c>
      <c r="FA14" s="116" cm="1">
        <f t="array" ref="FA14">_xll.EQNXTDZ($A$1,$B14,FA$1)</f>
        <v>5691</v>
      </c>
      <c r="FB14" s="116" cm="1">
        <f t="array" ref="FB14">_xll.EQNXTDZ($A$1,$B14,FB$1)</f>
        <v>6173.7</v>
      </c>
      <c r="FC14" s="116" cm="1">
        <f t="array" ref="FC14">_xll.EQNXTDZ($A$1,$B14,FC$1)</f>
        <v>6583.4</v>
      </c>
      <c r="FD14" s="116" cm="1">
        <f t="array" ref="FD14">_xll.EQNXTDZ($A$1,$B14,FD$1)</f>
        <v>7080</v>
      </c>
      <c r="FE14" s="116" cm="1">
        <f t="array" ref="FE14">_xll.EQNXTDZ($A$1,$B14,FE$1)</f>
        <v>7205</v>
      </c>
      <c r="FF14" s="116" cm="1">
        <f t="array" ref="FF14">_xll.EQNXTDZ($A$1,$B14,FF$1)</f>
        <v>7711.3</v>
      </c>
      <c r="FG14" s="116" cm="1">
        <f t="array" ref="FG14">_xll.EQNXTDZ($A$1,$B14,FG$1)</f>
        <v>7899.5</v>
      </c>
      <c r="FH14" s="116" cm="1">
        <f t="array" ref="FH14">_xll.EQNXTDZ($A$1,$B14,FH$1)</f>
        <v>7815.25</v>
      </c>
      <c r="FI14" s="116" cm="1">
        <f t="array" ref="FI14">_xll.EQNXTDZ($A$1,$B14,FI$1)</f>
        <v>7688.45</v>
      </c>
      <c r="FJ14" s="116" cm="1">
        <f t="array" ref="FJ14">_xll.EQNXTDZ($A$1,$B14,FJ$1)</f>
        <v>7947.35</v>
      </c>
      <c r="FK14" s="116" cm="1">
        <f t="array" ref="FK14">_xll.EQNXTDZ($A$1,$B14,FK$1)</f>
        <v>8724.35</v>
      </c>
      <c r="FL14" s="116" cm="1">
        <f t="array" ref="FL14">_xll.EQNXTDZ($A$1,$B14,FL$1)</f>
        <v>8695.75</v>
      </c>
      <c r="FM14" s="116" cm="1">
        <f t="array" ref="FM14">_xll.EQNXTDZ($A$1,$B14,FM$1)</f>
        <v>8339.9500000000007</v>
      </c>
      <c r="FN14" s="116" cm="1">
        <f t="array" ref="FN14">_xll.EQNXTDZ($A$1,$B14,FN$1)</f>
        <v>9741.7000000000007</v>
      </c>
      <c r="FO14" s="116" cm="1">
        <f t="array" ref="FO14">_xll.EQNXTDZ($A$1,$B14,FO$1)</f>
        <v>9830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677.7</v>
      </c>
      <c r="IR14" s="116">
        <f>+MAX(CJ14:CL14)</f>
        <v>709</v>
      </c>
      <c r="IS14" s="116">
        <f>+MAX(CM14:CO14)</f>
        <v>1090.8</v>
      </c>
      <c r="IT14" s="116">
        <f>+MAX(CP14:CR14)</f>
        <v>1180</v>
      </c>
      <c r="IU14" s="116">
        <f>+MAX(CS14:CU14)</f>
        <v>839.1</v>
      </c>
      <c r="IV14" s="116">
        <f>+MAX(CV14:CX14)</f>
        <v>939.95</v>
      </c>
      <c r="IW14" s="116">
        <f>+MAX(CY14:DA14)</f>
        <v>1093.2</v>
      </c>
      <c r="IX14" s="116">
        <f>+MAX(DB14:DD14)</f>
        <v>1444</v>
      </c>
      <c r="IY14" s="116">
        <f>+MAX(DE14:DG14)</f>
        <v>2012</v>
      </c>
      <c r="IZ14" s="116">
        <f>+MAX(DH14:DJ14)</f>
        <v>2625</v>
      </c>
      <c r="JA14" s="116">
        <f>+MAX(DK14:DM14)</f>
        <v>2647.4</v>
      </c>
      <c r="JB14" s="116">
        <f>+MAX(DN14:DP14)</f>
        <v>2770.85</v>
      </c>
      <c r="JC14" s="116">
        <f>+MAX(DQ14:DS14)</f>
        <v>2820.05</v>
      </c>
      <c r="JD14" s="116">
        <f>+MAX(DT14:DV14)</f>
        <v>2719</v>
      </c>
      <c r="JE14" s="116">
        <f>+MAX(DW14:DY14)</f>
        <v>3025</v>
      </c>
      <c r="JF14" s="116">
        <f>+MAX(DZ14:EB14)</f>
        <v>3142</v>
      </c>
      <c r="JG14" s="116">
        <f>+MAX(EC14:EE14)</f>
        <v>3635</v>
      </c>
      <c r="JH14" s="116">
        <f>+MAX(EF14:EH14)</f>
        <v>5398.15</v>
      </c>
      <c r="JI14" s="116">
        <f>+MAX(EI14:EK14)</f>
        <v>5722.9</v>
      </c>
      <c r="JJ14" s="116">
        <f>+MAX(EL14:EN14)</f>
        <v>5531.6</v>
      </c>
      <c r="JK14" s="116">
        <f>MAX(EO14:EQ14)</f>
        <v>7330</v>
      </c>
      <c r="JL14" s="116">
        <f>MAX(ER14:ET14)</f>
        <v>7117.35</v>
      </c>
      <c r="JM14" s="116">
        <f>MAX(EU14:EW14)</f>
        <v>7607.15</v>
      </c>
      <c r="JN14" s="116">
        <f>MAX(EX14:EZ14)</f>
        <v>7449.45</v>
      </c>
      <c r="JO14" s="116">
        <f>MAX(FA14:FC14)</f>
        <v>6583.4</v>
      </c>
      <c r="JP14" s="116">
        <f>MAX(FD14:FF14)</f>
        <v>7711.3</v>
      </c>
      <c r="JQ14" s="116">
        <f>MAX(FG14:FI14)</f>
        <v>7899.5</v>
      </c>
      <c r="JR14" s="116">
        <f>MAX(FJ14:FL14)</f>
        <v>8724.35</v>
      </c>
      <c r="JS14" s="116">
        <f>MAX(FM14:FO14)</f>
        <v>9830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614.35</v>
      </c>
      <c r="CH15" s="116" cm="1">
        <f t="array" ref="CH15">_xll.EQNXTDZ($A$1,$B15,CH$1)</f>
        <v>585</v>
      </c>
      <c r="CI15" s="116" cm="1">
        <f t="array" ref="CI15">_xll.EQNXTDZ($A$1,$B15,CI$1)</f>
        <v>578</v>
      </c>
      <c r="CJ15" s="116" cm="1">
        <f t="array" ref="CJ15">_xll.EQNXTDZ($A$1,$B15,CJ$1)</f>
        <v>548.25</v>
      </c>
      <c r="CK15" s="116" cm="1">
        <f t="array" ref="CK15">_xll.EQNXTDZ($A$1,$B15,CK$1)</f>
        <v>525.04999999999995</v>
      </c>
      <c r="CL15" s="116" cm="1">
        <f t="array" ref="CL15">_xll.EQNXTDZ($A$1,$B15,CL$1)</f>
        <v>583.04999999999995</v>
      </c>
      <c r="CM15" s="116" cm="1">
        <f t="array" ref="CM15">_xll.EQNXTDZ($A$1,$B15,CM$1)</f>
        <v>656</v>
      </c>
      <c r="CN15" s="116" cm="1">
        <f t="array" ref="CN15">_xll.EQNXTDZ($A$1,$B15,CN$1)</f>
        <v>837.1</v>
      </c>
      <c r="CO15" s="116" cm="1">
        <f t="array" ref="CO15">_xll.EQNXTDZ($A$1,$B15,CO$1)</f>
        <v>919.45</v>
      </c>
      <c r="CP15" s="116" cm="1">
        <f t="array" ref="CP15">_xll.EQNXTDZ($A$1,$B15,CP$1)</f>
        <v>931.25</v>
      </c>
      <c r="CQ15" s="116" cm="1">
        <f t="array" ref="CQ15">_xll.EQNXTDZ($A$1,$B15,CQ$1)</f>
        <v>951.1</v>
      </c>
      <c r="CR15" s="116" cm="1">
        <f t="array" ref="CR15">_xll.EQNXTDZ($A$1,$B15,CR$1)</f>
        <v>571.70000000000005</v>
      </c>
      <c r="CS15" s="116" cm="1">
        <f t="array" ref="CS15">_xll.EQNXTDZ($A$1,$B15,CS$1)</f>
        <v>685.35</v>
      </c>
      <c r="CT15" s="116" cm="1">
        <f t="array" ref="CT15">_xll.EQNXTDZ($A$1,$B15,CT$1)</f>
        <v>624.1</v>
      </c>
      <c r="CU15" s="116" cm="1">
        <f t="array" ref="CU15">_xll.EQNXTDZ($A$1,$B15,CU$1)</f>
        <v>694.9</v>
      </c>
      <c r="CV15" s="116" cm="1">
        <f t="array" ref="CV15">_xll.EQNXTDZ($A$1,$B15,CV$1)</f>
        <v>792</v>
      </c>
      <c r="CW15" s="116" cm="1">
        <f t="array" ref="CW15">_xll.EQNXTDZ($A$1,$B15,CW$1)</f>
        <v>817.2</v>
      </c>
      <c r="CX15" s="116" cm="1">
        <f t="array" ref="CX15">_xll.EQNXTDZ($A$1,$B15,CX$1)</f>
        <v>795</v>
      </c>
      <c r="CY15" s="116" cm="1">
        <f t="array" ref="CY15">_xll.EQNXTDZ($A$1,$B15,CY$1)</f>
        <v>801</v>
      </c>
      <c r="CZ15" s="116" cm="1">
        <f t="array" ref="CZ15">_xll.EQNXTDZ($A$1,$B15,CZ$1)</f>
        <v>905.95</v>
      </c>
      <c r="DA15" s="116" cm="1">
        <f t="array" ref="DA15">_xll.EQNXTDZ($A$1,$B15,DA$1)</f>
        <v>900</v>
      </c>
      <c r="DB15" s="116" cm="1">
        <f t="array" ref="DB15">_xll.EQNXTDZ($A$1,$B15,DB$1)</f>
        <v>1030.4000000000001</v>
      </c>
      <c r="DC15" s="116" cm="1">
        <f t="array" ref="DC15">_xll.EQNXTDZ($A$1,$B15,DC$1)</f>
        <v>1202.4000000000001</v>
      </c>
      <c r="DD15" s="116" cm="1">
        <f t="array" ref="DD15">_xll.EQNXTDZ($A$1,$B15,DD$1)</f>
        <v>1247</v>
      </c>
      <c r="DE15" s="116" cm="1">
        <f t="array" ref="DE15">_xll.EQNXTDZ($A$1,$B15,DE$1)</f>
        <v>1322.3</v>
      </c>
      <c r="DF15" s="116" cm="1">
        <f t="array" ref="DF15">_xll.EQNXTDZ($A$1,$B15,DF$1)</f>
        <v>1426</v>
      </c>
      <c r="DG15" s="116" cm="1">
        <f t="array" ref="DG15">_xll.EQNXTDZ($A$1,$B15,DG$1)</f>
        <v>1660</v>
      </c>
      <c r="DH15" s="116" cm="1">
        <f t="array" ref="DH15">_xll.EQNXTDZ($A$1,$B15,DH$1)</f>
        <v>1761.25</v>
      </c>
      <c r="DI15" s="116" cm="1">
        <f t="array" ref="DI15">_xll.EQNXTDZ($A$1,$B15,DI$1)</f>
        <v>1797</v>
      </c>
      <c r="DJ15" s="116" cm="1">
        <f t="array" ref="DJ15">_xll.EQNXTDZ($A$1,$B15,DJ$1)</f>
        <v>2030.45</v>
      </c>
      <c r="DK15" s="116" cm="1">
        <f t="array" ref="DK15">_xll.EQNXTDZ($A$1,$B15,DK$1)</f>
        <v>2123</v>
      </c>
      <c r="DL15" s="116" cm="1">
        <f t="array" ref="DL15">_xll.EQNXTDZ($A$1,$B15,DL$1)</f>
        <v>2145</v>
      </c>
      <c r="DM15" s="116" cm="1">
        <f t="array" ref="DM15">_xll.EQNXTDZ($A$1,$B15,DM$1)</f>
        <v>2206.15</v>
      </c>
      <c r="DN15" s="116" cm="1">
        <f t="array" ref="DN15">_xll.EQNXTDZ($A$1,$B15,DN$1)</f>
        <v>2378.1999999999998</v>
      </c>
      <c r="DO15" s="116" cm="1">
        <f t="array" ref="DO15">_xll.EQNXTDZ($A$1,$B15,DO$1)</f>
        <v>2131.35</v>
      </c>
      <c r="DP15" s="116" cm="1">
        <f t="array" ref="DP15">_xll.EQNXTDZ($A$1,$B15,DP$1)</f>
        <v>2164</v>
      </c>
      <c r="DQ15" s="116" cm="1">
        <f t="array" ref="DQ15">_xll.EQNXTDZ($A$1,$B15,DQ$1)</f>
        <v>2354.4</v>
      </c>
      <c r="DR15" s="116" cm="1">
        <f t="array" ref="DR15">_xll.EQNXTDZ($A$1,$B15,DR$1)</f>
        <v>2366.1999999999998</v>
      </c>
      <c r="DS15" s="116" cm="1">
        <f t="array" ref="DS15">_xll.EQNXTDZ($A$1,$B15,DS$1)</f>
        <v>2045</v>
      </c>
      <c r="DT15" s="116" cm="1">
        <f t="array" ref="DT15">_xll.EQNXTDZ($A$1,$B15,DT$1)</f>
        <v>2105</v>
      </c>
      <c r="DU15" s="116" cm="1">
        <f t="array" ref="DU15">_xll.EQNXTDZ($A$1,$B15,DU$1)</f>
        <v>2293.1</v>
      </c>
      <c r="DV15" s="116" cm="1">
        <f t="array" ref="DV15">_xll.EQNXTDZ($A$1,$B15,DV$1)</f>
        <v>2435</v>
      </c>
      <c r="DW15" s="116" cm="1">
        <f t="array" ref="DW15">_xll.EQNXTDZ($A$1,$B15,DW$1)</f>
        <v>2535</v>
      </c>
      <c r="DX15" s="116" cm="1">
        <f t="array" ref="DX15">_xll.EQNXTDZ($A$1,$B15,DX$1)</f>
        <v>2502</v>
      </c>
      <c r="DY15" s="116" cm="1">
        <f t="array" ref="DY15">_xll.EQNXTDZ($A$1,$B15,DY$1)</f>
        <v>2500.15</v>
      </c>
      <c r="DZ15" s="116" cm="1">
        <f t="array" ref="DZ15">_xll.EQNXTDZ($A$1,$B15,DZ$1)</f>
        <v>2546.8000000000002</v>
      </c>
      <c r="EA15" s="116" cm="1">
        <f t="array" ref="EA15">_xll.EQNXTDZ($A$1,$B15,EA$1)</f>
        <v>2904.15</v>
      </c>
      <c r="EB15" s="116" cm="1">
        <f t="array" ref="EB15">_xll.EQNXTDZ($A$1,$B15,EB$1)</f>
        <v>2755</v>
      </c>
      <c r="EC15" s="116" cm="1">
        <f t="array" ref="EC15">_xll.EQNXTDZ($A$1,$B15,EC$1)</f>
        <v>2880.1</v>
      </c>
      <c r="ED15" s="116" cm="1">
        <f t="array" ref="ED15">_xll.EQNXTDZ($A$1,$B15,ED$1)</f>
        <v>3171.4</v>
      </c>
      <c r="EE15" s="116" cm="1">
        <f t="array" ref="EE15">_xll.EQNXTDZ($A$1,$B15,EE$1)</f>
        <v>3380.4</v>
      </c>
      <c r="EF15" s="116" cm="1">
        <f t="array" ref="EF15">_xll.EQNXTDZ($A$1,$B15,EF$1)</f>
        <v>3492</v>
      </c>
      <c r="EG15" s="116" cm="1">
        <f t="array" ref="EG15">_xll.EQNXTDZ($A$1,$B15,EG$1)</f>
        <v>4486.75</v>
      </c>
      <c r="EH15" s="116" cm="1">
        <f t="array" ref="EH15">_xll.EQNXTDZ($A$1,$B15,EH$1)</f>
        <v>4851.1000000000004</v>
      </c>
      <c r="EI15" s="116" cm="1">
        <f t="array" ref="EI15">_xll.EQNXTDZ($A$1,$B15,EI$1)</f>
        <v>4811.1000000000004</v>
      </c>
      <c r="EJ15" s="116" cm="1">
        <f t="array" ref="EJ15">_xll.EQNXTDZ($A$1,$B15,EJ$1)</f>
        <v>4892.8500000000004</v>
      </c>
      <c r="EK15" s="116" cm="1">
        <f t="array" ref="EK15">_xll.EQNXTDZ($A$1,$B15,EK$1)</f>
        <v>5225.1000000000004</v>
      </c>
      <c r="EL15" s="116" cm="1">
        <f t="array" ref="EL15">_xll.EQNXTDZ($A$1,$B15,EL$1)</f>
        <v>3812.35</v>
      </c>
      <c r="EM15" s="116" cm="1">
        <f t="array" ref="EM15">_xll.EQNXTDZ($A$1,$B15,EM$1)</f>
        <v>4240</v>
      </c>
      <c r="EN15" s="116" cm="1">
        <f t="array" ref="EN15">_xll.EQNXTDZ($A$1,$B15,EN$1)</f>
        <v>4638</v>
      </c>
      <c r="EO15" s="116" cm="1">
        <f t="array" ref="EO15">_xll.EQNXTDZ($A$1,$B15,EO$1)</f>
        <v>5001.05</v>
      </c>
      <c r="EP15" s="116" cm="1">
        <f t="array" ref="EP15">_xll.EQNXTDZ($A$1,$B15,EP$1)</f>
        <v>5679.45</v>
      </c>
      <c r="EQ15" s="116" cm="1">
        <f t="array" ref="EQ15">_xll.EQNXTDZ($A$1,$B15,EQ$1)</f>
        <v>6134.75</v>
      </c>
      <c r="ER15" s="116" cm="1">
        <f t="array" ref="ER15">_xll.EQNXTDZ($A$1,$B15,ER$1)</f>
        <v>5936.4</v>
      </c>
      <c r="ES15" s="116" cm="1">
        <f t="array" ref="ES15">_xll.EQNXTDZ($A$1,$B15,ES$1)</f>
        <v>6303.35</v>
      </c>
      <c r="ET15" s="116" cm="1">
        <f t="array" ref="ET15">_xll.EQNXTDZ($A$1,$B15,ET$1)</f>
        <v>6427.25</v>
      </c>
      <c r="EU15" s="116" cm="1">
        <f t="array" ref="EU15">_xll.EQNXTDZ($A$1,$B15,EU$1)</f>
        <v>6303.15</v>
      </c>
      <c r="EV15" s="116" cm="1">
        <f t="array" ref="EV15">_xll.EQNXTDZ($A$1,$B15,EV$1)</f>
        <v>6258.85</v>
      </c>
      <c r="EW15" s="116" cm="1">
        <f t="array" ref="EW15">_xll.EQNXTDZ($A$1,$B15,EW$1)</f>
        <v>7022.2</v>
      </c>
      <c r="EX15" s="116" cm="1">
        <f t="array" ref="EX15">_xll.EQNXTDZ($A$1,$B15,EX$1)</f>
        <v>5484.25</v>
      </c>
      <c r="EY15" s="116" cm="1">
        <f t="array" ref="EY15">_xll.EQNXTDZ($A$1,$B15,EY$1)</f>
        <v>4557.45</v>
      </c>
      <c r="EZ15" s="116" cm="1">
        <f t="array" ref="EZ15">_xll.EQNXTDZ($A$1,$B15,EZ$1)</f>
        <v>4582.3</v>
      </c>
      <c r="FA15" s="116" cm="1">
        <f t="array" ref="FA15">_xll.EQNXTDZ($A$1,$B15,FA$1)</f>
        <v>4574.55</v>
      </c>
      <c r="FB15" s="116" cm="1">
        <f t="array" ref="FB15">_xll.EQNXTDZ($A$1,$B15,FB$1)</f>
        <v>5450</v>
      </c>
      <c r="FC15" s="116" cm="1">
        <f t="array" ref="FC15">_xll.EQNXTDZ($A$1,$B15,FC$1)</f>
        <v>5786</v>
      </c>
      <c r="FD15" s="116" cm="1">
        <f t="array" ref="FD15">_xll.EQNXTDZ($A$1,$B15,FD$1)</f>
        <v>6565</v>
      </c>
      <c r="FE15" s="116" cm="1">
        <f t="array" ref="FE15">_xll.EQNXTDZ($A$1,$B15,FE$1)</f>
        <v>6622</v>
      </c>
      <c r="FF15" s="116" cm="1">
        <f t="array" ref="FF15">_xll.EQNXTDZ($A$1,$B15,FF$1)</f>
        <v>7066.6</v>
      </c>
      <c r="FG15" s="116" cm="1">
        <f t="array" ref="FG15">_xll.EQNXTDZ($A$1,$B15,FG$1)</f>
        <v>7250</v>
      </c>
      <c r="FH15" s="116" cm="1">
        <f t="array" ref="FH15">_xll.EQNXTDZ($A$1,$B15,FH$1)</f>
        <v>7337.35</v>
      </c>
      <c r="FI15" s="116" cm="1">
        <f t="array" ref="FI15">_xll.EQNXTDZ($A$1,$B15,FI$1)</f>
        <v>6930.4</v>
      </c>
      <c r="FJ15" s="116" cm="1">
        <f t="array" ref="FJ15">_xll.EQNXTDZ($A$1,$B15,FJ$1)</f>
        <v>6660.5</v>
      </c>
      <c r="FK15" s="116" cm="1">
        <f t="array" ref="FK15">_xll.EQNXTDZ($A$1,$B15,FK$1)</f>
        <v>6726.8</v>
      </c>
      <c r="FL15" s="116" cm="1">
        <f t="array" ref="FL15">_xll.EQNXTDZ($A$1,$B15,FL$1)</f>
        <v>6745.6</v>
      </c>
      <c r="FM15" s="116" cm="1">
        <f t="array" ref="FM15">_xll.EQNXTDZ($A$1,$B15,FM$1)</f>
        <v>6700</v>
      </c>
      <c r="FN15" s="116" cm="1">
        <f t="array" ref="FN15">_xll.EQNXTDZ($A$1,$B15,FN$1)</f>
        <v>8063.55</v>
      </c>
      <c r="FO15" s="116" cm="1">
        <f t="array" ref="FO15">_xll.EQNXTDZ($A$1,$B15,FO$1)</f>
        <v>9321.4500000000007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578</v>
      </c>
      <c r="IR15" s="116">
        <f>+MIN(CJ15:CL15)</f>
        <v>525.04999999999995</v>
      </c>
      <c r="IS15" s="116">
        <f>+MIN(CM15:CO15)</f>
        <v>656</v>
      </c>
      <c r="IT15" s="116">
        <f>+MIN(CP15:CR15)</f>
        <v>571.70000000000005</v>
      </c>
      <c r="IU15" s="116">
        <f>+MIN(CS15:CU15)</f>
        <v>624.1</v>
      </c>
      <c r="IV15" s="116">
        <f>+MIN(CV15:CX15)</f>
        <v>792</v>
      </c>
      <c r="IW15" s="116">
        <f>+MIN(CY15:DA15)</f>
        <v>801</v>
      </c>
      <c r="IX15" s="116">
        <f>+MIN(DB15:DD15)</f>
        <v>1030.4000000000001</v>
      </c>
      <c r="IY15" s="116">
        <f>+MIN(DE15:DG15)</f>
        <v>1322.3</v>
      </c>
      <c r="IZ15" s="116">
        <f>+MIN(DH15:DJ15)</f>
        <v>1761.25</v>
      </c>
      <c r="JA15" s="116">
        <f>+MIN(DK15:DM15)</f>
        <v>2123</v>
      </c>
      <c r="JB15" s="116">
        <f>+MIN(DN15:DP15)</f>
        <v>2131.35</v>
      </c>
      <c r="JC15" s="116">
        <f>+MIN(DQ15:DS15)</f>
        <v>2045</v>
      </c>
      <c r="JD15" s="116">
        <f>+MIN(DT15:DV15)</f>
        <v>2105</v>
      </c>
      <c r="JE15" s="116">
        <f>+MIN(DW15:DY15)</f>
        <v>2500.15</v>
      </c>
      <c r="JF15" s="116">
        <f>+MIN(DZ15:EB15)</f>
        <v>2546.8000000000002</v>
      </c>
      <c r="JG15" s="116">
        <f>+MIN(EC15:EE15)</f>
        <v>2880.1</v>
      </c>
      <c r="JH15" s="116">
        <f>+MIN(EF15:EH15)</f>
        <v>3492</v>
      </c>
      <c r="JI15" s="116">
        <f>+MIN(EI15:EK15)</f>
        <v>4811.1000000000004</v>
      </c>
      <c r="JJ15" s="116">
        <f>+MIN(EL15:EN15)</f>
        <v>3812.35</v>
      </c>
      <c r="JK15" s="116">
        <f>MIN(EO15:EQ15)</f>
        <v>5001.05</v>
      </c>
      <c r="JL15" s="116">
        <f>MIN(ER15:ET15)</f>
        <v>5936.4</v>
      </c>
      <c r="JM15" s="116">
        <f>MIN(EU15:EW15)</f>
        <v>6258.85</v>
      </c>
      <c r="JN15" s="116">
        <f>MIN(EX15:EZ15)</f>
        <v>4557.45</v>
      </c>
      <c r="JO15" s="116">
        <f>MIN(FA15:FC15)</f>
        <v>4574.55</v>
      </c>
      <c r="JP15" s="116">
        <f>MIN(FD15:FF15)</f>
        <v>6565</v>
      </c>
      <c r="JQ15" s="116">
        <f>MIN(FG15:FI15)</f>
        <v>6930.4</v>
      </c>
      <c r="JR15" s="116">
        <f>MIN(FJ15:FL15)</f>
        <v>6660.5</v>
      </c>
      <c r="JS15" s="116">
        <f>MIN(FM15:FO15)</f>
        <v>6700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638.54999999999995</v>
      </c>
      <c r="CH16" s="116" cm="1">
        <f t="array" ref="CH16">_xll.EQNXTDZ($A$1,$B16,CH$1)</f>
        <v>611</v>
      </c>
      <c r="CI16" s="116" cm="1">
        <f t="array" ref="CI16">_xll.EQNXTDZ($A$1,$B16,CI$1)</f>
        <v>620.6</v>
      </c>
      <c r="CJ16" s="116" cm="1">
        <f t="array" ref="CJ16">_xll.EQNXTDZ($A$1,$B16,CJ$1)</f>
        <v>560.54999999999995</v>
      </c>
      <c r="CK16" s="116" cm="1">
        <f t="array" ref="CK16">_xll.EQNXTDZ($A$1,$B16,CK$1)</f>
        <v>615.65</v>
      </c>
      <c r="CL16" s="116" cm="1">
        <f t="array" ref="CL16">_xll.EQNXTDZ($A$1,$B16,CL$1)</f>
        <v>682.85</v>
      </c>
      <c r="CM16" s="116" cm="1">
        <f t="array" ref="CM16">_xll.EQNXTDZ($A$1,$B16,CM$1)</f>
        <v>856</v>
      </c>
      <c r="CN16" s="116" cm="1">
        <f t="array" ref="CN16">_xll.EQNXTDZ($A$1,$B16,CN$1)</f>
        <v>924.55</v>
      </c>
      <c r="CO16" s="116" cm="1">
        <f t="array" ref="CO16">_xll.EQNXTDZ($A$1,$B16,CO$1)</f>
        <v>991.7</v>
      </c>
      <c r="CP16" s="116" cm="1">
        <f t="array" ref="CP16">_xll.EQNXTDZ($A$1,$B16,CP$1)</f>
        <v>983.85</v>
      </c>
      <c r="CQ16" s="116" cm="1">
        <f t="array" ref="CQ16">_xll.EQNXTDZ($A$1,$B16,CQ$1)</f>
        <v>1064.55</v>
      </c>
      <c r="CR16" s="116" cm="1">
        <f t="array" ref="CR16">_xll.EQNXTDZ($A$1,$B16,CR$1)</f>
        <v>741.9</v>
      </c>
      <c r="CS16" s="116" cm="1">
        <f t="array" ref="CS16">_xll.EQNXTDZ($A$1,$B16,CS$1)</f>
        <v>723.7</v>
      </c>
      <c r="CT16" s="116" cm="1">
        <f t="array" ref="CT16">_xll.EQNXTDZ($A$1,$B16,CT$1)</f>
        <v>679.7</v>
      </c>
      <c r="CU16" s="116" cm="1">
        <f t="array" ref="CU16">_xll.EQNXTDZ($A$1,$B16,CU$1)</f>
        <v>789.6</v>
      </c>
      <c r="CV16" s="116" cm="1">
        <f t="array" ref="CV16">_xll.EQNXTDZ($A$1,$B16,CV$1)</f>
        <v>819.7</v>
      </c>
      <c r="CW16" s="116" cm="1">
        <f t="array" ref="CW16">_xll.EQNXTDZ($A$1,$B16,CW$1)</f>
        <v>890.35</v>
      </c>
      <c r="CX16" s="116" cm="1">
        <f t="array" ref="CX16">_xll.EQNXTDZ($A$1,$B16,CX$1)</f>
        <v>820.3</v>
      </c>
      <c r="CY16" s="116" cm="1">
        <f t="array" ref="CY16">_xll.EQNXTDZ($A$1,$B16,CY$1)</f>
        <v>920.1</v>
      </c>
      <c r="CZ16" s="116" cm="1">
        <f t="array" ref="CZ16">_xll.EQNXTDZ($A$1,$B16,CZ$1)</f>
        <v>958.1</v>
      </c>
      <c r="DA16" s="116" cm="1">
        <f t="array" ref="DA16">_xll.EQNXTDZ($A$1,$B16,DA$1)</f>
        <v>1035.95</v>
      </c>
      <c r="DB16" s="116" cm="1">
        <f t="array" ref="DB16">_xll.EQNXTDZ($A$1,$B16,DB$1)</f>
        <v>1222.05</v>
      </c>
      <c r="DC16" s="116" cm="1">
        <f t="array" ref="DC16">_xll.EQNXTDZ($A$1,$B16,DC$1)</f>
        <v>1336.65</v>
      </c>
      <c r="DD16" s="116" cm="1">
        <f t="array" ref="DD16">_xll.EQNXTDZ($A$1,$B16,DD$1)</f>
        <v>1380.15</v>
      </c>
      <c r="DE16" s="116" cm="1">
        <f t="array" ref="DE16">_xll.EQNXTDZ($A$1,$B16,DE$1)</f>
        <v>1467.7</v>
      </c>
      <c r="DF16" s="116" cm="1">
        <f t="array" ref="DF16">_xll.EQNXTDZ($A$1,$B16,DF$1)</f>
        <v>1674.35</v>
      </c>
      <c r="DG16" s="116" cm="1">
        <f t="array" ref="DG16">_xll.EQNXTDZ($A$1,$B16,DG$1)</f>
        <v>1976.75</v>
      </c>
      <c r="DH16" s="116" cm="1">
        <f t="array" ref="DH16">_xll.EQNXTDZ($A$1,$B16,DH$1)</f>
        <v>1851.25</v>
      </c>
      <c r="DI16" s="116" cm="1">
        <f t="array" ref="DI16">_xll.EQNXTDZ($A$1,$B16,DI$1)</f>
        <v>2068.65</v>
      </c>
      <c r="DJ16" s="116" cm="1">
        <f t="array" ref="DJ16">_xll.EQNXTDZ($A$1,$B16,DJ$1)</f>
        <v>2392.4499999999998</v>
      </c>
      <c r="DK16" s="116" cm="1">
        <f t="array" ref="DK16">_xll.EQNXTDZ($A$1,$B16,DK$1)</f>
        <v>2262.0500000000002</v>
      </c>
      <c r="DL16" s="116" cm="1">
        <f t="array" ref="DL16">_xll.EQNXTDZ($A$1,$B16,DL$1)</f>
        <v>2304.65</v>
      </c>
      <c r="DM16" s="116" cm="1">
        <f t="array" ref="DM16">_xll.EQNXTDZ($A$1,$B16,DM$1)</f>
        <v>2463.75</v>
      </c>
      <c r="DN16" s="116" cm="1">
        <f t="array" ref="DN16">_xll.EQNXTDZ($A$1,$B16,DN$1)</f>
        <v>2523.4</v>
      </c>
      <c r="DO16" s="116" cm="1">
        <f t="array" ref="DO16">_xll.EQNXTDZ($A$1,$B16,DO$1)</f>
        <v>2352.5500000000002</v>
      </c>
      <c r="DP16" s="116" cm="1">
        <f t="array" ref="DP16">_xll.EQNXTDZ($A$1,$B16,DP$1)</f>
        <v>2365.15</v>
      </c>
      <c r="DQ16" s="116" cm="1">
        <f t="array" ref="DQ16">_xll.EQNXTDZ($A$1,$B16,DQ$1)</f>
        <v>2489.6999999999998</v>
      </c>
      <c r="DR16" s="116" cm="1">
        <f t="array" ref="DR16">_xll.EQNXTDZ($A$1,$B16,DR$1)</f>
        <v>2440.6</v>
      </c>
      <c r="DS16" s="116" cm="1">
        <f t="array" ref="DS16">_xll.EQNXTDZ($A$1,$B16,DS$1)</f>
        <v>2199.4</v>
      </c>
      <c r="DT16" s="116" cm="1">
        <f t="array" ref="DT16">_xll.EQNXTDZ($A$1,$B16,DT$1)</f>
        <v>2315.9</v>
      </c>
      <c r="DU16" s="116" cm="1">
        <f t="array" ref="DU16">_xll.EQNXTDZ($A$1,$B16,DU$1)</f>
        <v>2468.75</v>
      </c>
      <c r="DV16" s="116" cm="1">
        <f t="array" ref="DV16">_xll.EQNXTDZ($A$1,$B16,DV$1)</f>
        <v>2559.4499999999998</v>
      </c>
      <c r="DW16" s="116" cm="1">
        <f t="array" ref="DW16">_xll.EQNXTDZ($A$1,$B16,DW$1)</f>
        <v>2778.75</v>
      </c>
      <c r="DX16" s="116" cm="1">
        <f t="array" ref="DX16">_xll.EQNXTDZ($A$1,$B16,DX$1)</f>
        <v>2564.35</v>
      </c>
      <c r="DY16" s="116" cm="1">
        <f t="array" ref="DY16">_xll.EQNXTDZ($A$1,$B16,DY$1)</f>
        <v>2570.5500000000002</v>
      </c>
      <c r="DZ16" s="116" cm="1">
        <f t="array" ref="DZ16">_xll.EQNXTDZ($A$1,$B16,DZ$1)</f>
        <v>2920.5</v>
      </c>
      <c r="EA16" s="116" cm="1">
        <f t="array" ref="EA16">_xll.EQNXTDZ($A$1,$B16,EA$1)</f>
        <v>3079.85</v>
      </c>
      <c r="EB16" s="116" cm="1">
        <f t="array" ref="EB16">_xll.EQNXTDZ($A$1,$B16,EB$1)</f>
        <v>2878.5</v>
      </c>
      <c r="EC16" s="116" cm="1">
        <f t="array" ref="EC16">_xll.EQNXTDZ($A$1,$B16,EC$1)</f>
        <v>3205.35</v>
      </c>
      <c r="ED16" s="116" cm="1">
        <f t="array" ref="ED16">_xll.EQNXTDZ($A$1,$B16,ED$1)</f>
        <v>3434.6</v>
      </c>
      <c r="EE16" s="116" cm="1">
        <f t="array" ref="EE16">_xll.EQNXTDZ($A$1,$B16,EE$1)</f>
        <v>3552.15</v>
      </c>
      <c r="EF16" s="116" cm="1">
        <f t="array" ref="EF16">_xll.EQNXTDZ($A$1,$B16,EF$1)</f>
        <v>4816.1000000000004</v>
      </c>
      <c r="EG16" s="116" cm="1">
        <f t="array" ref="EG16">_xll.EQNXTDZ($A$1,$B16,EG$1)</f>
        <v>5120.5</v>
      </c>
      <c r="EH16" s="116" cm="1">
        <f t="array" ref="EH16">_xll.EQNXTDZ($A$1,$B16,EH$1)</f>
        <v>5338.25</v>
      </c>
      <c r="EI16" s="116" cm="1">
        <f t="array" ref="EI16">_xll.EQNXTDZ($A$1,$B16,EI$1)</f>
        <v>4921.45</v>
      </c>
      <c r="EJ16" s="116" cm="1">
        <f t="array" ref="EJ16">_xll.EQNXTDZ($A$1,$B16,EJ$1)</f>
        <v>5270.65</v>
      </c>
      <c r="EK16" s="116" cm="1">
        <f t="array" ref="EK16">_xll.EQNXTDZ($A$1,$B16,EK$1)</f>
        <v>5491.35</v>
      </c>
      <c r="EL16" s="116" cm="1">
        <f t="array" ref="EL16">_xll.EQNXTDZ($A$1,$B16,EL$1)</f>
        <v>4342.3999999999996</v>
      </c>
      <c r="EM16" s="116" cm="1">
        <f t="array" ref="EM16">_xll.EQNXTDZ($A$1,$B16,EM$1)</f>
        <v>4754.05</v>
      </c>
      <c r="EN16" s="116" cm="1">
        <f t="array" ref="EN16">_xll.EQNXTDZ($A$1,$B16,EN$1)</f>
        <v>5066.3</v>
      </c>
      <c r="EO16" s="116" cm="1">
        <f t="array" ref="EO16">_xll.EQNXTDZ($A$1,$B16,EO$1)</f>
        <v>5666.6</v>
      </c>
      <c r="EP16" s="116" cm="1">
        <f t="array" ref="EP16">_xll.EQNXTDZ($A$1,$B16,EP$1)</f>
        <v>6746.4</v>
      </c>
      <c r="EQ16" s="116" cm="1">
        <f t="array" ref="EQ16">_xll.EQNXTDZ($A$1,$B16,EQ$1)</f>
        <v>6735.9</v>
      </c>
      <c r="ER16" s="116" cm="1">
        <f t="array" ref="ER16">_xll.EQNXTDZ($A$1,$B16,ER$1)</f>
        <v>6860.15</v>
      </c>
      <c r="ES16" s="116" cm="1">
        <f t="array" ref="ES16">_xll.EQNXTDZ($A$1,$B16,ES$1)</f>
        <v>6814.4</v>
      </c>
      <c r="ET16" s="116" cm="1">
        <f t="array" ref="ET16">_xll.EQNXTDZ($A$1,$B16,ET$1)</f>
        <v>6955.25</v>
      </c>
      <c r="EU16" s="116" cm="1">
        <f t="array" ref="EU16">_xll.EQNXTDZ($A$1,$B16,EU$1)</f>
        <v>6482.3</v>
      </c>
      <c r="EV16" s="116" cm="1">
        <f t="array" ref="EV16">_xll.EQNXTDZ($A$1,$B16,EV$1)</f>
        <v>7297.45</v>
      </c>
      <c r="EW16" s="116" cm="1">
        <f t="array" ref="EW16">_xll.EQNXTDZ($A$1,$B16,EW$1)</f>
        <v>7271.55</v>
      </c>
      <c r="EX16" s="116" cm="1">
        <f t="array" ref="EX16">_xll.EQNXTDZ($A$1,$B16,EX$1)</f>
        <v>6034.95</v>
      </c>
      <c r="EY16" s="116" cm="1">
        <f t="array" ref="EY16">_xll.EQNXTDZ($A$1,$B16,EY$1)</f>
        <v>4710.6499999999996</v>
      </c>
      <c r="EZ16" s="116" cm="1">
        <f t="array" ref="EZ16">_xll.EQNXTDZ($A$1,$B16,EZ$1)</f>
        <v>5148.3500000000004</v>
      </c>
      <c r="FA16" s="116" cm="1">
        <f t="array" ref="FA16">_xll.EQNXTDZ($A$1,$B16,FA$1)</f>
        <v>5523.15</v>
      </c>
      <c r="FB16" s="116" cm="1">
        <f t="array" ref="FB16">_xll.EQNXTDZ($A$1,$B16,FB$1)</f>
        <v>5991.8</v>
      </c>
      <c r="FC16" s="116" cm="1">
        <f t="array" ref="FC16">_xll.EQNXTDZ($A$1,$B16,FC$1)</f>
        <v>6548.65</v>
      </c>
      <c r="FD16" s="116" cm="1">
        <f t="array" ref="FD16">_xll.EQNXTDZ($A$1,$B16,FD$1)</f>
        <v>6820.4</v>
      </c>
      <c r="FE16" s="116" cm="1">
        <f t="array" ref="FE16">_xll.EQNXTDZ($A$1,$B16,FE$1)</f>
        <v>7085.1</v>
      </c>
      <c r="FF16" s="116" cm="1">
        <f t="array" ref="FF16">_xll.EQNXTDZ($A$1,$B16,FF$1)</f>
        <v>7287.45</v>
      </c>
      <c r="FG16" s="116" cm="1">
        <f t="array" ref="FG16">_xll.EQNXTDZ($A$1,$B16,FG$1)</f>
        <v>7704.95</v>
      </c>
      <c r="FH16" s="116" cm="1">
        <f t="array" ref="FH16">_xll.EQNXTDZ($A$1,$B16,FH$1)</f>
        <v>7466.55</v>
      </c>
      <c r="FI16" s="116" cm="1">
        <f t="array" ref="FI16">_xll.EQNXTDZ($A$1,$B16,FI$1)</f>
        <v>7627.6</v>
      </c>
      <c r="FJ16" s="116" cm="1">
        <f t="array" ref="FJ16">_xll.EQNXTDZ($A$1,$B16,FJ$1)</f>
        <v>7012.6</v>
      </c>
      <c r="FK16" s="116" cm="1">
        <f t="array" ref="FK16">_xll.EQNXTDZ($A$1,$B16,FK$1)</f>
        <v>8610.15</v>
      </c>
      <c r="FL16" s="116" cm="1">
        <f t="array" ref="FL16">_xll.EQNXTDZ($A$1,$B16,FL$1)</f>
        <v>6841.05</v>
      </c>
      <c r="FM16" s="116" cm="1">
        <f t="array" ref="FM16">_xll.EQNXTDZ($A$1,$B16,FM$1)</f>
        <v>8110.9</v>
      </c>
      <c r="FN16" s="116" cm="1">
        <f t="array" ref="FN16">_xll.EQNXTDZ($A$1,$B16,FN$1)</f>
        <v>9486.9</v>
      </c>
      <c r="FO16" s="116" cm="1">
        <f t="array" ref="FO16">_xll.EQNXTDZ($A$1,$B16,FO$1)</f>
        <v>9589.4500000000007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620.6</v>
      </c>
      <c r="IR16" s="116">
        <f>+CL16</f>
        <v>682.85</v>
      </c>
      <c r="IS16" s="116">
        <f>+CO16</f>
        <v>991.7</v>
      </c>
      <c r="IT16" s="116">
        <f>+CR16</f>
        <v>741.9</v>
      </c>
      <c r="IU16" s="116">
        <f>+CU16</f>
        <v>789.6</v>
      </c>
      <c r="IV16" s="116">
        <f>+CX16</f>
        <v>820.3</v>
      </c>
      <c r="IW16" s="116">
        <f>+DA16</f>
        <v>1035.95</v>
      </c>
      <c r="IX16" s="116">
        <f>+DD16</f>
        <v>1380.15</v>
      </c>
      <c r="IY16" s="116">
        <f>+DG16</f>
        <v>1976.75</v>
      </c>
      <c r="IZ16" s="116">
        <f>+DJ16</f>
        <v>2392.4499999999998</v>
      </c>
      <c r="JA16" s="116">
        <f>+DM16</f>
        <v>2463.75</v>
      </c>
      <c r="JB16" s="116">
        <f>+DP16</f>
        <v>2365.15</v>
      </c>
      <c r="JC16" s="116">
        <f>+DS16</f>
        <v>2199.4</v>
      </c>
      <c r="JD16" s="116">
        <f>+DV16</f>
        <v>2559.4499999999998</v>
      </c>
      <c r="JE16" s="116">
        <f>+DY16</f>
        <v>2570.5500000000002</v>
      </c>
      <c r="JF16" s="116">
        <f>+EB16</f>
        <v>2878.5</v>
      </c>
      <c r="JG16" s="116">
        <f>+EE16</f>
        <v>3552.15</v>
      </c>
      <c r="JH16" s="116">
        <f>+EH16</f>
        <v>5338.25</v>
      </c>
      <c r="JI16" s="116">
        <f>+EK16</f>
        <v>5491.35</v>
      </c>
      <c r="JJ16" s="116">
        <f>+EN16</f>
        <v>5066.3</v>
      </c>
      <c r="JK16" s="116">
        <f>EQ16</f>
        <v>6735.9</v>
      </c>
      <c r="JL16" s="116">
        <f>ET16</f>
        <v>6955.25</v>
      </c>
      <c r="JM16" s="116">
        <f>EW16</f>
        <v>7271.55</v>
      </c>
      <c r="JN16" s="116">
        <f>EZ16</f>
        <v>5148.3500000000004</v>
      </c>
      <c r="JO16" s="116">
        <f>FC16</f>
        <v>6548.65</v>
      </c>
      <c r="JP16" s="116">
        <f>FF16</f>
        <v>7287.45</v>
      </c>
      <c r="JQ16" s="116">
        <f>FI16</f>
        <v>7627.6</v>
      </c>
      <c r="JR16" s="116">
        <f>FL16</f>
        <v>6841.05</v>
      </c>
      <c r="JS16" s="116">
        <f>FO16</f>
        <v>9589.4500000000007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677.7</v>
      </c>
      <c r="IR19" s="116">
        <f t="shared" si="1"/>
        <v>709</v>
      </c>
      <c r="IS19" s="116">
        <f t="shared" si="1"/>
        <v>1090.8</v>
      </c>
      <c r="IT19" s="116">
        <f t="shared" si="1"/>
        <v>1180</v>
      </c>
      <c r="IU19" s="116">
        <f t="shared" si="1"/>
        <v>839.1</v>
      </c>
      <c r="IV19" s="116">
        <f t="shared" si="1"/>
        <v>939.95</v>
      </c>
      <c r="IW19" s="116">
        <f t="shared" si="1"/>
        <v>1093.2</v>
      </c>
      <c r="IX19" s="116">
        <f t="shared" si="1"/>
        <v>1444</v>
      </c>
      <c r="IY19" s="116">
        <f t="shared" si="1"/>
        <v>2012</v>
      </c>
      <c r="IZ19" s="116">
        <f t="shared" si="1"/>
        <v>2625</v>
      </c>
      <c r="JA19" s="116">
        <f t="shared" si="1"/>
        <v>2647.4</v>
      </c>
      <c r="JB19" s="116">
        <f t="shared" si="1"/>
        <v>2770.85</v>
      </c>
      <c r="JC19" s="116">
        <f t="shared" si="1"/>
        <v>2820.05</v>
      </c>
      <c r="JD19" s="116">
        <f t="shared" si="1"/>
        <v>2719</v>
      </c>
      <c r="JE19" s="116">
        <f t="shared" si="1"/>
        <v>3025</v>
      </c>
      <c r="JF19" s="116">
        <f t="shared" si="1"/>
        <v>3142</v>
      </c>
      <c r="JG19" s="116">
        <f t="shared" si="1"/>
        <v>3635</v>
      </c>
      <c r="JH19" s="116">
        <f t="shared" si="1"/>
        <v>5398.15</v>
      </c>
      <c r="JI19" s="116">
        <f t="shared" si="1"/>
        <v>5722.9</v>
      </c>
      <c r="JJ19" s="116">
        <f t="shared" ref="JJ19:JJ21" si="2">+IF(JJ14=0,JJ7,JJ14)</f>
        <v>5531.6</v>
      </c>
      <c r="JK19" s="116">
        <f t="shared" ref="JK19" si="3">+IF(JK14=0,JK7,JK14)</f>
        <v>7330</v>
      </c>
      <c r="JL19" s="116">
        <f t="shared" ref="JL19:JM19" si="4">+IF(JL14=0,JL7,JL14)</f>
        <v>7117.35</v>
      </c>
      <c r="JM19" s="116">
        <f t="shared" si="4"/>
        <v>7607.15</v>
      </c>
      <c r="JN19" s="116">
        <f t="shared" ref="JN19:JO19" si="5">+IF(JN14=0,JN7,JN14)</f>
        <v>7449.45</v>
      </c>
      <c r="JO19" s="116">
        <f t="shared" si="5"/>
        <v>6583.4</v>
      </c>
      <c r="JP19" s="116">
        <f t="shared" ref="JP19" si="6">+IF(JP14=0,JP7,JP14)</f>
        <v>7711.3</v>
      </c>
      <c r="JQ19" s="116">
        <f t="shared" ref="JQ19:KH19" si="7">+IF(JQ14=0,JQ7,JQ14)</f>
        <v>7899.5</v>
      </c>
      <c r="JR19" s="116">
        <f t="shared" si="7"/>
        <v>8724.35</v>
      </c>
      <c r="JS19" s="116">
        <f t="shared" si="7"/>
        <v>9830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578</v>
      </c>
      <c r="IR20" s="116">
        <f t="shared" si="1"/>
        <v>525.04999999999995</v>
      </c>
      <c r="IS20" s="116">
        <f t="shared" si="1"/>
        <v>656</v>
      </c>
      <c r="IT20" s="116">
        <f t="shared" si="1"/>
        <v>571.70000000000005</v>
      </c>
      <c r="IU20" s="116">
        <f t="shared" si="1"/>
        <v>624.1</v>
      </c>
      <c r="IV20" s="116">
        <f t="shared" si="1"/>
        <v>792</v>
      </c>
      <c r="IW20" s="116">
        <f t="shared" si="1"/>
        <v>801</v>
      </c>
      <c r="IX20" s="116">
        <f t="shared" si="1"/>
        <v>1030.4000000000001</v>
      </c>
      <c r="IY20" s="116">
        <f t="shared" si="1"/>
        <v>1322.3</v>
      </c>
      <c r="IZ20" s="116">
        <f t="shared" si="1"/>
        <v>1761.25</v>
      </c>
      <c r="JA20" s="116">
        <f t="shared" si="1"/>
        <v>2123</v>
      </c>
      <c r="JB20" s="116">
        <f t="shared" si="1"/>
        <v>2131.35</v>
      </c>
      <c r="JC20" s="116">
        <f t="shared" si="1"/>
        <v>2045</v>
      </c>
      <c r="JD20" s="116">
        <f t="shared" si="1"/>
        <v>2105</v>
      </c>
      <c r="JE20" s="116">
        <f t="shared" si="1"/>
        <v>2500.15</v>
      </c>
      <c r="JF20" s="116">
        <f t="shared" si="1"/>
        <v>2546.8000000000002</v>
      </c>
      <c r="JG20" s="116">
        <f t="shared" si="1"/>
        <v>2880.1</v>
      </c>
      <c r="JH20" s="116">
        <f t="shared" si="1"/>
        <v>3492</v>
      </c>
      <c r="JI20" s="116">
        <f t="shared" si="1"/>
        <v>4811.1000000000004</v>
      </c>
      <c r="JJ20" s="116">
        <f t="shared" si="2"/>
        <v>3812.35</v>
      </c>
      <c r="JK20" s="116">
        <f t="shared" ref="JK20" si="9">+IF(JK15=0,JK8,JK15)</f>
        <v>5001.05</v>
      </c>
      <c r="JL20" s="116">
        <f t="shared" ref="JL20:JM20" si="10">+IF(JL15=0,JL8,JL15)</f>
        <v>5936.4</v>
      </c>
      <c r="JM20" s="116">
        <f t="shared" si="10"/>
        <v>6258.85</v>
      </c>
      <c r="JN20" s="116">
        <f t="shared" ref="JN20:JO20" si="11">+IF(JN15=0,JN8,JN15)</f>
        <v>4557.45</v>
      </c>
      <c r="JO20" s="116">
        <f t="shared" si="11"/>
        <v>4574.55</v>
      </c>
      <c r="JP20" s="116">
        <f t="shared" ref="JP20" si="12">+IF(JP15=0,JP8,JP15)</f>
        <v>6565</v>
      </c>
      <c r="JQ20" s="116">
        <f t="shared" ref="JQ20:KH20" si="13">+IF(JQ15=0,JQ8,JQ15)</f>
        <v>6930.4</v>
      </c>
      <c r="JR20" s="116">
        <f t="shared" si="13"/>
        <v>6660.5</v>
      </c>
      <c r="JS20" s="116">
        <f t="shared" si="13"/>
        <v>6700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620.6</v>
      </c>
      <c r="IR21" s="116">
        <f t="shared" si="1"/>
        <v>682.85</v>
      </c>
      <c r="IS21" s="116">
        <f t="shared" si="1"/>
        <v>991.7</v>
      </c>
      <c r="IT21" s="116">
        <f t="shared" si="1"/>
        <v>741.9</v>
      </c>
      <c r="IU21" s="116">
        <f t="shared" si="1"/>
        <v>789.6</v>
      </c>
      <c r="IV21" s="116">
        <f t="shared" si="1"/>
        <v>820.3</v>
      </c>
      <c r="IW21" s="116">
        <f t="shared" si="1"/>
        <v>1035.95</v>
      </c>
      <c r="IX21" s="116">
        <f t="shared" si="1"/>
        <v>1380.15</v>
      </c>
      <c r="IY21" s="116">
        <f t="shared" si="1"/>
        <v>1976.75</v>
      </c>
      <c r="IZ21" s="116">
        <f t="shared" si="1"/>
        <v>2392.4499999999998</v>
      </c>
      <c r="JA21" s="116">
        <f t="shared" si="1"/>
        <v>2463.75</v>
      </c>
      <c r="JB21" s="116">
        <f t="shared" si="1"/>
        <v>2365.15</v>
      </c>
      <c r="JC21" s="116">
        <f t="shared" si="1"/>
        <v>2199.4</v>
      </c>
      <c r="JD21" s="116">
        <f t="shared" si="1"/>
        <v>2559.4499999999998</v>
      </c>
      <c r="JE21" s="116">
        <f t="shared" si="1"/>
        <v>2570.5500000000002</v>
      </c>
      <c r="JF21" s="116">
        <f t="shared" si="1"/>
        <v>2878.5</v>
      </c>
      <c r="JG21" s="116">
        <f t="shared" si="1"/>
        <v>3552.15</v>
      </c>
      <c r="JH21" s="116">
        <f t="shared" si="1"/>
        <v>5338.25</v>
      </c>
      <c r="JI21" s="116">
        <f t="shared" si="1"/>
        <v>5491.35</v>
      </c>
      <c r="JJ21" s="116">
        <f t="shared" si="2"/>
        <v>5066.3</v>
      </c>
      <c r="JK21" s="116">
        <f t="shared" ref="JK21" si="14">+IF(JK16=0,JK9,JK16)</f>
        <v>6735.9</v>
      </c>
      <c r="JL21" s="116">
        <f t="shared" ref="JL21:JM21" si="15">+IF(JL16=0,JL9,JL16)</f>
        <v>6955.25</v>
      </c>
      <c r="JM21" s="116">
        <f t="shared" si="15"/>
        <v>7271.55</v>
      </c>
      <c r="JN21" s="116">
        <f t="shared" ref="JN21:JO21" si="16">+IF(JN16=0,JN9,JN16)</f>
        <v>5148.3500000000004</v>
      </c>
      <c r="JO21" s="116">
        <f t="shared" si="16"/>
        <v>6548.65</v>
      </c>
      <c r="JP21" s="116">
        <f t="shared" ref="JP21" si="17">+IF(JP16=0,JP9,JP16)</f>
        <v>7287.45</v>
      </c>
      <c r="JQ21" s="116">
        <f t="shared" ref="JQ21:KH21" si="18">+IF(JQ16=0,JQ9,JQ16)</f>
        <v>7627.6</v>
      </c>
      <c r="JR21" s="116">
        <f t="shared" si="18"/>
        <v>6841.05</v>
      </c>
      <c r="JS21" s="116">
        <f t="shared" si="18"/>
        <v>9589.4500000000007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211337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201512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70602919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141205838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141205838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141205838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141205838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148645905</v>
      </c>
      <c r="AF6" cm="1">
        <f t="array" ref="AF6">_xll.EQNXTDZ($A$1,$B6,AF$1)</f>
        <v>148645905</v>
      </c>
      <c r="AG6" cm="1">
        <f t="array" ref="AG6">_xll.EQNXTDZ($A$1,$B6,AG$1)</f>
        <v>148829753</v>
      </c>
      <c r="AH6" cm="1">
        <f t="array" ref="AH6">_xll.EQNXTDZ($A$1,$B6,AH$1)</f>
        <v>148879373</v>
      </c>
      <c r="AI6" cm="1">
        <f t="array" ref="AI6">_xll.EQNXTDZ($A$1,$B6,AI$1)</f>
        <v>148933123</v>
      </c>
      <c r="AJ6" cm="1">
        <f t="array" ref="AJ6">_xll.EQNXTDZ($A$1,$B6,AJ$1)</f>
        <v>148977836</v>
      </c>
      <c r="AK6" cm="1">
        <f t="array" ref="AK6">_xll.EQNXTDZ($A$1,$B6,AK$1)</f>
        <v>149073304</v>
      </c>
      <c r="AL6" cm="1">
        <f t="array" ref="AL6">_xll.EQNXTDZ($A$1,$B6,AL$1)</f>
        <v>149118814</v>
      </c>
      <c r="AM6" cm="1">
        <f t="array" ref="AM6">_xll.EQNXTDZ($A$1,$B6,AM$1)</f>
        <v>149159519</v>
      </c>
      <c r="AN6" cm="1">
        <f t="array" ref="AN6">_xll.EQNXTDZ($A$1,$B6,AN$1)</f>
        <v>149256214</v>
      </c>
      <c r="AO6" cm="1">
        <f t="array" ref="AO6">_xll.EQNXTDZ($A$1,$B6,AO$1)</f>
        <v>149388907</v>
      </c>
      <c r="AP6" cm="1">
        <f t="array" ref="AP6">_xll.EQNXTDZ($A$1,$B6,AP$1)</f>
        <v>149443040</v>
      </c>
      <c r="AQ6" cm="1">
        <f t="array" ref="AQ6">_xll.EQNXTDZ($A$1,$B6,AQ$1)</f>
        <v>149606129</v>
      </c>
      <c r="AR6" cm="1">
        <f t="array" ref="AR6">_xll.EQNXTDZ($A$1,$B6,AR$1)</f>
        <v>149651002</v>
      </c>
      <c r="AS6" cm="1">
        <f t="array" ref="AS6">_xll.EQNXTDZ($A$1,$B6,AS$1)</f>
        <v>149706717</v>
      </c>
      <c r="AT6" cm="1">
        <f t="array" ref="AT6">_xll.EQNXTDZ($A$1,$B6,AT$1)</f>
        <v>149765278</v>
      </c>
      <c r="AU6" cm="1">
        <f t="array" ref="AU6">_xll.EQNXTDZ($A$1,$B6,AU$1)</f>
        <v>149864965</v>
      </c>
      <c r="AV6" cm="1">
        <f t="array" ref="AV6">_xll.EQNXTDZ($A$1,$B6,AV$1)</f>
        <v>150029075</v>
      </c>
      <c r="AW6" cm="1">
        <f t="array" ref="AW6">_xll.EQNXTDZ($A$1,$B6,AW$1)</f>
        <v>150166520</v>
      </c>
      <c r="AX6" cm="1">
        <f t="array" ref="AX6">_xll.EQNXTDZ($A$1,$B6,AX$1)</f>
        <v>150236395</v>
      </c>
      <c r="AY6" cm="1">
        <f t="array" ref="AY6">_xll.EQNXTDZ($A$1,$B6,AY$1)</f>
        <v>150348840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7.0602919000000002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14.1205838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14.1205838</v>
      </c>
      <c r="R7" s="100">
        <f t="shared" si="0"/>
        <v>0</v>
      </c>
      <c r="S7" s="100">
        <f t="shared" si="0"/>
        <v>0</v>
      </c>
      <c r="T7" s="100">
        <f t="shared" si="0"/>
        <v>14.1205838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14.1205838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14.8645905</v>
      </c>
      <c r="AF7" s="100">
        <f t="shared" si="1"/>
        <v>14.8645905</v>
      </c>
      <c r="AG7" s="100">
        <f t="shared" si="1"/>
        <v>14.8829753</v>
      </c>
      <c r="AH7" s="100">
        <f t="shared" si="1"/>
        <v>14.887937300000001</v>
      </c>
      <c r="AI7" s="100">
        <f t="shared" si="1"/>
        <v>14.8933123</v>
      </c>
      <c r="AJ7" s="100">
        <f t="shared" si="1"/>
        <v>14.8977836</v>
      </c>
      <c r="AK7" s="100">
        <f t="shared" si="1"/>
        <v>14.907330399999999</v>
      </c>
      <c r="AL7" s="100">
        <f t="shared" si="1"/>
        <v>14.9118814</v>
      </c>
      <c r="AM7" s="100">
        <f t="shared" si="1"/>
        <v>14.9159519</v>
      </c>
      <c r="AN7" s="100">
        <f t="shared" si="1"/>
        <v>14.925621400000001</v>
      </c>
      <c r="AO7" s="100">
        <f t="shared" si="1"/>
        <v>14.9388907</v>
      </c>
      <c r="AP7" s="100">
        <f t="shared" si="1"/>
        <v>14.944304000000001</v>
      </c>
      <c r="AQ7" s="100">
        <f t="shared" si="1"/>
        <v>14.960612899999999</v>
      </c>
      <c r="AR7" s="100">
        <f t="shared" si="1"/>
        <v>14.9651002</v>
      </c>
      <c r="AS7" s="100">
        <f t="shared" si="1"/>
        <v>14.9706717</v>
      </c>
      <c r="AT7" s="100">
        <f t="shared" ref="AT7:AX7" si="2">+AT6/10^7</f>
        <v>14.9765278</v>
      </c>
      <c r="AU7" s="100">
        <f t="shared" si="2"/>
        <v>14.986496499999999</v>
      </c>
      <c r="AV7" s="100">
        <f t="shared" si="2"/>
        <v>15.002907499999999</v>
      </c>
      <c r="AW7" s="100">
        <f t="shared" si="2"/>
        <v>15.016652000000001</v>
      </c>
      <c r="AX7" s="100">
        <f t="shared" si="2"/>
        <v>15.0236395</v>
      </c>
      <c r="AY7" s="100">
        <f t="shared" ref="AY7" si="3">+AY6/10^7</f>
        <v>15.034884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211337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43571</v>
      </c>
      <c r="B4" s="116">
        <v>667.55</v>
      </c>
      <c r="C4" s="116">
        <v>655</v>
      </c>
      <c r="D4" s="116">
        <v>633</v>
      </c>
      <c r="E4" s="116">
        <v>633</v>
      </c>
      <c r="F4" s="116">
        <v>655</v>
      </c>
      <c r="G4">
        <v>2242831</v>
      </c>
      <c r="H4" s="116"/>
      <c r="I4" s="116"/>
      <c r="L4" s="170">
        <v>43571</v>
      </c>
      <c r="M4" s="116">
        <v>654.79999999999995</v>
      </c>
      <c r="N4" s="116">
        <v>667.8</v>
      </c>
      <c r="O4" s="116">
        <v>630</v>
      </c>
      <c r="P4" s="116">
        <v>633</v>
      </c>
      <c r="Q4" s="116">
        <v>654.79999999999995</v>
      </c>
      <c r="R4">
        <v>22985293</v>
      </c>
    </row>
    <row r="5" spans="1:18" x14ac:dyDescent="0.25">
      <c r="A5" s="170">
        <v>43573</v>
      </c>
      <c r="B5" s="116">
        <v>664.9</v>
      </c>
      <c r="C5" s="116">
        <v>640.45000000000005</v>
      </c>
      <c r="D5" s="116">
        <v>614.35</v>
      </c>
      <c r="E5" s="116">
        <v>656.95</v>
      </c>
      <c r="F5" s="116">
        <v>640.45000000000005</v>
      </c>
      <c r="G5">
        <v>610133</v>
      </c>
      <c r="H5" s="116"/>
      <c r="I5" s="116"/>
      <c r="L5" s="170">
        <v>43573</v>
      </c>
      <c r="M5" s="116">
        <v>643.54999999999995</v>
      </c>
      <c r="N5" s="116">
        <v>664.9</v>
      </c>
      <c r="O5" s="116">
        <v>614</v>
      </c>
      <c r="P5" s="116">
        <v>656.9</v>
      </c>
      <c r="Q5" s="116">
        <v>643.54999999999995</v>
      </c>
      <c r="R5">
        <v>5415019</v>
      </c>
    </row>
    <row r="6" spans="1:18" x14ac:dyDescent="0.25">
      <c r="A6" s="170">
        <v>43577</v>
      </c>
      <c r="B6" s="116">
        <v>644.70000000000005</v>
      </c>
      <c r="C6" s="116">
        <v>628.54999999999995</v>
      </c>
      <c r="D6" s="116">
        <v>626</v>
      </c>
      <c r="E6" s="116">
        <v>642.79999999999995</v>
      </c>
      <c r="F6" s="116">
        <v>628.54999999999995</v>
      </c>
      <c r="G6">
        <v>130098</v>
      </c>
      <c r="H6" s="116"/>
      <c r="I6" s="116"/>
      <c r="L6" s="170">
        <v>43577</v>
      </c>
      <c r="M6" s="116">
        <v>628.1</v>
      </c>
      <c r="N6" s="116">
        <v>645.79999999999995</v>
      </c>
      <c r="O6" s="116">
        <v>625.25</v>
      </c>
      <c r="P6" s="116">
        <v>643</v>
      </c>
      <c r="Q6" s="116">
        <v>628.1</v>
      </c>
      <c r="R6">
        <v>1059760</v>
      </c>
    </row>
    <row r="7" spans="1:18" x14ac:dyDescent="0.25">
      <c r="A7" s="170">
        <v>43578</v>
      </c>
      <c r="B7" s="116">
        <v>647.5</v>
      </c>
      <c r="C7" s="116">
        <v>634.1</v>
      </c>
      <c r="D7" s="116">
        <v>629</v>
      </c>
      <c r="E7" s="116">
        <v>629.95000000000005</v>
      </c>
      <c r="F7" s="116">
        <v>634.1</v>
      </c>
      <c r="G7">
        <v>125131</v>
      </c>
      <c r="H7" s="116"/>
      <c r="I7" s="116"/>
      <c r="L7" s="170">
        <v>43578</v>
      </c>
      <c r="M7" s="116">
        <v>634.1</v>
      </c>
      <c r="N7" s="116">
        <v>648</v>
      </c>
      <c r="O7" s="116">
        <v>628</v>
      </c>
      <c r="P7" s="116">
        <v>628</v>
      </c>
      <c r="Q7" s="116">
        <v>634.1</v>
      </c>
      <c r="R7">
        <v>1208860</v>
      </c>
    </row>
    <row r="8" spans="1:18" x14ac:dyDescent="0.25">
      <c r="A8" s="170">
        <v>43579</v>
      </c>
      <c r="B8" s="116">
        <v>639.35</v>
      </c>
      <c r="C8" s="116">
        <v>635.95000000000005</v>
      </c>
      <c r="D8" s="116">
        <v>628.5</v>
      </c>
      <c r="E8" s="116">
        <v>636</v>
      </c>
      <c r="F8" s="116">
        <v>635.95000000000005</v>
      </c>
      <c r="G8">
        <v>95909</v>
      </c>
      <c r="H8" s="116"/>
      <c r="I8" s="116"/>
      <c r="L8" s="170">
        <v>43579</v>
      </c>
      <c r="M8" s="116">
        <v>637.5</v>
      </c>
      <c r="N8" s="116">
        <v>640</v>
      </c>
      <c r="O8" s="116">
        <v>628.25</v>
      </c>
      <c r="P8" s="116">
        <v>636.5</v>
      </c>
      <c r="Q8" s="116">
        <v>637.5</v>
      </c>
      <c r="R8">
        <v>1016453</v>
      </c>
    </row>
    <row r="9" spans="1:18" x14ac:dyDescent="0.25">
      <c r="A9" s="170">
        <v>43580</v>
      </c>
      <c r="B9" s="116">
        <v>651</v>
      </c>
      <c r="C9" s="116">
        <v>638.5</v>
      </c>
      <c r="D9" s="116">
        <v>634</v>
      </c>
      <c r="E9" s="116">
        <v>638</v>
      </c>
      <c r="F9" s="116">
        <v>638.5</v>
      </c>
      <c r="G9">
        <v>140994</v>
      </c>
      <c r="H9" s="116"/>
      <c r="I9" s="116"/>
      <c r="L9" s="170">
        <v>43580</v>
      </c>
      <c r="M9" s="116">
        <v>639.6</v>
      </c>
      <c r="N9" s="116">
        <v>652</v>
      </c>
      <c r="O9" s="116">
        <v>633</v>
      </c>
      <c r="P9" s="116">
        <v>639.20000000000005</v>
      </c>
      <c r="Q9" s="116">
        <v>639.6</v>
      </c>
      <c r="R9">
        <v>1261972</v>
      </c>
    </row>
    <row r="10" spans="1:18" x14ac:dyDescent="0.25">
      <c r="A10" s="170">
        <v>43581</v>
      </c>
      <c r="B10" s="116">
        <v>646.79999999999995</v>
      </c>
      <c r="C10" s="116">
        <v>643.4</v>
      </c>
      <c r="D10" s="116">
        <v>639.9</v>
      </c>
      <c r="E10" s="116">
        <v>640</v>
      </c>
      <c r="F10" s="116">
        <v>643.4</v>
      </c>
      <c r="G10">
        <v>68747</v>
      </c>
      <c r="H10" s="116"/>
      <c r="I10" s="116"/>
      <c r="L10" s="170">
        <v>43581</v>
      </c>
      <c r="M10" s="116">
        <v>644.65</v>
      </c>
      <c r="N10" s="116">
        <v>647.4</v>
      </c>
      <c r="O10" s="116">
        <v>640</v>
      </c>
      <c r="P10" s="116">
        <v>642</v>
      </c>
      <c r="Q10" s="116">
        <v>644.65</v>
      </c>
      <c r="R10">
        <v>594976</v>
      </c>
    </row>
    <row r="11" spans="1:18" x14ac:dyDescent="0.25">
      <c r="A11" s="170">
        <v>43585</v>
      </c>
      <c r="B11" s="116">
        <v>646</v>
      </c>
      <c r="C11" s="116">
        <v>638.54999999999995</v>
      </c>
      <c r="D11" s="116">
        <v>631</v>
      </c>
      <c r="E11" s="116">
        <v>644.65</v>
      </c>
      <c r="F11" s="116">
        <v>638.54999999999995</v>
      </c>
      <c r="G11">
        <v>38748</v>
      </c>
      <c r="H11" s="116"/>
      <c r="I11" s="116"/>
      <c r="L11" s="170">
        <v>43585</v>
      </c>
      <c r="M11" s="116">
        <v>639.25</v>
      </c>
      <c r="N11" s="116">
        <v>646.95000000000005</v>
      </c>
      <c r="O11" s="116">
        <v>630.15</v>
      </c>
      <c r="P11" s="116">
        <v>646.95000000000005</v>
      </c>
      <c r="Q11" s="116">
        <v>639.25</v>
      </c>
      <c r="R11">
        <v>519904</v>
      </c>
    </row>
    <row r="12" spans="1:18" x14ac:dyDescent="0.25">
      <c r="A12" s="170">
        <v>43587</v>
      </c>
      <c r="B12" s="116">
        <v>649.70000000000005</v>
      </c>
      <c r="C12" s="116">
        <v>639.4</v>
      </c>
      <c r="D12" s="116">
        <v>633.79999999999995</v>
      </c>
      <c r="E12" s="116">
        <v>640</v>
      </c>
      <c r="F12" s="116">
        <v>639.4</v>
      </c>
      <c r="G12">
        <v>59362</v>
      </c>
      <c r="H12" s="116"/>
      <c r="I12" s="116"/>
      <c r="L12" s="170">
        <v>43587</v>
      </c>
      <c r="M12" s="116">
        <v>641.25</v>
      </c>
      <c r="N12" s="116">
        <v>651</v>
      </c>
      <c r="O12" s="116">
        <v>631</v>
      </c>
      <c r="P12" s="116">
        <v>638.9</v>
      </c>
      <c r="Q12" s="116">
        <v>641.25</v>
      </c>
      <c r="R12">
        <v>514478</v>
      </c>
    </row>
    <row r="13" spans="1:18" x14ac:dyDescent="0.25">
      <c r="A13" s="170">
        <v>43588</v>
      </c>
      <c r="B13" s="116">
        <v>645</v>
      </c>
      <c r="C13" s="116">
        <v>641.65</v>
      </c>
      <c r="D13" s="116">
        <v>637.04999999999995</v>
      </c>
      <c r="E13" s="116">
        <v>641.04999999999995</v>
      </c>
      <c r="F13" s="116">
        <v>641.65</v>
      </c>
      <c r="G13">
        <v>44030</v>
      </c>
      <c r="H13" s="116"/>
      <c r="I13" s="116"/>
      <c r="L13" s="170">
        <v>43588</v>
      </c>
      <c r="M13" s="116">
        <v>641.85</v>
      </c>
      <c r="N13" s="116">
        <v>646</v>
      </c>
      <c r="O13" s="116">
        <v>637.65</v>
      </c>
      <c r="P13" s="116">
        <v>642.70000000000005</v>
      </c>
      <c r="Q13" s="116">
        <v>641.85</v>
      </c>
      <c r="R13">
        <v>271431</v>
      </c>
    </row>
    <row r="14" spans="1:18" x14ac:dyDescent="0.25">
      <c r="A14" s="170">
        <v>43591</v>
      </c>
      <c r="B14" s="116">
        <v>648.29999999999995</v>
      </c>
      <c r="C14" s="116">
        <v>642.65</v>
      </c>
      <c r="D14" s="116">
        <v>634.4</v>
      </c>
      <c r="E14" s="116">
        <v>637.9</v>
      </c>
      <c r="F14" s="116">
        <v>642.65</v>
      </c>
      <c r="G14">
        <v>51615</v>
      </c>
      <c r="H14" s="116"/>
      <c r="I14" s="116"/>
      <c r="L14" s="170">
        <v>43591</v>
      </c>
      <c r="M14" s="116">
        <v>642.70000000000005</v>
      </c>
      <c r="N14" s="116">
        <v>649.9</v>
      </c>
      <c r="O14" s="116">
        <v>633</v>
      </c>
      <c r="P14" s="116">
        <v>638</v>
      </c>
      <c r="Q14" s="116">
        <v>642.70000000000005</v>
      </c>
      <c r="R14">
        <v>425268</v>
      </c>
    </row>
    <row r="15" spans="1:18" x14ac:dyDescent="0.25">
      <c r="A15" s="170">
        <v>43592</v>
      </c>
      <c r="B15" s="116">
        <v>652.9</v>
      </c>
      <c r="C15" s="116">
        <v>648.1</v>
      </c>
      <c r="D15" s="116">
        <v>642.6</v>
      </c>
      <c r="E15" s="116">
        <v>645</v>
      </c>
      <c r="F15" s="116">
        <v>648.1</v>
      </c>
      <c r="G15">
        <v>66968</v>
      </c>
      <c r="H15" s="116"/>
      <c r="I15" s="116"/>
      <c r="L15" s="170">
        <v>43592</v>
      </c>
      <c r="M15" s="116">
        <v>648.6</v>
      </c>
      <c r="N15" s="116">
        <v>653.5</v>
      </c>
      <c r="O15" s="116">
        <v>643</v>
      </c>
      <c r="P15" s="116">
        <v>644.95000000000005</v>
      </c>
      <c r="Q15" s="116">
        <v>648.6</v>
      </c>
      <c r="R15">
        <v>580548</v>
      </c>
    </row>
    <row r="16" spans="1:18" x14ac:dyDescent="0.25">
      <c r="A16" s="170">
        <v>43593</v>
      </c>
      <c r="B16" s="116">
        <v>646.5</v>
      </c>
      <c r="C16" s="116">
        <v>643.79999999999995</v>
      </c>
      <c r="D16" s="116">
        <v>639.20000000000005</v>
      </c>
      <c r="E16" s="116">
        <v>645</v>
      </c>
      <c r="F16" s="116">
        <v>643.79999999999995</v>
      </c>
      <c r="G16">
        <v>25563</v>
      </c>
      <c r="H16" s="116"/>
      <c r="I16" s="116"/>
      <c r="L16" s="170">
        <v>43593</v>
      </c>
      <c r="M16" s="116">
        <v>646</v>
      </c>
      <c r="N16" s="116">
        <v>648</v>
      </c>
      <c r="O16" s="116">
        <v>640.15</v>
      </c>
      <c r="P16" s="116">
        <v>646</v>
      </c>
      <c r="Q16" s="116">
        <v>646</v>
      </c>
      <c r="R16">
        <v>264484</v>
      </c>
    </row>
    <row r="17" spans="1:18" x14ac:dyDescent="0.25">
      <c r="A17" s="170">
        <v>43594</v>
      </c>
      <c r="B17" s="116">
        <v>645.9</v>
      </c>
      <c r="C17" s="116">
        <v>643.65</v>
      </c>
      <c r="D17" s="116">
        <v>639.9</v>
      </c>
      <c r="E17" s="116">
        <v>644.20000000000005</v>
      </c>
      <c r="F17" s="116">
        <v>643.65</v>
      </c>
      <c r="G17">
        <v>17307</v>
      </c>
      <c r="H17" s="116"/>
      <c r="I17" s="116"/>
      <c r="L17" s="170">
        <v>43594</v>
      </c>
      <c r="M17" s="116">
        <v>645.70000000000005</v>
      </c>
      <c r="N17" s="116">
        <v>647.4</v>
      </c>
      <c r="O17" s="116">
        <v>639.35</v>
      </c>
      <c r="P17" s="116">
        <v>646.25</v>
      </c>
      <c r="Q17" s="116">
        <v>645.70000000000005</v>
      </c>
      <c r="R17">
        <v>301291</v>
      </c>
    </row>
    <row r="18" spans="1:18" x14ac:dyDescent="0.25">
      <c r="A18" s="170">
        <v>43595</v>
      </c>
      <c r="B18" s="116">
        <v>677.7</v>
      </c>
      <c r="C18" s="116">
        <v>655.8</v>
      </c>
      <c r="D18" s="116">
        <v>644.04999999999995</v>
      </c>
      <c r="E18" s="116">
        <v>644.04999999999995</v>
      </c>
      <c r="F18" s="116">
        <v>655.8</v>
      </c>
      <c r="G18">
        <v>103954</v>
      </c>
      <c r="H18" s="116"/>
      <c r="I18" s="116"/>
      <c r="L18" s="170">
        <v>43595</v>
      </c>
      <c r="M18" s="116">
        <v>655.15</v>
      </c>
      <c r="N18" s="116">
        <v>677.7</v>
      </c>
      <c r="O18" s="116">
        <v>645.29999999999995</v>
      </c>
      <c r="P18" s="116">
        <v>646.04999999999995</v>
      </c>
      <c r="Q18" s="116">
        <v>655.15</v>
      </c>
      <c r="R18">
        <v>771913</v>
      </c>
    </row>
    <row r="19" spans="1:18" x14ac:dyDescent="0.25">
      <c r="A19" s="170">
        <v>43598</v>
      </c>
      <c r="B19" s="116">
        <v>661.5</v>
      </c>
      <c r="C19" s="116">
        <v>652.6</v>
      </c>
      <c r="D19" s="116">
        <v>649</v>
      </c>
      <c r="E19" s="116">
        <v>657</v>
      </c>
      <c r="F19" s="116">
        <v>652.6</v>
      </c>
      <c r="G19">
        <v>37167</v>
      </c>
      <c r="H19" s="116"/>
      <c r="I19" s="116"/>
      <c r="L19" s="170">
        <v>43598</v>
      </c>
      <c r="M19" s="116">
        <v>654.9</v>
      </c>
      <c r="N19" s="116">
        <v>662</v>
      </c>
      <c r="O19" s="116">
        <v>651.04999999999995</v>
      </c>
      <c r="P19" s="116">
        <v>660.6</v>
      </c>
      <c r="Q19" s="116">
        <v>654.9</v>
      </c>
      <c r="R19">
        <v>301861</v>
      </c>
    </row>
    <row r="20" spans="1:18" x14ac:dyDescent="0.25">
      <c r="A20" s="170">
        <v>43599</v>
      </c>
      <c r="B20" s="116">
        <v>657.8</v>
      </c>
      <c r="C20" s="116">
        <v>632.85</v>
      </c>
      <c r="D20" s="116">
        <v>626</v>
      </c>
      <c r="E20" s="116">
        <v>651</v>
      </c>
      <c r="F20" s="116">
        <v>632.85</v>
      </c>
      <c r="G20">
        <v>104563</v>
      </c>
      <c r="H20" s="116"/>
      <c r="I20" s="116"/>
      <c r="L20" s="170">
        <v>43599</v>
      </c>
      <c r="M20" s="116">
        <v>633.75</v>
      </c>
      <c r="N20" s="116">
        <v>659.75</v>
      </c>
      <c r="O20" s="116">
        <v>626.29999999999995</v>
      </c>
      <c r="P20" s="116">
        <v>656</v>
      </c>
      <c r="Q20" s="116">
        <v>633.75</v>
      </c>
      <c r="R20">
        <v>1069899</v>
      </c>
    </row>
    <row r="21" spans="1:18" x14ac:dyDescent="0.25">
      <c r="A21" s="170">
        <v>43600</v>
      </c>
      <c r="B21" s="116">
        <v>624.5</v>
      </c>
      <c r="C21" s="116">
        <v>620.25</v>
      </c>
      <c r="D21" s="116">
        <v>603.45000000000005</v>
      </c>
      <c r="E21" s="116">
        <v>623</v>
      </c>
      <c r="F21" s="116">
        <v>620.25</v>
      </c>
      <c r="G21">
        <v>81718</v>
      </c>
      <c r="H21" s="116"/>
      <c r="I21" s="116"/>
      <c r="L21" s="170">
        <v>43600</v>
      </c>
      <c r="M21" s="116">
        <v>620.65</v>
      </c>
      <c r="N21" s="116">
        <v>625.70000000000005</v>
      </c>
      <c r="O21" s="116">
        <v>602</v>
      </c>
      <c r="P21" s="116">
        <v>620</v>
      </c>
      <c r="Q21" s="116">
        <v>620.65</v>
      </c>
      <c r="R21">
        <v>1442391</v>
      </c>
    </row>
    <row r="22" spans="1:18" x14ac:dyDescent="0.25">
      <c r="A22" s="170">
        <v>43601</v>
      </c>
      <c r="B22" s="116">
        <v>625</v>
      </c>
      <c r="C22" s="116">
        <v>600.35</v>
      </c>
      <c r="D22" s="116">
        <v>585</v>
      </c>
      <c r="E22" s="116">
        <v>625</v>
      </c>
      <c r="F22" s="116">
        <v>600.35</v>
      </c>
      <c r="G22">
        <v>98325</v>
      </c>
      <c r="H22" s="116"/>
      <c r="I22" s="116"/>
      <c r="L22" s="170">
        <v>43601</v>
      </c>
      <c r="M22" s="116">
        <v>599.35</v>
      </c>
      <c r="N22" s="116">
        <v>625</v>
      </c>
      <c r="O22" s="116">
        <v>583.29999999999995</v>
      </c>
      <c r="P22" s="116">
        <v>625</v>
      </c>
      <c r="Q22" s="116">
        <v>599.35</v>
      </c>
      <c r="R22">
        <v>918393</v>
      </c>
    </row>
    <row r="23" spans="1:18" x14ac:dyDescent="0.25">
      <c r="A23" s="170">
        <v>43602</v>
      </c>
      <c r="B23" s="116">
        <v>600.95000000000005</v>
      </c>
      <c r="C23" s="116">
        <v>592</v>
      </c>
      <c r="D23" s="116">
        <v>586.25</v>
      </c>
      <c r="E23" s="116">
        <v>600.79999999999995</v>
      </c>
      <c r="F23" s="116">
        <v>592</v>
      </c>
      <c r="G23">
        <v>41632</v>
      </c>
      <c r="H23" s="116"/>
      <c r="I23" s="116"/>
      <c r="L23" s="170">
        <v>43602</v>
      </c>
      <c r="M23" s="116">
        <v>595.70000000000005</v>
      </c>
      <c r="N23" s="116">
        <v>601.5</v>
      </c>
      <c r="O23" s="116">
        <v>587</v>
      </c>
      <c r="P23" s="116">
        <v>596.15</v>
      </c>
      <c r="Q23" s="116">
        <v>595.70000000000005</v>
      </c>
      <c r="R23">
        <v>328115</v>
      </c>
    </row>
    <row r="24" spans="1:18" x14ac:dyDescent="0.25">
      <c r="A24" s="170">
        <v>43605</v>
      </c>
      <c r="B24" s="116">
        <v>610.65</v>
      </c>
      <c r="C24" s="116">
        <v>603.85</v>
      </c>
      <c r="D24" s="116">
        <v>594.75</v>
      </c>
      <c r="E24" s="116">
        <v>610</v>
      </c>
      <c r="F24" s="116">
        <v>603.85</v>
      </c>
      <c r="G24">
        <v>29107</v>
      </c>
      <c r="H24" s="116"/>
      <c r="I24" s="116"/>
      <c r="L24" s="170">
        <v>43605</v>
      </c>
      <c r="M24" s="116">
        <v>604.85</v>
      </c>
      <c r="N24" s="116">
        <v>612.65</v>
      </c>
      <c r="O24" s="116">
        <v>595</v>
      </c>
      <c r="P24" s="116">
        <v>610</v>
      </c>
      <c r="Q24" s="116">
        <v>604.85</v>
      </c>
      <c r="R24">
        <v>728223</v>
      </c>
    </row>
    <row r="25" spans="1:18" x14ac:dyDescent="0.25">
      <c r="A25" s="170">
        <v>43606</v>
      </c>
      <c r="B25" s="116">
        <v>608.4</v>
      </c>
      <c r="C25" s="116">
        <v>603.04999999999995</v>
      </c>
      <c r="D25" s="116">
        <v>599.04999999999995</v>
      </c>
      <c r="E25" s="116">
        <v>603.85</v>
      </c>
      <c r="F25" s="116">
        <v>603.04999999999995</v>
      </c>
      <c r="G25">
        <v>18436</v>
      </c>
      <c r="H25" s="116"/>
      <c r="I25" s="116"/>
      <c r="L25" s="170">
        <v>43606</v>
      </c>
      <c r="M25" s="116">
        <v>605.04999999999995</v>
      </c>
      <c r="N25" s="116">
        <v>609</v>
      </c>
      <c r="O25" s="116">
        <v>599</v>
      </c>
      <c r="P25" s="116">
        <v>605</v>
      </c>
      <c r="Q25" s="116">
        <v>605.04999999999995</v>
      </c>
      <c r="R25">
        <v>252936</v>
      </c>
    </row>
    <row r="26" spans="1:18" x14ac:dyDescent="0.25">
      <c r="A26" s="170">
        <v>43607</v>
      </c>
      <c r="B26" s="116">
        <v>624</v>
      </c>
      <c r="C26" s="116">
        <v>609.65</v>
      </c>
      <c r="D26" s="116">
        <v>600.65</v>
      </c>
      <c r="E26" s="116">
        <v>606</v>
      </c>
      <c r="F26" s="116">
        <v>609.65</v>
      </c>
      <c r="G26">
        <v>52619</v>
      </c>
      <c r="H26" s="116"/>
      <c r="I26" s="116"/>
      <c r="L26" s="170">
        <v>43607</v>
      </c>
      <c r="M26" s="116">
        <v>609.75</v>
      </c>
      <c r="N26" s="116">
        <v>623.6</v>
      </c>
      <c r="O26" s="116">
        <v>601.1</v>
      </c>
      <c r="P26" s="116">
        <v>605.04999999999995</v>
      </c>
      <c r="Q26" s="116">
        <v>609.75</v>
      </c>
      <c r="R26">
        <v>282577</v>
      </c>
    </row>
    <row r="27" spans="1:18" x14ac:dyDescent="0.25">
      <c r="A27" s="170">
        <v>43608</v>
      </c>
      <c r="B27" s="116">
        <v>619.79999999999995</v>
      </c>
      <c r="C27" s="116">
        <v>600.6</v>
      </c>
      <c r="D27" s="116">
        <v>600</v>
      </c>
      <c r="E27" s="116">
        <v>611</v>
      </c>
      <c r="F27" s="116">
        <v>600.6</v>
      </c>
      <c r="G27">
        <v>23732</v>
      </c>
      <c r="H27" s="116"/>
      <c r="I27" s="116"/>
      <c r="L27" s="170">
        <v>43608</v>
      </c>
      <c r="M27" s="116">
        <v>601.9</v>
      </c>
      <c r="N27" s="116">
        <v>619.65</v>
      </c>
      <c r="O27" s="116">
        <v>600</v>
      </c>
      <c r="P27" s="116">
        <v>614.5</v>
      </c>
      <c r="Q27" s="116">
        <v>601.9</v>
      </c>
      <c r="R27">
        <v>200009</v>
      </c>
    </row>
    <row r="28" spans="1:18" x14ac:dyDescent="0.25">
      <c r="A28" s="170">
        <v>43609</v>
      </c>
      <c r="B28" s="116">
        <v>608.95000000000005</v>
      </c>
      <c r="C28" s="116">
        <v>604.35</v>
      </c>
      <c r="D28" s="116">
        <v>601.65</v>
      </c>
      <c r="E28" s="116">
        <v>604.45000000000005</v>
      </c>
      <c r="F28" s="116">
        <v>604.35</v>
      </c>
      <c r="G28">
        <v>13340</v>
      </c>
      <c r="H28" s="116"/>
      <c r="I28" s="116"/>
      <c r="L28" s="170">
        <v>43609</v>
      </c>
      <c r="M28" s="116">
        <v>605.15</v>
      </c>
      <c r="N28" s="116">
        <v>609.75</v>
      </c>
      <c r="O28" s="116">
        <v>602.35</v>
      </c>
      <c r="P28" s="116">
        <v>605</v>
      </c>
      <c r="Q28" s="116">
        <v>605.15</v>
      </c>
      <c r="R28">
        <v>150951</v>
      </c>
    </row>
    <row r="29" spans="1:18" x14ac:dyDescent="0.25">
      <c r="A29" s="170">
        <v>43612</v>
      </c>
      <c r="B29" s="116">
        <v>631.5</v>
      </c>
      <c r="C29" s="116">
        <v>618.45000000000005</v>
      </c>
      <c r="D29" s="116">
        <v>605.75</v>
      </c>
      <c r="E29" s="116">
        <v>609</v>
      </c>
      <c r="F29" s="116">
        <v>618.45000000000005</v>
      </c>
      <c r="G29">
        <v>31026</v>
      </c>
      <c r="H29" s="116"/>
      <c r="I29" s="116"/>
      <c r="L29" s="170">
        <v>43612</v>
      </c>
      <c r="M29" s="116">
        <v>620.20000000000005</v>
      </c>
      <c r="N29" s="116">
        <v>633</v>
      </c>
      <c r="O29" s="116">
        <v>606.25</v>
      </c>
      <c r="P29" s="116">
        <v>608.75</v>
      </c>
      <c r="Q29" s="116">
        <v>620.20000000000005</v>
      </c>
      <c r="R29">
        <v>262413</v>
      </c>
    </row>
    <row r="30" spans="1:18" x14ac:dyDescent="0.25">
      <c r="A30" s="170">
        <v>43613</v>
      </c>
      <c r="B30" s="116">
        <v>629</v>
      </c>
      <c r="C30" s="116">
        <v>622.54999999999995</v>
      </c>
      <c r="D30" s="116">
        <v>621</v>
      </c>
      <c r="E30" s="116">
        <v>624</v>
      </c>
      <c r="F30" s="116">
        <v>622.54999999999995</v>
      </c>
      <c r="G30">
        <v>6598</v>
      </c>
      <c r="H30" s="116"/>
      <c r="I30" s="116"/>
      <c r="L30" s="170">
        <v>43613</v>
      </c>
      <c r="M30" s="116">
        <v>625.75</v>
      </c>
      <c r="N30" s="116">
        <v>630</v>
      </c>
      <c r="O30" s="116">
        <v>621.4</v>
      </c>
      <c r="P30" s="116">
        <v>625.1</v>
      </c>
      <c r="Q30" s="116">
        <v>625.75</v>
      </c>
      <c r="R30">
        <v>113154</v>
      </c>
    </row>
    <row r="31" spans="1:18" x14ac:dyDescent="0.25">
      <c r="A31" s="170">
        <v>43614</v>
      </c>
      <c r="B31" s="116">
        <v>628.95000000000005</v>
      </c>
      <c r="C31" s="116">
        <v>619.45000000000005</v>
      </c>
      <c r="D31" s="116">
        <v>618.85</v>
      </c>
      <c r="E31" s="116">
        <v>624</v>
      </c>
      <c r="F31" s="116">
        <v>619.45000000000005</v>
      </c>
      <c r="G31">
        <v>3937</v>
      </c>
      <c r="H31" s="116"/>
      <c r="I31" s="116"/>
      <c r="L31" s="170">
        <v>43614</v>
      </c>
      <c r="M31" s="116">
        <v>619.95000000000005</v>
      </c>
      <c r="N31" s="116">
        <v>629.65</v>
      </c>
      <c r="O31" s="116">
        <v>618</v>
      </c>
      <c r="P31" s="116">
        <v>622.1</v>
      </c>
      <c r="Q31" s="116">
        <v>619.95000000000005</v>
      </c>
      <c r="R31">
        <v>69546</v>
      </c>
    </row>
    <row r="32" spans="1:18" x14ac:dyDescent="0.25">
      <c r="A32" s="170">
        <v>43615</v>
      </c>
      <c r="B32" s="116">
        <v>624</v>
      </c>
      <c r="C32" s="116">
        <v>618.65</v>
      </c>
      <c r="D32" s="116">
        <v>613.04999999999995</v>
      </c>
      <c r="E32" s="116">
        <v>617.95000000000005</v>
      </c>
      <c r="F32" s="116">
        <v>618.65</v>
      </c>
      <c r="G32">
        <v>7968</v>
      </c>
      <c r="H32" s="116"/>
      <c r="I32" s="116"/>
      <c r="L32" s="170">
        <v>43615</v>
      </c>
      <c r="M32" s="116">
        <v>618.9</v>
      </c>
      <c r="N32" s="116">
        <v>623.70000000000005</v>
      </c>
      <c r="O32" s="116">
        <v>612.65</v>
      </c>
      <c r="P32" s="116">
        <v>616.15</v>
      </c>
      <c r="Q32" s="116">
        <v>618.9</v>
      </c>
      <c r="R32">
        <v>81235</v>
      </c>
    </row>
    <row r="33" spans="1:18" x14ac:dyDescent="0.25">
      <c r="A33" s="170">
        <v>43616</v>
      </c>
      <c r="B33" s="116">
        <v>622.54999999999995</v>
      </c>
      <c r="C33" s="116">
        <v>611</v>
      </c>
      <c r="D33" s="116">
        <v>609</v>
      </c>
      <c r="E33" s="116">
        <v>620</v>
      </c>
      <c r="F33" s="116">
        <v>611</v>
      </c>
      <c r="G33">
        <v>5721</v>
      </c>
      <c r="H33" s="116"/>
      <c r="I33" s="116"/>
      <c r="L33" s="170">
        <v>43616</v>
      </c>
      <c r="M33" s="116">
        <v>610.85</v>
      </c>
      <c r="N33" s="116">
        <v>622.75</v>
      </c>
      <c r="O33" s="116">
        <v>608.29999999999995</v>
      </c>
      <c r="P33" s="116">
        <v>620.15</v>
      </c>
      <c r="Q33" s="116">
        <v>610.85</v>
      </c>
      <c r="R33">
        <v>175173</v>
      </c>
    </row>
    <row r="34" spans="1:18" x14ac:dyDescent="0.25">
      <c r="A34" s="170">
        <v>43619</v>
      </c>
      <c r="B34" s="116">
        <v>611.95000000000005</v>
      </c>
      <c r="C34" s="116">
        <v>607.75</v>
      </c>
      <c r="D34" s="116">
        <v>604.35</v>
      </c>
      <c r="E34" s="116">
        <v>610</v>
      </c>
      <c r="F34" s="116">
        <v>607.75</v>
      </c>
      <c r="G34">
        <v>4216</v>
      </c>
      <c r="H34" s="116"/>
      <c r="I34" s="116"/>
      <c r="L34" s="170">
        <v>43619</v>
      </c>
      <c r="M34" s="116">
        <v>607.9</v>
      </c>
      <c r="N34" s="116">
        <v>614.79999999999995</v>
      </c>
      <c r="O34" s="116">
        <v>602.45000000000005</v>
      </c>
      <c r="P34" s="116">
        <v>614</v>
      </c>
      <c r="Q34" s="116">
        <v>607.9</v>
      </c>
      <c r="R34">
        <v>150151</v>
      </c>
    </row>
    <row r="35" spans="1:18" x14ac:dyDescent="0.25">
      <c r="A35" s="170">
        <v>43620</v>
      </c>
      <c r="B35" s="116">
        <v>618.45000000000005</v>
      </c>
      <c r="C35" s="116">
        <v>610.65</v>
      </c>
      <c r="D35" s="116">
        <v>609</v>
      </c>
      <c r="E35" s="116">
        <v>609.5</v>
      </c>
      <c r="F35" s="116">
        <v>610.65</v>
      </c>
      <c r="G35">
        <v>4187</v>
      </c>
      <c r="H35" s="116"/>
      <c r="I35" s="116"/>
      <c r="L35" s="170">
        <v>43620</v>
      </c>
      <c r="M35" s="116">
        <v>610.6</v>
      </c>
      <c r="N35" s="116">
        <v>620</v>
      </c>
      <c r="O35" s="116">
        <v>606.1</v>
      </c>
      <c r="P35" s="116">
        <v>609.9</v>
      </c>
      <c r="Q35" s="116">
        <v>610.6</v>
      </c>
      <c r="R35">
        <v>67372</v>
      </c>
    </row>
    <row r="36" spans="1:18" x14ac:dyDescent="0.25">
      <c r="A36" s="170">
        <v>43622</v>
      </c>
      <c r="B36" s="116">
        <v>612.6</v>
      </c>
      <c r="C36" s="116">
        <v>605.75</v>
      </c>
      <c r="D36" s="116">
        <v>603.65</v>
      </c>
      <c r="E36" s="116">
        <v>610.04999999999995</v>
      </c>
      <c r="F36" s="116">
        <v>605.75</v>
      </c>
      <c r="G36">
        <v>5847</v>
      </c>
      <c r="H36" s="116"/>
      <c r="I36" s="116"/>
      <c r="L36" s="170">
        <v>43622</v>
      </c>
      <c r="M36" s="116">
        <v>604.4</v>
      </c>
      <c r="N36" s="116">
        <v>613.95000000000005</v>
      </c>
      <c r="O36" s="116">
        <v>602.5</v>
      </c>
      <c r="P36" s="116">
        <v>610.79999999999995</v>
      </c>
      <c r="Q36" s="116">
        <v>604.4</v>
      </c>
      <c r="R36">
        <v>46935</v>
      </c>
    </row>
    <row r="37" spans="1:18" x14ac:dyDescent="0.25">
      <c r="A37" s="170">
        <v>43623</v>
      </c>
      <c r="B37" s="116">
        <v>608.54999999999995</v>
      </c>
      <c r="C37" s="116">
        <v>602.15</v>
      </c>
      <c r="D37" s="116">
        <v>601.35</v>
      </c>
      <c r="E37" s="116">
        <v>605.79999999999995</v>
      </c>
      <c r="F37" s="116">
        <v>602.15</v>
      </c>
      <c r="G37">
        <v>3015</v>
      </c>
      <c r="H37" s="116"/>
      <c r="I37" s="116"/>
      <c r="L37" s="170">
        <v>43623</v>
      </c>
      <c r="M37" s="116">
        <v>602.04999999999995</v>
      </c>
      <c r="N37" s="116">
        <v>609.1</v>
      </c>
      <c r="O37" s="116">
        <v>601.04999999999995</v>
      </c>
      <c r="P37" s="116">
        <v>609.04999999999995</v>
      </c>
      <c r="Q37" s="116">
        <v>602.04999999999995</v>
      </c>
      <c r="R37">
        <v>30262</v>
      </c>
    </row>
    <row r="38" spans="1:18" x14ac:dyDescent="0.25">
      <c r="A38" s="170">
        <v>43626</v>
      </c>
      <c r="B38" s="116">
        <v>608.75</v>
      </c>
      <c r="C38" s="116">
        <v>601.29999999999995</v>
      </c>
      <c r="D38" s="116">
        <v>597.04999999999995</v>
      </c>
      <c r="E38" s="116">
        <v>604.6</v>
      </c>
      <c r="F38" s="116">
        <v>601.29999999999995</v>
      </c>
      <c r="G38">
        <v>7257</v>
      </c>
      <c r="H38" s="116"/>
      <c r="I38" s="116"/>
      <c r="L38" s="170">
        <v>43626</v>
      </c>
      <c r="M38" s="116">
        <v>602.5</v>
      </c>
      <c r="N38" s="116">
        <v>609</v>
      </c>
      <c r="O38" s="116">
        <v>597.6</v>
      </c>
      <c r="P38" s="116">
        <v>605</v>
      </c>
      <c r="Q38" s="116">
        <v>602.5</v>
      </c>
      <c r="R38">
        <v>46966</v>
      </c>
    </row>
    <row r="39" spans="1:18" x14ac:dyDescent="0.25">
      <c r="A39" s="170">
        <v>43627</v>
      </c>
      <c r="B39" s="116">
        <v>606.15</v>
      </c>
      <c r="C39" s="116">
        <v>601.75</v>
      </c>
      <c r="D39" s="116">
        <v>600</v>
      </c>
      <c r="E39" s="116">
        <v>605.9</v>
      </c>
      <c r="F39" s="116">
        <v>601.75</v>
      </c>
      <c r="G39">
        <v>4553</v>
      </c>
      <c r="H39" s="116"/>
      <c r="I39" s="116"/>
      <c r="L39" s="170">
        <v>43627</v>
      </c>
      <c r="M39" s="116">
        <v>600.75</v>
      </c>
      <c r="N39" s="116">
        <v>606.9</v>
      </c>
      <c r="O39" s="116">
        <v>600</v>
      </c>
      <c r="P39" s="116">
        <v>602</v>
      </c>
      <c r="Q39" s="116">
        <v>600.75</v>
      </c>
      <c r="R39">
        <v>47063</v>
      </c>
    </row>
    <row r="40" spans="1:18" x14ac:dyDescent="0.25">
      <c r="A40" s="170">
        <v>43628</v>
      </c>
      <c r="B40" s="116">
        <v>610</v>
      </c>
      <c r="C40" s="116">
        <v>599.20000000000005</v>
      </c>
      <c r="D40" s="116">
        <v>595.29999999999995</v>
      </c>
      <c r="E40" s="116">
        <v>610</v>
      </c>
      <c r="F40" s="116">
        <v>599.20000000000005</v>
      </c>
      <c r="G40">
        <v>4310</v>
      </c>
      <c r="H40" s="116"/>
      <c r="I40" s="116"/>
      <c r="L40" s="170">
        <v>43628</v>
      </c>
      <c r="M40" s="116">
        <v>595.95000000000005</v>
      </c>
      <c r="N40" s="116">
        <v>602.79999999999995</v>
      </c>
      <c r="O40" s="116">
        <v>595.15</v>
      </c>
      <c r="P40" s="116">
        <v>600.04999999999995</v>
      </c>
      <c r="Q40" s="116">
        <v>595.95000000000005</v>
      </c>
      <c r="R40">
        <v>46869</v>
      </c>
    </row>
    <row r="41" spans="1:18" x14ac:dyDescent="0.25">
      <c r="A41" s="170">
        <v>43629</v>
      </c>
      <c r="B41" s="116">
        <v>604</v>
      </c>
      <c r="C41" s="116">
        <v>592.6</v>
      </c>
      <c r="D41" s="116">
        <v>590</v>
      </c>
      <c r="E41" s="116">
        <v>596.1</v>
      </c>
      <c r="F41" s="116">
        <v>592.6</v>
      </c>
      <c r="G41">
        <v>6671</v>
      </c>
      <c r="H41" s="116"/>
      <c r="I41" s="116"/>
      <c r="L41" s="170">
        <v>43629</v>
      </c>
      <c r="M41" s="116">
        <v>594.45000000000005</v>
      </c>
      <c r="N41" s="116">
        <v>604.4</v>
      </c>
      <c r="O41" s="116">
        <v>590</v>
      </c>
      <c r="P41" s="116">
        <v>600.04999999999995</v>
      </c>
      <c r="Q41" s="116">
        <v>594.45000000000005</v>
      </c>
      <c r="R41">
        <v>73943</v>
      </c>
    </row>
    <row r="42" spans="1:18" x14ac:dyDescent="0.25">
      <c r="A42" s="170">
        <v>43630</v>
      </c>
      <c r="B42" s="116">
        <v>598.04999999999995</v>
      </c>
      <c r="C42" s="116">
        <v>594.70000000000005</v>
      </c>
      <c r="D42" s="116">
        <v>591.04999999999995</v>
      </c>
      <c r="E42" s="116">
        <v>597.20000000000005</v>
      </c>
      <c r="F42" s="116">
        <v>594.70000000000005</v>
      </c>
      <c r="G42">
        <v>4991</v>
      </c>
      <c r="H42" s="116"/>
      <c r="I42" s="116"/>
      <c r="L42" s="170">
        <v>43630</v>
      </c>
      <c r="M42" s="116">
        <v>596</v>
      </c>
      <c r="N42" s="116">
        <v>599.9</v>
      </c>
      <c r="O42" s="116">
        <v>590.1</v>
      </c>
      <c r="P42" s="116">
        <v>592.1</v>
      </c>
      <c r="Q42" s="116">
        <v>596</v>
      </c>
      <c r="R42">
        <v>44727</v>
      </c>
    </row>
    <row r="43" spans="1:18" x14ac:dyDescent="0.25">
      <c r="A43" s="170">
        <v>43633</v>
      </c>
      <c r="B43" s="116">
        <v>594.1</v>
      </c>
      <c r="C43" s="116">
        <v>588.15</v>
      </c>
      <c r="D43" s="116">
        <v>587</v>
      </c>
      <c r="E43" s="116">
        <v>594.04999999999995</v>
      </c>
      <c r="F43" s="116">
        <v>588.15</v>
      </c>
      <c r="G43">
        <v>2530</v>
      </c>
      <c r="H43" s="116"/>
      <c r="I43" s="116"/>
      <c r="L43" s="170">
        <v>43633</v>
      </c>
      <c r="M43" s="116">
        <v>588.75</v>
      </c>
      <c r="N43" s="116">
        <v>596</v>
      </c>
      <c r="O43" s="116">
        <v>587</v>
      </c>
      <c r="P43" s="116">
        <v>596</v>
      </c>
      <c r="Q43" s="116">
        <v>588.75</v>
      </c>
      <c r="R43">
        <v>41259</v>
      </c>
    </row>
    <row r="44" spans="1:18" x14ac:dyDescent="0.25">
      <c r="A44" s="170">
        <v>43634</v>
      </c>
      <c r="B44" s="116">
        <v>593.45000000000005</v>
      </c>
      <c r="C44" s="116">
        <v>589.35</v>
      </c>
      <c r="D44" s="116">
        <v>587</v>
      </c>
      <c r="E44" s="116">
        <v>590</v>
      </c>
      <c r="F44" s="116">
        <v>589.35</v>
      </c>
      <c r="G44">
        <v>4690</v>
      </c>
      <c r="H44" s="116"/>
      <c r="I44" s="116"/>
      <c r="L44" s="170">
        <v>43634</v>
      </c>
      <c r="M44" s="116">
        <v>589.15</v>
      </c>
      <c r="N44" s="116">
        <v>593.5</v>
      </c>
      <c r="O44" s="116">
        <v>586.25</v>
      </c>
      <c r="P44" s="116">
        <v>588.6</v>
      </c>
      <c r="Q44" s="116">
        <v>589.15</v>
      </c>
      <c r="R44">
        <v>43498</v>
      </c>
    </row>
    <row r="45" spans="1:18" x14ac:dyDescent="0.25">
      <c r="A45" s="170">
        <v>43635</v>
      </c>
      <c r="B45" s="116">
        <v>591.95000000000005</v>
      </c>
      <c r="C45" s="116">
        <v>584.25</v>
      </c>
      <c r="D45" s="116">
        <v>578</v>
      </c>
      <c r="E45" s="116">
        <v>589</v>
      </c>
      <c r="F45" s="116">
        <v>584.25</v>
      </c>
      <c r="G45">
        <v>7569</v>
      </c>
      <c r="H45" s="116"/>
      <c r="I45" s="116"/>
      <c r="L45" s="170">
        <v>43635</v>
      </c>
      <c r="M45" s="116">
        <v>585.65</v>
      </c>
      <c r="N45" s="116">
        <v>591.45000000000005</v>
      </c>
      <c r="O45" s="116">
        <v>578</v>
      </c>
      <c r="P45" s="116">
        <v>590.15</v>
      </c>
      <c r="Q45" s="116">
        <v>585.65</v>
      </c>
      <c r="R45">
        <v>103810</v>
      </c>
    </row>
    <row r="46" spans="1:18" x14ac:dyDescent="0.25">
      <c r="A46" s="170">
        <v>43636</v>
      </c>
      <c r="B46" s="116">
        <v>592</v>
      </c>
      <c r="C46" s="116">
        <v>588.1</v>
      </c>
      <c r="D46" s="116">
        <v>581.5</v>
      </c>
      <c r="E46" s="116">
        <v>585</v>
      </c>
      <c r="F46" s="116">
        <v>588.1</v>
      </c>
      <c r="G46">
        <v>4651</v>
      </c>
      <c r="H46" s="116"/>
      <c r="I46" s="116"/>
      <c r="L46" s="170">
        <v>43636</v>
      </c>
      <c r="M46" s="116">
        <v>589.9</v>
      </c>
      <c r="N46" s="116">
        <v>594</v>
      </c>
      <c r="O46" s="116">
        <v>581.1</v>
      </c>
      <c r="P46" s="116">
        <v>591</v>
      </c>
      <c r="Q46" s="116">
        <v>589.9</v>
      </c>
      <c r="R46">
        <v>39822</v>
      </c>
    </row>
    <row r="47" spans="1:18" x14ac:dyDescent="0.25">
      <c r="A47" s="170">
        <v>43637</v>
      </c>
      <c r="B47" s="116">
        <v>593.45000000000005</v>
      </c>
      <c r="C47" s="116">
        <v>592.1</v>
      </c>
      <c r="D47" s="116">
        <v>588.15</v>
      </c>
      <c r="E47" s="116">
        <v>588.15</v>
      </c>
      <c r="F47" s="116">
        <v>592.1</v>
      </c>
      <c r="G47">
        <v>2023</v>
      </c>
      <c r="H47" s="116"/>
      <c r="I47" s="116"/>
      <c r="L47" s="170">
        <v>43637</v>
      </c>
      <c r="M47" s="116">
        <v>592.35</v>
      </c>
      <c r="N47" s="116">
        <v>594.79999999999995</v>
      </c>
      <c r="O47" s="116">
        <v>588</v>
      </c>
      <c r="P47" s="116">
        <v>590</v>
      </c>
      <c r="Q47" s="116">
        <v>592.35</v>
      </c>
      <c r="R47">
        <v>28836</v>
      </c>
    </row>
    <row r="48" spans="1:18" x14ac:dyDescent="0.25">
      <c r="A48" s="170">
        <v>43640</v>
      </c>
      <c r="B48" s="116">
        <v>598</v>
      </c>
      <c r="C48" s="116">
        <v>595.95000000000005</v>
      </c>
      <c r="D48" s="116">
        <v>588</v>
      </c>
      <c r="E48" s="116">
        <v>595</v>
      </c>
      <c r="F48" s="116">
        <v>595.95000000000005</v>
      </c>
      <c r="G48">
        <v>2131</v>
      </c>
      <c r="H48" s="116"/>
      <c r="I48" s="116"/>
      <c r="L48" s="170">
        <v>43640</v>
      </c>
      <c r="M48" s="116">
        <v>596.29999999999995</v>
      </c>
      <c r="N48" s="116">
        <v>599</v>
      </c>
      <c r="O48" s="116">
        <v>590</v>
      </c>
      <c r="P48" s="116">
        <v>590.25</v>
      </c>
      <c r="Q48" s="116">
        <v>596.29999999999995</v>
      </c>
      <c r="R48">
        <v>41015</v>
      </c>
    </row>
    <row r="49" spans="1:18" x14ac:dyDescent="0.25">
      <c r="A49" s="170">
        <v>43641</v>
      </c>
      <c r="B49" s="116">
        <v>603.20000000000005</v>
      </c>
      <c r="C49" s="116">
        <v>600.79999999999995</v>
      </c>
      <c r="D49" s="116">
        <v>593.95000000000005</v>
      </c>
      <c r="E49" s="116">
        <v>595</v>
      </c>
      <c r="F49" s="116">
        <v>600.79999999999995</v>
      </c>
      <c r="G49">
        <v>2321</v>
      </c>
      <c r="H49" s="116"/>
      <c r="I49" s="116"/>
      <c r="L49" s="170">
        <v>43641</v>
      </c>
      <c r="M49" s="116">
        <v>601.4</v>
      </c>
      <c r="N49" s="116">
        <v>604.5</v>
      </c>
      <c r="O49" s="116">
        <v>593.04999999999995</v>
      </c>
      <c r="P49" s="116">
        <v>595</v>
      </c>
      <c r="Q49" s="116">
        <v>601.4</v>
      </c>
      <c r="R49">
        <v>50422</v>
      </c>
    </row>
    <row r="50" spans="1:18" x14ac:dyDescent="0.25">
      <c r="A50" s="170">
        <v>43642</v>
      </c>
      <c r="B50" s="116">
        <v>614</v>
      </c>
      <c r="C50" s="116">
        <v>612</v>
      </c>
      <c r="D50" s="116">
        <v>603</v>
      </c>
      <c r="E50" s="116">
        <v>603</v>
      </c>
      <c r="F50" s="116">
        <v>612</v>
      </c>
      <c r="G50">
        <v>7332</v>
      </c>
      <c r="H50" s="116"/>
      <c r="I50" s="116"/>
      <c r="L50" s="170">
        <v>43642</v>
      </c>
      <c r="M50" s="116">
        <v>611.85</v>
      </c>
      <c r="N50" s="116">
        <v>614.75</v>
      </c>
      <c r="O50" s="116">
        <v>600</v>
      </c>
      <c r="P50" s="116">
        <v>600.04999999999995</v>
      </c>
      <c r="Q50" s="116">
        <v>611.85</v>
      </c>
      <c r="R50">
        <v>104768</v>
      </c>
    </row>
    <row r="51" spans="1:18" x14ac:dyDescent="0.25">
      <c r="A51" s="170">
        <v>43643</v>
      </c>
      <c r="B51" s="116">
        <v>613.95000000000005</v>
      </c>
      <c r="C51" s="116">
        <v>612.95000000000005</v>
      </c>
      <c r="D51" s="116">
        <v>605.1</v>
      </c>
      <c r="E51" s="116">
        <v>605.1</v>
      </c>
      <c r="F51" s="116">
        <v>612.95000000000005</v>
      </c>
      <c r="G51">
        <v>3539</v>
      </c>
      <c r="H51" s="116"/>
      <c r="I51" s="116"/>
      <c r="L51" s="170">
        <v>43643</v>
      </c>
      <c r="M51" s="116">
        <v>613.45000000000005</v>
      </c>
      <c r="N51" s="116">
        <v>614.4</v>
      </c>
      <c r="O51" s="116">
        <v>606</v>
      </c>
      <c r="P51" s="116">
        <v>611.85</v>
      </c>
      <c r="Q51" s="116">
        <v>613.45000000000005</v>
      </c>
      <c r="R51">
        <v>31569</v>
      </c>
    </row>
    <row r="52" spans="1:18" x14ac:dyDescent="0.25">
      <c r="A52" s="170">
        <v>43644</v>
      </c>
      <c r="B52" s="116">
        <v>624</v>
      </c>
      <c r="C52" s="116">
        <v>620.6</v>
      </c>
      <c r="D52" s="116">
        <v>613</v>
      </c>
      <c r="E52" s="116">
        <v>613</v>
      </c>
      <c r="F52" s="116">
        <v>620.6</v>
      </c>
      <c r="G52">
        <v>5112</v>
      </c>
      <c r="H52" s="116"/>
      <c r="I52" s="116"/>
      <c r="L52" s="170">
        <v>43644</v>
      </c>
      <c r="M52" s="116">
        <v>622.04999999999995</v>
      </c>
      <c r="N52" s="116">
        <v>624.9</v>
      </c>
      <c r="O52" s="116">
        <v>613</v>
      </c>
      <c r="P52" s="116">
        <v>613</v>
      </c>
      <c r="Q52" s="116">
        <v>622.04999999999995</v>
      </c>
      <c r="R52">
        <v>68813</v>
      </c>
    </row>
    <row r="53" spans="1:18" x14ac:dyDescent="0.25">
      <c r="A53" s="170">
        <v>43647</v>
      </c>
      <c r="B53" s="116">
        <v>645.79999999999995</v>
      </c>
      <c r="C53" s="116">
        <v>642.6</v>
      </c>
      <c r="D53" s="116">
        <v>624</v>
      </c>
      <c r="E53" s="116">
        <v>624</v>
      </c>
      <c r="F53" s="116">
        <v>642.6</v>
      </c>
      <c r="G53">
        <v>25016</v>
      </c>
      <c r="H53" s="116"/>
      <c r="I53" s="116"/>
      <c r="L53" s="170">
        <v>43647</v>
      </c>
      <c r="M53" s="116">
        <v>643.35</v>
      </c>
      <c r="N53" s="116">
        <v>646</v>
      </c>
      <c r="O53" s="116">
        <v>626.4</v>
      </c>
      <c r="P53" s="116">
        <v>626.4</v>
      </c>
      <c r="Q53" s="116">
        <v>643.35</v>
      </c>
      <c r="R53">
        <v>347594</v>
      </c>
    </row>
    <row r="54" spans="1:18" x14ac:dyDescent="0.25">
      <c r="A54" s="170">
        <v>43648</v>
      </c>
      <c r="B54" s="116">
        <v>643</v>
      </c>
      <c r="C54" s="116">
        <v>635.5</v>
      </c>
      <c r="D54" s="116">
        <v>629</v>
      </c>
      <c r="E54" s="116">
        <v>643</v>
      </c>
      <c r="F54" s="116">
        <v>635.5</v>
      </c>
      <c r="G54">
        <v>4229</v>
      </c>
      <c r="H54" s="116"/>
      <c r="I54" s="116"/>
      <c r="L54" s="170">
        <v>43648</v>
      </c>
      <c r="M54" s="116">
        <v>635.79999999999995</v>
      </c>
      <c r="N54" s="116">
        <v>640</v>
      </c>
      <c r="O54" s="116">
        <v>628.5</v>
      </c>
      <c r="P54" s="116">
        <v>640</v>
      </c>
      <c r="Q54" s="116">
        <v>635.79999999999995</v>
      </c>
      <c r="R54">
        <v>46607</v>
      </c>
    </row>
    <row r="55" spans="1:18" x14ac:dyDescent="0.25">
      <c r="A55" s="170">
        <v>43649</v>
      </c>
      <c r="B55" s="116">
        <v>652</v>
      </c>
      <c r="C55" s="116">
        <v>646.29999999999995</v>
      </c>
      <c r="D55" s="116">
        <v>632.6</v>
      </c>
      <c r="E55" s="116">
        <v>636.5</v>
      </c>
      <c r="F55" s="116">
        <v>646.29999999999995</v>
      </c>
      <c r="G55">
        <v>9170</v>
      </c>
      <c r="H55" s="116"/>
      <c r="I55" s="116"/>
      <c r="L55" s="170">
        <v>43649</v>
      </c>
      <c r="M55" s="116">
        <v>644.4</v>
      </c>
      <c r="N55" s="116">
        <v>654.79999999999995</v>
      </c>
      <c r="O55" s="116">
        <v>631.6</v>
      </c>
      <c r="P55" s="116">
        <v>632.20000000000005</v>
      </c>
      <c r="Q55" s="116">
        <v>644.4</v>
      </c>
      <c r="R55">
        <v>90021</v>
      </c>
    </row>
    <row r="56" spans="1:18" x14ac:dyDescent="0.25">
      <c r="A56" s="170">
        <v>43650</v>
      </c>
      <c r="B56" s="116">
        <v>652.75</v>
      </c>
      <c r="C56" s="116">
        <v>646.5</v>
      </c>
      <c r="D56" s="116">
        <v>642</v>
      </c>
      <c r="E56" s="116">
        <v>650</v>
      </c>
      <c r="F56" s="116">
        <v>646.5</v>
      </c>
      <c r="G56">
        <v>8840</v>
      </c>
      <c r="H56" s="116"/>
      <c r="I56" s="116"/>
      <c r="L56" s="170">
        <v>43650</v>
      </c>
      <c r="M56" s="116">
        <v>647.20000000000005</v>
      </c>
      <c r="N56" s="116">
        <v>652</v>
      </c>
      <c r="O56" s="116">
        <v>642.54999999999995</v>
      </c>
      <c r="P56" s="116">
        <v>648.1</v>
      </c>
      <c r="Q56" s="116">
        <v>647.20000000000005</v>
      </c>
      <c r="R56">
        <v>95235</v>
      </c>
    </row>
    <row r="57" spans="1:18" x14ac:dyDescent="0.25">
      <c r="A57" s="170">
        <v>43651</v>
      </c>
      <c r="B57" s="116">
        <v>648</v>
      </c>
      <c r="C57" s="116">
        <v>621.29999999999995</v>
      </c>
      <c r="D57" s="116">
        <v>616</v>
      </c>
      <c r="E57" s="116">
        <v>648</v>
      </c>
      <c r="F57" s="116">
        <v>621.29999999999995</v>
      </c>
      <c r="G57">
        <v>8293</v>
      </c>
      <c r="H57" s="116"/>
      <c r="I57" s="116"/>
      <c r="L57" s="170">
        <v>43651</v>
      </c>
      <c r="M57" s="116">
        <v>620.15</v>
      </c>
      <c r="N57" s="116">
        <v>650</v>
      </c>
      <c r="O57" s="116">
        <v>615.75</v>
      </c>
      <c r="P57" s="116">
        <v>650</v>
      </c>
      <c r="Q57" s="116">
        <v>620.15</v>
      </c>
      <c r="R57">
        <v>650669</v>
      </c>
    </row>
    <row r="58" spans="1:18" x14ac:dyDescent="0.25">
      <c r="A58" s="170">
        <v>43654</v>
      </c>
      <c r="B58" s="116">
        <v>623</v>
      </c>
      <c r="C58" s="116">
        <v>601.85</v>
      </c>
      <c r="D58" s="116">
        <v>598.04999999999995</v>
      </c>
      <c r="E58" s="116">
        <v>623</v>
      </c>
      <c r="F58" s="116">
        <v>601.85</v>
      </c>
      <c r="G58">
        <v>11326</v>
      </c>
      <c r="H58" s="116"/>
      <c r="I58" s="116"/>
      <c r="L58" s="170">
        <v>43654</v>
      </c>
      <c r="M58" s="116">
        <v>600.9</v>
      </c>
      <c r="N58" s="116">
        <v>619.9</v>
      </c>
      <c r="O58" s="116">
        <v>598.20000000000005</v>
      </c>
      <c r="P58" s="116">
        <v>619.9</v>
      </c>
      <c r="Q58" s="116">
        <v>600.9</v>
      </c>
      <c r="R58">
        <v>162195</v>
      </c>
    </row>
    <row r="59" spans="1:18" x14ac:dyDescent="0.25">
      <c r="A59" s="170">
        <v>43655</v>
      </c>
      <c r="B59" s="116">
        <v>612.75</v>
      </c>
      <c r="C59" s="116">
        <v>611.1</v>
      </c>
      <c r="D59" s="116">
        <v>596.20000000000005</v>
      </c>
      <c r="E59" s="116">
        <v>596.20000000000005</v>
      </c>
      <c r="F59" s="116">
        <v>611.1</v>
      </c>
      <c r="G59">
        <v>1970</v>
      </c>
      <c r="H59" s="116"/>
      <c r="I59" s="116"/>
      <c r="L59" s="170">
        <v>43655</v>
      </c>
      <c r="M59" s="116">
        <v>611.4</v>
      </c>
      <c r="N59" s="116">
        <v>612</v>
      </c>
      <c r="O59" s="116">
        <v>602</v>
      </c>
      <c r="P59" s="116">
        <v>604</v>
      </c>
      <c r="Q59" s="116">
        <v>611.4</v>
      </c>
      <c r="R59">
        <v>36209</v>
      </c>
    </row>
    <row r="60" spans="1:18" x14ac:dyDescent="0.25">
      <c r="A60" s="170">
        <v>43656</v>
      </c>
      <c r="B60" s="116">
        <v>618.79999999999995</v>
      </c>
      <c r="C60" s="116">
        <v>613.70000000000005</v>
      </c>
      <c r="D60" s="116">
        <v>609.5</v>
      </c>
      <c r="E60" s="116">
        <v>611</v>
      </c>
      <c r="F60" s="116">
        <v>613.70000000000005</v>
      </c>
      <c r="G60">
        <v>1588</v>
      </c>
      <c r="H60" s="116"/>
      <c r="I60" s="116"/>
      <c r="L60" s="170">
        <v>43656</v>
      </c>
      <c r="M60" s="116">
        <v>613.95000000000005</v>
      </c>
      <c r="N60" s="116">
        <v>619.29999999999995</v>
      </c>
      <c r="O60" s="116">
        <v>610</v>
      </c>
      <c r="P60" s="116">
        <v>610</v>
      </c>
      <c r="Q60" s="116">
        <v>613.95000000000005</v>
      </c>
      <c r="R60">
        <v>25922</v>
      </c>
    </row>
    <row r="61" spans="1:18" x14ac:dyDescent="0.25">
      <c r="A61" s="170">
        <v>43657</v>
      </c>
      <c r="B61" s="116">
        <v>624.20000000000005</v>
      </c>
      <c r="C61" s="116">
        <v>618.15</v>
      </c>
      <c r="D61" s="116">
        <v>609.04999999999995</v>
      </c>
      <c r="E61" s="116">
        <v>609.04999999999995</v>
      </c>
      <c r="F61" s="116">
        <v>618.15</v>
      </c>
      <c r="G61">
        <v>3188</v>
      </c>
      <c r="H61" s="116"/>
      <c r="I61" s="116"/>
      <c r="L61" s="170">
        <v>43657</v>
      </c>
      <c r="M61" s="116">
        <v>618.15</v>
      </c>
      <c r="N61" s="116">
        <v>625</v>
      </c>
      <c r="O61" s="116">
        <v>613.95000000000005</v>
      </c>
      <c r="P61" s="116">
        <v>614.1</v>
      </c>
      <c r="Q61" s="116">
        <v>618.15</v>
      </c>
      <c r="R61">
        <v>25738</v>
      </c>
    </row>
    <row r="62" spans="1:18" x14ac:dyDescent="0.25">
      <c r="A62" s="170">
        <v>43658</v>
      </c>
      <c r="B62" s="116">
        <v>622.20000000000005</v>
      </c>
      <c r="C62" s="116">
        <v>616.54999999999995</v>
      </c>
      <c r="D62" s="116">
        <v>615.65</v>
      </c>
      <c r="E62" s="116">
        <v>617.95000000000005</v>
      </c>
      <c r="F62" s="116">
        <v>616.54999999999995</v>
      </c>
      <c r="G62">
        <v>2782</v>
      </c>
      <c r="H62" s="116"/>
      <c r="I62" s="116"/>
      <c r="L62" s="170">
        <v>43658</v>
      </c>
      <c r="M62" s="116">
        <v>617.1</v>
      </c>
      <c r="N62" s="116">
        <v>623</v>
      </c>
      <c r="O62" s="116">
        <v>616</v>
      </c>
      <c r="P62" s="116">
        <v>618</v>
      </c>
      <c r="Q62" s="116">
        <v>617.1</v>
      </c>
      <c r="R62">
        <v>22282</v>
      </c>
    </row>
    <row r="63" spans="1:18" x14ac:dyDescent="0.25">
      <c r="A63" s="170">
        <v>43661</v>
      </c>
      <c r="B63" s="116">
        <v>620.1</v>
      </c>
      <c r="C63" s="116">
        <v>614.95000000000005</v>
      </c>
      <c r="D63" s="116">
        <v>613.20000000000005</v>
      </c>
      <c r="E63" s="116">
        <v>617.25</v>
      </c>
      <c r="F63" s="116">
        <v>614.95000000000005</v>
      </c>
      <c r="G63">
        <v>2867</v>
      </c>
      <c r="H63" s="116"/>
      <c r="I63" s="116"/>
      <c r="L63" s="170">
        <v>43661</v>
      </c>
      <c r="M63" s="116">
        <v>615.5</v>
      </c>
      <c r="N63" s="116">
        <v>620.75</v>
      </c>
      <c r="O63" s="116">
        <v>612.20000000000005</v>
      </c>
      <c r="P63" s="116">
        <v>615.5</v>
      </c>
      <c r="Q63" s="116">
        <v>615.5</v>
      </c>
      <c r="R63">
        <v>26241</v>
      </c>
    </row>
    <row r="64" spans="1:18" x14ac:dyDescent="0.25">
      <c r="A64" s="170">
        <v>43662</v>
      </c>
      <c r="B64" s="116">
        <v>624.79999999999995</v>
      </c>
      <c r="C64" s="116">
        <v>621.54999999999995</v>
      </c>
      <c r="D64" s="116">
        <v>615.04999999999995</v>
      </c>
      <c r="E64" s="116">
        <v>615.04999999999995</v>
      </c>
      <c r="F64" s="116">
        <v>621.54999999999995</v>
      </c>
      <c r="G64">
        <v>3427</v>
      </c>
      <c r="H64" s="116"/>
      <c r="I64" s="116"/>
      <c r="L64" s="170">
        <v>43662</v>
      </c>
      <c r="M64" s="116">
        <v>622.20000000000005</v>
      </c>
      <c r="N64" s="116">
        <v>624.79999999999995</v>
      </c>
      <c r="O64" s="116">
        <v>614</v>
      </c>
      <c r="P64" s="116">
        <v>615.1</v>
      </c>
      <c r="Q64" s="116">
        <v>622.20000000000005</v>
      </c>
      <c r="R64">
        <v>43109</v>
      </c>
    </row>
    <row r="65" spans="1:18" x14ac:dyDescent="0.25">
      <c r="A65" s="170">
        <v>43663</v>
      </c>
      <c r="B65" s="116">
        <v>629.9</v>
      </c>
      <c r="C65" s="116">
        <v>626.79999999999995</v>
      </c>
      <c r="D65" s="116">
        <v>623.54999999999995</v>
      </c>
      <c r="E65" s="116">
        <v>624.9</v>
      </c>
      <c r="F65" s="116">
        <v>626.79999999999995</v>
      </c>
      <c r="G65">
        <v>3343</v>
      </c>
      <c r="H65" s="116"/>
      <c r="I65" s="116"/>
      <c r="L65" s="170">
        <v>43663</v>
      </c>
      <c r="M65" s="116">
        <v>626.79999999999995</v>
      </c>
      <c r="N65" s="116">
        <v>629</v>
      </c>
      <c r="O65" s="116">
        <v>620</v>
      </c>
      <c r="P65" s="116">
        <v>621.5</v>
      </c>
      <c r="Q65" s="116">
        <v>626.79999999999995</v>
      </c>
      <c r="R65">
        <v>30986</v>
      </c>
    </row>
    <row r="66" spans="1:18" x14ac:dyDescent="0.25">
      <c r="A66" s="170">
        <v>43664</v>
      </c>
      <c r="B66" s="116">
        <v>627.20000000000005</v>
      </c>
      <c r="C66" s="116">
        <v>623.75</v>
      </c>
      <c r="D66" s="116">
        <v>623</v>
      </c>
      <c r="E66" s="116">
        <v>625.20000000000005</v>
      </c>
      <c r="F66" s="116">
        <v>623.75</v>
      </c>
      <c r="G66">
        <v>2574</v>
      </c>
      <c r="H66" s="116"/>
      <c r="I66" s="116"/>
      <c r="L66" s="170">
        <v>43664</v>
      </c>
      <c r="M66" s="116">
        <v>624.4</v>
      </c>
      <c r="N66" s="116">
        <v>628.75</v>
      </c>
      <c r="O66" s="116">
        <v>622.15</v>
      </c>
      <c r="P66" s="116">
        <v>626</v>
      </c>
      <c r="Q66" s="116">
        <v>624.4</v>
      </c>
      <c r="R66">
        <v>54494</v>
      </c>
    </row>
    <row r="67" spans="1:18" x14ac:dyDescent="0.25">
      <c r="A67" s="170">
        <v>43665</v>
      </c>
      <c r="B67" s="116">
        <v>626.95000000000005</v>
      </c>
      <c r="C67" s="116">
        <v>614</v>
      </c>
      <c r="D67" s="116">
        <v>606</v>
      </c>
      <c r="E67" s="116">
        <v>624.9</v>
      </c>
      <c r="F67" s="116">
        <v>614</v>
      </c>
      <c r="G67">
        <v>2706</v>
      </c>
      <c r="H67" s="116"/>
      <c r="I67" s="116"/>
      <c r="L67" s="170">
        <v>43665</v>
      </c>
      <c r="M67" s="116">
        <v>614.25</v>
      </c>
      <c r="N67" s="116">
        <v>626.95000000000005</v>
      </c>
      <c r="O67" s="116">
        <v>605</v>
      </c>
      <c r="P67" s="116">
        <v>623.95000000000005</v>
      </c>
      <c r="Q67" s="116">
        <v>614.25</v>
      </c>
      <c r="R67">
        <v>91360</v>
      </c>
    </row>
    <row r="68" spans="1:18" x14ac:dyDescent="0.25">
      <c r="A68" s="170">
        <v>43668</v>
      </c>
      <c r="B68" s="116">
        <v>628</v>
      </c>
      <c r="C68" s="116">
        <v>598.04999999999995</v>
      </c>
      <c r="D68" s="116">
        <v>597</v>
      </c>
      <c r="E68" s="116">
        <v>628</v>
      </c>
      <c r="F68" s="116">
        <v>598.04999999999995</v>
      </c>
      <c r="G68">
        <v>5681</v>
      </c>
      <c r="H68" s="116"/>
      <c r="I68" s="116"/>
      <c r="L68" s="170">
        <v>43668</v>
      </c>
      <c r="M68" s="116">
        <v>598.1</v>
      </c>
      <c r="N68" s="116">
        <v>614.29999999999995</v>
      </c>
      <c r="O68" s="116">
        <v>596.75</v>
      </c>
      <c r="P68" s="116">
        <v>614.25</v>
      </c>
      <c r="Q68" s="116">
        <v>598.1</v>
      </c>
      <c r="R68">
        <v>49550</v>
      </c>
    </row>
    <row r="69" spans="1:18" x14ac:dyDescent="0.25">
      <c r="A69" s="170">
        <v>43669</v>
      </c>
      <c r="B69" s="116">
        <v>606</v>
      </c>
      <c r="C69" s="116">
        <v>603.95000000000005</v>
      </c>
      <c r="D69" s="116">
        <v>597.95000000000005</v>
      </c>
      <c r="E69" s="116">
        <v>606</v>
      </c>
      <c r="F69" s="116">
        <v>603.95000000000005</v>
      </c>
      <c r="G69">
        <v>3758</v>
      </c>
      <c r="H69" s="116"/>
      <c r="I69" s="116"/>
      <c r="L69" s="170">
        <v>43669</v>
      </c>
      <c r="M69" s="116">
        <v>603.9</v>
      </c>
      <c r="N69" s="116">
        <v>608.6</v>
      </c>
      <c r="O69" s="116">
        <v>598</v>
      </c>
      <c r="P69" s="116">
        <v>602.85</v>
      </c>
      <c r="Q69" s="116">
        <v>603.9</v>
      </c>
      <c r="R69">
        <v>50221</v>
      </c>
    </row>
    <row r="70" spans="1:18" x14ac:dyDescent="0.25">
      <c r="A70" s="170">
        <v>43670</v>
      </c>
      <c r="B70" s="116">
        <v>606.65</v>
      </c>
      <c r="C70" s="116">
        <v>587.29999999999995</v>
      </c>
      <c r="D70" s="116">
        <v>585</v>
      </c>
      <c r="E70" s="116">
        <v>606.6</v>
      </c>
      <c r="F70" s="116">
        <v>587.29999999999995</v>
      </c>
      <c r="G70">
        <v>4693</v>
      </c>
      <c r="H70" s="116"/>
      <c r="I70" s="116"/>
      <c r="L70" s="170">
        <v>43670</v>
      </c>
      <c r="M70" s="116">
        <v>587.9</v>
      </c>
      <c r="N70" s="116">
        <v>607.70000000000005</v>
      </c>
      <c r="O70" s="116">
        <v>586.1</v>
      </c>
      <c r="P70" s="116">
        <v>603.9</v>
      </c>
      <c r="Q70" s="116">
        <v>587.9</v>
      </c>
      <c r="R70">
        <v>33048</v>
      </c>
    </row>
    <row r="71" spans="1:18" x14ac:dyDescent="0.25">
      <c r="A71" s="170">
        <v>43671</v>
      </c>
      <c r="B71" s="116">
        <v>592.29999999999995</v>
      </c>
      <c r="C71" s="116">
        <v>588.5</v>
      </c>
      <c r="D71" s="116">
        <v>581</v>
      </c>
      <c r="E71" s="116">
        <v>592.29999999999995</v>
      </c>
      <c r="F71" s="116">
        <v>588.5</v>
      </c>
      <c r="G71">
        <v>4015</v>
      </c>
      <c r="H71" s="116"/>
      <c r="I71" s="116"/>
      <c r="L71" s="170">
        <v>43671</v>
      </c>
      <c r="M71" s="116">
        <v>587.9</v>
      </c>
      <c r="N71" s="116">
        <v>592.75</v>
      </c>
      <c r="O71" s="116">
        <v>580.1</v>
      </c>
      <c r="P71" s="116">
        <v>587.9</v>
      </c>
      <c r="Q71" s="116">
        <v>587.9</v>
      </c>
      <c r="R71">
        <v>46613</v>
      </c>
    </row>
    <row r="72" spans="1:18" x14ac:dyDescent="0.25">
      <c r="A72" s="170">
        <v>43672</v>
      </c>
      <c r="B72" s="116">
        <v>592</v>
      </c>
      <c r="C72" s="116">
        <v>588.20000000000005</v>
      </c>
      <c r="D72" s="116">
        <v>583.5</v>
      </c>
      <c r="E72" s="116">
        <v>587.9</v>
      </c>
      <c r="F72" s="116">
        <v>588.20000000000005</v>
      </c>
      <c r="G72">
        <v>3890</v>
      </c>
      <c r="H72" s="116"/>
      <c r="I72" s="116"/>
      <c r="L72" s="170">
        <v>43672</v>
      </c>
      <c r="M72" s="116">
        <v>588.29999999999995</v>
      </c>
      <c r="N72" s="116">
        <v>592.5</v>
      </c>
      <c r="O72" s="116">
        <v>583.1</v>
      </c>
      <c r="P72" s="116">
        <v>589.9</v>
      </c>
      <c r="Q72" s="116">
        <v>588.29999999999995</v>
      </c>
      <c r="R72">
        <v>24998</v>
      </c>
    </row>
    <row r="73" spans="1:18" x14ac:dyDescent="0.25">
      <c r="A73" s="170">
        <v>43675</v>
      </c>
      <c r="B73" s="116">
        <v>645</v>
      </c>
      <c r="C73" s="116">
        <v>606.9</v>
      </c>
      <c r="D73" s="116">
        <v>602</v>
      </c>
      <c r="E73" s="116">
        <v>607</v>
      </c>
      <c r="F73" s="116">
        <v>606.9</v>
      </c>
      <c r="G73">
        <v>27732</v>
      </c>
      <c r="H73" s="116"/>
      <c r="I73" s="116"/>
      <c r="L73" s="170">
        <v>43675</v>
      </c>
      <c r="M73" s="116">
        <v>608</v>
      </c>
      <c r="N73" s="116">
        <v>646.9</v>
      </c>
      <c r="O73" s="116">
        <v>601.70000000000005</v>
      </c>
      <c r="P73" s="116">
        <v>615</v>
      </c>
      <c r="Q73" s="116">
        <v>608</v>
      </c>
      <c r="R73">
        <v>239878</v>
      </c>
    </row>
    <row r="74" spans="1:18" x14ac:dyDescent="0.25">
      <c r="A74" s="170">
        <v>43676</v>
      </c>
      <c r="B74" s="116">
        <v>609.15</v>
      </c>
      <c r="C74" s="116">
        <v>570.85</v>
      </c>
      <c r="D74" s="116">
        <v>565.29999999999995</v>
      </c>
      <c r="E74" s="116">
        <v>600</v>
      </c>
      <c r="F74" s="116">
        <v>570.85</v>
      </c>
      <c r="G74">
        <v>15627</v>
      </c>
      <c r="H74" s="116"/>
      <c r="I74" s="116"/>
      <c r="L74" s="170">
        <v>43676</v>
      </c>
      <c r="M74" s="116">
        <v>571.20000000000005</v>
      </c>
      <c r="N74" s="116">
        <v>607.95000000000005</v>
      </c>
      <c r="O74" s="116">
        <v>565.79999999999995</v>
      </c>
      <c r="P74" s="116">
        <v>603</v>
      </c>
      <c r="Q74" s="116">
        <v>571.20000000000005</v>
      </c>
      <c r="R74">
        <v>202328</v>
      </c>
    </row>
    <row r="75" spans="1:18" x14ac:dyDescent="0.25">
      <c r="A75" s="170">
        <v>43677</v>
      </c>
      <c r="B75" s="116">
        <v>581.79999999999995</v>
      </c>
      <c r="C75" s="116">
        <v>560.54999999999995</v>
      </c>
      <c r="D75" s="116">
        <v>548.25</v>
      </c>
      <c r="E75" s="116">
        <v>581.79999999999995</v>
      </c>
      <c r="F75" s="116">
        <v>560.54999999999995</v>
      </c>
      <c r="G75">
        <v>11257</v>
      </c>
      <c r="H75" s="116"/>
      <c r="I75" s="116"/>
      <c r="L75" s="170">
        <v>43677</v>
      </c>
      <c r="M75" s="116">
        <v>560.4</v>
      </c>
      <c r="N75" s="116">
        <v>570.04999999999995</v>
      </c>
      <c r="O75" s="116">
        <v>548.6</v>
      </c>
      <c r="P75" s="116">
        <v>569.95000000000005</v>
      </c>
      <c r="Q75" s="116">
        <v>560.4</v>
      </c>
      <c r="R75">
        <v>104939</v>
      </c>
    </row>
    <row r="76" spans="1:18" x14ac:dyDescent="0.25">
      <c r="A76" s="170">
        <v>43678</v>
      </c>
      <c r="B76" s="116">
        <v>578.79999999999995</v>
      </c>
      <c r="C76" s="116">
        <v>565.25</v>
      </c>
      <c r="D76" s="116">
        <v>556</v>
      </c>
      <c r="E76" s="116">
        <v>578.79999999999995</v>
      </c>
      <c r="F76" s="116">
        <v>565.25</v>
      </c>
      <c r="G76">
        <v>7434</v>
      </c>
      <c r="H76" s="116"/>
      <c r="I76" s="116"/>
      <c r="L76" s="170">
        <v>43678</v>
      </c>
      <c r="M76" s="116">
        <v>564.45000000000005</v>
      </c>
      <c r="N76" s="116">
        <v>575</v>
      </c>
      <c r="O76" s="116">
        <v>557</v>
      </c>
      <c r="P76" s="116">
        <v>563</v>
      </c>
      <c r="Q76" s="116">
        <v>564.45000000000005</v>
      </c>
      <c r="R76">
        <v>58006</v>
      </c>
    </row>
    <row r="77" spans="1:18" x14ac:dyDescent="0.25">
      <c r="A77" s="170">
        <v>43679</v>
      </c>
      <c r="B77" s="116">
        <v>566.1</v>
      </c>
      <c r="C77" s="116">
        <v>557.15</v>
      </c>
      <c r="D77" s="116">
        <v>555</v>
      </c>
      <c r="E77" s="116">
        <v>566.1</v>
      </c>
      <c r="F77" s="116">
        <v>557.15</v>
      </c>
      <c r="G77">
        <v>11672</v>
      </c>
      <c r="H77" s="116"/>
      <c r="I77" s="116"/>
      <c r="L77" s="170">
        <v>43679</v>
      </c>
      <c r="M77" s="116">
        <v>557.04999999999995</v>
      </c>
      <c r="N77" s="116">
        <v>564.9</v>
      </c>
      <c r="O77" s="116">
        <v>554.29999999999995</v>
      </c>
      <c r="P77" s="116">
        <v>564</v>
      </c>
      <c r="Q77" s="116">
        <v>557.04999999999995</v>
      </c>
      <c r="R77">
        <v>69809</v>
      </c>
    </row>
    <row r="78" spans="1:18" x14ac:dyDescent="0.25">
      <c r="A78" s="170">
        <v>43682</v>
      </c>
      <c r="B78" s="116">
        <v>562</v>
      </c>
      <c r="C78" s="116">
        <v>551</v>
      </c>
      <c r="D78" s="116">
        <v>548.54999999999995</v>
      </c>
      <c r="E78" s="116">
        <v>556</v>
      </c>
      <c r="F78" s="116">
        <v>551</v>
      </c>
      <c r="G78">
        <v>4192</v>
      </c>
      <c r="H78" s="116"/>
      <c r="I78" s="116"/>
      <c r="L78" s="170">
        <v>43682</v>
      </c>
      <c r="M78" s="116">
        <v>551.35</v>
      </c>
      <c r="N78" s="116">
        <v>562</v>
      </c>
      <c r="O78" s="116">
        <v>549</v>
      </c>
      <c r="P78" s="116">
        <v>557</v>
      </c>
      <c r="Q78" s="116">
        <v>551.35</v>
      </c>
      <c r="R78">
        <v>70675</v>
      </c>
    </row>
    <row r="79" spans="1:18" x14ac:dyDescent="0.25">
      <c r="A79" s="170">
        <v>43683</v>
      </c>
      <c r="B79" s="116">
        <v>573.35</v>
      </c>
      <c r="C79" s="116">
        <v>571.5</v>
      </c>
      <c r="D79" s="116">
        <v>550</v>
      </c>
      <c r="E79" s="116">
        <v>550.5</v>
      </c>
      <c r="F79" s="116">
        <v>571.5</v>
      </c>
      <c r="G79">
        <v>4656</v>
      </c>
      <c r="H79" s="116"/>
      <c r="I79" s="116"/>
      <c r="L79" s="170">
        <v>43683</v>
      </c>
      <c r="M79" s="116">
        <v>570.79999999999995</v>
      </c>
      <c r="N79" s="116">
        <v>572.9</v>
      </c>
      <c r="O79" s="116">
        <v>547.1</v>
      </c>
      <c r="P79" s="116">
        <v>549.95000000000005</v>
      </c>
      <c r="Q79" s="116">
        <v>570.79999999999995</v>
      </c>
      <c r="R79">
        <v>42540</v>
      </c>
    </row>
    <row r="80" spans="1:18" x14ac:dyDescent="0.25">
      <c r="A80" s="170">
        <v>43684</v>
      </c>
      <c r="B80" s="116">
        <v>575</v>
      </c>
      <c r="C80" s="116">
        <v>566.15</v>
      </c>
      <c r="D80" s="116">
        <v>561</v>
      </c>
      <c r="E80" s="116">
        <v>570</v>
      </c>
      <c r="F80" s="116">
        <v>566.15</v>
      </c>
      <c r="G80">
        <v>3031</v>
      </c>
      <c r="H80" s="116"/>
      <c r="I80" s="116"/>
      <c r="L80" s="170">
        <v>43684</v>
      </c>
      <c r="M80" s="116">
        <v>567.20000000000005</v>
      </c>
      <c r="N80" s="116">
        <v>574.9</v>
      </c>
      <c r="O80" s="116">
        <v>561.35</v>
      </c>
      <c r="P80" s="116">
        <v>565</v>
      </c>
      <c r="Q80" s="116">
        <v>567.20000000000005</v>
      </c>
      <c r="R80">
        <v>23408</v>
      </c>
    </row>
    <row r="81" spans="1:18" x14ac:dyDescent="0.25">
      <c r="A81" s="170">
        <v>43685</v>
      </c>
      <c r="B81" s="116">
        <v>569.75</v>
      </c>
      <c r="C81" s="116">
        <v>562.95000000000005</v>
      </c>
      <c r="D81" s="116">
        <v>555.04999999999995</v>
      </c>
      <c r="E81" s="116">
        <v>566.54999999999995</v>
      </c>
      <c r="F81" s="116">
        <v>562.95000000000005</v>
      </c>
      <c r="G81">
        <v>2563</v>
      </c>
      <c r="H81" s="116"/>
      <c r="I81" s="116"/>
      <c r="L81" s="170">
        <v>43685</v>
      </c>
      <c r="M81" s="116">
        <v>564.70000000000005</v>
      </c>
      <c r="N81" s="116">
        <v>570.5</v>
      </c>
      <c r="O81" s="116">
        <v>555.1</v>
      </c>
      <c r="P81" s="116">
        <v>569.4</v>
      </c>
      <c r="Q81" s="116">
        <v>564.70000000000005</v>
      </c>
      <c r="R81">
        <v>23131</v>
      </c>
    </row>
    <row r="82" spans="1:18" x14ac:dyDescent="0.25">
      <c r="A82" s="170">
        <v>43686</v>
      </c>
      <c r="B82" s="116">
        <v>585</v>
      </c>
      <c r="C82" s="116">
        <v>574.79999999999995</v>
      </c>
      <c r="D82" s="116">
        <v>565</v>
      </c>
      <c r="E82" s="116">
        <v>565</v>
      </c>
      <c r="F82" s="116">
        <v>574.79999999999995</v>
      </c>
      <c r="G82">
        <v>6573</v>
      </c>
      <c r="H82" s="116"/>
      <c r="I82" s="116"/>
      <c r="L82" s="170">
        <v>43686</v>
      </c>
      <c r="M82" s="116">
        <v>574.20000000000005</v>
      </c>
      <c r="N82" s="116">
        <v>585</v>
      </c>
      <c r="O82" s="116">
        <v>560.1</v>
      </c>
      <c r="P82" s="116">
        <v>566</v>
      </c>
      <c r="Q82" s="116">
        <v>574.20000000000005</v>
      </c>
      <c r="R82">
        <v>48520</v>
      </c>
    </row>
    <row r="83" spans="1:18" x14ac:dyDescent="0.25">
      <c r="A83" s="170">
        <v>43690</v>
      </c>
      <c r="B83" s="116">
        <v>583.20000000000005</v>
      </c>
      <c r="C83" s="116">
        <v>564.29999999999995</v>
      </c>
      <c r="D83" s="116">
        <v>562.4</v>
      </c>
      <c r="E83" s="116">
        <v>583.20000000000005</v>
      </c>
      <c r="F83" s="116">
        <v>564.29999999999995</v>
      </c>
      <c r="G83">
        <v>1857</v>
      </c>
      <c r="H83" s="116"/>
      <c r="I83" s="116"/>
      <c r="L83" s="170">
        <v>43690</v>
      </c>
      <c r="M83" s="116">
        <v>564.79999999999995</v>
      </c>
      <c r="N83" s="116">
        <v>584.85</v>
      </c>
      <c r="O83" s="116">
        <v>562.54999999999995</v>
      </c>
      <c r="P83" s="116">
        <v>584.85</v>
      </c>
      <c r="Q83" s="116">
        <v>564.79999999999995</v>
      </c>
      <c r="R83">
        <v>27197</v>
      </c>
    </row>
    <row r="84" spans="1:18" x14ac:dyDescent="0.25">
      <c r="A84" s="170">
        <v>43691</v>
      </c>
      <c r="B84" s="116">
        <v>573.04999999999995</v>
      </c>
      <c r="C84" s="116">
        <v>568.65</v>
      </c>
      <c r="D84" s="116">
        <v>560.5</v>
      </c>
      <c r="E84" s="116">
        <v>563.95000000000005</v>
      </c>
      <c r="F84" s="116">
        <v>568.65</v>
      </c>
      <c r="G84">
        <v>9290</v>
      </c>
      <c r="H84" s="116"/>
      <c r="I84" s="116"/>
      <c r="L84" s="170">
        <v>43691</v>
      </c>
      <c r="M84" s="116">
        <v>570.35</v>
      </c>
      <c r="N84" s="116">
        <v>574</v>
      </c>
      <c r="O84" s="116">
        <v>560</v>
      </c>
      <c r="P84" s="116">
        <v>563</v>
      </c>
      <c r="Q84" s="116">
        <v>570.35</v>
      </c>
      <c r="R84">
        <v>36849</v>
      </c>
    </row>
    <row r="85" spans="1:18" x14ac:dyDescent="0.25">
      <c r="A85" s="170">
        <v>43693</v>
      </c>
      <c r="B85" s="116">
        <v>572.29999999999995</v>
      </c>
      <c r="C85" s="116">
        <v>568.29999999999995</v>
      </c>
      <c r="D85" s="116">
        <v>563.04999999999995</v>
      </c>
      <c r="E85" s="116">
        <v>566.20000000000005</v>
      </c>
      <c r="F85" s="116">
        <v>568.29999999999995</v>
      </c>
      <c r="G85">
        <v>1446</v>
      </c>
      <c r="H85" s="116"/>
      <c r="I85" s="116"/>
      <c r="L85" s="170">
        <v>43693</v>
      </c>
      <c r="M85" s="116">
        <v>567.54999999999995</v>
      </c>
      <c r="N85" s="116">
        <v>574.79999999999995</v>
      </c>
      <c r="O85" s="116">
        <v>563.20000000000005</v>
      </c>
      <c r="P85" s="116">
        <v>571</v>
      </c>
      <c r="Q85" s="116">
        <v>567.54999999999995</v>
      </c>
      <c r="R85">
        <v>14370</v>
      </c>
    </row>
    <row r="86" spans="1:18" x14ac:dyDescent="0.25">
      <c r="A86" s="170">
        <v>43696</v>
      </c>
      <c r="B86" s="116">
        <v>570.35</v>
      </c>
      <c r="C86" s="116">
        <v>562.95000000000005</v>
      </c>
      <c r="D86" s="116">
        <v>561.79999999999995</v>
      </c>
      <c r="E86" s="116">
        <v>568.29999999999995</v>
      </c>
      <c r="F86" s="116">
        <v>562.95000000000005</v>
      </c>
      <c r="G86">
        <v>2299</v>
      </c>
      <c r="H86" s="116"/>
      <c r="I86" s="116"/>
      <c r="L86" s="170">
        <v>43696</v>
      </c>
      <c r="M86" s="116">
        <v>562.4</v>
      </c>
      <c r="N86" s="116">
        <v>570.29999999999995</v>
      </c>
      <c r="O86" s="116">
        <v>560.65</v>
      </c>
      <c r="P86" s="116">
        <v>570</v>
      </c>
      <c r="Q86" s="116">
        <v>562.4</v>
      </c>
      <c r="R86">
        <v>19742</v>
      </c>
    </row>
    <row r="87" spans="1:18" x14ac:dyDescent="0.25">
      <c r="A87" s="170">
        <v>43697</v>
      </c>
      <c r="B87" s="116">
        <v>565.04999999999995</v>
      </c>
      <c r="C87" s="116">
        <v>556.9</v>
      </c>
      <c r="D87" s="116">
        <v>555</v>
      </c>
      <c r="E87" s="116">
        <v>562</v>
      </c>
      <c r="F87" s="116">
        <v>556.9</v>
      </c>
      <c r="G87">
        <v>2665</v>
      </c>
      <c r="H87" s="116"/>
      <c r="I87" s="116"/>
      <c r="L87" s="170">
        <v>43697</v>
      </c>
      <c r="M87" s="116">
        <v>556.70000000000005</v>
      </c>
      <c r="N87" s="116">
        <v>564.1</v>
      </c>
      <c r="O87" s="116">
        <v>555</v>
      </c>
      <c r="P87" s="116">
        <v>560.1</v>
      </c>
      <c r="Q87" s="116">
        <v>556.70000000000005</v>
      </c>
      <c r="R87">
        <v>47905</v>
      </c>
    </row>
    <row r="88" spans="1:18" x14ac:dyDescent="0.25">
      <c r="A88" s="170">
        <v>43698</v>
      </c>
      <c r="B88" s="116">
        <v>556.25</v>
      </c>
      <c r="C88" s="116">
        <v>546.04999999999995</v>
      </c>
      <c r="D88" s="116">
        <v>545</v>
      </c>
      <c r="E88" s="116">
        <v>556.25</v>
      </c>
      <c r="F88" s="116">
        <v>546.04999999999995</v>
      </c>
      <c r="G88">
        <v>3518</v>
      </c>
      <c r="H88" s="116"/>
      <c r="I88" s="116"/>
      <c r="L88" s="170">
        <v>43698</v>
      </c>
      <c r="M88" s="116">
        <v>546.25</v>
      </c>
      <c r="N88" s="116">
        <v>560</v>
      </c>
      <c r="O88" s="116">
        <v>545</v>
      </c>
      <c r="P88" s="116">
        <v>560</v>
      </c>
      <c r="Q88" s="116">
        <v>546.25</v>
      </c>
      <c r="R88">
        <v>31020</v>
      </c>
    </row>
    <row r="89" spans="1:18" x14ac:dyDescent="0.25">
      <c r="A89" s="170">
        <v>43699</v>
      </c>
      <c r="B89" s="116">
        <v>547.1</v>
      </c>
      <c r="C89" s="116">
        <v>535.20000000000005</v>
      </c>
      <c r="D89" s="116">
        <v>525.04999999999995</v>
      </c>
      <c r="E89" s="116">
        <v>545.04999999999995</v>
      </c>
      <c r="F89" s="116">
        <v>535.20000000000005</v>
      </c>
      <c r="G89">
        <v>7217</v>
      </c>
      <c r="H89" s="116"/>
      <c r="I89" s="116"/>
      <c r="L89" s="170">
        <v>43699</v>
      </c>
      <c r="M89" s="116">
        <v>535.75</v>
      </c>
      <c r="N89" s="116">
        <v>547</v>
      </c>
      <c r="O89" s="116">
        <v>525.15</v>
      </c>
      <c r="P89" s="116">
        <v>547</v>
      </c>
      <c r="Q89" s="116">
        <v>535.75</v>
      </c>
      <c r="R89">
        <v>63750</v>
      </c>
    </row>
    <row r="90" spans="1:18" x14ac:dyDescent="0.25">
      <c r="A90" s="170">
        <v>43700</v>
      </c>
      <c r="B90" s="116">
        <v>546.6</v>
      </c>
      <c r="C90" s="116">
        <v>539.75</v>
      </c>
      <c r="D90" s="116">
        <v>526.04999999999995</v>
      </c>
      <c r="E90" s="116">
        <v>537.85</v>
      </c>
      <c r="F90" s="116">
        <v>539.75</v>
      </c>
      <c r="G90">
        <v>5539</v>
      </c>
      <c r="H90" s="116"/>
      <c r="I90" s="116"/>
      <c r="L90" s="170">
        <v>43700</v>
      </c>
      <c r="M90" s="116">
        <v>540.25</v>
      </c>
      <c r="N90" s="116">
        <v>545.45000000000005</v>
      </c>
      <c r="O90" s="116">
        <v>526</v>
      </c>
      <c r="P90" s="116">
        <v>532.54999999999995</v>
      </c>
      <c r="Q90" s="116">
        <v>540.25</v>
      </c>
      <c r="R90">
        <v>37119</v>
      </c>
    </row>
    <row r="91" spans="1:18" x14ac:dyDescent="0.25">
      <c r="A91" s="170">
        <v>43703</v>
      </c>
      <c r="B91" s="116">
        <v>569.65</v>
      </c>
      <c r="C91" s="116">
        <v>566.4</v>
      </c>
      <c r="D91" s="116">
        <v>541</v>
      </c>
      <c r="E91" s="116">
        <v>556.20000000000005</v>
      </c>
      <c r="F91" s="116">
        <v>566.4</v>
      </c>
      <c r="G91">
        <v>8037</v>
      </c>
      <c r="H91" s="116"/>
      <c r="I91" s="116"/>
      <c r="L91" s="170">
        <v>43703</v>
      </c>
      <c r="M91" s="116">
        <v>565.5</v>
      </c>
      <c r="N91" s="116">
        <v>569</v>
      </c>
      <c r="O91" s="116">
        <v>541</v>
      </c>
      <c r="P91" s="116">
        <v>555</v>
      </c>
      <c r="Q91" s="116">
        <v>565.5</v>
      </c>
      <c r="R91">
        <v>72232</v>
      </c>
    </row>
    <row r="92" spans="1:18" x14ac:dyDescent="0.25">
      <c r="A92" s="170">
        <v>43704</v>
      </c>
      <c r="B92" s="116">
        <v>588.95000000000005</v>
      </c>
      <c r="C92" s="116">
        <v>586.20000000000005</v>
      </c>
      <c r="D92" s="116">
        <v>565.1</v>
      </c>
      <c r="E92" s="116">
        <v>567</v>
      </c>
      <c r="F92" s="116">
        <v>586.20000000000005</v>
      </c>
      <c r="G92">
        <v>9195</v>
      </c>
      <c r="H92" s="116"/>
      <c r="I92" s="116"/>
      <c r="L92" s="170">
        <v>43704</v>
      </c>
      <c r="M92" s="116">
        <v>584.75</v>
      </c>
      <c r="N92" s="116">
        <v>587.5</v>
      </c>
      <c r="O92" s="116">
        <v>565</v>
      </c>
      <c r="P92" s="116">
        <v>565.5</v>
      </c>
      <c r="Q92" s="116">
        <v>584.75</v>
      </c>
      <c r="R92">
        <v>64615</v>
      </c>
    </row>
    <row r="93" spans="1:18" x14ac:dyDescent="0.25">
      <c r="A93" s="170">
        <v>43705</v>
      </c>
      <c r="B93" s="116">
        <v>585.70000000000005</v>
      </c>
      <c r="C93" s="116">
        <v>571.4</v>
      </c>
      <c r="D93" s="116">
        <v>569.75</v>
      </c>
      <c r="E93" s="116">
        <v>581.6</v>
      </c>
      <c r="F93" s="116">
        <v>571.4</v>
      </c>
      <c r="G93">
        <v>3126</v>
      </c>
      <c r="H93" s="116"/>
      <c r="I93" s="116"/>
      <c r="L93" s="170">
        <v>43705</v>
      </c>
      <c r="M93" s="116">
        <v>571.1</v>
      </c>
      <c r="N93" s="116">
        <v>586</v>
      </c>
      <c r="O93" s="116">
        <v>570</v>
      </c>
      <c r="P93" s="116">
        <v>580</v>
      </c>
      <c r="Q93" s="116">
        <v>571.1</v>
      </c>
      <c r="R93">
        <v>26203</v>
      </c>
    </row>
    <row r="94" spans="1:18" x14ac:dyDescent="0.25">
      <c r="A94" s="170">
        <v>43706</v>
      </c>
      <c r="B94" s="116">
        <v>595</v>
      </c>
      <c r="C94" s="116">
        <v>593.65</v>
      </c>
      <c r="D94" s="116">
        <v>578.45000000000005</v>
      </c>
      <c r="E94" s="116">
        <v>583.15</v>
      </c>
      <c r="F94" s="116">
        <v>593.65</v>
      </c>
      <c r="G94">
        <v>10955</v>
      </c>
      <c r="H94" s="116"/>
      <c r="I94" s="116"/>
      <c r="L94" s="170">
        <v>43706</v>
      </c>
      <c r="M94" s="116">
        <v>593.65</v>
      </c>
      <c r="N94" s="116">
        <v>595.65</v>
      </c>
      <c r="O94" s="116">
        <v>577.35</v>
      </c>
      <c r="P94" s="116">
        <v>577.35</v>
      </c>
      <c r="Q94" s="116">
        <v>593.65</v>
      </c>
      <c r="R94">
        <v>116881</v>
      </c>
    </row>
    <row r="95" spans="1:18" x14ac:dyDescent="0.25">
      <c r="A95" s="170">
        <v>43707</v>
      </c>
      <c r="B95" s="116">
        <v>620</v>
      </c>
      <c r="C95" s="116">
        <v>615.65</v>
      </c>
      <c r="D95" s="116">
        <v>587.79999999999995</v>
      </c>
      <c r="E95" s="116">
        <v>596.20000000000005</v>
      </c>
      <c r="F95" s="116">
        <v>615.65</v>
      </c>
      <c r="G95">
        <v>13442</v>
      </c>
      <c r="H95" s="116"/>
      <c r="I95" s="116"/>
      <c r="L95" s="170">
        <v>43707</v>
      </c>
      <c r="M95" s="116">
        <v>614.75</v>
      </c>
      <c r="N95" s="116">
        <v>620</v>
      </c>
      <c r="O95" s="116">
        <v>586.35</v>
      </c>
      <c r="P95" s="116">
        <v>593.70000000000005</v>
      </c>
      <c r="Q95" s="116">
        <v>614.75</v>
      </c>
      <c r="R95">
        <v>126311</v>
      </c>
    </row>
    <row r="96" spans="1:18" x14ac:dyDescent="0.25">
      <c r="A96" s="170">
        <v>43711</v>
      </c>
      <c r="B96" s="116">
        <v>612</v>
      </c>
      <c r="C96" s="116">
        <v>592.45000000000005</v>
      </c>
      <c r="D96" s="116">
        <v>585.25</v>
      </c>
      <c r="E96" s="116">
        <v>608</v>
      </c>
      <c r="F96" s="116">
        <v>592.45000000000005</v>
      </c>
      <c r="G96">
        <v>9763</v>
      </c>
      <c r="H96" s="116"/>
      <c r="I96" s="116"/>
      <c r="L96" s="170">
        <v>43711</v>
      </c>
      <c r="M96" s="116">
        <v>592.04999999999995</v>
      </c>
      <c r="N96" s="116">
        <v>613</v>
      </c>
      <c r="O96" s="116">
        <v>585</v>
      </c>
      <c r="P96" s="116">
        <v>610</v>
      </c>
      <c r="Q96" s="116">
        <v>592.04999999999995</v>
      </c>
      <c r="R96">
        <v>56450</v>
      </c>
    </row>
    <row r="97" spans="1:18" x14ac:dyDescent="0.25">
      <c r="A97" s="170">
        <v>43712</v>
      </c>
      <c r="B97" s="116">
        <v>608.04999999999995</v>
      </c>
      <c r="C97" s="116">
        <v>603.9</v>
      </c>
      <c r="D97" s="116">
        <v>583.04999999999995</v>
      </c>
      <c r="E97" s="116">
        <v>590</v>
      </c>
      <c r="F97" s="116">
        <v>603.9</v>
      </c>
      <c r="G97">
        <v>5469</v>
      </c>
      <c r="H97" s="116"/>
      <c r="I97" s="116"/>
      <c r="L97" s="170">
        <v>43712</v>
      </c>
      <c r="M97" s="116">
        <v>603.5</v>
      </c>
      <c r="N97" s="116">
        <v>606.20000000000005</v>
      </c>
      <c r="O97" s="116">
        <v>583</v>
      </c>
      <c r="P97" s="116">
        <v>592</v>
      </c>
      <c r="Q97" s="116">
        <v>603.5</v>
      </c>
      <c r="R97">
        <v>70006</v>
      </c>
    </row>
    <row r="98" spans="1:18" x14ac:dyDescent="0.25">
      <c r="A98" s="170">
        <v>43713</v>
      </c>
      <c r="B98" s="116">
        <v>612.45000000000005</v>
      </c>
      <c r="C98" s="116">
        <v>604.95000000000005</v>
      </c>
      <c r="D98" s="116">
        <v>596</v>
      </c>
      <c r="E98" s="116">
        <v>600</v>
      </c>
      <c r="F98" s="116">
        <v>604.95000000000005</v>
      </c>
      <c r="G98">
        <v>5116</v>
      </c>
      <c r="H98" s="116"/>
      <c r="I98" s="116"/>
      <c r="L98" s="170">
        <v>43713</v>
      </c>
      <c r="M98" s="116">
        <v>604.35</v>
      </c>
      <c r="N98" s="116">
        <v>612.75</v>
      </c>
      <c r="O98" s="116">
        <v>595</v>
      </c>
      <c r="P98" s="116">
        <v>603.5</v>
      </c>
      <c r="Q98" s="116">
        <v>604.35</v>
      </c>
      <c r="R98">
        <v>70012</v>
      </c>
    </row>
    <row r="99" spans="1:18" x14ac:dyDescent="0.25">
      <c r="A99" s="170">
        <v>43714</v>
      </c>
      <c r="B99" s="116">
        <v>610.04999999999995</v>
      </c>
      <c r="C99" s="116">
        <v>607.54999999999995</v>
      </c>
      <c r="D99" s="116">
        <v>602.1</v>
      </c>
      <c r="E99" s="116">
        <v>602.1</v>
      </c>
      <c r="F99" s="116">
        <v>607.54999999999995</v>
      </c>
      <c r="G99">
        <v>29634</v>
      </c>
      <c r="H99" s="116"/>
      <c r="I99" s="116"/>
      <c r="L99" s="170">
        <v>43714</v>
      </c>
      <c r="M99" s="116">
        <v>607.79999999999995</v>
      </c>
      <c r="N99" s="116">
        <v>611.85</v>
      </c>
      <c r="O99" s="116">
        <v>603.04999999999995</v>
      </c>
      <c r="P99" s="116">
        <v>603.1</v>
      </c>
      <c r="Q99" s="116">
        <v>607.79999999999995</v>
      </c>
      <c r="R99">
        <v>40266</v>
      </c>
    </row>
    <row r="100" spans="1:18" x14ac:dyDescent="0.25">
      <c r="A100" s="170">
        <v>43717</v>
      </c>
      <c r="B100" s="116">
        <v>623.70000000000005</v>
      </c>
      <c r="C100" s="116">
        <v>619.54999999999995</v>
      </c>
      <c r="D100" s="116">
        <v>610</v>
      </c>
      <c r="E100" s="116">
        <v>610</v>
      </c>
      <c r="F100" s="116">
        <v>619.54999999999995</v>
      </c>
      <c r="G100">
        <v>9720</v>
      </c>
      <c r="H100" s="116"/>
      <c r="I100" s="116"/>
      <c r="L100" s="170">
        <v>43717</v>
      </c>
      <c r="M100" s="116">
        <v>620.35</v>
      </c>
      <c r="N100" s="116">
        <v>624.4</v>
      </c>
      <c r="O100" s="116">
        <v>608.29999999999995</v>
      </c>
      <c r="P100" s="116">
        <v>608.29999999999995</v>
      </c>
      <c r="Q100" s="116">
        <v>620.35</v>
      </c>
      <c r="R100">
        <v>83021</v>
      </c>
    </row>
    <row r="101" spans="1:18" x14ac:dyDescent="0.25">
      <c r="A101" s="170">
        <v>43719</v>
      </c>
      <c r="B101" s="116">
        <v>626.95000000000005</v>
      </c>
      <c r="C101" s="116">
        <v>621.5</v>
      </c>
      <c r="D101" s="116">
        <v>610</v>
      </c>
      <c r="E101" s="116">
        <v>610</v>
      </c>
      <c r="F101" s="116">
        <v>621.5</v>
      </c>
      <c r="G101">
        <v>4283</v>
      </c>
      <c r="H101" s="116"/>
      <c r="I101" s="116"/>
      <c r="L101" s="170">
        <v>43719</v>
      </c>
      <c r="M101" s="116">
        <v>621.4</v>
      </c>
      <c r="N101" s="116">
        <v>626.5</v>
      </c>
      <c r="O101" s="116">
        <v>610.45000000000005</v>
      </c>
      <c r="P101" s="116">
        <v>621</v>
      </c>
      <c r="Q101" s="116">
        <v>621.4</v>
      </c>
      <c r="R101">
        <v>59967</v>
      </c>
    </row>
    <row r="102" spans="1:18" x14ac:dyDescent="0.25">
      <c r="A102" s="170">
        <v>43720</v>
      </c>
      <c r="B102" s="116">
        <v>633.5</v>
      </c>
      <c r="C102" s="116">
        <v>622.70000000000005</v>
      </c>
      <c r="D102" s="116">
        <v>621.1</v>
      </c>
      <c r="E102" s="116">
        <v>622.35</v>
      </c>
      <c r="F102" s="116">
        <v>622.70000000000005</v>
      </c>
      <c r="G102">
        <v>5872</v>
      </c>
      <c r="H102" s="116"/>
      <c r="I102" s="116"/>
      <c r="L102" s="170">
        <v>43720</v>
      </c>
      <c r="M102" s="116">
        <v>623.04999999999995</v>
      </c>
      <c r="N102" s="116">
        <v>633.75</v>
      </c>
      <c r="O102" s="116">
        <v>620.4</v>
      </c>
      <c r="P102" s="116">
        <v>621.4</v>
      </c>
      <c r="Q102" s="116">
        <v>623.04999999999995</v>
      </c>
      <c r="R102">
        <v>52409</v>
      </c>
    </row>
    <row r="103" spans="1:18" x14ac:dyDescent="0.25">
      <c r="A103" s="170">
        <v>43721</v>
      </c>
      <c r="B103" s="116">
        <v>637.5</v>
      </c>
      <c r="C103" s="116">
        <v>632.29999999999995</v>
      </c>
      <c r="D103" s="116">
        <v>622.15</v>
      </c>
      <c r="E103" s="116">
        <v>622.15</v>
      </c>
      <c r="F103" s="116">
        <v>632.29999999999995</v>
      </c>
      <c r="G103">
        <v>8580</v>
      </c>
      <c r="H103" s="116"/>
      <c r="I103" s="116"/>
      <c r="L103" s="170">
        <v>43721</v>
      </c>
      <c r="M103" s="116">
        <v>632.5</v>
      </c>
      <c r="N103" s="116">
        <v>637.4</v>
      </c>
      <c r="O103" s="116">
        <v>622.5</v>
      </c>
      <c r="P103" s="116">
        <v>625</v>
      </c>
      <c r="Q103" s="116">
        <v>632.5</v>
      </c>
      <c r="R103">
        <v>108871</v>
      </c>
    </row>
    <row r="104" spans="1:18" x14ac:dyDescent="0.25">
      <c r="A104" s="170">
        <v>43724</v>
      </c>
      <c r="B104" s="116">
        <v>640</v>
      </c>
      <c r="C104" s="116">
        <v>634.85</v>
      </c>
      <c r="D104" s="116">
        <v>624</v>
      </c>
      <c r="E104" s="116">
        <v>627.85</v>
      </c>
      <c r="F104" s="116">
        <v>634.85</v>
      </c>
      <c r="G104">
        <v>4544</v>
      </c>
      <c r="H104" s="116"/>
      <c r="I104" s="116"/>
      <c r="L104" s="170">
        <v>43724</v>
      </c>
      <c r="M104" s="116">
        <v>635.70000000000005</v>
      </c>
      <c r="N104" s="116">
        <v>640.5</v>
      </c>
      <c r="O104" s="116">
        <v>625</v>
      </c>
      <c r="P104" s="116">
        <v>630.1</v>
      </c>
      <c r="Q104" s="116">
        <v>635.70000000000005</v>
      </c>
      <c r="R104">
        <v>58835</v>
      </c>
    </row>
    <row r="105" spans="1:18" x14ac:dyDescent="0.25">
      <c r="A105" s="170">
        <v>43725</v>
      </c>
      <c r="B105" s="116">
        <v>637.75</v>
      </c>
      <c r="C105" s="116">
        <v>631.25</v>
      </c>
      <c r="D105" s="116">
        <v>616.29999999999995</v>
      </c>
      <c r="E105" s="116">
        <v>637.75</v>
      </c>
      <c r="F105" s="116">
        <v>631.25</v>
      </c>
      <c r="G105">
        <v>9949</v>
      </c>
      <c r="H105" s="116"/>
      <c r="I105" s="116"/>
      <c r="L105" s="170">
        <v>43725</v>
      </c>
      <c r="M105" s="116">
        <v>631.5</v>
      </c>
      <c r="N105" s="116">
        <v>637.70000000000005</v>
      </c>
      <c r="O105" s="116">
        <v>617.1</v>
      </c>
      <c r="P105" s="116">
        <v>637.70000000000005</v>
      </c>
      <c r="Q105" s="116">
        <v>631.5</v>
      </c>
      <c r="R105">
        <v>258484</v>
      </c>
    </row>
    <row r="106" spans="1:18" x14ac:dyDescent="0.25">
      <c r="A106" s="170">
        <v>43726</v>
      </c>
      <c r="B106" s="116">
        <v>644.45000000000005</v>
      </c>
      <c r="C106" s="116">
        <v>633.6</v>
      </c>
      <c r="D106" s="116">
        <v>630.95000000000005</v>
      </c>
      <c r="E106" s="116">
        <v>634.95000000000005</v>
      </c>
      <c r="F106" s="116">
        <v>633.6</v>
      </c>
      <c r="G106">
        <v>6424</v>
      </c>
      <c r="H106" s="116"/>
      <c r="I106" s="116"/>
      <c r="L106" s="170">
        <v>43726</v>
      </c>
      <c r="M106" s="116">
        <v>633.15</v>
      </c>
      <c r="N106" s="116">
        <v>645</v>
      </c>
      <c r="O106" s="116">
        <v>629.70000000000005</v>
      </c>
      <c r="P106" s="116">
        <v>629.70000000000005</v>
      </c>
      <c r="Q106" s="116">
        <v>633.15</v>
      </c>
      <c r="R106">
        <v>72584</v>
      </c>
    </row>
    <row r="107" spans="1:18" x14ac:dyDescent="0.25">
      <c r="A107" s="170">
        <v>43727</v>
      </c>
      <c r="B107" s="116">
        <v>633</v>
      </c>
      <c r="C107" s="116">
        <v>619.54999999999995</v>
      </c>
      <c r="D107" s="116">
        <v>616.95000000000005</v>
      </c>
      <c r="E107" s="116">
        <v>633</v>
      </c>
      <c r="F107" s="116">
        <v>619.54999999999995</v>
      </c>
      <c r="G107">
        <v>9630</v>
      </c>
      <c r="H107" s="116"/>
      <c r="I107" s="116"/>
      <c r="L107" s="170">
        <v>43727</v>
      </c>
      <c r="M107" s="116">
        <v>621</v>
      </c>
      <c r="N107" s="116">
        <v>633</v>
      </c>
      <c r="O107" s="116">
        <v>616</v>
      </c>
      <c r="P107" s="116">
        <v>633</v>
      </c>
      <c r="Q107" s="116">
        <v>621</v>
      </c>
      <c r="R107">
        <v>52021</v>
      </c>
    </row>
    <row r="108" spans="1:18" x14ac:dyDescent="0.25">
      <c r="A108" s="170">
        <v>43728</v>
      </c>
      <c r="B108" s="116">
        <v>647.9</v>
      </c>
      <c r="C108" s="116">
        <v>642.54999999999995</v>
      </c>
      <c r="D108" s="116">
        <v>612.20000000000005</v>
      </c>
      <c r="E108" s="116">
        <v>625.65</v>
      </c>
      <c r="F108" s="116">
        <v>642.54999999999995</v>
      </c>
      <c r="G108">
        <v>23520</v>
      </c>
      <c r="H108" s="116"/>
      <c r="I108" s="116"/>
      <c r="L108" s="170">
        <v>43728</v>
      </c>
      <c r="M108" s="116">
        <v>642.25</v>
      </c>
      <c r="N108" s="116">
        <v>647.95000000000005</v>
      </c>
      <c r="O108" s="116">
        <v>611.70000000000005</v>
      </c>
      <c r="P108" s="116">
        <v>622</v>
      </c>
      <c r="Q108" s="116">
        <v>642.25</v>
      </c>
      <c r="R108">
        <v>260779</v>
      </c>
    </row>
    <row r="109" spans="1:18" x14ac:dyDescent="0.25">
      <c r="A109" s="170">
        <v>43731</v>
      </c>
      <c r="B109" s="116">
        <v>699</v>
      </c>
      <c r="C109" s="116">
        <v>691.15</v>
      </c>
      <c r="D109" s="116">
        <v>644</v>
      </c>
      <c r="E109" s="116">
        <v>644</v>
      </c>
      <c r="F109" s="116">
        <v>691.15</v>
      </c>
      <c r="G109">
        <v>74313</v>
      </c>
      <c r="H109" s="116"/>
      <c r="I109" s="116"/>
      <c r="L109" s="170">
        <v>43731</v>
      </c>
      <c r="M109" s="116">
        <v>690.65</v>
      </c>
      <c r="N109" s="116">
        <v>699.8</v>
      </c>
      <c r="O109" s="116">
        <v>650</v>
      </c>
      <c r="P109" s="116">
        <v>660</v>
      </c>
      <c r="Q109" s="116">
        <v>690.65</v>
      </c>
      <c r="R109">
        <v>603384</v>
      </c>
    </row>
    <row r="110" spans="1:18" x14ac:dyDescent="0.25">
      <c r="A110" s="170">
        <v>43732</v>
      </c>
      <c r="B110" s="116">
        <v>709</v>
      </c>
      <c r="C110" s="116">
        <v>685.05</v>
      </c>
      <c r="D110" s="116">
        <v>680</v>
      </c>
      <c r="E110" s="116">
        <v>701</v>
      </c>
      <c r="F110" s="116">
        <v>685.05</v>
      </c>
      <c r="G110">
        <v>25707</v>
      </c>
      <c r="H110" s="116"/>
      <c r="I110" s="116"/>
      <c r="L110" s="170">
        <v>43732</v>
      </c>
      <c r="M110" s="116">
        <v>685.55</v>
      </c>
      <c r="N110" s="116">
        <v>710.95</v>
      </c>
      <c r="O110" s="116">
        <v>680.15</v>
      </c>
      <c r="P110" s="116">
        <v>697.7</v>
      </c>
      <c r="Q110" s="116">
        <v>685.55</v>
      </c>
      <c r="R110">
        <v>204647</v>
      </c>
    </row>
    <row r="111" spans="1:18" x14ac:dyDescent="0.25">
      <c r="A111" s="170">
        <v>43733</v>
      </c>
      <c r="B111" s="116">
        <v>699.9</v>
      </c>
      <c r="C111" s="116">
        <v>680.45</v>
      </c>
      <c r="D111" s="116">
        <v>675.6</v>
      </c>
      <c r="E111" s="116">
        <v>685.05</v>
      </c>
      <c r="F111" s="116">
        <v>680.45</v>
      </c>
      <c r="G111">
        <v>12085</v>
      </c>
      <c r="H111" s="116"/>
      <c r="I111" s="116"/>
      <c r="L111" s="170">
        <v>43733</v>
      </c>
      <c r="M111" s="116">
        <v>680.2</v>
      </c>
      <c r="N111" s="116">
        <v>700</v>
      </c>
      <c r="O111" s="116">
        <v>676.25</v>
      </c>
      <c r="P111" s="116">
        <v>681.05</v>
      </c>
      <c r="Q111" s="116">
        <v>680.2</v>
      </c>
      <c r="R111">
        <v>114095</v>
      </c>
    </row>
    <row r="112" spans="1:18" x14ac:dyDescent="0.25">
      <c r="A112" s="170">
        <v>43734</v>
      </c>
      <c r="B112" s="116">
        <v>700</v>
      </c>
      <c r="C112" s="116">
        <v>697.5</v>
      </c>
      <c r="D112" s="116">
        <v>681.75</v>
      </c>
      <c r="E112" s="116">
        <v>685.65</v>
      </c>
      <c r="F112" s="116">
        <v>697.5</v>
      </c>
      <c r="G112">
        <v>14625</v>
      </c>
      <c r="H112" s="116"/>
      <c r="I112" s="116"/>
      <c r="L112" s="170">
        <v>43734</v>
      </c>
      <c r="M112" s="116">
        <v>696.3</v>
      </c>
      <c r="N112" s="116">
        <v>699.95</v>
      </c>
      <c r="O112" s="116">
        <v>681.95</v>
      </c>
      <c r="P112" s="116">
        <v>684.9</v>
      </c>
      <c r="Q112" s="116">
        <v>696.3</v>
      </c>
      <c r="R112">
        <v>177166</v>
      </c>
    </row>
    <row r="113" spans="1:18" x14ac:dyDescent="0.25">
      <c r="A113" s="170">
        <v>43735</v>
      </c>
      <c r="B113" s="116">
        <v>708.9</v>
      </c>
      <c r="C113" s="116">
        <v>697.7</v>
      </c>
      <c r="D113" s="116">
        <v>685.35</v>
      </c>
      <c r="E113" s="116">
        <v>701</v>
      </c>
      <c r="F113" s="116">
        <v>697.7</v>
      </c>
      <c r="G113">
        <v>22684</v>
      </c>
      <c r="H113" s="116"/>
      <c r="I113" s="116"/>
      <c r="L113" s="170">
        <v>43735</v>
      </c>
      <c r="M113" s="116">
        <v>699.1</v>
      </c>
      <c r="N113" s="116">
        <v>708.9</v>
      </c>
      <c r="O113" s="116">
        <v>685</v>
      </c>
      <c r="P113" s="116">
        <v>701.1</v>
      </c>
      <c r="Q113" s="116">
        <v>699.1</v>
      </c>
      <c r="R113">
        <v>203966</v>
      </c>
    </row>
    <row r="114" spans="1:18" x14ac:dyDescent="0.25">
      <c r="A114" s="170">
        <v>43738</v>
      </c>
      <c r="B114" s="116">
        <v>708.85</v>
      </c>
      <c r="C114" s="116">
        <v>682.85</v>
      </c>
      <c r="D114" s="116">
        <v>677</v>
      </c>
      <c r="E114" s="116">
        <v>700</v>
      </c>
      <c r="F114" s="116">
        <v>682.85</v>
      </c>
      <c r="G114">
        <v>11763</v>
      </c>
      <c r="H114" s="116"/>
      <c r="I114" s="116"/>
      <c r="L114" s="170">
        <v>43738</v>
      </c>
      <c r="M114" s="116">
        <v>685.45</v>
      </c>
      <c r="N114" s="116">
        <v>709.5</v>
      </c>
      <c r="O114" s="116">
        <v>675.05</v>
      </c>
      <c r="P114" s="116">
        <v>699.1</v>
      </c>
      <c r="Q114" s="116">
        <v>685.45</v>
      </c>
      <c r="R114">
        <v>266498</v>
      </c>
    </row>
    <row r="115" spans="1:18" x14ac:dyDescent="0.25">
      <c r="A115" s="170">
        <v>43739</v>
      </c>
      <c r="B115" s="116">
        <v>689</v>
      </c>
      <c r="C115" s="116">
        <v>676.95</v>
      </c>
      <c r="D115" s="116">
        <v>656</v>
      </c>
      <c r="E115" s="116">
        <v>683</v>
      </c>
      <c r="F115" s="116">
        <v>676.95</v>
      </c>
      <c r="G115">
        <v>7971</v>
      </c>
      <c r="H115" s="116"/>
      <c r="I115" s="116"/>
      <c r="L115" s="170">
        <v>43739</v>
      </c>
      <c r="M115" s="116">
        <v>676.65</v>
      </c>
      <c r="N115" s="116">
        <v>687.35</v>
      </c>
      <c r="O115" s="116">
        <v>656.05</v>
      </c>
      <c r="P115" s="116">
        <v>684.7</v>
      </c>
      <c r="Q115" s="116">
        <v>676.65</v>
      </c>
      <c r="R115">
        <v>102627</v>
      </c>
    </row>
    <row r="116" spans="1:18" x14ac:dyDescent="0.25">
      <c r="A116" s="170">
        <v>43741</v>
      </c>
      <c r="B116" s="116">
        <v>692.35</v>
      </c>
      <c r="C116" s="116">
        <v>674.95</v>
      </c>
      <c r="D116" s="116">
        <v>665</v>
      </c>
      <c r="E116" s="116">
        <v>676</v>
      </c>
      <c r="F116" s="116">
        <v>674.95</v>
      </c>
      <c r="G116">
        <v>5005</v>
      </c>
      <c r="H116" s="116"/>
      <c r="I116" s="116"/>
      <c r="L116" s="170">
        <v>43741</v>
      </c>
      <c r="M116" s="116">
        <v>675.15</v>
      </c>
      <c r="N116" s="116">
        <v>692.75</v>
      </c>
      <c r="O116" s="116">
        <v>664.05</v>
      </c>
      <c r="P116" s="116">
        <v>676.65</v>
      </c>
      <c r="Q116" s="116">
        <v>675.15</v>
      </c>
      <c r="R116">
        <v>52237</v>
      </c>
    </row>
    <row r="117" spans="1:18" x14ac:dyDescent="0.25">
      <c r="A117" s="170">
        <v>43742</v>
      </c>
      <c r="B117" s="116">
        <v>699</v>
      </c>
      <c r="C117" s="116">
        <v>668.15</v>
      </c>
      <c r="D117" s="116">
        <v>665.15</v>
      </c>
      <c r="E117" s="116">
        <v>699</v>
      </c>
      <c r="F117" s="116">
        <v>668.15</v>
      </c>
      <c r="G117">
        <v>3960</v>
      </c>
      <c r="H117" s="116"/>
      <c r="I117" s="116"/>
      <c r="L117" s="170">
        <v>43742</v>
      </c>
      <c r="M117" s="116">
        <v>667.5</v>
      </c>
      <c r="N117" s="116">
        <v>689</v>
      </c>
      <c r="O117" s="116">
        <v>665.1</v>
      </c>
      <c r="P117" s="116">
        <v>679.8</v>
      </c>
      <c r="Q117" s="116">
        <v>667.5</v>
      </c>
      <c r="R117">
        <v>42004</v>
      </c>
    </row>
    <row r="118" spans="1:18" x14ac:dyDescent="0.25">
      <c r="A118" s="170">
        <v>43745</v>
      </c>
      <c r="B118" s="116">
        <v>675</v>
      </c>
      <c r="C118" s="116">
        <v>670.95</v>
      </c>
      <c r="D118" s="116">
        <v>664</v>
      </c>
      <c r="E118" s="116">
        <v>674.95</v>
      </c>
      <c r="F118" s="116">
        <v>670.95</v>
      </c>
      <c r="G118">
        <v>4122</v>
      </c>
      <c r="H118" s="116"/>
      <c r="I118" s="116"/>
      <c r="L118" s="170">
        <v>43745</v>
      </c>
      <c r="M118" s="116">
        <v>672.15</v>
      </c>
      <c r="N118" s="116">
        <v>676.95</v>
      </c>
      <c r="O118" s="116">
        <v>664</v>
      </c>
      <c r="P118" s="116">
        <v>672</v>
      </c>
      <c r="Q118" s="116">
        <v>672.15</v>
      </c>
      <c r="R118">
        <v>58083</v>
      </c>
    </row>
    <row r="119" spans="1:18" x14ac:dyDescent="0.25">
      <c r="A119" s="170">
        <v>43747</v>
      </c>
      <c r="B119" s="116">
        <v>674.95</v>
      </c>
      <c r="C119" s="116">
        <v>666.55</v>
      </c>
      <c r="D119" s="116">
        <v>664.65</v>
      </c>
      <c r="E119" s="116">
        <v>669.6</v>
      </c>
      <c r="F119" s="116">
        <v>666.55</v>
      </c>
      <c r="G119">
        <v>2859</v>
      </c>
      <c r="H119" s="116"/>
      <c r="I119" s="116"/>
      <c r="L119" s="170">
        <v>43747</v>
      </c>
      <c r="M119" s="116">
        <v>667.2</v>
      </c>
      <c r="N119" s="116">
        <v>675.9</v>
      </c>
      <c r="O119" s="116">
        <v>665.55</v>
      </c>
      <c r="P119" s="116">
        <v>674.5</v>
      </c>
      <c r="Q119" s="116">
        <v>667.2</v>
      </c>
      <c r="R119">
        <v>34764</v>
      </c>
    </row>
    <row r="120" spans="1:18" x14ac:dyDescent="0.25">
      <c r="A120" s="170">
        <v>43748</v>
      </c>
      <c r="B120" s="116">
        <v>673.75</v>
      </c>
      <c r="C120" s="116">
        <v>659.1</v>
      </c>
      <c r="D120" s="116">
        <v>656.1</v>
      </c>
      <c r="E120" s="116">
        <v>665.6</v>
      </c>
      <c r="F120" s="116">
        <v>659.1</v>
      </c>
      <c r="G120">
        <v>2946</v>
      </c>
      <c r="H120" s="116"/>
      <c r="I120" s="116"/>
      <c r="L120" s="170">
        <v>43748</v>
      </c>
      <c r="M120" s="116">
        <v>662.15</v>
      </c>
      <c r="N120" s="116">
        <v>673.7</v>
      </c>
      <c r="O120" s="116">
        <v>656</v>
      </c>
      <c r="P120" s="116">
        <v>666.1</v>
      </c>
      <c r="Q120" s="116">
        <v>662.15</v>
      </c>
      <c r="R120">
        <v>35942</v>
      </c>
    </row>
    <row r="121" spans="1:18" x14ac:dyDescent="0.25">
      <c r="A121" s="170">
        <v>43749</v>
      </c>
      <c r="B121" s="116">
        <v>675</v>
      </c>
      <c r="C121" s="116">
        <v>665.3</v>
      </c>
      <c r="D121" s="116">
        <v>663</v>
      </c>
      <c r="E121" s="116">
        <v>669.95</v>
      </c>
      <c r="F121" s="116">
        <v>665.3</v>
      </c>
      <c r="G121">
        <v>2931</v>
      </c>
      <c r="H121" s="116"/>
      <c r="I121" s="116"/>
      <c r="L121" s="170">
        <v>43749</v>
      </c>
      <c r="M121" s="116">
        <v>665.85</v>
      </c>
      <c r="N121" s="116">
        <v>674</v>
      </c>
      <c r="O121" s="116">
        <v>662.1</v>
      </c>
      <c r="P121" s="116">
        <v>662.2</v>
      </c>
      <c r="Q121" s="116">
        <v>665.85</v>
      </c>
      <c r="R121">
        <v>34663</v>
      </c>
    </row>
    <row r="122" spans="1:18" x14ac:dyDescent="0.25">
      <c r="A122" s="170">
        <v>43752</v>
      </c>
      <c r="B122" s="116">
        <v>676.05</v>
      </c>
      <c r="C122" s="116">
        <v>670.8</v>
      </c>
      <c r="D122" s="116">
        <v>664.7</v>
      </c>
      <c r="E122" s="116">
        <v>676.05</v>
      </c>
      <c r="F122" s="116">
        <v>670.8</v>
      </c>
      <c r="G122">
        <v>4324</v>
      </c>
      <c r="H122" s="116"/>
      <c r="I122" s="116"/>
      <c r="L122" s="170">
        <v>43752</v>
      </c>
      <c r="M122" s="116">
        <v>672.15</v>
      </c>
      <c r="N122" s="116">
        <v>675.9</v>
      </c>
      <c r="O122" s="116">
        <v>666</v>
      </c>
      <c r="P122" s="116">
        <v>669.9</v>
      </c>
      <c r="Q122" s="116">
        <v>672.15</v>
      </c>
      <c r="R122">
        <v>38252</v>
      </c>
    </row>
    <row r="123" spans="1:18" x14ac:dyDescent="0.25">
      <c r="A123" s="170">
        <v>43753</v>
      </c>
      <c r="B123" s="116">
        <v>708</v>
      </c>
      <c r="C123" s="116">
        <v>704.35</v>
      </c>
      <c r="D123" s="116">
        <v>675</v>
      </c>
      <c r="E123" s="116">
        <v>677</v>
      </c>
      <c r="F123" s="116">
        <v>704.35</v>
      </c>
      <c r="G123">
        <v>25189</v>
      </c>
      <c r="H123" s="116"/>
      <c r="I123" s="116"/>
      <c r="L123" s="170">
        <v>43753</v>
      </c>
      <c r="M123" s="116">
        <v>704.8</v>
      </c>
      <c r="N123" s="116">
        <v>708.25</v>
      </c>
      <c r="O123" s="116">
        <v>672</v>
      </c>
      <c r="P123" s="116">
        <v>674.85</v>
      </c>
      <c r="Q123" s="116">
        <v>704.8</v>
      </c>
      <c r="R123">
        <v>401294</v>
      </c>
    </row>
    <row r="124" spans="1:18" x14ac:dyDescent="0.25">
      <c r="A124" s="170">
        <v>43754</v>
      </c>
      <c r="B124" s="116">
        <v>737.45</v>
      </c>
      <c r="C124" s="116">
        <v>718.05</v>
      </c>
      <c r="D124" s="116">
        <v>708</v>
      </c>
      <c r="E124" s="116">
        <v>709.4</v>
      </c>
      <c r="F124" s="116">
        <v>718.05</v>
      </c>
      <c r="G124">
        <v>43836</v>
      </c>
      <c r="H124" s="116"/>
      <c r="I124" s="116"/>
      <c r="L124" s="170">
        <v>43754</v>
      </c>
      <c r="M124" s="116">
        <v>718.5</v>
      </c>
      <c r="N124" s="116">
        <v>737.95</v>
      </c>
      <c r="O124" s="116">
        <v>707.55</v>
      </c>
      <c r="P124" s="116">
        <v>709</v>
      </c>
      <c r="Q124" s="116">
        <v>718.5</v>
      </c>
      <c r="R124">
        <v>453595</v>
      </c>
    </row>
    <row r="125" spans="1:18" x14ac:dyDescent="0.25">
      <c r="A125" s="170">
        <v>43755</v>
      </c>
      <c r="B125" s="116">
        <v>730.05</v>
      </c>
      <c r="C125" s="116">
        <v>718.5</v>
      </c>
      <c r="D125" s="116">
        <v>712.55</v>
      </c>
      <c r="E125" s="116">
        <v>715</v>
      </c>
      <c r="F125" s="116">
        <v>718.5</v>
      </c>
      <c r="G125">
        <v>15275</v>
      </c>
      <c r="H125" s="116"/>
      <c r="I125" s="116"/>
      <c r="L125" s="170">
        <v>43755</v>
      </c>
      <c r="M125" s="116">
        <v>719.3</v>
      </c>
      <c r="N125" s="116">
        <v>730.4</v>
      </c>
      <c r="O125" s="116">
        <v>711.05</v>
      </c>
      <c r="P125" s="116">
        <v>719.6</v>
      </c>
      <c r="Q125" s="116">
        <v>719.3</v>
      </c>
      <c r="R125">
        <v>156975</v>
      </c>
    </row>
    <row r="126" spans="1:18" x14ac:dyDescent="0.25">
      <c r="A126" s="170">
        <v>43756</v>
      </c>
      <c r="B126" s="116">
        <v>729.95</v>
      </c>
      <c r="C126" s="116">
        <v>723.3</v>
      </c>
      <c r="D126" s="116">
        <v>720.05</v>
      </c>
      <c r="E126" s="116">
        <v>723.45</v>
      </c>
      <c r="F126" s="116">
        <v>723.3</v>
      </c>
      <c r="G126">
        <v>6063</v>
      </c>
      <c r="H126" s="116"/>
      <c r="I126" s="116"/>
      <c r="L126" s="170">
        <v>43756</v>
      </c>
      <c r="M126" s="116">
        <v>723.6</v>
      </c>
      <c r="N126" s="116">
        <v>730</v>
      </c>
      <c r="O126" s="116">
        <v>720.1</v>
      </c>
      <c r="P126" s="116">
        <v>722.75</v>
      </c>
      <c r="Q126" s="116">
        <v>723.6</v>
      </c>
      <c r="R126">
        <v>134351</v>
      </c>
    </row>
    <row r="127" spans="1:18" x14ac:dyDescent="0.25">
      <c r="A127" s="170">
        <v>43760</v>
      </c>
      <c r="B127" s="116">
        <v>772</v>
      </c>
      <c r="C127" s="116">
        <v>750.95</v>
      </c>
      <c r="D127" s="116">
        <v>726</v>
      </c>
      <c r="E127" s="116">
        <v>729</v>
      </c>
      <c r="F127" s="116">
        <v>750.95</v>
      </c>
      <c r="G127">
        <v>38355</v>
      </c>
      <c r="H127" s="116"/>
      <c r="I127" s="116"/>
      <c r="L127" s="170">
        <v>43760</v>
      </c>
      <c r="M127" s="116">
        <v>750.5</v>
      </c>
      <c r="N127" s="116">
        <v>771.35</v>
      </c>
      <c r="O127" s="116">
        <v>726</v>
      </c>
      <c r="P127" s="116">
        <v>727.25</v>
      </c>
      <c r="Q127" s="116">
        <v>750.5</v>
      </c>
      <c r="R127">
        <v>475587</v>
      </c>
    </row>
    <row r="128" spans="1:18" x14ac:dyDescent="0.25">
      <c r="A128" s="170">
        <v>43761</v>
      </c>
      <c r="B128" s="116">
        <v>791</v>
      </c>
      <c r="C128" s="116">
        <v>782.15</v>
      </c>
      <c r="D128" s="116">
        <v>754.05</v>
      </c>
      <c r="E128" s="116">
        <v>759</v>
      </c>
      <c r="F128" s="116">
        <v>782.15</v>
      </c>
      <c r="G128">
        <v>41668</v>
      </c>
      <c r="H128" s="116"/>
      <c r="I128" s="116"/>
      <c r="L128" s="170">
        <v>43761</v>
      </c>
      <c r="M128" s="116">
        <v>781.15</v>
      </c>
      <c r="N128" s="116">
        <v>792</v>
      </c>
      <c r="O128" s="116">
        <v>753.05</v>
      </c>
      <c r="P128" s="116">
        <v>753.1</v>
      </c>
      <c r="Q128" s="116">
        <v>781.15</v>
      </c>
      <c r="R128">
        <v>487738</v>
      </c>
    </row>
    <row r="129" spans="1:18" x14ac:dyDescent="0.25">
      <c r="A129" s="170">
        <v>43762</v>
      </c>
      <c r="B129" s="116">
        <v>837</v>
      </c>
      <c r="C129" s="116">
        <v>826.75</v>
      </c>
      <c r="D129" s="116">
        <v>795</v>
      </c>
      <c r="E129" s="116">
        <v>803.25</v>
      </c>
      <c r="F129" s="116">
        <v>826.75</v>
      </c>
      <c r="G129">
        <v>107998</v>
      </c>
      <c r="H129" s="116"/>
      <c r="I129" s="116"/>
      <c r="L129" s="170">
        <v>43762</v>
      </c>
      <c r="M129" s="116">
        <v>826.75</v>
      </c>
      <c r="N129" s="116">
        <v>837</v>
      </c>
      <c r="O129" s="116">
        <v>794</v>
      </c>
      <c r="P129" s="116">
        <v>805</v>
      </c>
      <c r="Q129" s="116">
        <v>826.75</v>
      </c>
      <c r="R129">
        <v>1376925</v>
      </c>
    </row>
    <row r="130" spans="1:18" x14ac:dyDescent="0.25">
      <c r="A130" s="170">
        <v>43763</v>
      </c>
      <c r="B130" s="116">
        <v>827.5</v>
      </c>
      <c r="C130" s="116">
        <v>817.5</v>
      </c>
      <c r="D130" s="116">
        <v>806.15</v>
      </c>
      <c r="E130" s="116">
        <v>826.55</v>
      </c>
      <c r="F130" s="116">
        <v>817.5</v>
      </c>
      <c r="G130">
        <v>31141</v>
      </c>
      <c r="H130" s="116"/>
      <c r="I130" s="116"/>
      <c r="L130" s="170">
        <v>43763</v>
      </c>
      <c r="M130" s="116">
        <v>817.65</v>
      </c>
      <c r="N130" s="116">
        <v>828</v>
      </c>
      <c r="O130" s="116">
        <v>806</v>
      </c>
      <c r="P130" s="116">
        <v>828</v>
      </c>
      <c r="Q130" s="116">
        <v>817.65</v>
      </c>
      <c r="R130">
        <v>299318</v>
      </c>
    </row>
    <row r="131" spans="1:18" x14ac:dyDescent="0.25">
      <c r="A131" s="170">
        <v>43765</v>
      </c>
      <c r="B131" s="116">
        <v>830</v>
      </c>
      <c r="C131" s="116">
        <v>827.4</v>
      </c>
      <c r="D131" s="116">
        <v>822.65</v>
      </c>
      <c r="E131" s="116">
        <v>827.9</v>
      </c>
      <c r="F131" s="116">
        <v>827.4</v>
      </c>
      <c r="G131">
        <v>9794</v>
      </c>
      <c r="H131" s="116"/>
      <c r="I131" s="116"/>
      <c r="L131" s="170">
        <v>43765</v>
      </c>
      <c r="M131" s="116">
        <v>826.9</v>
      </c>
      <c r="N131" s="116">
        <v>830</v>
      </c>
      <c r="O131" s="116">
        <v>822.05</v>
      </c>
      <c r="P131" s="116">
        <v>823</v>
      </c>
      <c r="Q131" s="116">
        <v>826.9</v>
      </c>
      <c r="R131">
        <v>80732</v>
      </c>
    </row>
    <row r="132" spans="1:18" x14ac:dyDescent="0.25">
      <c r="A132" s="170">
        <v>43767</v>
      </c>
      <c r="B132" s="116">
        <v>826.9</v>
      </c>
      <c r="C132" s="116">
        <v>825.4</v>
      </c>
      <c r="D132" s="116">
        <v>812</v>
      </c>
      <c r="E132" s="116">
        <v>824.4</v>
      </c>
      <c r="F132" s="116">
        <v>825.4</v>
      </c>
      <c r="G132">
        <v>78857</v>
      </c>
      <c r="H132" s="116"/>
      <c r="I132" s="116"/>
      <c r="L132" s="170">
        <v>43767</v>
      </c>
      <c r="M132" s="116">
        <v>825.15</v>
      </c>
      <c r="N132" s="116">
        <v>827.8</v>
      </c>
      <c r="O132" s="116">
        <v>812.05</v>
      </c>
      <c r="P132" s="116">
        <v>827.8</v>
      </c>
      <c r="Q132" s="116">
        <v>825.15</v>
      </c>
      <c r="R132">
        <v>155421</v>
      </c>
    </row>
    <row r="133" spans="1:18" x14ac:dyDescent="0.25">
      <c r="A133" s="170">
        <v>43768</v>
      </c>
      <c r="B133" s="116">
        <v>888.8</v>
      </c>
      <c r="C133" s="116">
        <v>868.85</v>
      </c>
      <c r="D133" s="116">
        <v>827.5</v>
      </c>
      <c r="E133" s="116">
        <v>828.85</v>
      </c>
      <c r="F133" s="116">
        <v>868.85</v>
      </c>
      <c r="G133">
        <v>43839</v>
      </c>
      <c r="H133" s="116"/>
      <c r="I133" s="116"/>
      <c r="L133" s="170">
        <v>43768</v>
      </c>
      <c r="M133" s="116">
        <v>869.05</v>
      </c>
      <c r="N133" s="116">
        <v>888.8</v>
      </c>
      <c r="O133" s="116">
        <v>826</v>
      </c>
      <c r="P133" s="116">
        <v>826</v>
      </c>
      <c r="Q133" s="116">
        <v>869.05</v>
      </c>
      <c r="R133">
        <v>689516</v>
      </c>
    </row>
    <row r="134" spans="1:18" x14ac:dyDescent="0.25">
      <c r="A134" s="170">
        <v>43769</v>
      </c>
      <c r="B134" s="116">
        <v>885.55</v>
      </c>
      <c r="C134" s="116">
        <v>856</v>
      </c>
      <c r="D134" s="116">
        <v>844.1</v>
      </c>
      <c r="E134" s="116">
        <v>875</v>
      </c>
      <c r="F134" s="116">
        <v>856</v>
      </c>
      <c r="G134">
        <v>23159</v>
      </c>
      <c r="H134" s="116"/>
      <c r="I134" s="116"/>
      <c r="L134" s="170">
        <v>43769</v>
      </c>
      <c r="M134" s="116">
        <v>855.5</v>
      </c>
      <c r="N134" s="116">
        <v>886</v>
      </c>
      <c r="O134" s="116">
        <v>843.95</v>
      </c>
      <c r="P134" s="116">
        <v>875.5</v>
      </c>
      <c r="Q134" s="116">
        <v>855.5</v>
      </c>
      <c r="R134">
        <v>207298</v>
      </c>
    </row>
    <row r="135" spans="1:18" x14ac:dyDescent="0.25">
      <c r="A135" s="170">
        <v>43770</v>
      </c>
      <c r="B135" s="116">
        <v>875.4</v>
      </c>
      <c r="C135" s="116">
        <v>854.5</v>
      </c>
      <c r="D135" s="116">
        <v>847.35</v>
      </c>
      <c r="E135" s="116">
        <v>860</v>
      </c>
      <c r="F135" s="116">
        <v>854.5</v>
      </c>
      <c r="G135">
        <v>13784</v>
      </c>
      <c r="H135" s="116"/>
      <c r="I135" s="116"/>
      <c r="L135" s="170">
        <v>43770</v>
      </c>
      <c r="M135" s="116">
        <v>854.9</v>
      </c>
      <c r="N135" s="116">
        <v>875</v>
      </c>
      <c r="O135" s="116">
        <v>847.4</v>
      </c>
      <c r="P135" s="116">
        <v>857.65</v>
      </c>
      <c r="Q135" s="116">
        <v>854.9</v>
      </c>
      <c r="R135">
        <v>156889</v>
      </c>
    </row>
    <row r="136" spans="1:18" x14ac:dyDescent="0.25">
      <c r="A136" s="170">
        <v>43773</v>
      </c>
      <c r="B136" s="116">
        <v>861.9</v>
      </c>
      <c r="C136" s="116">
        <v>850.75</v>
      </c>
      <c r="D136" s="116">
        <v>837.1</v>
      </c>
      <c r="E136" s="116">
        <v>861.9</v>
      </c>
      <c r="F136" s="116">
        <v>850.75</v>
      </c>
      <c r="G136">
        <v>7531</v>
      </c>
      <c r="H136" s="116"/>
      <c r="I136" s="116"/>
      <c r="L136" s="170">
        <v>43773</v>
      </c>
      <c r="M136" s="116">
        <v>851.35</v>
      </c>
      <c r="N136" s="116">
        <v>859.45</v>
      </c>
      <c r="O136" s="116">
        <v>836.05</v>
      </c>
      <c r="P136" s="116">
        <v>856</v>
      </c>
      <c r="Q136" s="116">
        <v>851.35</v>
      </c>
      <c r="R136">
        <v>160739</v>
      </c>
    </row>
    <row r="137" spans="1:18" x14ac:dyDescent="0.25">
      <c r="A137" s="170">
        <v>43774</v>
      </c>
      <c r="B137" s="116">
        <v>869.95</v>
      </c>
      <c r="C137" s="116">
        <v>858.25</v>
      </c>
      <c r="D137" s="116">
        <v>846.95</v>
      </c>
      <c r="E137" s="116">
        <v>850</v>
      </c>
      <c r="F137" s="116">
        <v>858.25</v>
      </c>
      <c r="G137">
        <v>11920</v>
      </c>
      <c r="H137" s="116"/>
      <c r="I137" s="116"/>
      <c r="L137" s="170">
        <v>43774</v>
      </c>
      <c r="M137" s="116">
        <v>859.85</v>
      </c>
      <c r="N137" s="116">
        <v>870</v>
      </c>
      <c r="O137" s="116">
        <v>845</v>
      </c>
      <c r="P137" s="116">
        <v>849.75</v>
      </c>
      <c r="Q137" s="116">
        <v>859.85</v>
      </c>
      <c r="R137">
        <v>211894</v>
      </c>
    </row>
    <row r="138" spans="1:18" x14ac:dyDescent="0.25">
      <c r="A138" s="170">
        <v>43775</v>
      </c>
      <c r="B138" s="116">
        <v>873.6</v>
      </c>
      <c r="C138" s="116">
        <v>852.55</v>
      </c>
      <c r="D138" s="116">
        <v>847</v>
      </c>
      <c r="E138" s="116">
        <v>863.55</v>
      </c>
      <c r="F138" s="116">
        <v>852.55</v>
      </c>
      <c r="G138">
        <v>7309</v>
      </c>
      <c r="H138" s="116"/>
      <c r="I138" s="116"/>
      <c r="L138" s="170">
        <v>43775</v>
      </c>
      <c r="M138" s="116">
        <v>854.35</v>
      </c>
      <c r="N138" s="116">
        <v>874.6</v>
      </c>
      <c r="O138" s="116">
        <v>843.5</v>
      </c>
      <c r="P138" s="116">
        <v>856</v>
      </c>
      <c r="Q138" s="116">
        <v>854.35</v>
      </c>
      <c r="R138">
        <v>146288</v>
      </c>
    </row>
    <row r="139" spans="1:18" x14ac:dyDescent="0.25">
      <c r="A139" s="170">
        <v>43776</v>
      </c>
      <c r="B139" s="116">
        <v>864</v>
      </c>
      <c r="C139" s="116">
        <v>852.4</v>
      </c>
      <c r="D139" s="116">
        <v>850.1</v>
      </c>
      <c r="E139" s="116">
        <v>854.8</v>
      </c>
      <c r="F139" s="116">
        <v>852.4</v>
      </c>
      <c r="G139">
        <v>8134</v>
      </c>
      <c r="H139" s="116"/>
      <c r="I139" s="116"/>
      <c r="L139" s="170">
        <v>43776</v>
      </c>
      <c r="M139" s="116">
        <v>853.35</v>
      </c>
      <c r="N139" s="116">
        <v>864.85</v>
      </c>
      <c r="O139" s="116">
        <v>849.95</v>
      </c>
      <c r="P139" s="116">
        <v>854.5</v>
      </c>
      <c r="Q139" s="116">
        <v>853.35</v>
      </c>
      <c r="R139">
        <v>133978</v>
      </c>
    </row>
    <row r="140" spans="1:18" x14ac:dyDescent="0.25">
      <c r="A140" s="170">
        <v>43777</v>
      </c>
      <c r="B140" s="116">
        <v>917.75</v>
      </c>
      <c r="C140" s="116">
        <v>888.85</v>
      </c>
      <c r="D140" s="116">
        <v>862</v>
      </c>
      <c r="E140" s="116">
        <v>862</v>
      </c>
      <c r="F140" s="116">
        <v>888.85</v>
      </c>
      <c r="G140">
        <v>49546</v>
      </c>
      <c r="H140" s="116"/>
      <c r="I140" s="116"/>
      <c r="L140" s="170">
        <v>43777</v>
      </c>
      <c r="M140" s="116">
        <v>889.35</v>
      </c>
      <c r="N140" s="116">
        <v>918</v>
      </c>
      <c r="O140" s="116">
        <v>861</v>
      </c>
      <c r="P140" s="116">
        <v>861</v>
      </c>
      <c r="Q140" s="116">
        <v>889.35</v>
      </c>
      <c r="R140">
        <v>555841</v>
      </c>
    </row>
    <row r="141" spans="1:18" x14ac:dyDescent="0.25">
      <c r="A141" s="170">
        <v>43780</v>
      </c>
      <c r="B141" s="116">
        <v>894</v>
      </c>
      <c r="C141" s="116">
        <v>880.95</v>
      </c>
      <c r="D141" s="116">
        <v>875.2</v>
      </c>
      <c r="E141" s="116">
        <v>892</v>
      </c>
      <c r="F141" s="116">
        <v>880.95</v>
      </c>
      <c r="G141">
        <v>12186</v>
      </c>
      <c r="H141" s="116"/>
      <c r="I141" s="116"/>
      <c r="L141" s="170">
        <v>43780</v>
      </c>
      <c r="M141" s="116">
        <v>881.45</v>
      </c>
      <c r="N141" s="116">
        <v>894</v>
      </c>
      <c r="O141" s="116">
        <v>875.05</v>
      </c>
      <c r="P141" s="116">
        <v>891.15</v>
      </c>
      <c r="Q141" s="116">
        <v>881.45</v>
      </c>
      <c r="R141">
        <v>280769</v>
      </c>
    </row>
    <row r="142" spans="1:18" x14ac:dyDescent="0.25">
      <c r="A142" s="170">
        <v>43782</v>
      </c>
      <c r="B142" s="116">
        <v>903</v>
      </c>
      <c r="C142" s="116">
        <v>888.65</v>
      </c>
      <c r="D142" s="116">
        <v>881</v>
      </c>
      <c r="E142" s="116">
        <v>881</v>
      </c>
      <c r="F142" s="116">
        <v>888.65</v>
      </c>
      <c r="G142">
        <v>11422</v>
      </c>
      <c r="H142" s="116"/>
      <c r="I142" s="116"/>
      <c r="L142" s="170">
        <v>43782</v>
      </c>
      <c r="M142" s="116">
        <v>888.55</v>
      </c>
      <c r="N142" s="116">
        <v>903</v>
      </c>
      <c r="O142" s="116">
        <v>880.1</v>
      </c>
      <c r="P142" s="116">
        <v>881.25</v>
      </c>
      <c r="Q142" s="116">
        <v>888.55</v>
      </c>
      <c r="R142">
        <v>224409</v>
      </c>
    </row>
    <row r="143" spans="1:18" x14ac:dyDescent="0.25">
      <c r="A143" s="170">
        <v>43783</v>
      </c>
      <c r="B143" s="116">
        <v>901.15</v>
      </c>
      <c r="C143" s="116">
        <v>896</v>
      </c>
      <c r="D143" s="116">
        <v>876.1</v>
      </c>
      <c r="E143" s="116">
        <v>892.05</v>
      </c>
      <c r="F143" s="116">
        <v>896</v>
      </c>
      <c r="G143">
        <v>12025</v>
      </c>
      <c r="H143" s="116"/>
      <c r="I143" s="116"/>
      <c r="L143" s="170">
        <v>43783</v>
      </c>
      <c r="M143" s="116">
        <v>896</v>
      </c>
      <c r="N143" s="116">
        <v>902</v>
      </c>
      <c r="O143" s="116">
        <v>876</v>
      </c>
      <c r="P143" s="116">
        <v>891.9</v>
      </c>
      <c r="Q143" s="116">
        <v>896</v>
      </c>
      <c r="R143">
        <v>145075</v>
      </c>
    </row>
    <row r="144" spans="1:18" x14ac:dyDescent="0.25">
      <c r="A144" s="170">
        <v>43784</v>
      </c>
      <c r="B144" s="116">
        <v>938</v>
      </c>
      <c r="C144" s="116">
        <v>897.35</v>
      </c>
      <c r="D144" s="116">
        <v>895.05</v>
      </c>
      <c r="E144" s="116">
        <v>909.95</v>
      </c>
      <c r="F144" s="116">
        <v>897.35</v>
      </c>
      <c r="G144">
        <v>30250</v>
      </c>
      <c r="H144" s="116"/>
      <c r="I144" s="116"/>
      <c r="L144" s="170">
        <v>43784</v>
      </c>
      <c r="M144" s="116">
        <v>897.6</v>
      </c>
      <c r="N144" s="116">
        <v>938.85</v>
      </c>
      <c r="O144" s="116">
        <v>895</v>
      </c>
      <c r="P144" s="116">
        <v>908.4</v>
      </c>
      <c r="Q144" s="116">
        <v>897.6</v>
      </c>
      <c r="R144">
        <v>323967</v>
      </c>
    </row>
    <row r="145" spans="1:18" x14ac:dyDescent="0.25">
      <c r="A145" s="170">
        <v>43787</v>
      </c>
      <c r="B145" s="116">
        <v>944.15</v>
      </c>
      <c r="C145" s="116">
        <v>934.3</v>
      </c>
      <c r="D145" s="116">
        <v>890.35</v>
      </c>
      <c r="E145" s="116">
        <v>890.35</v>
      </c>
      <c r="F145" s="116">
        <v>934.3</v>
      </c>
      <c r="G145">
        <v>42407</v>
      </c>
      <c r="H145" s="116"/>
      <c r="I145" s="116"/>
      <c r="L145" s="170">
        <v>43787</v>
      </c>
      <c r="M145" s="116">
        <v>933.05</v>
      </c>
      <c r="N145" s="116">
        <v>943.8</v>
      </c>
      <c r="O145" s="116">
        <v>898</v>
      </c>
      <c r="P145" s="116">
        <v>898</v>
      </c>
      <c r="Q145" s="116">
        <v>933.05</v>
      </c>
      <c r="R145">
        <v>555484</v>
      </c>
    </row>
    <row r="146" spans="1:18" x14ac:dyDescent="0.25">
      <c r="A146" s="170">
        <v>43788</v>
      </c>
      <c r="B146" s="116">
        <v>948.95</v>
      </c>
      <c r="C146" s="116">
        <v>931.2</v>
      </c>
      <c r="D146" s="116">
        <v>922.3</v>
      </c>
      <c r="E146" s="116">
        <v>943.5</v>
      </c>
      <c r="F146" s="116">
        <v>931.2</v>
      </c>
      <c r="G146">
        <v>13175</v>
      </c>
      <c r="H146" s="116"/>
      <c r="I146" s="116"/>
      <c r="L146" s="170">
        <v>43788</v>
      </c>
      <c r="M146" s="116">
        <v>931.5</v>
      </c>
      <c r="N146" s="116">
        <v>948.8</v>
      </c>
      <c r="O146" s="116">
        <v>921.9</v>
      </c>
      <c r="P146" s="116">
        <v>939.9</v>
      </c>
      <c r="Q146" s="116">
        <v>931.5</v>
      </c>
      <c r="R146">
        <v>187663</v>
      </c>
    </row>
    <row r="147" spans="1:18" x14ac:dyDescent="0.25">
      <c r="A147" s="170">
        <v>43789</v>
      </c>
      <c r="B147" s="116">
        <v>944.25</v>
      </c>
      <c r="C147" s="116">
        <v>937.55</v>
      </c>
      <c r="D147" s="116">
        <v>921.05</v>
      </c>
      <c r="E147" s="116">
        <v>935</v>
      </c>
      <c r="F147" s="116">
        <v>937.55</v>
      </c>
      <c r="G147">
        <v>11069</v>
      </c>
      <c r="H147" s="116"/>
      <c r="I147" s="116"/>
      <c r="L147" s="170">
        <v>43789</v>
      </c>
      <c r="M147" s="116">
        <v>935.85</v>
      </c>
      <c r="N147" s="116">
        <v>944.8</v>
      </c>
      <c r="O147" s="116">
        <v>920.4</v>
      </c>
      <c r="P147" s="116">
        <v>930</v>
      </c>
      <c r="Q147" s="116">
        <v>935.85</v>
      </c>
      <c r="R147">
        <v>212193</v>
      </c>
    </row>
    <row r="148" spans="1:18" x14ac:dyDescent="0.25">
      <c r="A148" s="170">
        <v>43790</v>
      </c>
      <c r="B148" s="116">
        <v>950</v>
      </c>
      <c r="C148" s="116">
        <v>949.4</v>
      </c>
      <c r="D148" s="116">
        <v>934.9</v>
      </c>
      <c r="E148" s="116">
        <v>947</v>
      </c>
      <c r="F148" s="116">
        <v>949.4</v>
      </c>
      <c r="G148">
        <v>14650</v>
      </c>
      <c r="H148" s="116"/>
      <c r="I148" s="116"/>
      <c r="L148" s="170">
        <v>43790</v>
      </c>
      <c r="M148" s="116">
        <v>949.45</v>
      </c>
      <c r="N148" s="116">
        <v>951</v>
      </c>
      <c r="O148" s="116">
        <v>933</v>
      </c>
      <c r="P148" s="116">
        <v>943</v>
      </c>
      <c r="Q148" s="116">
        <v>949.45</v>
      </c>
      <c r="R148">
        <v>233927</v>
      </c>
    </row>
    <row r="149" spans="1:18" x14ac:dyDescent="0.25">
      <c r="A149" s="170">
        <v>43791</v>
      </c>
      <c r="B149" s="116">
        <v>956.45</v>
      </c>
      <c r="C149" s="116">
        <v>938.05</v>
      </c>
      <c r="D149" s="116">
        <v>926.7</v>
      </c>
      <c r="E149" s="116">
        <v>954.95</v>
      </c>
      <c r="F149" s="116">
        <v>938.05</v>
      </c>
      <c r="G149">
        <v>14238</v>
      </c>
      <c r="H149" s="116"/>
      <c r="I149" s="116"/>
      <c r="L149" s="170">
        <v>43791</v>
      </c>
      <c r="M149" s="116">
        <v>936.8</v>
      </c>
      <c r="N149" s="116">
        <v>956</v>
      </c>
      <c r="O149" s="116">
        <v>927</v>
      </c>
      <c r="P149" s="116">
        <v>951.95</v>
      </c>
      <c r="Q149" s="116">
        <v>936.8</v>
      </c>
      <c r="R149">
        <v>140938</v>
      </c>
    </row>
    <row r="150" spans="1:18" x14ac:dyDescent="0.25">
      <c r="A150" s="170">
        <v>43794</v>
      </c>
      <c r="B150" s="116">
        <v>949.9</v>
      </c>
      <c r="C150" s="116">
        <v>939.2</v>
      </c>
      <c r="D150" s="116">
        <v>933.6</v>
      </c>
      <c r="E150" s="116">
        <v>941.7</v>
      </c>
      <c r="F150" s="116">
        <v>939.2</v>
      </c>
      <c r="G150">
        <v>7889</v>
      </c>
      <c r="H150" s="116"/>
      <c r="I150" s="116"/>
      <c r="L150" s="170">
        <v>43794</v>
      </c>
      <c r="M150" s="116">
        <v>938.35</v>
      </c>
      <c r="N150" s="116">
        <v>949.8</v>
      </c>
      <c r="O150" s="116">
        <v>933.15</v>
      </c>
      <c r="P150" s="116">
        <v>940</v>
      </c>
      <c r="Q150" s="116">
        <v>938.35</v>
      </c>
      <c r="R150">
        <v>146865</v>
      </c>
    </row>
    <row r="151" spans="1:18" x14ac:dyDescent="0.25">
      <c r="A151" s="170">
        <v>43795</v>
      </c>
      <c r="B151" s="116">
        <v>941.15</v>
      </c>
      <c r="C151" s="116">
        <v>928.3</v>
      </c>
      <c r="D151" s="116">
        <v>918.45</v>
      </c>
      <c r="E151" s="116">
        <v>941.15</v>
      </c>
      <c r="F151" s="116">
        <v>928.3</v>
      </c>
      <c r="G151">
        <v>9320</v>
      </c>
      <c r="H151" s="116"/>
      <c r="I151" s="116"/>
      <c r="L151" s="170">
        <v>43795</v>
      </c>
      <c r="M151" s="116">
        <v>929</v>
      </c>
      <c r="N151" s="116">
        <v>942</v>
      </c>
      <c r="O151" s="116">
        <v>918</v>
      </c>
      <c r="P151" s="116">
        <v>942</v>
      </c>
      <c r="Q151" s="116">
        <v>929</v>
      </c>
      <c r="R151">
        <v>540134</v>
      </c>
    </row>
    <row r="152" spans="1:18" x14ac:dyDescent="0.25">
      <c r="A152" s="170">
        <v>43796</v>
      </c>
      <c r="B152" s="116">
        <v>940</v>
      </c>
      <c r="C152" s="116">
        <v>931.15</v>
      </c>
      <c r="D152" s="116">
        <v>921.7</v>
      </c>
      <c r="E152" s="116">
        <v>934.25</v>
      </c>
      <c r="F152" s="116">
        <v>931.15</v>
      </c>
      <c r="G152">
        <v>5676</v>
      </c>
      <c r="H152" s="116"/>
      <c r="I152" s="116"/>
      <c r="L152" s="170">
        <v>43796</v>
      </c>
      <c r="M152" s="116">
        <v>931.4</v>
      </c>
      <c r="N152" s="116">
        <v>938.9</v>
      </c>
      <c r="O152" s="116">
        <v>921.1</v>
      </c>
      <c r="P152" s="116">
        <v>934</v>
      </c>
      <c r="Q152" s="116">
        <v>931.4</v>
      </c>
      <c r="R152">
        <v>116588</v>
      </c>
    </row>
    <row r="153" spans="1:18" x14ac:dyDescent="0.25">
      <c r="A153" s="170">
        <v>43797</v>
      </c>
      <c r="B153" s="116">
        <v>935.35</v>
      </c>
      <c r="C153" s="116">
        <v>923.75</v>
      </c>
      <c r="D153" s="116">
        <v>918</v>
      </c>
      <c r="E153" s="116">
        <v>935.35</v>
      </c>
      <c r="F153" s="116">
        <v>923.75</v>
      </c>
      <c r="G153">
        <v>4698</v>
      </c>
      <c r="H153" s="116"/>
      <c r="I153" s="116"/>
      <c r="L153" s="170">
        <v>43797</v>
      </c>
      <c r="M153" s="116">
        <v>922.4</v>
      </c>
      <c r="N153" s="116">
        <v>935.8</v>
      </c>
      <c r="O153" s="116">
        <v>917.05</v>
      </c>
      <c r="P153" s="116">
        <v>935.8</v>
      </c>
      <c r="Q153" s="116">
        <v>922.4</v>
      </c>
      <c r="R153">
        <v>89721</v>
      </c>
    </row>
    <row r="154" spans="1:18" x14ac:dyDescent="0.25">
      <c r="A154" s="170">
        <v>43798</v>
      </c>
      <c r="B154" s="116">
        <v>934.5</v>
      </c>
      <c r="C154" s="116">
        <v>924.55</v>
      </c>
      <c r="D154" s="116">
        <v>916.85</v>
      </c>
      <c r="E154" s="116">
        <v>923.3</v>
      </c>
      <c r="F154" s="116">
        <v>924.55</v>
      </c>
      <c r="G154">
        <v>6179</v>
      </c>
      <c r="H154" s="116"/>
      <c r="I154" s="116"/>
      <c r="L154" s="170">
        <v>43798</v>
      </c>
      <c r="M154" s="116">
        <v>924.25</v>
      </c>
      <c r="N154" s="116">
        <v>933.5</v>
      </c>
      <c r="O154" s="116">
        <v>915.2</v>
      </c>
      <c r="P154" s="116">
        <v>921.5</v>
      </c>
      <c r="Q154" s="116">
        <v>924.25</v>
      </c>
      <c r="R154">
        <v>88006</v>
      </c>
    </row>
    <row r="155" spans="1:18" x14ac:dyDescent="0.25">
      <c r="A155" s="170">
        <v>43801</v>
      </c>
      <c r="B155" s="116">
        <v>945.5</v>
      </c>
      <c r="C155" s="116">
        <v>935.7</v>
      </c>
      <c r="D155" s="116">
        <v>919.45</v>
      </c>
      <c r="E155" s="116">
        <v>934</v>
      </c>
      <c r="F155" s="116">
        <v>935.7</v>
      </c>
      <c r="G155">
        <v>10762</v>
      </c>
      <c r="H155" s="116"/>
      <c r="I155" s="116"/>
      <c r="L155" s="170">
        <v>43801</v>
      </c>
      <c r="M155" s="116">
        <v>935.95</v>
      </c>
      <c r="N155" s="116">
        <v>946</v>
      </c>
      <c r="O155" s="116">
        <v>918.55</v>
      </c>
      <c r="P155" s="116">
        <v>924.25</v>
      </c>
      <c r="Q155" s="116">
        <v>935.95</v>
      </c>
      <c r="R155">
        <v>141905</v>
      </c>
    </row>
    <row r="156" spans="1:18" x14ac:dyDescent="0.25">
      <c r="A156" s="170">
        <v>43802</v>
      </c>
      <c r="B156" s="116">
        <v>978.7</v>
      </c>
      <c r="C156" s="116">
        <v>971.55</v>
      </c>
      <c r="D156" s="116">
        <v>936.9</v>
      </c>
      <c r="E156" s="116">
        <v>939.6</v>
      </c>
      <c r="F156" s="116">
        <v>971.55</v>
      </c>
      <c r="G156">
        <v>26151</v>
      </c>
      <c r="H156" s="116"/>
      <c r="I156" s="116"/>
      <c r="L156" s="170">
        <v>43802</v>
      </c>
      <c r="M156" s="116">
        <v>970.8</v>
      </c>
      <c r="N156" s="116">
        <v>978.95</v>
      </c>
      <c r="O156" s="116">
        <v>936.95</v>
      </c>
      <c r="P156" s="116">
        <v>939</v>
      </c>
      <c r="Q156" s="116">
        <v>970.8</v>
      </c>
      <c r="R156">
        <v>405156</v>
      </c>
    </row>
    <row r="157" spans="1:18" x14ac:dyDescent="0.25">
      <c r="A157" s="170">
        <v>43803</v>
      </c>
      <c r="B157" s="116">
        <v>998</v>
      </c>
      <c r="C157" s="116">
        <v>993.4</v>
      </c>
      <c r="D157" s="116">
        <v>960</v>
      </c>
      <c r="E157" s="116">
        <v>971.95</v>
      </c>
      <c r="F157" s="116">
        <v>993.4</v>
      </c>
      <c r="G157">
        <v>23657</v>
      </c>
      <c r="H157" s="116"/>
      <c r="I157" s="116"/>
      <c r="L157" s="170">
        <v>43803</v>
      </c>
      <c r="M157" s="116">
        <v>992.45</v>
      </c>
      <c r="N157" s="116">
        <v>997.9</v>
      </c>
      <c r="O157" s="116">
        <v>960.1</v>
      </c>
      <c r="P157" s="116">
        <v>967</v>
      </c>
      <c r="Q157" s="116">
        <v>992.45</v>
      </c>
      <c r="R157">
        <v>328271</v>
      </c>
    </row>
    <row r="158" spans="1:18" x14ac:dyDescent="0.25">
      <c r="A158" s="170">
        <v>43804</v>
      </c>
      <c r="B158" s="116">
        <v>1090.8</v>
      </c>
      <c r="C158" s="116">
        <v>1037.0999999999999</v>
      </c>
      <c r="D158" s="116">
        <v>986.2</v>
      </c>
      <c r="E158" s="116">
        <v>994.9</v>
      </c>
      <c r="F158" s="116">
        <v>1037.0999999999999</v>
      </c>
      <c r="G158">
        <v>95797</v>
      </c>
      <c r="H158" s="116"/>
      <c r="I158" s="116"/>
      <c r="L158" s="170">
        <v>43804</v>
      </c>
      <c r="M158" s="116">
        <v>1037.0999999999999</v>
      </c>
      <c r="N158" s="116">
        <v>1091.7</v>
      </c>
      <c r="O158" s="116">
        <v>985.75</v>
      </c>
      <c r="P158" s="116">
        <v>987.25</v>
      </c>
      <c r="Q158" s="116">
        <v>1037.0999999999999</v>
      </c>
      <c r="R158">
        <v>1239116</v>
      </c>
    </row>
    <row r="159" spans="1:18" x14ac:dyDescent="0.25">
      <c r="A159" s="170">
        <v>43805</v>
      </c>
      <c r="B159" s="116">
        <v>1069.75</v>
      </c>
      <c r="C159" s="116">
        <v>1014.9</v>
      </c>
      <c r="D159" s="116">
        <v>1004.8</v>
      </c>
      <c r="E159" s="116">
        <v>1044.6500000000001</v>
      </c>
      <c r="F159" s="116">
        <v>1014.9</v>
      </c>
      <c r="G159">
        <v>30107</v>
      </c>
      <c r="H159" s="116"/>
      <c r="I159" s="116"/>
      <c r="L159" s="170">
        <v>43805</v>
      </c>
      <c r="M159" s="116">
        <v>1013.95</v>
      </c>
      <c r="N159" s="116">
        <v>1058.75</v>
      </c>
      <c r="O159" s="116">
        <v>1002.2</v>
      </c>
      <c r="P159" s="116">
        <v>1042.0999999999999</v>
      </c>
      <c r="Q159" s="116">
        <v>1013.95</v>
      </c>
      <c r="R159">
        <v>306117</v>
      </c>
    </row>
    <row r="160" spans="1:18" x14ac:dyDescent="0.25">
      <c r="A160" s="170">
        <v>43808</v>
      </c>
      <c r="B160" s="116">
        <v>1026.2</v>
      </c>
      <c r="C160" s="116">
        <v>995</v>
      </c>
      <c r="D160" s="116">
        <v>984.35</v>
      </c>
      <c r="E160" s="116">
        <v>1020</v>
      </c>
      <c r="F160" s="116">
        <v>995</v>
      </c>
      <c r="G160">
        <v>17031</v>
      </c>
      <c r="H160" s="116"/>
      <c r="I160" s="116"/>
      <c r="L160" s="170">
        <v>43808</v>
      </c>
      <c r="M160" s="116">
        <v>994.3</v>
      </c>
      <c r="N160" s="116">
        <v>1025</v>
      </c>
      <c r="O160" s="116">
        <v>984</v>
      </c>
      <c r="P160" s="116">
        <v>1021</v>
      </c>
      <c r="Q160" s="116">
        <v>994.3</v>
      </c>
      <c r="R160">
        <v>214874</v>
      </c>
    </row>
    <row r="161" spans="1:18" x14ac:dyDescent="0.25">
      <c r="A161" s="170">
        <v>43809</v>
      </c>
      <c r="B161" s="116">
        <v>1001.1</v>
      </c>
      <c r="C161" s="116">
        <v>968.15</v>
      </c>
      <c r="D161" s="116">
        <v>959</v>
      </c>
      <c r="E161" s="116">
        <v>1000.6</v>
      </c>
      <c r="F161" s="116">
        <v>968.15</v>
      </c>
      <c r="G161">
        <v>16353</v>
      </c>
      <c r="H161" s="116"/>
      <c r="I161" s="116"/>
      <c r="L161" s="170">
        <v>43809</v>
      </c>
      <c r="M161" s="116">
        <v>968.35</v>
      </c>
      <c r="N161" s="116">
        <v>1004</v>
      </c>
      <c r="O161" s="116">
        <v>962</v>
      </c>
      <c r="P161" s="116">
        <v>1000</v>
      </c>
      <c r="Q161" s="116">
        <v>968.35</v>
      </c>
      <c r="R161">
        <v>229152</v>
      </c>
    </row>
    <row r="162" spans="1:18" x14ac:dyDescent="0.25">
      <c r="A162" s="170">
        <v>43810</v>
      </c>
      <c r="B162" s="116">
        <v>1015</v>
      </c>
      <c r="C162" s="116">
        <v>995.8</v>
      </c>
      <c r="D162" s="116">
        <v>972.6</v>
      </c>
      <c r="E162" s="116">
        <v>974.8</v>
      </c>
      <c r="F162" s="116">
        <v>995.8</v>
      </c>
      <c r="G162">
        <v>23985</v>
      </c>
      <c r="H162" s="116"/>
      <c r="I162" s="116"/>
      <c r="L162" s="170">
        <v>43810</v>
      </c>
      <c r="M162" s="116">
        <v>995.85</v>
      </c>
      <c r="N162" s="116">
        <v>1015</v>
      </c>
      <c r="O162" s="116">
        <v>968</v>
      </c>
      <c r="P162" s="116">
        <v>968</v>
      </c>
      <c r="Q162" s="116">
        <v>995.85</v>
      </c>
      <c r="R162">
        <v>520407</v>
      </c>
    </row>
    <row r="163" spans="1:18" x14ac:dyDescent="0.25">
      <c r="A163" s="170">
        <v>43811</v>
      </c>
      <c r="B163" s="116">
        <v>1005</v>
      </c>
      <c r="C163" s="116">
        <v>989.45</v>
      </c>
      <c r="D163" s="116">
        <v>985.95</v>
      </c>
      <c r="E163" s="116">
        <v>1001.7</v>
      </c>
      <c r="F163" s="116">
        <v>989.45</v>
      </c>
      <c r="G163">
        <v>5338</v>
      </c>
      <c r="H163" s="116"/>
      <c r="I163" s="116"/>
      <c r="L163" s="170">
        <v>43811</v>
      </c>
      <c r="M163" s="116">
        <v>990.5</v>
      </c>
      <c r="N163" s="116">
        <v>1005.9</v>
      </c>
      <c r="O163" s="116">
        <v>985.05</v>
      </c>
      <c r="P163" s="116">
        <v>1000</v>
      </c>
      <c r="Q163" s="116">
        <v>990.5</v>
      </c>
      <c r="R163">
        <v>227953</v>
      </c>
    </row>
    <row r="164" spans="1:18" x14ac:dyDescent="0.25">
      <c r="A164" s="170">
        <v>43812</v>
      </c>
      <c r="B164" s="116">
        <v>1008.25</v>
      </c>
      <c r="C164" s="116">
        <v>981.7</v>
      </c>
      <c r="D164" s="116">
        <v>978.5</v>
      </c>
      <c r="E164" s="116">
        <v>1005</v>
      </c>
      <c r="F164" s="116">
        <v>981.7</v>
      </c>
      <c r="G164">
        <v>5176</v>
      </c>
      <c r="H164" s="116"/>
      <c r="I164" s="116"/>
      <c r="L164" s="170">
        <v>43812</v>
      </c>
      <c r="M164" s="116">
        <v>981.45</v>
      </c>
      <c r="N164" s="116">
        <v>1008.9</v>
      </c>
      <c r="O164" s="116">
        <v>978.2</v>
      </c>
      <c r="P164" s="116">
        <v>995.95</v>
      </c>
      <c r="Q164" s="116">
        <v>981.45</v>
      </c>
      <c r="R164">
        <v>131495</v>
      </c>
    </row>
    <row r="165" spans="1:18" x14ac:dyDescent="0.25">
      <c r="A165" s="170">
        <v>43815</v>
      </c>
      <c r="B165" s="116">
        <v>993.8</v>
      </c>
      <c r="C165" s="116">
        <v>964</v>
      </c>
      <c r="D165" s="116">
        <v>957.25</v>
      </c>
      <c r="E165" s="116">
        <v>985.8</v>
      </c>
      <c r="F165" s="116">
        <v>964</v>
      </c>
      <c r="G165">
        <v>9369</v>
      </c>
      <c r="H165" s="116"/>
      <c r="I165" s="116"/>
      <c r="L165" s="170">
        <v>43815</v>
      </c>
      <c r="M165" s="116">
        <v>964.05</v>
      </c>
      <c r="N165" s="116">
        <v>994.95</v>
      </c>
      <c r="O165" s="116">
        <v>956.05</v>
      </c>
      <c r="P165" s="116">
        <v>985</v>
      </c>
      <c r="Q165" s="116">
        <v>964.05</v>
      </c>
      <c r="R165">
        <v>142476</v>
      </c>
    </row>
    <row r="166" spans="1:18" x14ac:dyDescent="0.25">
      <c r="A166" s="170">
        <v>43816</v>
      </c>
      <c r="B166" s="116">
        <v>989.8</v>
      </c>
      <c r="C166" s="116">
        <v>975.05</v>
      </c>
      <c r="D166" s="116">
        <v>967.7</v>
      </c>
      <c r="E166" s="116">
        <v>971.15</v>
      </c>
      <c r="F166" s="116">
        <v>975.05</v>
      </c>
      <c r="G166">
        <v>10844</v>
      </c>
      <c r="H166" s="116"/>
      <c r="I166" s="116"/>
      <c r="L166" s="170">
        <v>43816</v>
      </c>
      <c r="M166" s="116">
        <v>975.15</v>
      </c>
      <c r="N166" s="116">
        <v>989.8</v>
      </c>
      <c r="O166" s="116">
        <v>966.75</v>
      </c>
      <c r="P166" s="116">
        <v>968</v>
      </c>
      <c r="Q166" s="116">
        <v>975.15</v>
      </c>
      <c r="R166">
        <v>164962</v>
      </c>
    </row>
    <row r="167" spans="1:18" x14ac:dyDescent="0.25">
      <c r="A167" s="170">
        <v>43817</v>
      </c>
      <c r="B167" s="116">
        <v>980.25</v>
      </c>
      <c r="C167" s="116">
        <v>963.85</v>
      </c>
      <c r="D167" s="116">
        <v>958.25</v>
      </c>
      <c r="E167" s="116">
        <v>977.6</v>
      </c>
      <c r="F167" s="116">
        <v>963.85</v>
      </c>
      <c r="G167">
        <v>4556</v>
      </c>
      <c r="H167" s="116"/>
      <c r="I167" s="116"/>
      <c r="L167" s="170">
        <v>43817</v>
      </c>
      <c r="M167" s="116">
        <v>963.75</v>
      </c>
      <c r="N167" s="116">
        <v>979.9</v>
      </c>
      <c r="O167" s="116">
        <v>953.25</v>
      </c>
      <c r="P167" s="116">
        <v>975</v>
      </c>
      <c r="Q167" s="116">
        <v>963.75</v>
      </c>
      <c r="R167">
        <v>99498</v>
      </c>
    </row>
    <row r="168" spans="1:18" x14ac:dyDescent="0.25">
      <c r="A168" s="170">
        <v>43818</v>
      </c>
      <c r="B168" s="116">
        <v>964</v>
      </c>
      <c r="C168" s="116">
        <v>955.8</v>
      </c>
      <c r="D168" s="116">
        <v>952.1</v>
      </c>
      <c r="E168" s="116">
        <v>960.75</v>
      </c>
      <c r="F168" s="116">
        <v>955.8</v>
      </c>
      <c r="G168">
        <v>4928</v>
      </c>
      <c r="H168" s="116"/>
      <c r="I168" s="116"/>
      <c r="L168" s="170">
        <v>43818</v>
      </c>
      <c r="M168" s="116">
        <v>955.8</v>
      </c>
      <c r="N168" s="116">
        <v>964.7</v>
      </c>
      <c r="O168" s="116">
        <v>950.25</v>
      </c>
      <c r="P168" s="116">
        <v>964.3</v>
      </c>
      <c r="Q168" s="116">
        <v>955.8</v>
      </c>
      <c r="R168">
        <v>122982</v>
      </c>
    </row>
    <row r="169" spans="1:18" x14ac:dyDescent="0.25">
      <c r="A169" s="170">
        <v>43819</v>
      </c>
      <c r="B169" s="116">
        <v>986.65</v>
      </c>
      <c r="C169" s="116">
        <v>968.25</v>
      </c>
      <c r="D169" s="116">
        <v>958.5</v>
      </c>
      <c r="E169" s="116">
        <v>964.75</v>
      </c>
      <c r="F169" s="116">
        <v>968.25</v>
      </c>
      <c r="G169">
        <v>30703</v>
      </c>
      <c r="H169" s="116"/>
      <c r="I169" s="116"/>
      <c r="L169" s="170">
        <v>43819</v>
      </c>
      <c r="M169" s="116">
        <v>972.45</v>
      </c>
      <c r="N169" s="116">
        <v>987.25</v>
      </c>
      <c r="O169" s="116">
        <v>958</v>
      </c>
      <c r="P169" s="116">
        <v>959.8</v>
      </c>
      <c r="Q169" s="116">
        <v>972.45</v>
      </c>
      <c r="R169">
        <v>1346861</v>
      </c>
    </row>
    <row r="170" spans="1:18" x14ac:dyDescent="0.25">
      <c r="A170" s="170">
        <v>43822</v>
      </c>
      <c r="B170" s="116">
        <v>977.45</v>
      </c>
      <c r="C170" s="116">
        <v>953.95</v>
      </c>
      <c r="D170" s="116">
        <v>948.8</v>
      </c>
      <c r="E170" s="116">
        <v>977.45</v>
      </c>
      <c r="F170" s="116">
        <v>953.95</v>
      </c>
      <c r="G170">
        <v>15266</v>
      </c>
      <c r="H170" s="116"/>
      <c r="I170" s="116"/>
      <c r="L170" s="170">
        <v>43822</v>
      </c>
      <c r="M170" s="116">
        <v>953.7</v>
      </c>
      <c r="N170" s="116">
        <v>970.45</v>
      </c>
      <c r="O170" s="116">
        <v>950.25</v>
      </c>
      <c r="P170" s="116">
        <v>970.45</v>
      </c>
      <c r="Q170" s="116">
        <v>953.7</v>
      </c>
      <c r="R170">
        <v>132362</v>
      </c>
    </row>
    <row r="171" spans="1:18" x14ac:dyDescent="0.25">
      <c r="A171" s="170">
        <v>43823</v>
      </c>
      <c r="B171" s="116">
        <v>959.6</v>
      </c>
      <c r="C171" s="116">
        <v>945.85</v>
      </c>
      <c r="D171" s="116">
        <v>942.65</v>
      </c>
      <c r="E171" s="116">
        <v>946</v>
      </c>
      <c r="F171" s="116">
        <v>945.85</v>
      </c>
      <c r="G171">
        <v>6557</v>
      </c>
      <c r="H171" s="116"/>
      <c r="I171" s="116"/>
      <c r="L171" s="170">
        <v>43823</v>
      </c>
      <c r="M171" s="116">
        <v>946.05</v>
      </c>
      <c r="N171" s="116">
        <v>958.75</v>
      </c>
      <c r="O171" s="116">
        <v>942.15</v>
      </c>
      <c r="P171" s="116">
        <v>955</v>
      </c>
      <c r="Q171" s="116">
        <v>946.05</v>
      </c>
      <c r="R171">
        <v>186839</v>
      </c>
    </row>
    <row r="172" spans="1:18" x14ac:dyDescent="0.25">
      <c r="A172" s="170">
        <v>43825</v>
      </c>
      <c r="B172" s="116">
        <v>966.35</v>
      </c>
      <c r="C172" s="116">
        <v>959.85</v>
      </c>
      <c r="D172" s="116">
        <v>943.55</v>
      </c>
      <c r="E172" s="116">
        <v>959</v>
      </c>
      <c r="F172" s="116">
        <v>959.85</v>
      </c>
      <c r="G172">
        <v>7855</v>
      </c>
      <c r="H172" s="116"/>
      <c r="I172" s="116"/>
      <c r="L172" s="170">
        <v>43825</v>
      </c>
      <c r="M172" s="116">
        <v>960.4</v>
      </c>
      <c r="N172" s="116">
        <v>966</v>
      </c>
      <c r="O172" s="116">
        <v>942.2</v>
      </c>
      <c r="P172" s="116">
        <v>947</v>
      </c>
      <c r="Q172" s="116">
        <v>960.4</v>
      </c>
      <c r="R172">
        <v>148498</v>
      </c>
    </row>
    <row r="173" spans="1:18" x14ac:dyDescent="0.25">
      <c r="A173" s="170">
        <v>43826</v>
      </c>
      <c r="B173" s="116">
        <v>970</v>
      </c>
      <c r="C173" s="116">
        <v>964.9</v>
      </c>
      <c r="D173" s="116">
        <v>958</v>
      </c>
      <c r="E173" s="116">
        <v>959</v>
      </c>
      <c r="F173" s="116">
        <v>964.9</v>
      </c>
      <c r="G173">
        <v>7094</v>
      </c>
      <c r="H173" s="116"/>
      <c r="I173" s="116"/>
      <c r="L173" s="170">
        <v>43826</v>
      </c>
      <c r="M173" s="116">
        <v>965.7</v>
      </c>
      <c r="N173" s="116">
        <v>972.85</v>
      </c>
      <c r="O173" s="116">
        <v>956.15</v>
      </c>
      <c r="P173" s="116">
        <v>962.25</v>
      </c>
      <c r="Q173" s="116">
        <v>965.7</v>
      </c>
      <c r="R173">
        <v>143800</v>
      </c>
    </row>
    <row r="174" spans="1:18" x14ac:dyDescent="0.25">
      <c r="A174" s="170">
        <v>43829</v>
      </c>
      <c r="B174" s="116">
        <v>1007</v>
      </c>
      <c r="C174" s="116">
        <v>990.1</v>
      </c>
      <c r="D174" s="116">
        <v>968</v>
      </c>
      <c r="E174" s="116">
        <v>968</v>
      </c>
      <c r="F174" s="116">
        <v>990.1</v>
      </c>
      <c r="G174">
        <v>33717</v>
      </c>
      <c r="H174" s="116"/>
      <c r="I174" s="116"/>
      <c r="L174" s="170">
        <v>43829</v>
      </c>
      <c r="M174" s="116">
        <v>989.75</v>
      </c>
      <c r="N174" s="116">
        <v>1006.8</v>
      </c>
      <c r="O174" s="116">
        <v>968</v>
      </c>
      <c r="P174" s="116">
        <v>968</v>
      </c>
      <c r="Q174" s="116">
        <v>989.75</v>
      </c>
      <c r="R174">
        <v>440154</v>
      </c>
    </row>
    <row r="175" spans="1:18" x14ac:dyDescent="0.25">
      <c r="A175" s="170">
        <v>43830</v>
      </c>
      <c r="B175" s="116">
        <v>1000</v>
      </c>
      <c r="C175" s="116">
        <v>991.7</v>
      </c>
      <c r="D175" s="116">
        <v>982.2</v>
      </c>
      <c r="E175" s="116">
        <v>990.1</v>
      </c>
      <c r="F175" s="116">
        <v>991.7</v>
      </c>
      <c r="G175">
        <v>13317</v>
      </c>
      <c r="H175" s="116"/>
      <c r="I175" s="116"/>
      <c r="L175" s="170">
        <v>43830</v>
      </c>
      <c r="M175" s="116">
        <v>992.25</v>
      </c>
      <c r="N175" s="116">
        <v>1001.85</v>
      </c>
      <c r="O175" s="116">
        <v>981.7</v>
      </c>
      <c r="P175" s="116">
        <v>991.95</v>
      </c>
      <c r="Q175" s="116">
        <v>992.25</v>
      </c>
      <c r="R175">
        <v>325839</v>
      </c>
    </row>
    <row r="176" spans="1:18" x14ac:dyDescent="0.25">
      <c r="A176" s="170">
        <v>43831</v>
      </c>
      <c r="B176" s="116">
        <v>1009.55</v>
      </c>
      <c r="C176" s="116">
        <v>993.25</v>
      </c>
      <c r="D176" s="116">
        <v>991</v>
      </c>
      <c r="E176" s="116">
        <v>997</v>
      </c>
      <c r="F176" s="116">
        <v>993.25</v>
      </c>
      <c r="G176">
        <v>7775</v>
      </c>
      <c r="H176" s="116"/>
      <c r="I176" s="116"/>
      <c r="L176" s="170">
        <v>43831</v>
      </c>
      <c r="M176" s="116">
        <v>993.9</v>
      </c>
      <c r="N176" s="116">
        <v>1009</v>
      </c>
      <c r="O176" s="116">
        <v>988.15</v>
      </c>
      <c r="P176" s="116">
        <v>988.15</v>
      </c>
      <c r="Q176" s="116">
        <v>993.9</v>
      </c>
      <c r="R176">
        <v>107585</v>
      </c>
    </row>
    <row r="177" spans="1:18" x14ac:dyDescent="0.25">
      <c r="A177" s="170">
        <v>43832</v>
      </c>
      <c r="B177" s="116">
        <v>993.65</v>
      </c>
      <c r="C177" s="116">
        <v>977.65</v>
      </c>
      <c r="D177" s="116">
        <v>975</v>
      </c>
      <c r="E177" s="116">
        <v>993.65</v>
      </c>
      <c r="F177" s="116">
        <v>977.65</v>
      </c>
      <c r="G177">
        <v>4966</v>
      </c>
      <c r="H177" s="116"/>
      <c r="I177" s="116"/>
      <c r="L177" s="170">
        <v>43832</v>
      </c>
      <c r="M177" s="116">
        <v>977.05</v>
      </c>
      <c r="N177" s="116">
        <v>994.4</v>
      </c>
      <c r="O177" s="116">
        <v>975</v>
      </c>
      <c r="P177" s="116">
        <v>994</v>
      </c>
      <c r="Q177" s="116">
        <v>977.05</v>
      </c>
      <c r="R177">
        <v>106092</v>
      </c>
    </row>
    <row r="178" spans="1:18" x14ac:dyDescent="0.25">
      <c r="A178" s="170">
        <v>43833</v>
      </c>
      <c r="B178" s="116">
        <v>993.9</v>
      </c>
      <c r="C178" s="116">
        <v>981.75</v>
      </c>
      <c r="D178" s="116">
        <v>972</v>
      </c>
      <c r="E178" s="116">
        <v>980.8</v>
      </c>
      <c r="F178" s="116">
        <v>981.75</v>
      </c>
      <c r="G178">
        <v>7057</v>
      </c>
      <c r="H178" s="116"/>
      <c r="I178" s="116"/>
      <c r="L178" s="170">
        <v>43833</v>
      </c>
      <c r="M178" s="116">
        <v>982.25</v>
      </c>
      <c r="N178" s="116">
        <v>993.8</v>
      </c>
      <c r="O178" s="116">
        <v>971</v>
      </c>
      <c r="P178" s="116">
        <v>978</v>
      </c>
      <c r="Q178" s="116">
        <v>982.25</v>
      </c>
      <c r="R178">
        <v>208019</v>
      </c>
    </row>
    <row r="179" spans="1:18" x14ac:dyDescent="0.25">
      <c r="A179" s="170">
        <v>43836</v>
      </c>
      <c r="B179" s="116">
        <v>981</v>
      </c>
      <c r="C179" s="116">
        <v>960.6</v>
      </c>
      <c r="D179" s="116">
        <v>954.15</v>
      </c>
      <c r="E179" s="116">
        <v>981</v>
      </c>
      <c r="F179" s="116">
        <v>960.6</v>
      </c>
      <c r="G179">
        <v>7754</v>
      </c>
      <c r="H179" s="116"/>
      <c r="I179" s="116"/>
      <c r="L179" s="170">
        <v>43836</v>
      </c>
      <c r="M179" s="116">
        <v>960.6</v>
      </c>
      <c r="N179" s="116">
        <v>974</v>
      </c>
      <c r="O179" s="116">
        <v>955</v>
      </c>
      <c r="P179" s="116">
        <v>972</v>
      </c>
      <c r="Q179" s="116">
        <v>960.6</v>
      </c>
      <c r="R179">
        <v>176751</v>
      </c>
    </row>
    <row r="180" spans="1:18" x14ac:dyDescent="0.25">
      <c r="A180" s="170">
        <v>43837</v>
      </c>
      <c r="B180" s="116">
        <v>974.65</v>
      </c>
      <c r="C180" s="116">
        <v>959.7</v>
      </c>
      <c r="D180" s="116">
        <v>956</v>
      </c>
      <c r="E180" s="116">
        <v>961.25</v>
      </c>
      <c r="F180" s="116">
        <v>959.7</v>
      </c>
      <c r="G180">
        <v>4859</v>
      </c>
      <c r="H180" s="116"/>
      <c r="I180" s="116"/>
      <c r="L180" s="170">
        <v>43837</v>
      </c>
      <c r="M180" s="116">
        <v>959.75</v>
      </c>
      <c r="N180" s="116">
        <v>974.75</v>
      </c>
      <c r="O180" s="116">
        <v>955</v>
      </c>
      <c r="P180" s="116">
        <v>970</v>
      </c>
      <c r="Q180" s="116">
        <v>959.75</v>
      </c>
      <c r="R180">
        <v>101111</v>
      </c>
    </row>
    <row r="181" spans="1:18" x14ac:dyDescent="0.25">
      <c r="A181" s="170">
        <v>43838</v>
      </c>
      <c r="B181" s="116">
        <v>973.5</v>
      </c>
      <c r="C181" s="116">
        <v>967.75</v>
      </c>
      <c r="D181" s="116">
        <v>950.05</v>
      </c>
      <c r="E181" s="116">
        <v>959.5</v>
      </c>
      <c r="F181" s="116">
        <v>967.75</v>
      </c>
      <c r="G181">
        <v>12630</v>
      </c>
      <c r="H181" s="116"/>
      <c r="I181" s="116"/>
      <c r="L181" s="170">
        <v>43838</v>
      </c>
      <c r="M181" s="116">
        <v>968.05</v>
      </c>
      <c r="N181" s="116">
        <v>973.8</v>
      </c>
      <c r="O181" s="116">
        <v>950</v>
      </c>
      <c r="P181" s="116">
        <v>952.5</v>
      </c>
      <c r="Q181" s="116">
        <v>968.05</v>
      </c>
      <c r="R181">
        <v>127836</v>
      </c>
    </row>
    <row r="182" spans="1:18" x14ac:dyDescent="0.25">
      <c r="A182" s="170">
        <v>43839</v>
      </c>
      <c r="B182" s="116">
        <v>981</v>
      </c>
      <c r="C182" s="116">
        <v>971.1</v>
      </c>
      <c r="D182" s="116">
        <v>968.5</v>
      </c>
      <c r="E182" s="116">
        <v>980.6</v>
      </c>
      <c r="F182" s="116">
        <v>971.1</v>
      </c>
      <c r="G182">
        <v>5368</v>
      </c>
      <c r="H182" s="116"/>
      <c r="I182" s="116"/>
      <c r="L182" s="170">
        <v>43839</v>
      </c>
      <c r="M182" s="116">
        <v>971.75</v>
      </c>
      <c r="N182" s="116">
        <v>981.95</v>
      </c>
      <c r="O182" s="116">
        <v>968</v>
      </c>
      <c r="P182" s="116">
        <v>978</v>
      </c>
      <c r="Q182" s="116">
        <v>971.75</v>
      </c>
      <c r="R182">
        <v>150582</v>
      </c>
    </row>
    <row r="183" spans="1:18" x14ac:dyDescent="0.25">
      <c r="A183" s="170">
        <v>43840</v>
      </c>
      <c r="B183" s="116">
        <v>1038.9000000000001</v>
      </c>
      <c r="C183" s="116">
        <v>1029.6500000000001</v>
      </c>
      <c r="D183" s="116">
        <v>972.7</v>
      </c>
      <c r="E183" s="116">
        <v>976.25</v>
      </c>
      <c r="F183" s="116">
        <v>1029.6500000000001</v>
      </c>
      <c r="G183">
        <v>37333</v>
      </c>
      <c r="H183" s="116"/>
      <c r="I183" s="116"/>
      <c r="L183" s="170">
        <v>43840</v>
      </c>
      <c r="M183" s="116">
        <v>1029.25</v>
      </c>
      <c r="N183" s="116">
        <v>1039</v>
      </c>
      <c r="O183" s="116">
        <v>973</v>
      </c>
      <c r="P183" s="116">
        <v>973.05</v>
      </c>
      <c r="Q183" s="116">
        <v>1029.25</v>
      </c>
      <c r="R183">
        <v>519892</v>
      </c>
    </row>
    <row r="184" spans="1:18" x14ac:dyDescent="0.25">
      <c r="A184" s="170">
        <v>43843</v>
      </c>
      <c r="B184" s="116">
        <v>1087</v>
      </c>
      <c r="C184" s="116">
        <v>1069.05</v>
      </c>
      <c r="D184" s="116">
        <v>1024.1500000000001</v>
      </c>
      <c r="E184" s="116">
        <v>1027</v>
      </c>
      <c r="F184" s="116">
        <v>1069.05</v>
      </c>
      <c r="G184">
        <v>32366</v>
      </c>
      <c r="H184" s="116"/>
      <c r="I184" s="116"/>
      <c r="L184" s="170">
        <v>43843</v>
      </c>
      <c r="M184" s="116">
        <v>1070.05</v>
      </c>
      <c r="N184" s="116">
        <v>1087.25</v>
      </c>
      <c r="O184" s="116">
        <v>1023</v>
      </c>
      <c r="P184" s="116">
        <v>1033</v>
      </c>
      <c r="Q184" s="116">
        <v>1070.05</v>
      </c>
      <c r="R184">
        <v>514090</v>
      </c>
    </row>
    <row r="185" spans="1:18" x14ac:dyDescent="0.25">
      <c r="A185" s="170">
        <v>43844</v>
      </c>
      <c r="B185" s="116">
        <v>1093.4000000000001</v>
      </c>
      <c r="C185" s="116">
        <v>1047.7</v>
      </c>
      <c r="D185" s="116">
        <v>1027.8</v>
      </c>
      <c r="E185" s="116">
        <v>1081.2</v>
      </c>
      <c r="F185" s="116">
        <v>1047.7</v>
      </c>
      <c r="G185">
        <v>16128</v>
      </c>
      <c r="H185" s="116"/>
      <c r="I185" s="116"/>
      <c r="L185" s="170">
        <v>43844</v>
      </c>
      <c r="M185" s="116">
        <v>1048.3</v>
      </c>
      <c r="N185" s="116">
        <v>1094.0999999999999</v>
      </c>
      <c r="O185" s="116">
        <v>1025</v>
      </c>
      <c r="P185" s="116">
        <v>1078.25</v>
      </c>
      <c r="Q185" s="116">
        <v>1048.3</v>
      </c>
      <c r="R185">
        <v>363992</v>
      </c>
    </row>
    <row r="186" spans="1:18" x14ac:dyDescent="0.25">
      <c r="A186" s="170">
        <v>43845</v>
      </c>
      <c r="B186" s="116">
        <v>1108.95</v>
      </c>
      <c r="C186" s="116">
        <v>1083.05</v>
      </c>
      <c r="D186" s="116">
        <v>1038</v>
      </c>
      <c r="E186" s="116">
        <v>1040</v>
      </c>
      <c r="F186" s="116">
        <v>1083.05</v>
      </c>
      <c r="G186">
        <v>78929</v>
      </c>
      <c r="H186" s="116"/>
      <c r="I186" s="116"/>
      <c r="L186" s="170">
        <v>43845</v>
      </c>
      <c r="M186" s="116">
        <v>1083.25</v>
      </c>
      <c r="N186" s="116">
        <v>1109.7</v>
      </c>
      <c r="O186" s="116">
        <v>1041.8499999999999</v>
      </c>
      <c r="P186" s="116">
        <v>1047.4000000000001</v>
      </c>
      <c r="Q186" s="116">
        <v>1083.25</v>
      </c>
      <c r="R186">
        <v>533931</v>
      </c>
    </row>
    <row r="187" spans="1:18" x14ac:dyDescent="0.25">
      <c r="A187" s="170">
        <v>43846</v>
      </c>
      <c r="B187" s="116">
        <v>1120</v>
      </c>
      <c r="C187" s="116">
        <v>1111.45</v>
      </c>
      <c r="D187" s="116">
        <v>1083.05</v>
      </c>
      <c r="E187" s="116">
        <v>1083.05</v>
      </c>
      <c r="F187" s="116">
        <v>1111.45</v>
      </c>
      <c r="G187">
        <v>18547</v>
      </c>
      <c r="H187" s="116"/>
      <c r="I187" s="116"/>
      <c r="L187" s="170">
        <v>43846</v>
      </c>
      <c r="M187" s="116">
        <v>1112.5999999999999</v>
      </c>
      <c r="N187" s="116">
        <v>1120</v>
      </c>
      <c r="O187" s="116">
        <v>1086.05</v>
      </c>
      <c r="P187" s="116">
        <v>1090.95</v>
      </c>
      <c r="Q187" s="116">
        <v>1112.5999999999999</v>
      </c>
      <c r="R187">
        <v>328565</v>
      </c>
    </row>
    <row r="188" spans="1:18" x14ac:dyDescent="0.25">
      <c r="A188" s="170">
        <v>43847</v>
      </c>
      <c r="B188" s="116">
        <v>1124.2</v>
      </c>
      <c r="C188" s="116">
        <v>1108.4000000000001</v>
      </c>
      <c r="D188" s="116">
        <v>1093.75</v>
      </c>
      <c r="E188" s="116">
        <v>1111.45</v>
      </c>
      <c r="F188" s="116">
        <v>1108.4000000000001</v>
      </c>
      <c r="G188">
        <v>13564</v>
      </c>
      <c r="H188" s="116"/>
      <c r="I188" s="116"/>
      <c r="L188" s="170">
        <v>43847</v>
      </c>
      <c r="M188" s="116">
        <v>1108.55</v>
      </c>
      <c r="N188" s="116">
        <v>1124.45</v>
      </c>
      <c r="O188" s="116">
        <v>1092.0999999999999</v>
      </c>
      <c r="P188" s="116">
        <v>1115</v>
      </c>
      <c r="Q188" s="116">
        <v>1108.55</v>
      </c>
      <c r="R188">
        <v>211634</v>
      </c>
    </row>
    <row r="189" spans="1:18" x14ac:dyDescent="0.25">
      <c r="A189" s="170">
        <v>43850</v>
      </c>
      <c r="B189" s="116">
        <v>1140</v>
      </c>
      <c r="C189" s="116">
        <v>1129.0999999999999</v>
      </c>
      <c r="D189" s="116">
        <v>1093</v>
      </c>
      <c r="E189" s="116">
        <v>1093</v>
      </c>
      <c r="F189" s="116">
        <v>1129.0999999999999</v>
      </c>
      <c r="G189">
        <v>20888</v>
      </c>
      <c r="H189" s="116"/>
      <c r="I189" s="116"/>
      <c r="L189" s="170">
        <v>43850</v>
      </c>
      <c r="M189" s="116">
        <v>1129.1500000000001</v>
      </c>
      <c r="N189" s="116">
        <v>1140</v>
      </c>
      <c r="O189" s="116">
        <v>1112</v>
      </c>
      <c r="P189" s="116">
        <v>1114.5999999999999</v>
      </c>
      <c r="Q189" s="116">
        <v>1129.1500000000001</v>
      </c>
      <c r="R189">
        <v>280318</v>
      </c>
    </row>
    <row r="190" spans="1:18" x14ac:dyDescent="0.25">
      <c r="A190" s="170">
        <v>43851</v>
      </c>
      <c r="B190" s="116">
        <v>1149</v>
      </c>
      <c r="C190" s="116">
        <v>1082.45</v>
      </c>
      <c r="D190" s="116">
        <v>1067</v>
      </c>
      <c r="E190" s="116">
        <v>1149</v>
      </c>
      <c r="F190" s="116">
        <v>1082.45</v>
      </c>
      <c r="G190">
        <v>31590</v>
      </c>
      <c r="H190" s="116"/>
      <c r="I190" s="116"/>
      <c r="L190" s="170">
        <v>43851</v>
      </c>
      <c r="M190" s="116">
        <v>1082.75</v>
      </c>
      <c r="N190" s="116">
        <v>1147</v>
      </c>
      <c r="O190" s="116">
        <v>1067.0999999999999</v>
      </c>
      <c r="P190" s="116">
        <v>1133.5999999999999</v>
      </c>
      <c r="Q190" s="116">
        <v>1082.75</v>
      </c>
      <c r="R190">
        <v>528861</v>
      </c>
    </row>
    <row r="191" spans="1:18" x14ac:dyDescent="0.25">
      <c r="A191" s="170">
        <v>43852</v>
      </c>
      <c r="B191" s="116">
        <v>1128.9000000000001</v>
      </c>
      <c r="C191" s="116">
        <v>993.95</v>
      </c>
      <c r="D191" s="116">
        <v>986.35</v>
      </c>
      <c r="E191" s="116">
        <v>1121</v>
      </c>
      <c r="F191" s="116">
        <v>993.95</v>
      </c>
      <c r="G191">
        <v>112336</v>
      </c>
      <c r="H191" s="116"/>
      <c r="I191" s="116"/>
      <c r="L191" s="170">
        <v>43852</v>
      </c>
      <c r="M191" s="116">
        <v>994.3</v>
      </c>
      <c r="N191" s="116">
        <v>1130</v>
      </c>
      <c r="O191" s="116">
        <v>986</v>
      </c>
      <c r="P191" s="116">
        <v>1129.5</v>
      </c>
      <c r="Q191" s="116">
        <v>994.3</v>
      </c>
      <c r="R191">
        <v>2027984</v>
      </c>
    </row>
    <row r="192" spans="1:18" x14ac:dyDescent="0.25">
      <c r="A192" s="170">
        <v>43853</v>
      </c>
      <c r="B192" s="116">
        <v>1020</v>
      </c>
      <c r="C192" s="116">
        <v>1003.35</v>
      </c>
      <c r="D192" s="116">
        <v>993.75</v>
      </c>
      <c r="E192" s="116">
        <v>1007</v>
      </c>
      <c r="F192" s="116">
        <v>1003.35</v>
      </c>
      <c r="G192">
        <v>46315</v>
      </c>
      <c r="H192" s="116"/>
      <c r="I192" s="116"/>
      <c r="L192" s="170">
        <v>43853</v>
      </c>
      <c r="M192" s="116">
        <v>1003.85</v>
      </c>
      <c r="N192" s="116">
        <v>1020.3</v>
      </c>
      <c r="O192" s="116">
        <v>993.3</v>
      </c>
      <c r="P192" s="116">
        <v>1003</v>
      </c>
      <c r="Q192" s="116">
        <v>1003.85</v>
      </c>
      <c r="R192">
        <v>962524</v>
      </c>
    </row>
    <row r="193" spans="1:18" x14ac:dyDescent="0.25">
      <c r="A193" s="170">
        <v>43854</v>
      </c>
      <c r="B193" s="116">
        <v>1024</v>
      </c>
      <c r="C193" s="116">
        <v>1019.45</v>
      </c>
      <c r="D193" s="116">
        <v>1004</v>
      </c>
      <c r="E193" s="116">
        <v>1013</v>
      </c>
      <c r="F193" s="116">
        <v>1019.45</v>
      </c>
      <c r="G193">
        <v>21763</v>
      </c>
      <c r="H193" s="116"/>
      <c r="I193" s="116"/>
      <c r="L193" s="170">
        <v>43854</v>
      </c>
      <c r="M193" s="116">
        <v>1019.85</v>
      </c>
      <c r="N193" s="116">
        <v>1024</v>
      </c>
      <c r="O193" s="116">
        <v>1004</v>
      </c>
      <c r="P193" s="116">
        <v>1011</v>
      </c>
      <c r="Q193" s="116">
        <v>1019.85</v>
      </c>
      <c r="R193">
        <v>278553</v>
      </c>
    </row>
    <row r="194" spans="1:18" x14ac:dyDescent="0.25">
      <c r="A194" s="170">
        <v>43857</v>
      </c>
      <c r="B194" s="116">
        <v>1018</v>
      </c>
      <c r="C194" s="116">
        <v>998.5</v>
      </c>
      <c r="D194" s="116">
        <v>992</v>
      </c>
      <c r="E194" s="116">
        <v>1010</v>
      </c>
      <c r="F194" s="116">
        <v>998.5</v>
      </c>
      <c r="G194">
        <v>12918</v>
      </c>
      <c r="H194" s="116"/>
      <c r="I194" s="116"/>
      <c r="L194" s="170">
        <v>43857</v>
      </c>
      <c r="M194" s="116">
        <v>997.9</v>
      </c>
      <c r="N194" s="116">
        <v>1017.9</v>
      </c>
      <c r="O194" s="116">
        <v>992.2</v>
      </c>
      <c r="P194" s="116">
        <v>1017.9</v>
      </c>
      <c r="Q194" s="116">
        <v>997.9</v>
      </c>
      <c r="R194">
        <v>206113</v>
      </c>
    </row>
    <row r="195" spans="1:18" x14ac:dyDescent="0.25">
      <c r="A195" s="170">
        <v>43858</v>
      </c>
      <c r="B195" s="116">
        <v>1011</v>
      </c>
      <c r="C195" s="116">
        <v>994.9</v>
      </c>
      <c r="D195" s="116">
        <v>990</v>
      </c>
      <c r="E195" s="116">
        <v>1008.8</v>
      </c>
      <c r="F195" s="116">
        <v>994.9</v>
      </c>
      <c r="G195">
        <v>17557</v>
      </c>
      <c r="H195" s="116"/>
      <c r="I195" s="116"/>
      <c r="L195" s="170">
        <v>43858</v>
      </c>
      <c r="M195" s="116">
        <v>994.5</v>
      </c>
      <c r="N195" s="116">
        <v>1011</v>
      </c>
      <c r="O195" s="116">
        <v>990</v>
      </c>
      <c r="P195" s="116">
        <v>1001.9</v>
      </c>
      <c r="Q195" s="116">
        <v>994.5</v>
      </c>
      <c r="R195">
        <v>284758</v>
      </c>
    </row>
    <row r="196" spans="1:18" x14ac:dyDescent="0.25">
      <c r="A196" s="170">
        <v>43859</v>
      </c>
      <c r="B196" s="116">
        <v>1010</v>
      </c>
      <c r="C196" s="116">
        <v>989.8</v>
      </c>
      <c r="D196" s="116">
        <v>981.95</v>
      </c>
      <c r="E196" s="116">
        <v>999</v>
      </c>
      <c r="F196" s="116">
        <v>989.8</v>
      </c>
      <c r="G196">
        <v>13112</v>
      </c>
      <c r="H196" s="116"/>
      <c r="I196" s="116"/>
      <c r="L196" s="170">
        <v>43859</v>
      </c>
      <c r="M196" s="116">
        <v>989.3</v>
      </c>
      <c r="N196" s="116">
        <v>1010</v>
      </c>
      <c r="O196" s="116">
        <v>981</v>
      </c>
      <c r="P196" s="116">
        <v>1004</v>
      </c>
      <c r="Q196" s="116">
        <v>989.3</v>
      </c>
      <c r="R196">
        <v>323100</v>
      </c>
    </row>
    <row r="197" spans="1:18" x14ac:dyDescent="0.25">
      <c r="A197" s="170">
        <v>43860</v>
      </c>
      <c r="B197" s="116">
        <v>999</v>
      </c>
      <c r="C197" s="116">
        <v>974.05</v>
      </c>
      <c r="D197" s="116">
        <v>971.25</v>
      </c>
      <c r="E197" s="116">
        <v>999</v>
      </c>
      <c r="F197" s="116">
        <v>974.05</v>
      </c>
      <c r="G197">
        <v>10725</v>
      </c>
      <c r="H197" s="116"/>
      <c r="I197" s="116"/>
      <c r="L197" s="170">
        <v>43860</v>
      </c>
      <c r="M197" s="116">
        <v>975.65</v>
      </c>
      <c r="N197" s="116">
        <v>993.95</v>
      </c>
      <c r="O197" s="116">
        <v>970.1</v>
      </c>
      <c r="P197" s="116">
        <v>993.95</v>
      </c>
      <c r="Q197" s="116">
        <v>975.65</v>
      </c>
      <c r="R197">
        <v>147813</v>
      </c>
    </row>
    <row r="198" spans="1:18" x14ac:dyDescent="0.25">
      <c r="A198" s="170">
        <v>43861</v>
      </c>
      <c r="B198" s="116">
        <v>999</v>
      </c>
      <c r="C198" s="116">
        <v>983.85</v>
      </c>
      <c r="D198" s="116">
        <v>931.25</v>
      </c>
      <c r="E198" s="116">
        <v>984</v>
      </c>
      <c r="F198" s="116">
        <v>983.85</v>
      </c>
      <c r="G198">
        <v>11027</v>
      </c>
      <c r="H198" s="116"/>
      <c r="I198" s="116"/>
      <c r="L198" s="170">
        <v>43861</v>
      </c>
      <c r="M198" s="116">
        <v>984.55</v>
      </c>
      <c r="N198" s="116">
        <v>999.7</v>
      </c>
      <c r="O198" s="116">
        <v>961</v>
      </c>
      <c r="P198" s="116">
        <v>975</v>
      </c>
      <c r="Q198" s="116">
        <v>984.55</v>
      </c>
      <c r="R198">
        <v>205571</v>
      </c>
    </row>
    <row r="199" spans="1:18" x14ac:dyDescent="0.25">
      <c r="A199" s="170">
        <v>43862</v>
      </c>
      <c r="B199" s="116">
        <v>1007.4</v>
      </c>
      <c r="C199" s="116">
        <v>964.2</v>
      </c>
      <c r="D199" s="116">
        <v>958</v>
      </c>
      <c r="E199" s="116">
        <v>999.95</v>
      </c>
      <c r="F199" s="116">
        <v>964.2</v>
      </c>
      <c r="G199">
        <v>12983</v>
      </c>
      <c r="H199" s="116"/>
      <c r="I199" s="116"/>
      <c r="L199" s="170">
        <v>43862</v>
      </c>
      <c r="M199" s="116">
        <v>964.25</v>
      </c>
      <c r="N199" s="116">
        <v>1006.95</v>
      </c>
      <c r="O199" s="116">
        <v>956</v>
      </c>
      <c r="P199" s="116">
        <v>984.8</v>
      </c>
      <c r="Q199" s="116">
        <v>964.25</v>
      </c>
      <c r="R199">
        <v>180651</v>
      </c>
    </row>
    <row r="200" spans="1:18" x14ac:dyDescent="0.25">
      <c r="A200" s="170">
        <v>43864</v>
      </c>
      <c r="B200" s="116">
        <v>993</v>
      </c>
      <c r="C200" s="116">
        <v>986.45</v>
      </c>
      <c r="D200" s="116">
        <v>951.1</v>
      </c>
      <c r="E200" s="116">
        <v>969.8</v>
      </c>
      <c r="F200" s="116">
        <v>986.45</v>
      </c>
      <c r="G200">
        <v>9254</v>
      </c>
      <c r="H200" s="116"/>
      <c r="I200" s="116"/>
      <c r="L200" s="170">
        <v>43864</v>
      </c>
      <c r="M200" s="116">
        <v>986.8</v>
      </c>
      <c r="N200" s="116">
        <v>993</v>
      </c>
      <c r="O200" s="116">
        <v>950</v>
      </c>
      <c r="P200" s="116">
        <v>959</v>
      </c>
      <c r="Q200" s="116">
        <v>986.8</v>
      </c>
      <c r="R200">
        <v>176090</v>
      </c>
    </row>
    <row r="201" spans="1:18" x14ac:dyDescent="0.25">
      <c r="A201" s="170">
        <v>43865</v>
      </c>
      <c r="B201" s="116">
        <v>1024</v>
      </c>
      <c r="C201" s="116">
        <v>999.25</v>
      </c>
      <c r="D201" s="116">
        <v>990</v>
      </c>
      <c r="E201" s="116">
        <v>995.35</v>
      </c>
      <c r="F201" s="116">
        <v>999.25</v>
      </c>
      <c r="G201">
        <v>18678</v>
      </c>
      <c r="H201" s="116"/>
      <c r="I201" s="116"/>
      <c r="L201" s="170">
        <v>43865</v>
      </c>
      <c r="M201" s="116">
        <v>999.8</v>
      </c>
      <c r="N201" s="116">
        <v>1025</v>
      </c>
      <c r="O201" s="116">
        <v>990</v>
      </c>
      <c r="P201" s="116">
        <v>993</v>
      </c>
      <c r="Q201" s="116">
        <v>999.8</v>
      </c>
      <c r="R201">
        <v>439600</v>
      </c>
    </row>
    <row r="202" spans="1:18" x14ac:dyDescent="0.25">
      <c r="A202" s="170">
        <v>43866</v>
      </c>
      <c r="B202" s="116">
        <v>1020</v>
      </c>
      <c r="C202" s="116">
        <v>1010.15</v>
      </c>
      <c r="D202" s="116">
        <v>1005</v>
      </c>
      <c r="E202" s="116">
        <v>1009.5</v>
      </c>
      <c r="F202" s="116">
        <v>1010.15</v>
      </c>
      <c r="G202">
        <v>7784</v>
      </c>
      <c r="H202" s="116"/>
      <c r="I202" s="116"/>
      <c r="L202" s="170">
        <v>43866</v>
      </c>
      <c r="M202" s="116">
        <v>1010.4</v>
      </c>
      <c r="N202" s="116">
        <v>1020</v>
      </c>
      <c r="O202" s="116">
        <v>1003.1</v>
      </c>
      <c r="P202" s="116">
        <v>1007.8</v>
      </c>
      <c r="Q202" s="116">
        <v>1010.4</v>
      </c>
      <c r="R202">
        <v>260430</v>
      </c>
    </row>
    <row r="203" spans="1:18" x14ac:dyDescent="0.25">
      <c r="A203" s="170">
        <v>43867</v>
      </c>
      <c r="B203" s="116">
        <v>1063.5999999999999</v>
      </c>
      <c r="C203" s="116">
        <v>1057</v>
      </c>
      <c r="D203" s="116">
        <v>1010</v>
      </c>
      <c r="E203" s="116">
        <v>1010</v>
      </c>
      <c r="F203" s="116">
        <v>1057</v>
      </c>
      <c r="G203">
        <v>21499</v>
      </c>
      <c r="H203" s="116"/>
      <c r="I203" s="116"/>
      <c r="L203" s="170">
        <v>43867</v>
      </c>
      <c r="M203" s="116">
        <v>1057</v>
      </c>
      <c r="N203" s="116">
        <v>1063</v>
      </c>
      <c r="O203" s="116">
        <v>1011.95</v>
      </c>
      <c r="P203" s="116">
        <v>1013.95</v>
      </c>
      <c r="Q203" s="116">
        <v>1057</v>
      </c>
      <c r="R203">
        <v>575947</v>
      </c>
    </row>
    <row r="204" spans="1:18" x14ac:dyDescent="0.25">
      <c r="A204" s="170">
        <v>43868</v>
      </c>
      <c r="B204" s="116">
        <v>1075</v>
      </c>
      <c r="C204" s="116">
        <v>1058.5</v>
      </c>
      <c r="D204" s="116">
        <v>1053.5999999999999</v>
      </c>
      <c r="E204" s="116">
        <v>1061</v>
      </c>
      <c r="F204" s="116">
        <v>1058.5</v>
      </c>
      <c r="G204">
        <v>15328</v>
      </c>
      <c r="H204" s="116"/>
      <c r="I204" s="116"/>
      <c r="L204" s="170">
        <v>43868</v>
      </c>
      <c r="M204" s="116">
        <v>1058.25</v>
      </c>
      <c r="N204" s="116">
        <v>1076.0999999999999</v>
      </c>
      <c r="O204" s="116">
        <v>1051.55</v>
      </c>
      <c r="P204" s="116">
        <v>1062</v>
      </c>
      <c r="Q204" s="116">
        <v>1058.25</v>
      </c>
      <c r="R204">
        <v>274183</v>
      </c>
    </row>
    <row r="205" spans="1:18" x14ac:dyDescent="0.25">
      <c r="A205" s="170">
        <v>43871</v>
      </c>
      <c r="B205" s="116">
        <v>1068</v>
      </c>
      <c r="C205" s="116">
        <v>1038.4000000000001</v>
      </c>
      <c r="D205" s="116">
        <v>1032.8499999999999</v>
      </c>
      <c r="E205" s="116">
        <v>1068</v>
      </c>
      <c r="F205" s="116">
        <v>1038.4000000000001</v>
      </c>
      <c r="G205">
        <v>9823</v>
      </c>
      <c r="H205" s="116"/>
      <c r="I205" s="116"/>
      <c r="L205" s="170">
        <v>43871</v>
      </c>
      <c r="M205" s="116">
        <v>1038.5</v>
      </c>
      <c r="N205" s="116">
        <v>1064.95</v>
      </c>
      <c r="O205" s="116">
        <v>1033.05</v>
      </c>
      <c r="P205" s="116">
        <v>1064.95</v>
      </c>
      <c r="Q205" s="116">
        <v>1038.5</v>
      </c>
      <c r="R205">
        <v>172105</v>
      </c>
    </row>
    <row r="206" spans="1:18" x14ac:dyDescent="0.25">
      <c r="A206" s="170">
        <v>43872</v>
      </c>
      <c r="B206" s="116">
        <v>1056.4000000000001</v>
      </c>
      <c r="C206" s="116">
        <v>1041.7</v>
      </c>
      <c r="D206" s="116">
        <v>1035.7</v>
      </c>
      <c r="E206" s="116">
        <v>1053.8</v>
      </c>
      <c r="F206" s="116">
        <v>1041.7</v>
      </c>
      <c r="G206">
        <v>6404</v>
      </c>
      <c r="H206" s="116"/>
      <c r="I206" s="116"/>
      <c r="L206" s="170">
        <v>43872</v>
      </c>
      <c r="M206" s="116">
        <v>1042.55</v>
      </c>
      <c r="N206" s="116">
        <v>1056.7</v>
      </c>
      <c r="O206" s="116">
        <v>1036</v>
      </c>
      <c r="P206" s="116">
        <v>1041</v>
      </c>
      <c r="Q206" s="116">
        <v>1042.55</v>
      </c>
      <c r="R206">
        <v>133928</v>
      </c>
    </row>
    <row r="207" spans="1:18" x14ac:dyDescent="0.25">
      <c r="A207" s="170">
        <v>43873</v>
      </c>
      <c r="B207" s="116">
        <v>1075.95</v>
      </c>
      <c r="C207" s="116">
        <v>1065.5</v>
      </c>
      <c r="D207" s="116">
        <v>1044.1500000000001</v>
      </c>
      <c r="E207" s="116">
        <v>1048</v>
      </c>
      <c r="F207" s="116">
        <v>1065.5</v>
      </c>
      <c r="G207">
        <v>19101</v>
      </c>
      <c r="H207" s="116"/>
      <c r="I207" s="116"/>
      <c r="L207" s="170">
        <v>43873</v>
      </c>
      <c r="M207" s="116">
        <v>1065.6500000000001</v>
      </c>
      <c r="N207" s="116">
        <v>1074.95</v>
      </c>
      <c r="O207" s="116">
        <v>1044</v>
      </c>
      <c r="P207" s="116">
        <v>1053.0999999999999</v>
      </c>
      <c r="Q207" s="116">
        <v>1065.6500000000001</v>
      </c>
      <c r="R207">
        <v>328707</v>
      </c>
    </row>
    <row r="208" spans="1:18" x14ac:dyDescent="0.25">
      <c r="A208" s="170">
        <v>43874</v>
      </c>
      <c r="B208" s="116">
        <v>1090.45</v>
      </c>
      <c r="C208" s="116">
        <v>1086.1500000000001</v>
      </c>
      <c r="D208" s="116">
        <v>1069.2</v>
      </c>
      <c r="E208" s="116">
        <v>1071.3499999999999</v>
      </c>
      <c r="F208" s="116">
        <v>1086.1500000000001</v>
      </c>
      <c r="G208">
        <v>16879</v>
      </c>
      <c r="H208" s="116"/>
      <c r="I208" s="116"/>
      <c r="L208" s="170">
        <v>43874</v>
      </c>
      <c r="M208" s="116">
        <v>1081.8</v>
      </c>
      <c r="N208" s="116">
        <v>1091.7</v>
      </c>
      <c r="O208" s="116">
        <v>1069</v>
      </c>
      <c r="P208" s="116">
        <v>1070</v>
      </c>
      <c r="Q208" s="116">
        <v>1081.8</v>
      </c>
      <c r="R208">
        <v>355215</v>
      </c>
    </row>
    <row r="209" spans="1:18" x14ac:dyDescent="0.25">
      <c r="A209" s="170">
        <v>43875</v>
      </c>
      <c r="B209" s="116">
        <v>1087.95</v>
      </c>
      <c r="C209" s="116">
        <v>1078.0999999999999</v>
      </c>
      <c r="D209" s="116">
        <v>1065</v>
      </c>
      <c r="E209" s="116">
        <v>1086.3</v>
      </c>
      <c r="F209" s="116">
        <v>1078.0999999999999</v>
      </c>
      <c r="G209">
        <v>12584</v>
      </c>
      <c r="H209" s="116"/>
      <c r="I209" s="116"/>
      <c r="L209" s="170">
        <v>43875</v>
      </c>
      <c r="M209" s="116">
        <v>1078.1500000000001</v>
      </c>
      <c r="N209" s="116">
        <v>1088.6500000000001</v>
      </c>
      <c r="O209" s="116">
        <v>1065</v>
      </c>
      <c r="P209" s="116">
        <v>1087</v>
      </c>
      <c r="Q209" s="116">
        <v>1078.1500000000001</v>
      </c>
      <c r="R209">
        <v>239879</v>
      </c>
    </row>
    <row r="210" spans="1:18" x14ac:dyDescent="0.25">
      <c r="A210" s="170">
        <v>43878</v>
      </c>
      <c r="B210" s="116">
        <v>1080.4000000000001</v>
      </c>
      <c r="C210" s="116">
        <v>1053.2</v>
      </c>
      <c r="D210" s="116">
        <v>1043.8</v>
      </c>
      <c r="E210" s="116">
        <v>1080.4000000000001</v>
      </c>
      <c r="F210" s="116">
        <v>1053.2</v>
      </c>
      <c r="G210">
        <v>5403</v>
      </c>
      <c r="H210" s="116"/>
      <c r="I210" s="116"/>
      <c r="L210" s="170">
        <v>43878</v>
      </c>
      <c r="M210" s="116">
        <v>1051.95</v>
      </c>
      <c r="N210" s="116">
        <v>1083.8</v>
      </c>
      <c r="O210" s="116">
        <v>1042.6500000000001</v>
      </c>
      <c r="P210" s="116">
        <v>1083.8</v>
      </c>
      <c r="Q210" s="116">
        <v>1051.95</v>
      </c>
      <c r="R210">
        <v>144033</v>
      </c>
    </row>
    <row r="211" spans="1:18" x14ac:dyDescent="0.25">
      <c r="A211" s="170">
        <v>43879</v>
      </c>
      <c r="B211" s="116">
        <v>1078</v>
      </c>
      <c r="C211" s="116">
        <v>1071</v>
      </c>
      <c r="D211" s="116">
        <v>1030</v>
      </c>
      <c r="E211" s="116">
        <v>1057.95</v>
      </c>
      <c r="F211" s="116">
        <v>1071</v>
      </c>
      <c r="G211">
        <v>13180</v>
      </c>
      <c r="H211" s="116"/>
      <c r="I211" s="116"/>
      <c r="L211" s="170">
        <v>43879</v>
      </c>
      <c r="M211" s="116">
        <v>1068.8499999999999</v>
      </c>
      <c r="N211" s="116">
        <v>1077.95</v>
      </c>
      <c r="O211" s="116">
        <v>1030.5999999999999</v>
      </c>
      <c r="P211" s="116">
        <v>1050</v>
      </c>
      <c r="Q211" s="116">
        <v>1068.8499999999999</v>
      </c>
      <c r="R211">
        <v>153599</v>
      </c>
    </row>
    <row r="212" spans="1:18" x14ac:dyDescent="0.25">
      <c r="A212" s="170">
        <v>43880</v>
      </c>
      <c r="B212" s="116">
        <v>1087.2</v>
      </c>
      <c r="C212" s="116">
        <v>1077.7</v>
      </c>
      <c r="D212" s="116">
        <v>1069.95</v>
      </c>
      <c r="E212" s="116">
        <v>1073</v>
      </c>
      <c r="F212" s="116">
        <v>1077.7</v>
      </c>
      <c r="G212">
        <v>6589</v>
      </c>
      <c r="H212" s="116"/>
      <c r="I212" s="116"/>
      <c r="L212" s="170">
        <v>43880</v>
      </c>
      <c r="M212" s="116">
        <v>1077.75</v>
      </c>
      <c r="N212" s="116">
        <v>1088</v>
      </c>
      <c r="O212" s="116">
        <v>1070.3</v>
      </c>
      <c r="P212" s="116">
        <v>1072.95</v>
      </c>
      <c r="Q212" s="116">
        <v>1077.75</v>
      </c>
      <c r="R212">
        <v>147996</v>
      </c>
    </row>
    <row r="213" spans="1:18" x14ac:dyDescent="0.25">
      <c r="A213" s="170">
        <v>43881</v>
      </c>
      <c r="B213" s="116">
        <v>1157.25</v>
      </c>
      <c r="C213" s="116">
        <v>1139.5</v>
      </c>
      <c r="D213" s="116">
        <v>1072.45</v>
      </c>
      <c r="E213" s="116">
        <v>1078.55</v>
      </c>
      <c r="F213" s="116">
        <v>1139.5</v>
      </c>
      <c r="G213">
        <v>51056</v>
      </c>
      <c r="H213" s="116"/>
      <c r="I213" s="116"/>
      <c r="L213" s="170">
        <v>43881</v>
      </c>
      <c r="M213" s="116">
        <v>1138.0999999999999</v>
      </c>
      <c r="N213" s="116">
        <v>1157.7</v>
      </c>
      <c r="O213" s="116">
        <v>1071.05</v>
      </c>
      <c r="P213" s="116">
        <v>1077.5</v>
      </c>
      <c r="Q213" s="116">
        <v>1138.0999999999999</v>
      </c>
      <c r="R213">
        <v>876803</v>
      </c>
    </row>
    <row r="214" spans="1:18" x14ac:dyDescent="0.25">
      <c r="A214" s="170">
        <v>43885</v>
      </c>
      <c r="B214" s="116">
        <v>1180</v>
      </c>
      <c r="C214" s="116">
        <v>1086.45</v>
      </c>
      <c r="D214" s="116">
        <v>1069.8</v>
      </c>
      <c r="E214" s="116">
        <v>1139</v>
      </c>
      <c r="F214" s="116">
        <v>1086.45</v>
      </c>
      <c r="G214">
        <v>33423</v>
      </c>
      <c r="H214" s="116"/>
      <c r="I214" s="116"/>
      <c r="L214" s="170">
        <v>43885</v>
      </c>
      <c r="M214" s="116">
        <v>1088.55</v>
      </c>
      <c r="N214" s="116">
        <v>1182</v>
      </c>
      <c r="O214" s="116">
        <v>1068</v>
      </c>
      <c r="P214" s="116">
        <v>1132</v>
      </c>
      <c r="Q214" s="116">
        <v>1088.55</v>
      </c>
      <c r="R214">
        <v>556919</v>
      </c>
    </row>
    <row r="215" spans="1:18" x14ac:dyDescent="0.25">
      <c r="A215" s="170">
        <v>43886</v>
      </c>
      <c r="B215" s="116">
        <v>1130</v>
      </c>
      <c r="C215" s="116">
        <v>1110.5999999999999</v>
      </c>
      <c r="D215" s="116">
        <v>1069.95</v>
      </c>
      <c r="E215" s="116">
        <v>1095</v>
      </c>
      <c r="F215" s="116">
        <v>1110.5999999999999</v>
      </c>
      <c r="G215">
        <v>30299</v>
      </c>
      <c r="H215" s="116"/>
      <c r="I215" s="116"/>
      <c r="L215" s="170">
        <v>43886</v>
      </c>
      <c r="M215" s="116">
        <v>1111.5999999999999</v>
      </c>
      <c r="N215" s="116">
        <v>1130.25</v>
      </c>
      <c r="O215" s="116">
        <v>1071</v>
      </c>
      <c r="P215" s="116">
        <v>1095.95</v>
      </c>
      <c r="Q215" s="116">
        <v>1111.5999999999999</v>
      </c>
      <c r="R215">
        <v>293474</v>
      </c>
    </row>
    <row r="216" spans="1:18" x14ac:dyDescent="0.25">
      <c r="A216" s="170">
        <v>43887</v>
      </c>
      <c r="B216" s="116">
        <v>1158</v>
      </c>
      <c r="C216" s="116">
        <v>1139.95</v>
      </c>
      <c r="D216" s="116">
        <v>1101</v>
      </c>
      <c r="E216" s="116">
        <v>1101</v>
      </c>
      <c r="F216" s="116">
        <v>1139.95</v>
      </c>
      <c r="G216">
        <v>40891</v>
      </c>
      <c r="H216" s="116"/>
      <c r="I216" s="116"/>
      <c r="L216" s="170">
        <v>43887</v>
      </c>
      <c r="M216" s="116">
        <v>1139</v>
      </c>
      <c r="N216" s="116">
        <v>1157.7</v>
      </c>
      <c r="O216" s="116">
        <v>1113.05</v>
      </c>
      <c r="P216" s="116">
        <v>1118</v>
      </c>
      <c r="Q216" s="116">
        <v>1139</v>
      </c>
      <c r="R216">
        <v>445457</v>
      </c>
    </row>
    <row r="217" spans="1:18" x14ac:dyDescent="0.25">
      <c r="A217" s="170">
        <v>43888</v>
      </c>
      <c r="B217" s="116">
        <v>1171.9000000000001</v>
      </c>
      <c r="C217" s="116">
        <v>1163.5</v>
      </c>
      <c r="D217" s="116">
        <v>1110</v>
      </c>
      <c r="E217" s="116">
        <v>1139.4000000000001</v>
      </c>
      <c r="F217" s="116">
        <v>1163.5</v>
      </c>
      <c r="G217">
        <v>38888</v>
      </c>
      <c r="H217" s="116"/>
      <c r="I217" s="116"/>
      <c r="L217" s="170">
        <v>43888</v>
      </c>
      <c r="M217" s="116">
        <v>1163.45</v>
      </c>
      <c r="N217" s="116">
        <v>1172</v>
      </c>
      <c r="O217" s="116">
        <v>1110</v>
      </c>
      <c r="P217" s="116">
        <v>1136</v>
      </c>
      <c r="Q217" s="116">
        <v>1163.45</v>
      </c>
      <c r="R217">
        <v>388225</v>
      </c>
    </row>
    <row r="218" spans="1:18" x14ac:dyDescent="0.25">
      <c r="A218" s="170">
        <v>43889</v>
      </c>
      <c r="B218" s="116">
        <v>1135.6500000000001</v>
      </c>
      <c r="C218" s="116">
        <v>1064.55</v>
      </c>
      <c r="D218" s="116">
        <v>1048</v>
      </c>
      <c r="E218" s="116">
        <v>1130</v>
      </c>
      <c r="F218" s="116">
        <v>1064.55</v>
      </c>
      <c r="G218">
        <v>48100</v>
      </c>
      <c r="H218" s="116"/>
      <c r="I218" s="116"/>
      <c r="L218" s="170">
        <v>43889</v>
      </c>
      <c r="M218" s="116">
        <v>1062.7</v>
      </c>
      <c r="N218" s="116">
        <v>1135.4000000000001</v>
      </c>
      <c r="O218" s="116">
        <v>1047</v>
      </c>
      <c r="P218" s="116">
        <v>1120</v>
      </c>
      <c r="Q218" s="116">
        <v>1062.7</v>
      </c>
      <c r="R218">
        <v>600707</v>
      </c>
    </row>
    <row r="219" spans="1:18" x14ac:dyDescent="0.25">
      <c r="A219" s="170">
        <v>43892</v>
      </c>
      <c r="B219" s="116">
        <v>1117.6500000000001</v>
      </c>
      <c r="C219" s="116">
        <v>1062.45</v>
      </c>
      <c r="D219" s="116">
        <v>1035.45</v>
      </c>
      <c r="E219" s="116">
        <v>1095</v>
      </c>
      <c r="F219" s="116">
        <v>1062.45</v>
      </c>
      <c r="G219">
        <v>29428</v>
      </c>
      <c r="H219" s="116"/>
      <c r="I219" s="116"/>
      <c r="L219" s="170">
        <v>43892</v>
      </c>
      <c r="M219" s="116">
        <v>1057.5</v>
      </c>
      <c r="N219" s="116">
        <v>1120</v>
      </c>
      <c r="O219" s="116">
        <v>1036</v>
      </c>
      <c r="P219" s="116">
        <v>1090</v>
      </c>
      <c r="Q219" s="116">
        <v>1057.5</v>
      </c>
      <c r="R219">
        <v>322474</v>
      </c>
    </row>
    <row r="220" spans="1:18" x14ac:dyDescent="0.25">
      <c r="A220" s="170">
        <v>43893</v>
      </c>
      <c r="B220" s="116">
        <v>1087.6500000000001</v>
      </c>
      <c r="C220" s="116">
        <v>1050.9000000000001</v>
      </c>
      <c r="D220" s="116">
        <v>1020.25</v>
      </c>
      <c r="E220" s="116">
        <v>1077.3</v>
      </c>
      <c r="F220" s="116">
        <v>1050.9000000000001</v>
      </c>
      <c r="G220">
        <v>31268</v>
      </c>
      <c r="H220" s="116"/>
      <c r="I220" s="116"/>
      <c r="L220" s="170">
        <v>43893</v>
      </c>
      <c r="M220" s="116">
        <v>1050.9000000000001</v>
      </c>
      <c r="N220" s="116">
        <v>1086</v>
      </c>
      <c r="O220" s="116">
        <v>1020</v>
      </c>
      <c r="P220" s="116">
        <v>1077</v>
      </c>
      <c r="Q220" s="116">
        <v>1050.9000000000001</v>
      </c>
      <c r="R220">
        <v>281317</v>
      </c>
    </row>
    <row r="221" spans="1:18" x14ac:dyDescent="0.25">
      <c r="A221" s="170">
        <v>43894</v>
      </c>
      <c r="B221" s="116">
        <v>1070</v>
      </c>
      <c r="C221" s="116">
        <v>1042.3499999999999</v>
      </c>
      <c r="D221" s="116">
        <v>998.45</v>
      </c>
      <c r="E221" s="116">
        <v>1070</v>
      </c>
      <c r="F221" s="116">
        <v>1042.3499999999999</v>
      </c>
      <c r="G221">
        <v>33141</v>
      </c>
      <c r="H221" s="116"/>
      <c r="I221" s="116"/>
      <c r="L221" s="170">
        <v>43894</v>
      </c>
      <c r="M221" s="116">
        <v>1046.55</v>
      </c>
      <c r="N221" s="116">
        <v>1067</v>
      </c>
      <c r="O221" s="116">
        <v>1000</v>
      </c>
      <c r="P221" s="116">
        <v>1051.25</v>
      </c>
      <c r="Q221" s="116">
        <v>1046.55</v>
      </c>
      <c r="R221">
        <v>296187</v>
      </c>
    </row>
    <row r="222" spans="1:18" x14ac:dyDescent="0.25">
      <c r="A222" s="170">
        <v>43895</v>
      </c>
      <c r="B222" s="116">
        <v>1074</v>
      </c>
      <c r="C222" s="116">
        <v>1052.95</v>
      </c>
      <c r="D222" s="116">
        <v>1037.8</v>
      </c>
      <c r="E222" s="116">
        <v>1074</v>
      </c>
      <c r="F222" s="116">
        <v>1052.95</v>
      </c>
      <c r="G222">
        <v>8536</v>
      </c>
      <c r="H222" s="116"/>
      <c r="I222" s="116"/>
      <c r="L222" s="170">
        <v>43895</v>
      </c>
      <c r="M222" s="116">
        <v>1052.05</v>
      </c>
      <c r="N222" s="116">
        <v>1063</v>
      </c>
      <c r="O222" s="116">
        <v>1036.4000000000001</v>
      </c>
      <c r="P222" s="116">
        <v>1059</v>
      </c>
      <c r="Q222" s="116">
        <v>1052.05</v>
      </c>
      <c r="R222">
        <v>136221</v>
      </c>
    </row>
    <row r="223" spans="1:18" x14ac:dyDescent="0.25">
      <c r="A223" s="170">
        <v>43896</v>
      </c>
      <c r="B223" s="116">
        <v>1063.7</v>
      </c>
      <c r="C223" s="116">
        <v>1028.5</v>
      </c>
      <c r="D223" s="116">
        <v>992</v>
      </c>
      <c r="E223" s="116">
        <v>1003.55</v>
      </c>
      <c r="F223" s="116">
        <v>1028.5</v>
      </c>
      <c r="G223">
        <v>22189</v>
      </c>
      <c r="H223" s="116"/>
      <c r="I223" s="116"/>
      <c r="L223" s="170">
        <v>43896</v>
      </c>
      <c r="M223" s="116">
        <v>1030.75</v>
      </c>
      <c r="N223" s="116">
        <v>1063.9000000000001</v>
      </c>
      <c r="O223" s="116">
        <v>986.45</v>
      </c>
      <c r="P223" s="116">
        <v>995</v>
      </c>
      <c r="Q223" s="116">
        <v>1030.75</v>
      </c>
      <c r="R223">
        <v>230695</v>
      </c>
    </row>
    <row r="224" spans="1:18" x14ac:dyDescent="0.25">
      <c r="A224" s="170">
        <v>43899</v>
      </c>
      <c r="B224" s="116">
        <v>1015.9</v>
      </c>
      <c r="C224" s="116">
        <v>1009.4</v>
      </c>
      <c r="D224" s="116">
        <v>982.55</v>
      </c>
      <c r="E224" s="116">
        <v>1000</v>
      </c>
      <c r="F224" s="116">
        <v>1009.4</v>
      </c>
      <c r="G224">
        <v>24170</v>
      </c>
      <c r="H224" s="116"/>
      <c r="I224" s="116"/>
      <c r="L224" s="170">
        <v>43899</v>
      </c>
      <c r="M224" s="116">
        <v>1010.55</v>
      </c>
      <c r="N224" s="116">
        <v>1016</v>
      </c>
      <c r="O224" s="116">
        <v>982</v>
      </c>
      <c r="P224" s="116">
        <v>990.2</v>
      </c>
      <c r="Q224" s="116">
        <v>1010.55</v>
      </c>
      <c r="R224">
        <v>287344</v>
      </c>
    </row>
    <row r="225" spans="1:18" x14ac:dyDescent="0.25">
      <c r="A225" s="170">
        <v>43901</v>
      </c>
      <c r="B225" s="116">
        <v>1034</v>
      </c>
      <c r="C225" s="116">
        <v>1004.6</v>
      </c>
      <c r="D225" s="116">
        <v>989</v>
      </c>
      <c r="E225" s="116">
        <v>1000</v>
      </c>
      <c r="F225" s="116">
        <v>1004.6</v>
      </c>
      <c r="G225">
        <v>15785</v>
      </c>
      <c r="H225" s="116"/>
      <c r="I225" s="116"/>
      <c r="L225" s="170">
        <v>43901</v>
      </c>
      <c r="M225" s="116">
        <v>1005.05</v>
      </c>
      <c r="N225" s="116">
        <v>1035</v>
      </c>
      <c r="O225" s="116">
        <v>988</v>
      </c>
      <c r="P225" s="116">
        <v>1002</v>
      </c>
      <c r="Q225" s="116">
        <v>1005.05</v>
      </c>
      <c r="R225">
        <v>177758</v>
      </c>
    </row>
    <row r="226" spans="1:18" x14ac:dyDescent="0.25">
      <c r="A226" s="170">
        <v>43902</v>
      </c>
      <c r="B226" s="116">
        <v>975.8</v>
      </c>
      <c r="C226" s="116">
        <v>874.7</v>
      </c>
      <c r="D226" s="116">
        <v>850.05</v>
      </c>
      <c r="E226" s="116">
        <v>975.8</v>
      </c>
      <c r="F226" s="116">
        <v>874.7</v>
      </c>
      <c r="G226">
        <v>36098</v>
      </c>
      <c r="H226" s="116"/>
      <c r="I226" s="116"/>
      <c r="L226" s="170">
        <v>43902</v>
      </c>
      <c r="M226" s="116">
        <v>875.25</v>
      </c>
      <c r="N226" s="116">
        <v>990</v>
      </c>
      <c r="O226" s="116">
        <v>850.1</v>
      </c>
      <c r="P226" s="116">
        <v>966</v>
      </c>
      <c r="Q226" s="116">
        <v>875.25</v>
      </c>
      <c r="R226">
        <v>435592</v>
      </c>
    </row>
    <row r="227" spans="1:18" x14ac:dyDescent="0.25">
      <c r="A227" s="170">
        <v>43903</v>
      </c>
      <c r="B227" s="116">
        <v>946.65</v>
      </c>
      <c r="C227" s="116">
        <v>930.65</v>
      </c>
      <c r="D227" s="116">
        <v>715</v>
      </c>
      <c r="E227" s="116">
        <v>831.7</v>
      </c>
      <c r="F227" s="116">
        <v>930.65</v>
      </c>
      <c r="G227">
        <v>32740</v>
      </c>
      <c r="H227" s="116"/>
      <c r="I227" s="116"/>
      <c r="L227" s="170">
        <v>43903</v>
      </c>
      <c r="M227" s="116">
        <v>929.3</v>
      </c>
      <c r="N227" s="116">
        <v>1032.8</v>
      </c>
      <c r="O227" s="116">
        <v>710</v>
      </c>
      <c r="P227" s="116">
        <v>806</v>
      </c>
      <c r="Q227" s="116">
        <v>929.3</v>
      </c>
      <c r="R227">
        <v>410486</v>
      </c>
    </row>
    <row r="228" spans="1:18" x14ac:dyDescent="0.25">
      <c r="A228" s="170">
        <v>43906</v>
      </c>
      <c r="B228" s="116">
        <v>900.3</v>
      </c>
      <c r="C228" s="116">
        <v>823.85</v>
      </c>
      <c r="D228" s="116">
        <v>810</v>
      </c>
      <c r="E228" s="116">
        <v>899.9</v>
      </c>
      <c r="F228" s="116">
        <v>823.85</v>
      </c>
      <c r="G228">
        <v>31434</v>
      </c>
      <c r="H228" s="116"/>
      <c r="I228" s="116"/>
      <c r="L228" s="170">
        <v>43906</v>
      </c>
      <c r="M228" s="116">
        <v>821.6</v>
      </c>
      <c r="N228" s="116">
        <v>900</v>
      </c>
      <c r="O228" s="116">
        <v>809.2</v>
      </c>
      <c r="P228" s="116">
        <v>876.1</v>
      </c>
      <c r="Q228" s="116">
        <v>821.6</v>
      </c>
      <c r="R228">
        <v>235769</v>
      </c>
    </row>
    <row r="229" spans="1:18" x14ac:dyDescent="0.25">
      <c r="A229" s="170">
        <v>43907</v>
      </c>
      <c r="B229" s="116">
        <v>874</v>
      </c>
      <c r="C229" s="116">
        <v>834.25</v>
      </c>
      <c r="D229" s="116">
        <v>799.95</v>
      </c>
      <c r="E229" s="116">
        <v>828.9</v>
      </c>
      <c r="F229" s="116">
        <v>834.25</v>
      </c>
      <c r="G229">
        <v>21930</v>
      </c>
      <c r="H229" s="116"/>
      <c r="I229" s="116"/>
      <c r="L229" s="170">
        <v>43907</v>
      </c>
      <c r="M229" s="116">
        <v>833.95</v>
      </c>
      <c r="N229" s="116">
        <v>874.95</v>
      </c>
      <c r="O229" s="116">
        <v>795</v>
      </c>
      <c r="P229" s="116">
        <v>812.6</v>
      </c>
      <c r="Q229" s="116">
        <v>833.95</v>
      </c>
      <c r="R229">
        <v>261674</v>
      </c>
    </row>
    <row r="230" spans="1:18" x14ac:dyDescent="0.25">
      <c r="A230" s="170">
        <v>43908</v>
      </c>
      <c r="B230" s="116">
        <v>862.5</v>
      </c>
      <c r="C230" s="116">
        <v>781.85</v>
      </c>
      <c r="D230" s="116">
        <v>777.4</v>
      </c>
      <c r="E230" s="116">
        <v>855</v>
      </c>
      <c r="F230" s="116">
        <v>781.85</v>
      </c>
      <c r="G230">
        <v>22357</v>
      </c>
      <c r="H230" s="116"/>
      <c r="I230" s="116"/>
      <c r="L230" s="170">
        <v>43908</v>
      </c>
      <c r="M230" s="116">
        <v>782.9</v>
      </c>
      <c r="N230" s="116">
        <v>861.75</v>
      </c>
      <c r="O230" s="116">
        <v>777.2</v>
      </c>
      <c r="P230" s="116">
        <v>841.55</v>
      </c>
      <c r="Q230" s="116">
        <v>782.9</v>
      </c>
      <c r="R230">
        <v>259182</v>
      </c>
    </row>
    <row r="231" spans="1:18" x14ac:dyDescent="0.25">
      <c r="A231" s="170">
        <v>43909</v>
      </c>
      <c r="B231" s="116">
        <v>776.35</v>
      </c>
      <c r="C231" s="116">
        <v>757.3</v>
      </c>
      <c r="D231" s="116">
        <v>678.75</v>
      </c>
      <c r="E231" s="116">
        <v>742</v>
      </c>
      <c r="F231" s="116">
        <v>757.3</v>
      </c>
      <c r="G231">
        <v>43538</v>
      </c>
      <c r="H231" s="116"/>
      <c r="I231" s="116"/>
      <c r="L231" s="170">
        <v>43909</v>
      </c>
      <c r="M231" s="116">
        <v>756.4</v>
      </c>
      <c r="N231" s="116">
        <v>776.85</v>
      </c>
      <c r="O231" s="116">
        <v>692.2</v>
      </c>
      <c r="P231" s="116">
        <v>722</v>
      </c>
      <c r="Q231" s="116">
        <v>756.4</v>
      </c>
      <c r="R231">
        <v>422670</v>
      </c>
    </row>
    <row r="232" spans="1:18" x14ac:dyDescent="0.25">
      <c r="A232" s="170">
        <v>43910</v>
      </c>
      <c r="B232" s="116">
        <v>797.6</v>
      </c>
      <c r="C232" s="116">
        <v>774.7</v>
      </c>
      <c r="D232" s="116">
        <v>757</v>
      </c>
      <c r="E232" s="116">
        <v>757</v>
      </c>
      <c r="F232" s="116">
        <v>774.7</v>
      </c>
      <c r="G232">
        <v>18790</v>
      </c>
      <c r="H232" s="116"/>
      <c r="I232" s="116"/>
      <c r="L232" s="170">
        <v>43910</v>
      </c>
      <c r="M232" s="116">
        <v>771.95</v>
      </c>
      <c r="N232" s="116">
        <v>797</v>
      </c>
      <c r="O232" s="116">
        <v>758</v>
      </c>
      <c r="P232" s="116">
        <v>792</v>
      </c>
      <c r="Q232" s="116">
        <v>771.95</v>
      </c>
      <c r="R232">
        <v>291910</v>
      </c>
    </row>
    <row r="233" spans="1:18" x14ac:dyDescent="0.25">
      <c r="A233" s="170">
        <v>43913</v>
      </c>
      <c r="B233" s="116">
        <v>737</v>
      </c>
      <c r="C233" s="116">
        <v>619.79999999999995</v>
      </c>
      <c r="D233" s="116">
        <v>619.79999999999995</v>
      </c>
      <c r="E233" s="116">
        <v>700</v>
      </c>
      <c r="F233" s="116">
        <v>619.79999999999995</v>
      </c>
      <c r="G233">
        <v>23037</v>
      </c>
      <c r="H233" s="116"/>
      <c r="I233" s="116"/>
      <c r="L233" s="170">
        <v>43913</v>
      </c>
      <c r="M233" s="116">
        <v>617.6</v>
      </c>
      <c r="N233" s="116">
        <v>750</v>
      </c>
      <c r="O233" s="116">
        <v>617.6</v>
      </c>
      <c r="P233" s="116">
        <v>693</v>
      </c>
      <c r="Q233" s="116">
        <v>617.6</v>
      </c>
      <c r="R233">
        <v>315640</v>
      </c>
    </row>
    <row r="234" spans="1:18" x14ac:dyDescent="0.25">
      <c r="A234" s="170">
        <v>43914</v>
      </c>
      <c r="B234" s="116">
        <v>678</v>
      </c>
      <c r="C234" s="116">
        <v>579.20000000000005</v>
      </c>
      <c r="D234" s="116">
        <v>575</v>
      </c>
      <c r="E234" s="116">
        <v>678</v>
      </c>
      <c r="F234" s="116">
        <v>579.20000000000005</v>
      </c>
      <c r="G234">
        <v>27563</v>
      </c>
      <c r="H234" s="116"/>
      <c r="I234" s="116"/>
      <c r="L234" s="170">
        <v>43914</v>
      </c>
      <c r="M234" s="116">
        <v>579.65</v>
      </c>
      <c r="N234" s="116">
        <v>664.95</v>
      </c>
      <c r="O234" s="116">
        <v>575</v>
      </c>
      <c r="P234" s="116">
        <v>655</v>
      </c>
      <c r="Q234" s="116">
        <v>579.65</v>
      </c>
      <c r="R234">
        <v>377691</v>
      </c>
    </row>
    <row r="235" spans="1:18" x14ac:dyDescent="0.25">
      <c r="A235" s="170">
        <v>43915</v>
      </c>
      <c r="B235" s="116">
        <v>637.1</v>
      </c>
      <c r="C235" s="116">
        <v>637.1</v>
      </c>
      <c r="D235" s="116">
        <v>571.70000000000005</v>
      </c>
      <c r="E235" s="116">
        <v>585</v>
      </c>
      <c r="F235" s="116">
        <v>637.1</v>
      </c>
      <c r="G235">
        <v>22227</v>
      </c>
      <c r="H235" s="116"/>
      <c r="I235" s="116"/>
      <c r="L235" s="170">
        <v>43915</v>
      </c>
      <c r="M235" s="116">
        <v>637.6</v>
      </c>
      <c r="N235" s="116">
        <v>637.6</v>
      </c>
      <c r="O235" s="116">
        <v>570</v>
      </c>
      <c r="P235" s="116">
        <v>575</v>
      </c>
      <c r="Q235" s="116">
        <v>637.6</v>
      </c>
      <c r="R235">
        <v>261703</v>
      </c>
    </row>
    <row r="236" spans="1:18" x14ac:dyDescent="0.25">
      <c r="A236" s="170">
        <v>43916</v>
      </c>
      <c r="B236" s="116">
        <v>700.8</v>
      </c>
      <c r="C236" s="116">
        <v>700.8</v>
      </c>
      <c r="D236" s="116">
        <v>640.79999999999995</v>
      </c>
      <c r="E236" s="116">
        <v>674.85</v>
      </c>
      <c r="F236" s="116">
        <v>700.8</v>
      </c>
      <c r="G236">
        <v>5044</v>
      </c>
      <c r="H236" s="116"/>
      <c r="I236" s="116"/>
      <c r="L236" s="170">
        <v>43916</v>
      </c>
      <c r="M236" s="116">
        <v>701.35</v>
      </c>
      <c r="N236" s="116">
        <v>701.35</v>
      </c>
      <c r="O236" s="116">
        <v>645</v>
      </c>
      <c r="P236" s="116">
        <v>645</v>
      </c>
      <c r="Q236" s="116">
        <v>701.35</v>
      </c>
      <c r="R236">
        <v>95426</v>
      </c>
    </row>
    <row r="237" spans="1:18" x14ac:dyDescent="0.25">
      <c r="A237" s="170">
        <v>43917</v>
      </c>
      <c r="B237" s="116">
        <v>770.85</v>
      </c>
      <c r="C237" s="116">
        <v>742.3</v>
      </c>
      <c r="D237" s="116">
        <v>718.3</v>
      </c>
      <c r="E237" s="116">
        <v>755.15</v>
      </c>
      <c r="F237" s="116">
        <v>742.3</v>
      </c>
      <c r="G237">
        <v>21851</v>
      </c>
      <c r="H237" s="116"/>
      <c r="I237" s="116"/>
      <c r="L237" s="170">
        <v>43917</v>
      </c>
      <c r="M237" s="116">
        <v>741.15</v>
      </c>
      <c r="N237" s="116">
        <v>771.45</v>
      </c>
      <c r="O237" s="116">
        <v>717.05</v>
      </c>
      <c r="P237" s="116">
        <v>771.45</v>
      </c>
      <c r="Q237" s="116">
        <v>741.15</v>
      </c>
      <c r="R237">
        <v>359141</v>
      </c>
    </row>
    <row r="238" spans="1:18" x14ac:dyDescent="0.25">
      <c r="A238" s="170">
        <v>43920</v>
      </c>
      <c r="B238" s="116">
        <v>770</v>
      </c>
      <c r="C238" s="116">
        <v>740.6</v>
      </c>
      <c r="D238" s="116">
        <v>705.3</v>
      </c>
      <c r="E238" s="116">
        <v>739.95</v>
      </c>
      <c r="F238" s="116">
        <v>740.6</v>
      </c>
      <c r="G238">
        <v>19648</v>
      </c>
      <c r="H238" s="116"/>
      <c r="I238" s="116"/>
      <c r="L238" s="170">
        <v>43920</v>
      </c>
      <c r="M238" s="116">
        <v>739.75</v>
      </c>
      <c r="N238" s="116">
        <v>750</v>
      </c>
      <c r="O238" s="116">
        <v>704.1</v>
      </c>
      <c r="P238" s="116">
        <v>720</v>
      </c>
      <c r="Q238" s="116">
        <v>739.75</v>
      </c>
      <c r="R238">
        <v>192651</v>
      </c>
    </row>
    <row r="239" spans="1:18" x14ac:dyDescent="0.25">
      <c r="A239" s="170">
        <v>43921</v>
      </c>
      <c r="B239" s="116">
        <v>765.45</v>
      </c>
      <c r="C239" s="116">
        <v>741.9</v>
      </c>
      <c r="D239" s="116">
        <v>727</v>
      </c>
      <c r="E239" s="116">
        <v>740</v>
      </c>
      <c r="F239" s="116">
        <v>741.9</v>
      </c>
      <c r="G239">
        <v>7704</v>
      </c>
      <c r="H239" s="116"/>
      <c r="I239" s="116"/>
      <c r="L239" s="170">
        <v>43921</v>
      </c>
      <c r="M239" s="116">
        <v>742.05</v>
      </c>
      <c r="N239" s="116">
        <v>770</v>
      </c>
      <c r="O239" s="116">
        <v>725</v>
      </c>
      <c r="P239" s="116">
        <v>760</v>
      </c>
      <c r="Q239" s="116">
        <v>742.05</v>
      </c>
      <c r="R239">
        <v>112314</v>
      </c>
    </row>
    <row r="240" spans="1:18" x14ac:dyDescent="0.25">
      <c r="A240" s="170">
        <v>43922</v>
      </c>
      <c r="B240" s="116">
        <v>768.45</v>
      </c>
      <c r="C240" s="116">
        <v>734.75</v>
      </c>
      <c r="D240" s="116">
        <v>726.6</v>
      </c>
      <c r="E240" s="116">
        <v>740</v>
      </c>
      <c r="F240" s="116">
        <v>734.75</v>
      </c>
      <c r="G240">
        <v>8403</v>
      </c>
      <c r="H240" s="116"/>
      <c r="I240" s="116"/>
      <c r="L240" s="170">
        <v>43922</v>
      </c>
      <c r="M240" s="116">
        <v>734.75</v>
      </c>
      <c r="N240" s="116">
        <v>768.95</v>
      </c>
      <c r="O240" s="116">
        <v>720.05</v>
      </c>
      <c r="P240" s="116">
        <v>745</v>
      </c>
      <c r="Q240" s="116">
        <v>734.75</v>
      </c>
      <c r="R240">
        <v>114396</v>
      </c>
    </row>
    <row r="241" spans="1:18" x14ac:dyDescent="0.25">
      <c r="A241" s="170">
        <v>43924</v>
      </c>
      <c r="B241" s="116">
        <v>757.35</v>
      </c>
      <c r="C241" s="116">
        <v>736.6</v>
      </c>
      <c r="D241" s="116">
        <v>720.65</v>
      </c>
      <c r="E241" s="116">
        <v>735</v>
      </c>
      <c r="F241" s="116">
        <v>736.6</v>
      </c>
      <c r="G241">
        <v>6660</v>
      </c>
      <c r="H241" s="116"/>
      <c r="I241" s="116"/>
      <c r="L241" s="170">
        <v>43924</v>
      </c>
      <c r="M241" s="116">
        <v>736.45</v>
      </c>
      <c r="N241" s="116">
        <v>758</v>
      </c>
      <c r="O241" s="116">
        <v>725</v>
      </c>
      <c r="P241" s="116">
        <v>741</v>
      </c>
      <c r="Q241" s="116">
        <v>736.45</v>
      </c>
      <c r="R241">
        <v>103016</v>
      </c>
    </row>
    <row r="242" spans="1:18" x14ac:dyDescent="0.25">
      <c r="A242" s="170">
        <v>43928</v>
      </c>
      <c r="B242" s="116">
        <v>773.4</v>
      </c>
      <c r="C242" s="116">
        <v>768.55</v>
      </c>
      <c r="D242" s="116">
        <v>746</v>
      </c>
      <c r="E242" s="116">
        <v>750.1</v>
      </c>
      <c r="F242" s="116">
        <v>768.55</v>
      </c>
      <c r="G242">
        <v>12515</v>
      </c>
      <c r="H242" s="116"/>
      <c r="I242" s="116"/>
      <c r="L242" s="170">
        <v>43928</v>
      </c>
      <c r="M242" s="116">
        <v>769</v>
      </c>
      <c r="N242" s="116">
        <v>773.25</v>
      </c>
      <c r="O242" s="116">
        <v>745.25</v>
      </c>
      <c r="P242" s="116">
        <v>752</v>
      </c>
      <c r="Q242" s="116">
        <v>769</v>
      </c>
      <c r="R242">
        <v>183401</v>
      </c>
    </row>
    <row r="243" spans="1:18" x14ac:dyDescent="0.25">
      <c r="A243" s="170">
        <v>43929</v>
      </c>
      <c r="B243" s="116">
        <v>793.15</v>
      </c>
      <c r="C243" s="116">
        <v>759.15</v>
      </c>
      <c r="D243" s="116">
        <v>752.45</v>
      </c>
      <c r="E243" s="116">
        <v>765</v>
      </c>
      <c r="F243" s="116">
        <v>759.15</v>
      </c>
      <c r="G243">
        <v>11289</v>
      </c>
      <c r="H243" s="116"/>
      <c r="I243" s="116"/>
      <c r="L243" s="170">
        <v>43929</v>
      </c>
      <c r="M243" s="116">
        <v>760.75</v>
      </c>
      <c r="N243" s="116">
        <v>793</v>
      </c>
      <c r="O243" s="116">
        <v>752</v>
      </c>
      <c r="P243" s="116">
        <v>752</v>
      </c>
      <c r="Q243" s="116">
        <v>760.75</v>
      </c>
      <c r="R243">
        <v>172593</v>
      </c>
    </row>
    <row r="244" spans="1:18" x14ac:dyDescent="0.25">
      <c r="A244" s="170">
        <v>43930</v>
      </c>
      <c r="B244" s="116">
        <v>784.75</v>
      </c>
      <c r="C244" s="116">
        <v>759</v>
      </c>
      <c r="D244" s="116">
        <v>752.2</v>
      </c>
      <c r="E244" s="116">
        <v>774.05</v>
      </c>
      <c r="F244" s="116">
        <v>759</v>
      </c>
      <c r="G244">
        <v>9321</v>
      </c>
      <c r="H244" s="116"/>
      <c r="I244" s="116"/>
      <c r="L244" s="170">
        <v>43930</v>
      </c>
      <c r="M244" s="116">
        <v>759.7</v>
      </c>
      <c r="N244" s="116">
        <v>783.55</v>
      </c>
      <c r="O244" s="116">
        <v>755.55</v>
      </c>
      <c r="P244" s="116">
        <v>774</v>
      </c>
      <c r="Q244" s="116">
        <v>759.7</v>
      </c>
      <c r="R244">
        <v>125545</v>
      </c>
    </row>
    <row r="245" spans="1:18" x14ac:dyDescent="0.25">
      <c r="A245" s="170">
        <v>43934</v>
      </c>
      <c r="B245" s="116">
        <v>764.4</v>
      </c>
      <c r="C245" s="116">
        <v>736.8</v>
      </c>
      <c r="D245" s="116">
        <v>731.6</v>
      </c>
      <c r="E245" s="116">
        <v>759</v>
      </c>
      <c r="F245" s="116">
        <v>736.8</v>
      </c>
      <c r="G245">
        <v>7477</v>
      </c>
      <c r="H245" s="116"/>
      <c r="I245" s="116"/>
      <c r="L245" s="170">
        <v>43934</v>
      </c>
      <c r="M245" s="116">
        <v>737.2</v>
      </c>
      <c r="N245" s="116">
        <v>766</v>
      </c>
      <c r="O245" s="116">
        <v>730</v>
      </c>
      <c r="P245" s="116">
        <v>763</v>
      </c>
      <c r="Q245" s="116">
        <v>737.2</v>
      </c>
      <c r="R245">
        <v>115347</v>
      </c>
    </row>
    <row r="246" spans="1:18" x14ac:dyDescent="0.25">
      <c r="A246" s="170">
        <v>43936</v>
      </c>
      <c r="B246" s="116">
        <v>759.95</v>
      </c>
      <c r="C246" s="116">
        <v>736.75</v>
      </c>
      <c r="D246" s="116">
        <v>735</v>
      </c>
      <c r="E246" s="116">
        <v>738</v>
      </c>
      <c r="F246" s="116">
        <v>736.75</v>
      </c>
      <c r="G246">
        <v>8798</v>
      </c>
      <c r="H246" s="116"/>
      <c r="I246" s="116"/>
      <c r="L246" s="170">
        <v>43936</v>
      </c>
      <c r="M246" s="116">
        <v>737.5</v>
      </c>
      <c r="N246" s="116">
        <v>760</v>
      </c>
      <c r="O246" s="116">
        <v>735</v>
      </c>
      <c r="P246" s="116">
        <v>750</v>
      </c>
      <c r="Q246" s="116">
        <v>737.5</v>
      </c>
      <c r="R246">
        <v>179031</v>
      </c>
    </row>
    <row r="247" spans="1:18" x14ac:dyDescent="0.25">
      <c r="A247" s="170">
        <v>43937</v>
      </c>
      <c r="B247" s="116">
        <v>736.75</v>
      </c>
      <c r="C247" s="116">
        <v>729</v>
      </c>
      <c r="D247" s="116">
        <v>720.9</v>
      </c>
      <c r="E247" s="116">
        <v>736</v>
      </c>
      <c r="F247" s="116">
        <v>729</v>
      </c>
      <c r="G247">
        <v>7854</v>
      </c>
      <c r="H247" s="116"/>
      <c r="I247" s="116"/>
      <c r="L247" s="170">
        <v>43937</v>
      </c>
      <c r="M247" s="116">
        <v>729.05</v>
      </c>
      <c r="N247" s="116">
        <v>738.05</v>
      </c>
      <c r="O247" s="116">
        <v>720.15</v>
      </c>
      <c r="P247" s="116">
        <v>731.1</v>
      </c>
      <c r="Q247" s="116">
        <v>729.05</v>
      </c>
      <c r="R247">
        <v>91525</v>
      </c>
    </row>
    <row r="248" spans="1:18" x14ac:dyDescent="0.25">
      <c r="A248" s="170">
        <v>43938</v>
      </c>
      <c r="B248" s="116">
        <v>753</v>
      </c>
      <c r="C248" s="116">
        <v>730.15</v>
      </c>
      <c r="D248" s="116">
        <v>729</v>
      </c>
      <c r="E248" s="116">
        <v>745</v>
      </c>
      <c r="F248" s="116">
        <v>730.15</v>
      </c>
      <c r="G248">
        <v>8525</v>
      </c>
      <c r="H248" s="116"/>
      <c r="I248" s="116"/>
      <c r="L248" s="170">
        <v>43938</v>
      </c>
      <c r="M248" s="116">
        <v>729.95</v>
      </c>
      <c r="N248" s="116">
        <v>754.5</v>
      </c>
      <c r="O248" s="116">
        <v>728.05</v>
      </c>
      <c r="P248" s="116">
        <v>752</v>
      </c>
      <c r="Q248" s="116">
        <v>729.95</v>
      </c>
      <c r="R248">
        <v>190213</v>
      </c>
    </row>
    <row r="249" spans="1:18" x14ac:dyDescent="0.25">
      <c r="A249" s="170">
        <v>43941</v>
      </c>
      <c r="B249" s="116">
        <v>766.65</v>
      </c>
      <c r="C249" s="116">
        <v>760.75</v>
      </c>
      <c r="D249" s="116">
        <v>733.7</v>
      </c>
      <c r="E249" s="116">
        <v>754.95</v>
      </c>
      <c r="F249" s="116">
        <v>760.75</v>
      </c>
      <c r="G249">
        <v>30024</v>
      </c>
      <c r="H249" s="116"/>
      <c r="I249" s="116"/>
      <c r="L249" s="170">
        <v>43941</v>
      </c>
      <c r="M249" s="116">
        <v>760.4</v>
      </c>
      <c r="N249" s="116">
        <v>766.4</v>
      </c>
      <c r="O249" s="116">
        <v>731.1</v>
      </c>
      <c r="P249" s="116">
        <v>735</v>
      </c>
      <c r="Q249" s="116">
        <v>760.4</v>
      </c>
      <c r="R249">
        <v>251413</v>
      </c>
    </row>
    <row r="250" spans="1:18" x14ac:dyDescent="0.25">
      <c r="A250" s="170">
        <v>43942</v>
      </c>
      <c r="B250" s="116">
        <v>786.85</v>
      </c>
      <c r="C250" s="116">
        <v>750.8</v>
      </c>
      <c r="D250" s="116">
        <v>722.75</v>
      </c>
      <c r="E250" s="116">
        <v>742.05</v>
      </c>
      <c r="F250" s="116">
        <v>750.8</v>
      </c>
      <c r="G250">
        <v>30920</v>
      </c>
      <c r="H250" s="116"/>
      <c r="I250" s="116"/>
      <c r="L250" s="170">
        <v>43942</v>
      </c>
      <c r="M250" s="116">
        <v>750.3</v>
      </c>
      <c r="N250" s="116">
        <v>787</v>
      </c>
      <c r="O250" s="116">
        <v>722.4</v>
      </c>
      <c r="P250" s="116">
        <v>749</v>
      </c>
      <c r="Q250" s="116">
        <v>750.3</v>
      </c>
      <c r="R250">
        <v>499815</v>
      </c>
    </row>
    <row r="251" spans="1:18" x14ac:dyDescent="0.25">
      <c r="A251" s="170">
        <v>43943</v>
      </c>
      <c r="B251" s="116">
        <v>762.85</v>
      </c>
      <c r="C251" s="116">
        <v>732.4</v>
      </c>
      <c r="D251" s="116">
        <v>729.05</v>
      </c>
      <c r="E251" s="116">
        <v>758.55</v>
      </c>
      <c r="F251" s="116">
        <v>732.4</v>
      </c>
      <c r="G251">
        <v>14699</v>
      </c>
      <c r="H251" s="116"/>
      <c r="I251" s="116"/>
      <c r="L251" s="170">
        <v>43943</v>
      </c>
      <c r="M251" s="116">
        <v>732.4</v>
      </c>
      <c r="N251" s="116">
        <v>766</v>
      </c>
      <c r="O251" s="116">
        <v>729</v>
      </c>
      <c r="P251" s="116">
        <v>750</v>
      </c>
      <c r="Q251" s="116">
        <v>732.4</v>
      </c>
      <c r="R251">
        <v>159270</v>
      </c>
    </row>
    <row r="252" spans="1:18" x14ac:dyDescent="0.25">
      <c r="A252" s="170">
        <v>43944</v>
      </c>
      <c r="B252" s="116">
        <v>752.5</v>
      </c>
      <c r="C252" s="116">
        <v>742.8</v>
      </c>
      <c r="D252" s="116">
        <v>736.6</v>
      </c>
      <c r="E252" s="116">
        <v>742</v>
      </c>
      <c r="F252" s="116">
        <v>742.8</v>
      </c>
      <c r="G252">
        <v>5811</v>
      </c>
      <c r="H252" s="116"/>
      <c r="I252" s="116"/>
      <c r="L252" s="170">
        <v>43944</v>
      </c>
      <c r="M252" s="116">
        <v>743.3</v>
      </c>
      <c r="N252" s="116">
        <v>752.4</v>
      </c>
      <c r="O252" s="116">
        <v>735.15</v>
      </c>
      <c r="P252" s="116">
        <v>744.85</v>
      </c>
      <c r="Q252" s="116">
        <v>743.3</v>
      </c>
      <c r="R252">
        <v>108983</v>
      </c>
    </row>
    <row r="253" spans="1:18" x14ac:dyDescent="0.25">
      <c r="A253" s="170">
        <v>43945</v>
      </c>
      <c r="B253" s="116">
        <v>759</v>
      </c>
      <c r="C253" s="116">
        <v>718.35</v>
      </c>
      <c r="D253" s="116">
        <v>711.35</v>
      </c>
      <c r="E253" s="116">
        <v>759</v>
      </c>
      <c r="F253" s="116">
        <v>718.35</v>
      </c>
      <c r="G253">
        <v>9133</v>
      </c>
      <c r="H253" s="116"/>
      <c r="I253" s="116"/>
      <c r="L253" s="170">
        <v>43945</v>
      </c>
      <c r="M253" s="116">
        <v>719.7</v>
      </c>
      <c r="N253" s="116">
        <v>744</v>
      </c>
      <c r="O253" s="116">
        <v>711</v>
      </c>
      <c r="P253" s="116">
        <v>744</v>
      </c>
      <c r="Q253" s="116">
        <v>719.7</v>
      </c>
      <c r="R253">
        <v>128005</v>
      </c>
    </row>
    <row r="254" spans="1:18" x14ac:dyDescent="0.25">
      <c r="A254" s="170">
        <v>43948</v>
      </c>
      <c r="B254" s="116">
        <v>737.95</v>
      </c>
      <c r="C254" s="116">
        <v>708.6</v>
      </c>
      <c r="D254" s="116">
        <v>707</v>
      </c>
      <c r="E254" s="116">
        <v>737.95</v>
      </c>
      <c r="F254" s="116">
        <v>708.6</v>
      </c>
      <c r="G254">
        <v>10734</v>
      </c>
      <c r="H254" s="116"/>
      <c r="I254" s="116"/>
      <c r="L254" s="170">
        <v>43948</v>
      </c>
      <c r="M254" s="116">
        <v>708.15</v>
      </c>
      <c r="N254" s="116">
        <v>731.8</v>
      </c>
      <c r="O254" s="116">
        <v>706.6</v>
      </c>
      <c r="P254" s="116">
        <v>720</v>
      </c>
      <c r="Q254" s="116">
        <v>708.15</v>
      </c>
      <c r="R254">
        <v>170494</v>
      </c>
    </row>
    <row r="255" spans="1:18" x14ac:dyDescent="0.25">
      <c r="A255" s="170">
        <v>43949</v>
      </c>
      <c r="B255" s="116">
        <v>714.15</v>
      </c>
      <c r="C255" s="116">
        <v>704.7</v>
      </c>
      <c r="D255" s="116">
        <v>700</v>
      </c>
      <c r="E255" s="116">
        <v>711</v>
      </c>
      <c r="F255" s="116">
        <v>704.7</v>
      </c>
      <c r="G255">
        <v>6041</v>
      </c>
      <c r="H255" s="116"/>
      <c r="I255" s="116"/>
      <c r="L255" s="170">
        <v>43949</v>
      </c>
      <c r="M255" s="116">
        <v>704.3</v>
      </c>
      <c r="N255" s="116">
        <v>714.9</v>
      </c>
      <c r="O255" s="116">
        <v>700.05</v>
      </c>
      <c r="P255" s="116">
        <v>714.9</v>
      </c>
      <c r="Q255" s="116">
        <v>704.3</v>
      </c>
      <c r="R255">
        <v>124043</v>
      </c>
    </row>
    <row r="256" spans="1:18" x14ac:dyDescent="0.25">
      <c r="A256" s="170">
        <v>43950</v>
      </c>
      <c r="B256" s="116">
        <v>719.55</v>
      </c>
      <c r="C256" s="116">
        <v>690.3</v>
      </c>
      <c r="D256" s="116">
        <v>685.35</v>
      </c>
      <c r="E256" s="116">
        <v>709.9</v>
      </c>
      <c r="F256" s="116">
        <v>690.3</v>
      </c>
      <c r="G256">
        <v>16934</v>
      </c>
      <c r="H256" s="116"/>
      <c r="I256" s="116"/>
      <c r="L256" s="170">
        <v>43950</v>
      </c>
      <c r="M256" s="116">
        <v>690</v>
      </c>
      <c r="N256" s="116">
        <v>719</v>
      </c>
      <c r="O256" s="116">
        <v>685.15</v>
      </c>
      <c r="P256" s="116">
        <v>700</v>
      </c>
      <c r="Q256" s="116">
        <v>690</v>
      </c>
      <c r="R256">
        <v>299590</v>
      </c>
    </row>
    <row r="257" spans="1:18" x14ac:dyDescent="0.25">
      <c r="A257" s="170">
        <v>43951</v>
      </c>
      <c r="B257" s="116">
        <v>724.8</v>
      </c>
      <c r="C257" s="116">
        <v>723.7</v>
      </c>
      <c r="D257" s="116">
        <v>711</v>
      </c>
      <c r="E257" s="116">
        <v>711</v>
      </c>
      <c r="F257" s="116">
        <v>723.7</v>
      </c>
      <c r="G257">
        <v>24844</v>
      </c>
      <c r="H257" s="116"/>
      <c r="I257" s="116"/>
      <c r="L257" s="170">
        <v>43951</v>
      </c>
      <c r="M257" s="116">
        <v>723.6</v>
      </c>
      <c r="N257" s="116">
        <v>724.5</v>
      </c>
      <c r="O257" s="116">
        <v>711</v>
      </c>
      <c r="P257" s="116">
        <v>720</v>
      </c>
      <c r="Q257" s="116">
        <v>723.6</v>
      </c>
      <c r="R257">
        <v>418977</v>
      </c>
    </row>
    <row r="258" spans="1:18" x14ac:dyDescent="0.25">
      <c r="A258" s="170">
        <v>43955</v>
      </c>
      <c r="B258" s="116">
        <v>711.45</v>
      </c>
      <c r="C258" s="116">
        <v>692.25</v>
      </c>
      <c r="D258" s="116">
        <v>690.3</v>
      </c>
      <c r="E258" s="116">
        <v>710</v>
      </c>
      <c r="F258" s="116">
        <v>692.25</v>
      </c>
      <c r="G258">
        <v>9168</v>
      </c>
      <c r="H258" s="116"/>
      <c r="I258" s="116"/>
      <c r="L258" s="170">
        <v>43955</v>
      </c>
      <c r="M258" s="116">
        <v>691.9</v>
      </c>
      <c r="N258" s="116">
        <v>712.9</v>
      </c>
      <c r="O258" s="116">
        <v>690</v>
      </c>
      <c r="P258" s="116">
        <v>705</v>
      </c>
      <c r="Q258" s="116">
        <v>691.9</v>
      </c>
      <c r="R258">
        <v>177805</v>
      </c>
    </row>
    <row r="259" spans="1:18" x14ac:dyDescent="0.25">
      <c r="A259" s="170">
        <v>43956</v>
      </c>
      <c r="B259" s="116">
        <v>707.4</v>
      </c>
      <c r="C259" s="116">
        <v>675.9</v>
      </c>
      <c r="D259" s="116">
        <v>674.1</v>
      </c>
      <c r="E259" s="116">
        <v>693.05</v>
      </c>
      <c r="F259" s="116">
        <v>675.9</v>
      </c>
      <c r="G259">
        <v>6921</v>
      </c>
      <c r="H259" s="116"/>
      <c r="I259" s="116"/>
      <c r="L259" s="170">
        <v>43956</v>
      </c>
      <c r="M259" s="116">
        <v>676.3</v>
      </c>
      <c r="N259" s="116">
        <v>707.6</v>
      </c>
      <c r="O259" s="116">
        <v>673</v>
      </c>
      <c r="P259" s="116">
        <v>699</v>
      </c>
      <c r="Q259" s="116">
        <v>676.3</v>
      </c>
      <c r="R259">
        <v>142777</v>
      </c>
    </row>
    <row r="260" spans="1:18" x14ac:dyDescent="0.25">
      <c r="A260" s="170">
        <v>43957</v>
      </c>
      <c r="B260" s="116">
        <v>695</v>
      </c>
      <c r="C260" s="116">
        <v>675.8</v>
      </c>
      <c r="D260" s="116">
        <v>653</v>
      </c>
      <c r="E260" s="116">
        <v>680</v>
      </c>
      <c r="F260" s="116">
        <v>675.8</v>
      </c>
      <c r="G260">
        <v>9059</v>
      </c>
      <c r="H260" s="116"/>
      <c r="I260" s="116"/>
      <c r="L260" s="170">
        <v>43957</v>
      </c>
      <c r="M260" s="116">
        <v>677</v>
      </c>
      <c r="N260" s="116">
        <v>686.95</v>
      </c>
      <c r="O260" s="116">
        <v>653</v>
      </c>
      <c r="P260" s="116">
        <v>676.3</v>
      </c>
      <c r="Q260" s="116">
        <v>677</v>
      </c>
      <c r="R260">
        <v>158661</v>
      </c>
    </row>
    <row r="261" spans="1:18" x14ac:dyDescent="0.25">
      <c r="A261" s="170">
        <v>43958</v>
      </c>
      <c r="B261" s="116">
        <v>703.1</v>
      </c>
      <c r="C261" s="116">
        <v>675.65</v>
      </c>
      <c r="D261" s="116">
        <v>672.5</v>
      </c>
      <c r="E261" s="116">
        <v>681.7</v>
      </c>
      <c r="F261" s="116">
        <v>675.65</v>
      </c>
      <c r="G261">
        <v>8825</v>
      </c>
      <c r="H261" s="116"/>
      <c r="I261" s="116"/>
      <c r="L261" s="170">
        <v>43958</v>
      </c>
      <c r="M261" s="116">
        <v>675.15</v>
      </c>
      <c r="N261" s="116">
        <v>702.9</v>
      </c>
      <c r="O261" s="116">
        <v>672</v>
      </c>
      <c r="P261" s="116">
        <v>679.8</v>
      </c>
      <c r="Q261" s="116">
        <v>675.15</v>
      </c>
      <c r="R261">
        <v>366742</v>
      </c>
    </row>
    <row r="262" spans="1:18" x14ac:dyDescent="0.25">
      <c r="A262" s="170">
        <v>43959</v>
      </c>
      <c r="B262" s="116">
        <v>697</v>
      </c>
      <c r="C262" s="116">
        <v>674.3</v>
      </c>
      <c r="D262" s="116">
        <v>671.5</v>
      </c>
      <c r="E262" s="116">
        <v>697</v>
      </c>
      <c r="F262" s="116">
        <v>674.3</v>
      </c>
      <c r="G262">
        <v>5170</v>
      </c>
      <c r="H262" s="116"/>
      <c r="I262" s="116"/>
      <c r="L262" s="170">
        <v>43959</v>
      </c>
      <c r="M262" s="116">
        <v>674.1</v>
      </c>
      <c r="N262" s="116">
        <v>693</v>
      </c>
      <c r="O262" s="116">
        <v>671.4</v>
      </c>
      <c r="P262" s="116">
        <v>689</v>
      </c>
      <c r="Q262" s="116">
        <v>674.1</v>
      </c>
      <c r="R262">
        <v>78417</v>
      </c>
    </row>
    <row r="263" spans="1:18" x14ac:dyDescent="0.25">
      <c r="A263" s="170">
        <v>43962</v>
      </c>
      <c r="B263" s="116">
        <v>697.75</v>
      </c>
      <c r="C263" s="116">
        <v>674.75</v>
      </c>
      <c r="D263" s="116">
        <v>672.55</v>
      </c>
      <c r="E263" s="116">
        <v>696</v>
      </c>
      <c r="F263" s="116">
        <v>674.75</v>
      </c>
      <c r="G263">
        <v>9048</v>
      </c>
      <c r="H263" s="116"/>
      <c r="I263" s="116"/>
      <c r="L263" s="170">
        <v>43962</v>
      </c>
      <c r="M263" s="116">
        <v>674.15</v>
      </c>
      <c r="N263" s="116">
        <v>697.8</v>
      </c>
      <c r="O263" s="116">
        <v>671.2</v>
      </c>
      <c r="P263" s="116">
        <v>687.95</v>
      </c>
      <c r="Q263" s="116">
        <v>674.15</v>
      </c>
      <c r="R263">
        <v>150204</v>
      </c>
    </row>
    <row r="264" spans="1:18" x14ac:dyDescent="0.25">
      <c r="A264" s="170">
        <v>43963</v>
      </c>
      <c r="B264" s="116">
        <v>676</v>
      </c>
      <c r="C264" s="116">
        <v>669.45</v>
      </c>
      <c r="D264" s="116">
        <v>662.5</v>
      </c>
      <c r="E264" s="116">
        <v>676</v>
      </c>
      <c r="F264" s="116">
        <v>669.45</v>
      </c>
      <c r="G264">
        <v>7629</v>
      </c>
      <c r="H264" s="116"/>
      <c r="I264" s="116"/>
      <c r="L264" s="170">
        <v>43963</v>
      </c>
      <c r="M264" s="116">
        <v>668.35</v>
      </c>
      <c r="N264" s="116">
        <v>675.8</v>
      </c>
      <c r="O264" s="116">
        <v>662</v>
      </c>
      <c r="P264" s="116">
        <v>675.8</v>
      </c>
      <c r="Q264" s="116">
        <v>668.35</v>
      </c>
      <c r="R264">
        <v>120429</v>
      </c>
    </row>
    <row r="265" spans="1:18" x14ac:dyDescent="0.25">
      <c r="A265" s="170">
        <v>43964</v>
      </c>
      <c r="B265" s="116">
        <v>702.9</v>
      </c>
      <c r="C265" s="116">
        <v>702.9</v>
      </c>
      <c r="D265" s="116">
        <v>681</v>
      </c>
      <c r="E265" s="116">
        <v>702.9</v>
      </c>
      <c r="F265" s="116">
        <v>702.9</v>
      </c>
      <c r="G265">
        <v>12098</v>
      </c>
      <c r="H265" s="116"/>
      <c r="I265" s="116"/>
      <c r="L265" s="170">
        <v>43964</v>
      </c>
      <c r="M265" s="116">
        <v>701.75</v>
      </c>
      <c r="N265" s="116">
        <v>701.75</v>
      </c>
      <c r="O265" s="116">
        <v>681.2</v>
      </c>
      <c r="P265" s="116">
        <v>699</v>
      </c>
      <c r="Q265" s="116">
        <v>701.75</v>
      </c>
      <c r="R265">
        <v>164232</v>
      </c>
    </row>
    <row r="266" spans="1:18" x14ac:dyDescent="0.25">
      <c r="A266" s="170">
        <v>43965</v>
      </c>
      <c r="B266" s="116">
        <v>731.5</v>
      </c>
      <c r="C266" s="116">
        <v>708</v>
      </c>
      <c r="D266" s="116">
        <v>689.7</v>
      </c>
      <c r="E266" s="116">
        <v>702.9</v>
      </c>
      <c r="F266" s="116">
        <v>708</v>
      </c>
      <c r="G266">
        <v>14919</v>
      </c>
      <c r="H266" s="116"/>
      <c r="I266" s="116"/>
      <c r="L266" s="170">
        <v>43965</v>
      </c>
      <c r="M266" s="116">
        <v>709.65</v>
      </c>
      <c r="N266" s="116">
        <v>731</v>
      </c>
      <c r="O266" s="116">
        <v>688.3</v>
      </c>
      <c r="P266" s="116">
        <v>699.95</v>
      </c>
      <c r="Q266" s="116">
        <v>709.65</v>
      </c>
      <c r="R266">
        <v>263194</v>
      </c>
    </row>
    <row r="267" spans="1:18" x14ac:dyDescent="0.25">
      <c r="A267" s="170">
        <v>43966</v>
      </c>
      <c r="B267" s="116">
        <v>715.5</v>
      </c>
      <c r="C267" s="116">
        <v>691.55</v>
      </c>
      <c r="D267" s="116">
        <v>687.05</v>
      </c>
      <c r="E267" s="116">
        <v>710.4</v>
      </c>
      <c r="F267" s="116">
        <v>691.55</v>
      </c>
      <c r="G267">
        <v>13057</v>
      </c>
      <c r="H267" s="116"/>
      <c r="I267" s="116"/>
      <c r="L267" s="170">
        <v>43966</v>
      </c>
      <c r="M267" s="116">
        <v>691.8</v>
      </c>
      <c r="N267" s="116">
        <v>719.35</v>
      </c>
      <c r="O267" s="116">
        <v>686.9</v>
      </c>
      <c r="P267" s="116">
        <v>709.65</v>
      </c>
      <c r="Q267" s="116">
        <v>691.8</v>
      </c>
      <c r="R267">
        <v>202399</v>
      </c>
    </row>
    <row r="268" spans="1:18" x14ac:dyDescent="0.25">
      <c r="A268" s="170">
        <v>43969</v>
      </c>
      <c r="B268" s="116">
        <v>703.1</v>
      </c>
      <c r="C268" s="116">
        <v>663.45</v>
      </c>
      <c r="D268" s="116">
        <v>660.75</v>
      </c>
      <c r="E268" s="116">
        <v>703.1</v>
      </c>
      <c r="F268" s="116">
        <v>663.45</v>
      </c>
      <c r="G268">
        <v>10321</v>
      </c>
      <c r="H268" s="116"/>
      <c r="I268" s="116"/>
      <c r="L268" s="170">
        <v>43969</v>
      </c>
      <c r="M268" s="116">
        <v>662.8</v>
      </c>
      <c r="N268" s="116">
        <v>696.9</v>
      </c>
      <c r="O268" s="116">
        <v>660.25</v>
      </c>
      <c r="P268" s="116">
        <v>696.9</v>
      </c>
      <c r="Q268" s="116">
        <v>662.8</v>
      </c>
      <c r="R268">
        <v>131873</v>
      </c>
    </row>
    <row r="269" spans="1:18" x14ac:dyDescent="0.25">
      <c r="A269" s="170">
        <v>43970</v>
      </c>
      <c r="B269" s="116">
        <v>675.2</v>
      </c>
      <c r="C269" s="116">
        <v>658.3</v>
      </c>
      <c r="D269" s="116">
        <v>655.6</v>
      </c>
      <c r="E269" s="116">
        <v>672.8</v>
      </c>
      <c r="F269" s="116">
        <v>658.3</v>
      </c>
      <c r="G269">
        <v>5447</v>
      </c>
      <c r="H269" s="116"/>
      <c r="I269" s="116"/>
      <c r="L269" s="170">
        <v>43970</v>
      </c>
      <c r="M269" s="116">
        <v>658.1</v>
      </c>
      <c r="N269" s="116">
        <v>682.5</v>
      </c>
      <c r="O269" s="116">
        <v>655.5</v>
      </c>
      <c r="P269" s="116">
        <v>682.5</v>
      </c>
      <c r="Q269" s="116">
        <v>658.1</v>
      </c>
      <c r="R269">
        <v>76307</v>
      </c>
    </row>
    <row r="270" spans="1:18" x14ac:dyDescent="0.25">
      <c r="A270" s="170">
        <v>43971</v>
      </c>
      <c r="B270" s="116">
        <v>675.25</v>
      </c>
      <c r="C270" s="116">
        <v>653.85</v>
      </c>
      <c r="D270" s="116">
        <v>650</v>
      </c>
      <c r="E270" s="116">
        <v>665.5</v>
      </c>
      <c r="F270" s="116">
        <v>653.85</v>
      </c>
      <c r="G270">
        <v>8375</v>
      </c>
      <c r="H270" s="116"/>
      <c r="I270" s="116"/>
      <c r="L270" s="170">
        <v>43971</v>
      </c>
      <c r="M270" s="116">
        <v>653.70000000000005</v>
      </c>
      <c r="N270" s="116">
        <v>676.2</v>
      </c>
      <c r="O270" s="116">
        <v>649.70000000000005</v>
      </c>
      <c r="P270" s="116">
        <v>664.9</v>
      </c>
      <c r="Q270" s="116">
        <v>653.70000000000005</v>
      </c>
      <c r="R270">
        <v>177879</v>
      </c>
    </row>
    <row r="271" spans="1:18" x14ac:dyDescent="0.25">
      <c r="A271" s="170">
        <v>43972</v>
      </c>
      <c r="B271" s="116">
        <v>663.45</v>
      </c>
      <c r="C271" s="116">
        <v>639.29999999999995</v>
      </c>
      <c r="D271" s="116">
        <v>635.5</v>
      </c>
      <c r="E271" s="116">
        <v>659.55</v>
      </c>
      <c r="F271" s="116">
        <v>639.29999999999995</v>
      </c>
      <c r="G271">
        <v>9481</v>
      </c>
      <c r="H271" s="116"/>
      <c r="I271" s="116"/>
      <c r="L271" s="170">
        <v>43972</v>
      </c>
      <c r="M271" s="116">
        <v>638.6</v>
      </c>
      <c r="N271" s="116">
        <v>662.95</v>
      </c>
      <c r="O271" s="116">
        <v>635</v>
      </c>
      <c r="P271" s="116">
        <v>662</v>
      </c>
      <c r="Q271" s="116">
        <v>638.6</v>
      </c>
      <c r="R271">
        <v>185650</v>
      </c>
    </row>
    <row r="272" spans="1:18" x14ac:dyDescent="0.25">
      <c r="A272" s="170">
        <v>43973</v>
      </c>
      <c r="B272" s="116">
        <v>653.25</v>
      </c>
      <c r="C272" s="116">
        <v>627.29999999999995</v>
      </c>
      <c r="D272" s="116">
        <v>624.1</v>
      </c>
      <c r="E272" s="116">
        <v>648.5</v>
      </c>
      <c r="F272" s="116">
        <v>627.29999999999995</v>
      </c>
      <c r="G272">
        <v>14252</v>
      </c>
      <c r="H272" s="116"/>
      <c r="I272" s="116"/>
      <c r="L272" s="170">
        <v>43973</v>
      </c>
      <c r="M272" s="116">
        <v>627.29999999999995</v>
      </c>
      <c r="N272" s="116">
        <v>653.95000000000005</v>
      </c>
      <c r="O272" s="116">
        <v>623.95000000000005</v>
      </c>
      <c r="P272" s="116">
        <v>643.45000000000005</v>
      </c>
      <c r="Q272" s="116">
        <v>627.29999999999995</v>
      </c>
      <c r="R272">
        <v>197875</v>
      </c>
    </row>
    <row r="273" spans="1:18" x14ac:dyDescent="0.25">
      <c r="A273" s="170">
        <v>43977</v>
      </c>
      <c r="B273" s="116">
        <v>639</v>
      </c>
      <c r="C273" s="116">
        <v>633.5</v>
      </c>
      <c r="D273" s="116">
        <v>630</v>
      </c>
      <c r="E273" s="116">
        <v>634</v>
      </c>
      <c r="F273" s="116">
        <v>633.5</v>
      </c>
      <c r="G273">
        <v>9686</v>
      </c>
      <c r="H273" s="116"/>
      <c r="I273" s="116"/>
      <c r="L273" s="170">
        <v>43977</v>
      </c>
      <c r="M273" s="116">
        <v>633.65</v>
      </c>
      <c r="N273" s="116">
        <v>638</v>
      </c>
      <c r="O273" s="116">
        <v>629.9</v>
      </c>
      <c r="P273" s="116">
        <v>629.9</v>
      </c>
      <c r="Q273" s="116">
        <v>633.65</v>
      </c>
      <c r="R273">
        <v>96382</v>
      </c>
    </row>
    <row r="274" spans="1:18" x14ac:dyDescent="0.25">
      <c r="A274" s="170">
        <v>43978</v>
      </c>
      <c r="B274" s="116">
        <v>653</v>
      </c>
      <c r="C274" s="116">
        <v>641.04999999999995</v>
      </c>
      <c r="D274" s="116">
        <v>634.25</v>
      </c>
      <c r="E274" s="116">
        <v>636</v>
      </c>
      <c r="F274" s="116">
        <v>641.04999999999995</v>
      </c>
      <c r="G274">
        <v>8929</v>
      </c>
      <c r="H274" s="116"/>
      <c r="I274" s="116"/>
      <c r="L274" s="170">
        <v>43978</v>
      </c>
      <c r="M274" s="116">
        <v>642.20000000000005</v>
      </c>
      <c r="N274" s="116">
        <v>654</v>
      </c>
      <c r="O274" s="116">
        <v>633.6</v>
      </c>
      <c r="P274" s="116">
        <v>636.75</v>
      </c>
      <c r="Q274" s="116">
        <v>642.20000000000005</v>
      </c>
      <c r="R274">
        <v>184474</v>
      </c>
    </row>
    <row r="275" spans="1:18" x14ac:dyDescent="0.25">
      <c r="A275" s="170">
        <v>43979</v>
      </c>
      <c r="B275" s="116">
        <v>656.25</v>
      </c>
      <c r="C275" s="116">
        <v>649.9</v>
      </c>
      <c r="D275" s="116">
        <v>634.70000000000005</v>
      </c>
      <c r="E275" s="116">
        <v>647.70000000000005</v>
      </c>
      <c r="F275" s="116">
        <v>649.9</v>
      </c>
      <c r="G275">
        <v>13547</v>
      </c>
      <c r="H275" s="116"/>
      <c r="I275" s="116"/>
      <c r="L275" s="170">
        <v>43979</v>
      </c>
      <c r="M275" s="116">
        <v>649.79999999999995</v>
      </c>
      <c r="N275" s="116">
        <v>657</v>
      </c>
      <c r="O275" s="116">
        <v>634</v>
      </c>
      <c r="P275" s="116">
        <v>643.1</v>
      </c>
      <c r="Q275" s="116">
        <v>649.79999999999995</v>
      </c>
      <c r="R275">
        <v>248102</v>
      </c>
    </row>
    <row r="276" spans="1:18" x14ac:dyDescent="0.25">
      <c r="A276" s="170">
        <v>43980</v>
      </c>
      <c r="B276" s="116">
        <v>682.35</v>
      </c>
      <c r="C276" s="116">
        <v>679.7</v>
      </c>
      <c r="D276" s="116">
        <v>651.1</v>
      </c>
      <c r="E276" s="116">
        <v>657</v>
      </c>
      <c r="F276" s="116">
        <v>679.7</v>
      </c>
      <c r="G276">
        <v>14563</v>
      </c>
      <c r="H276" s="116"/>
      <c r="I276" s="116"/>
      <c r="L276" s="170">
        <v>43980</v>
      </c>
      <c r="M276" s="116">
        <v>679.4</v>
      </c>
      <c r="N276" s="116">
        <v>682.25</v>
      </c>
      <c r="O276" s="116">
        <v>651</v>
      </c>
      <c r="P276" s="116">
        <v>651.1</v>
      </c>
      <c r="Q276" s="116">
        <v>679.4</v>
      </c>
      <c r="R276">
        <v>552940</v>
      </c>
    </row>
    <row r="277" spans="1:18" x14ac:dyDescent="0.25">
      <c r="A277" s="170">
        <v>43983</v>
      </c>
      <c r="B277" s="116">
        <v>713.65</v>
      </c>
      <c r="C277" s="116">
        <v>713.65</v>
      </c>
      <c r="D277" s="116">
        <v>694.9</v>
      </c>
      <c r="E277" s="116">
        <v>697.7</v>
      </c>
      <c r="F277" s="116">
        <v>713.65</v>
      </c>
      <c r="G277">
        <v>16247</v>
      </c>
      <c r="H277" s="116"/>
      <c r="I277" s="116"/>
      <c r="L277" s="170">
        <v>43983</v>
      </c>
      <c r="M277" s="116">
        <v>713.35</v>
      </c>
      <c r="N277" s="116">
        <v>713.35</v>
      </c>
      <c r="O277" s="116">
        <v>693.95</v>
      </c>
      <c r="P277" s="116">
        <v>694</v>
      </c>
      <c r="Q277" s="116">
        <v>713.35</v>
      </c>
      <c r="R277">
        <v>222131</v>
      </c>
    </row>
    <row r="278" spans="1:18" x14ac:dyDescent="0.25">
      <c r="A278" s="170">
        <v>43984</v>
      </c>
      <c r="B278" s="116">
        <v>749.3</v>
      </c>
      <c r="C278" s="116">
        <v>749.3</v>
      </c>
      <c r="D278" s="116">
        <v>735.7</v>
      </c>
      <c r="E278" s="116">
        <v>748.9</v>
      </c>
      <c r="F278" s="116">
        <v>749.3</v>
      </c>
      <c r="G278">
        <v>60793</v>
      </c>
      <c r="H278" s="116"/>
      <c r="I278" s="116"/>
      <c r="L278" s="170">
        <v>43984</v>
      </c>
      <c r="M278" s="116">
        <v>749</v>
      </c>
      <c r="N278" s="116">
        <v>749</v>
      </c>
      <c r="O278" s="116">
        <v>735.4</v>
      </c>
      <c r="P278" s="116">
        <v>744</v>
      </c>
      <c r="Q278" s="116">
        <v>749</v>
      </c>
      <c r="R278">
        <v>601623</v>
      </c>
    </row>
    <row r="279" spans="1:18" x14ac:dyDescent="0.25">
      <c r="A279" s="170">
        <v>43985</v>
      </c>
      <c r="B279" s="116">
        <v>786.75</v>
      </c>
      <c r="C279" s="116">
        <v>755</v>
      </c>
      <c r="D279" s="116">
        <v>750</v>
      </c>
      <c r="E279" s="116">
        <v>784</v>
      </c>
      <c r="F279" s="116">
        <v>755</v>
      </c>
      <c r="G279">
        <v>32751</v>
      </c>
      <c r="H279" s="116"/>
      <c r="I279" s="116"/>
      <c r="L279" s="170">
        <v>43985</v>
      </c>
      <c r="M279" s="116">
        <v>754.45</v>
      </c>
      <c r="N279" s="116">
        <v>786.45</v>
      </c>
      <c r="O279" s="116">
        <v>750</v>
      </c>
      <c r="P279" s="116">
        <v>780</v>
      </c>
      <c r="Q279" s="116">
        <v>754.45</v>
      </c>
      <c r="R279">
        <v>583383</v>
      </c>
    </row>
    <row r="280" spans="1:18" x14ac:dyDescent="0.25">
      <c r="A280" s="170">
        <v>43986</v>
      </c>
      <c r="B280" s="116">
        <v>777</v>
      </c>
      <c r="C280" s="116">
        <v>767.2</v>
      </c>
      <c r="D280" s="116">
        <v>736</v>
      </c>
      <c r="E280" s="116">
        <v>736</v>
      </c>
      <c r="F280" s="116">
        <v>767.2</v>
      </c>
      <c r="G280">
        <v>22856</v>
      </c>
      <c r="H280" s="116"/>
      <c r="I280" s="116"/>
      <c r="L280" s="170">
        <v>43986</v>
      </c>
      <c r="M280" s="116">
        <v>767.25</v>
      </c>
      <c r="N280" s="116">
        <v>779.4</v>
      </c>
      <c r="O280" s="116">
        <v>735.25</v>
      </c>
      <c r="P280" s="116">
        <v>746</v>
      </c>
      <c r="Q280" s="116">
        <v>767.25</v>
      </c>
      <c r="R280">
        <v>483719</v>
      </c>
    </row>
    <row r="281" spans="1:18" x14ac:dyDescent="0.25">
      <c r="A281" s="170">
        <v>43987</v>
      </c>
      <c r="B281" s="116">
        <v>782.5</v>
      </c>
      <c r="C281" s="116">
        <v>773.2</v>
      </c>
      <c r="D281" s="116">
        <v>755</v>
      </c>
      <c r="E281" s="116">
        <v>778</v>
      </c>
      <c r="F281" s="116">
        <v>773.2</v>
      </c>
      <c r="G281">
        <v>35172</v>
      </c>
      <c r="H281" s="116"/>
      <c r="I281" s="116"/>
      <c r="L281" s="170">
        <v>43987</v>
      </c>
      <c r="M281" s="116">
        <v>773.2</v>
      </c>
      <c r="N281" s="116">
        <v>781.9</v>
      </c>
      <c r="O281" s="116">
        <v>755</v>
      </c>
      <c r="P281" s="116">
        <v>774.7</v>
      </c>
      <c r="Q281" s="116">
        <v>773.2</v>
      </c>
      <c r="R281">
        <v>515976</v>
      </c>
    </row>
    <row r="282" spans="1:18" x14ac:dyDescent="0.25">
      <c r="A282" s="170">
        <v>43990</v>
      </c>
      <c r="B282" s="116">
        <v>829.5</v>
      </c>
      <c r="C282" s="116">
        <v>801.9</v>
      </c>
      <c r="D282" s="116">
        <v>770</v>
      </c>
      <c r="E282" s="116">
        <v>775</v>
      </c>
      <c r="F282" s="116">
        <v>801.9</v>
      </c>
      <c r="G282">
        <v>51622</v>
      </c>
      <c r="H282" s="116"/>
      <c r="I282" s="116"/>
      <c r="L282" s="170">
        <v>43990</v>
      </c>
      <c r="M282" s="116">
        <v>802.35</v>
      </c>
      <c r="N282" s="116">
        <v>829.5</v>
      </c>
      <c r="O282" s="116">
        <v>772.5</v>
      </c>
      <c r="P282" s="116">
        <v>784</v>
      </c>
      <c r="Q282" s="116">
        <v>802.35</v>
      </c>
      <c r="R282">
        <v>850557</v>
      </c>
    </row>
    <row r="283" spans="1:18" x14ac:dyDescent="0.25">
      <c r="A283" s="170">
        <v>43991</v>
      </c>
      <c r="B283" s="116">
        <v>815</v>
      </c>
      <c r="C283" s="116">
        <v>774.6</v>
      </c>
      <c r="D283" s="116">
        <v>772.75</v>
      </c>
      <c r="E283" s="116">
        <v>815</v>
      </c>
      <c r="F283" s="116">
        <v>774.6</v>
      </c>
      <c r="G283">
        <v>24106</v>
      </c>
      <c r="H283" s="116"/>
      <c r="I283" s="116"/>
      <c r="L283" s="170">
        <v>43991</v>
      </c>
      <c r="M283" s="116">
        <v>774.8</v>
      </c>
      <c r="N283" s="116">
        <v>809.8</v>
      </c>
      <c r="O283" s="116">
        <v>772.05</v>
      </c>
      <c r="P283" s="116">
        <v>809.8</v>
      </c>
      <c r="Q283" s="116">
        <v>774.8</v>
      </c>
      <c r="R283">
        <v>426837</v>
      </c>
    </row>
    <row r="284" spans="1:18" x14ac:dyDescent="0.25">
      <c r="A284" s="170">
        <v>43992</v>
      </c>
      <c r="B284" s="116">
        <v>780</v>
      </c>
      <c r="C284" s="116">
        <v>764.2</v>
      </c>
      <c r="D284" s="116">
        <v>760.2</v>
      </c>
      <c r="E284" s="116">
        <v>780</v>
      </c>
      <c r="F284" s="116">
        <v>764.2</v>
      </c>
      <c r="G284">
        <v>14558</v>
      </c>
      <c r="H284" s="116"/>
      <c r="I284" s="116"/>
      <c r="L284" s="170">
        <v>43992</v>
      </c>
      <c r="M284" s="116">
        <v>763.35</v>
      </c>
      <c r="N284" s="116">
        <v>779.75</v>
      </c>
      <c r="O284" s="116">
        <v>760</v>
      </c>
      <c r="P284" s="116">
        <v>776.15</v>
      </c>
      <c r="Q284" s="116">
        <v>763.35</v>
      </c>
      <c r="R284">
        <v>226929</v>
      </c>
    </row>
    <row r="285" spans="1:18" x14ac:dyDescent="0.25">
      <c r="A285" s="170">
        <v>43993</v>
      </c>
      <c r="B285" s="116">
        <v>765.55</v>
      </c>
      <c r="C285" s="116">
        <v>742.5</v>
      </c>
      <c r="D285" s="116">
        <v>740</v>
      </c>
      <c r="E285" s="116">
        <v>757</v>
      </c>
      <c r="F285" s="116">
        <v>742.5</v>
      </c>
      <c r="G285">
        <v>13974</v>
      </c>
      <c r="H285" s="116"/>
      <c r="I285" s="116"/>
      <c r="L285" s="170">
        <v>43993</v>
      </c>
      <c r="M285" s="116">
        <v>741.65</v>
      </c>
      <c r="N285" s="116">
        <v>766</v>
      </c>
      <c r="O285" s="116">
        <v>740</v>
      </c>
      <c r="P285" s="116">
        <v>751.35</v>
      </c>
      <c r="Q285" s="116">
        <v>741.65</v>
      </c>
      <c r="R285">
        <v>196750</v>
      </c>
    </row>
    <row r="286" spans="1:18" x14ac:dyDescent="0.25">
      <c r="A286" s="170">
        <v>43994</v>
      </c>
      <c r="B286" s="116">
        <v>753.2</v>
      </c>
      <c r="C286" s="116">
        <v>745.8</v>
      </c>
      <c r="D286" s="116">
        <v>708.75</v>
      </c>
      <c r="E286" s="116">
        <v>725.1</v>
      </c>
      <c r="F286" s="116">
        <v>745.8</v>
      </c>
      <c r="G286">
        <v>20380</v>
      </c>
      <c r="H286" s="116"/>
      <c r="I286" s="116"/>
      <c r="L286" s="170">
        <v>43994</v>
      </c>
      <c r="M286" s="116">
        <v>746.25</v>
      </c>
      <c r="N286" s="116">
        <v>755</v>
      </c>
      <c r="O286" s="116">
        <v>705.1</v>
      </c>
      <c r="P286" s="116">
        <v>705.1</v>
      </c>
      <c r="Q286" s="116">
        <v>746.25</v>
      </c>
      <c r="R286">
        <v>285909</v>
      </c>
    </row>
    <row r="287" spans="1:18" x14ac:dyDescent="0.25">
      <c r="A287" s="170">
        <v>43997</v>
      </c>
      <c r="B287" s="116">
        <v>775.8</v>
      </c>
      <c r="C287" s="116">
        <v>744.1</v>
      </c>
      <c r="D287" s="116">
        <v>735.7</v>
      </c>
      <c r="E287" s="116">
        <v>752.4</v>
      </c>
      <c r="F287" s="116">
        <v>744.1</v>
      </c>
      <c r="G287">
        <v>16423</v>
      </c>
      <c r="H287" s="116"/>
      <c r="I287" s="116"/>
      <c r="L287" s="170">
        <v>43997</v>
      </c>
      <c r="M287" s="116">
        <v>743.5</v>
      </c>
      <c r="N287" s="116">
        <v>763.75</v>
      </c>
      <c r="O287" s="116">
        <v>735.3</v>
      </c>
      <c r="P287" s="116">
        <v>745.1</v>
      </c>
      <c r="Q287" s="116">
        <v>743.5</v>
      </c>
      <c r="R287">
        <v>141907</v>
      </c>
    </row>
    <row r="288" spans="1:18" x14ac:dyDescent="0.25">
      <c r="A288" s="170">
        <v>43998</v>
      </c>
      <c r="B288" s="116">
        <v>761</v>
      </c>
      <c r="C288" s="116">
        <v>749.25</v>
      </c>
      <c r="D288" s="116">
        <v>726.05</v>
      </c>
      <c r="E288" s="116">
        <v>750</v>
      </c>
      <c r="F288" s="116">
        <v>749.25</v>
      </c>
      <c r="G288">
        <v>30339</v>
      </c>
      <c r="H288" s="116"/>
      <c r="I288" s="116"/>
      <c r="L288" s="170">
        <v>43998</v>
      </c>
      <c r="M288" s="116">
        <v>749.4</v>
      </c>
      <c r="N288" s="116">
        <v>759.9</v>
      </c>
      <c r="O288" s="116">
        <v>726</v>
      </c>
      <c r="P288" s="116">
        <v>755</v>
      </c>
      <c r="Q288" s="116">
        <v>749.4</v>
      </c>
      <c r="R288">
        <v>209988</v>
      </c>
    </row>
    <row r="289" spans="1:18" x14ac:dyDescent="0.25">
      <c r="A289" s="170">
        <v>43999</v>
      </c>
      <c r="B289" s="116">
        <v>783</v>
      </c>
      <c r="C289" s="116">
        <v>763.2</v>
      </c>
      <c r="D289" s="116">
        <v>740.6</v>
      </c>
      <c r="E289" s="116">
        <v>749.25</v>
      </c>
      <c r="F289" s="116">
        <v>763.2</v>
      </c>
      <c r="G289">
        <v>22715</v>
      </c>
      <c r="H289" s="116"/>
      <c r="I289" s="116"/>
      <c r="L289" s="170">
        <v>43999</v>
      </c>
      <c r="M289" s="116">
        <v>763.8</v>
      </c>
      <c r="N289" s="116">
        <v>783.35</v>
      </c>
      <c r="O289" s="116">
        <v>741</v>
      </c>
      <c r="P289" s="116">
        <v>745</v>
      </c>
      <c r="Q289" s="116">
        <v>763.8</v>
      </c>
      <c r="R289">
        <v>408766</v>
      </c>
    </row>
    <row r="290" spans="1:18" x14ac:dyDescent="0.25">
      <c r="A290" s="170">
        <v>44000</v>
      </c>
      <c r="B290" s="116">
        <v>769.65</v>
      </c>
      <c r="C290" s="116">
        <v>758.95</v>
      </c>
      <c r="D290" s="116">
        <v>754.95</v>
      </c>
      <c r="E290" s="116">
        <v>763.2</v>
      </c>
      <c r="F290" s="116">
        <v>758.95</v>
      </c>
      <c r="G290">
        <v>8915</v>
      </c>
      <c r="H290" s="116"/>
      <c r="I290" s="116"/>
      <c r="L290" s="170">
        <v>44000</v>
      </c>
      <c r="M290" s="116">
        <v>758.9</v>
      </c>
      <c r="N290" s="116">
        <v>770.15</v>
      </c>
      <c r="O290" s="116">
        <v>753</v>
      </c>
      <c r="P290" s="116">
        <v>763.8</v>
      </c>
      <c r="Q290" s="116">
        <v>758.9</v>
      </c>
      <c r="R290">
        <v>179189</v>
      </c>
    </row>
    <row r="291" spans="1:18" x14ac:dyDescent="0.25">
      <c r="A291" s="170">
        <v>44001</v>
      </c>
      <c r="B291" s="116">
        <v>820</v>
      </c>
      <c r="C291" s="116">
        <v>800.95</v>
      </c>
      <c r="D291" s="116">
        <v>760</v>
      </c>
      <c r="E291" s="116">
        <v>770</v>
      </c>
      <c r="F291" s="116">
        <v>800.95</v>
      </c>
      <c r="G291">
        <v>66011</v>
      </c>
      <c r="H291" s="116"/>
      <c r="I291" s="116"/>
      <c r="L291" s="170">
        <v>44001</v>
      </c>
      <c r="M291" s="116">
        <v>801.2</v>
      </c>
      <c r="N291" s="116">
        <v>820</v>
      </c>
      <c r="O291" s="116">
        <v>759.8</v>
      </c>
      <c r="P291" s="116">
        <v>764.3</v>
      </c>
      <c r="Q291" s="116">
        <v>801.2</v>
      </c>
      <c r="R291">
        <v>661832</v>
      </c>
    </row>
    <row r="292" spans="1:18" x14ac:dyDescent="0.25">
      <c r="A292" s="170">
        <v>44004</v>
      </c>
      <c r="B292" s="116">
        <v>823.8</v>
      </c>
      <c r="C292" s="116">
        <v>806.15</v>
      </c>
      <c r="D292" s="116">
        <v>803</v>
      </c>
      <c r="E292" s="116">
        <v>807</v>
      </c>
      <c r="F292" s="116">
        <v>806.15</v>
      </c>
      <c r="G292">
        <v>27097</v>
      </c>
      <c r="H292" s="116"/>
      <c r="I292" s="116"/>
      <c r="L292" s="170">
        <v>44004</v>
      </c>
      <c r="M292" s="116">
        <v>805.75</v>
      </c>
      <c r="N292" s="116">
        <v>824</v>
      </c>
      <c r="O292" s="116">
        <v>803.05</v>
      </c>
      <c r="P292" s="116">
        <v>811</v>
      </c>
      <c r="Q292" s="116">
        <v>805.75</v>
      </c>
      <c r="R292">
        <v>441931</v>
      </c>
    </row>
    <row r="293" spans="1:18" x14ac:dyDescent="0.25">
      <c r="A293" s="170">
        <v>44005</v>
      </c>
      <c r="B293" s="116">
        <v>839.1</v>
      </c>
      <c r="C293" s="116">
        <v>827.05</v>
      </c>
      <c r="D293" s="116">
        <v>805.05</v>
      </c>
      <c r="E293" s="116">
        <v>811</v>
      </c>
      <c r="F293" s="116">
        <v>827.05</v>
      </c>
      <c r="G293">
        <v>62824</v>
      </c>
      <c r="H293" s="116"/>
      <c r="I293" s="116"/>
      <c r="L293" s="170">
        <v>44005</v>
      </c>
      <c r="M293" s="116">
        <v>828.65</v>
      </c>
      <c r="N293" s="116">
        <v>839.85</v>
      </c>
      <c r="O293" s="116">
        <v>805.5</v>
      </c>
      <c r="P293" s="116">
        <v>808</v>
      </c>
      <c r="Q293" s="116">
        <v>828.65</v>
      </c>
      <c r="R293">
        <v>500249</v>
      </c>
    </row>
    <row r="294" spans="1:18" x14ac:dyDescent="0.25">
      <c r="A294" s="170">
        <v>44006</v>
      </c>
      <c r="B294" s="116">
        <v>838</v>
      </c>
      <c r="C294" s="116">
        <v>800.5</v>
      </c>
      <c r="D294" s="116">
        <v>795</v>
      </c>
      <c r="E294" s="116">
        <v>838</v>
      </c>
      <c r="F294" s="116">
        <v>800.5</v>
      </c>
      <c r="G294">
        <v>20445</v>
      </c>
      <c r="H294" s="116"/>
      <c r="I294" s="116"/>
      <c r="L294" s="170">
        <v>44006</v>
      </c>
      <c r="M294" s="116">
        <v>799.9</v>
      </c>
      <c r="N294" s="116">
        <v>835</v>
      </c>
      <c r="O294" s="116">
        <v>795</v>
      </c>
      <c r="P294" s="116">
        <v>835</v>
      </c>
      <c r="Q294" s="116">
        <v>799.9</v>
      </c>
      <c r="R294">
        <v>290328</v>
      </c>
    </row>
    <row r="295" spans="1:18" x14ac:dyDescent="0.25">
      <c r="A295" s="170">
        <v>44007</v>
      </c>
      <c r="B295" s="116">
        <v>812.65</v>
      </c>
      <c r="C295" s="116">
        <v>797.7</v>
      </c>
      <c r="D295" s="116">
        <v>785.4</v>
      </c>
      <c r="E295" s="116">
        <v>790.05</v>
      </c>
      <c r="F295" s="116">
        <v>797.7</v>
      </c>
      <c r="G295">
        <v>22709</v>
      </c>
      <c r="H295" s="116"/>
      <c r="I295" s="116"/>
      <c r="L295" s="170">
        <v>44007</v>
      </c>
      <c r="M295" s="116">
        <v>797.95</v>
      </c>
      <c r="N295" s="116">
        <v>813</v>
      </c>
      <c r="O295" s="116">
        <v>786.1</v>
      </c>
      <c r="P295" s="116">
        <v>799.1</v>
      </c>
      <c r="Q295" s="116">
        <v>797.95</v>
      </c>
      <c r="R295">
        <v>152111</v>
      </c>
    </row>
    <row r="296" spans="1:18" x14ac:dyDescent="0.25">
      <c r="A296" s="170">
        <v>44008</v>
      </c>
      <c r="B296" s="116">
        <v>811.65</v>
      </c>
      <c r="C296" s="116">
        <v>782</v>
      </c>
      <c r="D296" s="116">
        <v>777.7</v>
      </c>
      <c r="E296" s="116">
        <v>805</v>
      </c>
      <c r="F296" s="116">
        <v>782</v>
      </c>
      <c r="G296">
        <v>16028</v>
      </c>
      <c r="H296" s="116"/>
      <c r="I296" s="116"/>
      <c r="L296" s="170">
        <v>44008</v>
      </c>
      <c r="M296" s="116">
        <v>782.1</v>
      </c>
      <c r="N296" s="116">
        <v>811.55</v>
      </c>
      <c r="O296" s="116">
        <v>780.05</v>
      </c>
      <c r="P296" s="116">
        <v>810</v>
      </c>
      <c r="Q296" s="116">
        <v>782.1</v>
      </c>
      <c r="R296">
        <v>210930</v>
      </c>
    </row>
    <row r="297" spans="1:18" x14ac:dyDescent="0.25">
      <c r="A297" s="170">
        <v>44011</v>
      </c>
      <c r="B297" s="116">
        <v>790.5</v>
      </c>
      <c r="C297" s="116">
        <v>769.55</v>
      </c>
      <c r="D297" s="116">
        <v>762.35</v>
      </c>
      <c r="E297" s="116">
        <v>782</v>
      </c>
      <c r="F297" s="116">
        <v>769.55</v>
      </c>
      <c r="G297">
        <v>18806</v>
      </c>
      <c r="H297" s="116"/>
      <c r="I297" s="116"/>
      <c r="L297" s="170">
        <v>44011</v>
      </c>
      <c r="M297" s="116">
        <v>769.45</v>
      </c>
      <c r="N297" s="116">
        <v>790.9</v>
      </c>
      <c r="O297" s="116">
        <v>762.35</v>
      </c>
      <c r="P297" s="116">
        <v>772.8</v>
      </c>
      <c r="Q297" s="116">
        <v>769.45</v>
      </c>
      <c r="R297">
        <v>234833</v>
      </c>
    </row>
    <row r="298" spans="1:18" x14ac:dyDescent="0.25">
      <c r="A298" s="170">
        <v>44012</v>
      </c>
      <c r="B298" s="116">
        <v>805</v>
      </c>
      <c r="C298" s="116">
        <v>789.6</v>
      </c>
      <c r="D298" s="116">
        <v>768</v>
      </c>
      <c r="E298" s="116">
        <v>768</v>
      </c>
      <c r="F298" s="116">
        <v>789.6</v>
      </c>
      <c r="G298">
        <v>44586</v>
      </c>
      <c r="H298" s="116"/>
      <c r="I298" s="116"/>
      <c r="L298" s="170">
        <v>44012</v>
      </c>
      <c r="M298" s="116">
        <v>789.3</v>
      </c>
      <c r="N298" s="116">
        <v>804.8</v>
      </c>
      <c r="O298" s="116">
        <v>777</v>
      </c>
      <c r="P298" s="116">
        <v>777</v>
      </c>
      <c r="Q298" s="116">
        <v>789.3</v>
      </c>
      <c r="R298">
        <v>864733</v>
      </c>
    </row>
    <row r="299" spans="1:18" x14ac:dyDescent="0.25">
      <c r="A299" s="170">
        <v>44013</v>
      </c>
      <c r="B299" s="116">
        <v>802.3</v>
      </c>
      <c r="C299" s="116">
        <v>797.5</v>
      </c>
      <c r="D299" s="116">
        <v>792</v>
      </c>
      <c r="E299" s="116">
        <v>792</v>
      </c>
      <c r="F299" s="116">
        <v>797.5</v>
      </c>
      <c r="G299">
        <v>20647</v>
      </c>
      <c r="H299" s="116"/>
      <c r="I299" s="116"/>
      <c r="L299" s="170">
        <v>44013</v>
      </c>
      <c r="M299" s="116">
        <v>797.65</v>
      </c>
      <c r="N299" s="116">
        <v>802.9</v>
      </c>
      <c r="O299" s="116">
        <v>790.9</v>
      </c>
      <c r="P299" s="116">
        <v>790.9</v>
      </c>
      <c r="Q299" s="116">
        <v>797.65</v>
      </c>
      <c r="R299">
        <v>202629</v>
      </c>
    </row>
    <row r="300" spans="1:18" x14ac:dyDescent="0.25">
      <c r="A300" s="170">
        <v>44014</v>
      </c>
      <c r="B300" s="116">
        <v>867.95</v>
      </c>
      <c r="C300" s="116">
        <v>841.05</v>
      </c>
      <c r="D300" s="116">
        <v>803.4</v>
      </c>
      <c r="E300" s="116">
        <v>818</v>
      </c>
      <c r="F300" s="116">
        <v>841.05</v>
      </c>
      <c r="G300">
        <v>82958</v>
      </c>
      <c r="H300" s="116"/>
      <c r="I300" s="116"/>
      <c r="L300" s="170">
        <v>44014</v>
      </c>
      <c r="M300" s="116">
        <v>841.25</v>
      </c>
      <c r="N300" s="116">
        <v>868.6</v>
      </c>
      <c r="O300" s="116">
        <v>801.8</v>
      </c>
      <c r="P300" s="116">
        <v>810</v>
      </c>
      <c r="Q300" s="116">
        <v>841.25</v>
      </c>
      <c r="R300">
        <v>1747188</v>
      </c>
    </row>
    <row r="301" spans="1:18" x14ac:dyDescent="0.25">
      <c r="A301" s="170">
        <v>44015</v>
      </c>
      <c r="B301" s="116">
        <v>861.6</v>
      </c>
      <c r="C301" s="116">
        <v>844.65</v>
      </c>
      <c r="D301" s="116">
        <v>842.6</v>
      </c>
      <c r="E301" s="116">
        <v>845</v>
      </c>
      <c r="F301" s="116">
        <v>844.65</v>
      </c>
      <c r="G301">
        <v>29222</v>
      </c>
      <c r="H301" s="116"/>
      <c r="I301" s="116"/>
      <c r="L301" s="170">
        <v>44015</v>
      </c>
      <c r="M301" s="116">
        <v>845</v>
      </c>
      <c r="N301" s="116">
        <v>861</v>
      </c>
      <c r="O301" s="116">
        <v>842.45</v>
      </c>
      <c r="P301" s="116">
        <v>849.8</v>
      </c>
      <c r="Q301" s="116">
        <v>845</v>
      </c>
      <c r="R301">
        <v>661643</v>
      </c>
    </row>
    <row r="302" spans="1:18" x14ac:dyDescent="0.25">
      <c r="A302" s="170">
        <v>44018</v>
      </c>
      <c r="B302" s="116">
        <v>854.55</v>
      </c>
      <c r="C302" s="116">
        <v>844.35</v>
      </c>
      <c r="D302" s="116">
        <v>840.3</v>
      </c>
      <c r="E302" s="116">
        <v>852</v>
      </c>
      <c r="F302" s="116">
        <v>844.35</v>
      </c>
      <c r="G302">
        <v>17581</v>
      </c>
      <c r="H302" s="116"/>
      <c r="I302" s="116"/>
      <c r="L302" s="170">
        <v>44018</v>
      </c>
      <c r="M302" s="116">
        <v>844.3</v>
      </c>
      <c r="N302" s="116">
        <v>853.65</v>
      </c>
      <c r="O302" s="116">
        <v>840</v>
      </c>
      <c r="P302" s="116">
        <v>845</v>
      </c>
      <c r="Q302" s="116">
        <v>844.3</v>
      </c>
      <c r="R302">
        <v>219885</v>
      </c>
    </row>
    <row r="303" spans="1:18" x14ac:dyDescent="0.25">
      <c r="A303" s="170">
        <v>44019</v>
      </c>
      <c r="B303" s="116">
        <v>851.95</v>
      </c>
      <c r="C303" s="116">
        <v>836.9</v>
      </c>
      <c r="D303" s="116">
        <v>832</v>
      </c>
      <c r="E303" s="116">
        <v>851.95</v>
      </c>
      <c r="F303" s="116">
        <v>836.9</v>
      </c>
      <c r="G303">
        <v>21642</v>
      </c>
      <c r="H303" s="116"/>
      <c r="I303" s="116"/>
      <c r="L303" s="170">
        <v>44019</v>
      </c>
      <c r="M303" s="116">
        <v>836.05</v>
      </c>
      <c r="N303" s="116">
        <v>846.95</v>
      </c>
      <c r="O303" s="116">
        <v>832</v>
      </c>
      <c r="P303" s="116">
        <v>844</v>
      </c>
      <c r="Q303" s="116">
        <v>836.05</v>
      </c>
      <c r="R303">
        <v>250324</v>
      </c>
    </row>
    <row r="304" spans="1:18" x14ac:dyDescent="0.25">
      <c r="A304" s="170">
        <v>44020</v>
      </c>
      <c r="B304" s="116">
        <v>884</v>
      </c>
      <c r="C304" s="116">
        <v>848.4</v>
      </c>
      <c r="D304" s="116">
        <v>835</v>
      </c>
      <c r="E304" s="116">
        <v>840</v>
      </c>
      <c r="F304" s="116">
        <v>848.4</v>
      </c>
      <c r="G304">
        <v>63562</v>
      </c>
      <c r="H304" s="116"/>
      <c r="I304" s="116"/>
      <c r="L304" s="170">
        <v>44020</v>
      </c>
      <c r="M304" s="116">
        <v>848.35</v>
      </c>
      <c r="N304" s="116">
        <v>885</v>
      </c>
      <c r="O304" s="116">
        <v>835.55</v>
      </c>
      <c r="P304" s="116">
        <v>845</v>
      </c>
      <c r="Q304" s="116">
        <v>848.35</v>
      </c>
      <c r="R304">
        <v>1037555</v>
      </c>
    </row>
    <row r="305" spans="1:18" x14ac:dyDescent="0.25">
      <c r="A305" s="170">
        <v>44021</v>
      </c>
      <c r="B305" s="116">
        <v>865</v>
      </c>
      <c r="C305" s="116">
        <v>846.1</v>
      </c>
      <c r="D305" s="116">
        <v>840</v>
      </c>
      <c r="E305" s="116">
        <v>855</v>
      </c>
      <c r="F305" s="116">
        <v>846.1</v>
      </c>
      <c r="G305">
        <v>28286</v>
      </c>
      <c r="H305" s="116"/>
      <c r="I305" s="116"/>
      <c r="L305" s="170">
        <v>44021</v>
      </c>
      <c r="M305" s="116">
        <v>846.45</v>
      </c>
      <c r="N305" s="116">
        <v>859</v>
      </c>
      <c r="O305" s="116">
        <v>844.05</v>
      </c>
      <c r="P305" s="116">
        <v>853.1</v>
      </c>
      <c r="Q305" s="116">
        <v>846.45</v>
      </c>
      <c r="R305">
        <v>199069</v>
      </c>
    </row>
    <row r="306" spans="1:18" x14ac:dyDescent="0.25">
      <c r="A306" s="170">
        <v>44022</v>
      </c>
      <c r="B306" s="116">
        <v>852</v>
      </c>
      <c r="C306" s="116">
        <v>837.85</v>
      </c>
      <c r="D306" s="116">
        <v>835</v>
      </c>
      <c r="E306" s="116">
        <v>852</v>
      </c>
      <c r="F306" s="116">
        <v>837.85</v>
      </c>
      <c r="G306">
        <v>9279</v>
      </c>
      <c r="H306" s="116"/>
      <c r="I306" s="116"/>
      <c r="L306" s="170">
        <v>44022</v>
      </c>
      <c r="M306" s="116">
        <v>837.6</v>
      </c>
      <c r="N306" s="116">
        <v>850.4</v>
      </c>
      <c r="O306" s="116">
        <v>834.1</v>
      </c>
      <c r="P306" s="116">
        <v>843.9</v>
      </c>
      <c r="Q306" s="116">
        <v>837.6</v>
      </c>
      <c r="R306">
        <v>182861</v>
      </c>
    </row>
    <row r="307" spans="1:18" x14ac:dyDescent="0.25">
      <c r="A307" s="170">
        <v>44025</v>
      </c>
      <c r="B307" s="116">
        <v>845.6</v>
      </c>
      <c r="C307" s="116">
        <v>820</v>
      </c>
      <c r="D307" s="116">
        <v>816</v>
      </c>
      <c r="E307" s="116">
        <v>838</v>
      </c>
      <c r="F307" s="116">
        <v>820</v>
      </c>
      <c r="G307">
        <v>23121</v>
      </c>
      <c r="H307" s="116"/>
      <c r="I307" s="116"/>
      <c r="L307" s="170">
        <v>44025</v>
      </c>
      <c r="M307" s="116">
        <v>819.5</v>
      </c>
      <c r="N307" s="116">
        <v>845</v>
      </c>
      <c r="O307" s="116">
        <v>816.55</v>
      </c>
      <c r="P307" s="116">
        <v>840.2</v>
      </c>
      <c r="Q307" s="116">
        <v>819.5</v>
      </c>
      <c r="R307">
        <v>244361</v>
      </c>
    </row>
    <row r="308" spans="1:18" x14ac:dyDescent="0.25">
      <c r="A308" s="170">
        <v>44026</v>
      </c>
      <c r="B308" s="116">
        <v>837.85</v>
      </c>
      <c r="C308" s="116">
        <v>808.75</v>
      </c>
      <c r="D308" s="116">
        <v>805.45</v>
      </c>
      <c r="E308" s="116">
        <v>815.1</v>
      </c>
      <c r="F308" s="116">
        <v>808.75</v>
      </c>
      <c r="G308">
        <v>22926</v>
      </c>
      <c r="H308" s="116"/>
      <c r="I308" s="116"/>
      <c r="L308" s="170">
        <v>44026</v>
      </c>
      <c r="M308" s="116">
        <v>808.75</v>
      </c>
      <c r="N308" s="116">
        <v>837.95</v>
      </c>
      <c r="O308" s="116">
        <v>805.55</v>
      </c>
      <c r="P308" s="116">
        <v>821.9</v>
      </c>
      <c r="Q308" s="116">
        <v>808.75</v>
      </c>
      <c r="R308">
        <v>422966</v>
      </c>
    </row>
    <row r="309" spans="1:18" x14ac:dyDescent="0.25">
      <c r="A309" s="170">
        <v>44027</v>
      </c>
      <c r="B309" s="116">
        <v>820.75</v>
      </c>
      <c r="C309" s="116">
        <v>815.75</v>
      </c>
      <c r="D309" s="116">
        <v>810</v>
      </c>
      <c r="E309" s="116">
        <v>810</v>
      </c>
      <c r="F309" s="116">
        <v>815.75</v>
      </c>
      <c r="G309">
        <v>7309</v>
      </c>
      <c r="H309" s="116"/>
      <c r="I309" s="116"/>
      <c r="L309" s="170">
        <v>44027</v>
      </c>
      <c r="M309" s="116">
        <v>816.2</v>
      </c>
      <c r="N309" s="116">
        <v>821</v>
      </c>
      <c r="O309" s="116">
        <v>810.15</v>
      </c>
      <c r="P309" s="116">
        <v>812.5</v>
      </c>
      <c r="Q309" s="116">
        <v>816.2</v>
      </c>
      <c r="R309">
        <v>181151</v>
      </c>
    </row>
    <row r="310" spans="1:18" x14ac:dyDescent="0.25">
      <c r="A310" s="170">
        <v>44028</v>
      </c>
      <c r="B310" s="116">
        <v>829.5</v>
      </c>
      <c r="C310" s="116">
        <v>812.9</v>
      </c>
      <c r="D310" s="116">
        <v>802</v>
      </c>
      <c r="E310" s="116">
        <v>829.5</v>
      </c>
      <c r="F310" s="116">
        <v>812.9</v>
      </c>
      <c r="G310">
        <v>4726</v>
      </c>
      <c r="H310" s="116"/>
      <c r="I310" s="116"/>
      <c r="L310" s="170">
        <v>44028</v>
      </c>
      <c r="M310" s="116">
        <v>812.55</v>
      </c>
      <c r="N310" s="116">
        <v>820.65</v>
      </c>
      <c r="O310" s="116">
        <v>801.55</v>
      </c>
      <c r="P310" s="116">
        <v>820.4</v>
      </c>
      <c r="Q310" s="116">
        <v>812.55</v>
      </c>
      <c r="R310">
        <v>87365</v>
      </c>
    </row>
    <row r="311" spans="1:18" x14ac:dyDescent="0.25">
      <c r="A311" s="170">
        <v>44029</v>
      </c>
      <c r="B311" s="116">
        <v>834</v>
      </c>
      <c r="C311" s="116">
        <v>822.2</v>
      </c>
      <c r="D311" s="116">
        <v>811.95</v>
      </c>
      <c r="E311" s="116">
        <v>816.85</v>
      </c>
      <c r="F311" s="116">
        <v>822.2</v>
      </c>
      <c r="G311">
        <v>13615</v>
      </c>
      <c r="H311" s="116"/>
      <c r="I311" s="116"/>
      <c r="L311" s="170">
        <v>44029</v>
      </c>
      <c r="M311" s="116">
        <v>822.45</v>
      </c>
      <c r="N311" s="116">
        <v>834.45</v>
      </c>
      <c r="O311" s="116">
        <v>811.55</v>
      </c>
      <c r="P311" s="116">
        <v>820.7</v>
      </c>
      <c r="Q311" s="116">
        <v>822.45</v>
      </c>
      <c r="R311">
        <v>182216</v>
      </c>
    </row>
    <row r="312" spans="1:18" x14ac:dyDescent="0.25">
      <c r="A312" s="170">
        <v>44032</v>
      </c>
      <c r="B312" s="116">
        <v>849.8</v>
      </c>
      <c r="C312" s="116">
        <v>842.35</v>
      </c>
      <c r="D312" s="116">
        <v>822.05</v>
      </c>
      <c r="E312" s="116">
        <v>822.05</v>
      </c>
      <c r="F312" s="116">
        <v>842.35</v>
      </c>
      <c r="G312">
        <v>23874</v>
      </c>
      <c r="H312" s="116"/>
      <c r="I312" s="116"/>
      <c r="L312" s="170">
        <v>44032</v>
      </c>
      <c r="M312" s="116">
        <v>842.6</v>
      </c>
      <c r="N312" s="116">
        <v>850</v>
      </c>
      <c r="O312" s="116">
        <v>823.05</v>
      </c>
      <c r="P312" s="116">
        <v>828.9</v>
      </c>
      <c r="Q312" s="116">
        <v>842.6</v>
      </c>
      <c r="R312">
        <v>379313</v>
      </c>
    </row>
    <row r="313" spans="1:18" x14ac:dyDescent="0.25">
      <c r="A313" s="170">
        <v>44033</v>
      </c>
      <c r="B313" s="116">
        <v>858</v>
      </c>
      <c r="C313" s="116">
        <v>849.45</v>
      </c>
      <c r="D313" s="116">
        <v>844.4</v>
      </c>
      <c r="E313" s="116">
        <v>849</v>
      </c>
      <c r="F313" s="116">
        <v>849.45</v>
      </c>
      <c r="G313">
        <v>14008</v>
      </c>
      <c r="H313" s="116"/>
      <c r="I313" s="116"/>
      <c r="L313" s="170">
        <v>44033</v>
      </c>
      <c r="M313" s="116">
        <v>849.65</v>
      </c>
      <c r="N313" s="116">
        <v>858</v>
      </c>
      <c r="O313" s="116">
        <v>843.4</v>
      </c>
      <c r="P313" s="116">
        <v>846</v>
      </c>
      <c r="Q313" s="116">
        <v>849.65</v>
      </c>
      <c r="R313">
        <v>294315</v>
      </c>
    </row>
    <row r="314" spans="1:18" x14ac:dyDescent="0.25">
      <c r="A314" s="170">
        <v>44034</v>
      </c>
      <c r="B314" s="116">
        <v>834.45</v>
      </c>
      <c r="C314" s="116">
        <v>823.5</v>
      </c>
      <c r="D314" s="116">
        <v>800.4</v>
      </c>
      <c r="E314" s="116">
        <v>820</v>
      </c>
      <c r="F314" s="116">
        <v>823.5</v>
      </c>
      <c r="G314">
        <v>18480</v>
      </c>
      <c r="H314" s="116"/>
      <c r="I314" s="116"/>
      <c r="L314" s="170">
        <v>44034</v>
      </c>
      <c r="M314" s="116">
        <v>824.2</v>
      </c>
      <c r="N314" s="116">
        <v>834.1</v>
      </c>
      <c r="O314" s="116">
        <v>800</v>
      </c>
      <c r="P314" s="116">
        <v>819.9</v>
      </c>
      <c r="Q314" s="116">
        <v>824.2</v>
      </c>
      <c r="R314">
        <v>394352</v>
      </c>
    </row>
    <row r="315" spans="1:18" x14ac:dyDescent="0.25">
      <c r="A315" s="170">
        <v>44035</v>
      </c>
      <c r="B315" s="116">
        <v>839</v>
      </c>
      <c r="C315" s="116">
        <v>834.1</v>
      </c>
      <c r="D315" s="116">
        <v>822.4</v>
      </c>
      <c r="E315" s="116">
        <v>822.65</v>
      </c>
      <c r="F315" s="116">
        <v>834.1</v>
      </c>
      <c r="G315">
        <v>8125</v>
      </c>
      <c r="H315" s="116"/>
      <c r="I315" s="116"/>
      <c r="L315" s="170">
        <v>44035</v>
      </c>
      <c r="M315" s="116">
        <v>834.6</v>
      </c>
      <c r="N315" s="116">
        <v>839.4</v>
      </c>
      <c r="O315" s="116">
        <v>820.9</v>
      </c>
      <c r="P315" s="116">
        <v>824.2</v>
      </c>
      <c r="Q315" s="116">
        <v>834.6</v>
      </c>
      <c r="R315">
        <v>219239</v>
      </c>
    </row>
    <row r="316" spans="1:18" x14ac:dyDescent="0.25">
      <c r="A316" s="170">
        <v>44036</v>
      </c>
      <c r="B316" s="116">
        <v>832.55</v>
      </c>
      <c r="C316" s="116">
        <v>819.75</v>
      </c>
      <c r="D316" s="116">
        <v>818</v>
      </c>
      <c r="E316" s="116">
        <v>832.55</v>
      </c>
      <c r="F316" s="116">
        <v>819.75</v>
      </c>
      <c r="G316">
        <v>6426</v>
      </c>
      <c r="H316" s="116"/>
      <c r="I316" s="116"/>
      <c r="L316" s="170">
        <v>44036</v>
      </c>
      <c r="M316" s="116">
        <v>819.35</v>
      </c>
      <c r="N316" s="116">
        <v>831.15</v>
      </c>
      <c r="O316" s="116">
        <v>817.5</v>
      </c>
      <c r="P316" s="116">
        <v>830</v>
      </c>
      <c r="Q316" s="116">
        <v>819.35</v>
      </c>
      <c r="R316">
        <v>167776</v>
      </c>
    </row>
    <row r="317" spans="1:18" x14ac:dyDescent="0.25">
      <c r="A317" s="170">
        <v>44039</v>
      </c>
      <c r="B317" s="116">
        <v>823.5</v>
      </c>
      <c r="C317" s="116">
        <v>804.4</v>
      </c>
      <c r="D317" s="116">
        <v>800</v>
      </c>
      <c r="E317" s="116">
        <v>816.75</v>
      </c>
      <c r="F317" s="116">
        <v>804.4</v>
      </c>
      <c r="G317">
        <v>23263</v>
      </c>
      <c r="H317" s="116"/>
      <c r="I317" s="116"/>
      <c r="L317" s="170">
        <v>44039</v>
      </c>
      <c r="M317" s="116">
        <v>804.25</v>
      </c>
      <c r="N317" s="116">
        <v>822.9</v>
      </c>
      <c r="O317" s="116">
        <v>800</v>
      </c>
      <c r="P317" s="116">
        <v>822.9</v>
      </c>
      <c r="Q317" s="116">
        <v>804.25</v>
      </c>
      <c r="R317">
        <v>177106</v>
      </c>
    </row>
    <row r="318" spans="1:18" x14ac:dyDescent="0.25">
      <c r="A318" s="170">
        <v>44040</v>
      </c>
      <c r="B318" s="116">
        <v>818.45</v>
      </c>
      <c r="C318" s="116">
        <v>804.85</v>
      </c>
      <c r="D318" s="116">
        <v>801</v>
      </c>
      <c r="E318" s="116">
        <v>810</v>
      </c>
      <c r="F318" s="116">
        <v>804.85</v>
      </c>
      <c r="G318">
        <v>14203</v>
      </c>
      <c r="H318" s="116"/>
      <c r="I318" s="116"/>
      <c r="L318" s="170">
        <v>44040</v>
      </c>
      <c r="M318" s="116">
        <v>804.65</v>
      </c>
      <c r="N318" s="116">
        <v>818</v>
      </c>
      <c r="O318" s="116">
        <v>801.25</v>
      </c>
      <c r="P318" s="116">
        <v>804.25</v>
      </c>
      <c r="Q318" s="116">
        <v>804.65</v>
      </c>
      <c r="R318">
        <v>620059</v>
      </c>
    </row>
    <row r="319" spans="1:18" x14ac:dyDescent="0.25">
      <c r="A319" s="170">
        <v>44041</v>
      </c>
      <c r="B319" s="116">
        <v>832</v>
      </c>
      <c r="C319" s="116">
        <v>816.85</v>
      </c>
      <c r="D319" s="116">
        <v>804.85</v>
      </c>
      <c r="E319" s="116">
        <v>807</v>
      </c>
      <c r="F319" s="116">
        <v>816.85</v>
      </c>
      <c r="G319">
        <v>21079</v>
      </c>
      <c r="H319" s="116"/>
      <c r="I319" s="116"/>
      <c r="L319" s="170">
        <v>44041</v>
      </c>
      <c r="M319" s="116">
        <v>817.35</v>
      </c>
      <c r="N319" s="116">
        <v>832</v>
      </c>
      <c r="O319" s="116">
        <v>805</v>
      </c>
      <c r="P319" s="116">
        <v>810.8</v>
      </c>
      <c r="Q319" s="116">
        <v>817.35</v>
      </c>
      <c r="R319">
        <v>200370</v>
      </c>
    </row>
    <row r="320" spans="1:18" x14ac:dyDescent="0.25">
      <c r="A320" s="170">
        <v>44042</v>
      </c>
      <c r="B320" s="116">
        <v>827</v>
      </c>
      <c r="C320" s="116">
        <v>809.4</v>
      </c>
      <c r="D320" s="116">
        <v>806.85</v>
      </c>
      <c r="E320" s="116">
        <v>814.6</v>
      </c>
      <c r="F320" s="116">
        <v>809.4</v>
      </c>
      <c r="G320">
        <v>4354</v>
      </c>
      <c r="H320" s="116"/>
      <c r="I320" s="116"/>
      <c r="L320" s="170">
        <v>44042</v>
      </c>
      <c r="M320" s="116">
        <v>808.8</v>
      </c>
      <c r="N320" s="116">
        <v>827.9</v>
      </c>
      <c r="O320" s="116">
        <v>805.75</v>
      </c>
      <c r="P320" s="116">
        <v>812</v>
      </c>
      <c r="Q320" s="116">
        <v>808.8</v>
      </c>
      <c r="R320">
        <v>115112</v>
      </c>
    </row>
    <row r="321" spans="1:18" x14ac:dyDescent="0.25">
      <c r="A321" s="170">
        <v>44043</v>
      </c>
      <c r="B321" s="116">
        <v>835</v>
      </c>
      <c r="C321" s="116">
        <v>819.7</v>
      </c>
      <c r="D321" s="116">
        <v>808</v>
      </c>
      <c r="E321" s="116">
        <v>810</v>
      </c>
      <c r="F321" s="116">
        <v>819.7</v>
      </c>
      <c r="G321">
        <v>22006</v>
      </c>
      <c r="H321" s="116"/>
      <c r="I321" s="116"/>
      <c r="L321" s="170">
        <v>44043</v>
      </c>
      <c r="M321" s="116">
        <v>820.3</v>
      </c>
      <c r="N321" s="116">
        <v>835.95</v>
      </c>
      <c r="O321" s="116">
        <v>807.8</v>
      </c>
      <c r="P321" s="116">
        <v>809.05</v>
      </c>
      <c r="Q321" s="116">
        <v>820.3</v>
      </c>
      <c r="R321">
        <v>225544</v>
      </c>
    </row>
    <row r="322" spans="1:18" x14ac:dyDescent="0.25">
      <c r="A322" s="170">
        <v>44046</v>
      </c>
      <c r="B322" s="116">
        <v>848.65</v>
      </c>
      <c r="C322" s="116">
        <v>829.05</v>
      </c>
      <c r="D322" s="116">
        <v>817.2</v>
      </c>
      <c r="E322" s="116">
        <v>823.85</v>
      </c>
      <c r="F322" s="116">
        <v>829.05</v>
      </c>
      <c r="G322">
        <v>10557</v>
      </c>
      <c r="H322" s="116"/>
      <c r="I322" s="116"/>
      <c r="L322" s="170">
        <v>44046</v>
      </c>
      <c r="M322" s="116">
        <v>829.35</v>
      </c>
      <c r="N322" s="116">
        <v>849</v>
      </c>
      <c r="O322" s="116">
        <v>815</v>
      </c>
      <c r="P322" s="116">
        <v>820</v>
      </c>
      <c r="Q322" s="116">
        <v>829.35</v>
      </c>
      <c r="R322">
        <v>312589</v>
      </c>
    </row>
    <row r="323" spans="1:18" x14ac:dyDescent="0.25">
      <c r="A323" s="170">
        <v>44047</v>
      </c>
      <c r="B323" s="116">
        <v>852</v>
      </c>
      <c r="C323" s="116">
        <v>839.8</v>
      </c>
      <c r="D323" s="116">
        <v>830.5</v>
      </c>
      <c r="E323" s="116">
        <v>852</v>
      </c>
      <c r="F323" s="116">
        <v>839.8</v>
      </c>
      <c r="G323">
        <v>4057</v>
      </c>
      <c r="H323" s="116"/>
      <c r="I323" s="116"/>
      <c r="L323" s="170">
        <v>44047</v>
      </c>
      <c r="M323" s="116">
        <v>840.1</v>
      </c>
      <c r="N323" s="116">
        <v>844.9</v>
      </c>
      <c r="O323" s="116">
        <v>830.05</v>
      </c>
      <c r="P323" s="116">
        <v>833.95</v>
      </c>
      <c r="Q323" s="116">
        <v>840.1</v>
      </c>
      <c r="R323">
        <v>185238</v>
      </c>
    </row>
    <row r="324" spans="1:18" x14ac:dyDescent="0.25">
      <c r="A324" s="170">
        <v>44048</v>
      </c>
      <c r="B324" s="116">
        <v>857.8</v>
      </c>
      <c r="C324" s="116">
        <v>844.1</v>
      </c>
      <c r="D324" s="116">
        <v>840.35</v>
      </c>
      <c r="E324" s="116">
        <v>840.4</v>
      </c>
      <c r="F324" s="116">
        <v>844.1</v>
      </c>
      <c r="G324">
        <v>7611</v>
      </c>
      <c r="H324" s="116"/>
      <c r="I324" s="116"/>
      <c r="L324" s="170">
        <v>44048</v>
      </c>
      <c r="M324" s="116">
        <v>844.3</v>
      </c>
      <c r="N324" s="116">
        <v>858</v>
      </c>
      <c r="O324" s="116">
        <v>840.2</v>
      </c>
      <c r="P324" s="116">
        <v>840.2</v>
      </c>
      <c r="Q324" s="116">
        <v>844.3</v>
      </c>
      <c r="R324">
        <v>296075</v>
      </c>
    </row>
    <row r="325" spans="1:18" x14ac:dyDescent="0.25">
      <c r="A325" s="170">
        <v>44049</v>
      </c>
      <c r="B325" s="116">
        <v>851.35</v>
      </c>
      <c r="C325" s="116">
        <v>836.75</v>
      </c>
      <c r="D325" s="116">
        <v>832</v>
      </c>
      <c r="E325" s="116">
        <v>847.35</v>
      </c>
      <c r="F325" s="116">
        <v>836.75</v>
      </c>
      <c r="G325">
        <v>6968</v>
      </c>
      <c r="H325" s="116"/>
      <c r="I325" s="116"/>
      <c r="L325" s="170">
        <v>44049</v>
      </c>
      <c r="M325" s="116">
        <v>836.25</v>
      </c>
      <c r="N325" s="116">
        <v>853.55</v>
      </c>
      <c r="O325" s="116">
        <v>830.5</v>
      </c>
      <c r="P325" s="116">
        <v>846</v>
      </c>
      <c r="Q325" s="116">
        <v>836.25</v>
      </c>
      <c r="R325">
        <v>111630</v>
      </c>
    </row>
    <row r="326" spans="1:18" x14ac:dyDescent="0.25">
      <c r="A326" s="170">
        <v>44050</v>
      </c>
      <c r="B326" s="116">
        <v>854.55</v>
      </c>
      <c r="C326" s="116">
        <v>842.6</v>
      </c>
      <c r="D326" s="116">
        <v>828.35</v>
      </c>
      <c r="E326" s="116">
        <v>828.35</v>
      </c>
      <c r="F326" s="116">
        <v>842.6</v>
      </c>
      <c r="G326">
        <v>15437</v>
      </c>
      <c r="H326" s="116"/>
      <c r="I326" s="116"/>
      <c r="L326" s="170">
        <v>44050</v>
      </c>
      <c r="M326" s="116">
        <v>842.45</v>
      </c>
      <c r="N326" s="116">
        <v>855</v>
      </c>
      <c r="O326" s="116">
        <v>835.1</v>
      </c>
      <c r="P326" s="116">
        <v>835.95</v>
      </c>
      <c r="Q326" s="116">
        <v>842.45</v>
      </c>
      <c r="R326">
        <v>215544</v>
      </c>
    </row>
    <row r="327" spans="1:18" x14ac:dyDescent="0.25">
      <c r="A327" s="170">
        <v>44053</v>
      </c>
      <c r="B327" s="116">
        <v>868.4</v>
      </c>
      <c r="C327" s="116">
        <v>857.1</v>
      </c>
      <c r="D327" s="116">
        <v>835.5</v>
      </c>
      <c r="E327" s="116">
        <v>846</v>
      </c>
      <c r="F327" s="116">
        <v>857.1</v>
      </c>
      <c r="G327">
        <v>32482</v>
      </c>
      <c r="H327" s="116"/>
      <c r="I327" s="116"/>
      <c r="L327" s="170">
        <v>44053</v>
      </c>
      <c r="M327" s="116">
        <v>857</v>
      </c>
      <c r="N327" s="116">
        <v>869</v>
      </c>
      <c r="O327" s="116">
        <v>836</v>
      </c>
      <c r="P327" s="116">
        <v>846.95</v>
      </c>
      <c r="Q327" s="116">
        <v>857</v>
      </c>
      <c r="R327">
        <v>333763</v>
      </c>
    </row>
    <row r="328" spans="1:18" x14ac:dyDescent="0.25">
      <c r="A328" s="170">
        <v>44054</v>
      </c>
      <c r="B328" s="116">
        <v>867.5</v>
      </c>
      <c r="C328" s="116">
        <v>845.9</v>
      </c>
      <c r="D328" s="116">
        <v>843.2</v>
      </c>
      <c r="E328" s="116">
        <v>858.5</v>
      </c>
      <c r="F328" s="116">
        <v>845.9</v>
      </c>
      <c r="G328">
        <v>13129</v>
      </c>
      <c r="H328" s="116"/>
      <c r="I328" s="116"/>
      <c r="L328" s="170">
        <v>44054</v>
      </c>
      <c r="M328" s="116">
        <v>846.5</v>
      </c>
      <c r="N328" s="116">
        <v>868.9</v>
      </c>
      <c r="O328" s="116">
        <v>843</v>
      </c>
      <c r="P328" s="116">
        <v>864.7</v>
      </c>
      <c r="Q328" s="116">
        <v>846.5</v>
      </c>
      <c r="R328">
        <v>153459</v>
      </c>
    </row>
    <row r="329" spans="1:18" x14ac:dyDescent="0.25">
      <c r="A329" s="170">
        <v>44055</v>
      </c>
      <c r="B329" s="116">
        <v>856.75</v>
      </c>
      <c r="C329" s="116">
        <v>840.2</v>
      </c>
      <c r="D329" s="116">
        <v>839</v>
      </c>
      <c r="E329" s="116">
        <v>840</v>
      </c>
      <c r="F329" s="116">
        <v>840.2</v>
      </c>
      <c r="G329">
        <v>6060</v>
      </c>
      <c r="H329" s="116"/>
      <c r="I329" s="116"/>
      <c r="L329" s="170">
        <v>44055</v>
      </c>
      <c r="M329" s="116">
        <v>840</v>
      </c>
      <c r="N329" s="116">
        <v>858</v>
      </c>
      <c r="O329" s="116">
        <v>838.6</v>
      </c>
      <c r="P329" s="116">
        <v>844.65</v>
      </c>
      <c r="Q329" s="116">
        <v>840</v>
      </c>
      <c r="R329">
        <v>181739</v>
      </c>
    </row>
    <row r="330" spans="1:18" x14ac:dyDescent="0.25">
      <c r="A330" s="170">
        <v>44056</v>
      </c>
      <c r="B330" s="116">
        <v>853</v>
      </c>
      <c r="C330" s="116">
        <v>849.2</v>
      </c>
      <c r="D330" s="116">
        <v>843.3</v>
      </c>
      <c r="E330" s="116">
        <v>847</v>
      </c>
      <c r="F330" s="116">
        <v>849.2</v>
      </c>
      <c r="G330">
        <v>9976</v>
      </c>
      <c r="H330" s="116"/>
      <c r="I330" s="116"/>
      <c r="L330" s="170">
        <v>44056</v>
      </c>
      <c r="M330" s="116">
        <v>849.65</v>
      </c>
      <c r="N330" s="116">
        <v>854</v>
      </c>
      <c r="O330" s="116">
        <v>841</v>
      </c>
      <c r="P330" s="116">
        <v>841</v>
      </c>
      <c r="Q330" s="116">
        <v>849.65</v>
      </c>
      <c r="R330">
        <v>116650</v>
      </c>
    </row>
    <row r="331" spans="1:18" x14ac:dyDescent="0.25">
      <c r="A331" s="170">
        <v>44057</v>
      </c>
      <c r="B331" s="116">
        <v>892.95</v>
      </c>
      <c r="C331" s="116">
        <v>874.75</v>
      </c>
      <c r="D331" s="116">
        <v>849</v>
      </c>
      <c r="E331" s="116">
        <v>849</v>
      </c>
      <c r="F331" s="116">
        <v>874.75</v>
      </c>
      <c r="G331">
        <v>57899</v>
      </c>
      <c r="H331" s="116"/>
      <c r="I331" s="116"/>
      <c r="L331" s="170">
        <v>44057</v>
      </c>
      <c r="M331" s="116">
        <v>876.45</v>
      </c>
      <c r="N331" s="116">
        <v>892.8</v>
      </c>
      <c r="O331" s="116">
        <v>847.1</v>
      </c>
      <c r="P331" s="116">
        <v>851.8</v>
      </c>
      <c r="Q331" s="116">
        <v>876.45</v>
      </c>
      <c r="R331">
        <v>1180838</v>
      </c>
    </row>
    <row r="332" spans="1:18" x14ac:dyDescent="0.25">
      <c r="A332" s="170">
        <v>44060</v>
      </c>
      <c r="B332" s="116">
        <v>909.95</v>
      </c>
      <c r="C332" s="116">
        <v>898.9</v>
      </c>
      <c r="D332" s="116">
        <v>880</v>
      </c>
      <c r="E332" s="116">
        <v>884</v>
      </c>
      <c r="F332" s="116">
        <v>898.9</v>
      </c>
      <c r="G332">
        <v>45124</v>
      </c>
      <c r="H332" s="116"/>
      <c r="I332" s="116"/>
      <c r="L332" s="170">
        <v>44060</v>
      </c>
      <c r="M332" s="116">
        <v>899.8</v>
      </c>
      <c r="N332" s="116">
        <v>910</v>
      </c>
      <c r="O332" s="116">
        <v>880.1</v>
      </c>
      <c r="P332" s="116">
        <v>882.85</v>
      </c>
      <c r="Q332" s="116">
        <v>899.8</v>
      </c>
      <c r="R332">
        <v>975405</v>
      </c>
    </row>
    <row r="333" spans="1:18" x14ac:dyDescent="0.25">
      <c r="A333" s="170">
        <v>44061</v>
      </c>
      <c r="B333" s="116">
        <v>915.1</v>
      </c>
      <c r="C333" s="116">
        <v>894.2</v>
      </c>
      <c r="D333" s="116">
        <v>890.7</v>
      </c>
      <c r="E333" s="116">
        <v>907.5</v>
      </c>
      <c r="F333" s="116">
        <v>894.2</v>
      </c>
      <c r="G333">
        <v>17608</v>
      </c>
      <c r="H333" s="116"/>
      <c r="I333" s="116"/>
      <c r="L333" s="170">
        <v>44061</v>
      </c>
      <c r="M333" s="116">
        <v>894.9</v>
      </c>
      <c r="N333" s="116">
        <v>916</v>
      </c>
      <c r="O333" s="116">
        <v>890.2</v>
      </c>
      <c r="P333" s="116">
        <v>903.5</v>
      </c>
      <c r="Q333" s="116">
        <v>894.9</v>
      </c>
      <c r="R333">
        <v>386978</v>
      </c>
    </row>
    <row r="334" spans="1:18" x14ac:dyDescent="0.25">
      <c r="A334" s="170">
        <v>44062</v>
      </c>
      <c r="B334" s="116">
        <v>917.95</v>
      </c>
      <c r="C334" s="116">
        <v>907.2</v>
      </c>
      <c r="D334" s="116">
        <v>900</v>
      </c>
      <c r="E334" s="116">
        <v>906.7</v>
      </c>
      <c r="F334" s="116">
        <v>907.2</v>
      </c>
      <c r="G334">
        <v>11723</v>
      </c>
      <c r="H334" s="116"/>
      <c r="I334" s="116"/>
      <c r="L334" s="170">
        <v>44062</v>
      </c>
      <c r="M334" s="116">
        <v>906.95</v>
      </c>
      <c r="N334" s="116">
        <v>918</v>
      </c>
      <c r="O334" s="116">
        <v>898</v>
      </c>
      <c r="P334" s="116">
        <v>899.5</v>
      </c>
      <c r="Q334" s="116">
        <v>906.95</v>
      </c>
      <c r="R334">
        <v>279616</v>
      </c>
    </row>
    <row r="335" spans="1:18" x14ac:dyDescent="0.25">
      <c r="A335" s="170">
        <v>44063</v>
      </c>
      <c r="B335" s="116">
        <v>910</v>
      </c>
      <c r="C335" s="116">
        <v>898.95</v>
      </c>
      <c r="D335" s="116">
        <v>882.25</v>
      </c>
      <c r="E335" s="116">
        <v>882.25</v>
      </c>
      <c r="F335" s="116">
        <v>898.95</v>
      </c>
      <c r="G335">
        <v>14567</v>
      </c>
      <c r="H335" s="116"/>
      <c r="I335" s="116"/>
      <c r="L335" s="170">
        <v>44063</v>
      </c>
      <c r="M335" s="116">
        <v>899.45</v>
      </c>
      <c r="N335" s="116">
        <v>910.5</v>
      </c>
      <c r="O335" s="116">
        <v>891.1</v>
      </c>
      <c r="P335" s="116">
        <v>900</v>
      </c>
      <c r="Q335" s="116">
        <v>899.45</v>
      </c>
      <c r="R335">
        <v>195671</v>
      </c>
    </row>
    <row r="336" spans="1:18" x14ac:dyDescent="0.25">
      <c r="A336" s="170">
        <v>44064</v>
      </c>
      <c r="B336" s="116">
        <v>908.55</v>
      </c>
      <c r="C336" s="116">
        <v>897.3</v>
      </c>
      <c r="D336" s="116">
        <v>895</v>
      </c>
      <c r="E336" s="116">
        <v>900</v>
      </c>
      <c r="F336" s="116">
        <v>897.3</v>
      </c>
      <c r="G336">
        <v>4942</v>
      </c>
      <c r="H336" s="116"/>
      <c r="I336" s="116"/>
      <c r="L336" s="170">
        <v>44064</v>
      </c>
      <c r="M336" s="116">
        <v>896.95</v>
      </c>
      <c r="N336" s="116">
        <v>909.9</v>
      </c>
      <c r="O336" s="116">
        <v>894.5</v>
      </c>
      <c r="P336" s="116">
        <v>905.4</v>
      </c>
      <c r="Q336" s="116">
        <v>896.95</v>
      </c>
      <c r="R336">
        <v>149453</v>
      </c>
    </row>
    <row r="337" spans="1:18" x14ac:dyDescent="0.25">
      <c r="A337" s="170">
        <v>44067</v>
      </c>
      <c r="B337" s="116">
        <v>906.35</v>
      </c>
      <c r="C337" s="116">
        <v>887</v>
      </c>
      <c r="D337" s="116">
        <v>885.2</v>
      </c>
      <c r="E337" s="116">
        <v>895</v>
      </c>
      <c r="F337" s="116">
        <v>887</v>
      </c>
      <c r="G337">
        <v>19441</v>
      </c>
      <c r="H337" s="116"/>
      <c r="I337" s="116"/>
      <c r="L337" s="170">
        <v>44067</v>
      </c>
      <c r="M337" s="116">
        <v>887</v>
      </c>
      <c r="N337" s="116">
        <v>907.5</v>
      </c>
      <c r="O337" s="116">
        <v>885</v>
      </c>
      <c r="P337" s="116">
        <v>903.9</v>
      </c>
      <c r="Q337" s="116">
        <v>887</v>
      </c>
      <c r="R337">
        <v>181125</v>
      </c>
    </row>
    <row r="338" spans="1:18" x14ac:dyDescent="0.25">
      <c r="A338" s="170">
        <v>44068</v>
      </c>
      <c r="B338" s="116">
        <v>901.95</v>
      </c>
      <c r="C338" s="116">
        <v>869.45</v>
      </c>
      <c r="D338" s="116">
        <v>865.15</v>
      </c>
      <c r="E338" s="116">
        <v>901.95</v>
      </c>
      <c r="F338" s="116">
        <v>869.45</v>
      </c>
      <c r="G338">
        <v>12023</v>
      </c>
      <c r="H338" s="116"/>
      <c r="I338" s="116"/>
      <c r="L338" s="170">
        <v>44068</v>
      </c>
      <c r="M338" s="116">
        <v>869.55</v>
      </c>
      <c r="N338" s="116">
        <v>895</v>
      </c>
      <c r="O338" s="116">
        <v>864.3</v>
      </c>
      <c r="P338" s="116">
        <v>893.2</v>
      </c>
      <c r="Q338" s="116">
        <v>869.55</v>
      </c>
      <c r="R338">
        <v>195836</v>
      </c>
    </row>
    <row r="339" spans="1:18" x14ac:dyDescent="0.25">
      <c r="A339" s="170">
        <v>44069</v>
      </c>
      <c r="B339" s="116">
        <v>929.7</v>
      </c>
      <c r="C339" s="116">
        <v>918.2</v>
      </c>
      <c r="D339" s="116">
        <v>869.8</v>
      </c>
      <c r="E339" s="116">
        <v>870.05</v>
      </c>
      <c r="F339" s="116">
        <v>918.2</v>
      </c>
      <c r="G339">
        <v>35036</v>
      </c>
      <c r="H339" s="116"/>
      <c r="I339" s="116"/>
      <c r="L339" s="170">
        <v>44069</v>
      </c>
      <c r="M339" s="116">
        <v>919.15</v>
      </c>
      <c r="N339" s="116">
        <v>929.9</v>
      </c>
      <c r="O339" s="116">
        <v>868.05</v>
      </c>
      <c r="P339" s="116">
        <v>873.6</v>
      </c>
      <c r="Q339" s="116">
        <v>919.15</v>
      </c>
      <c r="R339">
        <v>909124</v>
      </c>
    </row>
    <row r="340" spans="1:18" x14ac:dyDescent="0.25">
      <c r="A340" s="170">
        <v>44070</v>
      </c>
      <c r="B340" s="116">
        <v>939.95</v>
      </c>
      <c r="C340" s="116">
        <v>913.65</v>
      </c>
      <c r="D340" s="116">
        <v>911.65</v>
      </c>
      <c r="E340" s="116">
        <v>929</v>
      </c>
      <c r="F340" s="116">
        <v>913.65</v>
      </c>
      <c r="G340">
        <v>32786</v>
      </c>
      <c r="H340" s="116"/>
      <c r="I340" s="116"/>
      <c r="L340" s="170">
        <v>44070</v>
      </c>
      <c r="M340" s="116">
        <v>913.3</v>
      </c>
      <c r="N340" s="116">
        <v>939</v>
      </c>
      <c r="O340" s="116">
        <v>910</v>
      </c>
      <c r="P340" s="116">
        <v>925</v>
      </c>
      <c r="Q340" s="116">
        <v>913.3</v>
      </c>
      <c r="R340">
        <v>574498</v>
      </c>
    </row>
    <row r="341" spans="1:18" x14ac:dyDescent="0.25">
      <c r="A341" s="170">
        <v>44071</v>
      </c>
      <c r="B341" s="116">
        <v>920.75</v>
      </c>
      <c r="C341" s="116">
        <v>900</v>
      </c>
      <c r="D341" s="116">
        <v>896.5</v>
      </c>
      <c r="E341" s="116">
        <v>918.4</v>
      </c>
      <c r="F341" s="116">
        <v>900</v>
      </c>
      <c r="G341">
        <v>13693</v>
      </c>
      <c r="H341" s="116"/>
      <c r="I341" s="116"/>
      <c r="L341" s="170">
        <v>44071</v>
      </c>
      <c r="M341" s="116">
        <v>900.25</v>
      </c>
      <c r="N341" s="116">
        <v>922.6</v>
      </c>
      <c r="O341" s="116">
        <v>895.55</v>
      </c>
      <c r="P341" s="116">
        <v>919.6</v>
      </c>
      <c r="Q341" s="116">
        <v>900.25</v>
      </c>
      <c r="R341">
        <v>219494</v>
      </c>
    </row>
    <row r="342" spans="1:18" x14ac:dyDescent="0.25">
      <c r="A342" s="170">
        <v>44074</v>
      </c>
      <c r="B342" s="116">
        <v>912.85</v>
      </c>
      <c r="C342" s="116">
        <v>890.35</v>
      </c>
      <c r="D342" s="116">
        <v>845.1</v>
      </c>
      <c r="E342" s="116">
        <v>905</v>
      </c>
      <c r="F342" s="116">
        <v>890.35</v>
      </c>
      <c r="G342">
        <v>17959</v>
      </c>
      <c r="H342" s="116"/>
      <c r="I342" s="116"/>
      <c r="L342" s="170">
        <v>44074</v>
      </c>
      <c r="M342" s="116">
        <v>892.85</v>
      </c>
      <c r="N342" s="116">
        <v>913</v>
      </c>
      <c r="O342" s="116">
        <v>844</v>
      </c>
      <c r="P342" s="116">
        <v>907</v>
      </c>
      <c r="Q342" s="116">
        <v>892.85</v>
      </c>
      <c r="R342">
        <v>367938</v>
      </c>
    </row>
    <row r="343" spans="1:18" x14ac:dyDescent="0.25">
      <c r="A343" s="170">
        <v>44075</v>
      </c>
      <c r="B343" s="116">
        <v>895.35</v>
      </c>
      <c r="C343" s="116">
        <v>882.55</v>
      </c>
      <c r="D343" s="116">
        <v>866</v>
      </c>
      <c r="E343" s="116">
        <v>877</v>
      </c>
      <c r="F343" s="116">
        <v>882.55</v>
      </c>
      <c r="G343">
        <v>5097</v>
      </c>
      <c r="H343" s="116"/>
      <c r="I343" s="116"/>
      <c r="L343" s="170">
        <v>44075</v>
      </c>
      <c r="M343" s="116">
        <v>882.4</v>
      </c>
      <c r="N343" s="116">
        <v>896.55</v>
      </c>
      <c r="O343" s="116">
        <v>865.4</v>
      </c>
      <c r="P343" s="116">
        <v>892.85</v>
      </c>
      <c r="Q343" s="116">
        <v>882.4</v>
      </c>
      <c r="R343">
        <v>152363</v>
      </c>
    </row>
    <row r="344" spans="1:18" x14ac:dyDescent="0.25">
      <c r="A344" s="170">
        <v>44076</v>
      </c>
      <c r="B344" s="116">
        <v>895</v>
      </c>
      <c r="C344" s="116">
        <v>880.95</v>
      </c>
      <c r="D344" s="116">
        <v>866.1</v>
      </c>
      <c r="E344" s="116">
        <v>866.1</v>
      </c>
      <c r="F344" s="116">
        <v>880.95</v>
      </c>
      <c r="G344">
        <v>6535</v>
      </c>
      <c r="H344" s="116"/>
      <c r="I344" s="116"/>
      <c r="L344" s="170">
        <v>44076</v>
      </c>
      <c r="M344" s="116">
        <v>881.55</v>
      </c>
      <c r="N344" s="116">
        <v>895.4</v>
      </c>
      <c r="O344" s="116">
        <v>880</v>
      </c>
      <c r="P344" s="116">
        <v>884.95</v>
      </c>
      <c r="Q344" s="116">
        <v>881.55</v>
      </c>
      <c r="R344">
        <v>161036</v>
      </c>
    </row>
    <row r="345" spans="1:18" x14ac:dyDescent="0.25">
      <c r="A345" s="170">
        <v>44077</v>
      </c>
      <c r="B345" s="116">
        <v>892</v>
      </c>
      <c r="C345" s="116">
        <v>870.95</v>
      </c>
      <c r="D345" s="116">
        <v>867.35</v>
      </c>
      <c r="E345" s="116">
        <v>876</v>
      </c>
      <c r="F345" s="116">
        <v>870.95</v>
      </c>
      <c r="G345">
        <v>5156</v>
      </c>
      <c r="H345" s="116"/>
      <c r="I345" s="116"/>
      <c r="L345" s="170">
        <v>44077</v>
      </c>
      <c r="M345" s="116">
        <v>870.7</v>
      </c>
      <c r="N345" s="116">
        <v>892</v>
      </c>
      <c r="O345" s="116">
        <v>866.15</v>
      </c>
      <c r="P345" s="116">
        <v>882</v>
      </c>
      <c r="Q345" s="116">
        <v>870.7</v>
      </c>
      <c r="R345">
        <v>148477</v>
      </c>
    </row>
    <row r="346" spans="1:18" x14ac:dyDescent="0.25">
      <c r="A346" s="170">
        <v>44078</v>
      </c>
      <c r="B346" s="116">
        <v>884.4</v>
      </c>
      <c r="C346" s="116">
        <v>865.3</v>
      </c>
      <c r="D346" s="116">
        <v>854.3</v>
      </c>
      <c r="E346" s="116">
        <v>860</v>
      </c>
      <c r="F346" s="116">
        <v>865.3</v>
      </c>
      <c r="G346">
        <v>15625</v>
      </c>
      <c r="H346" s="116"/>
      <c r="I346" s="116"/>
      <c r="L346" s="170">
        <v>44078</v>
      </c>
      <c r="M346" s="116">
        <v>865.65</v>
      </c>
      <c r="N346" s="116">
        <v>885</v>
      </c>
      <c r="O346" s="116">
        <v>855.05</v>
      </c>
      <c r="P346" s="116">
        <v>865</v>
      </c>
      <c r="Q346" s="116">
        <v>865.65</v>
      </c>
      <c r="R346">
        <v>87347</v>
      </c>
    </row>
    <row r="347" spans="1:18" x14ac:dyDescent="0.25">
      <c r="A347" s="170">
        <v>44081</v>
      </c>
      <c r="B347" s="116">
        <v>877.35</v>
      </c>
      <c r="C347" s="116">
        <v>850.2</v>
      </c>
      <c r="D347" s="116">
        <v>847.2</v>
      </c>
      <c r="E347" s="116">
        <v>866.05</v>
      </c>
      <c r="F347" s="116">
        <v>850.2</v>
      </c>
      <c r="G347">
        <v>6138</v>
      </c>
      <c r="H347" s="116"/>
      <c r="I347" s="116"/>
      <c r="L347" s="170">
        <v>44081</v>
      </c>
      <c r="M347" s="116">
        <v>849.2</v>
      </c>
      <c r="N347" s="116">
        <v>878</v>
      </c>
      <c r="O347" s="116">
        <v>846</v>
      </c>
      <c r="P347" s="116">
        <v>866.4</v>
      </c>
      <c r="Q347" s="116">
        <v>849.2</v>
      </c>
      <c r="R347">
        <v>175262</v>
      </c>
    </row>
    <row r="348" spans="1:18" x14ac:dyDescent="0.25">
      <c r="A348" s="170">
        <v>44082</v>
      </c>
      <c r="B348" s="116">
        <v>857.2</v>
      </c>
      <c r="C348" s="116">
        <v>841.85</v>
      </c>
      <c r="D348" s="116">
        <v>840.1</v>
      </c>
      <c r="E348" s="116">
        <v>852</v>
      </c>
      <c r="F348" s="116">
        <v>841.85</v>
      </c>
      <c r="G348">
        <v>11107</v>
      </c>
      <c r="H348" s="116"/>
      <c r="I348" s="116"/>
      <c r="L348" s="170">
        <v>44082</v>
      </c>
      <c r="M348" s="116">
        <v>842.2</v>
      </c>
      <c r="N348" s="116">
        <v>858.35</v>
      </c>
      <c r="O348" s="116">
        <v>840</v>
      </c>
      <c r="P348" s="116">
        <v>854</v>
      </c>
      <c r="Q348" s="116">
        <v>842.2</v>
      </c>
      <c r="R348">
        <v>113238</v>
      </c>
    </row>
    <row r="349" spans="1:18" x14ac:dyDescent="0.25">
      <c r="A349" s="170">
        <v>44083</v>
      </c>
      <c r="B349" s="116">
        <v>838.9</v>
      </c>
      <c r="C349" s="116">
        <v>831.1</v>
      </c>
      <c r="D349" s="116">
        <v>820</v>
      </c>
      <c r="E349" s="116">
        <v>838.9</v>
      </c>
      <c r="F349" s="116">
        <v>831.1</v>
      </c>
      <c r="G349">
        <v>5891</v>
      </c>
      <c r="H349" s="116"/>
      <c r="I349" s="116"/>
      <c r="L349" s="170">
        <v>44083</v>
      </c>
      <c r="M349" s="116">
        <v>830.15</v>
      </c>
      <c r="N349" s="116">
        <v>837.5</v>
      </c>
      <c r="O349" s="116">
        <v>820</v>
      </c>
      <c r="P349" s="116">
        <v>837</v>
      </c>
      <c r="Q349" s="116">
        <v>830.15</v>
      </c>
      <c r="R349">
        <v>141586</v>
      </c>
    </row>
    <row r="350" spans="1:18" x14ac:dyDescent="0.25">
      <c r="A350" s="170">
        <v>44084</v>
      </c>
      <c r="B350" s="116">
        <v>855</v>
      </c>
      <c r="C350" s="116">
        <v>841.75</v>
      </c>
      <c r="D350" s="116">
        <v>835</v>
      </c>
      <c r="E350" s="116">
        <v>840</v>
      </c>
      <c r="F350" s="116">
        <v>841.75</v>
      </c>
      <c r="G350">
        <v>9624</v>
      </c>
      <c r="H350" s="116"/>
      <c r="I350" s="116"/>
      <c r="L350" s="170">
        <v>44084</v>
      </c>
      <c r="M350" s="116">
        <v>841.15</v>
      </c>
      <c r="N350" s="116">
        <v>855.9</v>
      </c>
      <c r="O350" s="116">
        <v>834.5</v>
      </c>
      <c r="P350" s="116">
        <v>837.5</v>
      </c>
      <c r="Q350" s="116">
        <v>841.15</v>
      </c>
      <c r="R350">
        <v>111823</v>
      </c>
    </row>
    <row r="351" spans="1:18" x14ac:dyDescent="0.25">
      <c r="A351" s="170">
        <v>44085</v>
      </c>
      <c r="B351" s="116">
        <v>854.3</v>
      </c>
      <c r="C351" s="116">
        <v>847.4</v>
      </c>
      <c r="D351" s="116">
        <v>835</v>
      </c>
      <c r="E351" s="116">
        <v>835</v>
      </c>
      <c r="F351" s="116">
        <v>847.4</v>
      </c>
      <c r="G351">
        <v>6927</v>
      </c>
      <c r="H351" s="116"/>
      <c r="I351" s="116"/>
      <c r="L351" s="170">
        <v>44085</v>
      </c>
      <c r="M351" s="116">
        <v>847.15</v>
      </c>
      <c r="N351" s="116">
        <v>855</v>
      </c>
      <c r="O351" s="116">
        <v>841.15</v>
      </c>
      <c r="P351" s="116">
        <v>841.15</v>
      </c>
      <c r="Q351" s="116">
        <v>847.15</v>
      </c>
      <c r="R351">
        <v>71870</v>
      </c>
    </row>
    <row r="352" spans="1:18" x14ac:dyDescent="0.25">
      <c r="A352" s="170">
        <v>44088</v>
      </c>
      <c r="B352" s="116">
        <v>903</v>
      </c>
      <c r="C352" s="116">
        <v>887.85</v>
      </c>
      <c r="D352" s="116">
        <v>855.05</v>
      </c>
      <c r="E352" s="116">
        <v>875</v>
      </c>
      <c r="F352" s="116">
        <v>887.85</v>
      </c>
      <c r="G352">
        <v>45130</v>
      </c>
      <c r="H352" s="116"/>
      <c r="I352" s="116"/>
      <c r="L352" s="170">
        <v>44088</v>
      </c>
      <c r="M352" s="116">
        <v>888.35</v>
      </c>
      <c r="N352" s="116">
        <v>904</v>
      </c>
      <c r="O352" s="116">
        <v>855</v>
      </c>
      <c r="P352" s="116">
        <v>859.9</v>
      </c>
      <c r="Q352" s="116">
        <v>888.35</v>
      </c>
      <c r="R352">
        <v>401760</v>
      </c>
    </row>
    <row r="353" spans="1:18" x14ac:dyDescent="0.25">
      <c r="A353" s="170">
        <v>44089</v>
      </c>
      <c r="B353" s="116">
        <v>910</v>
      </c>
      <c r="C353" s="116">
        <v>895.25</v>
      </c>
      <c r="D353" s="116">
        <v>888.75</v>
      </c>
      <c r="E353" s="116">
        <v>903.95</v>
      </c>
      <c r="F353" s="116">
        <v>895.25</v>
      </c>
      <c r="G353">
        <v>7545</v>
      </c>
      <c r="H353" s="116"/>
      <c r="I353" s="116"/>
      <c r="L353" s="170">
        <v>44089</v>
      </c>
      <c r="M353" s="116">
        <v>897.05</v>
      </c>
      <c r="N353" s="116">
        <v>909.8</v>
      </c>
      <c r="O353" s="116">
        <v>889</v>
      </c>
      <c r="P353" s="116">
        <v>895.4</v>
      </c>
      <c r="Q353" s="116">
        <v>897.05</v>
      </c>
      <c r="R353">
        <v>197339</v>
      </c>
    </row>
    <row r="354" spans="1:18" x14ac:dyDescent="0.25">
      <c r="A354" s="170">
        <v>44090</v>
      </c>
      <c r="B354" s="116">
        <v>909.3</v>
      </c>
      <c r="C354" s="116">
        <v>889.7</v>
      </c>
      <c r="D354" s="116">
        <v>877.9</v>
      </c>
      <c r="E354" s="116">
        <v>895.5</v>
      </c>
      <c r="F354" s="116">
        <v>889.7</v>
      </c>
      <c r="G354">
        <v>2706</v>
      </c>
      <c r="H354" s="116"/>
      <c r="I354" s="116"/>
      <c r="L354" s="170">
        <v>44090</v>
      </c>
      <c r="M354" s="116">
        <v>889.4</v>
      </c>
      <c r="N354" s="116">
        <v>910</v>
      </c>
      <c r="O354" s="116">
        <v>877.1</v>
      </c>
      <c r="P354" s="116">
        <v>897.55</v>
      </c>
      <c r="Q354" s="116">
        <v>889.4</v>
      </c>
      <c r="R354">
        <v>111271</v>
      </c>
    </row>
    <row r="355" spans="1:18" x14ac:dyDescent="0.25">
      <c r="A355" s="170">
        <v>44091</v>
      </c>
      <c r="B355" s="116">
        <v>890.95</v>
      </c>
      <c r="C355" s="116">
        <v>882.4</v>
      </c>
      <c r="D355" s="116">
        <v>872.4</v>
      </c>
      <c r="E355" s="116">
        <v>880</v>
      </c>
      <c r="F355" s="116">
        <v>882.4</v>
      </c>
      <c r="G355">
        <v>11797</v>
      </c>
      <c r="H355" s="116"/>
      <c r="I355" s="116"/>
      <c r="L355" s="170">
        <v>44091</v>
      </c>
      <c r="M355" s="116">
        <v>882.6</v>
      </c>
      <c r="N355" s="116">
        <v>891.3</v>
      </c>
      <c r="O355" s="116">
        <v>872.55</v>
      </c>
      <c r="P355" s="116">
        <v>880</v>
      </c>
      <c r="Q355" s="116">
        <v>882.6</v>
      </c>
      <c r="R355">
        <v>69927</v>
      </c>
    </row>
    <row r="356" spans="1:18" x14ac:dyDescent="0.25">
      <c r="A356" s="170">
        <v>44092</v>
      </c>
      <c r="B356" s="116">
        <v>899</v>
      </c>
      <c r="C356" s="116">
        <v>877.3</v>
      </c>
      <c r="D356" s="116">
        <v>867.1</v>
      </c>
      <c r="E356" s="116">
        <v>899</v>
      </c>
      <c r="F356" s="116">
        <v>877.3</v>
      </c>
      <c r="G356">
        <v>4642</v>
      </c>
      <c r="H356" s="116"/>
      <c r="I356" s="116"/>
      <c r="L356" s="170">
        <v>44092</v>
      </c>
      <c r="M356" s="116">
        <v>879.7</v>
      </c>
      <c r="N356" s="116">
        <v>890</v>
      </c>
      <c r="O356" s="116">
        <v>867.4</v>
      </c>
      <c r="P356" s="116">
        <v>883.9</v>
      </c>
      <c r="Q356" s="116">
        <v>879.7</v>
      </c>
      <c r="R356">
        <v>138719</v>
      </c>
    </row>
    <row r="357" spans="1:18" x14ac:dyDescent="0.25">
      <c r="A357" s="170">
        <v>44095</v>
      </c>
      <c r="B357" s="116">
        <v>884.75</v>
      </c>
      <c r="C357" s="116">
        <v>847.8</v>
      </c>
      <c r="D357" s="116">
        <v>841.5</v>
      </c>
      <c r="E357" s="116">
        <v>881.75</v>
      </c>
      <c r="F357" s="116">
        <v>847.8</v>
      </c>
      <c r="G357">
        <v>9204</v>
      </c>
      <c r="H357" s="116"/>
      <c r="I357" s="116"/>
      <c r="L357" s="170">
        <v>44095</v>
      </c>
      <c r="M357" s="116">
        <v>847.3</v>
      </c>
      <c r="N357" s="116">
        <v>885</v>
      </c>
      <c r="O357" s="116">
        <v>841.85</v>
      </c>
      <c r="P357" s="116">
        <v>881.7</v>
      </c>
      <c r="Q357" s="116">
        <v>847.3</v>
      </c>
      <c r="R357">
        <v>119683</v>
      </c>
    </row>
    <row r="358" spans="1:18" x14ac:dyDescent="0.25">
      <c r="A358" s="170">
        <v>44096</v>
      </c>
      <c r="B358" s="116">
        <v>841.75</v>
      </c>
      <c r="C358" s="116">
        <v>813</v>
      </c>
      <c r="D358" s="116">
        <v>795</v>
      </c>
      <c r="E358" s="116">
        <v>826</v>
      </c>
      <c r="F358" s="116">
        <v>813</v>
      </c>
      <c r="G358">
        <v>26254</v>
      </c>
      <c r="H358" s="116"/>
      <c r="I358" s="116"/>
      <c r="L358" s="170">
        <v>44096</v>
      </c>
      <c r="M358" s="116">
        <v>811.75</v>
      </c>
      <c r="N358" s="116">
        <v>847</v>
      </c>
      <c r="O358" s="116">
        <v>798</v>
      </c>
      <c r="P358" s="116">
        <v>847</v>
      </c>
      <c r="Q358" s="116">
        <v>811.75</v>
      </c>
      <c r="R358">
        <v>245982</v>
      </c>
    </row>
    <row r="359" spans="1:18" x14ac:dyDescent="0.25">
      <c r="A359" s="170">
        <v>44097</v>
      </c>
      <c r="B359" s="116">
        <v>841</v>
      </c>
      <c r="C359" s="116">
        <v>825.8</v>
      </c>
      <c r="D359" s="116">
        <v>814.9</v>
      </c>
      <c r="E359" s="116">
        <v>830</v>
      </c>
      <c r="F359" s="116">
        <v>825.8</v>
      </c>
      <c r="G359">
        <v>11082</v>
      </c>
      <c r="H359" s="116"/>
      <c r="I359" s="116"/>
      <c r="L359" s="170">
        <v>44097</v>
      </c>
      <c r="M359" s="116">
        <v>827</v>
      </c>
      <c r="N359" s="116">
        <v>843</v>
      </c>
      <c r="O359" s="116">
        <v>814.15</v>
      </c>
      <c r="P359" s="116">
        <v>829.9</v>
      </c>
      <c r="Q359" s="116">
        <v>827</v>
      </c>
      <c r="R359">
        <v>121696</v>
      </c>
    </row>
    <row r="360" spans="1:18" x14ac:dyDescent="0.25">
      <c r="A360" s="170">
        <v>44098</v>
      </c>
      <c r="B360" s="116">
        <v>819.15</v>
      </c>
      <c r="C360" s="116">
        <v>816</v>
      </c>
      <c r="D360" s="116">
        <v>803.55</v>
      </c>
      <c r="E360" s="116">
        <v>808</v>
      </c>
      <c r="F360" s="116">
        <v>816</v>
      </c>
      <c r="G360">
        <v>3423</v>
      </c>
      <c r="H360" s="116"/>
      <c r="I360" s="116"/>
      <c r="L360" s="170">
        <v>44098</v>
      </c>
      <c r="M360" s="116">
        <v>815.6</v>
      </c>
      <c r="N360" s="116">
        <v>819.8</v>
      </c>
      <c r="O360" s="116">
        <v>800.1</v>
      </c>
      <c r="P360" s="116">
        <v>800.1</v>
      </c>
      <c r="Q360" s="116">
        <v>815.6</v>
      </c>
      <c r="R360">
        <v>105427</v>
      </c>
    </row>
    <row r="361" spans="1:18" x14ac:dyDescent="0.25">
      <c r="A361" s="170">
        <v>44099</v>
      </c>
      <c r="B361" s="116">
        <v>836.75</v>
      </c>
      <c r="C361" s="116">
        <v>828.35</v>
      </c>
      <c r="D361" s="116">
        <v>810.3</v>
      </c>
      <c r="E361" s="116">
        <v>819</v>
      </c>
      <c r="F361" s="116">
        <v>828.35</v>
      </c>
      <c r="G361">
        <v>9899</v>
      </c>
      <c r="H361" s="116"/>
      <c r="I361" s="116"/>
      <c r="L361" s="170">
        <v>44099</v>
      </c>
      <c r="M361" s="116">
        <v>828.5</v>
      </c>
      <c r="N361" s="116">
        <v>836.9</v>
      </c>
      <c r="O361" s="116">
        <v>810.35</v>
      </c>
      <c r="P361" s="116">
        <v>821</v>
      </c>
      <c r="Q361" s="116">
        <v>828.5</v>
      </c>
      <c r="R361">
        <v>104828</v>
      </c>
    </row>
    <row r="362" spans="1:18" x14ac:dyDescent="0.25">
      <c r="A362" s="170">
        <v>44102</v>
      </c>
      <c r="B362" s="116">
        <v>857.8</v>
      </c>
      <c r="C362" s="116">
        <v>839.8</v>
      </c>
      <c r="D362" s="116">
        <v>837.05</v>
      </c>
      <c r="E362" s="116">
        <v>850</v>
      </c>
      <c r="F362" s="116">
        <v>839.8</v>
      </c>
      <c r="G362">
        <v>2587</v>
      </c>
      <c r="H362" s="116"/>
      <c r="I362" s="116"/>
      <c r="L362" s="170">
        <v>44102</v>
      </c>
      <c r="M362" s="116">
        <v>839.2</v>
      </c>
      <c r="N362" s="116">
        <v>857.9</v>
      </c>
      <c r="O362" s="116">
        <v>835.1</v>
      </c>
      <c r="P362" s="116">
        <v>836</v>
      </c>
      <c r="Q362" s="116">
        <v>839.2</v>
      </c>
      <c r="R362">
        <v>102675</v>
      </c>
    </row>
    <row r="363" spans="1:18" x14ac:dyDescent="0.25">
      <c r="A363" s="170">
        <v>44103</v>
      </c>
      <c r="B363" s="116">
        <v>852.5</v>
      </c>
      <c r="C363" s="116">
        <v>833.05</v>
      </c>
      <c r="D363" s="116">
        <v>826.05</v>
      </c>
      <c r="E363" s="116">
        <v>845.1</v>
      </c>
      <c r="F363" s="116">
        <v>833.05</v>
      </c>
      <c r="G363">
        <v>5720</v>
      </c>
      <c r="H363" s="116"/>
      <c r="I363" s="116"/>
      <c r="L363" s="170">
        <v>44103</v>
      </c>
      <c r="M363" s="116">
        <v>830.75</v>
      </c>
      <c r="N363" s="116">
        <v>851.9</v>
      </c>
      <c r="O363" s="116">
        <v>826</v>
      </c>
      <c r="P363" s="116">
        <v>846.7</v>
      </c>
      <c r="Q363" s="116">
        <v>830.75</v>
      </c>
      <c r="R363">
        <v>99519</v>
      </c>
    </row>
    <row r="364" spans="1:18" x14ac:dyDescent="0.25">
      <c r="A364" s="170">
        <v>44104</v>
      </c>
      <c r="B364" s="116">
        <v>840</v>
      </c>
      <c r="C364" s="116">
        <v>820.3</v>
      </c>
      <c r="D364" s="116">
        <v>808.2</v>
      </c>
      <c r="E364" s="116">
        <v>840</v>
      </c>
      <c r="F364" s="116">
        <v>820.3</v>
      </c>
      <c r="G364">
        <v>8657</v>
      </c>
      <c r="H364" s="116"/>
      <c r="I364" s="116"/>
      <c r="L364" s="170">
        <v>44104</v>
      </c>
      <c r="M364" s="116">
        <v>819.9</v>
      </c>
      <c r="N364" s="116">
        <v>837.9</v>
      </c>
      <c r="O364" s="116">
        <v>806.2</v>
      </c>
      <c r="P364" s="116">
        <v>837.9</v>
      </c>
      <c r="Q364" s="116">
        <v>819.9</v>
      </c>
      <c r="R364">
        <v>87735</v>
      </c>
    </row>
    <row r="365" spans="1:18" x14ac:dyDescent="0.25">
      <c r="A365" s="170">
        <v>44105</v>
      </c>
      <c r="B365" s="116">
        <v>834.25</v>
      </c>
      <c r="C365" s="116">
        <v>820.3</v>
      </c>
      <c r="D365" s="116">
        <v>815</v>
      </c>
      <c r="E365" s="116">
        <v>820</v>
      </c>
      <c r="F365" s="116">
        <v>820.3</v>
      </c>
      <c r="G365">
        <v>16895</v>
      </c>
      <c r="H365" s="116"/>
      <c r="I365" s="116"/>
      <c r="L365" s="170">
        <v>44105</v>
      </c>
      <c r="M365" s="116">
        <v>820.15</v>
      </c>
      <c r="N365" s="116">
        <v>834.2</v>
      </c>
      <c r="O365" s="116">
        <v>815</v>
      </c>
      <c r="P365" s="116">
        <v>828.9</v>
      </c>
      <c r="Q365" s="116">
        <v>820.15</v>
      </c>
      <c r="R365">
        <v>118171</v>
      </c>
    </row>
    <row r="366" spans="1:18" x14ac:dyDescent="0.25">
      <c r="A366" s="170">
        <v>44109</v>
      </c>
      <c r="B366" s="116">
        <v>833</v>
      </c>
      <c r="C366" s="116">
        <v>823.5</v>
      </c>
      <c r="D366" s="116">
        <v>822.15</v>
      </c>
      <c r="E366" s="116">
        <v>833</v>
      </c>
      <c r="F366" s="116">
        <v>823.5</v>
      </c>
      <c r="G366">
        <v>8400</v>
      </c>
      <c r="H366" s="116"/>
      <c r="I366" s="116"/>
      <c r="L366" s="170">
        <v>44109</v>
      </c>
      <c r="M366" s="116">
        <v>823.7</v>
      </c>
      <c r="N366" s="116">
        <v>833</v>
      </c>
      <c r="O366" s="116">
        <v>822.95</v>
      </c>
      <c r="P366" s="116">
        <v>826.8</v>
      </c>
      <c r="Q366" s="116">
        <v>823.7</v>
      </c>
      <c r="R366">
        <v>88416</v>
      </c>
    </row>
    <row r="367" spans="1:18" x14ac:dyDescent="0.25">
      <c r="A367" s="170">
        <v>44110</v>
      </c>
      <c r="B367" s="116">
        <v>835.1</v>
      </c>
      <c r="C367" s="116">
        <v>827.55</v>
      </c>
      <c r="D367" s="116">
        <v>821.1</v>
      </c>
      <c r="E367" s="116">
        <v>826.8</v>
      </c>
      <c r="F367" s="116">
        <v>827.55</v>
      </c>
      <c r="G367">
        <v>2929</v>
      </c>
      <c r="H367" s="116"/>
      <c r="I367" s="116"/>
      <c r="L367" s="170">
        <v>44110</v>
      </c>
      <c r="M367" s="116">
        <v>827</v>
      </c>
      <c r="N367" s="116">
        <v>835.95</v>
      </c>
      <c r="O367" s="116">
        <v>820.65</v>
      </c>
      <c r="P367" s="116">
        <v>828.95</v>
      </c>
      <c r="Q367" s="116">
        <v>827</v>
      </c>
      <c r="R367">
        <v>67996</v>
      </c>
    </row>
    <row r="368" spans="1:18" x14ac:dyDescent="0.25">
      <c r="A368" s="170">
        <v>44111</v>
      </c>
      <c r="B368" s="116">
        <v>829.95</v>
      </c>
      <c r="C368" s="116">
        <v>824.95</v>
      </c>
      <c r="D368" s="116">
        <v>817</v>
      </c>
      <c r="E368" s="116">
        <v>829.95</v>
      </c>
      <c r="F368" s="116">
        <v>824.95</v>
      </c>
      <c r="G368">
        <v>5607</v>
      </c>
      <c r="H368" s="116"/>
      <c r="I368" s="116"/>
      <c r="L368" s="170">
        <v>44111</v>
      </c>
      <c r="M368" s="116">
        <v>825.45</v>
      </c>
      <c r="N368" s="116">
        <v>831</v>
      </c>
      <c r="O368" s="116">
        <v>817</v>
      </c>
      <c r="P368" s="116">
        <v>825</v>
      </c>
      <c r="Q368" s="116">
        <v>825.45</v>
      </c>
      <c r="R368">
        <v>78324</v>
      </c>
    </row>
    <row r="369" spans="1:18" x14ac:dyDescent="0.25">
      <c r="A369" s="170">
        <v>44112</v>
      </c>
      <c r="B369" s="116">
        <v>829.7</v>
      </c>
      <c r="C369" s="116">
        <v>814</v>
      </c>
      <c r="D369" s="116">
        <v>810</v>
      </c>
      <c r="E369" s="116">
        <v>825</v>
      </c>
      <c r="F369" s="116">
        <v>814</v>
      </c>
      <c r="G369">
        <v>6078</v>
      </c>
      <c r="H369" s="116"/>
      <c r="I369" s="116"/>
      <c r="L369" s="170">
        <v>44112</v>
      </c>
      <c r="M369" s="116">
        <v>813.5</v>
      </c>
      <c r="N369" s="116">
        <v>831</v>
      </c>
      <c r="O369" s="116">
        <v>809.2</v>
      </c>
      <c r="P369" s="116">
        <v>830</v>
      </c>
      <c r="Q369" s="116">
        <v>813.5</v>
      </c>
      <c r="R369">
        <v>137649</v>
      </c>
    </row>
    <row r="370" spans="1:18" x14ac:dyDescent="0.25">
      <c r="A370" s="170">
        <v>44113</v>
      </c>
      <c r="B370" s="116">
        <v>823.95</v>
      </c>
      <c r="C370" s="116">
        <v>811.5</v>
      </c>
      <c r="D370" s="116">
        <v>809.25</v>
      </c>
      <c r="E370" s="116">
        <v>823.95</v>
      </c>
      <c r="F370" s="116">
        <v>811.5</v>
      </c>
      <c r="G370">
        <v>8974</v>
      </c>
      <c r="H370" s="116"/>
      <c r="I370" s="116"/>
      <c r="L370" s="170">
        <v>44113</v>
      </c>
      <c r="M370" s="116">
        <v>811.45</v>
      </c>
      <c r="N370" s="116">
        <v>821.7</v>
      </c>
      <c r="O370" s="116">
        <v>808.85</v>
      </c>
      <c r="P370" s="116">
        <v>816</v>
      </c>
      <c r="Q370" s="116">
        <v>811.45</v>
      </c>
      <c r="R370">
        <v>142219</v>
      </c>
    </row>
    <row r="371" spans="1:18" x14ac:dyDescent="0.25">
      <c r="A371" s="170">
        <v>44116</v>
      </c>
      <c r="B371" s="116">
        <v>826.1</v>
      </c>
      <c r="C371" s="116">
        <v>812</v>
      </c>
      <c r="D371" s="116">
        <v>810</v>
      </c>
      <c r="E371" s="116">
        <v>815</v>
      </c>
      <c r="F371" s="116">
        <v>812</v>
      </c>
      <c r="G371">
        <v>12027</v>
      </c>
      <c r="H371" s="116"/>
      <c r="I371" s="116"/>
      <c r="L371" s="170">
        <v>44116</v>
      </c>
      <c r="M371" s="116">
        <v>811.75</v>
      </c>
      <c r="N371" s="116">
        <v>826.9</v>
      </c>
      <c r="O371" s="116">
        <v>809</v>
      </c>
      <c r="P371" s="116">
        <v>813.3</v>
      </c>
      <c r="Q371" s="116">
        <v>811.75</v>
      </c>
      <c r="R371">
        <v>80778</v>
      </c>
    </row>
    <row r="372" spans="1:18" x14ac:dyDescent="0.25">
      <c r="A372" s="170">
        <v>44117</v>
      </c>
      <c r="B372" s="116">
        <v>818.05</v>
      </c>
      <c r="C372" s="116">
        <v>804.6</v>
      </c>
      <c r="D372" s="116">
        <v>801.5</v>
      </c>
      <c r="E372" s="116">
        <v>813.55</v>
      </c>
      <c r="F372" s="116">
        <v>804.6</v>
      </c>
      <c r="G372">
        <v>12893</v>
      </c>
      <c r="H372" s="116"/>
      <c r="I372" s="116"/>
      <c r="L372" s="170">
        <v>44117</v>
      </c>
      <c r="M372" s="116">
        <v>805.35</v>
      </c>
      <c r="N372" s="116">
        <v>818.6</v>
      </c>
      <c r="O372" s="116">
        <v>801.35</v>
      </c>
      <c r="P372" s="116">
        <v>810</v>
      </c>
      <c r="Q372" s="116">
        <v>805.35</v>
      </c>
      <c r="R372">
        <v>94340</v>
      </c>
    </row>
    <row r="373" spans="1:18" x14ac:dyDescent="0.25">
      <c r="A373" s="170">
        <v>44118</v>
      </c>
      <c r="B373" s="116">
        <v>823.45</v>
      </c>
      <c r="C373" s="116">
        <v>810.1</v>
      </c>
      <c r="D373" s="116">
        <v>804</v>
      </c>
      <c r="E373" s="116">
        <v>804</v>
      </c>
      <c r="F373" s="116">
        <v>810.1</v>
      </c>
      <c r="G373">
        <v>6854</v>
      </c>
      <c r="H373" s="116"/>
      <c r="I373" s="116"/>
      <c r="L373" s="170">
        <v>44118</v>
      </c>
      <c r="M373" s="116">
        <v>809.75</v>
      </c>
      <c r="N373" s="116">
        <v>823.95</v>
      </c>
      <c r="O373" s="116">
        <v>802</v>
      </c>
      <c r="P373" s="116">
        <v>802.85</v>
      </c>
      <c r="Q373" s="116">
        <v>809.75</v>
      </c>
      <c r="R373">
        <v>94276</v>
      </c>
    </row>
    <row r="374" spans="1:18" x14ac:dyDescent="0.25">
      <c r="A374" s="170">
        <v>44119</v>
      </c>
      <c r="B374" s="116">
        <v>817.95</v>
      </c>
      <c r="C374" s="116">
        <v>802.6</v>
      </c>
      <c r="D374" s="116">
        <v>801</v>
      </c>
      <c r="E374" s="116">
        <v>817.95</v>
      </c>
      <c r="F374" s="116">
        <v>802.6</v>
      </c>
      <c r="G374">
        <v>10630</v>
      </c>
      <c r="H374" s="116"/>
      <c r="I374" s="116"/>
      <c r="L374" s="170">
        <v>44119</v>
      </c>
      <c r="M374" s="116">
        <v>802.15</v>
      </c>
      <c r="N374" s="116">
        <v>815.5</v>
      </c>
      <c r="O374" s="116">
        <v>800.9</v>
      </c>
      <c r="P374" s="116">
        <v>813.1</v>
      </c>
      <c r="Q374" s="116">
        <v>802.15</v>
      </c>
      <c r="R374">
        <v>115165</v>
      </c>
    </row>
    <row r="375" spans="1:18" x14ac:dyDescent="0.25">
      <c r="A375" s="170">
        <v>44120</v>
      </c>
      <c r="B375" s="116">
        <v>810.95</v>
      </c>
      <c r="C375" s="116">
        <v>805.85</v>
      </c>
      <c r="D375" s="116">
        <v>803.05</v>
      </c>
      <c r="E375" s="116">
        <v>804.15</v>
      </c>
      <c r="F375" s="116">
        <v>805.85</v>
      </c>
      <c r="G375">
        <v>6925</v>
      </c>
      <c r="H375" s="116"/>
      <c r="I375" s="116"/>
      <c r="L375" s="170">
        <v>44120</v>
      </c>
      <c r="M375" s="116">
        <v>806.95</v>
      </c>
      <c r="N375" s="116">
        <v>813.95</v>
      </c>
      <c r="O375" s="116">
        <v>803</v>
      </c>
      <c r="P375" s="116">
        <v>806.75</v>
      </c>
      <c r="Q375" s="116">
        <v>806.95</v>
      </c>
      <c r="R375">
        <v>51702</v>
      </c>
    </row>
    <row r="376" spans="1:18" x14ac:dyDescent="0.25">
      <c r="A376" s="170">
        <v>44123</v>
      </c>
      <c r="B376" s="116">
        <v>812.95</v>
      </c>
      <c r="C376" s="116">
        <v>804.2</v>
      </c>
      <c r="D376" s="116">
        <v>802.35</v>
      </c>
      <c r="E376" s="116">
        <v>811.4</v>
      </c>
      <c r="F376" s="116">
        <v>804.2</v>
      </c>
      <c r="G376">
        <v>3315</v>
      </c>
      <c r="H376" s="116"/>
      <c r="I376" s="116"/>
      <c r="L376" s="170">
        <v>44123</v>
      </c>
      <c r="M376" s="116">
        <v>804.25</v>
      </c>
      <c r="N376" s="116">
        <v>813</v>
      </c>
      <c r="O376" s="116">
        <v>802.05</v>
      </c>
      <c r="P376" s="116">
        <v>807.05</v>
      </c>
      <c r="Q376" s="116">
        <v>804.25</v>
      </c>
      <c r="R376">
        <v>68478</v>
      </c>
    </row>
    <row r="377" spans="1:18" x14ac:dyDescent="0.25">
      <c r="A377" s="170">
        <v>44124</v>
      </c>
      <c r="B377" s="116">
        <v>810.95</v>
      </c>
      <c r="C377" s="116">
        <v>804.5</v>
      </c>
      <c r="D377" s="116">
        <v>802.2</v>
      </c>
      <c r="E377" s="116">
        <v>805</v>
      </c>
      <c r="F377" s="116">
        <v>804.5</v>
      </c>
      <c r="G377">
        <v>3897</v>
      </c>
      <c r="H377" s="116"/>
      <c r="I377" s="116"/>
      <c r="L377" s="170">
        <v>44124</v>
      </c>
      <c r="M377" s="116">
        <v>804.45</v>
      </c>
      <c r="N377" s="116">
        <v>811.35</v>
      </c>
      <c r="O377" s="116">
        <v>801.65</v>
      </c>
      <c r="P377" s="116">
        <v>804</v>
      </c>
      <c r="Q377" s="116">
        <v>804.45</v>
      </c>
      <c r="R377">
        <v>64748</v>
      </c>
    </row>
    <row r="378" spans="1:18" x14ac:dyDescent="0.25">
      <c r="A378" s="170">
        <v>44125</v>
      </c>
      <c r="B378" s="116">
        <v>834.4</v>
      </c>
      <c r="C378" s="116">
        <v>826.6</v>
      </c>
      <c r="D378" s="116">
        <v>804.5</v>
      </c>
      <c r="E378" s="116">
        <v>804.5</v>
      </c>
      <c r="F378" s="116">
        <v>826.6</v>
      </c>
      <c r="G378">
        <v>26873</v>
      </c>
      <c r="H378" s="116"/>
      <c r="I378" s="116"/>
      <c r="L378" s="170">
        <v>44125</v>
      </c>
      <c r="M378" s="116">
        <v>825.35</v>
      </c>
      <c r="N378" s="116">
        <v>834.5</v>
      </c>
      <c r="O378" s="116">
        <v>805</v>
      </c>
      <c r="P378" s="116">
        <v>805</v>
      </c>
      <c r="Q378" s="116">
        <v>825.35</v>
      </c>
      <c r="R378">
        <v>282353</v>
      </c>
    </row>
    <row r="379" spans="1:18" x14ac:dyDescent="0.25">
      <c r="A379" s="170">
        <v>44126</v>
      </c>
      <c r="B379" s="116">
        <v>845.9</v>
      </c>
      <c r="C379" s="116">
        <v>831.9</v>
      </c>
      <c r="D379" s="116">
        <v>824.6</v>
      </c>
      <c r="E379" s="116">
        <v>826.6</v>
      </c>
      <c r="F379" s="116">
        <v>831.9</v>
      </c>
      <c r="G379">
        <v>19819</v>
      </c>
      <c r="H379" s="116"/>
      <c r="I379" s="116"/>
      <c r="L379" s="170">
        <v>44126</v>
      </c>
      <c r="M379" s="116">
        <v>832.05</v>
      </c>
      <c r="N379" s="116">
        <v>846.85</v>
      </c>
      <c r="O379" s="116">
        <v>824.35</v>
      </c>
      <c r="P379" s="116">
        <v>824.8</v>
      </c>
      <c r="Q379" s="116">
        <v>832.05</v>
      </c>
      <c r="R379">
        <v>182940</v>
      </c>
    </row>
    <row r="380" spans="1:18" x14ac:dyDescent="0.25">
      <c r="A380" s="170">
        <v>44127</v>
      </c>
      <c r="B380" s="116">
        <v>887.75</v>
      </c>
      <c r="C380" s="116">
        <v>883.45</v>
      </c>
      <c r="D380" s="116">
        <v>837</v>
      </c>
      <c r="E380" s="116">
        <v>839.9</v>
      </c>
      <c r="F380" s="116">
        <v>883.45</v>
      </c>
      <c r="G380">
        <v>29504</v>
      </c>
      <c r="H380" s="116"/>
      <c r="I380" s="116"/>
      <c r="L380" s="170">
        <v>44127</v>
      </c>
      <c r="M380" s="116">
        <v>881.25</v>
      </c>
      <c r="N380" s="116">
        <v>888</v>
      </c>
      <c r="O380" s="116">
        <v>835.1</v>
      </c>
      <c r="P380" s="116">
        <v>838.6</v>
      </c>
      <c r="Q380" s="116">
        <v>881.25</v>
      </c>
      <c r="R380">
        <v>965153</v>
      </c>
    </row>
    <row r="381" spans="1:18" x14ac:dyDescent="0.25">
      <c r="A381" s="170">
        <v>44130</v>
      </c>
      <c r="B381" s="116">
        <v>975</v>
      </c>
      <c r="C381" s="116">
        <v>957.3</v>
      </c>
      <c r="D381" s="116">
        <v>901</v>
      </c>
      <c r="E381" s="116">
        <v>901</v>
      </c>
      <c r="F381" s="116">
        <v>957.3</v>
      </c>
      <c r="G381">
        <v>237580</v>
      </c>
      <c r="H381" s="116"/>
      <c r="I381" s="116"/>
      <c r="L381" s="170">
        <v>44130</v>
      </c>
      <c r="M381" s="116">
        <v>957.05</v>
      </c>
      <c r="N381" s="116">
        <v>975.75</v>
      </c>
      <c r="O381" s="116">
        <v>902.5</v>
      </c>
      <c r="P381" s="116">
        <v>902.9</v>
      </c>
      <c r="Q381" s="116">
        <v>957.05</v>
      </c>
      <c r="R381">
        <v>3608356</v>
      </c>
    </row>
    <row r="382" spans="1:18" x14ac:dyDescent="0.25">
      <c r="A382" s="170">
        <v>44131</v>
      </c>
      <c r="B382" s="116">
        <v>957</v>
      </c>
      <c r="C382" s="116">
        <v>945.05</v>
      </c>
      <c r="D382" s="116">
        <v>920.05</v>
      </c>
      <c r="E382" s="116">
        <v>947.9</v>
      </c>
      <c r="F382" s="116">
        <v>945.05</v>
      </c>
      <c r="G382">
        <v>53577</v>
      </c>
      <c r="H382" s="116"/>
      <c r="I382" s="116"/>
      <c r="L382" s="170">
        <v>44131</v>
      </c>
      <c r="M382" s="116">
        <v>945.05</v>
      </c>
      <c r="N382" s="116">
        <v>957.15</v>
      </c>
      <c r="O382" s="116">
        <v>927.55</v>
      </c>
      <c r="P382" s="116">
        <v>949.95</v>
      </c>
      <c r="Q382" s="116">
        <v>945.05</v>
      </c>
      <c r="R382">
        <v>543537</v>
      </c>
    </row>
    <row r="383" spans="1:18" x14ac:dyDescent="0.25">
      <c r="A383" s="170">
        <v>44132</v>
      </c>
      <c r="B383" s="116">
        <v>960.9</v>
      </c>
      <c r="C383" s="116">
        <v>936.6</v>
      </c>
      <c r="D383" s="116">
        <v>931</v>
      </c>
      <c r="E383" s="116">
        <v>940.1</v>
      </c>
      <c r="F383" s="116">
        <v>936.6</v>
      </c>
      <c r="G383">
        <v>26063</v>
      </c>
      <c r="H383" s="116"/>
      <c r="I383" s="116"/>
      <c r="L383" s="170">
        <v>44132</v>
      </c>
      <c r="M383" s="116">
        <v>937.4</v>
      </c>
      <c r="N383" s="116">
        <v>962</v>
      </c>
      <c r="O383" s="116">
        <v>931</v>
      </c>
      <c r="P383" s="116">
        <v>944.5</v>
      </c>
      <c r="Q383" s="116">
        <v>937.4</v>
      </c>
      <c r="R383">
        <v>281454</v>
      </c>
    </row>
    <row r="384" spans="1:18" x14ac:dyDescent="0.25">
      <c r="A384" s="170">
        <v>44133</v>
      </c>
      <c r="B384" s="116">
        <v>934.8</v>
      </c>
      <c r="C384" s="116">
        <v>909.3</v>
      </c>
      <c r="D384" s="116">
        <v>901.45</v>
      </c>
      <c r="E384" s="116">
        <v>934.8</v>
      </c>
      <c r="F384" s="116">
        <v>909.3</v>
      </c>
      <c r="G384">
        <v>14612</v>
      </c>
      <c r="H384" s="116"/>
      <c r="I384" s="116"/>
      <c r="L384" s="170">
        <v>44133</v>
      </c>
      <c r="M384" s="116">
        <v>909.85</v>
      </c>
      <c r="N384" s="116">
        <v>934</v>
      </c>
      <c r="O384" s="116">
        <v>901.05</v>
      </c>
      <c r="P384" s="116">
        <v>934</v>
      </c>
      <c r="Q384" s="116">
        <v>909.85</v>
      </c>
      <c r="R384">
        <v>284243</v>
      </c>
    </row>
    <row r="385" spans="1:18" x14ac:dyDescent="0.25">
      <c r="A385" s="170">
        <v>44134</v>
      </c>
      <c r="B385" s="116">
        <v>933.7</v>
      </c>
      <c r="C385" s="116">
        <v>920.1</v>
      </c>
      <c r="D385" s="116">
        <v>910.85</v>
      </c>
      <c r="E385" s="116">
        <v>919.25</v>
      </c>
      <c r="F385" s="116">
        <v>920.1</v>
      </c>
      <c r="G385">
        <v>5147</v>
      </c>
      <c r="H385" s="116"/>
      <c r="I385" s="116"/>
      <c r="L385" s="170">
        <v>44134</v>
      </c>
      <c r="M385" s="116">
        <v>920.7</v>
      </c>
      <c r="N385" s="116">
        <v>934</v>
      </c>
      <c r="O385" s="116">
        <v>910</v>
      </c>
      <c r="P385" s="116">
        <v>924.95</v>
      </c>
      <c r="Q385" s="116">
        <v>920.7</v>
      </c>
      <c r="R385">
        <v>102403</v>
      </c>
    </row>
    <row r="386" spans="1:18" x14ac:dyDescent="0.25">
      <c r="A386" s="170">
        <v>44137</v>
      </c>
      <c r="B386" s="116">
        <v>940.7</v>
      </c>
      <c r="C386" s="116">
        <v>909.85</v>
      </c>
      <c r="D386" s="116">
        <v>905.95</v>
      </c>
      <c r="E386" s="116">
        <v>932.95</v>
      </c>
      <c r="F386" s="116">
        <v>909.85</v>
      </c>
      <c r="G386">
        <v>15160</v>
      </c>
      <c r="H386" s="116"/>
      <c r="I386" s="116"/>
      <c r="L386" s="170">
        <v>44137</v>
      </c>
      <c r="M386" s="116">
        <v>910.9</v>
      </c>
      <c r="N386" s="116">
        <v>941.5</v>
      </c>
      <c r="O386" s="116">
        <v>905</v>
      </c>
      <c r="P386" s="116">
        <v>920</v>
      </c>
      <c r="Q386" s="116">
        <v>910.9</v>
      </c>
      <c r="R386">
        <v>271978</v>
      </c>
    </row>
    <row r="387" spans="1:18" x14ac:dyDescent="0.25">
      <c r="A387" s="170">
        <v>44138</v>
      </c>
      <c r="B387" s="116">
        <v>943.9</v>
      </c>
      <c r="C387" s="116">
        <v>928.85</v>
      </c>
      <c r="D387" s="116">
        <v>916.2</v>
      </c>
      <c r="E387" s="116">
        <v>925.95</v>
      </c>
      <c r="F387" s="116">
        <v>928.85</v>
      </c>
      <c r="G387">
        <v>14435</v>
      </c>
      <c r="H387" s="116"/>
      <c r="I387" s="116"/>
      <c r="L387" s="170">
        <v>44138</v>
      </c>
      <c r="M387" s="116">
        <v>927.6</v>
      </c>
      <c r="N387" s="116">
        <v>944</v>
      </c>
      <c r="O387" s="116">
        <v>916.75</v>
      </c>
      <c r="P387" s="116">
        <v>919.8</v>
      </c>
      <c r="Q387" s="116">
        <v>927.6</v>
      </c>
      <c r="R387">
        <v>295208</v>
      </c>
    </row>
    <row r="388" spans="1:18" x14ac:dyDescent="0.25">
      <c r="A388" s="170">
        <v>44139</v>
      </c>
      <c r="B388" s="116">
        <v>949.2</v>
      </c>
      <c r="C388" s="116">
        <v>942.45</v>
      </c>
      <c r="D388" s="116">
        <v>925.85</v>
      </c>
      <c r="E388" s="116">
        <v>935.95</v>
      </c>
      <c r="F388" s="116">
        <v>942.45</v>
      </c>
      <c r="G388">
        <v>17249</v>
      </c>
      <c r="H388" s="116"/>
      <c r="I388" s="116"/>
      <c r="L388" s="170">
        <v>44139</v>
      </c>
      <c r="M388" s="116">
        <v>942.15</v>
      </c>
      <c r="N388" s="116">
        <v>950</v>
      </c>
      <c r="O388" s="116">
        <v>924.75</v>
      </c>
      <c r="P388" s="116">
        <v>933.3</v>
      </c>
      <c r="Q388" s="116">
        <v>942.15</v>
      </c>
      <c r="R388">
        <v>192167</v>
      </c>
    </row>
    <row r="389" spans="1:18" x14ac:dyDescent="0.25">
      <c r="A389" s="170">
        <v>44140</v>
      </c>
      <c r="B389" s="116">
        <v>949.95</v>
      </c>
      <c r="C389" s="116">
        <v>924.65</v>
      </c>
      <c r="D389" s="116">
        <v>915.75</v>
      </c>
      <c r="E389" s="116">
        <v>949.95</v>
      </c>
      <c r="F389" s="116">
        <v>924.65</v>
      </c>
      <c r="G389">
        <v>16255</v>
      </c>
      <c r="H389" s="116"/>
      <c r="I389" s="116"/>
      <c r="L389" s="170">
        <v>44140</v>
      </c>
      <c r="M389" s="116">
        <v>925.25</v>
      </c>
      <c r="N389" s="116">
        <v>949.95</v>
      </c>
      <c r="O389" s="116">
        <v>920</v>
      </c>
      <c r="P389" s="116">
        <v>949.95</v>
      </c>
      <c r="Q389" s="116">
        <v>925.25</v>
      </c>
      <c r="R389">
        <v>215739</v>
      </c>
    </row>
    <row r="390" spans="1:18" x14ac:dyDescent="0.25">
      <c r="A390" s="170">
        <v>44141</v>
      </c>
      <c r="B390" s="116">
        <v>940.95</v>
      </c>
      <c r="C390" s="116">
        <v>928.1</v>
      </c>
      <c r="D390" s="116">
        <v>922.5</v>
      </c>
      <c r="E390" s="116">
        <v>932.9</v>
      </c>
      <c r="F390" s="116">
        <v>928.1</v>
      </c>
      <c r="G390">
        <v>6844</v>
      </c>
      <c r="H390" s="116"/>
      <c r="I390" s="116"/>
      <c r="L390" s="170">
        <v>44141</v>
      </c>
      <c r="M390" s="116">
        <v>927.45</v>
      </c>
      <c r="N390" s="116">
        <v>943.05</v>
      </c>
      <c r="O390" s="116">
        <v>922</v>
      </c>
      <c r="P390" s="116">
        <v>925</v>
      </c>
      <c r="Q390" s="116">
        <v>927.45</v>
      </c>
      <c r="R390">
        <v>184379</v>
      </c>
    </row>
    <row r="391" spans="1:18" x14ac:dyDescent="0.25">
      <c r="A391" s="170">
        <v>44144</v>
      </c>
      <c r="B391" s="116">
        <v>941.8</v>
      </c>
      <c r="C391" s="116">
        <v>926.45</v>
      </c>
      <c r="D391" s="116">
        <v>920.2</v>
      </c>
      <c r="E391" s="116">
        <v>926</v>
      </c>
      <c r="F391" s="116">
        <v>926.45</v>
      </c>
      <c r="G391">
        <v>20304</v>
      </c>
      <c r="H391" s="116"/>
      <c r="I391" s="116"/>
      <c r="L391" s="170">
        <v>44144</v>
      </c>
      <c r="M391" s="116">
        <v>926.2</v>
      </c>
      <c r="N391" s="116">
        <v>945</v>
      </c>
      <c r="O391" s="116">
        <v>921</v>
      </c>
      <c r="P391" s="116">
        <v>927.45</v>
      </c>
      <c r="Q391" s="116">
        <v>926.2</v>
      </c>
      <c r="R391">
        <v>218436</v>
      </c>
    </row>
    <row r="392" spans="1:18" x14ac:dyDescent="0.25">
      <c r="A392" s="170">
        <v>44145</v>
      </c>
      <c r="B392" s="116">
        <v>938.8</v>
      </c>
      <c r="C392" s="116">
        <v>926.9</v>
      </c>
      <c r="D392" s="116">
        <v>922.6</v>
      </c>
      <c r="E392" s="116">
        <v>927</v>
      </c>
      <c r="F392" s="116">
        <v>926.9</v>
      </c>
      <c r="G392">
        <v>17790</v>
      </c>
      <c r="H392" s="116"/>
      <c r="I392" s="116"/>
      <c r="L392" s="170">
        <v>44145</v>
      </c>
      <c r="M392" s="116">
        <v>927.4</v>
      </c>
      <c r="N392" s="116">
        <v>939.95</v>
      </c>
      <c r="O392" s="116">
        <v>922.2</v>
      </c>
      <c r="P392" s="116">
        <v>934.65</v>
      </c>
      <c r="Q392" s="116">
        <v>927.4</v>
      </c>
      <c r="R392">
        <v>133211</v>
      </c>
    </row>
    <row r="393" spans="1:18" x14ac:dyDescent="0.25">
      <c r="A393" s="170">
        <v>44146</v>
      </c>
      <c r="B393" s="116">
        <v>930.85</v>
      </c>
      <c r="C393" s="116">
        <v>929.75</v>
      </c>
      <c r="D393" s="116">
        <v>924.2</v>
      </c>
      <c r="E393" s="116">
        <v>927.5</v>
      </c>
      <c r="F393" s="116">
        <v>929.75</v>
      </c>
      <c r="G393">
        <v>4455</v>
      </c>
      <c r="H393" s="116"/>
      <c r="I393" s="116"/>
      <c r="L393" s="170">
        <v>44146</v>
      </c>
      <c r="M393" s="116">
        <v>929.7</v>
      </c>
      <c r="N393" s="116">
        <v>932.7</v>
      </c>
      <c r="O393" s="116">
        <v>924</v>
      </c>
      <c r="P393" s="116">
        <v>930.85</v>
      </c>
      <c r="Q393" s="116">
        <v>929.7</v>
      </c>
      <c r="R393">
        <v>125494</v>
      </c>
    </row>
    <row r="394" spans="1:18" x14ac:dyDescent="0.25">
      <c r="A394" s="170">
        <v>44147</v>
      </c>
      <c r="B394" s="116">
        <v>930.65</v>
      </c>
      <c r="C394" s="116">
        <v>916.1</v>
      </c>
      <c r="D394" s="116">
        <v>913.75</v>
      </c>
      <c r="E394" s="116">
        <v>925</v>
      </c>
      <c r="F394" s="116">
        <v>916.1</v>
      </c>
      <c r="G394">
        <v>13236</v>
      </c>
      <c r="H394" s="116"/>
      <c r="I394" s="116"/>
      <c r="L394" s="170">
        <v>44147</v>
      </c>
      <c r="M394" s="116">
        <v>916.05</v>
      </c>
      <c r="N394" s="116">
        <v>930.15</v>
      </c>
      <c r="O394" s="116">
        <v>913.3</v>
      </c>
      <c r="P394" s="116">
        <v>928.95</v>
      </c>
      <c r="Q394" s="116">
        <v>916.05</v>
      </c>
      <c r="R394">
        <v>140836</v>
      </c>
    </row>
    <row r="395" spans="1:18" x14ac:dyDescent="0.25">
      <c r="A395" s="170">
        <v>44148</v>
      </c>
      <c r="B395" s="116">
        <v>930</v>
      </c>
      <c r="C395" s="116">
        <v>919.6</v>
      </c>
      <c r="D395" s="116">
        <v>916.3</v>
      </c>
      <c r="E395" s="116">
        <v>917.8</v>
      </c>
      <c r="F395" s="116">
        <v>919.6</v>
      </c>
      <c r="G395">
        <v>28602</v>
      </c>
      <c r="H395" s="116"/>
      <c r="I395" s="116"/>
      <c r="L395" s="170">
        <v>44148</v>
      </c>
      <c r="M395" s="116">
        <v>919.45</v>
      </c>
      <c r="N395" s="116">
        <v>930</v>
      </c>
      <c r="O395" s="116">
        <v>916</v>
      </c>
      <c r="P395" s="116">
        <v>916</v>
      </c>
      <c r="Q395" s="116">
        <v>919.45</v>
      </c>
      <c r="R395">
        <v>258713</v>
      </c>
    </row>
    <row r="396" spans="1:18" x14ac:dyDescent="0.25">
      <c r="A396" s="170">
        <v>44149</v>
      </c>
      <c r="B396" s="116">
        <v>938</v>
      </c>
      <c r="C396" s="116">
        <v>933.3</v>
      </c>
      <c r="D396" s="116">
        <v>930</v>
      </c>
      <c r="E396" s="116">
        <v>934.9</v>
      </c>
      <c r="F396" s="116">
        <v>933.3</v>
      </c>
      <c r="G396">
        <v>11243</v>
      </c>
      <c r="H396" s="116"/>
      <c r="I396" s="116"/>
      <c r="L396" s="170">
        <v>44149</v>
      </c>
      <c r="M396" s="116">
        <v>932.45</v>
      </c>
      <c r="N396" s="116">
        <v>937</v>
      </c>
      <c r="O396" s="116">
        <v>927</v>
      </c>
      <c r="P396" s="116">
        <v>934.65</v>
      </c>
      <c r="Q396" s="116">
        <v>932.45</v>
      </c>
      <c r="R396">
        <v>96070</v>
      </c>
    </row>
    <row r="397" spans="1:18" x14ac:dyDescent="0.25">
      <c r="A397" s="170">
        <v>44152</v>
      </c>
      <c r="B397" s="116">
        <v>937.9</v>
      </c>
      <c r="C397" s="116">
        <v>928.35</v>
      </c>
      <c r="D397" s="116">
        <v>925.05</v>
      </c>
      <c r="E397" s="116">
        <v>937.9</v>
      </c>
      <c r="F397" s="116">
        <v>928.35</v>
      </c>
      <c r="G397">
        <v>11936</v>
      </c>
      <c r="H397" s="116"/>
      <c r="I397" s="116"/>
      <c r="L397" s="170">
        <v>44152</v>
      </c>
      <c r="M397" s="116">
        <v>928.1</v>
      </c>
      <c r="N397" s="116">
        <v>934.9</v>
      </c>
      <c r="O397" s="116">
        <v>925</v>
      </c>
      <c r="P397" s="116">
        <v>932</v>
      </c>
      <c r="Q397" s="116">
        <v>928.1</v>
      </c>
      <c r="R397">
        <v>119540</v>
      </c>
    </row>
    <row r="398" spans="1:18" x14ac:dyDescent="0.25">
      <c r="A398" s="170">
        <v>44153</v>
      </c>
      <c r="B398" s="116">
        <v>931</v>
      </c>
      <c r="C398" s="116">
        <v>927.15</v>
      </c>
      <c r="D398" s="116">
        <v>921.9</v>
      </c>
      <c r="E398" s="116">
        <v>931</v>
      </c>
      <c r="F398" s="116">
        <v>927.15</v>
      </c>
      <c r="G398">
        <v>13827</v>
      </c>
      <c r="H398" s="116"/>
      <c r="I398" s="116"/>
      <c r="L398" s="170">
        <v>44153</v>
      </c>
      <c r="M398" s="116">
        <v>926.95</v>
      </c>
      <c r="N398" s="116">
        <v>931</v>
      </c>
      <c r="O398" s="116">
        <v>922.6</v>
      </c>
      <c r="P398" s="116">
        <v>928.95</v>
      </c>
      <c r="Q398" s="116">
        <v>926.95</v>
      </c>
      <c r="R398">
        <v>125930</v>
      </c>
    </row>
    <row r="399" spans="1:18" x14ac:dyDescent="0.25">
      <c r="A399" s="170">
        <v>44154</v>
      </c>
      <c r="B399" s="116">
        <v>947</v>
      </c>
      <c r="C399" s="116">
        <v>936.15</v>
      </c>
      <c r="D399" s="116">
        <v>926.15</v>
      </c>
      <c r="E399" s="116">
        <v>932.05</v>
      </c>
      <c r="F399" s="116">
        <v>936.15</v>
      </c>
      <c r="G399">
        <v>43769</v>
      </c>
      <c r="H399" s="116"/>
      <c r="I399" s="116"/>
      <c r="L399" s="170">
        <v>44154</v>
      </c>
      <c r="M399" s="116">
        <v>936.6</v>
      </c>
      <c r="N399" s="116">
        <v>947</v>
      </c>
      <c r="O399" s="116">
        <v>925.6</v>
      </c>
      <c r="P399" s="116">
        <v>932.7</v>
      </c>
      <c r="Q399" s="116">
        <v>936.6</v>
      </c>
      <c r="R399">
        <v>832772</v>
      </c>
    </row>
    <row r="400" spans="1:18" x14ac:dyDescent="0.25">
      <c r="A400" s="170">
        <v>44155</v>
      </c>
      <c r="B400" s="116">
        <v>941.45</v>
      </c>
      <c r="C400" s="116">
        <v>922.75</v>
      </c>
      <c r="D400" s="116">
        <v>920.85</v>
      </c>
      <c r="E400" s="116">
        <v>940.1</v>
      </c>
      <c r="F400" s="116">
        <v>922.75</v>
      </c>
      <c r="G400">
        <v>9243</v>
      </c>
      <c r="H400" s="116"/>
      <c r="I400" s="116"/>
      <c r="L400" s="170">
        <v>44155</v>
      </c>
      <c r="M400" s="116">
        <v>923</v>
      </c>
      <c r="N400" s="116">
        <v>941.95</v>
      </c>
      <c r="O400" s="116">
        <v>920.1</v>
      </c>
      <c r="P400" s="116">
        <v>940</v>
      </c>
      <c r="Q400" s="116">
        <v>923</v>
      </c>
      <c r="R400">
        <v>273668</v>
      </c>
    </row>
    <row r="401" spans="1:18" x14ac:dyDescent="0.25">
      <c r="A401" s="170">
        <v>44158</v>
      </c>
      <c r="B401" s="116">
        <v>935.5</v>
      </c>
      <c r="C401" s="116">
        <v>930.35</v>
      </c>
      <c r="D401" s="116">
        <v>925.75</v>
      </c>
      <c r="E401" s="116">
        <v>928.45</v>
      </c>
      <c r="F401" s="116">
        <v>930.35</v>
      </c>
      <c r="G401">
        <v>5917</v>
      </c>
      <c r="H401" s="116"/>
      <c r="I401" s="116"/>
      <c r="L401" s="170">
        <v>44158</v>
      </c>
      <c r="M401" s="116">
        <v>930.4</v>
      </c>
      <c r="N401" s="116">
        <v>935.5</v>
      </c>
      <c r="O401" s="116">
        <v>925</v>
      </c>
      <c r="P401" s="116">
        <v>926</v>
      </c>
      <c r="Q401" s="116">
        <v>930.4</v>
      </c>
      <c r="R401">
        <v>171479</v>
      </c>
    </row>
    <row r="402" spans="1:18" x14ac:dyDescent="0.25">
      <c r="A402" s="170">
        <v>44159</v>
      </c>
      <c r="B402" s="116">
        <v>940</v>
      </c>
      <c r="C402" s="116">
        <v>933.5</v>
      </c>
      <c r="D402" s="116">
        <v>927.75</v>
      </c>
      <c r="E402" s="116">
        <v>935</v>
      </c>
      <c r="F402" s="116">
        <v>933.5</v>
      </c>
      <c r="G402">
        <v>7992</v>
      </c>
      <c r="H402" s="116"/>
      <c r="I402" s="116"/>
      <c r="L402" s="170">
        <v>44159</v>
      </c>
      <c r="M402" s="116">
        <v>933.95</v>
      </c>
      <c r="N402" s="116">
        <v>939.95</v>
      </c>
      <c r="O402" s="116">
        <v>927</v>
      </c>
      <c r="P402" s="116">
        <v>934.95</v>
      </c>
      <c r="Q402" s="116">
        <v>933.95</v>
      </c>
      <c r="R402">
        <v>413933</v>
      </c>
    </row>
    <row r="403" spans="1:18" x14ac:dyDescent="0.25">
      <c r="A403" s="170">
        <v>44160</v>
      </c>
      <c r="B403" s="116">
        <v>942.95</v>
      </c>
      <c r="C403" s="116">
        <v>926.65</v>
      </c>
      <c r="D403" s="116">
        <v>920</v>
      </c>
      <c r="E403" s="116">
        <v>936</v>
      </c>
      <c r="F403" s="116">
        <v>926.65</v>
      </c>
      <c r="G403">
        <v>15954</v>
      </c>
      <c r="H403" s="116"/>
      <c r="I403" s="116"/>
      <c r="L403" s="170">
        <v>44160</v>
      </c>
      <c r="M403" s="116">
        <v>927.4</v>
      </c>
      <c r="N403" s="116">
        <v>943.95</v>
      </c>
      <c r="O403" s="116">
        <v>915</v>
      </c>
      <c r="P403" s="116">
        <v>939.5</v>
      </c>
      <c r="Q403" s="116">
        <v>927.4</v>
      </c>
      <c r="R403">
        <v>759259</v>
      </c>
    </row>
    <row r="404" spans="1:18" x14ac:dyDescent="0.25">
      <c r="A404" s="170">
        <v>44161</v>
      </c>
      <c r="B404" s="116">
        <v>972.6</v>
      </c>
      <c r="C404" s="116">
        <v>945.75</v>
      </c>
      <c r="D404" s="116">
        <v>926.65</v>
      </c>
      <c r="E404" s="116">
        <v>929.9</v>
      </c>
      <c r="F404" s="116">
        <v>945.75</v>
      </c>
      <c r="G404">
        <v>44543</v>
      </c>
      <c r="H404" s="116"/>
      <c r="I404" s="116"/>
      <c r="L404" s="170">
        <v>44161</v>
      </c>
      <c r="M404" s="116">
        <v>944.35</v>
      </c>
      <c r="N404" s="116">
        <v>972.8</v>
      </c>
      <c r="O404" s="116">
        <v>925.85</v>
      </c>
      <c r="P404" s="116">
        <v>935</v>
      </c>
      <c r="Q404" s="116">
        <v>944.35</v>
      </c>
      <c r="R404">
        <v>1563661</v>
      </c>
    </row>
    <row r="405" spans="1:18" x14ac:dyDescent="0.25">
      <c r="A405" s="170">
        <v>44162</v>
      </c>
      <c r="B405" s="116">
        <v>975</v>
      </c>
      <c r="C405" s="116">
        <v>958.1</v>
      </c>
      <c r="D405" s="116">
        <v>947.5</v>
      </c>
      <c r="E405" s="116">
        <v>951</v>
      </c>
      <c r="F405" s="116">
        <v>958.1</v>
      </c>
      <c r="G405">
        <v>48827</v>
      </c>
      <c r="H405" s="116"/>
      <c r="I405" s="116"/>
      <c r="L405" s="170">
        <v>44162</v>
      </c>
      <c r="M405" s="116">
        <v>958.4</v>
      </c>
      <c r="N405" s="116">
        <v>975.6</v>
      </c>
      <c r="O405" s="116">
        <v>946</v>
      </c>
      <c r="P405" s="116">
        <v>950</v>
      </c>
      <c r="Q405" s="116">
        <v>958.4</v>
      </c>
      <c r="R405">
        <v>742088</v>
      </c>
    </row>
    <row r="406" spans="1:18" x14ac:dyDescent="0.25">
      <c r="A406" s="170">
        <v>44166</v>
      </c>
      <c r="B406" s="116">
        <v>974.9</v>
      </c>
      <c r="C406" s="116">
        <v>960.45</v>
      </c>
      <c r="D406" s="116">
        <v>951</v>
      </c>
      <c r="E406" s="116">
        <v>974.9</v>
      </c>
      <c r="F406" s="116">
        <v>960.45</v>
      </c>
      <c r="G406">
        <v>15583</v>
      </c>
      <c r="H406" s="116"/>
      <c r="I406" s="116"/>
      <c r="L406" s="170">
        <v>44166</v>
      </c>
      <c r="M406" s="116">
        <v>960.45</v>
      </c>
      <c r="N406" s="116">
        <v>966.5</v>
      </c>
      <c r="O406" s="116">
        <v>950.65</v>
      </c>
      <c r="P406" s="116">
        <v>963.5</v>
      </c>
      <c r="Q406" s="116">
        <v>960.45</v>
      </c>
      <c r="R406">
        <v>926604</v>
      </c>
    </row>
    <row r="407" spans="1:18" x14ac:dyDescent="0.25">
      <c r="A407" s="170">
        <v>44167</v>
      </c>
      <c r="B407" s="116">
        <v>983.8</v>
      </c>
      <c r="C407" s="116">
        <v>966.55</v>
      </c>
      <c r="D407" s="116">
        <v>958</v>
      </c>
      <c r="E407" s="116">
        <v>962.15</v>
      </c>
      <c r="F407" s="116">
        <v>966.55</v>
      </c>
      <c r="G407">
        <v>31175</v>
      </c>
      <c r="H407" s="116"/>
      <c r="I407" s="116"/>
      <c r="L407" s="170">
        <v>44167</v>
      </c>
      <c r="M407" s="116">
        <v>966.85</v>
      </c>
      <c r="N407" s="116">
        <v>984</v>
      </c>
      <c r="O407" s="116">
        <v>957.65</v>
      </c>
      <c r="P407" s="116">
        <v>965</v>
      </c>
      <c r="Q407" s="116">
        <v>966.85</v>
      </c>
      <c r="R407">
        <v>841587</v>
      </c>
    </row>
    <row r="408" spans="1:18" x14ac:dyDescent="0.25">
      <c r="A408" s="170">
        <v>44168</v>
      </c>
      <c r="B408" s="116">
        <v>983.95</v>
      </c>
      <c r="C408" s="116">
        <v>978.35</v>
      </c>
      <c r="D408" s="116">
        <v>967.25</v>
      </c>
      <c r="E408" s="116">
        <v>971</v>
      </c>
      <c r="F408" s="116">
        <v>978.35</v>
      </c>
      <c r="G408">
        <v>17529</v>
      </c>
      <c r="H408" s="116"/>
      <c r="I408" s="116"/>
      <c r="L408" s="170">
        <v>44168</v>
      </c>
      <c r="M408" s="116">
        <v>978.95</v>
      </c>
      <c r="N408" s="116">
        <v>983.95</v>
      </c>
      <c r="O408" s="116">
        <v>967</v>
      </c>
      <c r="P408" s="116">
        <v>971.8</v>
      </c>
      <c r="Q408" s="116">
        <v>978.95</v>
      </c>
      <c r="R408">
        <v>1590571</v>
      </c>
    </row>
    <row r="409" spans="1:18" x14ac:dyDescent="0.25">
      <c r="A409" s="170">
        <v>44169</v>
      </c>
      <c r="B409" s="116">
        <v>1006</v>
      </c>
      <c r="C409" s="116">
        <v>1002.75</v>
      </c>
      <c r="D409" s="116">
        <v>978.35</v>
      </c>
      <c r="E409" s="116">
        <v>983.95</v>
      </c>
      <c r="F409" s="116">
        <v>1002.75</v>
      </c>
      <c r="G409">
        <v>35189</v>
      </c>
      <c r="H409" s="116"/>
      <c r="I409" s="116"/>
      <c r="L409" s="170">
        <v>44169</v>
      </c>
      <c r="M409" s="116">
        <v>1000.6</v>
      </c>
      <c r="N409" s="116">
        <v>1005</v>
      </c>
      <c r="O409" s="116">
        <v>976</v>
      </c>
      <c r="P409" s="116">
        <v>983</v>
      </c>
      <c r="Q409" s="116">
        <v>1000.6</v>
      </c>
      <c r="R409">
        <v>1954683</v>
      </c>
    </row>
    <row r="410" spans="1:18" x14ac:dyDescent="0.25">
      <c r="A410" s="170">
        <v>44172</v>
      </c>
      <c r="B410" s="116">
        <v>1081</v>
      </c>
      <c r="C410" s="116">
        <v>1018.55</v>
      </c>
      <c r="D410" s="116">
        <v>950</v>
      </c>
      <c r="E410" s="116">
        <v>1006</v>
      </c>
      <c r="F410" s="116">
        <v>1018.55</v>
      </c>
      <c r="G410">
        <v>138865</v>
      </c>
      <c r="H410" s="116"/>
      <c r="I410" s="116"/>
      <c r="L410" s="170">
        <v>44172</v>
      </c>
      <c r="M410" s="116">
        <v>1019.35</v>
      </c>
      <c r="N410" s="116">
        <v>1022</v>
      </c>
      <c r="O410" s="116">
        <v>982</v>
      </c>
      <c r="P410" s="116">
        <v>1005</v>
      </c>
      <c r="Q410" s="116">
        <v>1019.35</v>
      </c>
      <c r="R410">
        <v>1161957</v>
      </c>
    </row>
    <row r="411" spans="1:18" x14ac:dyDescent="0.25">
      <c r="A411" s="170">
        <v>44173</v>
      </c>
      <c r="B411" s="116">
        <v>1038</v>
      </c>
      <c r="C411" s="116">
        <v>1023.75</v>
      </c>
      <c r="D411" s="116">
        <v>1005.15</v>
      </c>
      <c r="E411" s="116">
        <v>1022</v>
      </c>
      <c r="F411" s="116">
        <v>1023.75</v>
      </c>
      <c r="G411">
        <v>69336</v>
      </c>
      <c r="H411" s="116"/>
      <c r="I411" s="116"/>
      <c r="L411" s="170">
        <v>44173</v>
      </c>
      <c r="M411" s="116">
        <v>1026.2</v>
      </c>
      <c r="N411" s="116">
        <v>1032.55</v>
      </c>
      <c r="O411" s="116">
        <v>1004.7</v>
      </c>
      <c r="P411" s="116">
        <v>1025</v>
      </c>
      <c r="Q411" s="116">
        <v>1026.2</v>
      </c>
      <c r="R411">
        <v>1137923</v>
      </c>
    </row>
    <row r="412" spans="1:18" x14ac:dyDescent="0.25">
      <c r="A412" s="170">
        <v>44174</v>
      </c>
      <c r="B412" s="116">
        <v>1045.8</v>
      </c>
      <c r="C412" s="116">
        <v>1033.0999999999999</v>
      </c>
      <c r="D412" s="116">
        <v>1019.5</v>
      </c>
      <c r="E412" s="116">
        <v>1040</v>
      </c>
      <c r="F412" s="116">
        <v>1033.0999999999999</v>
      </c>
      <c r="G412">
        <v>78984</v>
      </c>
      <c r="H412" s="116"/>
      <c r="I412" s="116"/>
      <c r="L412" s="170">
        <v>44174</v>
      </c>
      <c r="M412" s="116">
        <v>1033.95</v>
      </c>
      <c r="N412" s="116">
        <v>1046</v>
      </c>
      <c r="O412" s="116">
        <v>1020.05</v>
      </c>
      <c r="P412" s="116">
        <v>1030</v>
      </c>
      <c r="Q412" s="116">
        <v>1033.95</v>
      </c>
      <c r="R412">
        <v>1342048</v>
      </c>
    </row>
    <row r="413" spans="1:18" x14ac:dyDescent="0.25">
      <c r="A413" s="170">
        <v>44175</v>
      </c>
      <c r="B413" s="116">
        <v>1041.55</v>
      </c>
      <c r="C413" s="116">
        <v>1035.05</v>
      </c>
      <c r="D413" s="116">
        <v>1012</v>
      </c>
      <c r="E413" s="116">
        <v>1038</v>
      </c>
      <c r="F413" s="116">
        <v>1035.05</v>
      </c>
      <c r="G413">
        <v>16632</v>
      </c>
      <c r="H413" s="116"/>
      <c r="I413" s="116"/>
      <c r="L413" s="170">
        <v>44175</v>
      </c>
      <c r="M413" s="116">
        <v>1035.25</v>
      </c>
      <c r="N413" s="116">
        <v>1041.5</v>
      </c>
      <c r="O413" s="116">
        <v>1011.8</v>
      </c>
      <c r="P413" s="116">
        <v>1030.9000000000001</v>
      </c>
      <c r="Q413" s="116">
        <v>1035.25</v>
      </c>
      <c r="R413">
        <v>587960</v>
      </c>
    </row>
    <row r="414" spans="1:18" x14ac:dyDescent="0.25">
      <c r="A414" s="170">
        <v>44176</v>
      </c>
      <c r="B414" s="116">
        <v>1041.1500000000001</v>
      </c>
      <c r="C414" s="116">
        <v>1038.3</v>
      </c>
      <c r="D414" s="116">
        <v>1032</v>
      </c>
      <c r="E414" s="116">
        <v>1040.8</v>
      </c>
      <c r="F414" s="116">
        <v>1038.3</v>
      </c>
      <c r="G414">
        <v>9434</v>
      </c>
      <c r="H414" s="116"/>
      <c r="I414" s="116"/>
      <c r="L414" s="170">
        <v>44176</v>
      </c>
      <c r="M414" s="116">
        <v>1039.05</v>
      </c>
      <c r="N414" s="116">
        <v>1042.5</v>
      </c>
      <c r="O414" s="116">
        <v>1031.4000000000001</v>
      </c>
      <c r="P414" s="116">
        <v>1039</v>
      </c>
      <c r="Q414" s="116">
        <v>1039.05</v>
      </c>
      <c r="R414">
        <v>289067</v>
      </c>
    </row>
    <row r="415" spans="1:18" x14ac:dyDescent="0.25">
      <c r="A415" s="170">
        <v>44179</v>
      </c>
      <c r="B415" s="116">
        <v>1048</v>
      </c>
      <c r="C415" s="116">
        <v>1034.3</v>
      </c>
      <c r="D415" s="116">
        <v>1031.4000000000001</v>
      </c>
      <c r="E415" s="116">
        <v>1048</v>
      </c>
      <c r="F415" s="116">
        <v>1034.3</v>
      </c>
      <c r="G415">
        <v>11755</v>
      </c>
      <c r="H415" s="116"/>
      <c r="I415" s="116"/>
      <c r="L415" s="170">
        <v>44179</v>
      </c>
      <c r="M415" s="116">
        <v>1037.75</v>
      </c>
      <c r="N415" s="116">
        <v>1045</v>
      </c>
      <c r="O415" s="116">
        <v>1031.5</v>
      </c>
      <c r="P415" s="116">
        <v>1045</v>
      </c>
      <c r="Q415" s="116">
        <v>1037.75</v>
      </c>
      <c r="R415">
        <v>339888</v>
      </c>
    </row>
    <row r="416" spans="1:18" x14ac:dyDescent="0.25">
      <c r="A416" s="170">
        <v>44180</v>
      </c>
      <c r="B416" s="116">
        <v>1036.5999999999999</v>
      </c>
      <c r="C416" s="116">
        <v>1016.95</v>
      </c>
      <c r="D416" s="116">
        <v>1013.55</v>
      </c>
      <c r="E416" s="116">
        <v>1036.5999999999999</v>
      </c>
      <c r="F416" s="116">
        <v>1016.95</v>
      </c>
      <c r="G416">
        <v>14871</v>
      </c>
      <c r="H416" s="116"/>
      <c r="I416" s="116"/>
      <c r="L416" s="170">
        <v>44180</v>
      </c>
      <c r="M416" s="116">
        <v>1016.9</v>
      </c>
      <c r="N416" s="116">
        <v>1040</v>
      </c>
      <c r="O416" s="116">
        <v>1012.6</v>
      </c>
      <c r="P416" s="116">
        <v>1037</v>
      </c>
      <c r="Q416" s="116">
        <v>1016.9</v>
      </c>
      <c r="R416">
        <v>217446</v>
      </c>
    </row>
    <row r="417" spans="1:18" x14ac:dyDescent="0.25">
      <c r="A417" s="170">
        <v>44181</v>
      </c>
      <c r="B417" s="116">
        <v>1059.45</v>
      </c>
      <c r="C417" s="116">
        <v>1044</v>
      </c>
      <c r="D417" s="116">
        <v>1011.2</v>
      </c>
      <c r="E417" s="116">
        <v>1032</v>
      </c>
      <c r="F417" s="116">
        <v>1044</v>
      </c>
      <c r="G417">
        <v>38686</v>
      </c>
      <c r="H417" s="116"/>
      <c r="I417" s="116"/>
      <c r="L417" s="170">
        <v>44181</v>
      </c>
      <c r="M417" s="116">
        <v>1044.5999999999999</v>
      </c>
      <c r="N417" s="116">
        <v>1060</v>
      </c>
      <c r="O417" s="116">
        <v>1012</v>
      </c>
      <c r="P417" s="116">
        <v>1022</v>
      </c>
      <c r="Q417" s="116">
        <v>1044.5999999999999</v>
      </c>
      <c r="R417">
        <v>707023</v>
      </c>
    </row>
    <row r="418" spans="1:18" x14ac:dyDescent="0.25">
      <c r="A418" s="170">
        <v>44182</v>
      </c>
      <c r="B418" s="116">
        <v>1093.2</v>
      </c>
      <c r="C418" s="116">
        <v>1049.0999999999999</v>
      </c>
      <c r="D418" s="116">
        <v>1032.0999999999999</v>
      </c>
      <c r="E418" s="116">
        <v>1055</v>
      </c>
      <c r="F418" s="116">
        <v>1049.0999999999999</v>
      </c>
      <c r="G418">
        <v>75358</v>
      </c>
      <c r="H418" s="116"/>
      <c r="I418" s="116"/>
      <c r="L418" s="170">
        <v>44182</v>
      </c>
      <c r="M418" s="116">
        <v>1049.8</v>
      </c>
      <c r="N418" s="116">
        <v>1069.8</v>
      </c>
      <c r="O418" s="116">
        <v>1031.3</v>
      </c>
      <c r="P418" s="116">
        <v>1050</v>
      </c>
      <c r="Q418" s="116">
        <v>1049.8</v>
      </c>
      <c r="R418">
        <v>743277</v>
      </c>
    </row>
    <row r="419" spans="1:18" x14ac:dyDescent="0.25">
      <c r="A419" s="170">
        <v>44183</v>
      </c>
      <c r="B419" s="116">
        <v>1054.8499999999999</v>
      </c>
      <c r="C419" s="116">
        <v>1041.45</v>
      </c>
      <c r="D419" s="116">
        <v>1031.8499999999999</v>
      </c>
      <c r="E419" s="116">
        <v>1049</v>
      </c>
      <c r="F419" s="116">
        <v>1041.45</v>
      </c>
      <c r="G419">
        <v>17595</v>
      </c>
      <c r="H419" s="116"/>
      <c r="I419" s="116"/>
      <c r="L419" s="170">
        <v>44183</v>
      </c>
      <c r="M419" s="116">
        <v>1041.25</v>
      </c>
      <c r="N419" s="116">
        <v>1055</v>
      </c>
      <c r="O419" s="116">
        <v>1031.0999999999999</v>
      </c>
      <c r="P419" s="116">
        <v>1049.8</v>
      </c>
      <c r="Q419" s="116">
        <v>1041.25</v>
      </c>
      <c r="R419">
        <v>205251</v>
      </c>
    </row>
    <row r="420" spans="1:18" x14ac:dyDescent="0.25">
      <c r="A420" s="170">
        <v>44186</v>
      </c>
      <c r="B420" s="116">
        <v>1059.8</v>
      </c>
      <c r="C420" s="116">
        <v>992.35</v>
      </c>
      <c r="D420" s="116">
        <v>900</v>
      </c>
      <c r="E420" s="116">
        <v>1039.5</v>
      </c>
      <c r="F420" s="116">
        <v>992.35</v>
      </c>
      <c r="G420">
        <v>85472</v>
      </c>
      <c r="H420" s="116"/>
      <c r="I420" s="116"/>
      <c r="L420" s="170">
        <v>44186</v>
      </c>
      <c r="M420" s="116">
        <v>997.4</v>
      </c>
      <c r="N420" s="116">
        <v>1060</v>
      </c>
      <c r="O420" s="116">
        <v>853.8</v>
      </c>
      <c r="P420" s="116">
        <v>1038</v>
      </c>
      <c r="Q420" s="116">
        <v>997.4</v>
      </c>
      <c r="R420">
        <v>562988</v>
      </c>
    </row>
    <row r="421" spans="1:18" x14ac:dyDescent="0.25">
      <c r="A421" s="170">
        <v>44187</v>
      </c>
      <c r="B421" s="116">
        <v>1027.55</v>
      </c>
      <c r="C421" s="116">
        <v>999</v>
      </c>
      <c r="D421" s="116">
        <v>960</v>
      </c>
      <c r="E421" s="116">
        <v>992.35</v>
      </c>
      <c r="F421" s="116">
        <v>999</v>
      </c>
      <c r="G421">
        <v>34865</v>
      </c>
      <c r="H421" s="116"/>
      <c r="I421" s="116"/>
      <c r="L421" s="170">
        <v>44187</v>
      </c>
      <c r="M421" s="116">
        <v>998.8</v>
      </c>
      <c r="N421" s="116">
        <v>1026</v>
      </c>
      <c r="O421" s="116">
        <v>960</v>
      </c>
      <c r="P421" s="116">
        <v>1001.8</v>
      </c>
      <c r="Q421" s="116">
        <v>998.8</v>
      </c>
      <c r="R421">
        <v>416797</v>
      </c>
    </row>
    <row r="422" spans="1:18" x14ac:dyDescent="0.25">
      <c r="A422" s="170">
        <v>44188</v>
      </c>
      <c r="B422" s="116">
        <v>1039</v>
      </c>
      <c r="C422" s="116">
        <v>1037</v>
      </c>
      <c r="D422" s="116">
        <v>1004.45</v>
      </c>
      <c r="E422" s="116">
        <v>1019.9</v>
      </c>
      <c r="F422" s="116">
        <v>1037</v>
      </c>
      <c r="G422">
        <v>18279</v>
      </c>
      <c r="H422" s="116"/>
      <c r="I422" s="116"/>
      <c r="L422" s="170">
        <v>44188</v>
      </c>
      <c r="M422" s="116">
        <v>1036.25</v>
      </c>
      <c r="N422" s="116">
        <v>1039.45</v>
      </c>
      <c r="O422" s="116">
        <v>1005</v>
      </c>
      <c r="P422" s="116">
        <v>1008.35</v>
      </c>
      <c r="Q422" s="116">
        <v>1036.25</v>
      </c>
      <c r="R422">
        <v>487110</v>
      </c>
    </row>
    <row r="423" spans="1:18" x14ac:dyDescent="0.25">
      <c r="A423" s="170">
        <v>44189</v>
      </c>
      <c r="B423" s="116">
        <v>1060</v>
      </c>
      <c r="C423" s="116">
        <v>1056.1500000000001</v>
      </c>
      <c r="D423" s="116">
        <v>1033</v>
      </c>
      <c r="E423" s="116">
        <v>1033</v>
      </c>
      <c r="F423" s="116">
        <v>1056.1500000000001</v>
      </c>
      <c r="G423">
        <v>35223</v>
      </c>
      <c r="H423" s="116"/>
      <c r="I423" s="116"/>
      <c r="L423" s="170">
        <v>44189</v>
      </c>
      <c r="M423" s="116">
        <v>1056.6500000000001</v>
      </c>
      <c r="N423" s="116">
        <v>1059.9000000000001</v>
      </c>
      <c r="O423" s="116">
        <v>1038.5</v>
      </c>
      <c r="P423" s="116">
        <v>1040</v>
      </c>
      <c r="Q423" s="116">
        <v>1056.6500000000001</v>
      </c>
      <c r="R423">
        <v>337559</v>
      </c>
    </row>
    <row r="424" spans="1:18" x14ac:dyDescent="0.25">
      <c r="A424" s="170">
        <v>44193</v>
      </c>
      <c r="B424" s="116">
        <v>1063</v>
      </c>
      <c r="C424" s="116">
        <v>1050.55</v>
      </c>
      <c r="D424" s="116">
        <v>1044.2</v>
      </c>
      <c r="E424" s="116">
        <v>1052</v>
      </c>
      <c r="F424" s="116">
        <v>1050.55</v>
      </c>
      <c r="G424">
        <v>6632</v>
      </c>
      <c r="H424" s="116"/>
      <c r="I424" s="116"/>
      <c r="L424" s="170">
        <v>44193</v>
      </c>
      <c r="M424" s="116">
        <v>1050.25</v>
      </c>
      <c r="N424" s="116">
        <v>1064.8</v>
      </c>
      <c r="O424" s="116">
        <v>1042</v>
      </c>
      <c r="P424" s="116">
        <v>1064.8</v>
      </c>
      <c r="Q424" s="116">
        <v>1050.25</v>
      </c>
      <c r="R424">
        <v>224101</v>
      </c>
    </row>
    <row r="425" spans="1:18" x14ac:dyDescent="0.25">
      <c r="A425" s="170">
        <v>44194</v>
      </c>
      <c r="B425" s="116">
        <v>1054.8</v>
      </c>
      <c r="C425" s="116">
        <v>1044.8499999999999</v>
      </c>
      <c r="D425" s="116">
        <v>1029.8</v>
      </c>
      <c r="E425" s="116">
        <v>1053</v>
      </c>
      <c r="F425" s="116">
        <v>1044.8499999999999</v>
      </c>
      <c r="G425">
        <v>15466</v>
      </c>
      <c r="H425" s="116"/>
      <c r="I425" s="116"/>
      <c r="L425" s="170">
        <v>44194</v>
      </c>
      <c r="M425" s="116">
        <v>1043.8499999999999</v>
      </c>
      <c r="N425" s="116">
        <v>1055</v>
      </c>
      <c r="O425" s="116">
        <v>1032</v>
      </c>
      <c r="P425" s="116">
        <v>1054.95</v>
      </c>
      <c r="Q425" s="116">
        <v>1043.8499999999999</v>
      </c>
      <c r="R425">
        <v>113153</v>
      </c>
    </row>
    <row r="426" spans="1:18" x14ac:dyDescent="0.25">
      <c r="A426" s="170">
        <v>44195</v>
      </c>
      <c r="B426" s="116">
        <v>1045</v>
      </c>
      <c r="C426" s="116">
        <v>1030.9000000000001</v>
      </c>
      <c r="D426" s="116">
        <v>1025.55</v>
      </c>
      <c r="E426" s="116">
        <v>1038.05</v>
      </c>
      <c r="F426" s="116">
        <v>1030.9000000000001</v>
      </c>
      <c r="G426">
        <v>12661</v>
      </c>
      <c r="H426" s="116"/>
      <c r="I426" s="116"/>
      <c r="L426" s="170">
        <v>44195</v>
      </c>
      <c r="M426" s="116">
        <v>1032.95</v>
      </c>
      <c r="N426" s="116">
        <v>1043.8499999999999</v>
      </c>
      <c r="O426" s="116">
        <v>1025</v>
      </c>
      <c r="P426" s="116">
        <v>1043</v>
      </c>
      <c r="Q426" s="116">
        <v>1032.95</v>
      </c>
      <c r="R426">
        <v>105024</v>
      </c>
    </row>
    <row r="427" spans="1:18" x14ac:dyDescent="0.25">
      <c r="A427" s="170">
        <v>44196</v>
      </c>
      <c r="B427" s="116">
        <v>1052.95</v>
      </c>
      <c r="C427" s="116">
        <v>1035.95</v>
      </c>
      <c r="D427" s="116">
        <v>1024.9000000000001</v>
      </c>
      <c r="E427" s="116">
        <v>1047.95</v>
      </c>
      <c r="F427" s="116">
        <v>1035.95</v>
      </c>
      <c r="G427">
        <v>10059</v>
      </c>
      <c r="H427" s="116"/>
      <c r="I427" s="116"/>
      <c r="L427" s="170">
        <v>44196</v>
      </c>
      <c r="M427" s="116">
        <v>1036.8499999999999</v>
      </c>
      <c r="N427" s="116">
        <v>1053</v>
      </c>
      <c r="O427" s="116">
        <v>1023.5</v>
      </c>
      <c r="P427" s="116">
        <v>1032.95</v>
      </c>
      <c r="Q427" s="116">
        <v>1036.8499999999999</v>
      </c>
      <c r="R427">
        <v>161162</v>
      </c>
    </row>
    <row r="428" spans="1:18" x14ac:dyDescent="0.25">
      <c r="A428" s="170">
        <v>44197</v>
      </c>
      <c r="B428" s="116">
        <v>1049.9000000000001</v>
      </c>
      <c r="C428" s="116">
        <v>1035.7</v>
      </c>
      <c r="D428" s="116">
        <v>1030.4000000000001</v>
      </c>
      <c r="E428" s="116">
        <v>1049.9000000000001</v>
      </c>
      <c r="F428" s="116">
        <v>1035.7</v>
      </c>
      <c r="G428">
        <v>6794</v>
      </c>
      <c r="H428" s="116"/>
      <c r="I428" s="116"/>
      <c r="L428" s="170">
        <v>44197</v>
      </c>
      <c r="M428" s="116">
        <v>1035.45</v>
      </c>
      <c r="N428" s="116">
        <v>1048.2</v>
      </c>
      <c r="O428" s="116">
        <v>1031</v>
      </c>
      <c r="P428" s="116">
        <v>1038.8</v>
      </c>
      <c r="Q428" s="116">
        <v>1035.45</v>
      </c>
      <c r="R428">
        <v>108936</v>
      </c>
    </row>
    <row r="429" spans="1:18" x14ac:dyDescent="0.25">
      <c r="A429" s="170">
        <v>44200</v>
      </c>
      <c r="B429" s="116">
        <v>1062</v>
      </c>
      <c r="C429" s="116">
        <v>1058.45</v>
      </c>
      <c r="D429" s="116">
        <v>1041</v>
      </c>
      <c r="E429" s="116">
        <v>1041</v>
      </c>
      <c r="F429" s="116">
        <v>1058.45</v>
      </c>
      <c r="G429">
        <v>33814</v>
      </c>
      <c r="H429" s="116"/>
      <c r="I429" s="116"/>
      <c r="L429" s="170">
        <v>44200</v>
      </c>
      <c r="M429" s="116">
        <v>1059.8</v>
      </c>
      <c r="N429" s="116">
        <v>1062</v>
      </c>
      <c r="O429" s="116">
        <v>1036.0999999999999</v>
      </c>
      <c r="P429" s="116">
        <v>1042</v>
      </c>
      <c r="Q429" s="116">
        <v>1059.8</v>
      </c>
      <c r="R429">
        <v>850274</v>
      </c>
    </row>
    <row r="430" spans="1:18" x14ac:dyDescent="0.25">
      <c r="A430" s="170">
        <v>44201</v>
      </c>
      <c r="B430" s="116">
        <v>1157</v>
      </c>
      <c r="C430" s="116">
        <v>1144.4000000000001</v>
      </c>
      <c r="D430" s="116">
        <v>1050.95</v>
      </c>
      <c r="E430" s="116">
        <v>1058</v>
      </c>
      <c r="F430" s="116">
        <v>1144.4000000000001</v>
      </c>
      <c r="G430">
        <v>74813</v>
      </c>
      <c r="H430" s="116"/>
      <c r="I430" s="116"/>
      <c r="L430" s="170">
        <v>44201</v>
      </c>
      <c r="M430" s="116">
        <v>1144.6500000000001</v>
      </c>
      <c r="N430" s="116">
        <v>1158</v>
      </c>
      <c r="O430" s="116">
        <v>1051.05</v>
      </c>
      <c r="P430" s="116">
        <v>1056</v>
      </c>
      <c r="Q430" s="116">
        <v>1144.6500000000001</v>
      </c>
      <c r="R430">
        <v>2473634</v>
      </c>
    </row>
    <row r="431" spans="1:18" x14ac:dyDescent="0.25">
      <c r="A431" s="170">
        <v>44202</v>
      </c>
      <c r="B431" s="116">
        <v>1204.5</v>
      </c>
      <c r="C431" s="116">
        <v>1176.8499999999999</v>
      </c>
      <c r="D431" s="116">
        <v>1150.5</v>
      </c>
      <c r="E431" s="116">
        <v>1157</v>
      </c>
      <c r="F431" s="116">
        <v>1176.8499999999999</v>
      </c>
      <c r="G431">
        <v>83941</v>
      </c>
      <c r="H431" s="116"/>
      <c r="I431" s="116"/>
      <c r="L431" s="170">
        <v>44202</v>
      </c>
      <c r="M431" s="116">
        <v>1176.0999999999999</v>
      </c>
      <c r="N431" s="116">
        <v>1204.95</v>
      </c>
      <c r="O431" s="116">
        <v>1145</v>
      </c>
      <c r="P431" s="116">
        <v>1150.4000000000001</v>
      </c>
      <c r="Q431" s="116">
        <v>1176.0999999999999</v>
      </c>
      <c r="R431">
        <v>1614440</v>
      </c>
    </row>
    <row r="432" spans="1:18" x14ac:dyDescent="0.25">
      <c r="A432" s="170">
        <v>44203</v>
      </c>
      <c r="B432" s="116">
        <v>1300</v>
      </c>
      <c r="C432" s="116">
        <v>1279.9000000000001</v>
      </c>
      <c r="D432" s="116">
        <v>1183</v>
      </c>
      <c r="E432" s="116">
        <v>1183</v>
      </c>
      <c r="F432" s="116">
        <v>1279.9000000000001</v>
      </c>
      <c r="G432">
        <v>164933</v>
      </c>
      <c r="H432" s="116"/>
      <c r="I432" s="116"/>
      <c r="L432" s="170">
        <v>44203</v>
      </c>
      <c r="M432" s="116">
        <v>1277.75</v>
      </c>
      <c r="N432" s="116">
        <v>1300</v>
      </c>
      <c r="O432" s="116">
        <v>1187.3</v>
      </c>
      <c r="P432" s="116">
        <v>1190.3</v>
      </c>
      <c r="Q432" s="116">
        <v>1277.75</v>
      </c>
      <c r="R432">
        <v>2335515</v>
      </c>
    </row>
    <row r="433" spans="1:18" x14ac:dyDescent="0.25">
      <c r="A433" s="170">
        <v>44204</v>
      </c>
      <c r="B433" s="116">
        <v>1310.8</v>
      </c>
      <c r="C433" s="116">
        <v>1246.4000000000001</v>
      </c>
      <c r="D433" s="116">
        <v>1213.3</v>
      </c>
      <c r="E433" s="116">
        <v>1299</v>
      </c>
      <c r="F433" s="116">
        <v>1246.4000000000001</v>
      </c>
      <c r="G433">
        <v>85065</v>
      </c>
      <c r="H433" s="116"/>
      <c r="I433" s="116"/>
      <c r="L433" s="170">
        <v>44204</v>
      </c>
      <c r="M433" s="116">
        <v>1248.5999999999999</v>
      </c>
      <c r="N433" s="116">
        <v>1310</v>
      </c>
      <c r="O433" s="116">
        <v>1212.5999999999999</v>
      </c>
      <c r="P433" s="116">
        <v>1310</v>
      </c>
      <c r="Q433" s="116">
        <v>1248.5999999999999</v>
      </c>
      <c r="R433">
        <v>1027680</v>
      </c>
    </row>
    <row r="434" spans="1:18" x14ac:dyDescent="0.25">
      <c r="A434" s="170">
        <v>44207</v>
      </c>
      <c r="B434" s="116">
        <v>1257.6500000000001</v>
      </c>
      <c r="C434" s="116">
        <v>1226.8499999999999</v>
      </c>
      <c r="D434" s="116">
        <v>1216.3499999999999</v>
      </c>
      <c r="E434" s="116">
        <v>1255</v>
      </c>
      <c r="F434" s="116">
        <v>1226.8499999999999</v>
      </c>
      <c r="G434">
        <v>48635</v>
      </c>
      <c r="H434" s="116"/>
      <c r="I434" s="116"/>
      <c r="L434" s="170">
        <v>44207</v>
      </c>
      <c r="M434" s="116">
        <v>1228.3499999999999</v>
      </c>
      <c r="N434" s="116">
        <v>1259.6500000000001</v>
      </c>
      <c r="O434" s="116">
        <v>1215</v>
      </c>
      <c r="P434" s="116">
        <v>1254</v>
      </c>
      <c r="Q434" s="116">
        <v>1228.3499999999999</v>
      </c>
      <c r="R434">
        <v>365753</v>
      </c>
    </row>
    <row r="435" spans="1:18" x14ac:dyDescent="0.25">
      <c r="A435" s="170">
        <v>44208</v>
      </c>
      <c r="B435" s="116">
        <v>1234</v>
      </c>
      <c r="C435" s="116">
        <v>1212.0999999999999</v>
      </c>
      <c r="D435" s="116">
        <v>1208.5</v>
      </c>
      <c r="E435" s="116">
        <v>1234</v>
      </c>
      <c r="F435" s="116">
        <v>1212.0999999999999</v>
      </c>
      <c r="G435">
        <v>26511</v>
      </c>
      <c r="H435" s="116"/>
      <c r="I435" s="116"/>
      <c r="L435" s="170">
        <v>44208</v>
      </c>
      <c r="M435" s="116">
        <v>1211.7</v>
      </c>
      <c r="N435" s="116">
        <v>1230</v>
      </c>
      <c r="O435" s="116">
        <v>1208.25</v>
      </c>
      <c r="P435" s="116">
        <v>1228.3499999999999</v>
      </c>
      <c r="Q435" s="116">
        <v>1211.7</v>
      </c>
      <c r="R435">
        <v>442524</v>
      </c>
    </row>
    <row r="436" spans="1:18" x14ac:dyDescent="0.25">
      <c r="A436" s="170">
        <v>44209</v>
      </c>
      <c r="B436" s="116">
        <v>1262.95</v>
      </c>
      <c r="C436" s="116">
        <v>1220.7</v>
      </c>
      <c r="D436" s="116">
        <v>1194.8</v>
      </c>
      <c r="E436" s="116">
        <v>1211</v>
      </c>
      <c r="F436" s="116">
        <v>1220.7</v>
      </c>
      <c r="G436">
        <v>48773</v>
      </c>
      <c r="H436" s="116"/>
      <c r="I436" s="116"/>
      <c r="L436" s="170">
        <v>44209</v>
      </c>
      <c r="M436" s="116">
        <v>1221</v>
      </c>
      <c r="N436" s="116">
        <v>1263</v>
      </c>
      <c r="O436" s="116">
        <v>1195</v>
      </c>
      <c r="P436" s="116">
        <v>1211</v>
      </c>
      <c r="Q436" s="116">
        <v>1221</v>
      </c>
      <c r="R436">
        <v>602575</v>
      </c>
    </row>
    <row r="437" spans="1:18" x14ac:dyDescent="0.25">
      <c r="A437" s="170">
        <v>44210</v>
      </c>
      <c r="B437" s="116">
        <v>1244</v>
      </c>
      <c r="C437" s="116">
        <v>1211.0999999999999</v>
      </c>
      <c r="D437" s="116">
        <v>1206</v>
      </c>
      <c r="E437" s="116">
        <v>1244</v>
      </c>
      <c r="F437" s="116">
        <v>1211.0999999999999</v>
      </c>
      <c r="G437">
        <v>11009</v>
      </c>
      <c r="H437" s="116"/>
      <c r="I437" s="116"/>
      <c r="L437" s="170">
        <v>44210</v>
      </c>
      <c r="M437" s="116">
        <v>1212.25</v>
      </c>
      <c r="N437" s="116">
        <v>1229</v>
      </c>
      <c r="O437" s="116">
        <v>1205.1500000000001</v>
      </c>
      <c r="P437" s="116">
        <v>1227.95</v>
      </c>
      <c r="Q437" s="116">
        <v>1212.25</v>
      </c>
      <c r="R437">
        <v>164810</v>
      </c>
    </row>
    <row r="438" spans="1:18" x14ac:dyDescent="0.25">
      <c r="A438" s="170">
        <v>44211</v>
      </c>
      <c r="B438" s="116">
        <v>1224.8499999999999</v>
      </c>
      <c r="C438" s="116">
        <v>1189.2</v>
      </c>
      <c r="D438" s="116">
        <v>1173.5999999999999</v>
      </c>
      <c r="E438" s="116">
        <v>1214.8</v>
      </c>
      <c r="F438" s="116">
        <v>1189.2</v>
      </c>
      <c r="G438">
        <v>18979</v>
      </c>
      <c r="H438" s="116"/>
      <c r="I438" s="116"/>
      <c r="L438" s="170">
        <v>44211</v>
      </c>
      <c r="M438" s="116">
        <v>1188.9000000000001</v>
      </c>
      <c r="N438" s="116">
        <v>1225</v>
      </c>
      <c r="O438" s="116">
        <v>1172.95</v>
      </c>
      <c r="P438" s="116">
        <v>1213</v>
      </c>
      <c r="Q438" s="116">
        <v>1188.9000000000001</v>
      </c>
      <c r="R438">
        <v>237799</v>
      </c>
    </row>
    <row r="439" spans="1:18" x14ac:dyDescent="0.25">
      <c r="A439" s="170">
        <v>44214</v>
      </c>
      <c r="B439" s="116">
        <v>1210</v>
      </c>
      <c r="C439" s="116">
        <v>1191.95</v>
      </c>
      <c r="D439" s="116">
        <v>1145.1500000000001</v>
      </c>
      <c r="E439" s="116">
        <v>1182.3</v>
      </c>
      <c r="F439" s="116">
        <v>1191.95</v>
      </c>
      <c r="G439">
        <v>50100</v>
      </c>
      <c r="H439" s="116"/>
      <c r="I439" s="116"/>
      <c r="L439" s="170">
        <v>44214</v>
      </c>
      <c r="M439" s="116">
        <v>1194.25</v>
      </c>
      <c r="N439" s="116">
        <v>1210</v>
      </c>
      <c r="O439" s="116">
        <v>1145.2</v>
      </c>
      <c r="P439" s="116">
        <v>1190</v>
      </c>
      <c r="Q439" s="116">
        <v>1194.25</v>
      </c>
      <c r="R439">
        <v>457831</v>
      </c>
    </row>
    <row r="440" spans="1:18" x14ac:dyDescent="0.25">
      <c r="A440" s="170">
        <v>44215</v>
      </c>
      <c r="B440" s="116">
        <v>1217.5999999999999</v>
      </c>
      <c r="C440" s="116">
        <v>1202.8</v>
      </c>
      <c r="D440" s="116">
        <v>1190.95</v>
      </c>
      <c r="E440" s="116">
        <v>1199.8499999999999</v>
      </c>
      <c r="F440" s="116">
        <v>1202.8</v>
      </c>
      <c r="G440">
        <v>12876</v>
      </c>
      <c r="H440" s="116"/>
      <c r="I440" s="116"/>
      <c r="L440" s="170">
        <v>44215</v>
      </c>
      <c r="M440" s="116">
        <v>1203.1500000000001</v>
      </c>
      <c r="N440" s="116">
        <v>1219</v>
      </c>
      <c r="O440" s="116">
        <v>1190</v>
      </c>
      <c r="P440" s="116">
        <v>1195</v>
      </c>
      <c r="Q440" s="116">
        <v>1203.1500000000001</v>
      </c>
      <c r="R440">
        <v>277803</v>
      </c>
    </row>
    <row r="441" spans="1:18" x14ac:dyDescent="0.25">
      <c r="A441" s="170">
        <v>44216</v>
      </c>
      <c r="B441" s="116">
        <v>1238.7</v>
      </c>
      <c r="C441" s="116">
        <v>1216.7</v>
      </c>
      <c r="D441" s="116">
        <v>1170.3</v>
      </c>
      <c r="E441" s="116">
        <v>1235</v>
      </c>
      <c r="F441" s="116">
        <v>1216.7</v>
      </c>
      <c r="G441">
        <v>13442</v>
      </c>
      <c r="H441" s="116"/>
      <c r="I441" s="116"/>
      <c r="L441" s="170">
        <v>44216</v>
      </c>
      <c r="M441" s="116">
        <v>1216.5999999999999</v>
      </c>
      <c r="N441" s="116">
        <v>1240</v>
      </c>
      <c r="O441" s="116">
        <v>1196.2</v>
      </c>
      <c r="P441" s="116">
        <v>1204.95</v>
      </c>
      <c r="Q441" s="116">
        <v>1216.5999999999999</v>
      </c>
      <c r="R441">
        <v>399337</v>
      </c>
    </row>
    <row r="442" spans="1:18" x14ac:dyDescent="0.25">
      <c r="A442" s="170">
        <v>44217</v>
      </c>
      <c r="B442" s="116">
        <v>1324.9</v>
      </c>
      <c r="C442" s="116">
        <v>1283.25</v>
      </c>
      <c r="D442" s="116">
        <v>1240.05</v>
      </c>
      <c r="E442" s="116">
        <v>1250</v>
      </c>
      <c r="F442" s="116">
        <v>1283.25</v>
      </c>
      <c r="G442">
        <v>132189</v>
      </c>
      <c r="H442" s="116"/>
      <c r="I442" s="116"/>
      <c r="L442" s="170">
        <v>44217</v>
      </c>
      <c r="M442" s="116">
        <v>1280.9000000000001</v>
      </c>
      <c r="N442" s="116">
        <v>1324.95</v>
      </c>
      <c r="O442" s="116">
        <v>1240</v>
      </c>
      <c r="P442" s="116">
        <v>1250</v>
      </c>
      <c r="Q442" s="116">
        <v>1280.9000000000001</v>
      </c>
      <c r="R442">
        <v>2191059</v>
      </c>
    </row>
    <row r="443" spans="1:18" x14ac:dyDescent="0.25">
      <c r="A443" s="170">
        <v>44218</v>
      </c>
      <c r="B443" s="116">
        <v>1304.2</v>
      </c>
      <c r="C443" s="116">
        <v>1279.3499999999999</v>
      </c>
      <c r="D443" s="116">
        <v>1261.4000000000001</v>
      </c>
      <c r="E443" s="116">
        <v>1294.8</v>
      </c>
      <c r="F443" s="116">
        <v>1279.3499999999999</v>
      </c>
      <c r="G443">
        <v>69569</v>
      </c>
      <c r="H443" s="116"/>
      <c r="I443" s="116"/>
      <c r="L443" s="170">
        <v>44218</v>
      </c>
      <c r="M443" s="116">
        <v>1278.8</v>
      </c>
      <c r="N443" s="116">
        <v>1304.25</v>
      </c>
      <c r="O443" s="116">
        <v>1261</v>
      </c>
      <c r="P443" s="116">
        <v>1290</v>
      </c>
      <c r="Q443" s="116">
        <v>1278.8</v>
      </c>
      <c r="R443">
        <v>619649</v>
      </c>
    </row>
    <row r="444" spans="1:18" x14ac:dyDescent="0.25">
      <c r="A444" s="170">
        <v>44221</v>
      </c>
      <c r="B444" s="116">
        <v>1285</v>
      </c>
      <c r="C444" s="116">
        <v>1211.9000000000001</v>
      </c>
      <c r="D444" s="116">
        <v>1183.3</v>
      </c>
      <c r="E444" s="116">
        <v>1285</v>
      </c>
      <c r="F444" s="116">
        <v>1211.9000000000001</v>
      </c>
      <c r="G444">
        <v>92376</v>
      </c>
      <c r="H444" s="116"/>
      <c r="I444" s="116"/>
      <c r="L444" s="170">
        <v>44221</v>
      </c>
      <c r="M444" s="116">
        <v>1211.45</v>
      </c>
      <c r="N444" s="116">
        <v>1270</v>
      </c>
      <c r="O444" s="116">
        <v>1185</v>
      </c>
      <c r="P444" s="116">
        <v>1270</v>
      </c>
      <c r="Q444" s="116">
        <v>1211.45</v>
      </c>
      <c r="R444">
        <v>1161971</v>
      </c>
    </row>
    <row r="445" spans="1:18" x14ac:dyDescent="0.25">
      <c r="A445" s="170">
        <v>44223</v>
      </c>
      <c r="B445" s="116">
        <v>1220</v>
      </c>
      <c r="C445" s="116">
        <v>1182.05</v>
      </c>
      <c r="D445" s="116">
        <v>1170.0999999999999</v>
      </c>
      <c r="E445" s="116">
        <v>1212.05</v>
      </c>
      <c r="F445" s="116">
        <v>1182.05</v>
      </c>
      <c r="G445">
        <v>44624</v>
      </c>
      <c r="H445" s="116"/>
      <c r="I445" s="116"/>
      <c r="L445" s="170">
        <v>44223</v>
      </c>
      <c r="M445" s="116">
        <v>1182.7</v>
      </c>
      <c r="N445" s="116">
        <v>1221.25</v>
      </c>
      <c r="O445" s="116">
        <v>1169.6500000000001</v>
      </c>
      <c r="P445" s="116">
        <v>1221.25</v>
      </c>
      <c r="Q445" s="116">
        <v>1182.7</v>
      </c>
      <c r="R445">
        <v>521005</v>
      </c>
    </row>
    <row r="446" spans="1:18" x14ac:dyDescent="0.25">
      <c r="A446" s="170">
        <v>44224</v>
      </c>
      <c r="B446" s="116">
        <v>1212.25</v>
      </c>
      <c r="C446" s="116">
        <v>1198.4000000000001</v>
      </c>
      <c r="D446" s="116">
        <v>1145.5999999999999</v>
      </c>
      <c r="E446" s="116">
        <v>1183</v>
      </c>
      <c r="F446" s="116">
        <v>1198.4000000000001</v>
      </c>
      <c r="G446">
        <v>45372</v>
      </c>
      <c r="H446" s="116"/>
      <c r="I446" s="116"/>
      <c r="L446" s="170">
        <v>44224</v>
      </c>
      <c r="M446" s="116">
        <v>1197.8</v>
      </c>
      <c r="N446" s="116">
        <v>1212.55</v>
      </c>
      <c r="O446" s="116">
        <v>1143</v>
      </c>
      <c r="P446" s="116">
        <v>1181</v>
      </c>
      <c r="Q446" s="116">
        <v>1197.8</v>
      </c>
      <c r="R446">
        <v>727445</v>
      </c>
    </row>
    <row r="447" spans="1:18" x14ac:dyDescent="0.25">
      <c r="A447" s="170">
        <v>44225</v>
      </c>
      <c r="B447" s="116">
        <v>1240</v>
      </c>
      <c r="C447" s="116">
        <v>1222.05</v>
      </c>
      <c r="D447" s="116">
        <v>1194</v>
      </c>
      <c r="E447" s="116">
        <v>1215</v>
      </c>
      <c r="F447" s="116">
        <v>1222.05</v>
      </c>
      <c r="G447">
        <v>61258</v>
      </c>
      <c r="H447" s="116"/>
      <c r="I447" s="116"/>
      <c r="L447" s="170">
        <v>44225</v>
      </c>
      <c r="M447" s="116">
        <v>1222.9000000000001</v>
      </c>
      <c r="N447" s="116">
        <v>1239.9000000000001</v>
      </c>
      <c r="O447" s="116">
        <v>1193</v>
      </c>
      <c r="P447" s="116">
        <v>1200</v>
      </c>
      <c r="Q447" s="116">
        <v>1222.9000000000001</v>
      </c>
      <c r="R447">
        <v>537393</v>
      </c>
    </row>
    <row r="448" spans="1:18" x14ac:dyDescent="0.25">
      <c r="A448" s="170">
        <v>44228</v>
      </c>
      <c r="B448" s="116">
        <v>1258.5</v>
      </c>
      <c r="C448" s="116">
        <v>1250.2</v>
      </c>
      <c r="D448" s="116">
        <v>1202.4000000000001</v>
      </c>
      <c r="E448" s="116">
        <v>1246</v>
      </c>
      <c r="F448" s="116">
        <v>1250.2</v>
      </c>
      <c r="G448">
        <v>24592</v>
      </c>
      <c r="H448" s="116"/>
      <c r="I448" s="116"/>
      <c r="L448" s="170">
        <v>44228</v>
      </c>
      <c r="M448" s="116">
        <v>1250.3499999999999</v>
      </c>
      <c r="N448" s="116">
        <v>1259</v>
      </c>
      <c r="O448" s="116">
        <v>1202.5</v>
      </c>
      <c r="P448" s="116">
        <v>1238.3499999999999</v>
      </c>
      <c r="Q448" s="116">
        <v>1250.3499999999999</v>
      </c>
      <c r="R448">
        <v>421178</v>
      </c>
    </row>
    <row r="449" spans="1:18" x14ac:dyDescent="0.25">
      <c r="A449" s="170">
        <v>44229</v>
      </c>
      <c r="B449" s="116">
        <v>1277.9000000000001</v>
      </c>
      <c r="C449" s="116">
        <v>1270.1500000000001</v>
      </c>
      <c r="D449" s="116">
        <v>1230.05</v>
      </c>
      <c r="E449" s="116">
        <v>1264.7</v>
      </c>
      <c r="F449" s="116">
        <v>1270.1500000000001</v>
      </c>
      <c r="G449">
        <v>19150</v>
      </c>
      <c r="H449" s="116"/>
      <c r="I449" s="116"/>
      <c r="L449" s="170">
        <v>44229</v>
      </c>
      <c r="M449" s="116">
        <v>1270.45</v>
      </c>
      <c r="N449" s="116">
        <v>1277.95</v>
      </c>
      <c r="O449" s="116">
        <v>1231.55</v>
      </c>
      <c r="P449" s="116">
        <v>1260</v>
      </c>
      <c r="Q449" s="116">
        <v>1270.45</v>
      </c>
      <c r="R449">
        <v>591972</v>
      </c>
    </row>
    <row r="450" spans="1:18" x14ac:dyDescent="0.25">
      <c r="A450" s="170">
        <v>44230</v>
      </c>
      <c r="B450" s="116">
        <v>1312.95</v>
      </c>
      <c r="C450" s="116">
        <v>1295.4000000000001</v>
      </c>
      <c r="D450" s="116">
        <v>1256</v>
      </c>
      <c r="E450" s="116">
        <v>1276.05</v>
      </c>
      <c r="F450" s="116">
        <v>1295.4000000000001</v>
      </c>
      <c r="G450">
        <v>20175</v>
      </c>
      <c r="H450" s="116"/>
      <c r="I450" s="116"/>
      <c r="L450" s="170">
        <v>44230</v>
      </c>
      <c r="M450" s="116">
        <v>1295.95</v>
      </c>
      <c r="N450" s="116">
        <v>1313</v>
      </c>
      <c r="O450" s="116">
        <v>1255.55</v>
      </c>
      <c r="P450" s="116">
        <v>1275</v>
      </c>
      <c r="Q450" s="116">
        <v>1295.95</v>
      </c>
      <c r="R450">
        <v>786932</v>
      </c>
    </row>
    <row r="451" spans="1:18" x14ac:dyDescent="0.25">
      <c r="A451" s="170">
        <v>44231</v>
      </c>
      <c r="B451" s="116">
        <v>1328.9</v>
      </c>
      <c r="C451" s="116">
        <v>1320.8</v>
      </c>
      <c r="D451" s="116">
        <v>1284.4000000000001</v>
      </c>
      <c r="E451" s="116">
        <v>1299.6500000000001</v>
      </c>
      <c r="F451" s="116">
        <v>1320.8</v>
      </c>
      <c r="G451">
        <v>18936</v>
      </c>
      <c r="H451" s="116"/>
      <c r="I451" s="116"/>
      <c r="L451" s="170">
        <v>44231</v>
      </c>
      <c r="M451" s="116">
        <v>1319.8</v>
      </c>
      <c r="N451" s="116">
        <v>1327</v>
      </c>
      <c r="O451" s="116">
        <v>1283.9000000000001</v>
      </c>
      <c r="P451" s="116">
        <v>1300</v>
      </c>
      <c r="Q451" s="116">
        <v>1319.8</v>
      </c>
      <c r="R451">
        <v>861383</v>
      </c>
    </row>
    <row r="452" spans="1:18" x14ac:dyDescent="0.25">
      <c r="A452" s="170">
        <v>44232</v>
      </c>
      <c r="B452" s="116">
        <v>1330.85</v>
      </c>
      <c r="C452" s="116">
        <v>1287.3</v>
      </c>
      <c r="D452" s="116">
        <v>1260.0999999999999</v>
      </c>
      <c r="E452" s="116">
        <v>1321.05</v>
      </c>
      <c r="F452" s="116">
        <v>1287.3</v>
      </c>
      <c r="G452">
        <v>25886</v>
      </c>
      <c r="H452" s="116"/>
      <c r="I452" s="116"/>
      <c r="L452" s="170">
        <v>44232</v>
      </c>
      <c r="M452" s="116">
        <v>1285.4000000000001</v>
      </c>
      <c r="N452" s="116">
        <v>1330.35</v>
      </c>
      <c r="O452" s="116">
        <v>1260</v>
      </c>
      <c r="P452" s="116">
        <v>1330.3</v>
      </c>
      <c r="Q452" s="116">
        <v>1285.4000000000001</v>
      </c>
      <c r="R452">
        <v>252502</v>
      </c>
    </row>
    <row r="453" spans="1:18" x14ac:dyDescent="0.25">
      <c r="A453" s="170">
        <v>44235</v>
      </c>
      <c r="B453" s="116">
        <v>1324.95</v>
      </c>
      <c r="C453" s="116">
        <v>1316.1</v>
      </c>
      <c r="D453" s="116">
        <v>1283</v>
      </c>
      <c r="E453" s="116">
        <v>1304.5</v>
      </c>
      <c r="F453" s="116">
        <v>1316.1</v>
      </c>
      <c r="G453">
        <v>35236</v>
      </c>
      <c r="H453" s="116"/>
      <c r="I453" s="116"/>
      <c r="L453" s="170">
        <v>44235</v>
      </c>
      <c r="M453" s="116">
        <v>1317.15</v>
      </c>
      <c r="N453" s="116">
        <v>1325</v>
      </c>
      <c r="O453" s="116">
        <v>1282</v>
      </c>
      <c r="P453" s="116">
        <v>1296.95</v>
      </c>
      <c r="Q453" s="116">
        <v>1317.15</v>
      </c>
      <c r="R453">
        <v>251290</v>
      </c>
    </row>
    <row r="454" spans="1:18" x14ac:dyDescent="0.25">
      <c r="A454" s="170">
        <v>44236</v>
      </c>
      <c r="B454" s="116">
        <v>1325</v>
      </c>
      <c r="C454" s="116">
        <v>1297.5999999999999</v>
      </c>
      <c r="D454" s="116">
        <v>1290.5999999999999</v>
      </c>
      <c r="E454" s="116">
        <v>1325</v>
      </c>
      <c r="F454" s="116">
        <v>1297.5999999999999</v>
      </c>
      <c r="G454">
        <v>9375</v>
      </c>
      <c r="H454" s="116"/>
      <c r="I454" s="116"/>
      <c r="L454" s="170">
        <v>44236</v>
      </c>
      <c r="M454" s="116">
        <v>1297.1500000000001</v>
      </c>
      <c r="N454" s="116">
        <v>1324.95</v>
      </c>
      <c r="O454" s="116">
        <v>1290.2</v>
      </c>
      <c r="P454" s="116">
        <v>1324.95</v>
      </c>
      <c r="Q454" s="116">
        <v>1297.1500000000001</v>
      </c>
      <c r="R454">
        <v>134094</v>
      </c>
    </row>
    <row r="455" spans="1:18" x14ac:dyDescent="0.25">
      <c r="A455" s="170">
        <v>44237</v>
      </c>
      <c r="B455" s="116">
        <v>1307.9000000000001</v>
      </c>
      <c r="C455" s="116">
        <v>1302</v>
      </c>
      <c r="D455" s="116">
        <v>1270.05</v>
      </c>
      <c r="E455" s="116">
        <v>1294</v>
      </c>
      <c r="F455" s="116">
        <v>1302</v>
      </c>
      <c r="G455">
        <v>22775</v>
      </c>
      <c r="H455" s="116"/>
      <c r="I455" s="116"/>
      <c r="L455" s="170">
        <v>44237</v>
      </c>
      <c r="M455" s="116">
        <v>1301.1500000000001</v>
      </c>
      <c r="N455" s="116">
        <v>1308</v>
      </c>
      <c r="O455" s="116">
        <v>1270</v>
      </c>
      <c r="P455" s="116">
        <v>1299.95</v>
      </c>
      <c r="Q455" s="116">
        <v>1301.1500000000001</v>
      </c>
      <c r="R455">
        <v>259528</v>
      </c>
    </row>
    <row r="456" spans="1:18" x14ac:dyDescent="0.25">
      <c r="A456" s="170">
        <v>44238</v>
      </c>
      <c r="B456" s="116">
        <v>1338.75</v>
      </c>
      <c r="C456" s="116">
        <v>1323.65</v>
      </c>
      <c r="D456" s="116">
        <v>1289.1500000000001</v>
      </c>
      <c r="E456" s="116">
        <v>1303</v>
      </c>
      <c r="F456" s="116">
        <v>1323.65</v>
      </c>
      <c r="G456">
        <v>35174</v>
      </c>
      <c r="H456" s="116"/>
      <c r="I456" s="116"/>
      <c r="L456" s="170">
        <v>44238</v>
      </c>
      <c r="M456" s="116">
        <v>1324.85</v>
      </c>
      <c r="N456" s="116">
        <v>1340</v>
      </c>
      <c r="O456" s="116">
        <v>1290</v>
      </c>
      <c r="P456" s="116">
        <v>1302.9000000000001</v>
      </c>
      <c r="Q456" s="116">
        <v>1324.85</v>
      </c>
      <c r="R456">
        <v>641855</v>
      </c>
    </row>
    <row r="457" spans="1:18" x14ac:dyDescent="0.25">
      <c r="A457" s="170">
        <v>44239</v>
      </c>
      <c r="B457" s="116">
        <v>1340</v>
      </c>
      <c r="C457" s="116">
        <v>1327.7</v>
      </c>
      <c r="D457" s="116">
        <v>1316.35</v>
      </c>
      <c r="E457" s="116">
        <v>1334.95</v>
      </c>
      <c r="F457" s="116">
        <v>1327.7</v>
      </c>
      <c r="G457">
        <v>18943</v>
      </c>
      <c r="H457" s="116"/>
      <c r="I457" s="116"/>
      <c r="L457" s="170">
        <v>44239</v>
      </c>
      <c r="M457" s="116">
        <v>1328.95</v>
      </c>
      <c r="N457" s="116">
        <v>1339.85</v>
      </c>
      <c r="O457" s="116">
        <v>1315</v>
      </c>
      <c r="P457" s="116">
        <v>1329.95</v>
      </c>
      <c r="Q457" s="116">
        <v>1328.95</v>
      </c>
      <c r="R457">
        <v>353695</v>
      </c>
    </row>
    <row r="458" spans="1:18" x14ac:dyDescent="0.25">
      <c r="A458" s="170">
        <v>44242</v>
      </c>
      <c r="B458" s="116">
        <v>1350</v>
      </c>
      <c r="C458" s="116">
        <v>1318.4</v>
      </c>
      <c r="D458" s="116">
        <v>1311.7</v>
      </c>
      <c r="E458" s="116">
        <v>1350</v>
      </c>
      <c r="F458" s="116">
        <v>1318.4</v>
      </c>
      <c r="G458">
        <v>14065</v>
      </c>
      <c r="H458" s="116"/>
      <c r="I458" s="116"/>
      <c r="L458" s="170">
        <v>44242</v>
      </c>
      <c r="M458" s="116">
        <v>1320.15</v>
      </c>
      <c r="N458" s="116">
        <v>1349.9</v>
      </c>
      <c r="O458" s="116">
        <v>1312.4</v>
      </c>
      <c r="P458" s="116">
        <v>1349.9</v>
      </c>
      <c r="Q458" s="116">
        <v>1320.15</v>
      </c>
      <c r="R458">
        <v>509004</v>
      </c>
    </row>
    <row r="459" spans="1:18" x14ac:dyDescent="0.25">
      <c r="A459" s="170">
        <v>44243</v>
      </c>
      <c r="B459" s="116">
        <v>1340</v>
      </c>
      <c r="C459" s="116">
        <v>1325.85</v>
      </c>
      <c r="D459" s="116">
        <v>1311.5</v>
      </c>
      <c r="E459" s="116">
        <v>1320</v>
      </c>
      <c r="F459" s="116">
        <v>1325.85</v>
      </c>
      <c r="G459">
        <v>11677</v>
      </c>
      <c r="H459" s="116"/>
      <c r="I459" s="116"/>
      <c r="L459" s="170">
        <v>44243</v>
      </c>
      <c r="M459" s="116">
        <v>1326.4</v>
      </c>
      <c r="N459" s="116">
        <v>1340</v>
      </c>
      <c r="O459" s="116">
        <v>1311</v>
      </c>
      <c r="P459" s="116">
        <v>1328.95</v>
      </c>
      <c r="Q459" s="116">
        <v>1326.4</v>
      </c>
      <c r="R459">
        <v>228193</v>
      </c>
    </row>
    <row r="460" spans="1:18" x14ac:dyDescent="0.25">
      <c r="A460" s="170">
        <v>44244</v>
      </c>
      <c r="B460" s="116">
        <v>1364</v>
      </c>
      <c r="C460" s="116">
        <v>1350</v>
      </c>
      <c r="D460" s="116">
        <v>1323</v>
      </c>
      <c r="E460" s="116">
        <v>1340</v>
      </c>
      <c r="F460" s="116">
        <v>1350</v>
      </c>
      <c r="G460">
        <v>18276</v>
      </c>
      <c r="H460" s="116"/>
      <c r="I460" s="116"/>
      <c r="L460" s="170">
        <v>44244</v>
      </c>
      <c r="M460" s="116">
        <v>1353.65</v>
      </c>
      <c r="N460" s="116">
        <v>1364</v>
      </c>
      <c r="O460" s="116">
        <v>1321.05</v>
      </c>
      <c r="P460" s="116">
        <v>1328</v>
      </c>
      <c r="Q460" s="116">
        <v>1353.65</v>
      </c>
      <c r="R460">
        <v>482906</v>
      </c>
    </row>
    <row r="461" spans="1:18" x14ac:dyDescent="0.25">
      <c r="A461" s="170">
        <v>44245</v>
      </c>
      <c r="B461" s="116">
        <v>1369</v>
      </c>
      <c r="C461" s="116">
        <v>1347.15</v>
      </c>
      <c r="D461" s="116">
        <v>1337.3</v>
      </c>
      <c r="E461" s="116">
        <v>1369</v>
      </c>
      <c r="F461" s="116">
        <v>1347.15</v>
      </c>
      <c r="G461">
        <v>10670</v>
      </c>
      <c r="H461" s="116"/>
      <c r="I461" s="116"/>
      <c r="L461" s="170">
        <v>44245</v>
      </c>
      <c r="M461" s="116">
        <v>1347.6</v>
      </c>
      <c r="N461" s="116">
        <v>1360.8</v>
      </c>
      <c r="O461" s="116">
        <v>1336.1</v>
      </c>
      <c r="P461" s="116">
        <v>1352</v>
      </c>
      <c r="Q461" s="116">
        <v>1347.6</v>
      </c>
      <c r="R461">
        <v>317284</v>
      </c>
    </row>
    <row r="462" spans="1:18" x14ac:dyDescent="0.25">
      <c r="A462" s="170">
        <v>44246</v>
      </c>
      <c r="B462" s="116">
        <v>1359.5</v>
      </c>
      <c r="C462" s="116">
        <v>1328.7</v>
      </c>
      <c r="D462" s="116">
        <v>1300.8</v>
      </c>
      <c r="E462" s="116">
        <v>1352.05</v>
      </c>
      <c r="F462" s="116">
        <v>1328.7</v>
      </c>
      <c r="G462">
        <v>10363</v>
      </c>
      <c r="H462" s="116"/>
      <c r="I462" s="116"/>
      <c r="L462" s="170">
        <v>44246</v>
      </c>
      <c r="M462" s="116">
        <v>1329.35</v>
      </c>
      <c r="N462" s="116">
        <v>1359</v>
      </c>
      <c r="O462" s="116">
        <v>1301</v>
      </c>
      <c r="P462" s="116">
        <v>1358.4</v>
      </c>
      <c r="Q462" s="116">
        <v>1329.35</v>
      </c>
      <c r="R462">
        <v>181098</v>
      </c>
    </row>
    <row r="463" spans="1:18" x14ac:dyDescent="0.25">
      <c r="A463" s="170">
        <v>44249</v>
      </c>
      <c r="B463" s="116">
        <v>1387.45</v>
      </c>
      <c r="C463" s="116">
        <v>1335.6</v>
      </c>
      <c r="D463" s="116">
        <v>1296.9000000000001</v>
      </c>
      <c r="E463" s="116">
        <v>1330</v>
      </c>
      <c r="F463" s="116">
        <v>1335.6</v>
      </c>
      <c r="G463">
        <v>26298</v>
      </c>
      <c r="H463" s="116"/>
      <c r="I463" s="116"/>
      <c r="L463" s="170">
        <v>44249</v>
      </c>
      <c r="M463" s="116">
        <v>1338.85</v>
      </c>
      <c r="N463" s="116">
        <v>1387.95</v>
      </c>
      <c r="O463" s="116">
        <v>1296.55</v>
      </c>
      <c r="P463" s="116">
        <v>1317</v>
      </c>
      <c r="Q463" s="116">
        <v>1338.85</v>
      </c>
      <c r="R463">
        <v>518096</v>
      </c>
    </row>
    <row r="464" spans="1:18" x14ac:dyDescent="0.25">
      <c r="A464" s="170">
        <v>44250</v>
      </c>
      <c r="B464" s="116">
        <v>1357.4</v>
      </c>
      <c r="C464" s="116">
        <v>1345.35</v>
      </c>
      <c r="D464" s="116">
        <v>1326</v>
      </c>
      <c r="E464" s="116">
        <v>1335.6</v>
      </c>
      <c r="F464" s="116">
        <v>1345.35</v>
      </c>
      <c r="G464">
        <v>6604</v>
      </c>
      <c r="H464" s="116"/>
      <c r="I464" s="116"/>
      <c r="L464" s="170">
        <v>44250</v>
      </c>
      <c r="M464" s="116">
        <v>1346.4</v>
      </c>
      <c r="N464" s="116">
        <v>1360</v>
      </c>
      <c r="O464" s="116">
        <v>1325</v>
      </c>
      <c r="P464" s="116">
        <v>1339.85</v>
      </c>
      <c r="Q464" s="116">
        <v>1346.4</v>
      </c>
      <c r="R464">
        <v>120712</v>
      </c>
    </row>
    <row r="465" spans="1:18" x14ac:dyDescent="0.25">
      <c r="A465" s="170">
        <v>44251</v>
      </c>
      <c r="B465" s="116">
        <v>1367</v>
      </c>
      <c r="C465" s="116">
        <v>1349.1</v>
      </c>
      <c r="D465" s="116">
        <v>1310</v>
      </c>
      <c r="E465" s="116">
        <v>1350</v>
      </c>
      <c r="F465" s="116">
        <v>1349.1</v>
      </c>
      <c r="G465">
        <v>18599</v>
      </c>
      <c r="H465" s="116"/>
      <c r="I465" s="116"/>
      <c r="L465" s="170">
        <v>44251</v>
      </c>
      <c r="M465" s="116">
        <v>1351.2</v>
      </c>
      <c r="N465" s="116">
        <v>1376.8</v>
      </c>
      <c r="O465" s="116">
        <v>1321.8</v>
      </c>
      <c r="P465" s="116">
        <v>1350</v>
      </c>
      <c r="Q465" s="116">
        <v>1351.2</v>
      </c>
      <c r="R465">
        <v>108632</v>
      </c>
    </row>
    <row r="466" spans="1:18" x14ac:dyDescent="0.25">
      <c r="A466" s="170">
        <v>44252</v>
      </c>
      <c r="B466" s="116">
        <v>1372.45</v>
      </c>
      <c r="C466" s="116">
        <v>1356.15</v>
      </c>
      <c r="D466" s="116">
        <v>1347.7</v>
      </c>
      <c r="E466" s="116">
        <v>1350</v>
      </c>
      <c r="F466" s="116">
        <v>1356.15</v>
      </c>
      <c r="G466">
        <v>11208</v>
      </c>
      <c r="H466" s="116"/>
      <c r="I466" s="116"/>
      <c r="L466" s="170">
        <v>44252</v>
      </c>
      <c r="M466" s="116">
        <v>1355.05</v>
      </c>
      <c r="N466" s="116">
        <v>1372</v>
      </c>
      <c r="O466" s="116">
        <v>1347.6</v>
      </c>
      <c r="P466" s="116">
        <v>1357</v>
      </c>
      <c r="Q466" s="116">
        <v>1355.05</v>
      </c>
      <c r="R466">
        <v>484835</v>
      </c>
    </row>
    <row r="467" spans="1:18" x14ac:dyDescent="0.25">
      <c r="A467" s="170">
        <v>44253</v>
      </c>
      <c r="B467" s="116">
        <v>1360.45</v>
      </c>
      <c r="C467" s="116">
        <v>1336.65</v>
      </c>
      <c r="D467" s="116">
        <v>1315.95</v>
      </c>
      <c r="E467" s="116">
        <v>1325</v>
      </c>
      <c r="F467" s="116">
        <v>1336.65</v>
      </c>
      <c r="G467">
        <v>18509</v>
      </c>
      <c r="H467" s="116"/>
      <c r="I467" s="116"/>
      <c r="L467" s="170">
        <v>44253</v>
      </c>
      <c r="M467" s="116">
        <v>1337.1</v>
      </c>
      <c r="N467" s="116">
        <v>1360</v>
      </c>
      <c r="O467" s="116">
        <v>1315.6</v>
      </c>
      <c r="P467" s="116">
        <v>1340</v>
      </c>
      <c r="Q467" s="116">
        <v>1337.1</v>
      </c>
      <c r="R467">
        <v>189651</v>
      </c>
    </row>
    <row r="468" spans="1:18" x14ac:dyDescent="0.25">
      <c r="A468" s="170">
        <v>44256</v>
      </c>
      <c r="B468" s="116">
        <v>1362.3</v>
      </c>
      <c r="C468" s="116">
        <v>1350.1</v>
      </c>
      <c r="D468" s="116">
        <v>1340</v>
      </c>
      <c r="E468" s="116">
        <v>1351.05</v>
      </c>
      <c r="F468" s="116">
        <v>1350.1</v>
      </c>
      <c r="G468">
        <v>7368</v>
      </c>
      <c r="H468" s="116"/>
      <c r="I468" s="116"/>
      <c r="L468" s="170">
        <v>44256</v>
      </c>
      <c r="M468" s="116">
        <v>1350.2</v>
      </c>
      <c r="N468" s="116">
        <v>1362.5</v>
      </c>
      <c r="O468" s="116">
        <v>1339.85</v>
      </c>
      <c r="P468" s="116">
        <v>1360</v>
      </c>
      <c r="Q468" s="116">
        <v>1350.2</v>
      </c>
      <c r="R468">
        <v>89642</v>
      </c>
    </row>
    <row r="469" spans="1:18" x14ac:dyDescent="0.25">
      <c r="A469" s="170">
        <v>44257</v>
      </c>
      <c r="B469" s="116">
        <v>1372.65</v>
      </c>
      <c r="C469" s="116">
        <v>1363.3</v>
      </c>
      <c r="D469" s="116">
        <v>1343.4</v>
      </c>
      <c r="E469" s="116">
        <v>1370</v>
      </c>
      <c r="F469" s="116">
        <v>1363.3</v>
      </c>
      <c r="G469">
        <v>11312</v>
      </c>
      <c r="H469" s="116"/>
      <c r="I469" s="116"/>
      <c r="L469" s="170">
        <v>44257</v>
      </c>
      <c r="M469" s="116">
        <v>1365.8</v>
      </c>
      <c r="N469" s="116">
        <v>1374.8</v>
      </c>
      <c r="O469" s="116">
        <v>1342</v>
      </c>
      <c r="P469" s="116">
        <v>1356</v>
      </c>
      <c r="Q469" s="116">
        <v>1365.8</v>
      </c>
      <c r="R469">
        <v>191834</v>
      </c>
    </row>
    <row r="470" spans="1:18" x14ac:dyDescent="0.25">
      <c r="A470" s="170">
        <v>44258</v>
      </c>
      <c r="B470" s="116">
        <v>1375</v>
      </c>
      <c r="C470" s="116">
        <v>1354.65</v>
      </c>
      <c r="D470" s="116">
        <v>1346</v>
      </c>
      <c r="E470" s="116">
        <v>1375</v>
      </c>
      <c r="F470" s="116">
        <v>1354.65</v>
      </c>
      <c r="G470">
        <v>11577</v>
      </c>
      <c r="H470" s="116"/>
      <c r="I470" s="116"/>
      <c r="L470" s="170">
        <v>44258</v>
      </c>
      <c r="M470" s="116">
        <v>1353.35</v>
      </c>
      <c r="N470" s="116">
        <v>1375</v>
      </c>
      <c r="O470" s="116">
        <v>1345.8</v>
      </c>
      <c r="P470" s="116">
        <v>1375</v>
      </c>
      <c r="Q470" s="116">
        <v>1353.35</v>
      </c>
      <c r="R470">
        <v>317651</v>
      </c>
    </row>
    <row r="471" spans="1:18" x14ac:dyDescent="0.25">
      <c r="A471" s="170">
        <v>44259</v>
      </c>
      <c r="B471" s="116">
        <v>1361.65</v>
      </c>
      <c r="C471" s="116">
        <v>1350.85</v>
      </c>
      <c r="D471" s="116">
        <v>1330.05</v>
      </c>
      <c r="E471" s="116">
        <v>1330.05</v>
      </c>
      <c r="F471" s="116">
        <v>1350.85</v>
      </c>
      <c r="G471">
        <v>14859</v>
      </c>
      <c r="H471" s="116"/>
      <c r="I471" s="116"/>
      <c r="L471" s="170">
        <v>44259</v>
      </c>
      <c r="M471" s="116">
        <v>1350.8</v>
      </c>
      <c r="N471" s="116">
        <v>1361.5</v>
      </c>
      <c r="O471" s="116">
        <v>1345.05</v>
      </c>
      <c r="P471" s="116">
        <v>1347.5</v>
      </c>
      <c r="Q471" s="116">
        <v>1350.8</v>
      </c>
      <c r="R471">
        <v>138212</v>
      </c>
    </row>
    <row r="472" spans="1:18" x14ac:dyDescent="0.25">
      <c r="A472" s="170">
        <v>44260</v>
      </c>
      <c r="B472" s="116">
        <v>1357.1</v>
      </c>
      <c r="C472" s="116">
        <v>1351.15</v>
      </c>
      <c r="D472" s="116">
        <v>1337.75</v>
      </c>
      <c r="E472" s="116">
        <v>1350</v>
      </c>
      <c r="F472" s="116">
        <v>1351.15</v>
      </c>
      <c r="G472">
        <v>15252</v>
      </c>
      <c r="H472" s="116"/>
      <c r="I472" s="116"/>
      <c r="L472" s="170">
        <v>44260</v>
      </c>
      <c r="M472" s="116">
        <v>1350.25</v>
      </c>
      <c r="N472" s="116">
        <v>1357</v>
      </c>
      <c r="O472" s="116">
        <v>1338</v>
      </c>
      <c r="P472" s="116">
        <v>1351</v>
      </c>
      <c r="Q472" s="116">
        <v>1350.25</v>
      </c>
      <c r="R472">
        <v>140978</v>
      </c>
    </row>
    <row r="473" spans="1:18" x14ac:dyDescent="0.25">
      <c r="A473" s="170">
        <v>44263</v>
      </c>
      <c r="B473" s="116">
        <v>1358.1</v>
      </c>
      <c r="C473" s="116">
        <v>1352.2</v>
      </c>
      <c r="D473" s="116">
        <v>1331.45</v>
      </c>
      <c r="E473" s="116">
        <v>1350</v>
      </c>
      <c r="F473" s="116">
        <v>1352.2</v>
      </c>
      <c r="G473">
        <v>11742</v>
      </c>
      <c r="H473" s="116"/>
      <c r="I473" s="116"/>
      <c r="L473" s="170">
        <v>44263</v>
      </c>
      <c r="M473" s="116">
        <v>1352.35</v>
      </c>
      <c r="N473" s="116">
        <v>1358</v>
      </c>
      <c r="O473" s="116">
        <v>1331.25</v>
      </c>
      <c r="P473" s="116">
        <v>1350</v>
      </c>
      <c r="Q473" s="116">
        <v>1352.35</v>
      </c>
      <c r="R473">
        <v>82898</v>
      </c>
    </row>
    <row r="474" spans="1:18" x14ac:dyDescent="0.25">
      <c r="A474" s="170">
        <v>44264</v>
      </c>
      <c r="B474" s="116">
        <v>1363.6</v>
      </c>
      <c r="C474" s="116">
        <v>1361.25</v>
      </c>
      <c r="D474" s="116">
        <v>1349</v>
      </c>
      <c r="E474" s="116">
        <v>1360</v>
      </c>
      <c r="F474" s="116">
        <v>1361.25</v>
      </c>
      <c r="G474">
        <v>8845</v>
      </c>
      <c r="H474" s="116"/>
      <c r="I474" s="116"/>
      <c r="L474" s="170">
        <v>44264</v>
      </c>
      <c r="M474" s="116">
        <v>1360.15</v>
      </c>
      <c r="N474" s="116">
        <v>1362.3</v>
      </c>
      <c r="O474" s="116">
        <v>1345.05</v>
      </c>
      <c r="P474" s="116">
        <v>1359.95</v>
      </c>
      <c r="Q474" s="116">
        <v>1360.15</v>
      </c>
      <c r="R474">
        <v>99124</v>
      </c>
    </row>
    <row r="475" spans="1:18" x14ac:dyDescent="0.25">
      <c r="A475" s="170">
        <v>44265</v>
      </c>
      <c r="B475" s="116">
        <v>1376.55</v>
      </c>
      <c r="C475" s="116">
        <v>1366.5</v>
      </c>
      <c r="D475" s="116">
        <v>1351</v>
      </c>
      <c r="E475" s="116">
        <v>1369.5</v>
      </c>
      <c r="F475" s="116">
        <v>1366.5</v>
      </c>
      <c r="G475">
        <v>19588</v>
      </c>
      <c r="H475" s="116"/>
      <c r="I475" s="116"/>
      <c r="L475" s="170">
        <v>44265</v>
      </c>
      <c r="M475" s="116">
        <v>1366.35</v>
      </c>
      <c r="N475" s="116">
        <v>1377</v>
      </c>
      <c r="O475" s="116">
        <v>1352</v>
      </c>
      <c r="P475" s="116">
        <v>1360</v>
      </c>
      <c r="Q475" s="116">
        <v>1366.35</v>
      </c>
      <c r="R475">
        <v>434354</v>
      </c>
    </row>
    <row r="476" spans="1:18" x14ac:dyDescent="0.25">
      <c r="A476" s="170">
        <v>44267</v>
      </c>
      <c r="B476" s="116">
        <v>1377.7</v>
      </c>
      <c r="C476" s="116">
        <v>1357</v>
      </c>
      <c r="D476" s="116">
        <v>1347</v>
      </c>
      <c r="E476" s="116">
        <v>1365</v>
      </c>
      <c r="F476" s="116">
        <v>1357</v>
      </c>
      <c r="G476">
        <v>26253</v>
      </c>
      <c r="H476" s="116"/>
      <c r="I476" s="116"/>
      <c r="L476" s="170">
        <v>44267</v>
      </c>
      <c r="M476" s="116">
        <v>1359.6</v>
      </c>
      <c r="N476" s="116">
        <v>1377</v>
      </c>
      <c r="O476" s="116">
        <v>1346.1</v>
      </c>
      <c r="P476" s="116">
        <v>1369.95</v>
      </c>
      <c r="Q476" s="116">
        <v>1359.6</v>
      </c>
      <c r="R476">
        <v>327169</v>
      </c>
    </row>
    <row r="477" spans="1:18" x14ac:dyDescent="0.25">
      <c r="A477" s="170">
        <v>44270</v>
      </c>
      <c r="B477" s="116">
        <v>1376.05</v>
      </c>
      <c r="C477" s="116">
        <v>1356.35</v>
      </c>
      <c r="D477" s="116">
        <v>1336.5</v>
      </c>
      <c r="E477" s="116">
        <v>1359</v>
      </c>
      <c r="F477" s="116">
        <v>1356.35</v>
      </c>
      <c r="G477">
        <v>17304</v>
      </c>
      <c r="H477" s="116"/>
      <c r="I477" s="116"/>
      <c r="L477" s="170">
        <v>44270</v>
      </c>
      <c r="M477" s="116">
        <v>1357.1</v>
      </c>
      <c r="N477" s="116">
        <v>1376.9</v>
      </c>
      <c r="O477" s="116">
        <v>1335.55</v>
      </c>
      <c r="P477" s="116">
        <v>1363.6</v>
      </c>
      <c r="Q477" s="116">
        <v>1357.1</v>
      </c>
      <c r="R477">
        <v>214232</v>
      </c>
    </row>
    <row r="478" spans="1:18" x14ac:dyDescent="0.25">
      <c r="A478" s="170">
        <v>44271</v>
      </c>
      <c r="B478" s="116">
        <v>1378.4</v>
      </c>
      <c r="C478" s="116">
        <v>1354.75</v>
      </c>
      <c r="D478" s="116">
        <v>1345.7</v>
      </c>
      <c r="E478" s="116">
        <v>1364.65</v>
      </c>
      <c r="F478" s="116">
        <v>1354.75</v>
      </c>
      <c r="G478">
        <v>9467</v>
      </c>
      <c r="H478" s="116"/>
      <c r="I478" s="116"/>
      <c r="L478" s="170">
        <v>44271</v>
      </c>
      <c r="M478" s="116">
        <v>1355.2</v>
      </c>
      <c r="N478" s="116">
        <v>1375.9</v>
      </c>
      <c r="O478" s="116">
        <v>1345</v>
      </c>
      <c r="P478" s="116">
        <v>1363.8</v>
      </c>
      <c r="Q478" s="116">
        <v>1355.2</v>
      </c>
      <c r="R478">
        <v>140179</v>
      </c>
    </row>
    <row r="479" spans="1:18" x14ac:dyDescent="0.25">
      <c r="A479" s="170">
        <v>44272</v>
      </c>
      <c r="B479" s="116">
        <v>1358</v>
      </c>
      <c r="C479" s="116">
        <v>1352.9</v>
      </c>
      <c r="D479" s="116">
        <v>1340.7</v>
      </c>
      <c r="E479" s="116">
        <v>1346.1</v>
      </c>
      <c r="F479" s="116">
        <v>1352.9</v>
      </c>
      <c r="G479">
        <v>5561</v>
      </c>
      <c r="H479" s="116"/>
      <c r="I479" s="116"/>
      <c r="L479" s="170">
        <v>44272</v>
      </c>
      <c r="M479" s="116">
        <v>1352.35</v>
      </c>
      <c r="N479" s="116">
        <v>1359.95</v>
      </c>
      <c r="O479" s="116">
        <v>1340.1</v>
      </c>
      <c r="P479" s="116">
        <v>1358</v>
      </c>
      <c r="Q479" s="116">
        <v>1352.35</v>
      </c>
      <c r="R479">
        <v>94211</v>
      </c>
    </row>
    <row r="480" spans="1:18" x14ac:dyDescent="0.25">
      <c r="A480" s="170">
        <v>44273</v>
      </c>
      <c r="B480" s="116">
        <v>1379.45</v>
      </c>
      <c r="C480" s="116">
        <v>1312.7</v>
      </c>
      <c r="D480" s="116">
        <v>1295</v>
      </c>
      <c r="E480" s="116">
        <v>1348</v>
      </c>
      <c r="F480" s="116">
        <v>1312.7</v>
      </c>
      <c r="G480">
        <v>53694</v>
      </c>
      <c r="H480" s="116"/>
      <c r="I480" s="116"/>
      <c r="L480" s="170">
        <v>44273</v>
      </c>
      <c r="M480" s="116">
        <v>1312.35</v>
      </c>
      <c r="N480" s="116">
        <v>1379</v>
      </c>
      <c r="O480" s="116">
        <v>1295</v>
      </c>
      <c r="P480" s="116">
        <v>1352.35</v>
      </c>
      <c r="Q480" s="116">
        <v>1312.35</v>
      </c>
      <c r="R480">
        <v>532541</v>
      </c>
    </row>
    <row r="481" spans="1:18" x14ac:dyDescent="0.25">
      <c r="A481" s="170">
        <v>44274</v>
      </c>
      <c r="B481" s="116">
        <v>1367</v>
      </c>
      <c r="C481" s="116">
        <v>1355.25</v>
      </c>
      <c r="D481" s="116">
        <v>1247</v>
      </c>
      <c r="E481" s="116">
        <v>1300.3</v>
      </c>
      <c r="F481" s="116">
        <v>1355.25</v>
      </c>
      <c r="G481">
        <v>36380</v>
      </c>
      <c r="H481" s="116"/>
      <c r="I481" s="116"/>
      <c r="L481" s="170">
        <v>44274</v>
      </c>
      <c r="M481" s="116">
        <v>1353.1</v>
      </c>
      <c r="N481" s="116">
        <v>1370</v>
      </c>
      <c r="O481" s="116">
        <v>1247.25</v>
      </c>
      <c r="P481" s="116">
        <v>1312</v>
      </c>
      <c r="Q481" s="116">
        <v>1353.1</v>
      </c>
      <c r="R481">
        <v>360422</v>
      </c>
    </row>
    <row r="482" spans="1:18" x14ac:dyDescent="0.25">
      <c r="A482" s="170">
        <v>44277</v>
      </c>
      <c r="B482" s="116">
        <v>1377</v>
      </c>
      <c r="C482" s="116">
        <v>1351.45</v>
      </c>
      <c r="D482" s="116">
        <v>1340</v>
      </c>
      <c r="E482" s="116">
        <v>1340</v>
      </c>
      <c r="F482" s="116">
        <v>1351.45</v>
      </c>
      <c r="G482">
        <v>17753</v>
      </c>
      <c r="H482" s="116"/>
      <c r="I482" s="116"/>
      <c r="L482" s="170">
        <v>44277</v>
      </c>
      <c r="M482" s="116">
        <v>1352.7</v>
      </c>
      <c r="N482" s="116">
        <v>1377</v>
      </c>
      <c r="O482" s="116">
        <v>1345</v>
      </c>
      <c r="P482" s="116">
        <v>1355</v>
      </c>
      <c r="Q482" s="116">
        <v>1352.7</v>
      </c>
      <c r="R482">
        <v>326202</v>
      </c>
    </row>
    <row r="483" spans="1:18" x14ac:dyDescent="0.25">
      <c r="A483" s="170">
        <v>44278</v>
      </c>
      <c r="B483" s="116">
        <v>1376</v>
      </c>
      <c r="C483" s="116">
        <v>1373.4</v>
      </c>
      <c r="D483" s="116">
        <v>1349</v>
      </c>
      <c r="E483" s="116">
        <v>1370</v>
      </c>
      <c r="F483" s="116">
        <v>1373.4</v>
      </c>
      <c r="G483">
        <v>7806</v>
      </c>
      <c r="H483" s="116"/>
      <c r="I483" s="116"/>
      <c r="L483" s="170">
        <v>44278</v>
      </c>
      <c r="M483" s="116">
        <v>1373.35</v>
      </c>
      <c r="N483" s="116">
        <v>1375</v>
      </c>
      <c r="O483" s="116">
        <v>1348.15</v>
      </c>
      <c r="P483" s="116">
        <v>1354.9</v>
      </c>
      <c r="Q483" s="116">
        <v>1373.35</v>
      </c>
      <c r="R483">
        <v>220444</v>
      </c>
    </row>
    <row r="484" spans="1:18" x14ac:dyDescent="0.25">
      <c r="A484" s="170">
        <v>44279</v>
      </c>
      <c r="B484" s="116">
        <v>1375</v>
      </c>
      <c r="C484" s="116">
        <v>1370.35</v>
      </c>
      <c r="D484" s="116">
        <v>1329.75</v>
      </c>
      <c r="E484" s="116">
        <v>1367.05</v>
      </c>
      <c r="F484" s="116">
        <v>1370.35</v>
      </c>
      <c r="G484">
        <v>45243</v>
      </c>
      <c r="H484" s="116"/>
      <c r="I484" s="116"/>
      <c r="L484" s="170">
        <v>44279</v>
      </c>
      <c r="M484" s="116">
        <v>1371.55</v>
      </c>
      <c r="N484" s="116">
        <v>1378</v>
      </c>
      <c r="O484" s="116">
        <v>1126.0999999999999</v>
      </c>
      <c r="P484" s="116">
        <v>1378</v>
      </c>
      <c r="Q484" s="116">
        <v>1371.55</v>
      </c>
      <c r="R484">
        <v>234622</v>
      </c>
    </row>
    <row r="485" spans="1:18" x14ac:dyDescent="0.25">
      <c r="A485" s="170">
        <v>44280</v>
      </c>
      <c r="B485" s="116">
        <v>1377.7</v>
      </c>
      <c r="C485" s="116">
        <v>1365.5</v>
      </c>
      <c r="D485" s="116">
        <v>1339.45</v>
      </c>
      <c r="E485" s="116">
        <v>1358.05</v>
      </c>
      <c r="F485" s="116">
        <v>1365.5</v>
      </c>
      <c r="G485">
        <v>13808</v>
      </c>
      <c r="H485" s="116"/>
      <c r="I485" s="116"/>
      <c r="L485" s="170">
        <v>44280</v>
      </c>
      <c r="M485" s="116">
        <v>1364.35</v>
      </c>
      <c r="N485" s="116">
        <v>1375</v>
      </c>
      <c r="O485" s="116">
        <v>1338</v>
      </c>
      <c r="P485" s="116">
        <v>1365</v>
      </c>
      <c r="Q485" s="116">
        <v>1364.35</v>
      </c>
      <c r="R485">
        <v>293099</v>
      </c>
    </row>
    <row r="486" spans="1:18" x14ac:dyDescent="0.25">
      <c r="A486" s="170">
        <v>44281</v>
      </c>
      <c r="B486" s="116">
        <v>1444</v>
      </c>
      <c r="C486" s="116">
        <v>1390.2</v>
      </c>
      <c r="D486" s="116">
        <v>1358</v>
      </c>
      <c r="E486" s="116">
        <v>1368</v>
      </c>
      <c r="F486" s="116">
        <v>1390.2</v>
      </c>
      <c r="G486">
        <v>46892</v>
      </c>
      <c r="H486" s="116"/>
      <c r="I486" s="116"/>
      <c r="L486" s="170">
        <v>44281</v>
      </c>
      <c r="M486" s="116">
        <v>1390.7</v>
      </c>
      <c r="N486" s="116">
        <v>1444.4</v>
      </c>
      <c r="O486" s="116">
        <v>1360.05</v>
      </c>
      <c r="P486" s="116">
        <v>1370</v>
      </c>
      <c r="Q486" s="116">
        <v>1390.7</v>
      </c>
      <c r="R486">
        <v>947833</v>
      </c>
    </row>
    <row r="487" spans="1:18" x14ac:dyDescent="0.25">
      <c r="A487" s="170">
        <v>44285</v>
      </c>
      <c r="B487" s="116">
        <v>1410</v>
      </c>
      <c r="C487" s="116">
        <v>1376.6</v>
      </c>
      <c r="D487" s="116">
        <v>1365.2</v>
      </c>
      <c r="E487" s="116">
        <v>1410</v>
      </c>
      <c r="F487" s="116">
        <v>1376.6</v>
      </c>
      <c r="G487">
        <v>11065</v>
      </c>
      <c r="H487" s="116"/>
      <c r="I487" s="116"/>
      <c r="L487" s="170">
        <v>44285</v>
      </c>
      <c r="M487" s="116">
        <v>1377.65</v>
      </c>
      <c r="N487" s="116">
        <v>1409.8</v>
      </c>
      <c r="O487" s="116">
        <v>1365</v>
      </c>
      <c r="P487" s="116">
        <v>1403</v>
      </c>
      <c r="Q487" s="116">
        <v>1377.65</v>
      </c>
      <c r="R487">
        <v>449575</v>
      </c>
    </row>
    <row r="488" spans="1:18" x14ac:dyDescent="0.25">
      <c r="A488" s="170">
        <v>44286</v>
      </c>
      <c r="B488" s="116">
        <v>1403.95</v>
      </c>
      <c r="C488" s="116">
        <v>1380.15</v>
      </c>
      <c r="D488" s="116">
        <v>1371.8</v>
      </c>
      <c r="E488" s="116">
        <v>1390</v>
      </c>
      <c r="F488" s="116">
        <v>1380.15</v>
      </c>
      <c r="G488">
        <v>8811</v>
      </c>
      <c r="H488" s="116"/>
      <c r="I488" s="116"/>
      <c r="L488" s="170">
        <v>44286</v>
      </c>
      <c r="M488" s="116">
        <v>1379.55</v>
      </c>
      <c r="N488" s="116">
        <v>1404.7</v>
      </c>
      <c r="O488" s="116">
        <v>1370.3</v>
      </c>
      <c r="P488" s="116">
        <v>1384.9</v>
      </c>
      <c r="Q488" s="116">
        <v>1379.55</v>
      </c>
      <c r="R488">
        <v>233976</v>
      </c>
    </row>
    <row r="489" spans="1:18" x14ac:dyDescent="0.25">
      <c r="A489" s="170">
        <v>44287</v>
      </c>
      <c r="B489" s="116">
        <v>1402</v>
      </c>
      <c r="C489" s="116">
        <v>1395.4</v>
      </c>
      <c r="D489" s="116">
        <v>1376.75</v>
      </c>
      <c r="E489" s="116">
        <v>1399</v>
      </c>
      <c r="F489" s="116">
        <v>1395.4</v>
      </c>
      <c r="G489">
        <v>9815</v>
      </c>
      <c r="H489" s="116"/>
      <c r="I489" s="116"/>
      <c r="L489" s="170">
        <v>44287</v>
      </c>
      <c r="M489" s="116">
        <v>1396.25</v>
      </c>
      <c r="N489" s="116">
        <v>1402</v>
      </c>
      <c r="O489" s="116">
        <v>1376.75</v>
      </c>
      <c r="P489" s="116">
        <v>1394</v>
      </c>
      <c r="Q489" s="116">
        <v>1396.25</v>
      </c>
      <c r="R489">
        <v>154908</v>
      </c>
    </row>
    <row r="490" spans="1:18" x14ac:dyDescent="0.25">
      <c r="A490" s="170">
        <v>44291</v>
      </c>
      <c r="B490" s="116">
        <v>1395</v>
      </c>
      <c r="C490" s="116">
        <v>1373.05</v>
      </c>
      <c r="D490" s="116">
        <v>1335.2</v>
      </c>
      <c r="E490" s="116">
        <v>1395</v>
      </c>
      <c r="F490" s="116">
        <v>1373.05</v>
      </c>
      <c r="G490">
        <v>15801</v>
      </c>
      <c r="H490" s="116"/>
      <c r="I490" s="116"/>
      <c r="L490" s="170">
        <v>44291</v>
      </c>
      <c r="M490" s="116">
        <v>1373.1</v>
      </c>
      <c r="N490" s="116">
        <v>1395</v>
      </c>
      <c r="O490" s="116">
        <v>1341.3</v>
      </c>
      <c r="P490" s="116">
        <v>1395</v>
      </c>
      <c r="Q490" s="116">
        <v>1373.1</v>
      </c>
      <c r="R490">
        <v>242102</v>
      </c>
    </row>
    <row r="491" spans="1:18" x14ac:dyDescent="0.25">
      <c r="A491" s="170">
        <v>44292</v>
      </c>
      <c r="B491" s="116">
        <v>1386</v>
      </c>
      <c r="C491" s="116">
        <v>1379.85</v>
      </c>
      <c r="D491" s="116">
        <v>1357</v>
      </c>
      <c r="E491" s="116">
        <v>1376.75</v>
      </c>
      <c r="F491" s="116">
        <v>1379.85</v>
      </c>
      <c r="G491">
        <v>14286</v>
      </c>
      <c r="H491" s="116"/>
      <c r="I491" s="116"/>
      <c r="L491" s="170">
        <v>44292</v>
      </c>
      <c r="M491" s="116">
        <v>1379.6</v>
      </c>
      <c r="N491" s="116">
        <v>1386.9</v>
      </c>
      <c r="O491" s="116">
        <v>1356</v>
      </c>
      <c r="P491" s="116">
        <v>1380.3</v>
      </c>
      <c r="Q491" s="116">
        <v>1379.6</v>
      </c>
      <c r="R491">
        <v>340155</v>
      </c>
    </row>
    <row r="492" spans="1:18" x14ac:dyDescent="0.25">
      <c r="A492" s="170">
        <v>44293</v>
      </c>
      <c r="B492" s="116">
        <v>1420</v>
      </c>
      <c r="C492" s="116">
        <v>1408.75</v>
      </c>
      <c r="D492" s="116">
        <v>1366.8</v>
      </c>
      <c r="E492" s="116">
        <v>1374.75</v>
      </c>
      <c r="F492" s="116">
        <v>1408.75</v>
      </c>
      <c r="G492">
        <v>25651</v>
      </c>
      <c r="H492" s="116"/>
      <c r="I492" s="116"/>
      <c r="L492" s="170">
        <v>44293</v>
      </c>
      <c r="M492" s="116">
        <v>1408.25</v>
      </c>
      <c r="N492" s="116">
        <v>1419.9</v>
      </c>
      <c r="O492" s="116">
        <v>1368.15</v>
      </c>
      <c r="P492" s="116">
        <v>1379</v>
      </c>
      <c r="Q492" s="116">
        <v>1408.25</v>
      </c>
      <c r="R492">
        <v>596094</v>
      </c>
    </row>
    <row r="493" spans="1:18" x14ac:dyDescent="0.25">
      <c r="A493" s="170">
        <v>44294</v>
      </c>
      <c r="B493" s="116">
        <v>1422.15</v>
      </c>
      <c r="C493" s="116">
        <v>1400.8</v>
      </c>
      <c r="D493" s="116">
        <v>1390</v>
      </c>
      <c r="E493" s="116">
        <v>1420.95</v>
      </c>
      <c r="F493" s="116">
        <v>1400.8</v>
      </c>
      <c r="G493">
        <v>16058</v>
      </c>
      <c r="H493" s="116"/>
      <c r="I493" s="116"/>
      <c r="L493" s="170">
        <v>44294</v>
      </c>
      <c r="M493" s="116">
        <v>1400.85</v>
      </c>
      <c r="N493" s="116">
        <v>1422</v>
      </c>
      <c r="O493" s="116">
        <v>1391.6</v>
      </c>
      <c r="P493" s="116">
        <v>1420</v>
      </c>
      <c r="Q493" s="116">
        <v>1400.85</v>
      </c>
      <c r="R493">
        <v>308467</v>
      </c>
    </row>
    <row r="494" spans="1:18" x14ac:dyDescent="0.25">
      <c r="A494" s="170">
        <v>44295</v>
      </c>
      <c r="B494" s="116">
        <v>1414.9</v>
      </c>
      <c r="C494" s="116">
        <v>1396.85</v>
      </c>
      <c r="D494" s="116">
        <v>1386</v>
      </c>
      <c r="E494" s="116">
        <v>1414.9</v>
      </c>
      <c r="F494" s="116">
        <v>1396.85</v>
      </c>
      <c r="G494">
        <v>5739</v>
      </c>
      <c r="H494" s="116"/>
      <c r="I494" s="116"/>
      <c r="L494" s="170">
        <v>44295</v>
      </c>
      <c r="M494" s="116">
        <v>1398.75</v>
      </c>
      <c r="N494" s="116">
        <v>1405.2</v>
      </c>
      <c r="O494" s="116">
        <v>1386.65</v>
      </c>
      <c r="P494" s="116">
        <v>1400.1</v>
      </c>
      <c r="Q494" s="116">
        <v>1398.75</v>
      </c>
      <c r="R494">
        <v>185076</v>
      </c>
    </row>
    <row r="495" spans="1:18" x14ac:dyDescent="0.25">
      <c r="A495" s="170">
        <v>44298</v>
      </c>
      <c r="B495" s="116">
        <v>1381</v>
      </c>
      <c r="C495" s="116">
        <v>1347.9</v>
      </c>
      <c r="D495" s="116">
        <v>1322.3</v>
      </c>
      <c r="E495" s="116">
        <v>1381</v>
      </c>
      <c r="F495" s="116">
        <v>1347.9</v>
      </c>
      <c r="G495">
        <v>18062</v>
      </c>
      <c r="H495" s="116"/>
      <c r="I495" s="116"/>
      <c r="L495" s="170">
        <v>44298</v>
      </c>
      <c r="M495" s="116">
        <v>1347.7</v>
      </c>
      <c r="N495" s="116">
        <v>1385</v>
      </c>
      <c r="O495" s="116">
        <v>1323.2</v>
      </c>
      <c r="P495" s="116">
        <v>1381</v>
      </c>
      <c r="Q495" s="116">
        <v>1347.7</v>
      </c>
      <c r="R495">
        <v>419634</v>
      </c>
    </row>
    <row r="496" spans="1:18" x14ac:dyDescent="0.25">
      <c r="A496" s="170">
        <v>44299</v>
      </c>
      <c r="B496" s="116">
        <v>1361.8</v>
      </c>
      <c r="C496" s="116">
        <v>1354.6</v>
      </c>
      <c r="D496" s="116">
        <v>1328.95</v>
      </c>
      <c r="E496" s="116">
        <v>1335</v>
      </c>
      <c r="F496" s="116">
        <v>1354.6</v>
      </c>
      <c r="G496">
        <v>14171</v>
      </c>
      <c r="H496" s="116"/>
      <c r="I496" s="116"/>
      <c r="L496" s="170">
        <v>44299</v>
      </c>
      <c r="M496" s="116">
        <v>1355.75</v>
      </c>
      <c r="N496" s="116">
        <v>1362.4</v>
      </c>
      <c r="O496" s="116">
        <v>1330.05</v>
      </c>
      <c r="P496" s="116">
        <v>1345.25</v>
      </c>
      <c r="Q496" s="116">
        <v>1355.75</v>
      </c>
      <c r="R496">
        <v>276341</v>
      </c>
    </row>
    <row r="497" spans="1:18" x14ac:dyDescent="0.25">
      <c r="A497" s="170">
        <v>44301</v>
      </c>
      <c r="B497" s="116">
        <v>1425.15</v>
      </c>
      <c r="C497" s="116">
        <v>1413.3</v>
      </c>
      <c r="D497" s="116">
        <v>1330</v>
      </c>
      <c r="E497" s="116">
        <v>1330</v>
      </c>
      <c r="F497" s="116">
        <v>1413.3</v>
      </c>
      <c r="G497">
        <v>16413</v>
      </c>
      <c r="H497" s="116"/>
      <c r="I497" s="116"/>
      <c r="L497" s="170">
        <v>44301</v>
      </c>
      <c r="M497" s="116">
        <v>1413.8</v>
      </c>
      <c r="N497" s="116">
        <v>1425</v>
      </c>
      <c r="O497" s="116">
        <v>1342.05</v>
      </c>
      <c r="P497" s="116">
        <v>1345.3</v>
      </c>
      <c r="Q497" s="116">
        <v>1413.8</v>
      </c>
      <c r="R497">
        <v>333770</v>
      </c>
    </row>
    <row r="498" spans="1:18" x14ac:dyDescent="0.25">
      <c r="A498" s="170">
        <v>44302</v>
      </c>
      <c r="B498" s="116">
        <v>1428</v>
      </c>
      <c r="C498" s="116">
        <v>1402.25</v>
      </c>
      <c r="D498" s="116">
        <v>1388.8</v>
      </c>
      <c r="E498" s="116">
        <v>1415</v>
      </c>
      <c r="F498" s="116">
        <v>1402.25</v>
      </c>
      <c r="G498">
        <v>9997</v>
      </c>
      <c r="H498" s="116"/>
      <c r="I498" s="116"/>
      <c r="L498" s="170">
        <v>44302</v>
      </c>
      <c r="M498" s="116">
        <v>1403</v>
      </c>
      <c r="N498" s="116">
        <v>1429</v>
      </c>
      <c r="O498" s="116">
        <v>1388</v>
      </c>
      <c r="P498" s="116">
        <v>1410</v>
      </c>
      <c r="Q498" s="116">
        <v>1403</v>
      </c>
      <c r="R498">
        <v>402841</v>
      </c>
    </row>
    <row r="499" spans="1:18" x14ac:dyDescent="0.25">
      <c r="A499" s="170">
        <v>44305</v>
      </c>
      <c r="B499" s="116">
        <v>1393</v>
      </c>
      <c r="C499" s="116">
        <v>1368.45</v>
      </c>
      <c r="D499" s="116">
        <v>1324.35</v>
      </c>
      <c r="E499" s="116">
        <v>1393</v>
      </c>
      <c r="F499" s="116">
        <v>1368.45</v>
      </c>
      <c r="G499">
        <v>13957</v>
      </c>
      <c r="H499" s="116"/>
      <c r="I499" s="116"/>
      <c r="L499" s="170">
        <v>44305</v>
      </c>
      <c r="M499" s="116">
        <v>1366.2</v>
      </c>
      <c r="N499" s="116">
        <v>1390</v>
      </c>
      <c r="O499" s="116">
        <v>1324.05</v>
      </c>
      <c r="P499" s="116">
        <v>1375</v>
      </c>
      <c r="Q499" s="116">
        <v>1366.2</v>
      </c>
      <c r="R499">
        <v>212200</v>
      </c>
    </row>
    <row r="500" spans="1:18" x14ac:dyDescent="0.25">
      <c r="A500" s="170">
        <v>44306</v>
      </c>
      <c r="B500" s="116">
        <v>1434.95</v>
      </c>
      <c r="C500" s="116">
        <v>1421.2</v>
      </c>
      <c r="D500" s="116">
        <v>1368</v>
      </c>
      <c r="E500" s="116">
        <v>1368</v>
      </c>
      <c r="F500" s="116">
        <v>1421.2</v>
      </c>
      <c r="G500">
        <v>27737</v>
      </c>
      <c r="H500" s="116"/>
      <c r="I500" s="116"/>
      <c r="L500" s="170">
        <v>44306</v>
      </c>
      <c r="M500" s="116">
        <v>1413.05</v>
      </c>
      <c r="N500" s="116">
        <v>1434.9</v>
      </c>
      <c r="O500" s="116">
        <v>1370.9</v>
      </c>
      <c r="P500" s="116">
        <v>1370.9</v>
      </c>
      <c r="Q500" s="116">
        <v>1413.05</v>
      </c>
      <c r="R500">
        <v>307200</v>
      </c>
    </row>
    <row r="501" spans="1:18" x14ac:dyDescent="0.25">
      <c r="A501" s="170">
        <v>44308</v>
      </c>
      <c r="B501" s="116">
        <v>1440</v>
      </c>
      <c r="C501" s="116">
        <v>1431.25</v>
      </c>
      <c r="D501" s="116">
        <v>1356</v>
      </c>
      <c r="E501" s="116">
        <v>1388.5</v>
      </c>
      <c r="F501" s="116">
        <v>1431.25</v>
      </c>
      <c r="G501">
        <v>28825</v>
      </c>
      <c r="H501" s="116"/>
      <c r="I501" s="116"/>
      <c r="L501" s="170">
        <v>44308</v>
      </c>
      <c r="M501" s="116">
        <v>1431.65</v>
      </c>
      <c r="N501" s="116">
        <v>1442</v>
      </c>
      <c r="O501" s="116">
        <v>1376.35</v>
      </c>
      <c r="P501" s="116">
        <v>1388.5</v>
      </c>
      <c r="Q501" s="116">
        <v>1431.65</v>
      </c>
      <c r="R501">
        <v>288834</v>
      </c>
    </row>
    <row r="502" spans="1:18" x14ac:dyDescent="0.25">
      <c r="A502" s="170">
        <v>44309</v>
      </c>
      <c r="B502" s="116">
        <v>1512</v>
      </c>
      <c r="C502" s="116">
        <v>1484.6</v>
      </c>
      <c r="D502" s="116">
        <v>1420.55</v>
      </c>
      <c r="E502" s="116">
        <v>1444</v>
      </c>
      <c r="F502" s="116">
        <v>1484.6</v>
      </c>
      <c r="G502">
        <v>33045</v>
      </c>
      <c r="H502" s="116"/>
      <c r="I502" s="116"/>
      <c r="L502" s="170">
        <v>44309</v>
      </c>
      <c r="M502" s="116">
        <v>1485.3</v>
      </c>
      <c r="N502" s="116">
        <v>1514.4</v>
      </c>
      <c r="O502" s="116">
        <v>1420.65</v>
      </c>
      <c r="P502" s="116">
        <v>1425</v>
      </c>
      <c r="Q502" s="116">
        <v>1485.3</v>
      </c>
      <c r="R502">
        <v>768870</v>
      </c>
    </row>
    <row r="503" spans="1:18" x14ac:dyDescent="0.25">
      <c r="A503" s="170">
        <v>44312</v>
      </c>
      <c r="B503" s="116">
        <v>1499</v>
      </c>
      <c r="C503" s="116">
        <v>1476.9</v>
      </c>
      <c r="D503" s="116">
        <v>1469.5</v>
      </c>
      <c r="E503" s="116">
        <v>1499</v>
      </c>
      <c r="F503" s="116">
        <v>1476.9</v>
      </c>
      <c r="G503">
        <v>15375</v>
      </c>
      <c r="H503" s="116"/>
      <c r="I503" s="116"/>
      <c r="L503" s="170">
        <v>44312</v>
      </c>
      <c r="M503" s="116">
        <v>1478.55</v>
      </c>
      <c r="N503" s="116">
        <v>1500</v>
      </c>
      <c r="O503" s="116">
        <v>1469.35</v>
      </c>
      <c r="P503" s="116">
        <v>1494</v>
      </c>
      <c r="Q503" s="116">
        <v>1478.55</v>
      </c>
      <c r="R503">
        <v>283076</v>
      </c>
    </row>
    <row r="504" spans="1:18" x14ac:dyDescent="0.25">
      <c r="A504" s="170">
        <v>44313</v>
      </c>
      <c r="B504" s="116">
        <v>1552.7</v>
      </c>
      <c r="C504" s="116">
        <v>1542</v>
      </c>
      <c r="D504" s="116">
        <v>1482.85</v>
      </c>
      <c r="E504" s="116">
        <v>1483.75</v>
      </c>
      <c r="F504" s="116">
        <v>1542</v>
      </c>
      <c r="G504">
        <v>25966</v>
      </c>
      <c r="H504" s="116"/>
      <c r="I504" s="116"/>
      <c r="L504" s="170">
        <v>44313</v>
      </c>
      <c r="M504" s="116">
        <v>1541.85</v>
      </c>
      <c r="N504" s="116">
        <v>1554.5</v>
      </c>
      <c r="O504" s="116">
        <v>1479.75</v>
      </c>
      <c r="P504" s="116">
        <v>1479.8</v>
      </c>
      <c r="Q504" s="116">
        <v>1541.85</v>
      </c>
      <c r="R504">
        <v>1054200</v>
      </c>
    </row>
    <row r="505" spans="1:18" x14ac:dyDescent="0.25">
      <c r="A505" s="170">
        <v>44314</v>
      </c>
      <c r="B505" s="116">
        <v>1570</v>
      </c>
      <c r="C505" s="116">
        <v>1561.05</v>
      </c>
      <c r="D505" s="116">
        <v>1525.95</v>
      </c>
      <c r="E505" s="116">
        <v>1545</v>
      </c>
      <c r="F505" s="116">
        <v>1561.05</v>
      </c>
      <c r="G505">
        <v>28527</v>
      </c>
      <c r="H505" s="116"/>
      <c r="I505" s="116"/>
      <c r="L505" s="170">
        <v>44314</v>
      </c>
      <c r="M505" s="116">
        <v>1561.1</v>
      </c>
      <c r="N505" s="116">
        <v>1585</v>
      </c>
      <c r="O505" s="116">
        <v>1525.2</v>
      </c>
      <c r="P505" s="116">
        <v>1555</v>
      </c>
      <c r="Q505" s="116">
        <v>1561.1</v>
      </c>
      <c r="R505">
        <v>664746</v>
      </c>
    </row>
    <row r="506" spans="1:18" x14ac:dyDescent="0.25">
      <c r="A506" s="170">
        <v>44315</v>
      </c>
      <c r="B506" s="116">
        <v>1571.55</v>
      </c>
      <c r="C506" s="116">
        <v>1540.5</v>
      </c>
      <c r="D506" s="116">
        <v>1524.6</v>
      </c>
      <c r="E506" s="116">
        <v>1568.9</v>
      </c>
      <c r="F506" s="116">
        <v>1540.5</v>
      </c>
      <c r="G506">
        <v>10817</v>
      </c>
      <c r="H506" s="116"/>
      <c r="I506" s="116"/>
      <c r="L506" s="170">
        <v>44315</v>
      </c>
      <c r="M506" s="116">
        <v>1539.5</v>
      </c>
      <c r="N506" s="116">
        <v>1572</v>
      </c>
      <c r="O506" s="116">
        <v>1526</v>
      </c>
      <c r="P506" s="116">
        <v>1568</v>
      </c>
      <c r="Q506" s="116">
        <v>1539.5</v>
      </c>
      <c r="R506">
        <v>251909</v>
      </c>
    </row>
    <row r="507" spans="1:18" x14ac:dyDescent="0.25">
      <c r="A507" s="170">
        <v>44316</v>
      </c>
      <c r="B507" s="116">
        <v>1550.95</v>
      </c>
      <c r="C507" s="116">
        <v>1467.7</v>
      </c>
      <c r="D507" s="116">
        <v>1462</v>
      </c>
      <c r="E507" s="116">
        <v>1515.3</v>
      </c>
      <c r="F507" s="116">
        <v>1467.7</v>
      </c>
      <c r="G507">
        <v>36051</v>
      </c>
      <c r="H507" s="116"/>
      <c r="I507" s="116"/>
      <c r="L507" s="170">
        <v>44316</v>
      </c>
      <c r="M507" s="116">
        <v>1467.05</v>
      </c>
      <c r="N507" s="116">
        <v>1551</v>
      </c>
      <c r="O507" s="116">
        <v>1460</v>
      </c>
      <c r="P507" s="116">
        <v>1534</v>
      </c>
      <c r="Q507" s="116">
        <v>1467.05</v>
      </c>
      <c r="R507">
        <v>354788</v>
      </c>
    </row>
    <row r="508" spans="1:18" x14ac:dyDescent="0.25">
      <c r="A508" s="170">
        <v>44319</v>
      </c>
      <c r="B508" s="116">
        <v>1493.5</v>
      </c>
      <c r="C508" s="116">
        <v>1479.1</v>
      </c>
      <c r="D508" s="116">
        <v>1456.45</v>
      </c>
      <c r="E508" s="116">
        <v>1461.25</v>
      </c>
      <c r="F508" s="116">
        <v>1479.1</v>
      </c>
      <c r="G508">
        <v>21467</v>
      </c>
      <c r="H508" s="116"/>
      <c r="I508" s="116"/>
      <c r="L508" s="170">
        <v>44319</v>
      </c>
      <c r="M508" s="116">
        <v>1479.9</v>
      </c>
      <c r="N508" s="116">
        <v>1493.7</v>
      </c>
      <c r="O508" s="116">
        <v>1455.25</v>
      </c>
      <c r="P508" s="116">
        <v>1460</v>
      </c>
      <c r="Q508" s="116">
        <v>1479.9</v>
      </c>
      <c r="R508">
        <v>140402</v>
      </c>
    </row>
    <row r="509" spans="1:18" x14ac:dyDescent="0.25">
      <c r="A509" s="170">
        <v>44320</v>
      </c>
      <c r="B509" s="116">
        <v>1509.3</v>
      </c>
      <c r="C509" s="116">
        <v>1448.05</v>
      </c>
      <c r="D509" s="116">
        <v>1443.6</v>
      </c>
      <c r="E509" s="116">
        <v>1482</v>
      </c>
      <c r="F509" s="116">
        <v>1448.05</v>
      </c>
      <c r="G509">
        <v>19290</v>
      </c>
      <c r="H509" s="116"/>
      <c r="I509" s="116"/>
      <c r="L509" s="170">
        <v>44320</v>
      </c>
      <c r="M509" s="116">
        <v>1448.1</v>
      </c>
      <c r="N509" s="116">
        <v>1510</v>
      </c>
      <c r="O509" s="116">
        <v>1444.3</v>
      </c>
      <c r="P509" s="116">
        <v>1489.25</v>
      </c>
      <c r="Q509" s="116">
        <v>1448.1</v>
      </c>
      <c r="R509">
        <v>134353</v>
      </c>
    </row>
    <row r="510" spans="1:18" x14ac:dyDescent="0.25">
      <c r="A510" s="170">
        <v>44321</v>
      </c>
      <c r="B510" s="116">
        <v>1465</v>
      </c>
      <c r="C510" s="116">
        <v>1440.6</v>
      </c>
      <c r="D510" s="116">
        <v>1426.45</v>
      </c>
      <c r="E510" s="116">
        <v>1465</v>
      </c>
      <c r="F510" s="116">
        <v>1440.6</v>
      </c>
      <c r="G510">
        <v>9289</v>
      </c>
      <c r="H510" s="116"/>
      <c r="I510" s="116"/>
      <c r="L510" s="170">
        <v>44321</v>
      </c>
      <c r="M510" s="116">
        <v>1440.25</v>
      </c>
      <c r="N510" s="116">
        <v>1464</v>
      </c>
      <c r="O510" s="116">
        <v>1425.45</v>
      </c>
      <c r="P510" s="116">
        <v>1463.2</v>
      </c>
      <c r="Q510" s="116">
        <v>1440.25</v>
      </c>
      <c r="R510">
        <v>123522</v>
      </c>
    </row>
    <row r="511" spans="1:18" x14ac:dyDescent="0.25">
      <c r="A511" s="170">
        <v>44322</v>
      </c>
      <c r="B511" s="116">
        <v>1490.4</v>
      </c>
      <c r="C511" s="116">
        <v>1477.35</v>
      </c>
      <c r="D511" s="116">
        <v>1426</v>
      </c>
      <c r="E511" s="116">
        <v>1426</v>
      </c>
      <c r="F511" s="116">
        <v>1477.35</v>
      </c>
      <c r="G511">
        <v>20662</v>
      </c>
      <c r="H511" s="116"/>
      <c r="I511" s="116"/>
      <c r="L511" s="170">
        <v>44322</v>
      </c>
      <c r="M511" s="116">
        <v>1477.65</v>
      </c>
      <c r="N511" s="116">
        <v>1489.8</v>
      </c>
      <c r="O511" s="116">
        <v>1430</v>
      </c>
      <c r="P511" s="116">
        <v>1441</v>
      </c>
      <c r="Q511" s="116">
        <v>1477.65</v>
      </c>
      <c r="R511">
        <v>215540</v>
      </c>
    </row>
    <row r="512" spans="1:18" x14ac:dyDescent="0.25">
      <c r="A512" s="170">
        <v>44323</v>
      </c>
      <c r="B512" s="116">
        <v>1499.8</v>
      </c>
      <c r="C512" s="116">
        <v>1462.5</v>
      </c>
      <c r="D512" s="116">
        <v>1452</v>
      </c>
      <c r="E512" s="116">
        <v>1499.8</v>
      </c>
      <c r="F512" s="116">
        <v>1462.5</v>
      </c>
      <c r="G512">
        <v>15692</v>
      </c>
      <c r="H512" s="116"/>
      <c r="I512" s="116"/>
      <c r="L512" s="170">
        <v>44323</v>
      </c>
      <c r="M512" s="116">
        <v>1465.35</v>
      </c>
      <c r="N512" s="116">
        <v>1485</v>
      </c>
      <c r="O512" s="116">
        <v>1450.8</v>
      </c>
      <c r="P512" s="116">
        <v>1485</v>
      </c>
      <c r="Q512" s="116">
        <v>1465.35</v>
      </c>
      <c r="R512">
        <v>180246</v>
      </c>
    </row>
    <row r="513" spans="1:18" x14ac:dyDescent="0.25">
      <c r="A513" s="170">
        <v>44326</v>
      </c>
      <c r="B513" s="116">
        <v>1512.55</v>
      </c>
      <c r="C513" s="116">
        <v>1491.6</v>
      </c>
      <c r="D513" s="116">
        <v>1473</v>
      </c>
      <c r="E513" s="116">
        <v>1473</v>
      </c>
      <c r="F513" s="116">
        <v>1491.6</v>
      </c>
      <c r="G513">
        <v>11967</v>
      </c>
      <c r="H513" s="116"/>
      <c r="I513" s="116"/>
      <c r="L513" s="170">
        <v>44326</v>
      </c>
      <c r="M513" s="116">
        <v>1492.05</v>
      </c>
      <c r="N513" s="116">
        <v>1513.6</v>
      </c>
      <c r="O513" s="116">
        <v>1475</v>
      </c>
      <c r="P513" s="116">
        <v>1480</v>
      </c>
      <c r="Q513" s="116">
        <v>1492.05</v>
      </c>
      <c r="R513">
        <v>299722</v>
      </c>
    </row>
    <row r="514" spans="1:18" x14ac:dyDescent="0.25">
      <c r="A514" s="170">
        <v>44327</v>
      </c>
      <c r="B514" s="116">
        <v>1556.05</v>
      </c>
      <c r="C514" s="116">
        <v>1550.35</v>
      </c>
      <c r="D514" s="116">
        <v>1475</v>
      </c>
      <c r="E514" s="116">
        <v>1480</v>
      </c>
      <c r="F514" s="116">
        <v>1550.35</v>
      </c>
      <c r="G514">
        <v>20258</v>
      </c>
      <c r="H514" s="116"/>
      <c r="I514" s="116"/>
      <c r="L514" s="170">
        <v>44327</v>
      </c>
      <c r="M514" s="116">
        <v>1549.95</v>
      </c>
      <c r="N514" s="116">
        <v>1557.6</v>
      </c>
      <c r="O514" s="116">
        <v>1468.1</v>
      </c>
      <c r="P514" s="116">
        <v>1477.1</v>
      </c>
      <c r="Q514" s="116">
        <v>1549.95</v>
      </c>
      <c r="R514">
        <v>334251</v>
      </c>
    </row>
    <row r="515" spans="1:18" x14ac:dyDescent="0.25">
      <c r="A515" s="170">
        <v>44328</v>
      </c>
      <c r="B515" s="116">
        <v>1574.65</v>
      </c>
      <c r="C515" s="116">
        <v>1543.15</v>
      </c>
      <c r="D515" s="116">
        <v>1530</v>
      </c>
      <c r="E515" s="116">
        <v>1555</v>
      </c>
      <c r="F515" s="116">
        <v>1543.15</v>
      </c>
      <c r="G515">
        <v>29616</v>
      </c>
      <c r="H515" s="116"/>
      <c r="I515" s="116"/>
      <c r="L515" s="170">
        <v>44328</v>
      </c>
      <c r="M515" s="116">
        <v>1543.7</v>
      </c>
      <c r="N515" s="116">
        <v>1575</v>
      </c>
      <c r="O515" s="116">
        <v>1530</v>
      </c>
      <c r="P515" s="116">
        <v>1566.8</v>
      </c>
      <c r="Q515" s="116">
        <v>1543.7</v>
      </c>
      <c r="R515">
        <v>531145</v>
      </c>
    </row>
    <row r="516" spans="1:18" x14ac:dyDescent="0.25">
      <c r="A516" s="170">
        <v>44330</v>
      </c>
      <c r="B516" s="116">
        <v>1652.6</v>
      </c>
      <c r="C516" s="116">
        <v>1602.35</v>
      </c>
      <c r="D516" s="116">
        <v>1559.9</v>
      </c>
      <c r="E516" s="116">
        <v>1598.7</v>
      </c>
      <c r="F516" s="116">
        <v>1602.35</v>
      </c>
      <c r="G516">
        <v>66950</v>
      </c>
      <c r="H516" s="116"/>
      <c r="I516" s="116"/>
      <c r="L516" s="170">
        <v>44330</v>
      </c>
      <c r="M516" s="116">
        <v>1599.2</v>
      </c>
      <c r="N516" s="116">
        <v>1655</v>
      </c>
      <c r="O516" s="116">
        <v>1563.75</v>
      </c>
      <c r="P516" s="116">
        <v>1595</v>
      </c>
      <c r="Q516" s="116">
        <v>1599.2</v>
      </c>
      <c r="R516">
        <v>1884747</v>
      </c>
    </row>
    <row r="517" spans="1:18" x14ac:dyDescent="0.25">
      <c r="A517" s="170">
        <v>44333</v>
      </c>
      <c r="B517" s="116">
        <v>1688</v>
      </c>
      <c r="C517" s="116">
        <v>1675.3</v>
      </c>
      <c r="D517" s="116">
        <v>1620</v>
      </c>
      <c r="E517" s="116">
        <v>1620</v>
      </c>
      <c r="F517" s="116">
        <v>1675.3</v>
      </c>
      <c r="G517">
        <v>57966</v>
      </c>
      <c r="H517" s="116"/>
      <c r="I517" s="116"/>
      <c r="L517" s="170">
        <v>44333</v>
      </c>
      <c r="M517" s="116">
        <v>1674.2</v>
      </c>
      <c r="N517" s="116">
        <v>1689</v>
      </c>
      <c r="O517" s="116">
        <v>1610.45</v>
      </c>
      <c r="P517" s="116">
        <v>1621.25</v>
      </c>
      <c r="Q517" s="116">
        <v>1674.2</v>
      </c>
      <c r="R517">
        <v>861033</v>
      </c>
    </row>
    <row r="518" spans="1:18" x14ac:dyDescent="0.25">
      <c r="A518" s="170">
        <v>44334</v>
      </c>
      <c r="B518" s="116">
        <v>1695.6</v>
      </c>
      <c r="C518" s="116">
        <v>1672.75</v>
      </c>
      <c r="D518" s="116">
        <v>1646.35</v>
      </c>
      <c r="E518" s="116">
        <v>1689.85</v>
      </c>
      <c r="F518" s="116">
        <v>1672.75</v>
      </c>
      <c r="G518">
        <v>39956</v>
      </c>
      <c r="H518" s="116"/>
      <c r="I518" s="116"/>
      <c r="L518" s="170">
        <v>44334</v>
      </c>
      <c r="M518" s="116">
        <v>1674.2</v>
      </c>
      <c r="N518" s="116">
        <v>1698</v>
      </c>
      <c r="O518" s="116">
        <v>1645.3</v>
      </c>
      <c r="P518" s="116">
        <v>1684</v>
      </c>
      <c r="Q518" s="116">
        <v>1674.2</v>
      </c>
      <c r="R518">
        <v>351822</v>
      </c>
    </row>
    <row r="519" spans="1:18" x14ac:dyDescent="0.25">
      <c r="A519" s="170">
        <v>44335</v>
      </c>
      <c r="B519" s="116">
        <v>1673.8</v>
      </c>
      <c r="C519" s="116">
        <v>1642.35</v>
      </c>
      <c r="D519" s="116">
        <v>1631.3</v>
      </c>
      <c r="E519" s="116">
        <v>1665</v>
      </c>
      <c r="F519" s="116">
        <v>1642.35</v>
      </c>
      <c r="G519">
        <v>13481</v>
      </c>
      <c r="H519" s="116"/>
      <c r="I519" s="116"/>
      <c r="L519" s="170">
        <v>44335</v>
      </c>
      <c r="M519" s="116">
        <v>1642.9</v>
      </c>
      <c r="N519" s="116">
        <v>1673</v>
      </c>
      <c r="O519" s="116">
        <v>1635.25</v>
      </c>
      <c r="P519" s="116">
        <v>1673</v>
      </c>
      <c r="Q519" s="116">
        <v>1642.9</v>
      </c>
      <c r="R519">
        <v>243335</v>
      </c>
    </row>
    <row r="520" spans="1:18" x14ac:dyDescent="0.25">
      <c r="A520" s="170">
        <v>44336</v>
      </c>
      <c r="B520" s="116">
        <v>1670</v>
      </c>
      <c r="C520" s="116">
        <v>1614.9</v>
      </c>
      <c r="D520" s="116">
        <v>1605.85</v>
      </c>
      <c r="E520" s="116">
        <v>1670</v>
      </c>
      <c r="F520" s="116">
        <v>1614.9</v>
      </c>
      <c r="G520">
        <v>16270</v>
      </c>
      <c r="H520" s="116"/>
      <c r="I520" s="116"/>
      <c r="L520" s="170">
        <v>44336</v>
      </c>
      <c r="M520" s="116">
        <v>1613.1</v>
      </c>
      <c r="N520" s="116">
        <v>1654.45</v>
      </c>
      <c r="O520" s="116">
        <v>1600</v>
      </c>
      <c r="P520" s="116">
        <v>1649</v>
      </c>
      <c r="Q520" s="116">
        <v>1613.1</v>
      </c>
      <c r="R520">
        <v>260399</v>
      </c>
    </row>
    <row r="521" spans="1:18" x14ac:dyDescent="0.25">
      <c r="A521" s="170">
        <v>44337</v>
      </c>
      <c r="B521" s="116">
        <v>1651.95</v>
      </c>
      <c r="C521" s="116">
        <v>1627.25</v>
      </c>
      <c r="D521" s="116">
        <v>1615.25</v>
      </c>
      <c r="E521" s="116">
        <v>1634</v>
      </c>
      <c r="F521" s="116">
        <v>1627.25</v>
      </c>
      <c r="G521">
        <v>24326</v>
      </c>
      <c r="H521" s="116"/>
      <c r="I521" s="116"/>
      <c r="L521" s="170">
        <v>44337</v>
      </c>
      <c r="M521" s="116">
        <v>1626.65</v>
      </c>
      <c r="N521" s="116">
        <v>1652.9</v>
      </c>
      <c r="O521" s="116">
        <v>1615</v>
      </c>
      <c r="P521" s="116">
        <v>1634</v>
      </c>
      <c r="Q521" s="116">
        <v>1626.65</v>
      </c>
      <c r="R521">
        <v>301419</v>
      </c>
    </row>
    <row r="522" spans="1:18" x14ac:dyDescent="0.25">
      <c r="A522" s="170">
        <v>44340</v>
      </c>
      <c r="B522" s="116">
        <v>1684</v>
      </c>
      <c r="C522" s="116">
        <v>1676.95</v>
      </c>
      <c r="D522" s="116">
        <v>1636.85</v>
      </c>
      <c r="E522" s="116">
        <v>1639.9</v>
      </c>
      <c r="F522" s="116">
        <v>1676.95</v>
      </c>
      <c r="G522">
        <v>38612</v>
      </c>
      <c r="H522" s="116"/>
      <c r="I522" s="116"/>
      <c r="L522" s="170">
        <v>44340</v>
      </c>
      <c r="M522" s="116">
        <v>1677.85</v>
      </c>
      <c r="N522" s="116">
        <v>1683.5</v>
      </c>
      <c r="O522" s="116">
        <v>1635</v>
      </c>
      <c r="P522" s="116">
        <v>1635.2</v>
      </c>
      <c r="Q522" s="116">
        <v>1677.85</v>
      </c>
      <c r="R522">
        <v>392381</v>
      </c>
    </row>
    <row r="523" spans="1:18" x14ac:dyDescent="0.25">
      <c r="A523" s="170">
        <v>44341</v>
      </c>
      <c r="B523" s="116">
        <v>1691.6</v>
      </c>
      <c r="C523" s="116">
        <v>1685.2</v>
      </c>
      <c r="D523" s="116">
        <v>1666.25</v>
      </c>
      <c r="E523" s="116">
        <v>1680</v>
      </c>
      <c r="F523" s="116">
        <v>1685.2</v>
      </c>
      <c r="G523">
        <v>15595</v>
      </c>
      <c r="H523" s="116"/>
      <c r="I523" s="116"/>
      <c r="L523" s="170">
        <v>44341</v>
      </c>
      <c r="M523" s="116">
        <v>1685.6</v>
      </c>
      <c r="N523" s="116">
        <v>1690.5</v>
      </c>
      <c r="O523" s="116">
        <v>1660.05</v>
      </c>
      <c r="P523" s="116">
        <v>1690</v>
      </c>
      <c r="Q523" s="116">
        <v>1685.6</v>
      </c>
      <c r="R523">
        <v>274116</v>
      </c>
    </row>
    <row r="524" spans="1:18" x14ac:dyDescent="0.25">
      <c r="A524" s="170">
        <v>44342</v>
      </c>
      <c r="B524" s="116">
        <v>1691.35</v>
      </c>
      <c r="C524" s="116">
        <v>1683.9</v>
      </c>
      <c r="D524" s="116">
        <v>1672.2</v>
      </c>
      <c r="E524" s="116">
        <v>1687</v>
      </c>
      <c r="F524" s="116">
        <v>1683.9</v>
      </c>
      <c r="G524">
        <v>17977</v>
      </c>
      <c r="H524" s="116"/>
      <c r="I524" s="116"/>
      <c r="L524" s="170">
        <v>44342</v>
      </c>
      <c r="M524" s="116">
        <v>1686.1</v>
      </c>
      <c r="N524" s="116">
        <v>1695</v>
      </c>
      <c r="O524" s="116">
        <v>1673</v>
      </c>
      <c r="P524" s="116">
        <v>1682</v>
      </c>
      <c r="Q524" s="116">
        <v>1686.1</v>
      </c>
      <c r="R524">
        <v>509168</v>
      </c>
    </row>
    <row r="525" spans="1:18" x14ac:dyDescent="0.25">
      <c r="A525" s="170">
        <v>44343</v>
      </c>
      <c r="B525" s="116">
        <v>1701.45</v>
      </c>
      <c r="C525" s="116">
        <v>1698.45</v>
      </c>
      <c r="D525" s="116">
        <v>1673.3</v>
      </c>
      <c r="E525" s="116">
        <v>1700</v>
      </c>
      <c r="F525" s="116">
        <v>1698.45</v>
      </c>
      <c r="G525">
        <v>8516</v>
      </c>
      <c r="H525" s="116"/>
      <c r="I525" s="116"/>
      <c r="L525" s="170">
        <v>44343</v>
      </c>
      <c r="M525" s="116">
        <v>1698.7</v>
      </c>
      <c r="N525" s="116">
        <v>1700</v>
      </c>
      <c r="O525" s="116">
        <v>1673.2</v>
      </c>
      <c r="P525" s="116">
        <v>1690</v>
      </c>
      <c r="Q525" s="116">
        <v>1698.7</v>
      </c>
      <c r="R525">
        <v>327306</v>
      </c>
    </row>
    <row r="526" spans="1:18" x14ac:dyDescent="0.25">
      <c r="A526" s="170">
        <v>44344</v>
      </c>
      <c r="B526" s="116">
        <v>1698.75</v>
      </c>
      <c r="C526" s="116">
        <v>1675.45</v>
      </c>
      <c r="D526" s="116">
        <v>1672</v>
      </c>
      <c r="E526" s="116">
        <v>1698.7</v>
      </c>
      <c r="F526" s="116">
        <v>1675.45</v>
      </c>
      <c r="G526">
        <v>5274</v>
      </c>
      <c r="H526" s="116"/>
      <c r="I526" s="116"/>
      <c r="L526" s="170">
        <v>44344</v>
      </c>
      <c r="M526" s="116">
        <v>1674.9</v>
      </c>
      <c r="N526" s="116">
        <v>1698.25</v>
      </c>
      <c r="O526" s="116">
        <v>1671.5</v>
      </c>
      <c r="P526" s="116">
        <v>1698.25</v>
      </c>
      <c r="Q526" s="116">
        <v>1674.9</v>
      </c>
      <c r="R526">
        <v>96998</v>
      </c>
    </row>
    <row r="527" spans="1:18" x14ac:dyDescent="0.25">
      <c r="A527" s="170">
        <v>44347</v>
      </c>
      <c r="B527" s="116">
        <v>1700</v>
      </c>
      <c r="C527" s="116">
        <v>1674.35</v>
      </c>
      <c r="D527" s="116">
        <v>1666</v>
      </c>
      <c r="E527" s="116">
        <v>1675.45</v>
      </c>
      <c r="F527" s="116">
        <v>1674.35</v>
      </c>
      <c r="G527">
        <v>17213</v>
      </c>
      <c r="H527" s="116"/>
      <c r="I527" s="116"/>
      <c r="L527" s="170">
        <v>44347</v>
      </c>
      <c r="M527" s="116">
        <v>1674.25</v>
      </c>
      <c r="N527" s="116">
        <v>1700</v>
      </c>
      <c r="O527" s="116">
        <v>1665.1</v>
      </c>
      <c r="P527" s="116">
        <v>1675</v>
      </c>
      <c r="Q527" s="116">
        <v>1674.25</v>
      </c>
      <c r="R527">
        <v>216760</v>
      </c>
    </row>
    <row r="528" spans="1:18" x14ac:dyDescent="0.25">
      <c r="A528" s="170">
        <v>44348</v>
      </c>
      <c r="B528" s="116">
        <v>1693.75</v>
      </c>
      <c r="C528" s="116">
        <v>1675.2</v>
      </c>
      <c r="D528" s="116">
        <v>1660</v>
      </c>
      <c r="E528" s="116">
        <v>1660</v>
      </c>
      <c r="F528" s="116">
        <v>1675.2</v>
      </c>
      <c r="G528">
        <v>16126</v>
      </c>
      <c r="H528" s="116"/>
      <c r="I528" s="116"/>
      <c r="L528" s="170">
        <v>44348</v>
      </c>
      <c r="M528" s="116">
        <v>1678.15</v>
      </c>
      <c r="N528" s="116">
        <v>1692.6</v>
      </c>
      <c r="O528" s="116">
        <v>1671</v>
      </c>
      <c r="P528" s="116">
        <v>1680</v>
      </c>
      <c r="Q528" s="116">
        <v>1678.15</v>
      </c>
      <c r="R528">
        <v>141493</v>
      </c>
    </row>
    <row r="529" spans="1:18" x14ac:dyDescent="0.25">
      <c r="A529" s="170">
        <v>44349</v>
      </c>
      <c r="B529" s="116">
        <v>1693.2</v>
      </c>
      <c r="C529" s="116">
        <v>1675.3</v>
      </c>
      <c r="D529" s="116">
        <v>1671.4</v>
      </c>
      <c r="E529" s="116">
        <v>1689</v>
      </c>
      <c r="F529" s="116">
        <v>1675.3</v>
      </c>
      <c r="G529">
        <v>11138</v>
      </c>
      <c r="H529" s="116"/>
      <c r="I529" s="116"/>
      <c r="L529" s="170">
        <v>44349</v>
      </c>
      <c r="M529" s="116">
        <v>1676.25</v>
      </c>
      <c r="N529" s="116">
        <v>1693</v>
      </c>
      <c r="O529" s="116">
        <v>1672.3</v>
      </c>
      <c r="P529" s="116">
        <v>1672.3</v>
      </c>
      <c r="Q529" s="116">
        <v>1676.25</v>
      </c>
      <c r="R529">
        <v>153134</v>
      </c>
    </row>
    <row r="530" spans="1:18" x14ac:dyDescent="0.25">
      <c r="A530" s="170">
        <v>44350</v>
      </c>
      <c r="B530" s="116">
        <v>1709</v>
      </c>
      <c r="C530" s="116">
        <v>1677.85</v>
      </c>
      <c r="D530" s="116">
        <v>1673.3</v>
      </c>
      <c r="E530" s="116">
        <v>1684.75</v>
      </c>
      <c r="F530" s="116">
        <v>1677.85</v>
      </c>
      <c r="G530">
        <v>11323</v>
      </c>
      <c r="H530" s="116"/>
      <c r="I530" s="116"/>
      <c r="L530" s="170">
        <v>44350</v>
      </c>
      <c r="M530" s="116">
        <v>1678.85</v>
      </c>
      <c r="N530" s="116">
        <v>1709.85</v>
      </c>
      <c r="O530" s="116">
        <v>1673.75</v>
      </c>
      <c r="P530" s="116">
        <v>1683.7</v>
      </c>
      <c r="Q530" s="116">
        <v>1678.85</v>
      </c>
      <c r="R530">
        <v>292826</v>
      </c>
    </row>
    <row r="531" spans="1:18" x14ac:dyDescent="0.25">
      <c r="A531" s="170">
        <v>44351</v>
      </c>
      <c r="B531" s="116">
        <v>1725</v>
      </c>
      <c r="C531" s="116">
        <v>1711.1</v>
      </c>
      <c r="D531" s="116">
        <v>1685</v>
      </c>
      <c r="E531" s="116">
        <v>1685</v>
      </c>
      <c r="F531" s="116">
        <v>1711.1</v>
      </c>
      <c r="G531">
        <v>34681</v>
      </c>
      <c r="H531" s="116"/>
      <c r="I531" s="116"/>
      <c r="L531" s="170">
        <v>44351</v>
      </c>
      <c r="M531" s="116">
        <v>1709.45</v>
      </c>
      <c r="N531" s="116">
        <v>1725</v>
      </c>
      <c r="O531" s="116">
        <v>1685</v>
      </c>
      <c r="P531" s="116">
        <v>1694.25</v>
      </c>
      <c r="Q531" s="116">
        <v>1709.45</v>
      </c>
      <c r="R531">
        <v>563053</v>
      </c>
    </row>
    <row r="532" spans="1:18" x14ac:dyDescent="0.25">
      <c r="A532" s="170">
        <v>44354</v>
      </c>
      <c r="B532" s="116">
        <v>1748</v>
      </c>
      <c r="C532" s="116">
        <v>1739.75</v>
      </c>
      <c r="D532" s="116">
        <v>1711.6</v>
      </c>
      <c r="E532" s="116">
        <v>1725</v>
      </c>
      <c r="F532" s="116">
        <v>1739.75</v>
      </c>
      <c r="G532">
        <v>95403</v>
      </c>
      <c r="H532" s="116"/>
      <c r="I532" s="116"/>
      <c r="L532" s="170">
        <v>44354</v>
      </c>
      <c r="M532" s="116">
        <v>1739.9</v>
      </c>
      <c r="N532" s="116">
        <v>1748</v>
      </c>
      <c r="O532" s="116">
        <v>1712</v>
      </c>
      <c r="P532" s="116">
        <v>1720.45</v>
      </c>
      <c r="Q532" s="116">
        <v>1739.9</v>
      </c>
      <c r="R532">
        <v>328880</v>
      </c>
    </row>
    <row r="533" spans="1:18" x14ac:dyDescent="0.25">
      <c r="A533" s="170">
        <v>44355</v>
      </c>
      <c r="B533" s="116">
        <v>1755</v>
      </c>
      <c r="C533" s="116">
        <v>1743.2</v>
      </c>
      <c r="D533" s="116">
        <v>1729.3</v>
      </c>
      <c r="E533" s="116">
        <v>1748</v>
      </c>
      <c r="F533" s="116">
        <v>1743.2</v>
      </c>
      <c r="G533">
        <v>11177</v>
      </c>
      <c r="H533" s="116"/>
      <c r="I533" s="116"/>
      <c r="L533" s="170">
        <v>44355</v>
      </c>
      <c r="M533" s="116">
        <v>1742.1</v>
      </c>
      <c r="N533" s="116">
        <v>1756.45</v>
      </c>
      <c r="O533" s="116">
        <v>1730.05</v>
      </c>
      <c r="P533" s="116">
        <v>1750</v>
      </c>
      <c r="Q533" s="116">
        <v>1742.1</v>
      </c>
      <c r="R533">
        <v>208099</v>
      </c>
    </row>
    <row r="534" spans="1:18" x14ac:dyDescent="0.25">
      <c r="A534" s="170">
        <v>44356</v>
      </c>
      <c r="B534" s="116">
        <v>1762</v>
      </c>
      <c r="C534" s="116">
        <v>1745.4</v>
      </c>
      <c r="D534" s="116">
        <v>1734.2</v>
      </c>
      <c r="E534" s="116">
        <v>1750</v>
      </c>
      <c r="F534" s="116">
        <v>1745.4</v>
      </c>
      <c r="G534">
        <v>25805</v>
      </c>
      <c r="H534" s="116"/>
      <c r="I534" s="116"/>
      <c r="L534" s="170">
        <v>44356</v>
      </c>
      <c r="M534" s="116">
        <v>1746.75</v>
      </c>
      <c r="N534" s="116">
        <v>1764</v>
      </c>
      <c r="O534" s="116">
        <v>1735</v>
      </c>
      <c r="P534" s="116">
        <v>1753.7</v>
      </c>
      <c r="Q534" s="116">
        <v>1746.75</v>
      </c>
      <c r="R534">
        <v>296556</v>
      </c>
    </row>
    <row r="535" spans="1:18" x14ac:dyDescent="0.25">
      <c r="A535" s="170">
        <v>44357</v>
      </c>
      <c r="B535" s="116">
        <v>1777</v>
      </c>
      <c r="C535" s="116">
        <v>1769.5</v>
      </c>
      <c r="D535" s="116">
        <v>1754.35</v>
      </c>
      <c r="E535" s="116">
        <v>1760</v>
      </c>
      <c r="F535" s="116">
        <v>1769.5</v>
      </c>
      <c r="G535">
        <v>7771</v>
      </c>
      <c r="H535" s="116"/>
      <c r="I535" s="116"/>
      <c r="L535" s="170">
        <v>44357</v>
      </c>
      <c r="M535" s="116">
        <v>1773.5</v>
      </c>
      <c r="N535" s="116">
        <v>1775.5</v>
      </c>
      <c r="O535" s="116">
        <v>1754</v>
      </c>
      <c r="P535" s="116">
        <v>1754</v>
      </c>
      <c r="Q535" s="116">
        <v>1773.5</v>
      </c>
      <c r="R535">
        <v>287757</v>
      </c>
    </row>
    <row r="536" spans="1:18" x14ac:dyDescent="0.25">
      <c r="A536" s="170">
        <v>44358</v>
      </c>
      <c r="B536" s="116">
        <v>1826.05</v>
      </c>
      <c r="C536" s="116">
        <v>1822.85</v>
      </c>
      <c r="D536" s="116">
        <v>1756.05</v>
      </c>
      <c r="E536" s="116">
        <v>1771</v>
      </c>
      <c r="F536" s="116">
        <v>1822.85</v>
      </c>
      <c r="G536">
        <v>23190</v>
      </c>
      <c r="H536" s="116"/>
      <c r="I536" s="116"/>
      <c r="L536" s="170">
        <v>44358</v>
      </c>
      <c r="M536" s="116">
        <v>1823</v>
      </c>
      <c r="N536" s="116">
        <v>1825.5</v>
      </c>
      <c r="O536" s="116">
        <v>1756.05</v>
      </c>
      <c r="P536" s="116">
        <v>1775</v>
      </c>
      <c r="Q536" s="116">
        <v>1823</v>
      </c>
      <c r="R536">
        <v>561136</v>
      </c>
    </row>
    <row r="537" spans="1:18" x14ac:dyDescent="0.25">
      <c r="A537" s="170">
        <v>44361</v>
      </c>
      <c r="B537" s="116">
        <v>1843.95</v>
      </c>
      <c r="C537" s="116">
        <v>1813.65</v>
      </c>
      <c r="D537" s="116">
        <v>1806</v>
      </c>
      <c r="E537" s="116">
        <v>1827</v>
      </c>
      <c r="F537" s="116">
        <v>1813.65</v>
      </c>
      <c r="G537">
        <v>21636</v>
      </c>
      <c r="H537" s="116"/>
      <c r="I537" s="116"/>
      <c r="L537" s="170">
        <v>44361</v>
      </c>
      <c r="M537" s="116">
        <v>1815.9</v>
      </c>
      <c r="N537" s="116">
        <v>1844.85</v>
      </c>
      <c r="O537" s="116">
        <v>1810</v>
      </c>
      <c r="P537" s="116">
        <v>1832</v>
      </c>
      <c r="Q537" s="116">
        <v>1815.9</v>
      </c>
      <c r="R537">
        <v>361776</v>
      </c>
    </row>
    <row r="538" spans="1:18" x14ac:dyDescent="0.25">
      <c r="A538" s="170">
        <v>44362</v>
      </c>
      <c r="B538" s="116">
        <v>1878.2</v>
      </c>
      <c r="C538" s="116">
        <v>1863.95</v>
      </c>
      <c r="D538" s="116">
        <v>1814.65</v>
      </c>
      <c r="E538" s="116">
        <v>1835</v>
      </c>
      <c r="F538" s="116">
        <v>1863.95</v>
      </c>
      <c r="G538">
        <v>15774</v>
      </c>
      <c r="H538" s="116"/>
      <c r="I538" s="116"/>
      <c r="L538" s="170">
        <v>44362</v>
      </c>
      <c r="M538" s="116">
        <v>1864.65</v>
      </c>
      <c r="N538" s="116">
        <v>1878.6</v>
      </c>
      <c r="O538" s="116">
        <v>1815</v>
      </c>
      <c r="P538" s="116">
        <v>1816</v>
      </c>
      <c r="Q538" s="116">
        <v>1864.65</v>
      </c>
      <c r="R538">
        <v>536279</v>
      </c>
    </row>
    <row r="539" spans="1:18" x14ac:dyDescent="0.25">
      <c r="A539" s="170">
        <v>44363</v>
      </c>
      <c r="B539" s="116">
        <v>1926.35</v>
      </c>
      <c r="C539" s="116">
        <v>1920.8</v>
      </c>
      <c r="D539" s="116">
        <v>1858.75</v>
      </c>
      <c r="E539" s="116">
        <v>1875</v>
      </c>
      <c r="F539" s="116">
        <v>1920.8</v>
      </c>
      <c r="G539">
        <v>30105</v>
      </c>
      <c r="H539" s="116"/>
      <c r="I539" s="116"/>
      <c r="L539" s="170">
        <v>44363</v>
      </c>
      <c r="M539" s="116">
        <v>1922.05</v>
      </c>
      <c r="N539" s="116">
        <v>1926</v>
      </c>
      <c r="O539" s="116">
        <v>1855.4</v>
      </c>
      <c r="P539" s="116">
        <v>1870</v>
      </c>
      <c r="Q539" s="116">
        <v>1922.05</v>
      </c>
      <c r="R539">
        <v>710365</v>
      </c>
    </row>
    <row r="540" spans="1:18" x14ac:dyDescent="0.25">
      <c r="A540" s="170">
        <v>44364</v>
      </c>
      <c r="B540" s="116">
        <v>1950.1</v>
      </c>
      <c r="C540" s="116">
        <v>1940.35</v>
      </c>
      <c r="D540" s="116">
        <v>1893.6</v>
      </c>
      <c r="E540" s="116">
        <v>1919</v>
      </c>
      <c r="F540" s="116">
        <v>1940.35</v>
      </c>
      <c r="G540">
        <v>29964</v>
      </c>
      <c r="H540" s="116"/>
      <c r="I540" s="116"/>
      <c r="L540" s="170">
        <v>44364</v>
      </c>
      <c r="M540" s="116">
        <v>1940.35</v>
      </c>
      <c r="N540" s="116">
        <v>1950</v>
      </c>
      <c r="O540" s="116">
        <v>1891.25</v>
      </c>
      <c r="P540" s="116">
        <v>1920</v>
      </c>
      <c r="Q540" s="116">
        <v>1940.35</v>
      </c>
      <c r="R540">
        <v>467101</v>
      </c>
    </row>
    <row r="541" spans="1:18" x14ac:dyDescent="0.25">
      <c r="A541" s="170">
        <v>44365</v>
      </c>
      <c r="B541" s="116">
        <v>2000.05</v>
      </c>
      <c r="C541" s="116">
        <v>1936.25</v>
      </c>
      <c r="D541" s="116">
        <v>1873.1</v>
      </c>
      <c r="E541" s="116">
        <v>1935</v>
      </c>
      <c r="F541" s="116">
        <v>1936.25</v>
      </c>
      <c r="G541">
        <v>59664</v>
      </c>
      <c r="H541" s="116"/>
      <c r="I541" s="116"/>
      <c r="L541" s="170">
        <v>44365</v>
      </c>
      <c r="M541" s="116">
        <v>1936.3</v>
      </c>
      <c r="N541" s="116">
        <v>1956</v>
      </c>
      <c r="O541" s="116">
        <v>1901.4</v>
      </c>
      <c r="P541" s="116">
        <v>1943.8</v>
      </c>
      <c r="Q541" s="116">
        <v>1936.3</v>
      </c>
      <c r="R541">
        <v>266616</v>
      </c>
    </row>
    <row r="542" spans="1:18" x14ac:dyDescent="0.25">
      <c r="A542" s="170">
        <v>44368</v>
      </c>
      <c r="B542" s="116">
        <v>1975.1</v>
      </c>
      <c r="C542" s="116">
        <v>1966.8</v>
      </c>
      <c r="D542" s="116">
        <v>1914.3</v>
      </c>
      <c r="E542" s="116">
        <v>1914.8</v>
      </c>
      <c r="F542" s="116">
        <v>1966.8</v>
      </c>
      <c r="G542">
        <v>22203</v>
      </c>
      <c r="H542" s="116"/>
      <c r="I542" s="116"/>
      <c r="L542" s="170">
        <v>44368</v>
      </c>
      <c r="M542" s="116">
        <v>1966</v>
      </c>
      <c r="N542" s="116">
        <v>1975</v>
      </c>
      <c r="O542" s="116">
        <v>1912.1</v>
      </c>
      <c r="P542" s="116">
        <v>1929.8</v>
      </c>
      <c r="Q542" s="116">
        <v>1966</v>
      </c>
      <c r="R542">
        <v>349651</v>
      </c>
    </row>
    <row r="543" spans="1:18" x14ac:dyDescent="0.25">
      <c r="A543" s="170">
        <v>44369</v>
      </c>
      <c r="B543" s="116">
        <v>2006</v>
      </c>
      <c r="C543" s="116">
        <v>1944.05</v>
      </c>
      <c r="D543" s="116">
        <v>1932.45</v>
      </c>
      <c r="E543" s="116">
        <v>1971</v>
      </c>
      <c r="F543" s="116">
        <v>1944.05</v>
      </c>
      <c r="G543">
        <v>24445</v>
      </c>
      <c r="H543" s="116"/>
      <c r="I543" s="116"/>
      <c r="L543" s="170">
        <v>44369</v>
      </c>
      <c r="M543" s="116">
        <v>1941.6</v>
      </c>
      <c r="N543" s="116">
        <v>2007</v>
      </c>
      <c r="O543" s="116">
        <v>1930.85</v>
      </c>
      <c r="P543" s="116">
        <v>1975</v>
      </c>
      <c r="Q543" s="116">
        <v>1941.6</v>
      </c>
      <c r="R543">
        <v>380553</v>
      </c>
    </row>
    <row r="544" spans="1:18" x14ac:dyDescent="0.25">
      <c r="A544" s="170">
        <v>44370</v>
      </c>
      <c r="B544" s="116">
        <v>2007</v>
      </c>
      <c r="C544" s="116">
        <v>1995.8</v>
      </c>
      <c r="D544" s="116">
        <v>1939.75</v>
      </c>
      <c r="E544" s="116">
        <v>1960</v>
      </c>
      <c r="F544" s="116">
        <v>1995.8</v>
      </c>
      <c r="G544">
        <v>33920</v>
      </c>
      <c r="H544" s="116"/>
      <c r="I544" s="116"/>
      <c r="L544" s="170">
        <v>44370</v>
      </c>
      <c r="M544" s="116">
        <v>1996.1</v>
      </c>
      <c r="N544" s="116">
        <v>2008.3</v>
      </c>
      <c r="O544" s="116">
        <v>1940.2</v>
      </c>
      <c r="P544" s="116">
        <v>1957</v>
      </c>
      <c r="Q544" s="116">
        <v>1996.1</v>
      </c>
      <c r="R544">
        <v>221760</v>
      </c>
    </row>
    <row r="545" spans="1:18" x14ac:dyDescent="0.25">
      <c r="A545" s="170">
        <v>44371</v>
      </c>
      <c r="B545" s="116">
        <v>2012</v>
      </c>
      <c r="C545" s="116">
        <v>1975.85</v>
      </c>
      <c r="D545" s="116">
        <v>1970</v>
      </c>
      <c r="E545" s="116">
        <v>2012</v>
      </c>
      <c r="F545" s="116">
        <v>1975.85</v>
      </c>
      <c r="G545">
        <v>10641</v>
      </c>
      <c r="H545" s="116"/>
      <c r="I545" s="116"/>
      <c r="L545" s="170">
        <v>44371</v>
      </c>
      <c r="M545" s="116">
        <v>1977.4</v>
      </c>
      <c r="N545" s="116">
        <v>2004.95</v>
      </c>
      <c r="O545" s="116">
        <v>1970</v>
      </c>
      <c r="P545" s="116">
        <v>2000</v>
      </c>
      <c r="Q545" s="116">
        <v>1977.4</v>
      </c>
      <c r="R545">
        <v>140241</v>
      </c>
    </row>
    <row r="546" spans="1:18" x14ac:dyDescent="0.25">
      <c r="A546" s="170">
        <v>44372</v>
      </c>
      <c r="B546" s="116">
        <v>1996.7</v>
      </c>
      <c r="C546" s="116">
        <v>1957.55</v>
      </c>
      <c r="D546" s="116">
        <v>1950.55</v>
      </c>
      <c r="E546" s="116">
        <v>1990</v>
      </c>
      <c r="F546" s="116">
        <v>1957.55</v>
      </c>
      <c r="G546">
        <v>10672</v>
      </c>
      <c r="H546" s="116"/>
      <c r="I546" s="116"/>
      <c r="L546" s="170">
        <v>44372</v>
      </c>
      <c r="M546" s="116">
        <v>1957.55</v>
      </c>
      <c r="N546" s="116">
        <v>1996</v>
      </c>
      <c r="O546" s="116">
        <v>1950</v>
      </c>
      <c r="P546" s="116">
        <v>1988</v>
      </c>
      <c r="Q546" s="116">
        <v>1957.55</v>
      </c>
      <c r="R546">
        <v>117221</v>
      </c>
    </row>
    <row r="547" spans="1:18" x14ac:dyDescent="0.25">
      <c r="A547" s="170">
        <v>44375</v>
      </c>
      <c r="B547" s="116">
        <v>1980.45</v>
      </c>
      <c r="C547" s="116">
        <v>1948.85</v>
      </c>
      <c r="D547" s="116">
        <v>1941.05</v>
      </c>
      <c r="E547" s="116">
        <v>1980</v>
      </c>
      <c r="F547" s="116">
        <v>1948.85</v>
      </c>
      <c r="G547">
        <v>10364</v>
      </c>
      <c r="H547" s="116"/>
      <c r="I547" s="116"/>
      <c r="L547" s="170">
        <v>44375</v>
      </c>
      <c r="M547" s="116">
        <v>1948.55</v>
      </c>
      <c r="N547" s="116">
        <v>1981.85</v>
      </c>
      <c r="O547" s="116">
        <v>1940</v>
      </c>
      <c r="P547" s="116">
        <v>1974.75</v>
      </c>
      <c r="Q547" s="116">
        <v>1948.55</v>
      </c>
      <c r="R547">
        <v>134196</v>
      </c>
    </row>
    <row r="548" spans="1:18" x14ac:dyDescent="0.25">
      <c r="A548" s="170">
        <v>44376</v>
      </c>
      <c r="B548" s="116">
        <v>1980</v>
      </c>
      <c r="C548" s="116">
        <v>1946.1</v>
      </c>
      <c r="D548" s="116">
        <v>1940.65</v>
      </c>
      <c r="E548" s="116">
        <v>1955.85</v>
      </c>
      <c r="F548" s="116">
        <v>1946.1</v>
      </c>
      <c r="G548">
        <v>15334</v>
      </c>
      <c r="H548" s="116"/>
      <c r="I548" s="116"/>
      <c r="L548" s="170">
        <v>44376</v>
      </c>
      <c r="M548" s="116">
        <v>1947.6</v>
      </c>
      <c r="N548" s="116">
        <v>1981</v>
      </c>
      <c r="O548" s="116">
        <v>1940</v>
      </c>
      <c r="P548" s="116">
        <v>1957</v>
      </c>
      <c r="Q548" s="116">
        <v>1947.6</v>
      </c>
      <c r="R548">
        <v>110313</v>
      </c>
    </row>
    <row r="549" spans="1:18" x14ac:dyDescent="0.25">
      <c r="A549" s="170">
        <v>44377</v>
      </c>
      <c r="B549" s="116">
        <v>2001.2</v>
      </c>
      <c r="C549" s="116">
        <v>1976.75</v>
      </c>
      <c r="D549" s="116">
        <v>1963</v>
      </c>
      <c r="E549" s="116">
        <v>1980</v>
      </c>
      <c r="F549" s="116">
        <v>1976.75</v>
      </c>
      <c r="G549">
        <v>15025</v>
      </c>
      <c r="H549" s="116"/>
      <c r="I549" s="116"/>
      <c r="L549" s="170">
        <v>44377</v>
      </c>
      <c r="M549" s="116">
        <v>1975.05</v>
      </c>
      <c r="N549" s="116">
        <v>2000.5</v>
      </c>
      <c r="O549" s="116">
        <v>1957.1</v>
      </c>
      <c r="P549" s="116">
        <v>1964</v>
      </c>
      <c r="Q549" s="116">
        <v>1975.05</v>
      </c>
      <c r="R549">
        <v>222906</v>
      </c>
    </row>
    <row r="550" spans="1:18" x14ac:dyDescent="0.25">
      <c r="A550" s="170">
        <v>44378</v>
      </c>
      <c r="B550" s="116">
        <v>2030</v>
      </c>
      <c r="C550" s="116">
        <v>2012.75</v>
      </c>
      <c r="D550" s="116">
        <v>1974.5</v>
      </c>
      <c r="E550" s="116">
        <v>1979</v>
      </c>
      <c r="F550" s="116">
        <v>2012.75</v>
      </c>
      <c r="G550">
        <v>30356</v>
      </c>
      <c r="H550" s="116"/>
      <c r="I550" s="116"/>
      <c r="L550" s="170">
        <v>44378</v>
      </c>
      <c r="M550" s="116">
        <v>2014.05</v>
      </c>
      <c r="N550" s="116">
        <v>2033</v>
      </c>
      <c r="O550" s="116">
        <v>1971.3</v>
      </c>
      <c r="P550" s="116">
        <v>1980</v>
      </c>
      <c r="Q550" s="116">
        <v>2014.05</v>
      </c>
      <c r="R550">
        <v>427322</v>
      </c>
    </row>
    <row r="551" spans="1:18" x14ac:dyDescent="0.25">
      <c r="A551" s="170">
        <v>44379</v>
      </c>
      <c r="B551" s="116">
        <v>2031</v>
      </c>
      <c r="C551" s="116">
        <v>1989.2</v>
      </c>
      <c r="D551" s="116">
        <v>1982.45</v>
      </c>
      <c r="E551" s="116">
        <v>2031</v>
      </c>
      <c r="F551" s="116">
        <v>1989.2</v>
      </c>
      <c r="G551">
        <v>12753</v>
      </c>
      <c r="H551" s="116"/>
      <c r="I551" s="116"/>
      <c r="L551" s="170">
        <v>44379</v>
      </c>
      <c r="M551" s="116">
        <v>1989.6</v>
      </c>
      <c r="N551" s="116">
        <v>2026</v>
      </c>
      <c r="O551" s="116">
        <v>1980</v>
      </c>
      <c r="P551" s="116">
        <v>2025</v>
      </c>
      <c r="Q551" s="116">
        <v>1989.6</v>
      </c>
      <c r="R551">
        <v>225205</v>
      </c>
    </row>
    <row r="552" spans="1:18" x14ac:dyDescent="0.25">
      <c r="A552" s="170">
        <v>44382</v>
      </c>
      <c r="B552" s="116">
        <v>2034.3</v>
      </c>
      <c r="C552" s="116">
        <v>1980.35</v>
      </c>
      <c r="D552" s="116">
        <v>1972.25</v>
      </c>
      <c r="E552" s="116">
        <v>2034.3</v>
      </c>
      <c r="F552" s="116">
        <v>1980.35</v>
      </c>
      <c r="G552">
        <v>10497</v>
      </c>
      <c r="H552" s="116"/>
      <c r="I552" s="116"/>
      <c r="L552" s="170">
        <v>44382</v>
      </c>
      <c r="M552" s="116">
        <v>1980.35</v>
      </c>
      <c r="N552" s="116">
        <v>2012</v>
      </c>
      <c r="O552" s="116">
        <v>1970</v>
      </c>
      <c r="P552" s="116">
        <v>2004.3</v>
      </c>
      <c r="Q552" s="116">
        <v>1980.35</v>
      </c>
      <c r="R552">
        <v>152066</v>
      </c>
    </row>
    <row r="553" spans="1:18" x14ac:dyDescent="0.25">
      <c r="A553" s="170">
        <v>44383</v>
      </c>
      <c r="B553" s="116">
        <v>1999.05</v>
      </c>
      <c r="C553" s="116">
        <v>1962.7</v>
      </c>
      <c r="D553" s="116">
        <v>1938.4</v>
      </c>
      <c r="E553" s="116">
        <v>1990</v>
      </c>
      <c r="F553" s="116">
        <v>1962.7</v>
      </c>
      <c r="G553">
        <v>19817</v>
      </c>
      <c r="H553" s="116"/>
      <c r="I553" s="116"/>
      <c r="L553" s="170">
        <v>44383</v>
      </c>
      <c r="M553" s="116">
        <v>1964.1</v>
      </c>
      <c r="N553" s="116">
        <v>1998.95</v>
      </c>
      <c r="O553" s="116">
        <v>1950</v>
      </c>
      <c r="P553" s="116">
        <v>1991.95</v>
      </c>
      <c r="Q553" s="116">
        <v>1964.1</v>
      </c>
      <c r="R553">
        <v>121393</v>
      </c>
    </row>
    <row r="554" spans="1:18" x14ac:dyDescent="0.25">
      <c r="A554" s="170">
        <v>44384</v>
      </c>
      <c r="B554" s="116">
        <v>2000</v>
      </c>
      <c r="C554" s="116">
        <v>1956</v>
      </c>
      <c r="D554" s="116">
        <v>1950</v>
      </c>
      <c r="E554" s="116">
        <v>1977</v>
      </c>
      <c r="F554" s="116">
        <v>1956</v>
      </c>
      <c r="G554">
        <v>13107</v>
      </c>
      <c r="H554" s="116"/>
      <c r="I554" s="116"/>
      <c r="L554" s="170">
        <v>44384</v>
      </c>
      <c r="M554" s="116">
        <v>1954.4</v>
      </c>
      <c r="N554" s="116">
        <v>2000.95</v>
      </c>
      <c r="O554" s="116">
        <v>1948.7</v>
      </c>
      <c r="P554" s="116">
        <v>1970</v>
      </c>
      <c r="Q554" s="116">
        <v>1954.4</v>
      </c>
      <c r="R554">
        <v>166752</v>
      </c>
    </row>
    <row r="555" spans="1:18" x14ac:dyDescent="0.25">
      <c r="A555" s="170">
        <v>44385</v>
      </c>
      <c r="B555" s="116">
        <v>1982</v>
      </c>
      <c r="C555" s="116">
        <v>1966.95</v>
      </c>
      <c r="D555" s="116">
        <v>1951</v>
      </c>
      <c r="E555" s="116">
        <v>1956</v>
      </c>
      <c r="F555" s="116">
        <v>1966.95</v>
      </c>
      <c r="G555">
        <v>14903</v>
      </c>
      <c r="H555" s="116"/>
      <c r="I555" s="116"/>
      <c r="L555" s="170">
        <v>44385</v>
      </c>
      <c r="M555" s="116">
        <v>1965.2</v>
      </c>
      <c r="N555" s="116">
        <v>1981.85</v>
      </c>
      <c r="O555" s="116">
        <v>1951</v>
      </c>
      <c r="P555" s="116">
        <v>1966.9</v>
      </c>
      <c r="Q555" s="116">
        <v>1965.2</v>
      </c>
      <c r="R555">
        <v>213468</v>
      </c>
    </row>
    <row r="556" spans="1:18" x14ac:dyDescent="0.25">
      <c r="A556" s="170">
        <v>44386</v>
      </c>
      <c r="B556" s="116">
        <v>1974.6</v>
      </c>
      <c r="C556" s="116">
        <v>1947.5</v>
      </c>
      <c r="D556" s="116">
        <v>1939</v>
      </c>
      <c r="E556" s="116">
        <v>1970</v>
      </c>
      <c r="F556" s="116">
        <v>1947.5</v>
      </c>
      <c r="G556">
        <v>33161</v>
      </c>
      <c r="H556" s="116"/>
      <c r="I556" s="116"/>
      <c r="L556" s="170">
        <v>44386</v>
      </c>
      <c r="M556" s="116">
        <v>1946.15</v>
      </c>
      <c r="N556" s="116">
        <v>1977.85</v>
      </c>
      <c r="O556" s="116">
        <v>1938</v>
      </c>
      <c r="P556" s="116">
        <v>1970</v>
      </c>
      <c r="Q556" s="116">
        <v>1946.15</v>
      </c>
      <c r="R556">
        <v>261879</v>
      </c>
    </row>
    <row r="557" spans="1:18" x14ac:dyDescent="0.25">
      <c r="A557" s="170">
        <v>44389</v>
      </c>
      <c r="B557" s="116">
        <v>1960.55</v>
      </c>
      <c r="C557" s="116">
        <v>1935.25</v>
      </c>
      <c r="D557" s="116">
        <v>1930.2</v>
      </c>
      <c r="E557" s="116">
        <v>1950</v>
      </c>
      <c r="F557" s="116">
        <v>1935.25</v>
      </c>
      <c r="G557">
        <v>18901</v>
      </c>
      <c r="H557" s="116"/>
      <c r="I557" s="116"/>
      <c r="L557" s="170">
        <v>44389</v>
      </c>
      <c r="M557" s="116">
        <v>1934.95</v>
      </c>
      <c r="N557" s="116">
        <v>1962</v>
      </c>
      <c r="O557" s="116">
        <v>1930</v>
      </c>
      <c r="P557" s="116">
        <v>1951</v>
      </c>
      <c r="Q557" s="116">
        <v>1934.95</v>
      </c>
      <c r="R557">
        <v>131125</v>
      </c>
    </row>
    <row r="558" spans="1:18" x14ac:dyDescent="0.25">
      <c r="A558" s="170">
        <v>44390</v>
      </c>
      <c r="B558" s="116">
        <v>1955</v>
      </c>
      <c r="C558" s="116">
        <v>1914.9</v>
      </c>
      <c r="D558" s="116">
        <v>1897.45</v>
      </c>
      <c r="E558" s="116">
        <v>1935</v>
      </c>
      <c r="F558" s="116">
        <v>1914.9</v>
      </c>
      <c r="G558">
        <v>63974</v>
      </c>
      <c r="H558" s="116"/>
      <c r="I558" s="116"/>
      <c r="L558" s="170">
        <v>44390</v>
      </c>
      <c r="M558" s="116">
        <v>1913.85</v>
      </c>
      <c r="N558" s="116">
        <v>1952.3</v>
      </c>
      <c r="O558" s="116">
        <v>1897.2</v>
      </c>
      <c r="P558" s="116">
        <v>1947</v>
      </c>
      <c r="Q558" s="116">
        <v>1913.85</v>
      </c>
      <c r="R558">
        <v>206502</v>
      </c>
    </row>
    <row r="559" spans="1:18" x14ac:dyDescent="0.25">
      <c r="A559" s="170">
        <v>44391</v>
      </c>
      <c r="B559" s="116">
        <v>1927.9</v>
      </c>
      <c r="C559" s="116">
        <v>1902.35</v>
      </c>
      <c r="D559" s="116">
        <v>1896.3</v>
      </c>
      <c r="E559" s="116">
        <v>1914.9</v>
      </c>
      <c r="F559" s="116">
        <v>1902.35</v>
      </c>
      <c r="G559">
        <v>27224</v>
      </c>
      <c r="H559" s="116"/>
      <c r="I559" s="116"/>
      <c r="L559" s="170">
        <v>44391</v>
      </c>
      <c r="M559" s="116">
        <v>1903.25</v>
      </c>
      <c r="N559" s="116">
        <v>1927.9</v>
      </c>
      <c r="O559" s="116">
        <v>1896</v>
      </c>
      <c r="P559" s="116">
        <v>1918.9</v>
      </c>
      <c r="Q559" s="116">
        <v>1903.25</v>
      </c>
      <c r="R559">
        <v>363840</v>
      </c>
    </row>
    <row r="560" spans="1:18" x14ac:dyDescent="0.25">
      <c r="A560" s="170">
        <v>44392</v>
      </c>
      <c r="B560" s="116">
        <v>1914.35</v>
      </c>
      <c r="C560" s="116">
        <v>1899.1</v>
      </c>
      <c r="D560" s="116">
        <v>1891.3</v>
      </c>
      <c r="E560" s="116">
        <v>1910</v>
      </c>
      <c r="F560" s="116">
        <v>1899.1</v>
      </c>
      <c r="G560">
        <v>10689</v>
      </c>
      <c r="H560" s="116"/>
      <c r="I560" s="116"/>
      <c r="L560" s="170">
        <v>44392</v>
      </c>
      <c r="M560" s="116">
        <v>1899.25</v>
      </c>
      <c r="N560" s="116">
        <v>1918.35</v>
      </c>
      <c r="O560" s="116">
        <v>1891.5</v>
      </c>
      <c r="P560" s="116">
        <v>1918.35</v>
      </c>
      <c r="Q560" s="116">
        <v>1899.25</v>
      </c>
      <c r="R560">
        <v>220964</v>
      </c>
    </row>
    <row r="561" spans="1:18" x14ac:dyDescent="0.25">
      <c r="A561" s="170">
        <v>44393</v>
      </c>
      <c r="B561" s="116">
        <v>1985</v>
      </c>
      <c r="C561" s="116">
        <v>1936.55</v>
      </c>
      <c r="D561" s="116">
        <v>1884.9</v>
      </c>
      <c r="E561" s="116">
        <v>1920</v>
      </c>
      <c r="F561" s="116">
        <v>1936.55</v>
      </c>
      <c r="G561">
        <v>38346</v>
      </c>
      <c r="H561" s="116"/>
      <c r="I561" s="116"/>
      <c r="L561" s="170">
        <v>44393</v>
      </c>
      <c r="M561" s="116">
        <v>1936.1</v>
      </c>
      <c r="N561" s="116">
        <v>1984</v>
      </c>
      <c r="O561" s="116">
        <v>1884.65</v>
      </c>
      <c r="P561" s="116">
        <v>1908.75</v>
      </c>
      <c r="Q561" s="116">
        <v>1936.1</v>
      </c>
      <c r="R561">
        <v>554165</v>
      </c>
    </row>
    <row r="562" spans="1:18" x14ac:dyDescent="0.25">
      <c r="A562" s="170">
        <v>44396</v>
      </c>
      <c r="B562" s="116">
        <v>1989</v>
      </c>
      <c r="C562" s="116">
        <v>1953.4</v>
      </c>
      <c r="D562" s="116">
        <v>1929.95</v>
      </c>
      <c r="E562" s="116">
        <v>1929.95</v>
      </c>
      <c r="F562" s="116">
        <v>1953.4</v>
      </c>
      <c r="G562">
        <v>34638</v>
      </c>
      <c r="H562" s="116"/>
      <c r="I562" s="116"/>
      <c r="L562" s="170">
        <v>44396</v>
      </c>
      <c r="M562" s="116">
        <v>1953.85</v>
      </c>
      <c r="N562" s="116">
        <v>1987.9</v>
      </c>
      <c r="O562" s="116">
        <v>1937.05</v>
      </c>
      <c r="P562" s="116">
        <v>1938</v>
      </c>
      <c r="Q562" s="116">
        <v>1953.85</v>
      </c>
      <c r="R562">
        <v>333569</v>
      </c>
    </row>
    <row r="563" spans="1:18" x14ac:dyDescent="0.25">
      <c r="A563" s="170">
        <v>44397</v>
      </c>
      <c r="B563" s="116">
        <v>2000.8</v>
      </c>
      <c r="C563" s="116">
        <v>1992.35</v>
      </c>
      <c r="D563" s="116">
        <v>1925.45</v>
      </c>
      <c r="E563" s="116">
        <v>1975.4</v>
      </c>
      <c r="F563" s="116">
        <v>1992.35</v>
      </c>
      <c r="G563">
        <v>28459</v>
      </c>
      <c r="H563" s="116"/>
      <c r="I563" s="116"/>
      <c r="L563" s="170">
        <v>44397</v>
      </c>
      <c r="M563" s="116">
        <v>1990.6</v>
      </c>
      <c r="N563" s="116">
        <v>2002</v>
      </c>
      <c r="O563" s="116">
        <v>1925.2</v>
      </c>
      <c r="P563" s="116">
        <v>1955</v>
      </c>
      <c r="Q563" s="116">
        <v>1990.6</v>
      </c>
      <c r="R563">
        <v>336679</v>
      </c>
    </row>
    <row r="564" spans="1:18" x14ac:dyDescent="0.25">
      <c r="A564" s="170">
        <v>44399</v>
      </c>
      <c r="B564" s="116">
        <v>1945</v>
      </c>
      <c r="C564" s="116">
        <v>1910.8</v>
      </c>
      <c r="D564" s="116">
        <v>1875.5</v>
      </c>
      <c r="E564" s="116">
        <v>1900</v>
      </c>
      <c r="F564" s="116">
        <v>1910.8</v>
      </c>
      <c r="G564">
        <v>87245</v>
      </c>
      <c r="H564" s="116"/>
      <c r="I564" s="116"/>
      <c r="L564" s="170">
        <v>44399</v>
      </c>
      <c r="M564" s="116">
        <v>1911.95</v>
      </c>
      <c r="N564" s="116">
        <v>1945.25</v>
      </c>
      <c r="O564" s="116">
        <v>1877.05</v>
      </c>
      <c r="P564" s="116">
        <v>1905</v>
      </c>
      <c r="Q564" s="116">
        <v>1911.95</v>
      </c>
      <c r="R564">
        <v>797341</v>
      </c>
    </row>
    <row r="565" spans="1:18" x14ac:dyDescent="0.25">
      <c r="A565" s="170">
        <v>44400</v>
      </c>
      <c r="B565" s="116">
        <v>1969.6</v>
      </c>
      <c r="C565" s="116">
        <v>1888.95</v>
      </c>
      <c r="D565" s="116">
        <v>1884.3</v>
      </c>
      <c r="E565" s="116">
        <v>1934.8</v>
      </c>
      <c r="F565" s="116">
        <v>1888.95</v>
      </c>
      <c r="G565">
        <v>34134</v>
      </c>
      <c r="H565" s="116"/>
      <c r="I565" s="116"/>
      <c r="L565" s="170">
        <v>44400</v>
      </c>
      <c r="M565" s="116">
        <v>1889.25</v>
      </c>
      <c r="N565" s="116">
        <v>1970</v>
      </c>
      <c r="O565" s="116">
        <v>1885</v>
      </c>
      <c r="P565" s="116">
        <v>1929.85</v>
      </c>
      <c r="Q565" s="116">
        <v>1889.25</v>
      </c>
      <c r="R565">
        <v>396771</v>
      </c>
    </row>
    <row r="566" spans="1:18" x14ac:dyDescent="0.25">
      <c r="A566" s="170">
        <v>44403</v>
      </c>
      <c r="B566" s="116">
        <v>1904</v>
      </c>
      <c r="C566" s="116">
        <v>1858.1</v>
      </c>
      <c r="D566" s="116">
        <v>1848.85</v>
      </c>
      <c r="E566" s="116">
        <v>1901</v>
      </c>
      <c r="F566" s="116">
        <v>1858.1</v>
      </c>
      <c r="G566">
        <v>26364</v>
      </c>
      <c r="H566" s="116"/>
      <c r="I566" s="116"/>
      <c r="L566" s="170">
        <v>44403</v>
      </c>
      <c r="M566" s="116">
        <v>1858.5</v>
      </c>
      <c r="N566" s="116">
        <v>1901</v>
      </c>
      <c r="O566" s="116">
        <v>1845.8</v>
      </c>
      <c r="P566" s="116">
        <v>1890.9</v>
      </c>
      <c r="Q566" s="116">
        <v>1858.5</v>
      </c>
      <c r="R566">
        <v>381916</v>
      </c>
    </row>
    <row r="567" spans="1:18" x14ac:dyDescent="0.25">
      <c r="A567" s="170">
        <v>44404</v>
      </c>
      <c r="B567" s="116">
        <v>1869</v>
      </c>
      <c r="C567" s="116">
        <v>1803.95</v>
      </c>
      <c r="D567" s="116">
        <v>1800</v>
      </c>
      <c r="E567" s="116">
        <v>1861</v>
      </c>
      <c r="F567" s="116">
        <v>1803.95</v>
      </c>
      <c r="G567">
        <v>25231</v>
      </c>
      <c r="H567" s="116"/>
      <c r="I567" s="116"/>
      <c r="L567" s="170">
        <v>44404</v>
      </c>
      <c r="M567" s="116">
        <v>1802.5</v>
      </c>
      <c r="N567" s="116">
        <v>1870</v>
      </c>
      <c r="O567" s="116">
        <v>1796.75</v>
      </c>
      <c r="P567" s="116">
        <v>1860</v>
      </c>
      <c r="Q567" s="116">
        <v>1802.5</v>
      </c>
      <c r="R567">
        <v>466123</v>
      </c>
    </row>
    <row r="568" spans="1:18" x14ac:dyDescent="0.25">
      <c r="A568" s="170">
        <v>44405</v>
      </c>
      <c r="B568" s="116">
        <v>1844.5</v>
      </c>
      <c r="C568" s="116">
        <v>1791.7</v>
      </c>
      <c r="D568" s="116">
        <v>1775.55</v>
      </c>
      <c r="E568" s="116">
        <v>1795.05</v>
      </c>
      <c r="F568" s="116">
        <v>1791.7</v>
      </c>
      <c r="G568">
        <v>44817</v>
      </c>
      <c r="H568" s="116"/>
      <c r="I568" s="116"/>
      <c r="L568" s="170">
        <v>44405</v>
      </c>
      <c r="M568" s="116">
        <v>1791.65</v>
      </c>
      <c r="N568" s="116">
        <v>1845</v>
      </c>
      <c r="O568" s="116">
        <v>1775</v>
      </c>
      <c r="P568" s="116">
        <v>1809</v>
      </c>
      <c r="Q568" s="116">
        <v>1791.65</v>
      </c>
      <c r="R568">
        <v>343448</v>
      </c>
    </row>
    <row r="569" spans="1:18" x14ac:dyDescent="0.25">
      <c r="A569" s="170">
        <v>44406</v>
      </c>
      <c r="B569" s="116">
        <v>1828</v>
      </c>
      <c r="C569" s="116">
        <v>1814.05</v>
      </c>
      <c r="D569" s="116">
        <v>1761.25</v>
      </c>
      <c r="E569" s="116">
        <v>1800</v>
      </c>
      <c r="F569" s="116">
        <v>1814.05</v>
      </c>
      <c r="G569">
        <v>51303</v>
      </c>
      <c r="H569" s="116"/>
      <c r="I569" s="116"/>
      <c r="L569" s="170">
        <v>44406</v>
      </c>
      <c r="M569" s="116">
        <v>1814.75</v>
      </c>
      <c r="N569" s="116">
        <v>1826.85</v>
      </c>
      <c r="O569" s="116">
        <v>1762</v>
      </c>
      <c r="P569" s="116">
        <v>1800</v>
      </c>
      <c r="Q569" s="116">
        <v>1814.75</v>
      </c>
      <c r="R569">
        <v>254104</v>
      </c>
    </row>
    <row r="570" spans="1:18" x14ac:dyDescent="0.25">
      <c r="A570" s="170">
        <v>44407</v>
      </c>
      <c r="B570" s="116">
        <v>1860</v>
      </c>
      <c r="C570" s="116">
        <v>1851.25</v>
      </c>
      <c r="D570" s="116">
        <v>1812.55</v>
      </c>
      <c r="E570" s="116">
        <v>1814.05</v>
      </c>
      <c r="F570" s="116">
        <v>1851.25</v>
      </c>
      <c r="G570">
        <v>18547</v>
      </c>
      <c r="H570" s="116"/>
      <c r="I570" s="116"/>
      <c r="L570" s="170">
        <v>44407</v>
      </c>
      <c r="M570" s="116">
        <v>1850.65</v>
      </c>
      <c r="N570" s="116">
        <v>1861.9</v>
      </c>
      <c r="O570" s="116">
        <v>1811.75</v>
      </c>
      <c r="P570" s="116">
        <v>1815</v>
      </c>
      <c r="Q570" s="116">
        <v>1850.65</v>
      </c>
      <c r="R570">
        <v>255158</v>
      </c>
    </row>
    <row r="571" spans="1:18" x14ac:dyDescent="0.25">
      <c r="A571" s="170">
        <v>44410</v>
      </c>
      <c r="B571" s="116">
        <v>1888.3</v>
      </c>
      <c r="C571" s="116">
        <v>1865.25</v>
      </c>
      <c r="D571" s="116">
        <v>1837</v>
      </c>
      <c r="E571" s="116">
        <v>1888.3</v>
      </c>
      <c r="F571" s="116">
        <v>1865.25</v>
      </c>
      <c r="G571">
        <v>31126</v>
      </c>
      <c r="H571" s="116"/>
      <c r="I571" s="116"/>
      <c r="L571" s="170">
        <v>44410</v>
      </c>
      <c r="M571" s="116">
        <v>1865.85</v>
      </c>
      <c r="N571" s="116">
        <v>1881.15</v>
      </c>
      <c r="O571" s="116">
        <v>1836.5</v>
      </c>
      <c r="P571" s="116">
        <v>1869.95</v>
      </c>
      <c r="Q571" s="116">
        <v>1865.85</v>
      </c>
      <c r="R571">
        <v>199500</v>
      </c>
    </row>
    <row r="572" spans="1:18" x14ac:dyDescent="0.25">
      <c r="A572" s="170">
        <v>44411</v>
      </c>
      <c r="B572" s="116">
        <v>1876.65</v>
      </c>
      <c r="C572" s="116">
        <v>1871.35</v>
      </c>
      <c r="D572" s="116">
        <v>1845.8</v>
      </c>
      <c r="E572" s="116">
        <v>1872.85</v>
      </c>
      <c r="F572" s="116">
        <v>1871.35</v>
      </c>
      <c r="G572">
        <v>11344</v>
      </c>
      <c r="H572" s="116"/>
      <c r="I572" s="116"/>
      <c r="L572" s="170">
        <v>44411</v>
      </c>
      <c r="M572" s="116">
        <v>1872.85</v>
      </c>
      <c r="N572" s="116">
        <v>1875.5</v>
      </c>
      <c r="O572" s="116">
        <v>1845.05</v>
      </c>
      <c r="P572" s="116">
        <v>1872</v>
      </c>
      <c r="Q572" s="116">
        <v>1872.85</v>
      </c>
      <c r="R572">
        <v>146154</v>
      </c>
    </row>
    <row r="573" spans="1:18" x14ac:dyDescent="0.25">
      <c r="A573" s="170">
        <v>44412</v>
      </c>
      <c r="B573" s="116">
        <v>1885</v>
      </c>
      <c r="C573" s="116">
        <v>1815</v>
      </c>
      <c r="D573" s="116">
        <v>1801</v>
      </c>
      <c r="E573" s="116">
        <v>1885</v>
      </c>
      <c r="F573" s="116">
        <v>1815</v>
      </c>
      <c r="G573">
        <v>26945</v>
      </c>
      <c r="H573" s="116"/>
      <c r="I573" s="116"/>
      <c r="L573" s="170">
        <v>44412</v>
      </c>
      <c r="M573" s="116">
        <v>1815</v>
      </c>
      <c r="N573" s="116">
        <v>1875.25</v>
      </c>
      <c r="O573" s="116">
        <v>1800</v>
      </c>
      <c r="P573" s="116">
        <v>1875</v>
      </c>
      <c r="Q573" s="116">
        <v>1815</v>
      </c>
      <c r="R573">
        <v>324668</v>
      </c>
    </row>
    <row r="574" spans="1:18" x14ac:dyDescent="0.25">
      <c r="A574" s="170">
        <v>44413</v>
      </c>
      <c r="B574" s="116">
        <v>1845</v>
      </c>
      <c r="C574" s="116">
        <v>1819.2</v>
      </c>
      <c r="D574" s="116">
        <v>1800.4</v>
      </c>
      <c r="E574" s="116">
        <v>1839</v>
      </c>
      <c r="F574" s="116">
        <v>1819.2</v>
      </c>
      <c r="G574">
        <v>34385</v>
      </c>
      <c r="H574" s="116"/>
      <c r="I574" s="116"/>
      <c r="L574" s="170">
        <v>44413</v>
      </c>
      <c r="M574" s="116">
        <v>1819.15</v>
      </c>
      <c r="N574" s="116">
        <v>1845.9</v>
      </c>
      <c r="O574" s="116">
        <v>1800</v>
      </c>
      <c r="P574" s="116">
        <v>1826</v>
      </c>
      <c r="Q574" s="116">
        <v>1819.15</v>
      </c>
      <c r="R574">
        <v>207130</v>
      </c>
    </row>
    <row r="575" spans="1:18" x14ac:dyDescent="0.25">
      <c r="A575" s="170">
        <v>44414</v>
      </c>
      <c r="B575" s="116">
        <v>1843</v>
      </c>
      <c r="C575" s="116">
        <v>1810.6</v>
      </c>
      <c r="D575" s="116">
        <v>1800.45</v>
      </c>
      <c r="E575" s="116">
        <v>1822.05</v>
      </c>
      <c r="F575" s="116">
        <v>1810.6</v>
      </c>
      <c r="G575">
        <v>23877</v>
      </c>
      <c r="H575" s="116"/>
      <c r="I575" s="116"/>
      <c r="L575" s="170">
        <v>44414</v>
      </c>
      <c r="M575" s="116">
        <v>1811.3</v>
      </c>
      <c r="N575" s="116">
        <v>1843</v>
      </c>
      <c r="O575" s="116">
        <v>1799.1</v>
      </c>
      <c r="P575" s="116">
        <v>1823.5</v>
      </c>
      <c r="Q575" s="116">
        <v>1811.3</v>
      </c>
      <c r="R575">
        <v>155490</v>
      </c>
    </row>
    <row r="576" spans="1:18" x14ac:dyDescent="0.25">
      <c r="A576" s="170">
        <v>44417</v>
      </c>
      <c r="B576" s="116">
        <v>1827.3</v>
      </c>
      <c r="C576" s="116">
        <v>1809.35</v>
      </c>
      <c r="D576" s="116">
        <v>1800.5</v>
      </c>
      <c r="E576" s="116">
        <v>1815</v>
      </c>
      <c r="F576" s="116">
        <v>1809.35</v>
      </c>
      <c r="G576">
        <v>10029</v>
      </c>
      <c r="H576" s="116"/>
      <c r="I576" s="116"/>
      <c r="L576" s="170">
        <v>44417</v>
      </c>
      <c r="M576" s="116">
        <v>1808.9</v>
      </c>
      <c r="N576" s="116">
        <v>1828.85</v>
      </c>
      <c r="O576" s="116">
        <v>1800</v>
      </c>
      <c r="P576" s="116">
        <v>1822</v>
      </c>
      <c r="Q576" s="116">
        <v>1808.9</v>
      </c>
      <c r="R576">
        <v>151628</v>
      </c>
    </row>
    <row r="577" spans="1:18" x14ac:dyDescent="0.25">
      <c r="A577" s="170">
        <v>44418</v>
      </c>
      <c r="B577" s="116">
        <v>1858</v>
      </c>
      <c r="C577" s="116">
        <v>1818.05</v>
      </c>
      <c r="D577" s="116">
        <v>1805.15</v>
      </c>
      <c r="E577" s="116">
        <v>1840</v>
      </c>
      <c r="F577" s="116">
        <v>1818.05</v>
      </c>
      <c r="G577">
        <v>45365</v>
      </c>
      <c r="H577" s="116"/>
      <c r="I577" s="116"/>
      <c r="L577" s="170">
        <v>44418</v>
      </c>
      <c r="M577" s="116">
        <v>1816.85</v>
      </c>
      <c r="N577" s="116">
        <v>1858.8</v>
      </c>
      <c r="O577" s="116">
        <v>1802.65</v>
      </c>
      <c r="P577" s="116">
        <v>1827</v>
      </c>
      <c r="Q577" s="116">
        <v>1816.85</v>
      </c>
      <c r="R577">
        <v>441811</v>
      </c>
    </row>
    <row r="578" spans="1:18" x14ac:dyDescent="0.25">
      <c r="A578" s="170">
        <v>44419</v>
      </c>
      <c r="B578" s="116">
        <v>1841.5</v>
      </c>
      <c r="C578" s="116">
        <v>1807.55</v>
      </c>
      <c r="D578" s="116">
        <v>1797</v>
      </c>
      <c r="E578" s="116">
        <v>1825</v>
      </c>
      <c r="F578" s="116">
        <v>1807.55</v>
      </c>
      <c r="G578">
        <v>39063</v>
      </c>
      <c r="H578" s="116"/>
      <c r="I578" s="116"/>
      <c r="L578" s="170">
        <v>44419</v>
      </c>
      <c r="M578" s="116">
        <v>1806.75</v>
      </c>
      <c r="N578" s="116">
        <v>1842.45</v>
      </c>
      <c r="O578" s="116">
        <v>1795</v>
      </c>
      <c r="P578" s="116">
        <v>1828.9</v>
      </c>
      <c r="Q578" s="116">
        <v>1806.75</v>
      </c>
      <c r="R578">
        <v>286015</v>
      </c>
    </row>
    <row r="579" spans="1:18" x14ac:dyDescent="0.25">
      <c r="A579" s="170">
        <v>44420</v>
      </c>
      <c r="B579" s="116">
        <v>1836.95</v>
      </c>
      <c r="C579" s="116">
        <v>1809.65</v>
      </c>
      <c r="D579" s="116">
        <v>1804.1</v>
      </c>
      <c r="E579" s="116">
        <v>1822.5</v>
      </c>
      <c r="F579" s="116">
        <v>1809.65</v>
      </c>
      <c r="G579">
        <v>27000</v>
      </c>
      <c r="H579" s="116"/>
      <c r="I579" s="116"/>
      <c r="L579" s="170">
        <v>44420</v>
      </c>
      <c r="M579" s="116">
        <v>1809.65</v>
      </c>
      <c r="N579" s="116">
        <v>1836.5</v>
      </c>
      <c r="O579" s="116">
        <v>1804.05</v>
      </c>
      <c r="P579" s="116">
        <v>1819.4</v>
      </c>
      <c r="Q579" s="116">
        <v>1809.65</v>
      </c>
      <c r="R579">
        <v>161242</v>
      </c>
    </row>
    <row r="580" spans="1:18" x14ac:dyDescent="0.25">
      <c r="A580" s="170">
        <v>44421</v>
      </c>
      <c r="B580" s="116">
        <v>1915.8</v>
      </c>
      <c r="C580" s="116">
        <v>1898.45</v>
      </c>
      <c r="D580" s="116">
        <v>1803.15</v>
      </c>
      <c r="E580" s="116">
        <v>1810</v>
      </c>
      <c r="F580" s="116">
        <v>1898.45</v>
      </c>
      <c r="G580">
        <v>76502</v>
      </c>
      <c r="H580" s="116"/>
      <c r="I580" s="116"/>
      <c r="L580" s="170">
        <v>44421</v>
      </c>
      <c r="M580" s="116">
        <v>1900.25</v>
      </c>
      <c r="N580" s="116">
        <v>1917</v>
      </c>
      <c r="O580" s="116">
        <v>1815.15</v>
      </c>
      <c r="P580" s="116">
        <v>1822</v>
      </c>
      <c r="Q580" s="116">
        <v>1900.25</v>
      </c>
      <c r="R580">
        <v>562355</v>
      </c>
    </row>
    <row r="581" spans="1:18" x14ac:dyDescent="0.25">
      <c r="A581" s="170">
        <v>44424</v>
      </c>
      <c r="B581" s="116">
        <v>1955</v>
      </c>
      <c r="C581" s="116">
        <v>1921.65</v>
      </c>
      <c r="D581" s="116">
        <v>1899</v>
      </c>
      <c r="E581" s="116">
        <v>1919.9</v>
      </c>
      <c r="F581" s="116">
        <v>1921.65</v>
      </c>
      <c r="G581">
        <v>28954</v>
      </c>
      <c r="H581" s="116"/>
      <c r="I581" s="116"/>
      <c r="L581" s="170">
        <v>44424</v>
      </c>
      <c r="M581" s="116">
        <v>1921.15</v>
      </c>
      <c r="N581" s="116">
        <v>1956.1</v>
      </c>
      <c r="O581" s="116">
        <v>1901.25</v>
      </c>
      <c r="P581" s="116">
        <v>1918</v>
      </c>
      <c r="Q581" s="116">
        <v>1921.15</v>
      </c>
      <c r="R581">
        <v>548973</v>
      </c>
    </row>
    <row r="582" spans="1:18" x14ac:dyDescent="0.25">
      <c r="A582" s="170">
        <v>44425</v>
      </c>
      <c r="B582" s="116">
        <v>1945</v>
      </c>
      <c r="C582" s="116">
        <v>1919.9</v>
      </c>
      <c r="D582" s="116">
        <v>1910.35</v>
      </c>
      <c r="E582" s="116">
        <v>1932</v>
      </c>
      <c r="F582" s="116">
        <v>1919.9</v>
      </c>
      <c r="G582">
        <v>34376</v>
      </c>
      <c r="H582" s="116"/>
      <c r="I582" s="116"/>
      <c r="L582" s="170">
        <v>44425</v>
      </c>
      <c r="M582" s="116">
        <v>1920.8</v>
      </c>
      <c r="N582" s="116">
        <v>1945.3</v>
      </c>
      <c r="O582" s="116">
        <v>1912</v>
      </c>
      <c r="P582" s="116">
        <v>1930</v>
      </c>
      <c r="Q582" s="116">
        <v>1920.8</v>
      </c>
      <c r="R582">
        <v>183084</v>
      </c>
    </row>
    <row r="583" spans="1:18" x14ac:dyDescent="0.25">
      <c r="A583" s="170">
        <v>44426</v>
      </c>
      <c r="B583" s="116">
        <v>1940</v>
      </c>
      <c r="C583" s="116">
        <v>1905</v>
      </c>
      <c r="D583" s="116">
        <v>1891.9</v>
      </c>
      <c r="E583" s="116">
        <v>1925.4</v>
      </c>
      <c r="F583" s="116">
        <v>1905</v>
      </c>
      <c r="G583">
        <v>13420</v>
      </c>
      <c r="H583" s="116"/>
      <c r="I583" s="116"/>
      <c r="L583" s="170">
        <v>44426</v>
      </c>
      <c r="M583" s="116">
        <v>1904.85</v>
      </c>
      <c r="N583" s="116">
        <v>1949</v>
      </c>
      <c r="O583" s="116">
        <v>1890</v>
      </c>
      <c r="P583" s="116">
        <v>1949</v>
      </c>
      <c r="Q583" s="116">
        <v>1904.85</v>
      </c>
      <c r="R583">
        <v>166172</v>
      </c>
    </row>
    <row r="584" spans="1:18" x14ac:dyDescent="0.25">
      <c r="A584" s="170">
        <v>44428</v>
      </c>
      <c r="B584" s="116">
        <v>1904</v>
      </c>
      <c r="C584" s="116">
        <v>1882.65</v>
      </c>
      <c r="D584" s="116">
        <v>1863</v>
      </c>
      <c r="E584" s="116">
        <v>1863</v>
      </c>
      <c r="F584" s="116">
        <v>1882.65</v>
      </c>
      <c r="G584">
        <v>31155</v>
      </c>
      <c r="H584" s="116"/>
      <c r="I584" s="116"/>
      <c r="L584" s="170">
        <v>44428</v>
      </c>
      <c r="M584" s="116">
        <v>1882.95</v>
      </c>
      <c r="N584" s="116">
        <v>1905.2</v>
      </c>
      <c r="O584" s="116">
        <v>1865.5</v>
      </c>
      <c r="P584" s="116">
        <v>1872</v>
      </c>
      <c r="Q584" s="116">
        <v>1882.95</v>
      </c>
      <c r="R584">
        <v>196888</v>
      </c>
    </row>
    <row r="585" spans="1:18" x14ac:dyDescent="0.25">
      <c r="A585" s="170">
        <v>44431</v>
      </c>
      <c r="B585" s="116">
        <v>1908.9</v>
      </c>
      <c r="C585" s="116">
        <v>1829.2</v>
      </c>
      <c r="D585" s="116">
        <v>1811</v>
      </c>
      <c r="E585" s="116">
        <v>1882.65</v>
      </c>
      <c r="F585" s="116">
        <v>1829.2</v>
      </c>
      <c r="G585">
        <v>18520</v>
      </c>
      <c r="H585" s="116"/>
      <c r="I585" s="116"/>
      <c r="L585" s="170">
        <v>44431</v>
      </c>
      <c r="M585" s="116">
        <v>1830.25</v>
      </c>
      <c r="N585" s="116">
        <v>1914.7</v>
      </c>
      <c r="O585" s="116">
        <v>1810.7</v>
      </c>
      <c r="P585" s="116">
        <v>1896</v>
      </c>
      <c r="Q585" s="116">
        <v>1830.25</v>
      </c>
      <c r="R585">
        <v>247602</v>
      </c>
    </row>
    <row r="586" spans="1:18" x14ac:dyDescent="0.25">
      <c r="A586" s="170">
        <v>44432</v>
      </c>
      <c r="B586" s="116">
        <v>1854.85</v>
      </c>
      <c r="C586" s="116">
        <v>1823.95</v>
      </c>
      <c r="D586" s="116">
        <v>1812.6</v>
      </c>
      <c r="E586" s="116">
        <v>1854.85</v>
      </c>
      <c r="F586" s="116">
        <v>1823.95</v>
      </c>
      <c r="G586">
        <v>9198</v>
      </c>
      <c r="H586" s="116"/>
      <c r="I586" s="116"/>
      <c r="L586" s="170">
        <v>44432</v>
      </c>
      <c r="M586" s="116">
        <v>1826.95</v>
      </c>
      <c r="N586" s="116">
        <v>1850.75</v>
      </c>
      <c r="O586" s="116">
        <v>1812.45</v>
      </c>
      <c r="P586" s="116">
        <v>1830</v>
      </c>
      <c r="Q586" s="116">
        <v>1826.95</v>
      </c>
      <c r="R586">
        <v>136045</v>
      </c>
    </row>
    <row r="587" spans="1:18" x14ac:dyDescent="0.25">
      <c r="A587" s="170">
        <v>44433</v>
      </c>
      <c r="B587" s="116">
        <v>1888.3</v>
      </c>
      <c r="C587" s="116">
        <v>1870.15</v>
      </c>
      <c r="D587" s="116">
        <v>1826</v>
      </c>
      <c r="E587" s="116">
        <v>1840</v>
      </c>
      <c r="F587" s="116">
        <v>1870.15</v>
      </c>
      <c r="G587">
        <v>15305</v>
      </c>
      <c r="H587" s="116"/>
      <c r="I587" s="116"/>
      <c r="L587" s="170">
        <v>44433</v>
      </c>
      <c r="M587" s="116">
        <v>1864.35</v>
      </c>
      <c r="N587" s="116">
        <v>1891.65</v>
      </c>
      <c r="O587" s="116">
        <v>1826.95</v>
      </c>
      <c r="P587" s="116">
        <v>1828</v>
      </c>
      <c r="Q587" s="116">
        <v>1864.35</v>
      </c>
      <c r="R587">
        <v>229701</v>
      </c>
    </row>
    <row r="588" spans="1:18" x14ac:dyDescent="0.25">
      <c r="A588" s="170">
        <v>44434</v>
      </c>
      <c r="B588" s="116">
        <v>1880</v>
      </c>
      <c r="C588" s="116">
        <v>1857.8</v>
      </c>
      <c r="D588" s="116">
        <v>1832.25</v>
      </c>
      <c r="E588" s="116">
        <v>1880</v>
      </c>
      <c r="F588" s="116">
        <v>1857.8</v>
      </c>
      <c r="G588">
        <v>20133</v>
      </c>
      <c r="H588" s="116"/>
      <c r="I588" s="116"/>
      <c r="L588" s="170">
        <v>44434</v>
      </c>
      <c r="M588" s="116">
        <v>1857.25</v>
      </c>
      <c r="N588" s="116">
        <v>1882.4</v>
      </c>
      <c r="O588" s="116">
        <v>1832.05</v>
      </c>
      <c r="P588" s="116">
        <v>1880.75</v>
      </c>
      <c r="Q588" s="116">
        <v>1857.25</v>
      </c>
      <c r="R588">
        <v>187893</v>
      </c>
    </row>
    <row r="589" spans="1:18" x14ac:dyDescent="0.25">
      <c r="A589" s="170">
        <v>44435</v>
      </c>
      <c r="B589" s="116">
        <v>1908</v>
      </c>
      <c r="C589" s="116">
        <v>1893.85</v>
      </c>
      <c r="D589" s="116">
        <v>1849.5</v>
      </c>
      <c r="E589" s="116">
        <v>1850</v>
      </c>
      <c r="F589" s="116">
        <v>1893.85</v>
      </c>
      <c r="G589">
        <v>37001</v>
      </c>
      <c r="H589" s="116"/>
      <c r="I589" s="116"/>
      <c r="L589" s="170">
        <v>44435</v>
      </c>
      <c r="M589" s="116">
        <v>1894.55</v>
      </c>
      <c r="N589" s="116">
        <v>1910.1</v>
      </c>
      <c r="O589" s="116">
        <v>1850.05</v>
      </c>
      <c r="P589" s="116">
        <v>1856</v>
      </c>
      <c r="Q589" s="116">
        <v>1894.55</v>
      </c>
      <c r="R589">
        <v>336353</v>
      </c>
    </row>
    <row r="590" spans="1:18" x14ac:dyDescent="0.25">
      <c r="A590" s="170">
        <v>44438</v>
      </c>
      <c r="B590" s="116">
        <v>2049</v>
      </c>
      <c r="C590" s="116">
        <v>2036.05</v>
      </c>
      <c r="D590" s="116">
        <v>1893.85</v>
      </c>
      <c r="E590" s="116">
        <v>1919.85</v>
      </c>
      <c r="F590" s="116">
        <v>2036.05</v>
      </c>
      <c r="G590">
        <v>81847</v>
      </c>
      <c r="H590" s="116"/>
      <c r="I590" s="116"/>
      <c r="L590" s="170">
        <v>44438</v>
      </c>
      <c r="M590" s="116">
        <v>2033.55</v>
      </c>
      <c r="N590" s="116">
        <v>2048</v>
      </c>
      <c r="O590" s="116">
        <v>1902.3</v>
      </c>
      <c r="P590" s="116">
        <v>1906</v>
      </c>
      <c r="Q590" s="116">
        <v>2033.55</v>
      </c>
      <c r="R590">
        <v>1745651</v>
      </c>
    </row>
    <row r="591" spans="1:18" x14ac:dyDescent="0.25">
      <c r="A591" s="170">
        <v>44439</v>
      </c>
      <c r="B591" s="116">
        <v>2122.9499999999998</v>
      </c>
      <c r="C591" s="116">
        <v>2068.65</v>
      </c>
      <c r="D591" s="116">
        <v>2040.1</v>
      </c>
      <c r="E591" s="116">
        <v>2050</v>
      </c>
      <c r="F591" s="116">
        <v>2068.65</v>
      </c>
      <c r="G591">
        <v>111590</v>
      </c>
      <c r="H591" s="116"/>
      <c r="I591" s="116"/>
      <c r="L591" s="170">
        <v>44439</v>
      </c>
      <c r="M591" s="116">
        <v>2067.5</v>
      </c>
      <c r="N591" s="116">
        <v>2124.3000000000002</v>
      </c>
      <c r="O591" s="116">
        <v>2039</v>
      </c>
      <c r="P591" s="116">
        <v>2052.35</v>
      </c>
      <c r="Q591" s="116">
        <v>2067.5</v>
      </c>
      <c r="R591">
        <v>1444108</v>
      </c>
    </row>
    <row r="592" spans="1:18" x14ac:dyDescent="0.25">
      <c r="A592" s="170">
        <v>44440</v>
      </c>
      <c r="B592" s="116">
        <v>2164</v>
      </c>
      <c r="C592" s="116">
        <v>2128.25</v>
      </c>
      <c r="D592" s="116">
        <v>2030.45</v>
      </c>
      <c r="E592" s="116">
        <v>2072.15</v>
      </c>
      <c r="F592" s="116">
        <v>2128.25</v>
      </c>
      <c r="G592">
        <v>68615</v>
      </c>
      <c r="H592" s="116"/>
      <c r="I592" s="116"/>
      <c r="L592" s="170">
        <v>44440</v>
      </c>
      <c r="M592" s="116">
        <v>2126.65</v>
      </c>
      <c r="N592" s="116">
        <v>2164</v>
      </c>
      <c r="O592" s="116">
        <v>2030.35</v>
      </c>
      <c r="P592" s="116">
        <v>2086.0500000000002</v>
      </c>
      <c r="Q592" s="116">
        <v>2126.65</v>
      </c>
      <c r="R592">
        <v>939984</v>
      </c>
    </row>
    <row r="593" spans="1:18" x14ac:dyDescent="0.25">
      <c r="A593" s="170">
        <v>44441</v>
      </c>
      <c r="B593" s="116">
        <v>2220</v>
      </c>
      <c r="C593" s="116">
        <v>2210.0500000000002</v>
      </c>
      <c r="D593" s="116">
        <v>2113.3000000000002</v>
      </c>
      <c r="E593" s="116">
        <v>2130.85</v>
      </c>
      <c r="F593" s="116">
        <v>2210.0500000000002</v>
      </c>
      <c r="G593">
        <v>70893</v>
      </c>
      <c r="H593" s="116"/>
      <c r="I593" s="116"/>
      <c r="L593" s="170">
        <v>44441</v>
      </c>
      <c r="M593" s="116">
        <v>2212.1</v>
      </c>
      <c r="N593" s="116">
        <v>2222</v>
      </c>
      <c r="O593" s="116">
        <v>2110.1</v>
      </c>
      <c r="P593" s="116">
        <v>2135</v>
      </c>
      <c r="Q593" s="116">
        <v>2212.1</v>
      </c>
      <c r="R593">
        <v>873118</v>
      </c>
    </row>
    <row r="594" spans="1:18" x14ac:dyDescent="0.25">
      <c r="A594" s="170">
        <v>44442</v>
      </c>
      <c r="B594" s="116">
        <v>2252.25</v>
      </c>
      <c r="C594" s="116">
        <v>2231.5</v>
      </c>
      <c r="D594" s="116">
        <v>2200</v>
      </c>
      <c r="E594" s="116">
        <v>2222</v>
      </c>
      <c r="F594" s="116">
        <v>2231.5</v>
      </c>
      <c r="G594">
        <v>29728</v>
      </c>
      <c r="H594" s="116"/>
      <c r="I594" s="116"/>
      <c r="L594" s="170">
        <v>44442</v>
      </c>
      <c r="M594" s="116">
        <v>2232.3000000000002</v>
      </c>
      <c r="N594" s="116">
        <v>2249</v>
      </c>
      <c r="O594" s="116">
        <v>2201</v>
      </c>
      <c r="P594" s="116">
        <v>2220</v>
      </c>
      <c r="Q594" s="116">
        <v>2232.3000000000002</v>
      </c>
      <c r="R594">
        <v>573821</v>
      </c>
    </row>
    <row r="595" spans="1:18" x14ac:dyDescent="0.25">
      <c r="A595" s="170">
        <v>44445</v>
      </c>
      <c r="B595" s="116">
        <v>2366.6999999999998</v>
      </c>
      <c r="C595" s="116">
        <v>2327.65</v>
      </c>
      <c r="D595" s="116">
        <v>2212.5500000000002</v>
      </c>
      <c r="E595" s="116">
        <v>2232</v>
      </c>
      <c r="F595" s="116">
        <v>2327.65</v>
      </c>
      <c r="G595">
        <v>47260</v>
      </c>
      <c r="H595" s="116"/>
      <c r="I595" s="116"/>
      <c r="L595" s="170">
        <v>44445</v>
      </c>
      <c r="M595" s="116">
        <v>2326.6999999999998</v>
      </c>
      <c r="N595" s="116">
        <v>2365.15</v>
      </c>
      <c r="O595" s="116">
        <v>2211.1</v>
      </c>
      <c r="P595" s="116">
        <v>2246</v>
      </c>
      <c r="Q595" s="116">
        <v>2326.6999999999998</v>
      </c>
      <c r="R595">
        <v>1155548</v>
      </c>
    </row>
    <row r="596" spans="1:18" x14ac:dyDescent="0.25">
      <c r="A596" s="170">
        <v>44446</v>
      </c>
      <c r="B596" s="116">
        <v>2502</v>
      </c>
      <c r="C596" s="116">
        <v>2404.4499999999998</v>
      </c>
      <c r="D596" s="116">
        <v>2332.1</v>
      </c>
      <c r="E596" s="116">
        <v>2345</v>
      </c>
      <c r="F596" s="116">
        <v>2404.4499999999998</v>
      </c>
      <c r="G596">
        <v>115696</v>
      </c>
      <c r="H596" s="116"/>
      <c r="I596" s="116"/>
      <c r="L596" s="170">
        <v>44446</v>
      </c>
      <c r="M596" s="116">
        <v>2405.4</v>
      </c>
      <c r="N596" s="116">
        <v>2503</v>
      </c>
      <c r="O596" s="116">
        <v>2332.4499999999998</v>
      </c>
      <c r="P596" s="116">
        <v>2344.4</v>
      </c>
      <c r="Q596" s="116">
        <v>2405.4</v>
      </c>
      <c r="R596">
        <v>2044422</v>
      </c>
    </row>
    <row r="597" spans="1:18" x14ac:dyDescent="0.25">
      <c r="A597" s="170">
        <v>44447</v>
      </c>
      <c r="B597" s="116">
        <v>2454.9</v>
      </c>
      <c r="C597" s="116">
        <v>2403.9</v>
      </c>
      <c r="D597" s="116">
        <v>2387.1</v>
      </c>
      <c r="E597" s="116">
        <v>2418.8000000000002</v>
      </c>
      <c r="F597" s="116">
        <v>2403.9</v>
      </c>
      <c r="G597">
        <v>27926</v>
      </c>
      <c r="H597" s="116"/>
      <c r="I597" s="116"/>
      <c r="L597" s="170">
        <v>44447</v>
      </c>
      <c r="M597" s="116">
        <v>2406.6999999999998</v>
      </c>
      <c r="N597" s="116">
        <v>2450</v>
      </c>
      <c r="O597" s="116">
        <v>2385.0500000000002</v>
      </c>
      <c r="P597" s="116">
        <v>2405</v>
      </c>
      <c r="Q597" s="116">
        <v>2406.6999999999998</v>
      </c>
      <c r="R597">
        <v>696056</v>
      </c>
    </row>
    <row r="598" spans="1:18" x14ac:dyDescent="0.25">
      <c r="A598" s="170">
        <v>44448</v>
      </c>
      <c r="B598" s="116">
        <v>2426.6999999999998</v>
      </c>
      <c r="C598" s="116">
        <v>2383.6</v>
      </c>
      <c r="D598" s="116">
        <v>2359.0500000000002</v>
      </c>
      <c r="E598" s="116">
        <v>2410</v>
      </c>
      <c r="F598" s="116">
        <v>2383.6</v>
      </c>
      <c r="G598">
        <v>24292</v>
      </c>
      <c r="H598" s="116"/>
      <c r="I598" s="116"/>
      <c r="L598" s="170">
        <v>44448</v>
      </c>
      <c r="M598" s="116">
        <v>2384.0500000000002</v>
      </c>
      <c r="N598" s="116">
        <v>2426.1999999999998</v>
      </c>
      <c r="O598" s="116">
        <v>2355.9</v>
      </c>
      <c r="P598" s="116">
        <v>2410</v>
      </c>
      <c r="Q598" s="116">
        <v>2384.0500000000002</v>
      </c>
      <c r="R598">
        <v>500919</v>
      </c>
    </row>
    <row r="599" spans="1:18" x14ac:dyDescent="0.25">
      <c r="A599" s="170">
        <v>44452</v>
      </c>
      <c r="B599" s="116">
        <v>2480.9499999999998</v>
      </c>
      <c r="C599" s="116">
        <v>2440.3000000000002</v>
      </c>
      <c r="D599" s="116">
        <v>2380</v>
      </c>
      <c r="E599" s="116">
        <v>2396.9499999999998</v>
      </c>
      <c r="F599" s="116">
        <v>2440.3000000000002</v>
      </c>
      <c r="G599">
        <v>48703</v>
      </c>
      <c r="H599" s="116"/>
      <c r="I599" s="116"/>
      <c r="L599" s="170">
        <v>44452</v>
      </c>
      <c r="M599" s="116">
        <v>2442.35</v>
      </c>
      <c r="N599" s="116">
        <v>2482</v>
      </c>
      <c r="O599" s="116">
        <v>2376.9499999999998</v>
      </c>
      <c r="P599" s="116">
        <v>2392</v>
      </c>
      <c r="Q599" s="116">
        <v>2442.35</v>
      </c>
      <c r="R599">
        <v>1088121</v>
      </c>
    </row>
    <row r="600" spans="1:18" x14ac:dyDescent="0.25">
      <c r="A600" s="170">
        <v>44453</v>
      </c>
      <c r="B600" s="116">
        <v>2488.65</v>
      </c>
      <c r="C600" s="116">
        <v>2461.3000000000002</v>
      </c>
      <c r="D600" s="116">
        <v>2436.85</v>
      </c>
      <c r="E600" s="116">
        <v>2476</v>
      </c>
      <c r="F600" s="116">
        <v>2461.3000000000002</v>
      </c>
      <c r="G600">
        <v>21692</v>
      </c>
      <c r="H600" s="116"/>
      <c r="I600" s="116"/>
      <c r="L600" s="170">
        <v>44453</v>
      </c>
      <c r="M600" s="116">
        <v>2462.9499999999998</v>
      </c>
      <c r="N600" s="116">
        <v>2489.8000000000002</v>
      </c>
      <c r="O600" s="116">
        <v>2438.1</v>
      </c>
      <c r="P600" s="116">
        <v>2460</v>
      </c>
      <c r="Q600" s="116">
        <v>2462.9499999999998</v>
      </c>
      <c r="R600">
        <v>495313</v>
      </c>
    </row>
    <row r="601" spans="1:18" x14ac:dyDescent="0.25">
      <c r="A601" s="170">
        <v>44454</v>
      </c>
      <c r="B601" s="116">
        <v>2488.65</v>
      </c>
      <c r="C601" s="116">
        <v>2454.0500000000002</v>
      </c>
      <c r="D601" s="116">
        <v>2424</v>
      </c>
      <c r="E601" s="116">
        <v>2477</v>
      </c>
      <c r="F601" s="116">
        <v>2454.0500000000002</v>
      </c>
      <c r="G601">
        <v>79697</v>
      </c>
      <c r="H601" s="116"/>
      <c r="I601" s="116"/>
      <c r="L601" s="170">
        <v>44454</v>
      </c>
      <c r="M601" s="116">
        <v>2452.85</v>
      </c>
      <c r="N601" s="116">
        <v>2488.3000000000002</v>
      </c>
      <c r="O601" s="116">
        <v>2423</v>
      </c>
      <c r="P601" s="116">
        <v>2474</v>
      </c>
      <c r="Q601" s="116">
        <v>2452.85</v>
      </c>
      <c r="R601">
        <v>341663</v>
      </c>
    </row>
    <row r="602" spans="1:18" x14ac:dyDescent="0.25">
      <c r="A602" s="170">
        <v>44455</v>
      </c>
      <c r="B602" s="116">
        <v>2480</v>
      </c>
      <c r="C602" s="116">
        <v>2441.9</v>
      </c>
      <c r="D602" s="116">
        <v>2434</v>
      </c>
      <c r="E602" s="116">
        <v>2443.1</v>
      </c>
      <c r="F602" s="116">
        <v>2441.9</v>
      </c>
      <c r="G602">
        <v>23667</v>
      </c>
      <c r="H602" s="116"/>
      <c r="I602" s="116"/>
      <c r="L602" s="170">
        <v>44455</v>
      </c>
      <c r="M602" s="116">
        <v>2442.3000000000002</v>
      </c>
      <c r="N602" s="116">
        <v>2481.85</v>
      </c>
      <c r="O602" s="116">
        <v>2430</v>
      </c>
      <c r="P602" s="116">
        <v>2451</v>
      </c>
      <c r="Q602" s="116">
        <v>2442.3000000000002</v>
      </c>
      <c r="R602">
        <v>269835</v>
      </c>
    </row>
    <row r="603" spans="1:18" x14ac:dyDescent="0.25">
      <c r="A603" s="170">
        <v>44456</v>
      </c>
      <c r="B603" s="116">
        <v>2573.5500000000002</v>
      </c>
      <c r="C603" s="116">
        <v>2510.25</v>
      </c>
      <c r="D603" s="116">
        <v>2442.65</v>
      </c>
      <c r="E603" s="116">
        <v>2443</v>
      </c>
      <c r="F603" s="116">
        <v>2510.25</v>
      </c>
      <c r="G603">
        <v>62680</v>
      </c>
      <c r="H603" s="116"/>
      <c r="I603" s="116"/>
      <c r="L603" s="170">
        <v>44456</v>
      </c>
      <c r="M603" s="116">
        <v>2505.75</v>
      </c>
      <c r="N603" s="116">
        <v>2573.75</v>
      </c>
      <c r="O603" s="116">
        <v>2442.5</v>
      </c>
      <c r="P603" s="116">
        <v>2455</v>
      </c>
      <c r="Q603" s="116">
        <v>2505.75</v>
      </c>
      <c r="R603">
        <v>2205385</v>
      </c>
    </row>
    <row r="604" spans="1:18" x14ac:dyDescent="0.25">
      <c r="A604" s="170">
        <v>44459</v>
      </c>
      <c r="B604" s="116">
        <v>2625</v>
      </c>
      <c r="C604" s="116">
        <v>2483</v>
      </c>
      <c r="D604" s="116">
        <v>2463</v>
      </c>
      <c r="E604" s="116">
        <v>2525.25</v>
      </c>
      <c r="F604" s="116">
        <v>2483</v>
      </c>
      <c r="G604">
        <v>94284</v>
      </c>
      <c r="H604" s="116"/>
      <c r="I604" s="116"/>
      <c r="L604" s="170">
        <v>44459</v>
      </c>
      <c r="M604" s="116">
        <v>2482.65</v>
      </c>
      <c r="N604" s="116">
        <v>2627</v>
      </c>
      <c r="O604" s="116">
        <v>2462.6999999999998</v>
      </c>
      <c r="P604" s="116">
        <v>2529.8000000000002</v>
      </c>
      <c r="Q604" s="116">
        <v>2482.65</v>
      </c>
      <c r="R604">
        <v>1756303</v>
      </c>
    </row>
    <row r="605" spans="1:18" x14ac:dyDescent="0.25">
      <c r="A605" s="170">
        <v>44460</v>
      </c>
      <c r="B605" s="116">
        <v>2534.1</v>
      </c>
      <c r="C605" s="116">
        <v>2411.9499999999998</v>
      </c>
      <c r="D605" s="116">
        <v>2352</v>
      </c>
      <c r="E605" s="116">
        <v>2509.9</v>
      </c>
      <c r="F605" s="116">
        <v>2411.9499999999998</v>
      </c>
      <c r="G605">
        <v>159262</v>
      </c>
      <c r="H605" s="116"/>
      <c r="I605" s="116"/>
      <c r="L605" s="170">
        <v>44460</v>
      </c>
      <c r="M605" s="116">
        <v>2413.5</v>
      </c>
      <c r="N605" s="116">
        <v>2533.5</v>
      </c>
      <c r="O605" s="116">
        <v>2352</v>
      </c>
      <c r="P605" s="116">
        <v>2503.6</v>
      </c>
      <c r="Q605" s="116">
        <v>2413.5</v>
      </c>
      <c r="R605">
        <v>1181038</v>
      </c>
    </row>
    <row r="606" spans="1:18" x14ac:dyDescent="0.25">
      <c r="A606" s="170">
        <v>44461</v>
      </c>
      <c r="B606" s="116">
        <v>2487.9499999999998</v>
      </c>
      <c r="C606" s="116">
        <v>2402.35</v>
      </c>
      <c r="D606" s="116">
        <v>2370.1</v>
      </c>
      <c r="E606" s="116">
        <v>2450</v>
      </c>
      <c r="F606" s="116">
        <v>2402.35</v>
      </c>
      <c r="G606">
        <v>26520</v>
      </c>
      <c r="H606" s="116"/>
      <c r="I606" s="116"/>
      <c r="L606" s="170">
        <v>44461</v>
      </c>
      <c r="M606" s="116">
        <v>2401.9499999999998</v>
      </c>
      <c r="N606" s="116">
        <v>2475.65</v>
      </c>
      <c r="O606" s="116">
        <v>2370</v>
      </c>
      <c r="P606" s="116">
        <v>2449.6999999999998</v>
      </c>
      <c r="Q606" s="116">
        <v>2401.9499999999998</v>
      </c>
      <c r="R606">
        <v>705246</v>
      </c>
    </row>
    <row r="607" spans="1:18" x14ac:dyDescent="0.25">
      <c r="A607" s="170">
        <v>44462</v>
      </c>
      <c r="B607" s="116">
        <v>2458.0500000000002</v>
      </c>
      <c r="C607" s="116">
        <v>2425.6999999999998</v>
      </c>
      <c r="D607" s="116">
        <v>2412.35</v>
      </c>
      <c r="E607" s="116">
        <v>2412.35</v>
      </c>
      <c r="F607" s="116">
        <v>2425.6999999999998</v>
      </c>
      <c r="G607">
        <v>36016</v>
      </c>
      <c r="H607" s="116"/>
      <c r="I607" s="116"/>
      <c r="L607" s="170">
        <v>44462</v>
      </c>
      <c r="M607" s="116">
        <v>2426.65</v>
      </c>
      <c r="N607" s="116">
        <v>2457</v>
      </c>
      <c r="O607" s="116">
        <v>2413.35</v>
      </c>
      <c r="P607" s="116">
        <v>2423.6999999999998</v>
      </c>
      <c r="Q607" s="116">
        <v>2426.65</v>
      </c>
      <c r="R607">
        <v>370665</v>
      </c>
    </row>
    <row r="608" spans="1:18" x14ac:dyDescent="0.25">
      <c r="A608" s="170">
        <v>44463</v>
      </c>
      <c r="B608" s="116">
        <v>2446.5</v>
      </c>
      <c r="C608" s="116">
        <v>2409.4</v>
      </c>
      <c r="D608" s="116">
        <v>2383.15</v>
      </c>
      <c r="E608" s="116">
        <v>2435</v>
      </c>
      <c r="F608" s="116">
        <v>2409.4</v>
      </c>
      <c r="G608">
        <v>13653</v>
      </c>
      <c r="H608" s="116"/>
      <c r="I608" s="116"/>
      <c r="L608" s="170">
        <v>44463</v>
      </c>
      <c r="M608" s="116">
        <v>2409.65</v>
      </c>
      <c r="N608" s="116">
        <v>2447.6999999999998</v>
      </c>
      <c r="O608" s="116">
        <v>2383</v>
      </c>
      <c r="P608" s="116">
        <v>2442</v>
      </c>
      <c r="Q608" s="116">
        <v>2409.65</v>
      </c>
      <c r="R608">
        <v>336516</v>
      </c>
    </row>
    <row r="609" spans="1:18" x14ac:dyDescent="0.25">
      <c r="A609" s="170">
        <v>44466</v>
      </c>
      <c r="B609" s="116">
        <v>2425.9499999999998</v>
      </c>
      <c r="C609" s="116">
        <v>2375.9499999999998</v>
      </c>
      <c r="D609" s="116">
        <v>2362</v>
      </c>
      <c r="E609" s="116">
        <v>2415</v>
      </c>
      <c r="F609" s="116">
        <v>2375.9499999999998</v>
      </c>
      <c r="G609">
        <v>13997</v>
      </c>
      <c r="H609" s="116"/>
      <c r="I609" s="116"/>
      <c r="L609" s="170">
        <v>44466</v>
      </c>
      <c r="M609" s="116">
        <v>2375.9499999999998</v>
      </c>
      <c r="N609" s="116">
        <v>2427</v>
      </c>
      <c r="O609" s="116">
        <v>2360.0500000000002</v>
      </c>
      <c r="P609" s="116">
        <v>2427</v>
      </c>
      <c r="Q609" s="116">
        <v>2375.9499999999998</v>
      </c>
      <c r="R609">
        <v>309964</v>
      </c>
    </row>
    <row r="610" spans="1:18" x14ac:dyDescent="0.25">
      <c r="A610" s="170">
        <v>44467</v>
      </c>
      <c r="B610" s="116">
        <v>2403.0500000000002</v>
      </c>
      <c r="C610" s="116">
        <v>2349</v>
      </c>
      <c r="D610" s="116">
        <v>2322.0500000000002</v>
      </c>
      <c r="E610" s="116">
        <v>2375</v>
      </c>
      <c r="F610" s="116">
        <v>2349</v>
      </c>
      <c r="G610">
        <v>36858</v>
      </c>
      <c r="H610" s="116"/>
      <c r="I610" s="116"/>
      <c r="L610" s="170">
        <v>44467</v>
      </c>
      <c r="M610" s="116">
        <v>2349</v>
      </c>
      <c r="N610" s="116">
        <v>2404.1</v>
      </c>
      <c r="O610" s="116">
        <v>2321</v>
      </c>
      <c r="P610" s="116">
        <v>2383</v>
      </c>
      <c r="Q610" s="116">
        <v>2349</v>
      </c>
      <c r="R610">
        <v>347504</v>
      </c>
    </row>
    <row r="611" spans="1:18" x14ac:dyDescent="0.25">
      <c r="A611" s="170">
        <v>44468</v>
      </c>
      <c r="B611" s="116">
        <v>2355</v>
      </c>
      <c r="C611" s="116">
        <v>2338.9</v>
      </c>
      <c r="D611" s="116">
        <v>2307.8000000000002</v>
      </c>
      <c r="E611" s="116">
        <v>2325</v>
      </c>
      <c r="F611" s="116">
        <v>2338.9</v>
      </c>
      <c r="G611">
        <v>26987</v>
      </c>
      <c r="H611" s="116"/>
      <c r="I611" s="116"/>
      <c r="L611" s="170">
        <v>44468</v>
      </c>
      <c r="M611" s="116">
        <v>2338.0500000000002</v>
      </c>
      <c r="N611" s="116">
        <v>2355</v>
      </c>
      <c r="O611" s="116">
        <v>2305</v>
      </c>
      <c r="P611" s="116">
        <v>2339.9</v>
      </c>
      <c r="Q611" s="116">
        <v>2338.0500000000002</v>
      </c>
      <c r="R611">
        <v>328673</v>
      </c>
    </row>
    <row r="612" spans="1:18" x14ac:dyDescent="0.25">
      <c r="A612" s="170">
        <v>44469</v>
      </c>
      <c r="B612" s="116">
        <v>2422.1999999999998</v>
      </c>
      <c r="C612" s="116">
        <v>2392.4499999999998</v>
      </c>
      <c r="D612" s="116">
        <v>2332.3000000000002</v>
      </c>
      <c r="E612" s="116">
        <v>2338.9</v>
      </c>
      <c r="F612" s="116">
        <v>2392.4499999999998</v>
      </c>
      <c r="G612">
        <v>41747</v>
      </c>
      <c r="H612" s="116"/>
      <c r="I612" s="116"/>
      <c r="L612" s="170">
        <v>44469</v>
      </c>
      <c r="M612" s="116">
        <v>2389</v>
      </c>
      <c r="N612" s="116">
        <v>2424</v>
      </c>
      <c r="O612" s="116">
        <v>2332</v>
      </c>
      <c r="P612" s="116">
        <v>2353.9499999999998</v>
      </c>
      <c r="Q612" s="116">
        <v>2389</v>
      </c>
      <c r="R612">
        <v>571923</v>
      </c>
    </row>
    <row r="613" spans="1:18" x14ac:dyDescent="0.25">
      <c r="A613" s="170">
        <v>44470</v>
      </c>
      <c r="B613" s="116">
        <v>2389.8000000000002</v>
      </c>
      <c r="C613" s="116">
        <v>2348.15</v>
      </c>
      <c r="D613" s="116">
        <v>2333.3000000000002</v>
      </c>
      <c r="E613" s="116">
        <v>2389.8000000000002</v>
      </c>
      <c r="F613" s="116">
        <v>2348.15</v>
      </c>
      <c r="G613">
        <v>21339</v>
      </c>
      <c r="H613" s="116"/>
      <c r="I613" s="116"/>
      <c r="L613" s="170">
        <v>44470</v>
      </c>
      <c r="M613" s="116">
        <v>2346.75</v>
      </c>
      <c r="N613" s="116">
        <v>2387</v>
      </c>
      <c r="O613" s="116">
        <v>2332</v>
      </c>
      <c r="P613" s="116">
        <v>2387</v>
      </c>
      <c r="Q613" s="116">
        <v>2346.75</v>
      </c>
      <c r="R613">
        <v>313918</v>
      </c>
    </row>
    <row r="614" spans="1:18" x14ac:dyDescent="0.25">
      <c r="A614" s="170">
        <v>44473</v>
      </c>
      <c r="B614" s="116">
        <v>2479</v>
      </c>
      <c r="C614" s="116">
        <v>2434.4</v>
      </c>
      <c r="D614" s="116">
        <v>2351.6</v>
      </c>
      <c r="E614" s="116">
        <v>2351.6</v>
      </c>
      <c r="F614" s="116">
        <v>2434.4</v>
      </c>
      <c r="G614">
        <v>83992</v>
      </c>
      <c r="H614" s="116"/>
      <c r="I614" s="116"/>
      <c r="L614" s="170">
        <v>44473</v>
      </c>
      <c r="M614" s="116">
        <v>2435.6</v>
      </c>
      <c r="N614" s="116">
        <v>2479.1999999999998</v>
      </c>
      <c r="O614" s="116">
        <v>2358</v>
      </c>
      <c r="P614" s="116">
        <v>2358.8000000000002</v>
      </c>
      <c r="Q614" s="116">
        <v>2435.6</v>
      </c>
      <c r="R614">
        <v>897779</v>
      </c>
    </row>
    <row r="615" spans="1:18" x14ac:dyDescent="0.25">
      <c r="A615" s="170">
        <v>44474</v>
      </c>
      <c r="B615" s="116">
        <v>2467.1</v>
      </c>
      <c r="C615" s="116">
        <v>2448.5</v>
      </c>
      <c r="D615" s="116">
        <v>2411.1</v>
      </c>
      <c r="E615" s="116">
        <v>2450</v>
      </c>
      <c r="F615" s="116">
        <v>2448.5</v>
      </c>
      <c r="G615">
        <v>17994</v>
      </c>
      <c r="H615" s="116"/>
      <c r="I615" s="116"/>
      <c r="L615" s="170">
        <v>44474</v>
      </c>
      <c r="M615" s="116">
        <v>2449.1999999999998</v>
      </c>
      <c r="N615" s="116">
        <v>2469.65</v>
      </c>
      <c r="O615" s="116">
        <v>2410.25</v>
      </c>
      <c r="P615" s="116">
        <v>2452</v>
      </c>
      <c r="Q615" s="116">
        <v>2449.1999999999998</v>
      </c>
      <c r="R615">
        <v>440162</v>
      </c>
    </row>
    <row r="616" spans="1:18" x14ac:dyDescent="0.25">
      <c r="A616" s="170">
        <v>44475</v>
      </c>
      <c r="B616" s="116">
        <v>2518</v>
      </c>
      <c r="C616" s="116">
        <v>2378.0500000000002</v>
      </c>
      <c r="D616" s="116">
        <v>2350.35</v>
      </c>
      <c r="E616" s="116">
        <v>2445</v>
      </c>
      <c r="F616" s="116">
        <v>2378.0500000000002</v>
      </c>
      <c r="G616">
        <v>98590</v>
      </c>
      <c r="H616" s="116"/>
      <c r="I616" s="116"/>
      <c r="L616" s="170">
        <v>44475</v>
      </c>
      <c r="M616" s="116">
        <v>2375.75</v>
      </c>
      <c r="N616" s="116">
        <v>2519</v>
      </c>
      <c r="O616" s="116">
        <v>2350</v>
      </c>
      <c r="P616" s="116">
        <v>2459.8000000000002</v>
      </c>
      <c r="Q616" s="116">
        <v>2375.75</v>
      </c>
      <c r="R616">
        <v>943797</v>
      </c>
    </row>
    <row r="617" spans="1:18" x14ac:dyDescent="0.25">
      <c r="A617" s="170">
        <v>44476</v>
      </c>
      <c r="B617" s="116">
        <v>2444</v>
      </c>
      <c r="C617" s="116">
        <v>2420.15</v>
      </c>
      <c r="D617" s="116">
        <v>2392</v>
      </c>
      <c r="E617" s="116">
        <v>2419</v>
      </c>
      <c r="F617" s="116">
        <v>2420.15</v>
      </c>
      <c r="G617">
        <v>25202</v>
      </c>
      <c r="H617" s="116"/>
      <c r="I617" s="116"/>
      <c r="L617" s="170">
        <v>44476</v>
      </c>
      <c r="M617" s="116">
        <v>2419.65</v>
      </c>
      <c r="N617" s="116">
        <v>2448.9499999999998</v>
      </c>
      <c r="O617" s="116">
        <v>2392.3000000000002</v>
      </c>
      <c r="P617" s="116">
        <v>2414</v>
      </c>
      <c r="Q617" s="116">
        <v>2419.65</v>
      </c>
      <c r="R617">
        <v>303313</v>
      </c>
    </row>
    <row r="618" spans="1:18" x14ac:dyDescent="0.25">
      <c r="A618" s="170">
        <v>44477</v>
      </c>
      <c r="B618" s="116">
        <v>2610</v>
      </c>
      <c r="C618" s="116">
        <v>2529.1</v>
      </c>
      <c r="D618" s="116">
        <v>2440.0500000000002</v>
      </c>
      <c r="E618" s="116">
        <v>2440.0500000000002</v>
      </c>
      <c r="F618" s="116">
        <v>2529.1</v>
      </c>
      <c r="G618">
        <v>147296</v>
      </c>
      <c r="H618" s="116"/>
      <c r="I618" s="116"/>
      <c r="L618" s="170">
        <v>44477</v>
      </c>
      <c r="M618" s="116">
        <v>2529.8000000000002</v>
      </c>
      <c r="N618" s="116">
        <v>2609.9</v>
      </c>
      <c r="O618" s="116">
        <v>2441.35</v>
      </c>
      <c r="P618" s="116">
        <v>2446.1999999999998</v>
      </c>
      <c r="Q618" s="116">
        <v>2529.8000000000002</v>
      </c>
      <c r="R618">
        <v>2240290</v>
      </c>
    </row>
    <row r="619" spans="1:18" x14ac:dyDescent="0.25">
      <c r="A619" s="170">
        <v>44480</v>
      </c>
      <c r="B619" s="116">
        <v>2647.4</v>
      </c>
      <c r="C619" s="116">
        <v>2533.9</v>
      </c>
      <c r="D619" s="116">
        <v>2491</v>
      </c>
      <c r="E619" s="116">
        <v>2550</v>
      </c>
      <c r="F619" s="116">
        <v>2533.9</v>
      </c>
      <c r="G619">
        <v>58302</v>
      </c>
      <c r="H619" s="116"/>
      <c r="I619" s="116"/>
      <c r="L619" s="170">
        <v>44480</v>
      </c>
      <c r="M619" s="116">
        <v>2536.0500000000002</v>
      </c>
      <c r="N619" s="116">
        <v>2648</v>
      </c>
      <c r="O619" s="116">
        <v>2490</v>
      </c>
      <c r="P619" s="116">
        <v>2540</v>
      </c>
      <c r="Q619" s="116">
        <v>2536.0500000000002</v>
      </c>
      <c r="R619">
        <v>1039290</v>
      </c>
    </row>
    <row r="620" spans="1:18" x14ac:dyDescent="0.25">
      <c r="A620" s="170">
        <v>44481</v>
      </c>
      <c r="B620" s="116">
        <v>2589.75</v>
      </c>
      <c r="C620" s="116">
        <v>2553.8000000000002</v>
      </c>
      <c r="D620" s="116">
        <v>2497</v>
      </c>
      <c r="E620" s="116">
        <v>2541.5</v>
      </c>
      <c r="F620" s="116">
        <v>2553.8000000000002</v>
      </c>
      <c r="G620">
        <v>26913</v>
      </c>
      <c r="H620" s="116"/>
      <c r="I620" s="116"/>
      <c r="L620" s="170">
        <v>44481</v>
      </c>
      <c r="M620" s="116">
        <v>2554.5500000000002</v>
      </c>
      <c r="N620" s="116">
        <v>2589.8000000000002</v>
      </c>
      <c r="O620" s="116">
        <v>2495.75</v>
      </c>
      <c r="P620" s="116">
        <v>2532</v>
      </c>
      <c r="Q620" s="116">
        <v>2554.5500000000002</v>
      </c>
      <c r="R620">
        <v>675128</v>
      </c>
    </row>
    <row r="621" spans="1:18" x14ac:dyDescent="0.25">
      <c r="A621" s="170">
        <v>44482</v>
      </c>
      <c r="B621" s="116">
        <v>2580.1999999999998</v>
      </c>
      <c r="C621" s="116">
        <v>2532.6999999999998</v>
      </c>
      <c r="D621" s="116">
        <v>2507.9499999999998</v>
      </c>
      <c r="E621" s="116">
        <v>2572</v>
      </c>
      <c r="F621" s="116">
        <v>2532.6999999999998</v>
      </c>
      <c r="G621">
        <v>42202</v>
      </c>
      <c r="H621" s="116"/>
      <c r="I621" s="116"/>
      <c r="L621" s="170">
        <v>44482</v>
      </c>
      <c r="M621" s="116">
        <v>2533.1999999999998</v>
      </c>
      <c r="N621" s="116">
        <v>2578.9</v>
      </c>
      <c r="O621" s="116">
        <v>2506</v>
      </c>
      <c r="P621" s="116">
        <v>2577</v>
      </c>
      <c r="Q621" s="116">
        <v>2533.1999999999998</v>
      </c>
      <c r="R621">
        <v>437183</v>
      </c>
    </row>
    <row r="622" spans="1:18" x14ac:dyDescent="0.25">
      <c r="A622" s="170">
        <v>44483</v>
      </c>
      <c r="B622" s="116">
        <v>2609.65</v>
      </c>
      <c r="C622" s="116">
        <v>2563.5</v>
      </c>
      <c r="D622" s="116">
        <v>2538</v>
      </c>
      <c r="E622" s="116">
        <v>2562</v>
      </c>
      <c r="F622" s="116">
        <v>2563.5</v>
      </c>
      <c r="G622">
        <v>25543</v>
      </c>
      <c r="H622" s="116"/>
      <c r="I622" s="116"/>
      <c r="L622" s="170">
        <v>44483</v>
      </c>
      <c r="M622" s="116">
        <v>2563.15</v>
      </c>
      <c r="N622" s="116">
        <v>2610</v>
      </c>
      <c r="O622" s="116">
        <v>2536</v>
      </c>
      <c r="P622" s="116">
        <v>2559</v>
      </c>
      <c r="Q622" s="116">
        <v>2563.15</v>
      </c>
      <c r="R622">
        <v>524489</v>
      </c>
    </row>
    <row r="623" spans="1:18" x14ac:dyDescent="0.25">
      <c r="A623" s="170">
        <v>44487</v>
      </c>
      <c r="B623" s="116">
        <v>2618.75</v>
      </c>
      <c r="C623" s="116">
        <v>2487.3000000000002</v>
      </c>
      <c r="D623" s="116">
        <v>2467.0500000000002</v>
      </c>
      <c r="E623" s="116">
        <v>2579</v>
      </c>
      <c r="F623" s="116">
        <v>2487.3000000000002</v>
      </c>
      <c r="G623">
        <v>59478</v>
      </c>
      <c r="H623" s="116"/>
      <c r="I623" s="116"/>
      <c r="L623" s="170">
        <v>44487</v>
      </c>
      <c r="M623" s="116">
        <v>2486</v>
      </c>
      <c r="N623" s="116">
        <v>2619.4499999999998</v>
      </c>
      <c r="O623" s="116">
        <v>2466</v>
      </c>
      <c r="P623" s="116">
        <v>2585</v>
      </c>
      <c r="Q623" s="116">
        <v>2486</v>
      </c>
      <c r="R623">
        <v>938163</v>
      </c>
    </row>
    <row r="624" spans="1:18" x14ac:dyDescent="0.25">
      <c r="A624" s="170">
        <v>44488</v>
      </c>
      <c r="B624" s="116">
        <v>2520</v>
      </c>
      <c r="C624" s="116">
        <v>2375.6</v>
      </c>
      <c r="D624" s="116">
        <v>2360</v>
      </c>
      <c r="E624" s="116">
        <v>2520</v>
      </c>
      <c r="F624" s="116">
        <v>2375.6</v>
      </c>
      <c r="G624">
        <v>72343</v>
      </c>
      <c r="H624" s="116"/>
      <c r="I624" s="116"/>
      <c r="L624" s="170">
        <v>44488</v>
      </c>
      <c r="M624" s="116">
        <v>2373.4499999999998</v>
      </c>
      <c r="N624" s="116">
        <v>2521</v>
      </c>
      <c r="O624" s="116">
        <v>2360.1</v>
      </c>
      <c r="P624" s="116">
        <v>2521</v>
      </c>
      <c r="Q624" s="116">
        <v>2373.4499999999998</v>
      </c>
      <c r="R624">
        <v>966581</v>
      </c>
    </row>
    <row r="625" spans="1:18" x14ac:dyDescent="0.25">
      <c r="A625" s="170">
        <v>44489</v>
      </c>
      <c r="B625" s="116">
        <v>2399.35</v>
      </c>
      <c r="C625" s="116">
        <v>2297.65</v>
      </c>
      <c r="D625" s="116">
        <v>2261.0500000000002</v>
      </c>
      <c r="E625" s="116">
        <v>2377</v>
      </c>
      <c r="F625" s="116">
        <v>2297.65</v>
      </c>
      <c r="G625">
        <v>68021</v>
      </c>
      <c r="H625" s="116"/>
      <c r="I625" s="116"/>
      <c r="L625" s="170">
        <v>44489</v>
      </c>
      <c r="M625" s="116">
        <v>2294.15</v>
      </c>
      <c r="N625" s="116">
        <v>2399.85</v>
      </c>
      <c r="O625" s="116">
        <v>2260.0500000000002</v>
      </c>
      <c r="P625" s="116">
        <v>2389.9</v>
      </c>
      <c r="Q625" s="116">
        <v>2294.15</v>
      </c>
      <c r="R625">
        <v>808017</v>
      </c>
    </row>
    <row r="626" spans="1:18" x14ac:dyDescent="0.25">
      <c r="A626" s="170">
        <v>44490</v>
      </c>
      <c r="B626" s="116">
        <v>2320</v>
      </c>
      <c r="C626" s="116">
        <v>2223.8000000000002</v>
      </c>
      <c r="D626" s="116">
        <v>2140.65</v>
      </c>
      <c r="E626" s="116">
        <v>2283.9</v>
      </c>
      <c r="F626" s="116">
        <v>2223.8000000000002</v>
      </c>
      <c r="G626">
        <v>108459</v>
      </c>
      <c r="H626" s="116"/>
      <c r="I626" s="116"/>
      <c r="L626" s="170">
        <v>44490</v>
      </c>
      <c r="M626" s="116">
        <v>2221.1</v>
      </c>
      <c r="N626" s="116">
        <v>2303.35</v>
      </c>
      <c r="O626" s="116">
        <v>2140</v>
      </c>
      <c r="P626" s="116">
        <v>2300.3000000000002</v>
      </c>
      <c r="Q626" s="116">
        <v>2221.1</v>
      </c>
      <c r="R626">
        <v>1340525</v>
      </c>
    </row>
    <row r="627" spans="1:18" x14ac:dyDescent="0.25">
      <c r="A627" s="170">
        <v>44491</v>
      </c>
      <c r="B627" s="116">
        <v>2317.15</v>
      </c>
      <c r="C627" s="116">
        <v>2262.85</v>
      </c>
      <c r="D627" s="116">
        <v>2123</v>
      </c>
      <c r="E627" s="116">
        <v>2235</v>
      </c>
      <c r="F627" s="116">
        <v>2262.85</v>
      </c>
      <c r="G627">
        <v>145720</v>
      </c>
      <c r="H627" s="116"/>
      <c r="I627" s="116"/>
      <c r="L627" s="170">
        <v>44491</v>
      </c>
      <c r="M627" s="116">
        <v>2258.9499999999998</v>
      </c>
      <c r="N627" s="116">
        <v>2319.15</v>
      </c>
      <c r="O627" s="116">
        <v>2121.1</v>
      </c>
      <c r="P627" s="116">
        <v>2246</v>
      </c>
      <c r="Q627" s="116">
        <v>2258.9499999999998</v>
      </c>
      <c r="R627">
        <v>1953067</v>
      </c>
    </row>
    <row r="628" spans="1:18" x14ac:dyDescent="0.25">
      <c r="A628" s="170">
        <v>44494</v>
      </c>
      <c r="B628" s="116">
        <v>2400</v>
      </c>
      <c r="C628" s="116">
        <v>2338.65</v>
      </c>
      <c r="D628" s="116">
        <v>2228.85</v>
      </c>
      <c r="E628" s="116">
        <v>2260.15</v>
      </c>
      <c r="F628" s="116">
        <v>2338.65</v>
      </c>
      <c r="G628">
        <v>103452</v>
      </c>
      <c r="H628" s="116"/>
      <c r="I628" s="116"/>
      <c r="L628" s="170">
        <v>44494</v>
      </c>
      <c r="M628" s="116">
        <v>2337.6</v>
      </c>
      <c r="N628" s="116">
        <v>2399.75</v>
      </c>
      <c r="O628" s="116">
        <v>2230</v>
      </c>
      <c r="P628" s="116">
        <v>2268</v>
      </c>
      <c r="Q628" s="116">
        <v>2337.6</v>
      </c>
      <c r="R628">
        <v>1601768</v>
      </c>
    </row>
    <row r="629" spans="1:18" x14ac:dyDescent="0.25">
      <c r="A629" s="170">
        <v>44495</v>
      </c>
      <c r="B629" s="116">
        <v>2373.8000000000002</v>
      </c>
      <c r="C629" s="116">
        <v>2298.3000000000002</v>
      </c>
      <c r="D629" s="116">
        <v>2289.3000000000002</v>
      </c>
      <c r="E629" s="116">
        <v>2345</v>
      </c>
      <c r="F629" s="116">
        <v>2298.3000000000002</v>
      </c>
      <c r="G629">
        <v>35397</v>
      </c>
      <c r="H629" s="116"/>
      <c r="I629" s="116"/>
      <c r="L629" s="170">
        <v>44495</v>
      </c>
      <c r="M629" s="116">
        <v>2298.6999999999998</v>
      </c>
      <c r="N629" s="116">
        <v>2373.8000000000002</v>
      </c>
      <c r="O629" s="116">
        <v>2292.1</v>
      </c>
      <c r="P629" s="116">
        <v>2344</v>
      </c>
      <c r="Q629" s="116">
        <v>2298.6999999999998</v>
      </c>
      <c r="R629">
        <v>454181</v>
      </c>
    </row>
    <row r="630" spans="1:18" x14ac:dyDescent="0.25">
      <c r="A630" s="170">
        <v>44496</v>
      </c>
      <c r="B630" s="116">
        <v>2335</v>
      </c>
      <c r="C630" s="116">
        <v>2289.15</v>
      </c>
      <c r="D630" s="116">
        <v>2273.4</v>
      </c>
      <c r="E630" s="116">
        <v>2335</v>
      </c>
      <c r="F630" s="116">
        <v>2289.15</v>
      </c>
      <c r="G630">
        <v>15260</v>
      </c>
      <c r="H630" s="116"/>
      <c r="I630" s="116"/>
      <c r="L630" s="170">
        <v>44496</v>
      </c>
      <c r="M630" s="116">
        <v>2288.1</v>
      </c>
      <c r="N630" s="116">
        <v>2320</v>
      </c>
      <c r="O630" s="116">
        <v>2273</v>
      </c>
      <c r="P630" s="116">
        <v>2319.9499999999998</v>
      </c>
      <c r="Q630" s="116">
        <v>2288.1</v>
      </c>
      <c r="R630">
        <v>303551</v>
      </c>
    </row>
    <row r="631" spans="1:18" x14ac:dyDescent="0.25">
      <c r="A631" s="170">
        <v>44497</v>
      </c>
      <c r="B631" s="116">
        <v>2323.5500000000002</v>
      </c>
      <c r="C631" s="116">
        <v>2270.6</v>
      </c>
      <c r="D631" s="116">
        <v>2260.1999999999998</v>
      </c>
      <c r="E631" s="116">
        <v>2310</v>
      </c>
      <c r="F631" s="116">
        <v>2270.6</v>
      </c>
      <c r="G631">
        <v>28613</v>
      </c>
      <c r="H631" s="116"/>
      <c r="I631" s="116"/>
      <c r="L631" s="170">
        <v>44497</v>
      </c>
      <c r="M631" s="116">
        <v>2269.0500000000002</v>
      </c>
      <c r="N631" s="116">
        <v>2322.6999999999998</v>
      </c>
      <c r="O631" s="116">
        <v>2260</v>
      </c>
      <c r="P631" s="116">
        <v>2306.4</v>
      </c>
      <c r="Q631" s="116">
        <v>2269.0500000000002</v>
      </c>
      <c r="R631">
        <v>298481</v>
      </c>
    </row>
    <row r="632" spans="1:18" x14ac:dyDescent="0.25">
      <c r="A632" s="170">
        <v>44498</v>
      </c>
      <c r="B632" s="116">
        <v>2310</v>
      </c>
      <c r="C632" s="116">
        <v>2262.0500000000002</v>
      </c>
      <c r="D632" s="116">
        <v>2196.4499999999998</v>
      </c>
      <c r="E632" s="116">
        <v>2229.3000000000002</v>
      </c>
      <c r="F632" s="116">
        <v>2262.0500000000002</v>
      </c>
      <c r="G632">
        <v>38316</v>
      </c>
      <c r="H632" s="116"/>
      <c r="I632" s="116"/>
      <c r="L632" s="170">
        <v>44498</v>
      </c>
      <c r="M632" s="116">
        <v>2261.4</v>
      </c>
      <c r="N632" s="116">
        <v>2311.25</v>
      </c>
      <c r="O632" s="116">
        <v>2196.4</v>
      </c>
      <c r="P632" s="116">
        <v>2240</v>
      </c>
      <c r="Q632" s="116">
        <v>2261.4</v>
      </c>
      <c r="R632">
        <v>366948</v>
      </c>
    </row>
    <row r="633" spans="1:18" x14ac:dyDescent="0.25">
      <c r="A633" s="170">
        <v>44501</v>
      </c>
      <c r="B633" s="116">
        <v>2345</v>
      </c>
      <c r="C633" s="116">
        <v>2332.75</v>
      </c>
      <c r="D633" s="116">
        <v>2275</v>
      </c>
      <c r="E633" s="116">
        <v>2275</v>
      </c>
      <c r="F633" s="116">
        <v>2332.75</v>
      </c>
      <c r="G633">
        <v>28358</v>
      </c>
      <c r="H633" s="116"/>
      <c r="I633" s="116"/>
      <c r="L633" s="170">
        <v>44501</v>
      </c>
      <c r="M633" s="116">
        <v>2332.3000000000002</v>
      </c>
      <c r="N633" s="116">
        <v>2345</v>
      </c>
      <c r="O633" s="116">
        <v>2280</v>
      </c>
      <c r="P633" s="116">
        <v>2280</v>
      </c>
      <c r="Q633" s="116">
        <v>2332.3000000000002</v>
      </c>
      <c r="R633">
        <v>348745</v>
      </c>
    </row>
    <row r="634" spans="1:18" x14ac:dyDescent="0.25">
      <c r="A634" s="170">
        <v>44502</v>
      </c>
      <c r="B634" s="116">
        <v>2410.15</v>
      </c>
      <c r="C634" s="116">
        <v>2370.3000000000002</v>
      </c>
      <c r="D634" s="116">
        <v>2348</v>
      </c>
      <c r="E634" s="116">
        <v>2350</v>
      </c>
      <c r="F634" s="116">
        <v>2370.3000000000002</v>
      </c>
      <c r="G634">
        <v>51292</v>
      </c>
      <c r="H634" s="116"/>
      <c r="I634" s="116"/>
      <c r="L634" s="170">
        <v>44502</v>
      </c>
      <c r="M634" s="116">
        <v>2370.85</v>
      </c>
      <c r="N634" s="116">
        <v>2410</v>
      </c>
      <c r="O634" s="116">
        <v>2345.0500000000002</v>
      </c>
      <c r="P634" s="116">
        <v>2346</v>
      </c>
      <c r="Q634" s="116">
        <v>2370.85</v>
      </c>
      <c r="R634">
        <v>486594</v>
      </c>
    </row>
    <row r="635" spans="1:18" x14ac:dyDescent="0.25">
      <c r="A635" s="170">
        <v>44503</v>
      </c>
      <c r="B635" s="116">
        <v>2404</v>
      </c>
      <c r="C635" s="116">
        <v>2337.6999999999998</v>
      </c>
      <c r="D635" s="116">
        <v>2319</v>
      </c>
      <c r="E635" s="116">
        <v>2404</v>
      </c>
      <c r="F635" s="116">
        <v>2337.6999999999998</v>
      </c>
      <c r="G635">
        <v>8296</v>
      </c>
      <c r="H635" s="116"/>
      <c r="I635" s="116"/>
      <c r="L635" s="170">
        <v>44503</v>
      </c>
      <c r="M635" s="116">
        <v>2337.5500000000002</v>
      </c>
      <c r="N635" s="116">
        <v>2390</v>
      </c>
      <c r="O635" s="116">
        <v>2318.15</v>
      </c>
      <c r="P635" s="116">
        <v>2390</v>
      </c>
      <c r="Q635" s="116">
        <v>2337.5500000000002</v>
      </c>
      <c r="R635">
        <v>245311</v>
      </c>
    </row>
    <row r="636" spans="1:18" x14ac:dyDescent="0.25">
      <c r="A636" s="170">
        <v>44504</v>
      </c>
      <c r="B636" s="116">
        <v>2402</v>
      </c>
      <c r="C636" s="116">
        <v>2391.35</v>
      </c>
      <c r="D636" s="116">
        <v>2350.0500000000002</v>
      </c>
      <c r="E636" s="116">
        <v>2373.9499999999998</v>
      </c>
      <c r="F636" s="116">
        <v>2391.35</v>
      </c>
      <c r="G636">
        <v>22870</v>
      </c>
      <c r="H636" s="116"/>
      <c r="I636" s="116"/>
      <c r="L636" s="170">
        <v>44504</v>
      </c>
      <c r="M636" s="116">
        <v>2392.4499999999998</v>
      </c>
      <c r="N636" s="116">
        <v>2405</v>
      </c>
      <c r="O636" s="116">
        <v>2350.1</v>
      </c>
      <c r="P636" s="116">
        <v>2358.15</v>
      </c>
      <c r="Q636" s="116">
        <v>2392.4499999999998</v>
      </c>
      <c r="R636">
        <v>134203</v>
      </c>
    </row>
    <row r="637" spans="1:18" x14ac:dyDescent="0.25">
      <c r="A637" s="170">
        <v>44508</v>
      </c>
      <c r="B637" s="116">
        <v>2408</v>
      </c>
      <c r="C637" s="116">
        <v>2378.3000000000002</v>
      </c>
      <c r="D637" s="116">
        <v>2320</v>
      </c>
      <c r="E637" s="116">
        <v>2400</v>
      </c>
      <c r="F637" s="116">
        <v>2378.3000000000002</v>
      </c>
      <c r="G637">
        <v>89560</v>
      </c>
      <c r="H637" s="116"/>
      <c r="I637" s="116"/>
      <c r="L637" s="170">
        <v>44508</v>
      </c>
      <c r="M637" s="116">
        <v>2378</v>
      </c>
      <c r="N637" s="116">
        <v>2409</v>
      </c>
      <c r="O637" s="116">
        <v>2318.1999999999998</v>
      </c>
      <c r="P637" s="116">
        <v>2409</v>
      </c>
      <c r="Q637" s="116">
        <v>2378</v>
      </c>
      <c r="R637">
        <v>672544</v>
      </c>
    </row>
    <row r="638" spans="1:18" x14ac:dyDescent="0.25">
      <c r="A638" s="170">
        <v>44509</v>
      </c>
      <c r="B638" s="116">
        <v>2496.4499999999998</v>
      </c>
      <c r="C638" s="116">
        <v>2477</v>
      </c>
      <c r="D638" s="116">
        <v>2365.6999999999998</v>
      </c>
      <c r="E638" s="116">
        <v>2386.6</v>
      </c>
      <c r="F638" s="116">
        <v>2477</v>
      </c>
      <c r="G638">
        <v>128145</v>
      </c>
      <c r="H638" s="116"/>
      <c r="I638" s="116"/>
      <c r="L638" s="170">
        <v>44509</v>
      </c>
      <c r="M638" s="116">
        <v>2473.1</v>
      </c>
      <c r="N638" s="116">
        <v>2480</v>
      </c>
      <c r="O638" s="116">
        <v>2366.5</v>
      </c>
      <c r="P638" s="116">
        <v>2370</v>
      </c>
      <c r="Q638" s="116">
        <v>2473.1</v>
      </c>
      <c r="R638">
        <v>798194</v>
      </c>
    </row>
    <row r="639" spans="1:18" x14ac:dyDescent="0.25">
      <c r="A639" s="170">
        <v>44510</v>
      </c>
      <c r="B639" s="116">
        <v>2498.9499999999998</v>
      </c>
      <c r="C639" s="116">
        <v>2477.1999999999998</v>
      </c>
      <c r="D639" s="116">
        <v>2446.8000000000002</v>
      </c>
      <c r="E639" s="116">
        <v>2477</v>
      </c>
      <c r="F639" s="116">
        <v>2477.1999999999998</v>
      </c>
      <c r="G639">
        <v>52371</v>
      </c>
      <c r="H639" s="116"/>
      <c r="I639" s="116"/>
      <c r="L639" s="170">
        <v>44510</v>
      </c>
      <c r="M639" s="116">
        <v>2477.1</v>
      </c>
      <c r="N639" s="116">
        <v>2499</v>
      </c>
      <c r="O639" s="116">
        <v>2448</v>
      </c>
      <c r="P639" s="116">
        <v>2470</v>
      </c>
      <c r="Q639" s="116">
        <v>2477.1</v>
      </c>
      <c r="R639">
        <v>324456</v>
      </c>
    </row>
    <row r="640" spans="1:18" x14ac:dyDescent="0.25">
      <c r="A640" s="170">
        <v>44511</v>
      </c>
      <c r="B640" s="116">
        <v>2514.85</v>
      </c>
      <c r="C640" s="116">
        <v>2498.1999999999998</v>
      </c>
      <c r="D640" s="116">
        <v>2458.6999999999998</v>
      </c>
      <c r="E640" s="116">
        <v>2477</v>
      </c>
      <c r="F640" s="116">
        <v>2498.1999999999998</v>
      </c>
      <c r="G640">
        <v>73978</v>
      </c>
      <c r="H640" s="116"/>
      <c r="I640" s="116"/>
      <c r="L640" s="170">
        <v>44511</v>
      </c>
      <c r="M640" s="116">
        <v>2499.4</v>
      </c>
      <c r="N640" s="116">
        <v>2515.9499999999998</v>
      </c>
      <c r="O640" s="116">
        <v>2459</v>
      </c>
      <c r="P640" s="116">
        <v>2474</v>
      </c>
      <c r="Q640" s="116">
        <v>2499.4</v>
      </c>
      <c r="R640">
        <v>434325</v>
      </c>
    </row>
    <row r="641" spans="1:18" x14ac:dyDescent="0.25">
      <c r="A641" s="170">
        <v>44512</v>
      </c>
      <c r="B641" s="116">
        <v>2523</v>
      </c>
      <c r="C641" s="116">
        <v>2516.35</v>
      </c>
      <c r="D641" s="116">
        <v>2479.35</v>
      </c>
      <c r="E641" s="116">
        <v>2510</v>
      </c>
      <c r="F641" s="116">
        <v>2516.35</v>
      </c>
      <c r="G641">
        <v>10857</v>
      </c>
      <c r="H641" s="116"/>
      <c r="I641" s="116"/>
      <c r="L641" s="170">
        <v>44512</v>
      </c>
      <c r="M641" s="116">
        <v>2517.4499999999998</v>
      </c>
      <c r="N641" s="116">
        <v>2523</v>
      </c>
      <c r="O641" s="116">
        <v>2479.85</v>
      </c>
      <c r="P641" s="116">
        <v>2514</v>
      </c>
      <c r="Q641" s="116">
        <v>2517.4499999999998</v>
      </c>
      <c r="R641">
        <v>252131</v>
      </c>
    </row>
    <row r="642" spans="1:18" x14ac:dyDescent="0.25">
      <c r="A642" s="170">
        <v>44515</v>
      </c>
      <c r="B642" s="116">
        <v>2544</v>
      </c>
      <c r="C642" s="116">
        <v>2518.9499999999998</v>
      </c>
      <c r="D642" s="116">
        <v>2498.4499999999998</v>
      </c>
      <c r="E642" s="116">
        <v>2544</v>
      </c>
      <c r="F642" s="116">
        <v>2518.9499999999998</v>
      </c>
      <c r="G642">
        <v>34964</v>
      </c>
      <c r="H642" s="116"/>
      <c r="I642" s="116"/>
      <c r="L642" s="170">
        <v>44515</v>
      </c>
      <c r="M642" s="116">
        <v>2521.25</v>
      </c>
      <c r="N642" s="116">
        <v>2535</v>
      </c>
      <c r="O642" s="116">
        <v>2495.0500000000002</v>
      </c>
      <c r="P642" s="116">
        <v>2535</v>
      </c>
      <c r="Q642" s="116">
        <v>2521.25</v>
      </c>
      <c r="R642">
        <v>301253</v>
      </c>
    </row>
    <row r="643" spans="1:18" x14ac:dyDescent="0.25">
      <c r="A643" s="170">
        <v>44516</v>
      </c>
      <c r="B643" s="116">
        <v>2541.1</v>
      </c>
      <c r="C643" s="116">
        <v>2533.9499999999998</v>
      </c>
      <c r="D643" s="116">
        <v>2511.9499999999998</v>
      </c>
      <c r="E643" s="116">
        <v>2539.9</v>
      </c>
      <c r="F643" s="116">
        <v>2533.9499999999998</v>
      </c>
      <c r="G643">
        <v>6358</v>
      </c>
      <c r="H643" s="116"/>
      <c r="I643" s="116"/>
      <c r="L643" s="170">
        <v>44516</v>
      </c>
      <c r="M643" s="116">
        <v>2532.5</v>
      </c>
      <c r="N643" s="116">
        <v>2540.75</v>
      </c>
      <c r="O643" s="116">
        <v>2510.6999999999998</v>
      </c>
      <c r="P643" s="116">
        <v>2525</v>
      </c>
      <c r="Q643" s="116">
        <v>2532.5</v>
      </c>
      <c r="R643">
        <v>199472</v>
      </c>
    </row>
    <row r="644" spans="1:18" x14ac:dyDescent="0.25">
      <c r="A644" s="170">
        <v>44517</v>
      </c>
      <c r="B644" s="116">
        <v>2543.9499999999998</v>
      </c>
      <c r="C644" s="116">
        <v>2502.1</v>
      </c>
      <c r="D644" s="116">
        <v>2482.85</v>
      </c>
      <c r="E644" s="116">
        <v>2520.0500000000002</v>
      </c>
      <c r="F644" s="116">
        <v>2502.1</v>
      </c>
      <c r="G644">
        <v>21933</v>
      </c>
      <c r="H644" s="116"/>
      <c r="I644" s="116"/>
      <c r="L644" s="170">
        <v>44517</v>
      </c>
      <c r="M644" s="116">
        <v>2502.0500000000002</v>
      </c>
      <c r="N644" s="116">
        <v>2543.85</v>
      </c>
      <c r="O644" s="116">
        <v>2483.35</v>
      </c>
      <c r="P644" s="116">
        <v>2525</v>
      </c>
      <c r="Q644" s="116">
        <v>2502.0500000000002</v>
      </c>
      <c r="R644">
        <v>251932</v>
      </c>
    </row>
    <row r="645" spans="1:18" x14ac:dyDescent="0.25">
      <c r="A645" s="170">
        <v>44518</v>
      </c>
      <c r="B645" s="116">
        <v>2509.15</v>
      </c>
      <c r="C645" s="116">
        <v>2492.6999999999998</v>
      </c>
      <c r="D645" s="116">
        <v>2463.5500000000002</v>
      </c>
      <c r="E645" s="116">
        <v>2507.1</v>
      </c>
      <c r="F645" s="116">
        <v>2492.6999999999998</v>
      </c>
      <c r="G645">
        <v>24540</v>
      </c>
      <c r="H645" s="116"/>
      <c r="I645" s="116"/>
      <c r="L645" s="170">
        <v>44518</v>
      </c>
      <c r="M645" s="116">
        <v>2494.0500000000002</v>
      </c>
      <c r="N645" s="116">
        <v>2508.8000000000002</v>
      </c>
      <c r="O645" s="116">
        <v>2465.0500000000002</v>
      </c>
      <c r="P645" s="116">
        <v>2505</v>
      </c>
      <c r="Q645" s="116">
        <v>2494.0500000000002</v>
      </c>
      <c r="R645">
        <v>235301</v>
      </c>
    </row>
    <row r="646" spans="1:18" x14ac:dyDescent="0.25">
      <c r="A646" s="170">
        <v>44522</v>
      </c>
      <c r="B646" s="116">
        <v>2484.8000000000002</v>
      </c>
      <c r="C646" s="116">
        <v>2367.65</v>
      </c>
      <c r="D646" s="116">
        <v>2338.6999999999998</v>
      </c>
      <c r="E646" s="116">
        <v>2475.6</v>
      </c>
      <c r="F646" s="116">
        <v>2367.65</v>
      </c>
      <c r="G646">
        <v>18833</v>
      </c>
      <c r="H646" s="116"/>
      <c r="I646" s="116"/>
      <c r="L646" s="170">
        <v>44522</v>
      </c>
      <c r="M646" s="116">
        <v>2367.8000000000002</v>
      </c>
      <c r="N646" s="116">
        <v>2500</v>
      </c>
      <c r="O646" s="116">
        <v>2337</v>
      </c>
      <c r="P646" s="116">
        <v>2490</v>
      </c>
      <c r="Q646" s="116">
        <v>2367.8000000000002</v>
      </c>
      <c r="R646">
        <v>407240</v>
      </c>
    </row>
    <row r="647" spans="1:18" x14ac:dyDescent="0.25">
      <c r="A647" s="170">
        <v>44523</v>
      </c>
      <c r="B647" s="116">
        <v>2405.75</v>
      </c>
      <c r="C647" s="116">
        <v>2373.65</v>
      </c>
      <c r="D647" s="116">
        <v>2326.9499999999998</v>
      </c>
      <c r="E647" s="116">
        <v>2370</v>
      </c>
      <c r="F647" s="116">
        <v>2373.65</v>
      </c>
      <c r="G647">
        <v>10176</v>
      </c>
      <c r="H647" s="116"/>
      <c r="I647" s="116"/>
      <c r="L647" s="170">
        <v>44523</v>
      </c>
      <c r="M647" s="116">
        <v>2373.5500000000002</v>
      </c>
      <c r="N647" s="116">
        <v>2406.6999999999998</v>
      </c>
      <c r="O647" s="116">
        <v>2325.65</v>
      </c>
      <c r="P647" s="116">
        <v>2360</v>
      </c>
      <c r="Q647" s="116">
        <v>2373.5500000000002</v>
      </c>
      <c r="R647">
        <v>252818</v>
      </c>
    </row>
    <row r="648" spans="1:18" x14ac:dyDescent="0.25">
      <c r="A648" s="170">
        <v>44524</v>
      </c>
      <c r="B648" s="116">
        <v>2409</v>
      </c>
      <c r="C648" s="116">
        <v>2347.65</v>
      </c>
      <c r="D648" s="116">
        <v>2335</v>
      </c>
      <c r="E648" s="116">
        <v>2375</v>
      </c>
      <c r="F648" s="116">
        <v>2347.65</v>
      </c>
      <c r="G648">
        <v>17834</v>
      </c>
      <c r="H648" s="116"/>
      <c r="I648" s="116"/>
      <c r="L648" s="170">
        <v>44524</v>
      </c>
      <c r="M648" s="116">
        <v>2346.75</v>
      </c>
      <c r="N648" s="116">
        <v>2410</v>
      </c>
      <c r="O648" s="116">
        <v>2330</v>
      </c>
      <c r="P648" s="116">
        <v>2373.5500000000002</v>
      </c>
      <c r="Q648" s="116">
        <v>2346.75</v>
      </c>
      <c r="R648">
        <v>264525</v>
      </c>
    </row>
    <row r="649" spans="1:18" x14ac:dyDescent="0.25">
      <c r="A649" s="170">
        <v>44525</v>
      </c>
      <c r="B649" s="116">
        <v>2362</v>
      </c>
      <c r="C649" s="116">
        <v>2348.4499999999998</v>
      </c>
      <c r="D649" s="116">
        <v>2305</v>
      </c>
      <c r="E649" s="116">
        <v>2334</v>
      </c>
      <c r="F649" s="116">
        <v>2348.4499999999998</v>
      </c>
      <c r="G649">
        <v>42856</v>
      </c>
      <c r="H649" s="116"/>
      <c r="I649" s="116"/>
      <c r="L649" s="170">
        <v>44525</v>
      </c>
      <c r="M649" s="116">
        <v>2347.1</v>
      </c>
      <c r="N649" s="116">
        <v>2360.65</v>
      </c>
      <c r="O649" s="116">
        <v>2302.1</v>
      </c>
      <c r="P649" s="116">
        <v>2334</v>
      </c>
      <c r="Q649" s="116">
        <v>2347.1</v>
      </c>
      <c r="R649">
        <v>293501</v>
      </c>
    </row>
    <row r="650" spans="1:18" x14ac:dyDescent="0.25">
      <c r="A650" s="170">
        <v>44526</v>
      </c>
      <c r="B650" s="116">
        <v>2355</v>
      </c>
      <c r="C650" s="116">
        <v>2253.65</v>
      </c>
      <c r="D650" s="116">
        <v>2236</v>
      </c>
      <c r="E650" s="116">
        <v>2325.4</v>
      </c>
      <c r="F650" s="116">
        <v>2253.65</v>
      </c>
      <c r="G650">
        <v>40117</v>
      </c>
      <c r="H650" s="116"/>
      <c r="I650" s="116"/>
      <c r="L650" s="170">
        <v>44526</v>
      </c>
      <c r="M650" s="116">
        <v>2254.75</v>
      </c>
      <c r="N650" s="116">
        <v>2355.6</v>
      </c>
      <c r="O650" s="116">
        <v>2235.0500000000002</v>
      </c>
      <c r="P650" s="116">
        <v>2339</v>
      </c>
      <c r="Q650" s="116">
        <v>2254.75</v>
      </c>
      <c r="R650">
        <v>503119</v>
      </c>
    </row>
    <row r="651" spans="1:18" x14ac:dyDescent="0.25">
      <c r="A651" s="170">
        <v>44529</v>
      </c>
      <c r="B651" s="116">
        <v>2309</v>
      </c>
      <c r="C651" s="116">
        <v>2216.1</v>
      </c>
      <c r="D651" s="116">
        <v>2145</v>
      </c>
      <c r="E651" s="116">
        <v>2175</v>
      </c>
      <c r="F651" s="116">
        <v>2216.1</v>
      </c>
      <c r="G651">
        <v>30679</v>
      </c>
      <c r="H651" s="116"/>
      <c r="I651" s="116"/>
      <c r="L651" s="170">
        <v>44529</v>
      </c>
      <c r="M651" s="116">
        <v>2214.4</v>
      </c>
      <c r="N651" s="116">
        <v>2310</v>
      </c>
      <c r="O651" s="116">
        <v>2142</v>
      </c>
      <c r="P651" s="116">
        <v>2205</v>
      </c>
      <c r="Q651" s="116">
        <v>2214.4</v>
      </c>
      <c r="R651">
        <v>496336</v>
      </c>
    </row>
    <row r="652" spans="1:18" x14ac:dyDescent="0.25">
      <c r="A652" s="170">
        <v>44530</v>
      </c>
      <c r="B652" s="116">
        <v>2328.75</v>
      </c>
      <c r="C652" s="116">
        <v>2304.65</v>
      </c>
      <c r="D652" s="116">
        <v>2228.4499999999998</v>
      </c>
      <c r="E652" s="116">
        <v>2245</v>
      </c>
      <c r="F652" s="116">
        <v>2304.65</v>
      </c>
      <c r="G652">
        <v>25751</v>
      </c>
      <c r="H652" s="116"/>
      <c r="I652" s="116"/>
      <c r="L652" s="170">
        <v>44530</v>
      </c>
      <c r="M652" s="116">
        <v>2305.9499999999998</v>
      </c>
      <c r="N652" s="116">
        <v>2329.85</v>
      </c>
      <c r="O652" s="116">
        <v>2226.3000000000002</v>
      </c>
      <c r="P652" s="116">
        <v>2229</v>
      </c>
      <c r="Q652" s="116">
        <v>2305.9499999999998</v>
      </c>
      <c r="R652">
        <v>485919</v>
      </c>
    </row>
    <row r="653" spans="1:18" x14ac:dyDescent="0.25">
      <c r="A653" s="170">
        <v>44531</v>
      </c>
      <c r="B653" s="116">
        <v>2339.5</v>
      </c>
      <c r="C653" s="116">
        <v>2330</v>
      </c>
      <c r="D653" s="116">
        <v>2271.25</v>
      </c>
      <c r="E653" s="116">
        <v>2318</v>
      </c>
      <c r="F653" s="116">
        <v>2330</v>
      </c>
      <c r="G653">
        <v>28800</v>
      </c>
      <c r="H653" s="116"/>
      <c r="I653" s="116"/>
      <c r="L653" s="170">
        <v>44531</v>
      </c>
      <c r="M653" s="116">
        <v>2331.4499999999998</v>
      </c>
      <c r="N653" s="116">
        <v>2339.9499999999998</v>
      </c>
      <c r="O653" s="116">
        <v>2271</v>
      </c>
      <c r="P653" s="116">
        <v>2324</v>
      </c>
      <c r="Q653" s="116">
        <v>2331.4499999999998</v>
      </c>
      <c r="R653">
        <v>279780</v>
      </c>
    </row>
    <row r="654" spans="1:18" x14ac:dyDescent="0.25">
      <c r="A654" s="170">
        <v>44532</v>
      </c>
      <c r="B654" s="116">
        <v>2370</v>
      </c>
      <c r="C654" s="116">
        <v>2362.5</v>
      </c>
      <c r="D654" s="116">
        <v>2305.5500000000002</v>
      </c>
      <c r="E654" s="116">
        <v>2330</v>
      </c>
      <c r="F654" s="116">
        <v>2362.5</v>
      </c>
      <c r="G654">
        <v>9960</v>
      </c>
      <c r="H654" s="116"/>
      <c r="I654" s="116"/>
      <c r="L654" s="170">
        <v>44532</v>
      </c>
      <c r="M654" s="116">
        <v>2361.5500000000002</v>
      </c>
      <c r="N654" s="116">
        <v>2369.9499999999998</v>
      </c>
      <c r="O654" s="116">
        <v>2303.1999999999998</v>
      </c>
      <c r="P654" s="116">
        <v>2331.4499999999998</v>
      </c>
      <c r="Q654" s="116">
        <v>2361.5500000000002</v>
      </c>
      <c r="R654">
        <v>174426</v>
      </c>
    </row>
    <row r="655" spans="1:18" x14ac:dyDescent="0.25">
      <c r="A655" s="170">
        <v>44533</v>
      </c>
      <c r="B655" s="116">
        <v>2385</v>
      </c>
      <c r="C655" s="116">
        <v>2365.15</v>
      </c>
      <c r="D655" s="116">
        <v>2347.6999999999998</v>
      </c>
      <c r="E655" s="116">
        <v>2363</v>
      </c>
      <c r="F655" s="116">
        <v>2365.15</v>
      </c>
      <c r="G655">
        <v>14694</v>
      </c>
      <c r="H655" s="116"/>
      <c r="I655" s="116"/>
      <c r="L655" s="170">
        <v>44533</v>
      </c>
      <c r="M655" s="116">
        <v>2364.9</v>
      </c>
      <c r="N655" s="116">
        <v>2385.35</v>
      </c>
      <c r="O655" s="116">
        <v>2348</v>
      </c>
      <c r="P655" s="116">
        <v>2361.5500000000002</v>
      </c>
      <c r="Q655" s="116">
        <v>2364.9</v>
      </c>
      <c r="R655">
        <v>117140</v>
      </c>
    </row>
    <row r="656" spans="1:18" x14ac:dyDescent="0.25">
      <c r="A656" s="170">
        <v>44536</v>
      </c>
      <c r="B656" s="116">
        <v>2407.4</v>
      </c>
      <c r="C656" s="116">
        <v>2335.0500000000002</v>
      </c>
      <c r="D656" s="116">
        <v>2328.1</v>
      </c>
      <c r="E656" s="116">
        <v>2328.1</v>
      </c>
      <c r="F656" s="116">
        <v>2335.0500000000002</v>
      </c>
      <c r="G656">
        <v>24557</v>
      </c>
      <c r="H656" s="116"/>
      <c r="I656" s="116"/>
      <c r="L656" s="170">
        <v>44536</v>
      </c>
      <c r="M656" s="116">
        <v>2336.1999999999998</v>
      </c>
      <c r="N656" s="116">
        <v>2408</v>
      </c>
      <c r="O656" s="116">
        <v>2328.6999999999998</v>
      </c>
      <c r="P656" s="116">
        <v>2360.0500000000002</v>
      </c>
      <c r="Q656" s="116">
        <v>2336.1999999999998</v>
      </c>
      <c r="R656">
        <v>248866</v>
      </c>
    </row>
    <row r="657" spans="1:18" x14ac:dyDescent="0.25">
      <c r="A657" s="170">
        <v>44537</v>
      </c>
      <c r="B657" s="116">
        <v>2363.15</v>
      </c>
      <c r="C657" s="116">
        <v>2328.9499999999998</v>
      </c>
      <c r="D657" s="116">
        <v>2316.65</v>
      </c>
      <c r="E657" s="116">
        <v>2335.0500000000002</v>
      </c>
      <c r="F657" s="116">
        <v>2328.9499999999998</v>
      </c>
      <c r="G657">
        <v>7912</v>
      </c>
      <c r="H657" s="116"/>
      <c r="I657" s="116"/>
      <c r="L657" s="170">
        <v>44537</v>
      </c>
      <c r="M657" s="116">
        <v>2330.6999999999998</v>
      </c>
      <c r="N657" s="116">
        <v>2366.75</v>
      </c>
      <c r="O657" s="116">
        <v>2315</v>
      </c>
      <c r="P657" s="116">
        <v>2345</v>
      </c>
      <c r="Q657" s="116">
        <v>2330.6999999999998</v>
      </c>
      <c r="R657">
        <v>167033</v>
      </c>
    </row>
    <row r="658" spans="1:18" x14ac:dyDescent="0.25">
      <c r="A658" s="170">
        <v>44538</v>
      </c>
      <c r="B658" s="116">
        <v>2401.9</v>
      </c>
      <c r="C658" s="116">
        <v>2379.5</v>
      </c>
      <c r="D658" s="116">
        <v>2355.8000000000002</v>
      </c>
      <c r="E658" s="116">
        <v>2364</v>
      </c>
      <c r="F658" s="116">
        <v>2379.5</v>
      </c>
      <c r="G658">
        <v>8087</v>
      </c>
      <c r="H658" s="116"/>
      <c r="I658" s="116"/>
      <c r="L658" s="170">
        <v>44538</v>
      </c>
      <c r="M658" s="116">
        <v>2379.75</v>
      </c>
      <c r="N658" s="116">
        <v>2402.6999999999998</v>
      </c>
      <c r="O658" s="116">
        <v>2348.8000000000002</v>
      </c>
      <c r="P658" s="116">
        <v>2348.85</v>
      </c>
      <c r="Q658" s="116">
        <v>2379.75</v>
      </c>
      <c r="R658">
        <v>204513</v>
      </c>
    </row>
    <row r="659" spans="1:18" x14ac:dyDescent="0.25">
      <c r="A659" s="170">
        <v>44539</v>
      </c>
      <c r="B659" s="116">
        <v>2410.8000000000002</v>
      </c>
      <c r="C659" s="116">
        <v>2374.6</v>
      </c>
      <c r="D659" s="116">
        <v>2358</v>
      </c>
      <c r="E659" s="116">
        <v>2410.8000000000002</v>
      </c>
      <c r="F659" s="116">
        <v>2374.6</v>
      </c>
      <c r="G659">
        <v>4989</v>
      </c>
      <c r="H659" s="116"/>
      <c r="I659" s="116"/>
      <c r="L659" s="170">
        <v>44539</v>
      </c>
      <c r="M659" s="116">
        <v>2373.6999999999998</v>
      </c>
      <c r="N659" s="116">
        <v>2398</v>
      </c>
      <c r="O659" s="116">
        <v>2357</v>
      </c>
      <c r="P659" s="116">
        <v>2394.0500000000002</v>
      </c>
      <c r="Q659" s="116">
        <v>2373.6999999999998</v>
      </c>
      <c r="R659">
        <v>94640</v>
      </c>
    </row>
    <row r="660" spans="1:18" x14ac:dyDescent="0.25">
      <c r="A660" s="170">
        <v>44540</v>
      </c>
      <c r="B660" s="116">
        <v>2493</v>
      </c>
      <c r="C660" s="116">
        <v>2475.0500000000002</v>
      </c>
      <c r="D660" s="116">
        <v>2362.6</v>
      </c>
      <c r="E660" s="116">
        <v>2383</v>
      </c>
      <c r="F660" s="116">
        <v>2475.0500000000002</v>
      </c>
      <c r="G660">
        <v>37407</v>
      </c>
      <c r="H660" s="116"/>
      <c r="I660" s="116"/>
      <c r="L660" s="170">
        <v>44540</v>
      </c>
      <c r="M660" s="116">
        <v>2471.65</v>
      </c>
      <c r="N660" s="116">
        <v>2489.9</v>
      </c>
      <c r="O660" s="116">
        <v>2362.6999999999998</v>
      </c>
      <c r="P660" s="116">
        <v>2384.9</v>
      </c>
      <c r="Q660" s="116">
        <v>2471.65</v>
      </c>
      <c r="R660">
        <v>469117</v>
      </c>
    </row>
    <row r="661" spans="1:18" x14ac:dyDescent="0.25">
      <c r="A661" s="170">
        <v>44543</v>
      </c>
      <c r="B661" s="116">
        <v>2610</v>
      </c>
      <c r="C661" s="116">
        <v>2542</v>
      </c>
      <c r="D661" s="116">
        <v>2496.5500000000002</v>
      </c>
      <c r="E661" s="116">
        <v>2501</v>
      </c>
      <c r="F661" s="116">
        <v>2542</v>
      </c>
      <c r="G661">
        <v>126568</v>
      </c>
      <c r="H661" s="116"/>
      <c r="I661" s="116"/>
      <c r="L661" s="170">
        <v>44543</v>
      </c>
      <c r="M661" s="116">
        <v>2545.3000000000002</v>
      </c>
      <c r="N661" s="116">
        <v>2609.25</v>
      </c>
      <c r="O661" s="116">
        <v>2490</v>
      </c>
      <c r="P661" s="116">
        <v>2515</v>
      </c>
      <c r="Q661" s="116">
        <v>2545.3000000000002</v>
      </c>
      <c r="R661">
        <v>1479847</v>
      </c>
    </row>
    <row r="662" spans="1:18" x14ac:dyDescent="0.25">
      <c r="A662" s="170">
        <v>44544</v>
      </c>
      <c r="B662" s="116">
        <v>2569</v>
      </c>
      <c r="C662" s="116">
        <v>2554.5</v>
      </c>
      <c r="D662" s="116">
        <v>2493.75</v>
      </c>
      <c r="E662" s="116">
        <v>2545</v>
      </c>
      <c r="F662" s="116">
        <v>2554.5</v>
      </c>
      <c r="G662">
        <v>20265</v>
      </c>
      <c r="H662" s="116"/>
      <c r="I662" s="116"/>
      <c r="L662" s="170">
        <v>44544</v>
      </c>
      <c r="M662" s="116">
        <v>2553.8000000000002</v>
      </c>
      <c r="N662" s="116">
        <v>2570.65</v>
      </c>
      <c r="O662" s="116">
        <v>2490.8000000000002</v>
      </c>
      <c r="P662" s="116">
        <v>2535</v>
      </c>
      <c r="Q662" s="116">
        <v>2553.8000000000002</v>
      </c>
      <c r="R662">
        <v>296437</v>
      </c>
    </row>
    <row r="663" spans="1:18" x14ac:dyDescent="0.25">
      <c r="A663" s="170">
        <v>44545</v>
      </c>
      <c r="B663" s="116">
        <v>2575</v>
      </c>
      <c r="C663" s="116">
        <v>2465.1999999999998</v>
      </c>
      <c r="D663" s="116">
        <v>2455</v>
      </c>
      <c r="E663" s="116">
        <v>2550</v>
      </c>
      <c r="F663" s="116">
        <v>2465.1999999999998</v>
      </c>
      <c r="G663">
        <v>48934</v>
      </c>
      <c r="H663" s="116"/>
      <c r="I663" s="116"/>
      <c r="L663" s="170">
        <v>44545</v>
      </c>
      <c r="M663" s="116">
        <v>2465.0500000000002</v>
      </c>
      <c r="N663" s="116">
        <v>2571</v>
      </c>
      <c r="O663" s="116">
        <v>2450</v>
      </c>
      <c r="P663" s="116">
        <v>2560</v>
      </c>
      <c r="Q663" s="116">
        <v>2465.0500000000002</v>
      </c>
      <c r="R663">
        <v>379146</v>
      </c>
    </row>
    <row r="664" spans="1:18" x14ac:dyDescent="0.25">
      <c r="A664" s="170">
        <v>44546</v>
      </c>
      <c r="B664" s="116">
        <v>2490.1</v>
      </c>
      <c r="C664" s="116">
        <v>2423.0500000000002</v>
      </c>
      <c r="D664" s="116">
        <v>2382.9499999999998</v>
      </c>
      <c r="E664" s="116">
        <v>2465</v>
      </c>
      <c r="F664" s="116">
        <v>2423.0500000000002</v>
      </c>
      <c r="G664">
        <v>47192</v>
      </c>
      <c r="H664" s="116"/>
      <c r="I664" s="116"/>
      <c r="L664" s="170">
        <v>44546</v>
      </c>
      <c r="M664" s="116">
        <v>2423.75</v>
      </c>
      <c r="N664" s="116">
        <v>2493.4</v>
      </c>
      <c r="O664" s="116">
        <v>2380</v>
      </c>
      <c r="P664" s="116">
        <v>2470</v>
      </c>
      <c r="Q664" s="116">
        <v>2423.75</v>
      </c>
      <c r="R664">
        <v>462193</v>
      </c>
    </row>
    <row r="665" spans="1:18" x14ac:dyDescent="0.25">
      <c r="A665" s="170">
        <v>44547</v>
      </c>
      <c r="B665" s="116">
        <v>2439</v>
      </c>
      <c r="C665" s="116">
        <v>2324.5</v>
      </c>
      <c r="D665" s="116">
        <v>2315.25</v>
      </c>
      <c r="E665" s="116">
        <v>2439</v>
      </c>
      <c r="F665" s="116">
        <v>2324.5</v>
      </c>
      <c r="G665">
        <v>23666</v>
      </c>
      <c r="H665" s="116"/>
      <c r="I665" s="116"/>
      <c r="L665" s="170">
        <v>44547</v>
      </c>
      <c r="M665" s="116">
        <v>2325.85</v>
      </c>
      <c r="N665" s="116">
        <v>2436.25</v>
      </c>
      <c r="O665" s="116">
        <v>2315.4499999999998</v>
      </c>
      <c r="P665" s="116">
        <v>2430</v>
      </c>
      <c r="Q665" s="116">
        <v>2325.85</v>
      </c>
      <c r="R665">
        <v>333021</v>
      </c>
    </row>
    <row r="666" spans="1:18" x14ac:dyDescent="0.25">
      <c r="A666" s="170">
        <v>44550</v>
      </c>
      <c r="B666" s="116">
        <v>2300</v>
      </c>
      <c r="C666" s="116">
        <v>2281.9</v>
      </c>
      <c r="D666" s="116">
        <v>2206.15</v>
      </c>
      <c r="E666" s="116">
        <v>2300</v>
      </c>
      <c r="F666" s="116">
        <v>2281.9</v>
      </c>
      <c r="G666">
        <v>33426</v>
      </c>
      <c r="H666" s="116"/>
      <c r="I666" s="116"/>
      <c r="L666" s="170">
        <v>44550</v>
      </c>
      <c r="M666" s="116">
        <v>2281.85</v>
      </c>
      <c r="N666" s="116">
        <v>2300</v>
      </c>
      <c r="O666" s="116">
        <v>2207.1999999999998</v>
      </c>
      <c r="P666" s="116">
        <v>2280</v>
      </c>
      <c r="Q666" s="116">
        <v>2281.85</v>
      </c>
      <c r="R666">
        <v>538244</v>
      </c>
    </row>
    <row r="667" spans="1:18" x14ac:dyDescent="0.25">
      <c r="A667" s="170">
        <v>44551</v>
      </c>
      <c r="B667" s="116">
        <v>2366.5</v>
      </c>
      <c r="C667" s="116">
        <v>2306.9499999999998</v>
      </c>
      <c r="D667" s="116">
        <v>2285.9</v>
      </c>
      <c r="E667" s="116">
        <v>2320</v>
      </c>
      <c r="F667" s="116">
        <v>2306.9499999999998</v>
      </c>
      <c r="G667">
        <v>28186</v>
      </c>
      <c r="H667" s="116"/>
      <c r="I667" s="116"/>
      <c r="L667" s="170">
        <v>44551</v>
      </c>
      <c r="M667" s="116">
        <v>2308.0500000000002</v>
      </c>
      <c r="N667" s="116">
        <v>2374.1</v>
      </c>
      <c r="O667" s="116">
        <v>2285.5500000000002</v>
      </c>
      <c r="P667" s="116">
        <v>2325</v>
      </c>
      <c r="Q667" s="116">
        <v>2308.0500000000002</v>
      </c>
      <c r="R667">
        <v>262108</v>
      </c>
    </row>
    <row r="668" spans="1:18" x14ac:dyDescent="0.25">
      <c r="A668" s="170">
        <v>44552</v>
      </c>
      <c r="B668" s="116">
        <v>2365</v>
      </c>
      <c r="C668" s="116">
        <v>2352.0500000000002</v>
      </c>
      <c r="D668" s="116">
        <v>2312.75</v>
      </c>
      <c r="E668" s="116">
        <v>2336.25</v>
      </c>
      <c r="F668" s="116">
        <v>2352.0500000000002</v>
      </c>
      <c r="G668">
        <v>10951</v>
      </c>
      <c r="H668" s="116"/>
      <c r="I668" s="116"/>
      <c r="L668" s="170">
        <v>44552</v>
      </c>
      <c r="M668" s="116">
        <v>2354.9</v>
      </c>
      <c r="N668" s="116">
        <v>2366</v>
      </c>
      <c r="O668" s="116">
        <v>2311</v>
      </c>
      <c r="P668" s="116">
        <v>2320.1999999999998</v>
      </c>
      <c r="Q668" s="116">
        <v>2354.9</v>
      </c>
      <c r="R668">
        <v>265518</v>
      </c>
    </row>
    <row r="669" spans="1:18" x14ac:dyDescent="0.25">
      <c r="A669" s="170">
        <v>44553</v>
      </c>
      <c r="B669" s="116">
        <v>2424.1999999999998</v>
      </c>
      <c r="C669" s="116">
        <v>2389.6</v>
      </c>
      <c r="D669" s="116">
        <v>2354</v>
      </c>
      <c r="E669" s="116">
        <v>2354</v>
      </c>
      <c r="F669" s="116">
        <v>2389.6</v>
      </c>
      <c r="G669">
        <v>16460</v>
      </c>
      <c r="H669" s="116"/>
      <c r="I669" s="116"/>
      <c r="L669" s="170">
        <v>44553</v>
      </c>
      <c r="M669" s="116">
        <v>2390.3000000000002</v>
      </c>
      <c r="N669" s="116">
        <v>2425</v>
      </c>
      <c r="O669" s="116">
        <v>2361</v>
      </c>
      <c r="P669" s="116">
        <v>2361</v>
      </c>
      <c r="Q669" s="116">
        <v>2390.3000000000002</v>
      </c>
      <c r="R669">
        <v>293296</v>
      </c>
    </row>
    <row r="670" spans="1:18" x14ac:dyDescent="0.25">
      <c r="A670" s="170">
        <v>44554</v>
      </c>
      <c r="B670" s="116">
        <v>2411.25</v>
      </c>
      <c r="C670" s="116">
        <v>2339.3000000000002</v>
      </c>
      <c r="D670" s="116">
        <v>2331.6999999999998</v>
      </c>
      <c r="E670" s="116">
        <v>2411.25</v>
      </c>
      <c r="F670" s="116">
        <v>2339.3000000000002</v>
      </c>
      <c r="G670">
        <v>11442</v>
      </c>
      <c r="H670" s="116"/>
      <c r="I670" s="116"/>
      <c r="L670" s="170">
        <v>44554</v>
      </c>
      <c r="M670" s="116">
        <v>2339.15</v>
      </c>
      <c r="N670" s="116">
        <v>2394.1999999999998</v>
      </c>
      <c r="O670" s="116">
        <v>2330.0500000000002</v>
      </c>
      <c r="P670" s="116">
        <v>2394.1999999999998</v>
      </c>
      <c r="Q670" s="116">
        <v>2339.15</v>
      </c>
      <c r="R670">
        <v>163106</v>
      </c>
    </row>
    <row r="671" spans="1:18" x14ac:dyDescent="0.25">
      <c r="A671" s="170">
        <v>44557</v>
      </c>
      <c r="B671" s="116">
        <v>2377</v>
      </c>
      <c r="C671" s="116">
        <v>2367.6999999999998</v>
      </c>
      <c r="D671" s="116">
        <v>2306.5500000000002</v>
      </c>
      <c r="E671" s="116">
        <v>2319</v>
      </c>
      <c r="F671" s="116">
        <v>2367.6999999999998</v>
      </c>
      <c r="G671">
        <v>16946</v>
      </c>
      <c r="H671" s="116"/>
      <c r="I671" s="116"/>
      <c r="L671" s="170">
        <v>44557</v>
      </c>
      <c r="M671" s="116">
        <v>2367.85</v>
      </c>
      <c r="N671" s="116">
        <v>2378.75</v>
      </c>
      <c r="O671" s="116">
        <v>2305</v>
      </c>
      <c r="P671" s="116">
        <v>2333</v>
      </c>
      <c r="Q671" s="116">
        <v>2367.85</v>
      </c>
      <c r="R671">
        <v>178939</v>
      </c>
    </row>
    <row r="672" spans="1:18" x14ac:dyDescent="0.25">
      <c r="A672" s="170">
        <v>44558</v>
      </c>
      <c r="B672" s="116">
        <v>2403.9</v>
      </c>
      <c r="C672" s="116">
        <v>2392.4</v>
      </c>
      <c r="D672" s="116">
        <v>2360</v>
      </c>
      <c r="E672" s="116">
        <v>2377</v>
      </c>
      <c r="F672" s="116">
        <v>2392.4</v>
      </c>
      <c r="G672">
        <v>6242</v>
      </c>
      <c r="H672" s="116"/>
      <c r="I672" s="116"/>
      <c r="L672" s="170">
        <v>44558</v>
      </c>
      <c r="M672" s="116">
        <v>2396.35</v>
      </c>
      <c r="N672" s="116">
        <v>2405.1</v>
      </c>
      <c r="O672" s="116">
        <v>2365.8000000000002</v>
      </c>
      <c r="P672" s="116">
        <v>2384.9499999999998</v>
      </c>
      <c r="Q672" s="116">
        <v>2396.35</v>
      </c>
      <c r="R672">
        <v>202744</v>
      </c>
    </row>
    <row r="673" spans="1:18" x14ac:dyDescent="0.25">
      <c r="A673" s="170">
        <v>44559</v>
      </c>
      <c r="B673" s="116">
        <v>2423.4499999999998</v>
      </c>
      <c r="C673" s="116">
        <v>2404.5500000000002</v>
      </c>
      <c r="D673" s="116">
        <v>2374.9499999999998</v>
      </c>
      <c r="E673" s="116">
        <v>2415</v>
      </c>
      <c r="F673" s="116">
        <v>2404.5500000000002</v>
      </c>
      <c r="G673">
        <v>6415</v>
      </c>
      <c r="H673" s="116"/>
      <c r="I673" s="116"/>
      <c r="L673" s="170">
        <v>44559</v>
      </c>
      <c r="M673" s="116">
        <v>2402.4499999999998</v>
      </c>
      <c r="N673" s="116">
        <v>2423.3000000000002</v>
      </c>
      <c r="O673" s="116">
        <v>2374.6</v>
      </c>
      <c r="P673" s="116">
        <v>2396</v>
      </c>
      <c r="Q673" s="116">
        <v>2402.4499999999998</v>
      </c>
      <c r="R673">
        <v>184187</v>
      </c>
    </row>
    <row r="674" spans="1:18" x14ac:dyDescent="0.25">
      <c r="A674" s="170">
        <v>44560</v>
      </c>
      <c r="B674" s="116">
        <v>2428.9</v>
      </c>
      <c r="C674" s="116">
        <v>2410.9</v>
      </c>
      <c r="D674" s="116">
        <v>2390</v>
      </c>
      <c r="E674" s="116">
        <v>2428.9</v>
      </c>
      <c r="F674" s="116">
        <v>2410.9</v>
      </c>
      <c r="G674">
        <v>16947</v>
      </c>
      <c r="H674" s="116"/>
      <c r="I674" s="116"/>
      <c r="L674" s="170">
        <v>44560</v>
      </c>
      <c r="M674" s="116">
        <v>2410.75</v>
      </c>
      <c r="N674" s="116">
        <v>2422</v>
      </c>
      <c r="O674" s="116">
        <v>2390.0500000000002</v>
      </c>
      <c r="P674" s="116">
        <v>2411.9499999999998</v>
      </c>
      <c r="Q674" s="116">
        <v>2410.75</v>
      </c>
      <c r="R674">
        <v>192719</v>
      </c>
    </row>
    <row r="675" spans="1:18" x14ac:dyDescent="0.25">
      <c r="A675" s="170">
        <v>44561</v>
      </c>
      <c r="B675" s="116">
        <v>2478</v>
      </c>
      <c r="C675" s="116">
        <v>2463.75</v>
      </c>
      <c r="D675" s="116">
        <v>2407</v>
      </c>
      <c r="E675" s="116">
        <v>2407</v>
      </c>
      <c r="F675" s="116">
        <v>2463.75</v>
      </c>
      <c r="G675">
        <v>27247</v>
      </c>
      <c r="H675" s="116"/>
      <c r="I675" s="116"/>
      <c r="L675" s="170">
        <v>44561</v>
      </c>
      <c r="M675" s="116">
        <v>2466.5</v>
      </c>
      <c r="N675" s="116">
        <v>2478.6</v>
      </c>
      <c r="O675" s="116">
        <v>2405</v>
      </c>
      <c r="P675" s="116">
        <v>2420</v>
      </c>
      <c r="Q675" s="116">
        <v>2466.5</v>
      </c>
      <c r="R675">
        <v>402745</v>
      </c>
    </row>
    <row r="676" spans="1:18" x14ac:dyDescent="0.25">
      <c r="A676" s="170">
        <v>44564</v>
      </c>
      <c r="B676" s="116">
        <v>2487.3000000000002</v>
      </c>
      <c r="C676" s="116">
        <v>2461.6</v>
      </c>
      <c r="D676" s="116">
        <v>2451.35</v>
      </c>
      <c r="E676" s="116">
        <v>2487.3000000000002</v>
      </c>
      <c r="F676" s="116">
        <v>2461.6</v>
      </c>
      <c r="G676">
        <v>7204</v>
      </c>
      <c r="H676" s="116"/>
      <c r="I676" s="116"/>
      <c r="L676" s="170">
        <v>44564</v>
      </c>
      <c r="M676" s="116">
        <v>2459.6999999999998</v>
      </c>
      <c r="N676" s="116">
        <v>2489.1999999999998</v>
      </c>
      <c r="O676" s="116">
        <v>2450.5</v>
      </c>
      <c r="P676" s="116">
        <v>2470</v>
      </c>
      <c r="Q676" s="116">
        <v>2459.6999999999998</v>
      </c>
      <c r="R676">
        <v>187072</v>
      </c>
    </row>
    <row r="677" spans="1:18" x14ac:dyDescent="0.25">
      <c r="A677" s="170">
        <v>44565</v>
      </c>
      <c r="B677" s="116">
        <v>2499</v>
      </c>
      <c r="C677" s="116">
        <v>2465.4</v>
      </c>
      <c r="D677" s="116">
        <v>2449.15</v>
      </c>
      <c r="E677" s="116">
        <v>2468</v>
      </c>
      <c r="F677" s="116">
        <v>2465.4</v>
      </c>
      <c r="G677">
        <v>17752</v>
      </c>
      <c r="H677" s="116"/>
      <c r="I677" s="116"/>
      <c r="L677" s="170">
        <v>44565</v>
      </c>
      <c r="M677" s="116">
        <v>2467.4</v>
      </c>
      <c r="N677" s="116">
        <v>2500</v>
      </c>
      <c r="O677" s="116">
        <v>2452</v>
      </c>
      <c r="P677" s="116">
        <v>2470</v>
      </c>
      <c r="Q677" s="116">
        <v>2467.4</v>
      </c>
      <c r="R677">
        <v>258206</v>
      </c>
    </row>
    <row r="678" spans="1:18" x14ac:dyDescent="0.25">
      <c r="A678" s="170">
        <v>44566</v>
      </c>
      <c r="B678" s="116">
        <v>2478</v>
      </c>
      <c r="C678" s="116">
        <v>2462.65</v>
      </c>
      <c r="D678" s="116">
        <v>2452.9499999999998</v>
      </c>
      <c r="E678" s="116">
        <v>2460</v>
      </c>
      <c r="F678" s="116">
        <v>2462.65</v>
      </c>
      <c r="G678">
        <v>5588</v>
      </c>
      <c r="H678" s="116"/>
      <c r="I678" s="116"/>
      <c r="L678" s="170">
        <v>44566</v>
      </c>
      <c r="M678" s="116">
        <v>2461.9499999999998</v>
      </c>
      <c r="N678" s="116">
        <v>2479</v>
      </c>
      <c r="O678" s="116">
        <v>2455.15</v>
      </c>
      <c r="P678" s="116">
        <v>2463</v>
      </c>
      <c r="Q678" s="116">
        <v>2461.9499999999998</v>
      </c>
      <c r="R678">
        <v>118766</v>
      </c>
    </row>
    <row r="679" spans="1:18" x14ac:dyDescent="0.25">
      <c r="A679" s="170">
        <v>44567</v>
      </c>
      <c r="B679" s="116">
        <v>2448.6999999999998</v>
      </c>
      <c r="C679" s="116">
        <v>2439.5500000000002</v>
      </c>
      <c r="D679" s="116">
        <v>2417.0500000000002</v>
      </c>
      <c r="E679" s="116">
        <v>2440</v>
      </c>
      <c r="F679" s="116">
        <v>2439.5500000000002</v>
      </c>
      <c r="G679">
        <v>33457</v>
      </c>
      <c r="H679" s="116"/>
      <c r="I679" s="116"/>
      <c r="L679" s="170">
        <v>44567</v>
      </c>
      <c r="M679" s="116">
        <v>2439.85</v>
      </c>
      <c r="N679" s="116">
        <v>2452</v>
      </c>
      <c r="O679" s="116">
        <v>2418</v>
      </c>
      <c r="P679" s="116">
        <v>2452</v>
      </c>
      <c r="Q679" s="116">
        <v>2439.85</v>
      </c>
      <c r="R679">
        <v>312518</v>
      </c>
    </row>
    <row r="680" spans="1:18" x14ac:dyDescent="0.25">
      <c r="A680" s="170">
        <v>44568</v>
      </c>
      <c r="B680" s="116">
        <v>2535</v>
      </c>
      <c r="C680" s="116">
        <v>2475.5</v>
      </c>
      <c r="D680" s="116">
        <v>2429.65</v>
      </c>
      <c r="E680" s="116">
        <v>2442</v>
      </c>
      <c r="F680" s="116">
        <v>2475.5</v>
      </c>
      <c r="G680">
        <v>31012</v>
      </c>
      <c r="H680" s="116"/>
      <c r="I680" s="116"/>
      <c r="L680" s="170">
        <v>44568</v>
      </c>
      <c r="M680" s="116">
        <v>2477.3000000000002</v>
      </c>
      <c r="N680" s="116">
        <v>2535</v>
      </c>
      <c r="O680" s="116">
        <v>2428.4</v>
      </c>
      <c r="P680" s="116">
        <v>2450</v>
      </c>
      <c r="Q680" s="116">
        <v>2477.3000000000002</v>
      </c>
      <c r="R680">
        <v>713835</v>
      </c>
    </row>
    <row r="681" spans="1:18" x14ac:dyDescent="0.25">
      <c r="A681" s="170">
        <v>44571</v>
      </c>
      <c r="B681" s="116">
        <v>2531.1999999999998</v>
      </c>
      <c r="C681" s="116">
        <v>2520.25</v>
      </c>
      <c r="D681" s="116">
        <v>2481.3000000000002</v>
      </c>
      <c r="E681" s="116">
        <v>2490</v>
      </c>
      <c r="F681" s="116">
        <v>2520.25</v>
      </c>
      <c r="G681">
        <v>9597</v>
      </c>
      <c r="H681" s="116"/>
      <c r="I681" s="116"/>
      <c r="L681" s="170">
        <v>44571</v>
      </c>
      <c r="M681" s="116">
        <v>2521.65</v>
      </c>
      <c r="N681" s="116">
        <v>2531.8000000000002</v>
      </c>
      <c r="O681" s="116">
        <v>2480.4</v>
      </c>
      <c r="P681" s="116">
        <v>2485.35</v>
      </c>
      <c r="Q681" s="116">
        <v>2521.65</v>
      </c>
      <c r="R681">
        <v>273120</v>
      </c>
    </row>
    <row r="682" spans="1:18" x14ac:dyDescent="0.25">
      <c r="A682" s="170">
        <v>44572</v>
      </c>
      <c r="B682" s="116">
        <v>2532.5500000000002</v>
      </c>
      <c r="C682" s="116">
        <v>2485.25</v>
      </c>
      <c r="D682" s="116">
        <v>2466.25</v>
      </c>
      <c r="E682" s="116">
        <v>2530</v>
      </c>
      <c r="F682" s="116">
        <v>2485.25</v>
      </c>
      <c r="G682">
        <v>9967</v>
      </c>
      <c r="H682" s="116"/>
      <c r="I682" s="116"/>
      <c r="L682" s="170">
        <v>44572</v>
      </c>
      <c r="M682" s="116">
        <v>2476.4</v>
      </c>
      <c r="N682" s="116">
        <v>2534.75</v>
      </c>
      <c r="O682" s="116">
        <v>2461.4</v>
      </c>
      <c r="P682" s="116">
        <v>2525</v>
      </c>
      <c r="Q682" s="116">
        <v>2476.4</v>
      </c>
      <c r="R682">
        <v>337933</v>
      </c>
    </row>
    <row r="683" spans="1:18" x14ac:dyDescent="0.25">
      <c r="A683" s="170">
        <v>44573</v>
      </c>
      <c r="B683" s="116">
        <v>2498</v>
      </c>
      <c r="C683" s="116">
        <v>2479.85</v>
      </c>
      <c r="D683" s="116">
        <v>2465.4499999999998</v>
      </c>
      <c r="E683" s="116">
        <v>2485</v>
      </c>
      <c r="F683" s="116">
        <v>2479.85</v>
      </c>
      <c r="G683">
        <v>16541</v>
      </c>
      <c r="H683" s="116"/>
      <c r="I683" s="116"/>
      <c r="L683" s="170">
        <v>44573</v>
      </c>
      <c r="M683" s="116">
        <v>2480.8000000000002</v>
      </c>
      <c r="N683" s="116">
        <v>2498.4499999999998</v>
      </c>
      <c r="O683" s="116">
        <v>2466</v>
      </c>
      <c r="P683" s="116">
        <v>2484.1</v>
      </c>
      <c r="Q683" s="116">
        <v>2480.8000000000002</v>
      </c>
      <c r="R683">
        <v>216977</v>
      </c>
    </row>
    <row r="684" spans="1:18" x14ac:dyDescent="0.25">
      <c r="A684" s="170">
        <v>44574</v>
      </c>
      <c r="B684" s="116">
        <v>2697.8</v>
      </c>
      <c r="C684" s="116">
        <v>2685.95</v>
      </c>
      <c r="D684" s="116">
        <v>2483.3000000000002</v>
      </c>
      <c r="E684" s="116">
        <v>2500</v>
      </c>
      <c r="F684" s="116">
        <v>2685.95</v>
      </c>
      <c r="G684">
        <v>63182</v>
      </c>
      <c r="H684" s="116"/>
      <c r="I684" s="116"/>
      <c r="L684" s="170">
        <v>44574</v>
      </c>
      <c r="M684" s="116">
        <v>2685.15</v>
      </c>
      <c r="N684" s="116">
        <v>2697.85</v>
      </c>
      <c r="O684" s="116">
        <v>2483</v>
      </c>
      <c r="P684" s="116">
        <v>2491.5</v>
      </c>
      <c r="Q684" s="116">
        <v>2685.15</v>
      </c>
      <c r="R684">
        <v>1933012</v>
      </c>
    </row>
    <row r="685" spans="1:18" x14ac:dyDescent="0.25">
      <c r="A685" s="170">
        <v>44575</v>
      </c>
      <c r="B685" s="116">
        <v>2758.95</v>
      </c>
      <c r="C685" s="116">
        <v>2692.85</v>
      </c>
      <c r="D685" s="116">
        <v>2654.1</v>
      </c>
      <c r="E685" s="116">
        <v>2685.95</v>
      </c>
      <c r="F685" s="116">
        <v>2692.85</v>
      </c>
      <c r="G685">
        <v>100506</v>
      </c>
      <c r="H685" s="116"/>
      <c r="I685" s="116"/>
      <c r="L685" s="170">
        <v>44575</v>
      </c>
      <c r="M685" s="116">
        <v>2693.9</v>
      </c>
      <c r="N685" s="116">
        <v>2759.9</v>
      </c>
      <c r="O685" s="116">
        <v>2652.15</v>
      </c>
      <c r="P685" s="116">
        <v>2685.15</v>
      </c>
      <c r="Q685" s="116">
        <v>2693.9</v>
      </c>
      <c r="R685">
        <v>1636239</v>
      </c>
    </row>
    <row r="686" spans="1:18" x14ac:dyDescent="0.25">
      <c r="A686" s="170">
        <v>44578</v>
      </c>
      <c r="B686" s="116">
        <v>2739.9</v>
      </c>
      <c r="C686" s="116">
        <v>2702.4</v>
      </c>
      <c r="D686" s="116">
        <v>2696</v>
      </c>
      <c r="E686" s="116">
        <v>2710</v>
      </c>
      <c r="F686" s="116">
        <v>2702.4</v>
      </c>
      <c r="G686">
        <v>17877</v>
      </c>
      <c r="H686" s="116"/>
      <c r="I686" s="116"/>
      <c r="L686" s="170">
        <v>44578</v>
      </c>
      <c r="M686" s="116">
        <v>2702.75</v>
      </c>
      <c r="N686" s="116">
        <v>2739.85</v>
      </c>
      <c r="O686" s="116">
        <v>2691.7</v>
      </c>
      <c r="P686" s="116">
        <v>2700</v>
      </c>
      <c r="Q686" s="116">
        <v>2702.75</v>
      </c>
      <c r="R686">
        <v>407860</v>
      </c>
    </row>
    <row r="687" spans="1:18" x14ac:dyDescent="0.25">
      <c r="A687" s="170">
        <v>44579</v>
      </c>
      <c r="B687" s="116">
        <v>2770.85</v>
      </c>
      <c r="C687" s="116">
        <v>2659.15</v>
      </c>
      <c r="D687" s="116">
        <v>2646.25</v>
      </c>
      <c r="E687" s="116">
        <v>2741</v>
      </c>
      <c r="F687" s="116">
        <v>2659.15</v>
      </c>
      <c r="G687">
        <v>29607</v>
      </c>
      <c r="H687" s="116"/>
      <c r="I687" s="116"/>
      <c r="L687" s="170">
        <v>44579</v>
      </c>
      <c r="M687" s="116">
        <v>2658.7</v>
      </c>
      <c r="N687" s="116">
        <v>2771.75</v>
      </c>
      <c r="O687" s="116">
        <v>2643.4</v>
      </c>
      <c r="P687" s="116">
        <v>2723</v>
      </c>
      <c r="Q687" s="116">
        <v>2658.7</v>
      </c>
      <c r="R687">
        <v>864192</v>
      </c>
    </row>
    <row r="688" spans="1:18" x14ac:dyDescent="0.25">
      <c r="A688" s="170">
        <v>44580</v>
      </c>
      <c r="B688" s="116">
        <v>2700.35</v>
      </c>
      <c r="C688" s="116">
        <v>2653.7</v>
      </c>
      <c r="D688" s="116">
        <v>2604.0500000000002</v>
      </c>
      <c r="E688" s="116">
        <v>2645.05</v>
      </c>
      <c r="F688" s="116">
        <v>2653.7</v>
      </c>
      <c r="G688">
        <v>32673</v>
      </c>
      <c r="H688" s="116"/>
      <c r="I688" s="116"/>
      <c r="L688" s="170">
        <v>44580</v>
      </c>
      <c r="M688" s="116">
        <v>2654.6</v>
      </c>
      <c r="N688" s="116">
        <v>2702.4</v>
      </c>
      <c r="O688" s="116">
        <v>2605.5500000000002</v>
      </c>
      <c r="P688" s="116">
        <v>2658</v>
      </c>
      <c r="Q688" s="116">
        <v>2654.6</v>
      </c>
      <c r="R688">
        <v>480182</v>
      </c>
    </row>
    <row r="689" spans="1:18" x14ac:dyDescent="0.25">
      <c r="A689" s="170">
        <v>44581</v>
      </c>
      <c r="B689" s="116">
        <v>2709.95</v>
      </c>
      <c r="C689" s="116">
        <v>2682</v>
      </c>
      <c r="D689" s="116">
        <v>2638.15</v>
      </c>
      <c r="E689" s="116">
        <v>2653</v>
      </c>
      <c r="F689" s="116">
        <v>2682</v>
      </c>
      <c r="G689">
        <v>17566</v>
      </c>
      <c r="H689" s="116"/>
      <c r="I689" s="116"/>
      <c r="L689" s="170">
        <v>44581</v>
      </c>
      <c r="M689" s="116">
        <v>2681.2</v>
      </c>
      <c r="N689" s="116">
        <v>2711</v>
      </c>
      <c r="O689" s="116">
        <v>2637.25</v>
      </c>
      <c r="P689" s="116">
        <v>2665</v>
      </c>
      <c r="Q689" s="116">
        <v>2681.2</v>
      </c>
      <c r="R689">
        <v>586436</v>
      </c>
    </row>
    <row r="690" spans="1:18" x14ac:dyDescent="0.25">
      <c r="A690" s="170">
        <v>44582</v>
      </c>
      <c r="B690" s="116">
        <v>2697</v>
      </c>
      <c r="C690" s="116">
        <v>2510.3000000000002</v>
      </c>
      <c r="D690" s="116">
        <v>2487.8000000000002</v>
      </c>
      <c r="E690" s="116">
        <v>2674.65</v>
      </c>
      <c r="F690" s="116">
        <v>2510.3000000000002</v>
      </c>
      <c r="G690">
        <v>117901</v>
      </c>
      <c r="H690" s="116"/>
      <c r="I690" s="116"/>
      <c r="L690" s="170">
        <v>44582</v>
      </c>
      <c r="M690" s="116">
        <v>2510.85</v>
      </c>
      <c r="N690" s="116">
        <v>2698</v>
      </c>
      <c r="O690" s="116">
        <v>2486.1</v>
      </c>
      <c r="P690" s="116">
        <v>2664</v>
      </c>
      <c r="Q690" s="116">
        <v>2510.85</v>
      </c>
      <c r="R690">
        <v>1514400</v>
      </c>
    </row>
    <row r="691" spans="1:18" x14ac:dyDescent="0.25">
      <c r="A691" s="170">
        <v>44585</v>
      </c>
      <c r="B691" s="116">
        <v>2527.5</v>
      </c>
      <c r="C691" s="116">
        <v>2458.0500000000002</v>
      </c>
      <c r="D691" s="116">
        <v>2378.1999999999998</v>
      </c>
      <c r="E691" s="116">
        <v>2527.5</v>
      </c>
      <c r="F691" s="116">
        <v>2458.0500000000002</v>
      </c>
      <c r="G691">
        <v>45825</v>
      </c>
      <c r="H691" s="116"/>
      <c r="I691" s="116"/>
      <c r="L691" s="170">
        <v>44585</v>
      </c>
      <c r="M691" s="116">
        <v>2463.4</v>
      </c>
      <c r="N691" s="116">
        <v>2509.9499999999998</v>
      </c>
      <c r="O691" s="116">
        <v>2377.3000000000002</v>
      </c>
      <c r="P691" s="116">
        <v>2509.9499999999998</v>
      </c>
      <c r="Q691" s="116">
        <v>2463.4</v>
      </c>
      <c r="R691">
        <v>887506</v>
      </c>
    </row>
    <row r="692" spans="1:18" x14ac:dyDescent="0.25">
      <c r="A692" s="170">
        <v>44586</v>
      </c>
      <c r="B692" s="116">
        <v>2515.65</v>
      </c>
      <c r="C692" s="116">
        <v>2477.35</v>
      </c>
      <c r="D692" s="116">
        <v>2388.5500000000002</v>
      </c>
      <c r="E692" s="116">
        <v>2450</v>
      </c>
      <c r="F692" s="116">
        <v>2477.35</v>
      </c>
      <c r="G692">
        <v>17120</v>
      </c>
      <c r="H692" s="116"/>
      <c r="I692" s="116"/>
      <c r="L692" s="170">
        <v>44586</v>
      </c>
      <c r="M692" s="116">
        <v>2475.6999999999998</v>
      </c>
      <c r="N692" s="116">
        <v>2516.5500000000002</v>
      </c>
      <c r="O692" s="116">
        <v>2390</v>
      </c>
      <c r="P692" s="116">
        <v>2412</v>
      </c>
      <c r="Q692" s="116">
        <v>2475.6999999999998</v>
      </c>
      <c r="R692">
        <v>585589</v>
      </c>
    </row>
    <row r="693" spans="1:18" x14ac:dyDescent="0.25">
      <c r="A693" s="170">
        <v>44588</v>
      </c>
      <c r="B693" s="116">
        <v>2505.0500000000002</v>
      </c>
      <c r="C693" s="116">
        <v>2487.9</v>
      </c>
      <c r="D693" s="116">
        <v>2380</v>
      </c>
      <c r="E693" s="116">
        <v>2485</v>
      </c>
      <c r="F693" s="116">
        <v>2487.9</v>
      </c>
      <c r="G693">
        <v>40354</v>
      </c>
      <c r="H693" s="116"/>
      <c r="I693" s="116"/>
      <c r="L693" s="170">
        <v>44588</v>
      </c>
      <c r="M693" s="116">
        <v>2489.0500000000002</v>
      </c>
      <c r="N693" s="116">
        <v>2504.9499999999998</v>
      </c>
      <c r="O693" s="116">
        <v>2380.1999999999998</v>
      </c>
      <c r="P693" s="116">
        <v>2460</v>
      </c>
      <c r="Q693" s="116">
        <v>2489.0500000000002</v>
      </c>
      <c r="R693">
        <v>581542</v>
      </c>
    </row>
    <row r="694" spans="1:18" x14ac:dyDescent="0.25">
      <c r="A694" s="170">
        <v>44589</v>
      </c>
      <c r="B694" s="116">
        <v>2580</v>
      </c>
      <c r="C694" s="116">
        <v>2512.75</v>
      </c>
      <c r="D694" s="116">
        <v>2460</v>
      </c>
      <c r="E694" s="116">
        <v>2460</v>
      </c>
      <c r="F694" s="116">
        <v>2512.75</v>
      </c>
      <c r="G694">
        <v>13166</v>
      </c>
      <c r="H694" s="116"/>
      <c r="I694" s="116"/>
      <c r="L694" s="170">
        <v>44589</v>
      </c>
      <c r="M694" s="116">
        <v>2514.0500000000002</v>
      </c>
      <c r="N694" s="116">
        <v>2580.5</v>
      </c>
      <c r="O694" s="116">
        <v>2492.35</v>
      </c>
      <c r="P694" s="116">
        <v>2498</v>
      </c>
      <c r="Q694" s="116">
        <v>2514.0500000000002</v>
      </c>
      <c r="R694">
        <v>339531</v>
      </c>
    </row>
    <row r="695" spans="1:18" x14ac:dyDescent="0.25">
      <c r="A695" s="170">
        <v>44592</v>
      </c>
      <c r="B695" s="116">
        <v>2556.8000000000002</v>
      </c>
      <c r="C695" s="116">
        <v>2523.4</v>
      </c>
      <c r="D695" s="116">
        <v>2490</v>
      </c>
      <c r="E695" s="116">
        <v>2556.8000000000002</v>
      </c>
      <c r="F695" s="116">
        <v>2523.4</v>
      </c>
      <c r="G695">
        <v>10728</v>
      </c>
      <c r="H695" s="116"/>
      <c r="I695" s="116"/>
      <c r="L695" s="170">
        <v>44592</v>
      </c>
      <c r="M695" s="116">
        <v>2523.9</v>
      </c>
      <c r="N695" s="116">
        <v>2552.9499999999998</v>
      </c>
      <c r="O695" s="116">
        <v>2490</v>
      </c>
      <c r="P695" s="116">
        <v>2539.0500000000002</v>
      </c>
      <c r="Q695" s="116">
        <v>2523.9</v>
      </c>
      <c r="R695">
        <v>248282</v>
      </c>
    </row>
    <row r="696" spans="1:18" x14ac:dyDescent="0.25">
      <c r="A696" s="170">
        <v>44593</v>
      </c>
      <c r="B696" s="116">
        <v>2585</v>
      </c>
      <c r="C696" s="116">
        <v>2541.1999999999998</v>
      </c>
      <c r="D696" s="116">
        <v>2495</v>
      </c>
      <c r="E696" s="116">
        <v>2550</v>
      </c>
      <c r="F696" s="116">
        <v>2541.1999999999998</v>
      </c>
      <c r="G696">
        <v>8765</v>
      </c>
      <c r="H696" s="116"/>
      <c r="I696" s="116"/>
      <c r="L696" s="170">
        <v>44593</v>
      </c>
      <c r="M696" s="116">
        <v>2539.4</v>
      </c>
      <c r="N696" s="116">
        <v>2584.9499999999998</v>
      </c>
      <c r="O696" s="116">
        <v>2493.3000000000002</v>
      </c>
      <c r="P696" s="116">
        <v>2549.9</v>
      </c>
      <c r="Q696" s="116">
        <v>2539.4</v>
      </c>
      <c r="R696">
        <v>299629</v>
      </c>
    </row>
    <row r="697" spans="1:18" x14ac:dyDescent="0.25">
      <c r="A697" s="170">
        <v>44594</v>
      </c>
      <c r="B697" s="116">
        <v>2543.85</v>
      </c>
      <c r="C697" s="116">
        <v>2501.5500000000002</v>
      </c>
      <c r="D697" s="116">
        <v>2490</v>
      </c>
      <c r="E697" s="116">
        <v>2520</v>
      </c>
      <c r="F697" s="116">
        <v>2501.5500000000002</v>
      </c>
      <c r="G697">
        <v>19622</v>
      </c>
      <c r="H697" s="116"/>
      <c r="I697" s="116"/>
      <c r="L697" s="170">
        <v>44594</v>
      </c>
      <c r="M697" s="116">
        <v>2499.9</v>
      </c>
      <c r="N697" s="116">
        <v>2544.8000000000002</v>
      </c>
      <c r="O697" s="116">
        <v>2479.3000000000002</v>
      </c>
      <c r="P697" s="116">
        <v>2500</v>
      </c>
      <c r="Q697" s="116">
        <v>2499.9</v>
      </c>
      <c r="R697">
        <v>417344</v>
      </c>
    </row>
    <row r="698" spans="1:18" x14ac:dyDescent="0.25">
      <c r="A698" s="170">
        <v>44595</v>
      </c>
      <c r="B698" s="116">
        <v>2521.75</v>
      </c>
      <c r="C698" s="116">
        <v>2496.15</v>
      </c>
      <c r="D698" s="116">
        <v>2481.65</v>
      </c>
      <c r="E698" s="116">
        <v>2509</v>
      </c>
      <c r="F698" s="116">
        <v>2496.15</v>
      </c>
      <c r="G698">
        <v>12195</v>
      </c>
      <c r="H698" s="116"/>
      <c r="I698" s="116"/>
      <c r="L698" s="170">
        <v>44595</v>
      </c>
      <c r="M698" s="116">
        <v>2494.85</v>
      </c>
      <c r="N698" s="116">
        <v>2522.8000000000002</v>
      </c>
      <c r="O698" s="116">
        <v>2481</v>
      </c>
      <c r="P698" s="116">
        <v>2504</v>
      </c>
      <c r="Q698" s="116">
        <v>2494.85</v>
      </c>
      <c r="R698">
        <v>255814</v>
      </c>
    </row>
    <row r="699" spans="1:18" x14ac:dyDescent="0.25">
      <c r="A699" s="170">
        <v>44596</v>
      </c>
      <c r="B699" s="116">
        <v>2517.4499999999998</v>
      </c>
      <c r="C699" s="116">
        <v>2495.8000000000002</v>
      </c>
      <c r="D699" s="116">
        <v>2475</v>
      </c>
      <c r="E699" s="116">
        <v>2491</v>
      </c>
      <c r="F699" s="116">
        <v>2495.8000000000002</v>
      </c>
      <c r="G699">
        <v>15317</v>
      </c>
      <c r="H699" s="116"/>
      <c r="I699" s="116"/>
      <c r="L699" s="170">
        <v>44596</v>
      </c>
      <c r="M699" s="116">
        <v>2497.1999999999998</v>
      </c>
      <c r="N699" s="116">
        <v>2516.6999999999998</v>
      </c>
      <c r="O699" s="116">
        <v>2475</v>
      </c>
      <c r="P699" s="116">
        <v>2490.1</v>
      </c>
      <c r="Q699" s="116">
        <v>2497.1999999999998</v>
      </c>
      <c r="R699">
        <v>212422</v>
      </c>
    </row>
    <row r="700" spans="1:18" x14ac:dyDescent="0.25">
      <c r="A700" s="170">
        <v>44599</v>
      </c>
      <c r="B700" s="116">
        <v>2518.6</v>
      </c>
      <c r="C700" s="116">
        <v>2400.6999999999998</v>
      </c>
      <c r="D700" s="116">
        <v>2379.9499999999998</v>
      </c>
      <c r="E700" s="116">
        <v>2518.6</v>
      </c>
      <c r="F700" s="116">
        <v>2400.6999999999998</v>
      </c>
      <c r="G700">
        <v>40453</v>
      </c>
      <c r="H700" s="116"/>
      <c r="I700" s="116"/>
      <c r="L700" s="170">
        <v>44599</v>
      </c>
      <c r="M700" s="116">
        <v>2401</v>
      </c>
      <c r="N700" s="116">
        <v>2506.1</v>
      </c>
      <c r="O700" s="116">
        <v>2387</v>
      </c>
      <c r="P700" s="116">
        <v>2497.1999999999998</v>
      </c>
      <c r="Q700" s="116">
        <v>2401</v>
      </c>
      <c r="R700">
        <v>279580</v>
      </c>
    </row>
    <row r="701" spans="1:18" x14ac:dyDescent="0.25">
      <c r="A701" s="170">
        <v>44600</v>
      </c>
      <c r="B701" s="116">
        <v>2438</v>
      </c>
      <c r="C701" s="116">
        <v>2368</v>
      </c>
      <c r="D701" s="116">
        <v>2324.15</v>
      </c>
      <c r="E701" s="116">
        <v>2438</v>
      </c>
      <c r="F701" s="116">
        <v>2368</v>
      </c>
      <c r="G701">
        <v>15593</v>
      </c>
      <c r="H701" s="116"/>
      <c r="I701" s="116"/>
      <c r="L701" s="170">
        <v>44600</v>
      </c>
      <c r="M701" s="116">
        <v>2368.75</v>
      </c>
      <c r="N701" s="116">
        <v>2435</v>
      </c>
      <c r="O701" s="116">
        <v>2323</v>
      </c>
      <c r="P701" s="116">
        <v>2400</v>
      </c>
      <c r="Q701" s="116">
        <v>2368.75</v>
      </c>
      <c r="R701">
        <v>342707</v>
      </c>
    </row>
    <row r="702" spans="1:18" x14ac:dyDescent="0.25">
      <c r="A702" s="170">
        <v>44601</v>
      </c>
      <c r="B702" s="116">
        <v>2450</v>
      </c>
      <c r="C702" s="116">
        <v>2441.8000000000002</v>
      </c>
      <c r="D702" s="116">
        <v>2380</v>
      </c>
      <c r="E702" s="116">
        <v>2380</v>
      </c>
      <c r="F702" s="116">
        <v>2441.8000000000002</v>
      </c>
      <c r="G702">
        <v>7227</v>
      </c>
      <c r="H702" s="116"/>
      <c r="I702" s="116"/>
      <c r="L702" s="170">
        <v>44601</v>
      </c>
      <c r="M702" s="116">
        <v>2440.8000000000002</v>
      </c>
      <c r="N702" s="116">
        <v>2448.75</v>
      </c>
      <c r="O702" s="116">
        <v>2370.15</v>
      </c>
      <c r="P702" s="116">
        <v>2370.15</v>
      </c>
      <c r="Q702" s="116">
        <v>2440.8000000000002</v>
      </c>
      <c r="R702">
        <v>247301</v>
      </c>
    </row>
    <row r="703" spans="1:18" x14ac:dyDescent="0.25">
      <c r="A703" s="170">
        <v>44602</v>
      </c>
      <c r="B703" s="116">
        <v>2465</v>
      </c>
      <c r="C703" s="116">
        <v>2416.6999999999998</v>
      </c>
      <c r="D703" s="116">
        <v>2409.0500000000002</v>
      </c>
      <c r="E703" s="116">
        <v>2465</v>
      </c>
      <c r="F703" s="116">
        <v>2416.6999999999998</v>
      </c>
      <c r="G703">
        <v>25588</v>
      </c>
      <c r="H703" s="116"/>
      <c r="I703" s="116"/>
      <c r="L703" s="170">
        <v>44602</v>
      </c>
      <c r="M703" s="116">
        <v>2416.65</v>
      </c>
      <c r="N703" s="116">
        <v>2458</v>
      </c>
      <c r="O703" s="116">
        <v>2410</v>
      </c>
      <c r="P703" s="116">
        <v>2455</v>
      </c>
      <c r="Q703" s="116">
        <v>2416.65</v>
      </c>
      <c r="R703">
        <v>129427</v>
      </c>
    </row>
    <row r="704" spans="1:18" x14ac:dyDescent="0.25">
      <c r="A704" s="170">
        <v>44603</v>
      </c>
      <c r="B704" s="116">
        <v>2411.6999999999998</v>
      </c>
      <c r="C704" s="116">
        <v>2368.15</v>
      </c>
      <c r="D704" s="116">
        <v>2350.0500000000002</v>
      </c>
      <c r="E704" s="116">
        <v>2393</v>
      </c>
      <c r="F704" s="116">
        <v>2368.15</v>
      </c>
      <c r="G704">
        <v>20022</v>
      </c>
      <c r="H704" s="116"/>
      <c r="I704" s="116"/>
      <c r="L704" s="170">
        <v>44603</v>
      </c>
      <c r="M704" s="116">
        <v>2366.75</v>
      </c>
      <c r="N704" s="116">
        <v>2410</v>
      </c>
      <c r="O704" s="116">
        <v>2350</v>
      </c>
      <c r="P704" s="116">
        <v>2410</v>
      </c>
      <c r="Q704" s="116">
        <v>2366.75</v>
      </c>
      <c r="R704">
        <v>243601</v>
      </c>
    </row>
    <row r="705" spans="1:18" x14ac:dyDescent="0.25">
      <c r="A705" s="170">
        <v>44606</v>
      </c>
      <c r="B705" s="116">
        <v>2344</v>
      </c>
      <c r="C705" s="116">
        <v>2289.8000000000002</v>
      </c>
      <c r="D705" s="116">
        <v>2131.35</v>
      </c>
      <c r="E705" s="116">
        <v>2131.35</v>
      </c>
      <c r="F705" s="116">
        <v>2289.8000000000002</v>
      </c>
      <c r="G705">
        <v>35743</v>
      </c>
      <c r="H705" s="116"/>
      <c r="I705" s="116"/>
      <c r="L705" s="170">
        <v>44606</v>
      </c>
      <c r="M705" s="116">
        <v>2290.15</v>
      </c>
      <c r="N705" s="116">
        <v>2345.0500000000002</v>
      </c>
      <c r="O705" s="116">
        <v>2253</v>
      </c>
      <c r="P705" s="116">
        <v>2253</v>
      </c>
      <c r="Q705" s="116">
        <v>2290.15</v>
      </c>
      <c r="R705">
        <v>456213</v>
      </c>
    </row>
    <row r="706" spans="1:18" x14ac:dyDescent="0.25">
      <c r="A706" s="170">
        <v>44607</v>
      </c>
      <c r="B706" s="116">
        <v>2412.65</v>
      </c>
      <c r="C706" s="116">
        <v>2399.4499999999998</v>
      </c>
      <c r="D706" s="116">
        <v>2269</v>
      </c>
      <c r="E706" s="116">
        <v>2290</v>
      </c>
      <c r="F706" s="116">
        <v>2399.4499999999998</v>
      </c>
      <c r="G706">
        <v>16060</v>
      </c>
      <c r="H706" s="116"/>
      <c r="I706" s="116"/>
      <c r="L706" s="170">
        <v>44607</v>
      </c>
      <c r="M706" s="116">
        <v>2394.75</v>
      </c>
      <c r="N706" s="116">
        <v>2413.1999999999998</v>
      </c>
      <c r="O706" s="116">
        <v>2264.5500000000002</v>
      </c>
      <c r="P706" s="116">
        <v>2282</v>
      </c>
      <c r="Q706" s="116">
        <v>2394.75</v>
      </c>
      <c r="R706">
        <v>333371</v>
      </c>
    </row>
    <row r="707" spans="1:18" x14ac:dyDescent="0.25">
      <c r="A707" s="170">
        <v>44608</v>
      </c>
      <c r="B707" s="116">
        <v>2430.65</v>
      </c>
      <c r="C707" s="116">
        <v>2382.75</v>
      </c>
      <c r="D707" s="116">
        <v>2365</v>
      </c>
      <c r="E707" s="116">
        <v>2400</v>
      </c>
      <c r="F707" s="116">
        <v>2382.75</v>
      </c>
      <c r="G707">
        <v>20078</v>
      </c>
      <c r="H707" s="116"/>
      <c r="I707" s="116"/>
      <c r="L707" s="170">
        <v>44608</v>
      </c>
      <c r="M707" s="116">
        <v>2385.3000000000002</v>
      </c>
      <c r="N707" s="116">
        <v>2432.35</v>
      </c>
      <c r="O707" s="116">
        <v>2364</v>
      </c>
      <c r="P707" s="116">
        <v>2415</v>
      </c>
      <c r="Q707" s="116">
        <v>2385.3000000000002</v>
      </c>
      <c r="R707">
        <v>289019</v>
      </c>
    </row>
    <row r="708" spans="1:18" x14ac:dyDescent="0.25">
      <c r="A708" s="170">
        <v>44609</v>
      </c>
      <c r="B708" s="116">
        <v>2422.75</v>
      </c>
      <c r="C708" s="116">
        <v>2391.5500000000002</v>
      </c>
      <c r="D708" s="116">
        <v>2360.4499999999998</v>
      </c>
      <c r="E708" s="116">
        <v>2422.75</v>
      </c>
      <c r="F708" s="116">
        <v>2391.5500000000002</v>
      </c>
      <c r="G708">
        <v>6602</v>
      </c>
      <c r="H708" s="116"/>
      <c r="I708" s="116"/>
      <c r="L708" s="170">
        <v>44609</v>
      </c>
      <c r="M708" s="116">
        <v>2389.15</v>
      </c>
      <c r="N708" s="116">
        <v>2417</v>
      </c>
      <c r="O708" s="116">
        <v>2360.3000000000002</v>
      </c>
      <c r="P708" s="116">
        <v>2401.9499999999998</v>
      </c>
      <c r="Q708" s="116">
        <v>2389.15</v>
      </c>
      <c r="R708">
        <v>213203</v>
      </c>
    </row>
    <row r="709" spans="1:18" x14ac:dyDescent="0.25">
      <c r="A709" s="170">
        <v>44610</v>
      </c>
      <c r="B709" s="116">
        <v>2430.5500000000002</v>
      </c>
      <c r="C709" s="116">
        <v>2384.25</v>
      </c>
      <c r="D709" s="116">
        <v>2358.25</v>
      </c>
      <c r="E709" s="116">
        <v>2369.8000000000002</v>
      </c>
      <c r="F709" s="116">
        <v>2384.25</v>
      </c>
      <c r="G709">
        <v>15041</v>
      </c>
      <c r="H709" s="116"/>
      <c r="I709" s="116"/>
      <c r="L709" s="170">
        <v>44610</v>
      </c>
      <c r="M709" s="116">
        <v>2380.1999999999998</v>
      </c>
      <c r="N709" s="116">
        <v>2430.9499999999998</v>
      </c>
      <c r="O709" s="116">
        <v>2352</v>
      </c>
      <c r="P709" s="116">
        <v>2363.1999999999998</v>
      </c>
      <c r="Q709" s="116">
        <v>2380.1999999999998</v>
      </c>
      <c r="R709">
        <v>185219</v>
      </c>
    </row>
    <row r="710" spans="1:18" x14ac:dyDescent="0.25">
      <c r="A710" s="170">
        <v>44613</v>
      </c>
      <c r="B710" s="116">
        <v>2413.4499999999998</v>
      </c>
      <c r="C710" s="116">
        <v>2379.5500000000002</v>
      </c>
      <c r="D710" s="116">
        <v>2337.9499999999998</v>
      </c>
      <c r="E710" s="116">
        <v>2362.0500000000002</v>
      </c>
      <c r="F710" s="116">
        <v>2379.5500000000002</v>
      </c>
      <c r="G710">
        <v>17816</v>
      </c>
      <c r="H710" s="116"/>
      <c r="I710" s="116"/>
      <c r="L710" s="170">
        <v>44613</v>
      </c>
      <c r="M710" s="116">
        <v>2380.9499999999998</v>
      </c>
      <c r="N710" s="116">
        <v>2414.25</v>
      </c>
      <c r="O710" s="116">
        <v>2338</v>
      </c>
      <c r="P710" s="116">
        <v>2374</v>
      </c>
      <c r="Q710" s="116">
        <v>2380.9499999999998</v>
      </c>
      <c r="R710">
        <v>338514</v>
      </c>
    </row>
    <row r="711" spans="1:18" x14ac:dyDescent="0.25">
      <c r="A711" s="170">
        <v>44614</v>
      </c>
      <c r="B711" s="116">
        <v>2398.35</v>
      </c>
      <c r="C711" s="116">
        <v>2376.25</v>
      </c>
      <c r="D711" s="116">
        <v>2281.6</v>
      </c>
      <c r="E711" s="116">
        <v>2305</v>
      </c>
      <c r="F711" s="116">
        <v>2376.25</v>
      </c>
      <c r="G711">
        <v>10452</v>
      </c>
      <c r="H711" s="116"/>
      <c r="I711" s="116"/>
      <c r="L711" s="170">
        <v>44614</v>
      </c>
      <c r="M711" s="116">
        <v>2373.6</v>
      </c>
      <c r="N711" s="116">
        <v>2399</v>
      </c>
      <c r="O711" s="116">
        <v>2280.0500000000002</v>
      </c>
      <c r="P711" s="116">
        <v>2302</v>
      </c>
      <c r="Q711" s="116">
        <v>2373.6</v>
      </c>
      <c r="R711">
        <v>280218</v>
      </c>
    </row>
    <row r="712" spans="1:18" x14ac:dyDescent="0.25">
      <c r="A712" s="170">
        <v>44615</v>
      </c>
      <c r="B712" s="116">
        <v>2415</v>
      </c>
      <c r="C712" s="116">
        <v>2388.1</v>
      </c>
      <c r="D712" s="116">
        <v>2380.1</v>
      </c>
      <c r="E712" s="116">
        <v>2380.1</v>
      </c>
      <c r="F712" s="116">
        <v>2388.1</v>
      </c>
      <c r="G712">
        <v>11048</v>
      </c>
      <c r="H712" s="116"/>
      <c r="I712" s="116"/>
      <c r="L712" s="170">
        <v>44615</v>
      </c>
      <c r="M712" s="116">
        <v>2384.65</v>
      </c>
      <c r="N712" s="116">
        <v>2417.4</v>
      </c>
      <c r="O712" s="116">
        <v>2379.35</v>
      </c>
      <c r="P712" s="116">
        <v>2388</v>
      </c>
      <c r="Q712" s="116">
        <v>2384.65</v>
      </c>
      <c r="R712">
        <v>180733</v>
      </c>
    </row>
    <row r="713" spans="1:18" x14ac:dyDescent="0.25">
      <c r="A713" s="170">
        <v>44616</v>
      </c>
      <c r="B713" s="116">
        <v>2358.4</v>
      </c>
      <c r="C713" s="116">
        <v>2279.4499999999998</v>
      </c>
      <c r="D713" s="116">
        <v>2262.9</v>
      </c>
      <c r="E713" s="116">
        <v>2269</v>
      </c>
      <c r="F713" s="116">
        <v>2279.4499999999998</v>
      </c>
      <c r="G713">
        <v>54151</v>
      </c>
      <c r="H713" s="116"/>
      <c r="I713" s="116"/>
      <c r="L713" s="170">
        <v>44616</v>
      </c>
      <c r="M713" s="116">
        <v>2282.65</v>
      </c>
      <c r="N713" s="116">
        <v>2358.9</v>
      </c>
      <c r="O713" s="116">
        <v>2262.6</v>
      </c>
      <c r="P713" s="116">
        <v>2318</v>
      </c>
      <c r="Q713" s="116">
        <v>2282.65</v>
      </c>
      <c r="R713">
        <v>411460</v>
      </c>
    </row>
    <row r="714" spans="1:18" x14ac:dyDescent="0.25">
      <c r="A714" s="170">
        <v>44617</v>
      </c>
      <c r="B714" s="116">
        <v>2411.9499999999998</v>
      </c>
      <c r="C714" s="116">
        <v>2332.8000000000002</v>
      </c>
      <c r="D714" s="116">
        <v>2286.1</v>
      </c>
      <c r="E714" s="116">
        <v>2286.1</v>
      </c>
      <c r="F714" s="116">
        <v>2332.8000000000002</v>
      </c>
      <c r="G714">
        <v>18786</v>
      </c>
      <c r="H714" s="116"/>
      <c r="I714" s="116"/>
      <c r="L714" s="170">
        <v>44617</v>
      </c>
      <c r="M714" s="116">
        <v>2332.35</v>
      </c>
      <c r="N714" s="116">
        <v>2414</v>
      </c>
      <c r="O714" s="116">
        <v>2310.35</v>
      </c>
      <c r="P714" s="116">
        <v>2320</v>
      </c>
      <c r="Q714" s="116">
        <v>2332.35</v>
      </c>
      <c r="R714">
        <v>411506</v>
      </c>
    </row>
    <row r="715" spans="1:18" x14ac:dyDescent="0.25">
      <c r="A715" s="170">
        <v>44620</v>
      </c>
      <c r="B715" s="116">
        <v>2382</v>
      </c>
      <c r="C715" s="116">
        <v>2352.5500000000002</v>
      </c>
      <c r="D715" s="116">
        <v>2290</v>
      </c>
      <c r="E715" s="116">
        <v>2290</v>
      </c>
      <c r="F715" s="116">
        <v>2352.5500000000002</v>
      </c>
      <c r="G715">
        <v>24201</v>
      </c>
      <c r="H715" s="116"/>
      <c r="I715" s="116"/>
      <c r="L715" s="170">
        <v>44620</v>
      </c>
      <c r="M715" s="116">
        <v>2374.85</v>
      </c>
      <c r="N715" s="116">
        <v>2387.9</v>
      </c>
      <c r="O715" s="116">
        <v>2290.15</v>
      </c>
      <c r="P715" s="116">
        <v>2305</v>
      </c>
      <c r="Q715" s="116">
        <v>2374.85</v>
      </c>
      <c r="R715">
        <v>219676</v>
      </c>
    </row>
    <row r="716" spans="1:18" x14ac:dyDescent="0.25">
      <c r="A716" s="170">
        <v>44622</v>
      </c>
      <c r="B716" s="116">
        <v>2388.1999999999998</v>
      </c>
      <c r="C716" s="116">
        <v>2339.9499999999998</v>
      </c>
      <c r="D716" s="116">
        <v>2310</v>
      </c>
      <c r="E716" s="116">
        <v>2352.6</v>
      </c>
      <c r="F716" s="116">
        <v>2339.9499999999998</v>
      </c>
      <c r="G716">
        <v>7577</v>
      </c>
      <c r="H716" s="116"/>
      <c r="I716" s="116"/>
      <c r="L716" s="170">
        <v>44622</v>
      </c>
      <c r="M716" s="116">
        <v>2340.8000000000002</v>
      </c>
      <c r="N716" s="116">
        <v>2389</v>
      </c>
      <c r="O716" s="116">
        <v>2309.1</v>
      </c>
      <c r="P716" s="116">
        <v>2350</v>
      </c>
      <c r="Q716" s="116">
        <v>2340.8000000000002</v>
      </c>
      <c r="R716">
        <v>239565</v>
      </c>
    </row>
    <row r="717" spans="1:18" x14ac:dyDescent="0.25">
      <c r="A717" s="170">
        <v>44623</v>
      </c>
      <c r="B717" s="116">
        <v>2380</v>
      </c>
      <c r="C717" s="116">
        <v>2315.5</v>
      </c>
      <c r="D717" s="116">
        <v>2295.3000000000002</v>
      </c>
      <c r="E717" s="116">
        <v>2374.9499999999998</v>
      </c>
      <c r="F717" s="116">
        <v>2315.5</v>
      </c>
      <c r="G717">
        <v>7780</v>
      </c>
      <c r="H717" s="116"/>
      <c r="I717" s="116"/>
      <c r="L717" s="170">
        <v>44623</v>
      </c>
      <c r="M717" s="116">
        <v>2316.35</v>
      </c>
      <c r="N717" s="116">
        <v>2394.25</v>
      </c>
      <c r="O717" s="116">
        <v>2295</v>
      </c>
      <c r="P717" s="116">
        <v>2394.25</v>
      </c>
      <c r="Q717" s="116">
        <v>2316.35</v>
      </c>
      <c r="R717">
        <v>352076</v>
      </c>
    </row>
    <row r="718" spans="1:18" x14ac:dyDescent="0.25">
      <c r="A718" s="170">
        <v>44624</v>
      </c>
      <c r="B718" s="116">
        <v>2318</v>
      </c>
      <c r="C718" s="116">
        <v>2255.6</v>
      </c>
      <c r="D718" s="116">
        <v>2250</v>
      </c>
      <c r="E718" s="116">
        <v>2280</v>
      </c>
      <c r="F718" s="116">
        <v>2255.6</v>
      </c>
      <c r="G718">
        <v>12794</v>
      </c>
      <c r="H718" s="116"/>
      <c r="I718" s="116"/>
      <c r="L718" s="170">
        <v>44624</v>
      </c>
      <c r="M718" s="116">
        <v>2255.25</v>
      </c>
      <c r="N718" s="116">
        <v>2322</v>
      </c>
      <c r="O718" s="116">
        <v>2250</v>
      </c>
      <c r="P718" s="116">
        <v>2295.3000000000002</v>
      </c>
      <c r="Q718" s="116">
        <v>2255.25</v>
      </c>
      <c r="R718">
        <v>321987</v>
      </c>
    </row>
    <row r="719" spans="1:18" x14ac:dyDescent="0.25">
      <c r="A719" s="170">
        <v>44627</v>
      </c>
      <c r="B719" s="116">
        <v>2237.3000000000002</v>
      </c>
      <c r="C719" s="116">
        <v>2205.35</v>
      </c>
      <c r="D719" s="116">
        <v>2164</v>
      </c>
      <c r="E719" s="116">
        <v>2200</v>
      </c>
      <c r="F719" s="116">
        <v>2205.35</v>
      </c>
      <c r="G719">
        <v>44445</v>
      </c>
      <c r="H719" s="116"/>
      <c r="I719" s="116"/>
      <c r="L719" s="170">
        <v>44627</v>
      </c>
      <c r="M719" s="116">
        <v>2202.15</v>
      </c>
      <c r="N719" s="116">
        <v>2237.9499999999998</v>
      </c>
      <c r="O719" s="116">
        <v>2162</v>
      </c>
      <c r="P719" s="116">
        <v>2220</v>
      </c>
      <c r="Q719" s="116">
        <v>2202.15</v>
      </c>
      <c r="R719">
        <v>432285</v>
      </c>
    </row>
    <row r="720" spans="1:18" x14ac:dyDescent="0.25">
      <c r="A720" s="170">
        <v>44628</v>
      </c>
      <c r="B720" s="116">
        <v>2270</v>
      </c>
      <c r="C720" s="116">
        <v>2234.75</v>
      </c>
      <c r="D720" s="116">
        <v>2172.9499999999998</v>
      </c>
      <c r="E720" s="116">
        <v>2192</v>
      </c>
      <c r="F720" s="116">
        <v>2234.75</v>
      </c>
      <c r="G720">
        <v>24038</v>
      </c>
      <c r="H720" s="116"/>
      <c r="I720" s="116"/>
      <c r="L720" s="170">
        <v>44628</v>
      </c>
      <c r="M720" s="116">
        <v>2238.4</v>
      </c>
      <c r="N720" s="116">
        <v>2268</v>
      </c>
      <c r="O720" s="116">
        <v>2175</v>
      </c>
      <c r="P720" s="116">
        <v>2200</v>
      </c>
      <c r="Q720" s="116">
        <v>2238.4</v>
      </c>
      <c r="R720">
        <v>261245</v>
      </c>
    </row>
    <row r="721" spans="1:18" x14ac:dyDescent="0.25">
      <c r="A721" s="170">
        <v>44629</v>
      </c>
      <c r="B721" s="116">
        <v>2261</v>
      </c>
      <c r="C721" s="116">
        <v>2246.5500000000002</v>
      </c>
      <c r="D721" s="116">
        <v>2190.9</v>
      </c>
      <c r="E721" s="116">
        <v>2261</v>
      </c>
      <c r="F721" s="116">
        <v>2246.5500000000002</v>
      </c>
      <c r="G721">
        <v>19047</v>
      </c>
      <c r="H721" s="116"/>
      <c r="I721" s="116"/>
      <c r="L721" s="170">
        <v>44629</v>
      </c>
      <c r="M721" s="116">
        <v>2246.1999999999998</v>
      </c>
      <c r="N721" s="116">
        <v>2252.9499999999998</v>
      </c>
      <c r="O721" s="116">
        <v>2189.5500000000002</v>
      </c>
      <c r="P721" s="116">
        <v>2249.9</v>
      </c>
      <c r="Q721" s="116">
        <v>2246.1999999999998</v>
      </c>
      <c r="R721">
        <v>810023</v>
      </c>
    </row>
    <row r="722" spans="1:18" x14ac:dyDescent="0.25">
      <c r="A722" s="170">
        <v>44630</v>
      </c>
      <c r="B722" s="116">
        <v>2330.6999999999998</v>
      </c>
      <c r="C722" s="116">
        <v>2313.6999999999998</v>
      </c>
      <c r="D722" s="116">
        <v>2285</v>
      </c>
      <c r="E722" s="116">
        <v>2299</v>
      </c>
      <c r="F722" s="116">
        <v>2313.6999999999998</v>
      </c>
      <c r="G722">
        <v>21666</v>
      </c>
      <c r="H722" s="116"/>
      <c r="I722" s="116"/>
      <c r="L722" s="170">
        <v>44630</v>
      </c>
      <c r="M722" s="116">
        <v>2314.1</v>
      </c>
      <c r="N722" s="116">
        <v>2334.65</v>
      </c>
      <c r="O722" s="116">
        <v>2285.1</v>
      </c>
      <c r="P722" s="116">
        <v>2306.1999999999998</v>
      </c>
      <c r="Q722" s="116">
        <v>2314.1</v>
      </c>
      <c r="R722">
        <v>270388</v>
      </c>
    </row>
    <row r="723" spans="1:18" x14ac:dyDescent="0.25">
      <c r="A723" s="170">
        <v>44631</v>
      </c>
      <c r="B723" s="116">
        <v>2354.3000000000002</v>
      </c>
      <c r="C723" s="116">
        <v>2344</v>
      </c>
      <c r="D723" s="116">
        <v>2301.9499999999998</v>
      </c>
      <c r="E723" s="116">
        <v>2334</v>
      </c>
      <c r="F723" s="116">
        <v>2344</v>
      </c>
      <c r="G723">
        <v>6912</v>
      </c>
      <c r="H723" s="116"/>
      <c r="I723" s="116"/>
      <c r="L723" s="170">
        <v>44631</v>
      </c>
      <c r="M723" s="116">
        <v>2344.8000000000002</v>
      </c>
      <c r="N723" s="116">
        <v>2354.85</v>
      </c>
      <c r="O723" s="116">
        <v>2301</v>
      </c>
      <c r="P723" s="116">
        <v>2314</v>
      </c>
      <c r="Q723" s="116">
        <v>2344.8000000000002</v>
      </c>
      <c r="R723">
        <v>181223</v>
      </c>
    </row>
    <row r="724" spans="1:18" x14ac:dyDescent="0.25">
      <c r="A724" s="170">
        <v>44634</v>
      </c>
      <c r="B724" s="116">
        <v>2389</v>
      </c>
      <c r="C724" s="116">
        <v>2338.75</v>
      </c>
      <c r="D724" s="116">
        <v>2331.65</v>
      </c>
      <c r="E724" s="116">
        <v>2389</v>
      </c>
      <c r="F724" s="116">
        <v>2338.75</v>
      </c>
      <c r="G724">
        <v>5668</v>
      </c>
      <c r="H724" s="116"/>
      <c r="I724" s="116"/>
      <c r="L724" s="170">
        <v>44634</v>
      </c>
      <c r="M724" s="116">
        <v>2340.15</v>
      </c>
      <c r="N724" s="116">
        <v>2387.6999999999998</v>
      </c>
      <c r="O724" s="116">
        <v>2330</v>
      </c>
      <c r="P724" s="116">
        <v>2349.9499999999998</v>
      </c>
      <c r="Q724" s="116">
        <v>2340.15</v>
      </c>
      <c r="R724">
        <v>171285</v>
      </c>
    </row>
    <row r="725" spans="1:18" x14ac:dyDescent="0.25">
      <c r="A725" s="170">
        <v>44635</v>
      </c>
      <c r="B725" s="116">
        <v>2413.8000000000002</v>
      </c>
      <c r="C725" s="116">
        <v>2391.85</v>
      </c>
      <c r="D725" s="116">
        <v>2319.75</v>
      </c>
      <c r="E725" s="116">
        <v>2350</v>
      </c>
      <c r="F725" s="116">
        <v>2391.85</v>
      </c>
      <c r="G725">
        <v>9112</v>
      </c>
      <c r="H725" s="116"/>
      <c r="I725" s="116"/>
      <c r="L725" s="170">
        <v>44635</v>
      </c>
      <c r="M725" s="116">
        <v>2395.6</v>
      </c>
      <c r="N725" s="116">
        <v>2414</v>
      </c>
      <c r="O725" s="116">
        <v>2319.8000000000002</v>
      </c>
      <c r="P725" s="116">
        <v>2342</v>
      </c>
      <c r="Q725" s="116">
        <v>2395.6</v>
      </c>
      <c r="R725">
        <v>296426</v>
      </c>
    </row>
    <row r="726" spans="1:18" x14ac:dyDescent="0.25">
      <c r="A726" s="170">
        <v>44636</v>
      </c>
      <c r="B726" s="116">
        <v>2453</v>
      </c>
      <c r="C726" s="116">
        <v>2418.5500000000002</v>
      </c>
      <c r="D726" s="116">
        <v>2379.1999999999998</v>
      </c>
      <c r="E726" s="116">
        <v>2453</v>
      </c>
      <c r="F726" s="116">
        <v>2418.5500000000002</v>
      </c>
      <c r="G726">
        <v>8824</v>
      </c>
      <c r="H726" s="116"/>
      <c r="I726" s="116"/>
      <c r="L726" s="170">
        <v>44636</v>
      </c>
      <c r="M726" s="116">
        <v>2418.5</v>
      </c>
      <c r="N726" s="116">
        <v>2440.25</v>
      </c>
      <c r="O726" s="116">
        <v>2377.5500000000002</v>
      </c>
      <c r="P726" s="116">
        <v>2432</v>
      </c>
      <c r="Q726" s="116">
        <v>2418.5</v>
      </c>
      <c r="R726">
        <v>305418</v>
      </c>
    </row>
    <row r="727" spans="1:18" x14ac:dyDescent="0.25">
      <c r="A727" s="170">
        <v>44637</v>
      </c>
      <c r="B727" s="116">
        <v>2470</v>
      </c>
      <c r="C727" s="116">
        <v>2437.1</v>
      </c>
      <c r="D727" s="116">
        <v>2421.8000000000002</v>
      </c>
      <c r="E727" s="116">
        <v>2460</v>
      </c>
      <c r="F727" s="116">
        <v>2437.1</v>
      </c>
      <c r="G727">
        <v>23127</v>
      </c>
      <c r="H727" s="116"/>
      <c r="I727" s="116"/>
      <c r="L727" s="170">
        <v>44637</v>
      </c>
      <c r="M727" s="116">
        <v>2437.85</v>
      </c>
      <c r="N727" s="116">
        <v>2472</v>
      </c>
      <c r="O727" s="116">
        <v>2422</v>
      </c>
      <c r="P727" s="116">
        <v>2448</v>
      </c>
      <c r="Q727" s="116">
        <v>2437.85</v>
      </c>
      <c r="R727">
        <v>276468</v>
      </c>
    </row>
    <row r="728" spans="1:18" x14ac:dyDescent="0.25">
      <c r="A728" s="170">
        <v>44641</v>
      </c>
      <c r="B728" s="116">
        <v>2459.4</v>
      </c>
      <c r="C728" s="116">
        <v>2438.9</v>
      </c>
      <c r="D728" s="116">
        <v>2419.6999999999998</v>
      </c>
      <c r="E728" s="116">
        <v>2440</v>
      </c>
      <c r="F728" s="116">
        <v>2438.9</v>
      </c>
      <c r="G728">
        <v>3575</v>
      </c>
      <c r="H728" s="116"/>
      <c r="I728" s="116"/>
      <c r="L728" s="170">
        <v>44641</v>
      </c>
      <c r="M728" s="116">
        <v>2438.4</v>
      </c>
      <c r="N728" s="116">
        <v>2459.6999999999998</v>
      </c>
      <c r="O728" s="116">
        <v>2418.25</v>
      </c>
      <c r="P728" s="116">
        <v>2450</v>
      </c>
      <c r="Q728" s="116">
        <v>2438.4</v>
      </c>
      <c r="R728">
        <v>156630</v>
      </c>
    </row>
    <row r="729" spans="1:18" x14ac:dyDescent="0.25">
      <c r="A729" s="170">
        <v>44642</v>
      </c>
      <c r="B729" s="116">
        <v>2438.9</v>
      </c>
      <c r="C729" s="116">
        <v>2426.25</v>
      </c>
      <c r="D729" s="116">
        <v>2373.6</v>
      </c>
      <c r="E729" s="116">
        <v>2438.9</v>
      </c>
      <c r="F729" s="116">
        <v>2426.25</v>
      </c>
      <c r="G729">
        <v>12525</v>
      </c>
      <c r="H729" s="116"/>
      <c r="I729" s="116"/>
      <c r="L729" s="170">
        <v>44642</v>
      </c>
      <c r="M729" s="116">
        <v>2425.9</v>
      </c>
      <c r="N729" s="116">
        <v>2437.9499999999998</v>
      </c>
      <c r="O729" s="116">
        <v>2374</v>
      </c>
      <c r="P729" s="116">
        <v>2430</v>
      </c>
      <c r="Q729" s="116">
        <v>2425.9</v>
      </c>
      <c r="R729">
        <v>184847</v>
      </c>
    </row>
    <row r="730" spans="1:18" x14ac:dyDescent="0.25">
      <c r="A730" s="170">
        <v>44643</v>
      </c>
      <c r="B730" s="116">
        <v>2450</v>
      </c>
      <c r="C730" s="116">
        <v>2412.75</v>
      </c>
      <c r="D730" s="116">
        <v>2408</v>
      </c>
      <c r="E730" s="116">
        <v>2432.85</v>
      </c>
      <c r="F730" s="116">
        <v>2412.75</v>
      </c>
      <c r="G730">
        <v>12731</v>
      </c>
      <c r="H730" s="116"/>
      <c r="I730" s="116"/>
      <c r="L730" s="170">
        <v>44643</v>
      </c>
      <c r="M730" s="116">
        <v>2414</v>
      </c>
      <c r="N730" s="116">
        <v>2450</v>
      </c>
      <c r="O730" s="116">
        <v>2410</v>
      </c>
      <c r="P730" s="116">
        <v>2450</v>
      </c>
      <c r="Q730" s="116">
        <v>2414</v>
      </c>
      <c r="R730">
        <v>100890</v>
      </c>
    </row>
    <row r="731" spans="1:18" x14ac:dyDescent="0.25">
      <c r="A731" s="170">
        <v>44644</v>
      </c>
      <c r="B731" s="116">
        <v>2439.9499999999998</v>
      </c>
      <c r="C731" s="116">
        <v>2408.1999999999998</v>
      </c>
      <c r="D731" s="116">
        <v>2398.8000000000002</v>
      </c>
      <c r="E731" s="116">
        <v>2400</v>
      </c>
      <c r="F731" s="116">
        <v>2408.1999999999998</v>
      </c>
      <c r="G731">
        <v>3326</v>
      </c>
      <c r="H731" s="116"/>
      <c r="I731" s="116"/>
      <c r="L731" s="170">
        <v>44644</v>
      </c>
      <c r="M731" s="116">
        <v>2405.6</v>
      </c>
      <c r="N731" s="116">
        <v>2439.8000000000002</v>
      </c>
      <c r="O731" s="116">
        <v>2395.1999999999998</v>
      </c>
      <c r="P731" s="116">
        <v>2400</v>
      </c>
      <c r="Q731" s="116">
        <v>2405.6</v>
      </c>
      <c r="R731">
        <v>171484</v>
      </c>
    </row>
    <row r="732" spans="1:18" x14ac:dyDescent="0.25">
      <c r="A732" s="170">
        <v>44645</v>
      </c>
      <c r="B732" s="116">
        <v>2496.9499999999998</v>
      </c>
      <c r="C732" s="116">
        <v>2448.3000000000002</v>
      </c>
      <c r="D732" s="116">
        <v>2410.5500000000002</v>
      </c>
      <c r="E732" s="116">
        <v>2428.3000000000002</v>
      </c>
      <c r="F732" s="116">
        <v>2448.3000000000002</v>
      </c>
      <c r="G732">
        <v>24432</v>
      </c>
      <c r="H732" s="116"/>
      <c r="I732" s="116"/>
      <c r="L732" s="170">
        <v>44645</v>
      </c>
      <c r="M732" s="116">
        <v>2446.9</v>
      </c>
      <c r="N732" s="116">
        <v>2498</v>
      </c>
      <c r="O732" s="116">
        <v>2409.4</v>
      </c>
      <c r="P732" s="116">
        <v>2409.4</v>
      </c>
      <c r="Q732" s="116">
        <v>2446.9</v>
      </c>
      <c r="R732">
        <v>459704</v>
      </c>
    </row>
    <row r="733" spans="1:18" x14ac:dyDescent="0.25">
      <c r="A733" s="170">
        <v>44648</v>
      </c>
      <c r="B733" s="116">
        <v>2455.25</v>
      </c>
      <c r="C733" s="116">
        <v>2352.9</v>
      </c>
      <c r="D733" s="116">
        <v>2342.25</v>
      </c>
      <c r="E733" s="116">
        <v>2448.3000000000002</v>
      </c>
      <c r="F733" s="116">
        <v>2352.9</v>
      </c>
      <c r="G733">
        <v>20148</v>
      </c>
      <c r="H733" s="116"/>
      <c r="I733" s="116"/>
      <c r="L733" s="170">
        <v>44648</v>
      </c>
      <c r="M733" s="116">
        <v>2352.15</v>
      </c>
      <c r="N733" s="116">
        <v>2459.8000000000002</v>
      </c>
      <c r="O733" s="116">
        <v>2342</v>
      </c>
      <c r="P733" s="116">
        <v>2454</v>
      </c>
      <c r="Q733" s="116">
        <v>2352.15</v>
      </c>
      <c r="R733">
        <v>303521</v>
      </c>
    </row>
    <row r="734" spans="1:18" x14ac:dyDescent="0.25">
      <c r="A734" s="170">
        <v>44649</v>
      </c>
      <c r="B734" s="116">
        <v>2393.85</v>
      </c>
      <c r="C734" s="116">
        <v>2351.8000000000002</v>
      </c>
      <c r="D734" s="116">
        <v>2336.35</v>
      </c>
      <c r="E734" s="116">
        <v>2360</v>
      </c>
      <c r="F734" s="116">
        <v>2351.8000000000002</v>
      </c>
      <c r="G734">
        <v>13425</v>
      </c>
      <c r="H734" s="116"/>
      <c r="I734" s="116"/>
      <c r="L734" s="170">
        <v>44649</v>
      </c>
      <c r="M734" s="116">
        <v>2350.8000000000002</v>
      </c>
      <c r="N734" s="116">
        <v>2394.9</v>
      </c>
      <c r="O734" s="116">
        <v>2336.25</v>
      </c>
      <c r="P734" s="116">
        <v>2357.5</v>
      </c>
      <c r="Q734" s="116">
        <v>2350.8000000000002</v>
      </c>
      <c r="R734">
        <v>238300</v>
      </c>
    </row>
    <row r="735" spans="1:18" x14ac:dyDescent="0.25">
      <c r="A735" s="170">
        <v>44650</v>
      </c>
      <c r="B735" s="116">
        <v>2389</v>
      </c>
      <c r="C735" s="116">
        <v>2361.4499999999998</v>
      </c>
      <c r="D735" s="116">
        <v>2353</v>
      </c>
      <c r="E735" s="116">
        <v>2389</v>
      </c>
      <c r="F735" s="116">
        <v>2361.4499999999998</v>
      </c>
      <c r="G735">
        <v>13988</v>
      </c>
      <c r="H735" s="116"/>
      <c r="I735" s="116"/>
      <c r="L735" s="170">
        <v>44650</v>
      </c>
      <c r="M735" s="116">
        <v>2362.35</v>
      </c>
      <c r="N735" s="116">
        <v>2390</v>
      </c>
      <c r="O735" s="116">
        <v>2352.1999999999998</v>
      </c>
      <c r="P735" s="116">
        <v>2380</v>
      </c>
      <c r="Q735" s="116">
        <v>2362.35</v>
      </c>
      <c r="R735">
        <v>182382</v>
      </c>
    </row>
    <row r="736" spans="1:18" x14ac:dyDescent="0.25">
      <c r="A736" s="170">
        <v>44651</v>
      </c>
      <c r="B736" s="116">
        <v>2400</v>
      </c>
      <c r="C736" s="116">
        <v>2365.15</v>
      </c>
      <c r="D736" s="116">
        <v>2345</v>
      </c>
      <c r="E736" s="116">
        <v>2400</v>
      </c>
      <c r="F736" s="116">
        <v>2365.15</v>
      </c>
      <c r="G736">
        <v>5880</v>
      </c>
      <c r="H736" s="116"/>
      <c r="I736" s="116"/>
      <c r="L736" s="170">
        <v>44651</v>
      </c>
      <c r="M736" s="116">
        <v>2364.4</v>
      </c>
      <c r="N736" s="116">
        <v>2385.6999999999998</v>
      </c>
      <c r="O736" s="116">
        <v>2344</v>
      </c>
      <c r="P736" s="116">
        <v>2380</v>
      </c>
      <c r="Q736" s="116">
        <v>2364.4</v>
      </c>
      <c r="R736">
        <v>264676</v>
      </c>
    </row>
    <row r="737" spans="1:18" x14ac:dyDescent="0.25">
      <c r="A737" s="170">
        <v>44652</v>
      </c>
      <c r="B737" s="116">
        <v>2442.8000000000002</v>
      </c>
      <c r="C737" s="116">
        <v>2436.6</v>
      </c>
      <c r="D737" s="116">
        <v>2354.4</v>
      </c>
      <c r="E737" s="116">
        <v>2354.4</v>
      </c>
      <c r="F737" s="116">
        <v>2436.6</v>
      </c>
      <c r="G737">
        <v>20250</v>
      </c>
      <c r="H737" s="116"/>
      <c r="I737" s="116"/>
      <c r="L737" s="170">
        <v>44652</v>
      </c>
      <c r="M737" s="116">
        <v>2435.5500000000002</v>
      </c>
      <c r="N737" s="116">
        <v>2443.6999999999998</v>
      </c>
      <c r="O737" s="116">
        <v>2355</v>
      </c>
      <c r="P737" s="116">
        <v>2355</v>
      </c>
      <c r="Q737" s="116">
        <v>2435.5500000000002</v>
      </c>
      <c r="R737">
        <v>214106</v>
      </c>
    </row>
    <row r="738" spans="1:18" x14ac:dyDescent="0.25">
      <c r="A738" s="170">
        <v>44655</v>
      </c>
      <c r="B738" s="116">
        <v>2479.0500000000002</v>
      </c>
      <c r="C738" s="116">
        <v>2468.1</v>
      </c>
      <c r="D738" s="116">
        <v>2438.9</v>
      </c>
      <c r="E738" s="116">
        <v>2460</v>
      </c>
      <c r="F738" s="116">
        <v>2468.1</v>
      </c>
      <c r="G738">
        <v>16999</v>
      </c>
      <c r="H738" s="116"/>
      <c r="I738" s="116"/>
      <c r="L738" s="170">
        <v>44655</v>
      </c>
      <c r="M738" s="116">
        <v>2469.1999999999998</v>
      </c>
      <c r="N738" s="116">
        <v>2480</v>
      </c>
      <c r="O738" s="116">
        <v>2440</v>
      </c>
      <c r="P738" s="116">
        <v>2450</v>
      </c>
      <c r="Q738" s="116">
        <v>2469.1999999999998</v>
      </c>
      <c r="R738">
        <v>164413</v>
      </c>
    </row>
    <row r="739" spans="1:18" x14ac:dyDescent="0.25">
      <c r="A739" s="170">
        <v>44656</v>
      </c>
      <c r="B739" s="116">
        <v>2676.9</v>
      </c>
      <c r="C739" s="116">
        <v>2653.05</v>
      </c>
      <c r="D739" s="116">
        <v>2468.1</v>
      </c>
      <c r="E739" s="116">
        <v>2468.1</v>
      </c>
      <c r="F739" s="116">
        <v>2653.05</v>
      </c>
      <c r="G739">
        <v>45043</v>
      </c>
      <c r="H739" s="116"/>
      <c r="I739" s="116"/>
      <c r="L739" s="170">
        <v>44656</v>
      </c>
      <c r="M739" s="116">
        <v>2654.45</v>
      </c>
      <c r="N739" s="116">
        <v>2675.45</v>
      </c>
      <c r="O739" s="116">
        <v>2481</v>
      </c>
      <c r="P739" s="116">
        <v>2482</v>
      </c>
      <c r="Q739" s="116">
        <v>2654.45</v>
      </c>
      <c r="R739">
        <v>1161280</v>
      </c>
    </row>
    <row r="740" spans="1:18" x14ac:dyDescent="0.25">
      <c r="A740" s="170">
        <v>44657</v>
      </c>
      <c r="B740" s="116">
        <v>2684.4</v>
      </c>
      <c r="C740" s="116">
        <v>2652.85</v>
      </c>
      <c r="D740" s="116">
        <v>2620.25</v>
      </c>
      <c r="E740" s="116">
        <v>2642</v>
      </c>
      <c r="F740" s="116">
        <v>2652.85</v>
      </c>
      <c r="G740">
        <v>15747</v>
      </c>
      <c r="H740" s="116"/>
      <c r="I740" s="116"/>
      <c r="L740" s="170">
        <v>44657</v>
      </c>
      <c r="M740" s="116">
        <v>2653.9</v>
      </c>
      <c r="N740" s="116">
        <v>2684.9</v>
      </c>
      <c r="O740" s="116">
        <v>2619.75</v>
      </c>
      <c r="P740" s="116">
        <v>2630</v>
      </c>
      <c r="Q740" s="116">
        <v>2653.9</v>
      </c>
      <c r="R740">
        <v>392461</v>
      </c>
    </row>
    <row r="741" spans="1:18" x14ac:dyDescent="0.25">
      <c r="A741" s="170">
        <v>44658</v>
      </c>
      <c r="B741" s="116">
        <v>2653.25</v>
      </c>
      <c r="C741" s="116">
        <v>2610.15</v>
      </c>
      <c r="D741" s="116">
        <v>2570</v>
      </c>
      <c r="E741" s="116">
        <v>2629</v>
      </c>
      <c r="F741" s="116">
        <v>2610.15</v>
      </c>
      <c r="G741">
        <v>9267</v>
      </c>
      <c r="H741" s="116"/>
      <c r="I741" s="116"/>
      <c r="L741" s="170">
        <v>44658</v>
      </c>
      <c r="M741" s="116">
        <v>2610.35</v>
      </c>
      <c r="N741" s="116">
        <v>2653.4</v>
      </c>
      <c r="O741" s="116">
        <v>2570</v>
      </c>
      <c r="P741" s="116">
        <v>2647</v>
      </c>
      <c r="Q741" s="116">
        <v>2610.35</v>
      </c>
      <c r="R741">
        <v>227637</v>
      </c>
    </row>
    <row r="742" spans="1:18" x14ac:dyDescent="0.25">
      <c r="A742" s="170">
        <v>44659</v>
      </c>
      <c r="B742" s="116">
        <v>2725</v>
      </c>
      <c r="C742" s="116">
        <v>2688.5</v>
      </c>
      <c r="D742" s="116">
        <v>2604.1999999999998</v>
      </c>
      <c r="E742" s="116">
        <v>2625</v>
      </c>
      <c r="F742" s="116">
        <v>2688.5</v>
      </c>
      <c r="G742">
        <v>22531</v>
      </c>
      <c r="H742" s="116"/>
      <c r="I742" s="116"/>
      <c r="L742" s="170">
        <v>44659</v>
      </c>
      <c r="M742" s="116">
        <v>2689.25</v>
      </c>
      <c r="N742" s="116">
        <v>2724</v>
      </c>
      <c r="O742" s="116">
        <v>2603.15</v>
      </c>
      <c r="P742" s="116">
        <v>2620</v>
      </c>
      <c r="Q742" s="116">
        <v>2689.25</v>
      </c>
      <c r="R742">
        <v>853591</v>
      </c>
    </row>
    <row r="743" spans="1:18" x14ac:dyDescent="0.25">
      <c r="A743" s="170">
        <v>44662</v>
      </c>
      <c r="B743" s="116">
        <v>2729.3</v>
      </c>
      <c r="C743" s="116">
        <v>2665.2</v>
      </c>
      <c r="D743" s="116">
        <v>2650</v>
      </c>
      <c r="E743" s="116">
        <v>2710</v>
      </c>
      <c r="F743" s="116">
        <v>2665.2</v>
      </c>
      <c r="G743">
        <v>8619</v>
      </c>
      <c r="H743" s="116"/>
      <c r="I743" s="116"/>
      <c r="L743" s="170">
        <v>44662</v>
      </c>
      <c r="M743" s="116">
        <v>2664.25</v>
      </c>
      <c r="N743" s="116">
        <v>2730</v>
      </c>
      <c r="O743" s="116">
        <v>2651</v>
      </c>
      <c r="P743" s="116">
        <v>2688</v>
      </c>
      <c r="Q743" s="116">
        <v>2664.25</v>
      </c>
      <c r="R743">
        <v>310168</v>
      </c>
    </row>
    <row r="744" spans="1:18" x14ac:dyDescent="0.25">
      <c r="A744" s="170">
        <v>44663</v>
      </c>
      <c r="B744" s="116">
        <v>2671.05</v>
      </c>
      <c r="C744" s="116">
        <v>2644.75</v>
      </c>
      <c r="D744" s="116">
        <v>2567.15</v>
      </c>
      <c r="E744" s="116">
        <v>2667</v>
      </c>
      <c r="F744" s="116">
        <v>2644.75</v>
      </c>
      <c r="G744">
        <v>26036</v>
      </c>
      <c r="H744" s="116"/>
      <c r="I744" s="116"/>
      <c r="L744" s="170">
        <v>44663</v>
      </c>
      <c r="M744" s="116">
        <v>2646.35</v>
      </c>
      <c r="N744" s="116">
        <v>2674</v>
      </c>
      <c r="O744" s="116">
        <v>2566.1</v>
      </c>
      <c r="P744" s="116">
        <v>2666</v>
      </c>
      <c r="Q744" s="116">
        <v>2646.35</v>
      </c>
      <c r="R744">
        <v>278544</v>
      </c>
    </row>
    <row r="745" spans="1:18" x14ac:dyDescent="0.25">
      <c r="A745" s="170">
        <v>44664</v>
      </c>
      <c r="B745" s="116">
        <v>2699.9</v>
      </c>
      <c r="C745" s="116">
        <v>2618.9499999999998</v>
      </c>
      <c r="D745" s="116">
        <v>2601.75</v>
      </c>
      <c r="E745" s="116">
        <v>2699.9</v>
      </c>
      <c r="F745" s="116">
        <v>2618.9499999999998</v>
      </c>
      <c r="G745">
        <v>5199</v>
      </c>
      <c r="H745" s="116"/>
      <c r="I745" s="116"/>
      <c r="L745" s="170">
        <v>44664</v>
      </c>
      <c r="M745" s="116">
        <v>2617.85</v>
      </c>
      <c r="N745" s="116">
        <v>2660</v>
      </c>
      <c r="O745" s="116">
        <v>2600</v>
      </c>
      <c r="P745" s="116">
        <v>2645</v>
      </c>
      <c r="Q745" s="116">
        <v>2617.85</v>
      </c>
      <c r="R745">
        <v>149796</v>
      </c>
    </row>
    <row r="746" spans="1:18" x14ac:dyDescent="0.25">
      <c r="A746" s="170">
        <v>44669</v>
      </c>
      <c r="B746" s="116">
        <v>2640.45</v>
      </c>
      <c r="C746" s="116">
        <v>2569.15</v>
      </c>
      <c r="D746" s="116">
        <v>2536.1999999999998</v>
      </c>
      <c r="E746" s="116">
        <v>2591</v>
      </c>
      <c r="F746" s="116">
        <v>2569.15</v>
      </c>
      <c r="G746">
        <v>17416</v>
      </c>
      <c r="H746" s="116"/>
      <c r="I746" s="116"/>
      <c r="L746" s="170">
        <v>44669</v>
      </c>
      <c r="M746" s="116">
        <v>2568.4499999999998</v>
      </c>
      <c r="N746" s="116">
        <v>2641.8</v>
      </c>
      <c r="O746" s="116">
        <v>2537.9</v>
      </c>
      <c r="P746" s="116">
        <v>2605</v>
      </c>
      <c r="Q746" s="116">
        <v>2568.4499999999998</v>
      </c>
      <c r="R746">
        <v>251049</v>
      </c>
    </row>
    <row r="747" spans="1:18" x14ac:dyDescent="0.25">
      <c r="A747" s="170">
        <v>44670</v>
      </c>
      <c r="B747" s="116">
        <v>2674.8</v>
      </c>
      <c r="C747" s="116">
        <v>2603.75</v>
      </c>
      <c r="D747" s="116">
        <v>2552.0500000000002</v>
      </c>
      <c r="E747" s="116">
        <v>2593.25</v>
      </c>
      <c r="F747" s="116">
        <v>2603.75</v>
      </c>
      <c r="G747">
        <v>27913</v>
      </c>
      <c r="H747" s="116"/>
      <c r="I747" s="116"/>
      <c r="L747" s="170">
        <v>44670</v>
      </c>
      <c r="M747" s="116">
        <v>2604.1</v>
      </c>
      <c r="N747" s="116">
        <v>2675</v>
      </c>
      <c r="O747" s="116">
        <v>2541.1</v>
      </c>
      <c r="P747" s="116">
        <v>2590</v>
      </c>
      <c r="Q747" s="116">
        <v>2604.1</v>
      </c>
      <c r="R747">
        <v>297642</v>
      </c>
    </row>
    <row r="748" spans="1:18" x14ac:dyDescent="0.25">
      <c r="A748" s="170">
        <v>44671</v>
      </c>
      <c r="B748" s="116">
        <v>2675.45</v>
      </c>
      <c r="C748" s="116">
        <v>2622</v>
      </c>
      <c r="D748" s="116">
        <v>2596.5</v>
      </c>
      <c r="E748" s="116">
        <v>2605</v>
      </c>
      <c r="F748" s="116">
        <v>2622</v>
      </c>
      <c r="G748">
        <v>6193</v>
      </c>
      <c r="H748" s="116"/>
      <c r="I748" s="116"/>
      <c r="L748" s="170">
        <v>44671</v>
      </c>
      <c r="M748" s="116">
        <v>2617.9</v>
      </c>
      <c r="N748" s="116">
        <v>2678.1</v>
      </c>
      <c r="O748" s="116">
        <v>2592.0500000000002</v>
      </c>
      <c r="P748" s="116">
        <v>2617.8000000000002</v>
      </c>
      <c r="Q748" s="116">
        <v>2617.9</v>
      </c>
      <c r="R748">
        <v>285429</v>
      </c>
    </row>
    <row r="749" spans="1:18" x14ac:dyDescent="0.25">
      <c r="A749" s="170">
        <v>44672</v>
      </c>
      <c r="B749" s="116">
        <v>2754</v>
      </c>
      <c r="C749" s="116">
        <v>2745.25</v>
      </c>
      <c r="D749" s="116">
        <v>2640</v>
      </c>
      <c r="E749" s="116">
        <v>2640</v>
      </c>
      <c r="F749" s="116">
        <v>2745.25</v>
      </c>
      <c r="G749">
        <v>59309</v>
      </c>
      <c r="H749" s="116"/>
      <c r="I749" s="116"/>
      <c r="L749" s="170">
        <v>44672</v>
      </c>
      <c r="M749" s="116">
        <v>2743.9</v>
      </c>
      <c r="N749" s="116">
        <v>2755.1</v>
      </c>
      <c r="O749" s="116">
        <v>2620.1999999999998</v>
      </c>
      <c r="P749" s="116">
        <v>2620.1999999999998</v>
      </c>
      <c r="Q749" s="116">
        <v>2743.9</v>
      </c>
      <c r="R749">
        <v>1237606</v>
      </c>
    </row>
    <row r="750" spans="1:18" x14ac:dyDescent="0.25">
      <c r="A750" s="170">
        <v>44673</v>
      </c>
      <c r="B750" s="116">
        <v>2820.05</v>
      </c>
      <c r="C750" s="116">
        <v>2523.0500000000002</v>
      </c>
      <c r="D750" s="116">
        <v>2477.0500000000002</v>
      </c>
      <c r="E750" s="116">
        <v>2754.9</v>
      </c>
      <c r="F750" s="116">
        <v>2523.0500000000002</v>
      </c>
      <c r="G750">
        <v>124530</v>
      </c>
      <c r="H750" s="116"/>
      <c r="I750" s="116"/>
      <c r="L750" s="170">
        <v>44673</v>
      </c>
      <c r="M750" s="116">
        <v>2520.1</v>
      </c>
      <c r="N750" s="116">
        <v>2820</v>
      </c>
      <c r="O750" s="116">
        <v>2476.25</v>
      </c>
      <c r="P750" s="116">
        <v>2758.8</v>
      </c>
      <c r="Q750" s="116">
        <v>2520.1</v>
      </c>
      <c r="R750">
        <v>2371341</v>
      </c>
    </row>
    <row r="751" spans="1:18" x14ac:dyDescent="0.25">
      <c r="A751" s="170">
        <v>44676</v>
      </c>
      <c r="B751" s="116">
        <v>2612</v>
      </c>
      <c r="C751" s="116">
        <v>2551.15</v>
      </c>
      <c r="D751" s="116">
        <v>2485.1999999999998</v>
      </c>
      <c r="E751" s="116">
        <v>2515</v>
      </c>
      <c r="F751" s="116">
        <v>2551.15</v>
      </c>
      <c r="G751">
        <v>60943</v>
      </c>
      <c r="H751" s="116"/>
      <c r="I751" s="116"/>
      <c r="L751" s="170">
        <v>44676</v>
      </c>
      <c r="M751" s="116">
        <v>2550.85</v>
      </c>
      <c r="N751" s="116">
        <v>2613</v>
      </c>
      <c r="O751" s="116">
        <v>2485.1</v>
      </c>
      <c r="P751" s="116">
        <v>2500</v>
      </c>
      <c r="Q751" s="116">
        <v>2550.85</v>
      </c>
      <c r="R751">
        <v>1166076</v>
      </c>
    </row>
    <row r="752" spans="1:18" x14ac:dyDescent="0.25">
      <c r="A752" s="170">
        <v>44677</v>
      </c>
      <c r="B752" s="116">
        <v>2612.6999999999998</v>
      </c>
      <c r="C752" s="116">
        <v>2517.9499999999998</v>
      </c>
      <c r="D752" s="116">
        <v>2489.4</v>
      </c>
      <c r="E752" s="116">
        <v>2588</v>
      </c>
      <c r="F752" s="116">
        <v>2517.9499999999998</v>
      </c>
      <c r="G752">
        <v>29184</v>
      </c>
      <c r="H752" s="116"/>
      <c r="I752" s="116"/>
      <c r="L752" s="170">
        <v>44677</v>
      </c>
      <c r="M752" s="116">
        <v>2518.0500000000002</v>
      </c>
      <c r="N752" s="116">
        <v>2612.75</v>
      </c>
      <c r="O752" s="116">
        <v>2490</v>
      </c>
      <c r="P752" s="116">
        <v>2586.9499999999998</v>
      </c>
      <c r="Q752" s="116">
        <v>2518.0500000000002</v>
      </c>
      <c r="R752">
        <v>441997</v>
      </c>
    </row>
    <row r="753" spans="1:18" x14ac:dyDescent="0.25">
      <c r="A753" s="170">
        <v>44678</v>
      </c>
      <c r="B753" s="116">
        <v>2540.9</v>
      </c>
      <c r="C753" s="116">
        <v>2504.1999999999998</v>
      </c>
      <c r="D753" s="116">
        <v>2450</v>
      </c>
      <c r="E753" s="116">
        <v>2510</v>
      </c>
      <c r="F753" s="116">
        <v>2504.1999999999998</v>
      </c>
      <c r="G753">
        <v>12187</v>
      </c>
      <c r="H753" s="116"/>
      <c r="I753" s="116"/>
      <c r="L753" s="170">
        <v>44678</v>
      </c>
      <c r="M753" s="116">
        <v>2505.25</v>
      </c>
      <c r="N753" s="116">
        <v>2542.4</v>
      </c>
      <c r="O753" s="116">
        <v>2450</v>
      </c>
      <c r="P753" s="116">
        <v>2524</v>
      </c>
      <c r="Q753" s="116">
        <v>2505.25</v>
      </c>
      <c r="R753">
        <v>311061</v>
      </c>
    </row>
    <row r="754" spans="1:18" x14ac:dyDescent="0.25">
      <c r="A754" s="170">
        <v>44679</v>
      </c>
      <c r="B754" s="116">
        <v>2541.75</v>
      </c>
      <c r="C754" s="116">
        <v>2519.5500000000002</v>
      </c>
      <c r="D754" s="116">
        <v>2472.15</v>
      </c>
      <c r="E754" s="116">
        <v>2519</v>
      </c>
      <c r="F754" s="116">
        <v>2519.5500000000002</v>
      </c>
      <c r="G754">
        <v>14238</v>
      </c>
      <c r="H754" s="116"/>
      <c r="I754" s="116"/>
      <c r="L754" s="170">
        <v>44679</v>
      </c>
      <c r="M754" s="116">
        <v>2520.6999999999998</v>
      </c>
      <c r="N754" s="116">
        <v>2540</v>
      </c>
      <c r="O754" s="116">
        <v>2470</v>
      </c>
      <c r="P754" s="116">
        <v>2527</v>
      </c>
      <c r="Q754" s="116">
        <v>2520.6999999999998</v>
      </c>
      <c r="R754">
        <v>234509</v>
      </c>
    </row>
    <row r="755" spans="1:18" x14ac:dyDescent="0.25">
      <c r="A755" s="170">
        <v>44680</v>
      </c>
      <c r="B755" s="116">
        <v>2555</v>
      </c>
      <c r="C755" s="116">
        <v>2489.6999999999998</v>
      </c>
      <c r="D755" s="116">
        <v>2470</v>
      </c>
      <c r="E755" s="116">
        <v>2555</v>
      </c>
      <c r="F755" s="116">
        <v>2489.6999999999998</v>
      </c>
      <c r="G755">
        <v>17029</v>
      </c>
      <c r="H755" s="116"/>
      <c r="I755" s="116"/>
      <c r="L755" s="170">
        <v>44680</v>
      </c>
      <c r="M755" s="116">
        <v>2486.15</v>
      </c>
      <c r="N755" s="116">
        <v>2549.1</v>
      </c>
      <c r="O755" s="116">
        <v>2466.5</v>
      </c>
      <c r="P755" s="116">
        <v>2540</v>
      </c>
      <c r="Q755" s="116">
        <v>2486.15</v>
      </c>
      <c r="R755">
        <v>210478</v>
      </c>
    </row>
    <row r="756" spans="1:18" x14ac:dyDescent="0.25">
      <c r="A756" s="170">
        <v>44683</v>
      </c>
      <c r="B756" s="116">
        <v>2503</v>
      </c>
      <c r="C756" s="116">
        <v>2466.65</v>
      </c>
      <c r="D756" s="116">
        <v>2445</v>
      </c>
      <c r="E756" s="116">
        <v>2472.6</v>
      </c>
      <c r="F756" s="116">
        <v>2466.65</v>
      </c>
      <c r="G756">
        <v>15557</v>
      </c>
      <c r="H756" s="116"/>
      <c r="I756" s="116"/>
      <c r="L756" s="170">
        <v>44683</v>
      </c>
      <c r="M756" s="116">
        <v>2467.25</v>
      </c>
      <c r="N756" s="116">
        <v>2505</v>
      </c>
      <c r="O756" s="116">
        <v>2445.0500000000002</v>
      </c>
      <c r="P756" s="116">
        <v>2480</v>
      </c>
      <c r="Q756" s="116">
        <v>2467.25</v>
      </c>
      <c r="R756">
        <v>173852</v>
      </c>
    </row>
    <row r="757" spans="1:18" x14ac:dyDescent="0.25">
      <c r="A757" s="170">
        <v>44685</v>
      </c>
      <c r="B757" s="116">
        <v>2502.9499999999998</v>
      </c>
      <c r="C757" s="116">
        <v>2428.35</v>
      </c>
      <c r="D757" s="116">
        <v>2411.1999999999998</v>
      </c>
      <c r="E757" s="116">
        <v>2485</v>
      </c>
      <c r="F757" s="116">
        <v>2428.35</v>
      </c>
      <c r="G757">
        <v>6999</v>
      </c>
      <c r="H757" s="116"/>
      <c r="I757" s="116"/>
      <c r="L757" s="170">
        <v>44685</v>
      </c>
      <c r="M757" s="116">
        <v>2428.3000000000002</v>
      </c>
      <c r="N757" s="116">
        <v>2504.1999999999998</v>
      </c>
      <c r="O757" s="116">
        <v>2410</v>
      </c>
      <c r="P757" s="116">
        <v>2475</v>
      </c>
      <c r="Q757" s="116">
        <v>2428.3000000000002</v>
      </c>
      <c r="R757">
        <v>193279</v>
      </c>
    </row>
    <row r="758" spans="1:18" x14ac:dyDescent="0.25">
      <c r="A758" s="170">
        <v>44686</v>
      </c>
      <c r="B758" s="116">
        <v>2538.9499999999998</v>
      </c>
      <c r="C758" s="116">
        <v>2447.5500000000002</v>
      </c>
      <c r="D758" s="116">
        <v>2436.3000000000002</v>
      </c>
      <c r="E758" s="116">
        <v>2440</v>
      </c>
      <c r="F758" s="116">
        <v>2447.5500000000002</v>
      </c>
      <c r="G758">
        <v>18716</v>
      </c>
      <c r="H758" s="116"/>
      <c r="I758" s="116"/>
      <c r="L758" s="170">
        <v>44686</v>
      </c>
      <c r="M758" s="116">
        <v>2448.25</v>
      </c>
      <c r="N758" s="116">
        <v>2539</v>
      </c>
      <c r="O758" s="116">
        <v>2436.85</v>
      </c>
      <c r="P758" s="116">
        <v>2472.6999999999998</v>
      </c>
      <c r="Q758" s="116">
        <v>2448.25</v>
      </c>
      <c r="R758">
        <v>410414</v>
      </c>
    </row>
    <row r="759" spans="1:18" x14ac:dyDescent="0.25">
      <c r="A759" s="170">
        <v>44687</v>
      </c>
      <c r="B759" s="116">
        <v>2445</v>
      </c>
      <c r="C759" s="116">
        <v>2424.65</v>
      </c>
      <c r="D759" s="116">
        <v>2375.9</v>
      </c>
      <c r="E759" s="116">
        <v>2433</v>
      </c>
      <c r="F759" s="116">
        <v>2424.65</v>
      </c>
      <c r="G759">
        <v>10173</v>
      </c>
      <c r="H759" s="116"/>
      <c r="I759" s="116"/>
      <c r="L759" s="170">
        <v>44687</v>
      </c>
      <c r="M759" s="116">
        <v>2418.4499999999998</v>
      </c>
      <c r="N759" s="116">
        <v>2447.3000000000002</v>
      </c>
      <c r="O759" s="116">
        <v>2375.0500000000002</v>
      </c>
      <c r="P759" s="116">
        <v>2411.9499999999998</v>
      </c>
      <c r="Q759" s="116">
        <v>2418.4499999999998</v>
      </c>
      <c r="R759">
        <v>377674</v>
      </c>
    </row>
    <row r="760" spans="1:18" x14ac:dyDescent="0.25">
      <c r="A760" s="170">
        <v>44690</v>
      </c>
      <c r="B760" s="116">
        <v>2458.3000000000002</v>
      </c>
      <c r="C760" s="116">
        <v>2435.4499999999998</v>
      </c>
      <c r="D760" s="116">
        <v>2379.35</v>
      </c>
      <c r="E760" s="116">
        <v>2402</v>
      </c>
      <c r="F760" s="116">
        <v>2435.4499999999998</v>
      </c>
      <c r="G760">
        <v>16828</v>
      </c>
      <c r="H760" s="116"/>
      <c r="I760" s="116"/>
      <c r="L760" s="170">
        <v>44690</v>
      </c>
      <c r="M760" s="116">
        <v>2437.9</v>
      </c>
      <c r="N760" s="116">
        <v>2458.85</v>
      </c>
      <c r="O760" s="116">
        <v>2380</v>
      </c>
      <c r="P760" s="116">
        <v>2415.5500000000002</v>
      </c>
      <c r="Q760" s="116">
        <v>2437.9</v>
      </c>
      <c r="R760">
        <v>242815</v>
      </c>
    </row>
    <row r="761" spans="1:18" x14ac:dyDescent="0.25">
      <c r="A761" s="170">
        <v>44691</v>
      </c>
      <c r="B761" s="116">
        <v>2503.1999999999998</v>
      </c>
      <c r="C761" s="116">
        <v>2394.9</v>
      </c>
      <c r="D761" s="116">
        <v>2367</v>
      </c>
      <c r="E761" s="116">
        <v>2435</v>
      </c>
      <c r="F761" s="116">
        <v>2394.9</v>
      </c>
      <c r="G761">
        <v>31605</v>
      </c>
      <c r="H761" s="116"/>
      <c r="I761" s="116"/>
      <c r="L761" s="170">
        <v>44691</v>
      </c>
      <c r="M761" s="116">
        <v>2393.5500000000002</v>
      </c>
      <c r="N761" s="116">
        <v>2504.1</v>
      </c>
      <c r="O761" s="116">
        <v>2365</v>
      </c>
      <c r="P761" s="116">
        <v>2435</v>
      </c>
      <c r="Q761" s="116">
        <v>2393.5500000000002</v>
      </c>
      <c r="R761">
        <v>816343</v>
      </c>
    </row>
    <row r="762" spans="1:18" x14ac:dyDescent="0.25">
      <c r="A762" s="170">
        <v>44692</v>
      </c>
      <c r="B762" s="116">
        <v>2448</v>
      </c>
      <c r="C762" s="116">
        <v>2432.15</v>
      </c>
      <c r="D762" s="116">
        <v>2369.4499999999998</v>
      </c>
      <c r="E762" s="116">
        <v>2415</v>
      </c>
      <c r="F762" s="116">
        <v>2432.15</v>
      </c>
      <c r="G762">
        <v>25755</v>
      </c>
      <c r="H762" s="116"/>
      <c r="I762" s="116"/>
      <c r="L762" s="170">
        <v>44692</v>
      </c>
      <c r="M762" s="116">
        <v>2428.4</v>
      </c>
      <c r="N762" s="116">
        <v>2451.5500000000002</v>
      </c>
      <c r="O762" s="116">
        <v>2367.0500000000002</v>
      </c>
      <c r="P762" s="116">
        <v>2427.25</v>
      </c>
      <c r="Q762" s="116">
        <v>2428.4</v>
      </c>
      <c r="R762">
        <v>597024</v>
      </c>
    </row>
    <row r="763" spans="1:18" x14ac:dyDescent="0.25">
      <c r="A763" s="170">
        <v>44693</v>
      </c>
      <c r="B763" s="116">
        <v>2447.85</v>
      </c>
      <c r="C763" s="116">
        <v>2427.65</v>
      </c>
      <c r="D763" s="116">
        <v>2385</v>
      </c>
      <c r="E763" s="116">
        <v>2433.1</v>
      </c>
      <c r="F763" s="116">
        <v>2427.65</v>
      </c>
      <c r="G763">
        <v>22900</v>
      </c>
      <c r="H763" s="116"/>
      <c r="I763" s="116"/>
      <c r="L763" s="170">
        <v>44693</v>
      </c>
      <c r="M763" s="116">
        <v>2431.6999999999998</v>
      </c>
      <c r="N763" s="116">
        <v>2450.1</v>
      </c>
      <c r="O763" s="116">
        <v>2382.8000000000002</v>
      </c>
      <c r="P763" s="116">
        <v>2424.9499999999998</v>
      </c>
      <c r="Q763" s="116">
        <v>2431.6999999999998</v>
      </c>
      <c r="R763">
        <v>377134</v>
      </c>
    </row>
    <row r="764" spans="1:18" x14ac:dyDescent="0.25">
      <c r="A764" s="170">
        <v>44694</v>
      </c>
      <c r="B764" s="116">
        <v>2565</v>
      </c>
      <c r="C764" s="116">
        <v>2539.6999999999998</v>
      </c>
      <c r="D764" s="116">
        <v>2428</v>
      </c>
      <c r="E764" s="116">
        <v>2450</v>
      </c>
      <c r="F764" s="116">
        <v>2539.6999999999998</v>
      </c>
      <c r="G764">
        <v>15842</v>
      </c>
      <c r="H764" s="116"/>
      <c r="I764" s="116"/>
      <c r="L764" s="170">
        <v>44694</v>
      </c>
      <c r="M764" s="116">
        <v>2540.6999999999998</v>
      </c>
      <c r="N764" s="116">
        <v>2566.25</v>
      </c>
      <c r="O764" s="116">
        <v>2446.0500000000002</v>
      </c>
      <c r="P764" s="116">
        <v>2465.9</v>
      </c>
      <c r="Q764" s="116">
        <v>2540.6999999999998</v>
      </c>
      <c r="R764">
        <v>586359</v>
      </c>
    </row>
    <row r="765" spans="1:18" x14ac:dyDescent="0.25">
      <c r="A765" s="170">
        <v>44697</v>
      </c>
      <c r="B765" s="116">
        <v>2593.9</v>
      </c>
      <c r="C765" s="116">
        <v>2572.1999999999998</v>
      </c>
      <c r="D765" s="116">
        <v>2525</v>
      </c>
      <c r="E765" s="116">
        <v>2540</v>
      </c>
      <c r="F765" s="116">
        <v>2572.1999999999998</v>
      </c>
      <c r="G765">
        <v>17308</v>
      </c>
      <c r="H765" s="116"/>
      <c r="I765" s="116"/>
      <c r="L765" s="170">
        <v>44697</v>
      </c>
      <c r="M765" s="116">
        <v>2572.4</v>
      </c>
      <c r="N765" s="116">
        <v>2594</v>
      </c>
      <c r="O765" s="116">
        <v>2525</v>
      </c>
      <c r="P765" s="116">
        <v>2550.0500000000002</v>
      </c>
      <c r="Q765" s="116">
        <v>2572.4</v>
      </c>
      <c r="R765">
        <v>326883</v>
      </c>
    </row>
    <row r="766" spans="1:18" x14ac:dyDescent="0.25">
      <c r="A766" s="170">
        <v>44698</v>
      </c>
      <c r="B766" s="116">
        <v>2628.9</v>
      </c>
      <c r="C766" s="116">
        <v>2598.75</v>
      </c>
      <c r="D766" s="116">
        <v>2580</v>
      </c>
      <c r="E766" s="116">
        <v>2595</v>
      </c>
      <c r="F766" s="116">
        <v>2598.75</v>
      </c>
      <c r="G766">
        <v>12851</v>
      </c>
      <c r="H766" s="116"/>
      <c r="I766" s="116"/>
      <c r="L766" s="170">
        <v>44698</v>
      </c>
      <c r="M766" s="116">
        <v>2603.1</v>
      </c>
      <c r="N766" s="116">
        <v>2629.9</v>
      </c>
      <c r="O766" s="116">
        <v>2573</v>
      </c>
      <c r="P766" s="116">
        <v>2599.65</v>
      </c>
      <c r="Q766" s="116">
        <v>2603.1</v>
      </c>
      <c r="R766">
        <v>289065</v>
      </c>
    </row>
    <row r="767" spans="1:18" x14ac:dyDescent="0.25">
      <c r="A767" s="170">
        <v>44699</v>
      </c>
      <c r="B767" s="116">
        <v>2623.7</v>
      </c>
      <c r="C767" s="116">
        <v>2559.35</v>
      </c>
      <c r="D767" s="116">
        <v>2555.4</v>
      </c>
      <c r="E767" s="116">
        <v>2620</v>
      </c>
      <c r="F767" s="116">
        <v>2559.35</v>
      </c>
      <c r="G767">
        <v>7920</v>
      </c>
      <c r="H767" s="116"/>
      <c r="I767" s="116"/>
      <c r="L767" s="170">
        <v>44699</v>
      </c>
      <c r="M767" s="116">
        <v>2560.9</v>
      </c>
      <c r="N767" s="116">
        <v>2627.25</v>
      </c>
      <c r="O767" s="116">
        <v>2556</v>
      </c>
      <c r="P767" s="116">
        <v>2619</v>
      </c>
      <c r="Q767" s="116">
        <v>2560.9</v>
      </c>
      <c r="R767">
        <v>233556</v>
      </c>
    </row>
    <row r="768" spans="1:18" x14ac:dyDescent="0.25">
      <c r="A768" s="170">
        <v>44700</v>
      </c>
      <c r="B768" s="116">
        <v>2555</v>
      </c>
      <c r="C768" s="116">
        <v>2516.1999999999998</v>
      </c>
      <c r="D768" s="116">
        <v>2490</v>
      </c>
      <c r="E768" s="116">
        <v>2490</v>
      </c>
      <c r="F768" s="116">
        <v>2516.1999999999998</v>
      </c>
      <c r="G768">
        <v>6739</v>
      </c>
      <c r="H768" s="116"/>
      <c r="I768" s="116"/>
      <c r="L768" s="170">
        <v>44700</v>
      </c>
      <c r="M768" s="116">
        <v>2517.8000000000002</v>
      </c>
      <c r="N768" s="116">
        <v>2550</v>
      </c>
      <c r="O768" s="116">
        <v>2482</v>
      </c>
      <c r="P768" s="116">
        <v>2482</v>
      </c>
      <c r="Q768" s="116">
        <v>2517.8000000000002</v>
      </c>
      <c r="R768">
        <v>177771</v>
      </c>
    </row>
    <row r="769" spans="1:18" x14ac:dyDescent="0.25">
      <c r="A769" s="170">
        <v>44701</v>
      </c>
      <c r="B769" s="116">
        <v>2590</v>
      </c>
      <c r="C769" s="116">
        <v>2555.65</v>
      </c>
      <c r="D769" s="116">
        <v>2523</v>
      </c>
      <c r="E769" s="116">
        <v>2590</v>
      </c>
      <c r="F769" s="116">
        <v>2555.65</v>
      </c>
      <c r="G769">
        <v>3813</v>
      </c>
      <c r="H769" s="116"/>
      <c r="I769" s="116"/>
      <c r="L769" s="170">
        <v>44701</v>
      </c>
      <c r="M769" s="116">
        <v>2556.5500000000002</v>
      </c>
      <c r="N769" s="116">
        <v>2569.5</v>
      </c>
      <c r="O769" s="116">
        <v>2520.8000000000002</v>
      </c>
      <c r="P769" s="116">
        <v>2540</v>
      </c>
      <c r="Q769" s="116">
        <v>2556.5500000000002</v>
      </c>
      <c r="R769">
        <v>159377</v>
      </c>
    </row>
    <row r="770" spans="1:18" x14ac:dyDescent="0.25">
      <c r="A770" s="170">
        <v>44704</v>
      </c>
      <c r="B770" s="116">
        <v>2590</v>
      </c>
      <c r="C770" s="116">
        <v>2543.9499999999998</v>
      </c>
      <c r="D770" s="116">
        <v>2535.9499999999998</v>
      </c>
      <c r="E770" s="116">
        <v>2567.85</v>
      </c>
      <c r="F770" s="116">
        <v>2543.9499999999998</v>
      </c>
      <c r="G770">
        <v>4901</v>
      </c>
      <c r="H770" s="116"/>
      <c r="I770" s="116"/>
      <c r="L770" s="170">
        <v>44704</v>
      </c>
      <c r="M770" s="116">
        <v>2543.1999999999998</v>
      </c>
      <c r="N770" s="116">
        <v>2590.25</v>
      </c>
      <c r="O770" s="116">
        <v>2533.1999999999998</v>
      </c>
      <c r="P770" s="116">
        <v>2579</v>
      </c>
      <c r="Q770" s="116">
        <v>2543.1999999999998</v>
      </c>
      <c r="R770">
        <v>170159</v>
      </c>
    </row>
    <row r="771" spans="1:18" x14ac:dyDescent="0.25">
      <c r="A771" s="170">
        <v>44705</v>
      </c>
      <c r="B771" s="116">
        <v>2565.6</v>
      </c>
      <c r="C771" s="116">
        <v>2526.6</v>
      </c>
      <c r="D771" s="116">
        <v>2510</v>
      </c>
      <c r="E771" s="116">
        <v>2525</v>
      </c>
      <c r="F771" s="116">
        <v>2526.6</v>
      </c>
      <c r="G771">
        <v>7443</v>
      </c>
      <c r="H771" s="116"/>
      <c r="I771" s="116"/>
      <c r="L771" s="170">
        <v>44705</v>
      </c>
      <c r="M771" s="116">
        <v>2527.9499999999998</v>
      </c>
      <c r="N771" s="116">
        <v>2569.6999999999998</v>
      </c>
      <c r="O771" s="116">
        <v>2510</v>
      </c>
      <c r="P771" s="116">
        <v>2543.1999999999998</v>
      </c>
      <c r="Q771" s="116">
        <v>2527.9499999999998</v>
      </c>
      <c r="R771">
        <v>98846</v>
      </c>
    </row>
    <row r="772" spans="1:18" x14ac:dyDescent="0.25">
      <c r="A772" s="170">
        <v>44706</v>
      </c>
      <c r="B772" s="116">
        <v>2571.5</v>
      </c>
      <c r="C772" s="116">
        <v>2443.3000000000002</v>
      </c>
      <c r="D772" s="116">
        <v>2436.1</v>
      </c>
      <c r="E772" s="116">
        <v>2571.5</v>
      </c>
      <c r="F772" s="116">
        <v>2443.3000000000002</v>
      </c>
      <c r="G772">
        <v>5132</v>
      </c>
      <c r="H772" s="116"/>
      <c r="I772" s="116"/>
      <c r="L772" s="170">
        <v>44706</v>
      </c>
      <c r="M772" s="116">
        <v>2443.65</v>
      </c>
      <c r="N772" s="116">
        <v>2545</v>
      </c>
      <c r="O772" s="116">
        <v>2436.4</v>
      </c>
      <c r="P772" s="116">
        <v>2545</v>
      </c>
      <c r="Q772" s="116">
        <v>2443.65</v>
      </c>
      <c r="R772">
        <v>168247</v>
      </c>
    </row>
    <row r="773" spans="1:18" x14ac:dyDescent="0.25">
      <c r="A773" s="170">
        <v>44707</v>
      </c>
      <c r="B773" s="116">
        <v>2469.1</v>
      </c>
      <c r="C773" s="116">
        <v>2410.1</v>
      </c>
      <c r="D773" s="116">
        <v>2366.1999999999998</v>
      </c>
      <c r="E773" s="116">
        <v>2450</v>
      </c>
      <c r="F773" s="116">
        <v>2410.1</v>
      </c>
      <c r="G773">
        <v>7089</v>
      </c>
      <c r="H773" s="116"/>
      <c r="I773" s="116"/>
      <c r="L773" s="170">
        <v>44707</v>
      </c>
      <c r="M773" s="116">
        <v>2408.9499999999998</v>
      </c>
      <c r="N773" s="116">
        <v>2470</v>
      </c>
      <c r="O773" s="116">
        <v>2365</v>
      </c>
      <c r="P773" s="116">
        <v>2439.15</v>
      </c>
      <c r="Q773" s="116">
        <v>2408.9499999999998</v>
      </c>
      <c r="R773">
        <v>230882</v>
      </c>
    </row>
    <row r="774" spans="1:18" x14ac:dyDescent="0.25">
      <c r="A774" s="170">
        <v>44708</v>
      </c>
      <c r="B774" s="116">
        <v>2436.75</v>
      </c>
      <c r="C774" s="116">
        <v>2398.15</v>
      </c>
      <c r="D774" s="116">
        <v>2375</v>
      </c>
      <c r="E774" s="116">
        <v>2410.1</v>
      </c>
      <c r="F774" s="116">
        <v>2398.15</v>
      </c>
      <c r="G774">
        <v>12901</v>
      </c>
      <c r="H774" s="116"/>
      <c r="I774" s="116"/>
      <c r="L774" s="170">
        <v>44708</v>
      </c>
      <c r="M774" s="116">
        <v>2399.25</v>
      </c>
      <c r="N774" s="116">
        <v>2438.9499999999998</v>
      </c>
      <c r="O774" s="116">
        <v>2374</v>
      </c>
      <c r="P774" s="116">
        <v>2425</v>
      </c>
      <c r="Q774" s="116">
        <v>2399.25</v>
      </c>
      <c r="R774">
        <v>213946</v>
      </c>
    </row>
    <row r="775" spans="1:18" x14ac:dyDescent="0.25">
      <c r="A775" s="170">
        <v>44711</v>
      </c>
      <c r="B775" s="116">
        <v>2468.4</v>
      </c>
      <c r="C775" s="116">
        <v>2434.9499999999998</v>
      </c>
      <c r="D775" s="116">
        <v>2401.9</v>
      </c>
      <c r="E775" s="116">
        <v>2458</v>
      </c>
      <c r="F775" s="116">
        <v>2434.9499999999998</v>
      </c>
      <c r="G775">
        <v>9111</v>
      </c>
      <c r="H775" s="116"/>
      <c r="I775" s="116"/>
      <c r="L775" s="170">
        <v>44711</v>
      </c>
      <c r="M775" s="116">
        <v>2434.15</v>
      </c>
      <c r="N775" s="116">
        <v>2470</v>
      </c>
      <c r="O775" s="116">
        <v>2400</v>
      </c>
      <c r="P775" s="116">
        <v>2424.85</v>
      </c>
      <c r="Q775" s="116">
        <v>2434.15</v>
      </c>
      <c r="R775">
        <v>317334</v>
      </c>
    </row>
    <row r="776" spans="1:18" x14ac:dyDescent="0.25">
      <c r="A776" s="170">
        <v>44712</v>
      </c>
      <c r="B776" s="116">
        <v>2485.4499999999998</v>
      </c>
      <c r="C776" s="116">
        <v>2440.6</v>
      </c>
      <c r="D776" s="116">
        <v>2430.3000000000002</v>
      </c>
      <c r="E776" s="116">
        <v>2462.5500000000002</v>
      </c>
      <c r="F776" s="116">
        <v>2440.6</v>
      </c>
      <c r="G776">
        <v>11519</v>
      </c>
      <c r="H776" s="116"/>
      <c r="I776" s="116"/>
      <c r="L776" s="170">
        <v>44712</v>
      </c>
      <c r="M776" s="116">
        <v>2441.8000000000002</v>
      </c>
      <c r="N776" s="116">
        <v>2486.1999999999998</v>
      </c>
      <c r="O776" s="116">
        <v>2430.1</v>
      </c>
      <c r="P776" s="116">
        <v>2439</v>
      </c>
      <c r="Q776" s="116">
        <v>2441.8000000000002</v>
      </c>
      <c r="R776">
        <v>398529</v>
      </c>
    </row>
    <row r="777" spans="1:18" x14ac:dyDescent="0.25">
      <c r="A777" s="170">
        <v>44713</v>
      </c>
      <c r="B777" s="116">
        <v>2511.4499999999998</v>
      </c>
      <c r="C777" s="116">
        <v>2495.75</v>
      </c>
      <c r="D777" s="116">
        <v>2451.25</v>
      </c>
      <c r="E777" s="116">
        <v>2474.65</v>
      </c>
      <c r="F777" s="116">
        <v>2495.75</v>
      </c>
      <c r="G777">
        <v>6500</v>
      </c>
      <c r="H777" s="116"/>
      <c r="I777" s="116"/>
      <c r="L777" s="170">
        <v>44713</v>
      </c>
      <c r="M777" s="116">
        <v>2493.6999999999998</v>
      </c>
      <c r="N777" s="116">
        <v>2511.75</v>
      </c>
      <c r="O777" s="116">
        <v>2445</v>
      </c>
      <c r="P777" s="116">
        <v>2449.9499999999998</v>
      </c>
      <c r="Q777" s="116">
        <v>2493.6999999999998</v>
      </c>
      <c r="R777">
        <v>211318</v>
      </c>
    </row>
    <row r="778" spans="1:18" x14ac:dyDescent="0.25">
      <c r="A778" s="170">
        <v>44714</v>
      </c>
      <c r="B778" s="116">
        <v>2546</v>
      </c>
      <c r="C778" s="116">
        <v>2540.4499999999998</v>
      </c>
      <c r="D778" s="116">
        <v>2495.75</v>
      </c>
      <c r="E778" s="116">
        <v>2495.75</v>
      </c>
      <c r="F778" s="116">
        <v>2540.4499999999998</v>
      </c>
      <c r="G778">
        <v>15874</v>
      </c>
      <c r="H778" s="116"/>
      <c r="I778" s="116"/>
      <c r="L778" s="170">
        <v>44714</v>
      </c>
      <c r="M778" s="116">
        <v>2541.0500000000002</v>
      </c>
      <c r="N778" s="116">
        <v>2549.9</v>
      </c>
      <c r="O778" s="116">
        <v>2488.6</v>
      </c>
      <c r="P778" s="116">
        <v>2497</v>
      </c>
      <c r="Q778" s="116">
        <v>2541.0500000000002</v>
      </c>
      <c r="R778">
        <v>440698</v>
      </c>
    </row>
    <row r="779" spans="1:18" x14ac:dyDescent="0.25">
      <c r="A779" s="170">
        <v>44715</v>
      </c>
      <c r="B779" s="116">
        <v>2612.4499999999998</v>
      </c>
      <c r="C779" s="116">
        <v>2452.5</v>
      </c>
      <c r="D779" s="116">
        <v>2444.5</v>
      </c>
      <c r="E779" s="116">
        <v>2555</v>
      </c>
      <c r="F779" s="116">
        <v>2452.5</v>
      </c>
      <c r="G779">
        <v>11551</v>
      </c>
      <c r="H779" s="116"/>
      <c r="I779" s="116"/>
      <c r="L779" s="170">
        <v>44715</v>
      </c>
      <c r="M779" s="116">
        <v>2453.85</v>
      </c>
      <c r="N779" s="116">
        <v>2570.6999999999998</v>
      </c>
      <c r="O779" s="116">
        <v>2442.5</v>
      </c>
      <c r="P779" s="116">
        <v>2570</v>
      </c>
      <c r="Q779" s="116">
        <v>2453.85</v>
      </c>
      <c r="R779">
        <v>276607</v>
      </c>
    </row>
    <row r="780" spans="1:18" x14ac:dyDescent="0.25">
      <c r="A780" s="170">
        <v>44718</v>
      </c>
      <c r="B780" s="116">
        <v>2498</v>
      </c>
      <c r="C780" s="116">
        <v>2453.3000000000002</v>
      </c>
      <c r="D780" s="116">
        <v>2428.4499999999998</v>
      </c>
      <c r="E780" s="116">
        <v>2498</v>
      </c>
      <c r="F780" s="116">
        <v>2453.3000000000002</v>
      </c>
      <c r="G780">
        <v>2775</v>
      </c>
      <c r="H780" s="116"/>
      <c r="I780" s="116"/>
      <c r="L780" s="170">
        <v>44718</v>
      </c>
      <c r="M780" s="116">
        <v>2455.35</v>
      </c>
      <c r="N780" s="116">
        <v>2476.9</v>
      </c>
      <c r="O780" s="116">
        <v>2429.3000000000002</v>
      </c>
      <c r="P780" s="116">
        <v>2456.15</v>
      </c>
      <c r="Q780" s="116">
        <v>2455.35</v>
      </c>
      <c r="R780">
        <v>151375</v>
      </c>
    </row>
    <row r="781" spans="1:18" x14ac:dyDescent="0.25">
      <c r="A781" s="170">
        <v>44719</v>
      </c>
      <c r="B781" s="116">
        <v>2460.9499999999998</v>
      </c>
      <c r="C781" s="116">
        <v>2422.5500000000002</v>
      </c>
      <c r="D781" s="116">
        <v>2402</v>
      </c>
      <c r="E781" s="116">
        <v>2460.9499999999998</v>
      </c>
      <c r="F781" s="116">
        <v>2422.5500000000002</v>
      </c>
      <c r="G781">
        <v>3043</v>
      </c>
      <c r="H781" s="116"/>
      <c r="I781" s="116"/>
      <c r="L781" s="170">
        <v>44719</v>
      </c>
      <c r="M781" s="116">
        <v>2418.4499999999998</v>
      </c>
      <c r="N781" s="116">
        <v>2449.9</v>
      </c>
      <c r="O781" s="116">
        <v>2401</v>
      </c>
      <c r="P781" s="116">
        <v>2449.9</v>
      </c>
      <c r="Q781" s="116">
        <v>2418.4499999999998</v>
      </c>
      <c r="R781">
        <v>170547</v>
      </c>
    </row>
    <row r="782" spans="1:18" x14ac:dyDescent="0.25">
      <c r="A782" s="170">
        <v>44720</v>
      </c>
      <c r="B782" s="116">
        <v>2459.6999999999998</v>
      </c>
      <c r="C782" s="116">
        <v>2314</v>
      </c>
      <c r="D782" s="116">
        <v>2272.4499999999998</v>
      </c>
      <c r="E782" s="116">
        <v>2459.6999999999998</v>
      </c>
      <c r="F782" s="116">
        <v>2314</v>
      </c>
      <c r="G782">
        <v>37727</v>
      </c>
      <c r="H782" s="116"/>
      <c r="I782" s="116"/>
      <c r="L782" s="170">
        <v>44720</v>
      </c>
      <c r="M782" s="116">
        <v>2314.1</v>
      </c>
      <c r="N782" s="116">
        <v>2442.4</v>
      </c>
      <c r="O782" s="116">
        <v>2269.4499999999998</v>
      </c>
      <c r="P782" s="116">
        <v>2442.4</v>
      </c>
      <c r="Q782" s="116">
        <v>2314.1</v>
      </c>
      <c r="R782">
        <v>789003</v>
      </c>
    </row>
    <row r="783" spans="1:18" x14ac:dyDescent="0.25">
      <c r="A783" s="170">
        <v>44721</v>
      </c>
      <c r="B783" s="116">
        <v>2332.8000000000002</v>
      </c>
      <c r="C783" s="116">
        <v>2322.5500000000002</v>
      </c>
      <c r="D783" s="116">
        <v>2265</v>
      </c>
      <c r="E783" s="116">
        <v>2285</v>
      </c>
      <c r="F783" s="116">
        <v>2322.5500000000002</v>
      </c>
      <c r="G783">
        <v>9211</v>
      </c>
      <c r="H783" s="116"/>
      <c r="I783" s="116"/>
      <c r="L783" s="170">
        <v>44721</v>
      </c>
      <c r="M783" s="116">
        <v>2320.1</v>
      </c>
      <c r="N783" s="116">
        <v>2335</v>
      </c>
      <c r="O783" s="116">
        <v>2265.1</v>
      </c>
      <c r="P783" s="116">
        <v>2265.1</v>
      </c>
      <c r="Q783" s="116">
        <v>2320.1</v>
      </c>
      <c r="R783">
        <v>240954</v>
      </c>
    </row>
    <row r="784" spans="1:18" x14ac:dyDescent="0.25">
      <c r="A784" s="170">
        <v>44722</v>
      </c>
      <c r="B784" s="116">
        <v>2340</v>
      </c>
      <c r="C784" s="116">
        <v>2330.9499999999998</v>
      </c>
      <c r="D784" s="116">
        <v>2294.9</v>
      </c>
      <c r="E784" s="116">
        <v>2319.9</v>
      </c>
      <c r="F784" s="116">
        <v>2330.9499999999998</v>
      </c>
      <c r="G784">
        <v>8239</v>
      </c>
      <c r="H784" s="116"/>
      <c r="I784" s="116"/>
      <c r="L784" s="170">
        <v>44722</v>
      </c>
      <c r="M784" s="116">
        <v>2332.35</v>
      </c>
      <c r="N784" s="116">
        <v>2340.75</v>
      </c>
      <c r="O784" s="116">
        <v>2295</v>
      </c>
      <c r="P784" s="116">
        <v>2308</v>
      </c>
      <c r="Q784" s="116">
        <v>2332.35</v>
      </c>
      <c r="R784">
        <v>125331</v>
      </c>
    </row>
    <row r="785" spans="1:18" x14ac:dyDescent="0.25">
      <c r="A785" s="170">
        <v>44725</v>
      </c>
      <c r="B785" s="116">
        <v>2287.3000000000002</v>
      </c>
      <c r="C785" s="116">
        <v>2232.85</v>
      </c>
      <c r="D785" s="116">
        <v>2224</v>
      </c>
      <c r="E785" s="116">
        <v>2264</v>
      </c>
      <c r="F785" s="116">
        <v>2232.85</v>
      </c>
      <c r="G785">
        <v>9698</v>
      </c>
      <c r="H785" s="116"/>
      <c r="I785" s="116"/>
      <c r="L785" s="170">
        <v>44725</v>
      </c>
      <c r="M785" s="116">
        <v>2232.4</v>
      </c>
      <c r="N785" s="116">
        <v>2288.65</v>
      </c>
      <c r="O785" s="116">
        <v>2222.8000000000002</v>
      </c>
      <c r="P785" s="116">
        <v>2260.0500000000002</v>
      </c>
      <c r="Q785" s="116">
        <v>2232.4</v>
      </c>
      <c r="R785">
        <v>318676</v>
      </c>
    </row>
    <row r="786" spans="1:18" x14ac:dyDescent="0.25">
      <c r="A786" s="170">
        <v>44726</v>
      </c>
      <c r="B786" s="116">
        <v>2248.6999999999998</v>
      </c>
      <c r="C786" s="116">
        <v>2151.6999999999998</v>
      </c>
      <c r="D786" s="116">
        <v>2133.1</v>
      </c>
      <c r="E786" s="116">
        <v>2248.6999999999998</v>
      </c>
      <c r="F786" s="116">
        <v>2151.6999999999998</v>
      </c>
      <c r="G786">
        <v>47136</v>
      </c>
      <c r="H786" s="116"/>
      <c r="I786" s="116"/>
      <c r="L786" s="170">
        <v>44726</v>
      </c>
      <c r="M786" s="116">
        <v>2151.5</v>
      </c>
      <c r="N786" s="116">
        <v>2238.65</v>
      </c>
      <c r="O786" s="116">
        <v>2133.5</v>
      </c>
      <c r="P786" s="116">
        <v>2230</v>
      </c>
      <c r="Q786" s="116">
        <v>2151.5</v>
      </c>
      <c r="R786">
        <v>840356</v>
      </c>
    </row>
    <row r="787" spans="1:18" x14ac:dyDescent="0.25">
      <c r="A787" s="170">
        <v>44727</v>
      </c>
      <c r="B787" s="116">
        <v>2227</v>
      </c>
      <c r="C787" s="116">
        <v>2216.15</v>
      </c>
      <c r="D787" s="116">
        <v>2156</v>
      </c>
      <c r="E787" s="116">
        <v>2169</v>
      </c>
      <c r="F787" s="116">
        <v>2216.15</v>
      </c>
      <c r="G787">
        <v>19552</v>
      </c>
      <c r="H787" s="116"/>
      <c r="I787" s="116"/>
      <c r="L787" s="170">
        <v>44727</v>
      </c>
      <c r="M787" s="116">
        <v>2218.6</v>
      </c>
      <c r="N787" s="116">
        <v>2228</v>
      </c>
      <c r="O787" s="116">
        <v>2154</v>
      </c>
      <c r="P787" s="116">
        <v>2159</v>
      </c>
      <c r="Q787" s="116">
        <v>2218.6</v>
      </c>
      <c r="R787">
        <v>502633</v>
      </c>
    </row>
    <row r="788" spans="1:18" x14ac:dyDescent="0.25">
      <c r="A788" s="170">
        <v>44728</v>
      </c>
      <c r="B788" s="116">
        <v>2281.25</v>
      </c>
      <c r="C788" s="116">
        <v>2135.65</v>
      </c>
      <c r="D788" s="116">
        <v>2126.5</v>
      </c>
      <c r="E788" s="116">
        <v>2264.9</v>
      </c>
      <c r="F788" s="116">
        <v>2135.65</v>
      </c>
      <c r="G788">
        <v>12024</v>
      </c>
      <c r="H788" s="116"/>
      <c r="I788" s="116"/>
      <c r="L788" s="170">
        <v>44728</v>
      </c>
      <c r="M788" s="116">
        <v>2135.8000000000002</v>
      </c>
      <c r="N788" s="116">
        <v>2282.35</v>
      </c>
      <c r="O788" s="116">
        <v>2125.1</v>
      </c>
      <c r="P788" s="116">
        <v>2264</v>
      </c>
      <c r="Q788" s="116">
        <v>2135.8000000000002</v>
      </c>
      <c r="R788">
        <v>502532</v>
      </c>
    </row>
    <row r="789" spans="1:18" x14ac:dyDescent="0.25">
      <c r="A789" s="170">
        <v>44729</v>
      </c>
      <c r="B789" s="116">
        <v>2185</v>
      </c>
      <c r="C789" s="116">
        <v>2138.1999999999998</v>
      </c>
      <c r="D789" s="116">
        <v>2082.5</v>
      </c>
      <c r="E789" s="116">
        <v>2125</v>
      </c>
      <c r="F789" s="116">
        <v>2138.1999999999998</v>
      </c>
      <c r="G789">
        <v>11386</v>
      </c>
      <c r="H789" s="116"/>
      <c r="I789" s="116"/>
      <c r="L789" s="170">
        <v>44729</v>
      </c>
      <c r="M789" s="116">
        <v>2135.25</v>
      </c>
      <c r="N789" s="116">
        <v>2186.1999999999998</v>
      </c>
      <c r="O789" s="116">
        <v>2082.5500000000002</v>
      </c>
      <c r="P789" s="116">
        <v>2121</v>
      </c>
      <c r="Q789" s="116">
        <v>2135.25</v>
      </c>
      <c r="R789">
        <v>485919</v>
      </c>
    </row>
    <row r="790" spans="1:18" x14ac:dyDescent="0.25">
      <c r="A790" s="170">
        <v>44732</v>
      </c>
      <c r="B790" s="116">
        <v>2148.8000000000002</v>
      </c>
      <c r="C790" s="116">
        <v>2081.8000000000002</v>
      </c>
      <c r="D790" s="116">
        <v>2045</v>
      </c>
      <c r="E790" s="116">
        <v>2110</v>
      </c>
      <c r="F790" s="116">
        <v>2081.8000000000002</v>
      </c>
      <c r="G790">
        <v>23355</v>
      </c>
      <c r="H790" s="116"/>
      <c r="I790" s="116"/>
      <c r="L790" s="170">
        <v>44732</v>
      </c>
      <c r="M790" s="116">
        <v>2080.1999999999998</v>
      </c>
      <c r="N790" s="116">
        <v>2150</v>
      </c>
      <c r="O790" s="116">
        <v>2043.85</v>
      </c>
      <c r="P790" s="116">
        <v>2110</v>
      </c>
      <c r="Q790" s="116">
        <v>2080.1999999999998</v>
      </c>
      <c r="R790">
        <v>319006</v>
      </c>
    </row>
    <row r="791" spans="1:18" x14ac:dyDescent="0.25">
      <c r="A791" s="170">
        <v>44733</v>
      </c>
      <c r="B791" s="116">
        <v>2142.85</v>
      </c>
      <c r="C791" s="116">
        <v>2117.65</v>
      </c>
      <c r="D791" s="116">
        <v>2080.5500000000002</v>
      </c>
      <c r="E791" s="116">
        <v>2087</v>
      </c>
      <c r="F791" s="116">
        <v>2117.65</v>
      </c>
      <c r="G791">
        <v>29040</v>
      </c>
      <c r="H791" s="116"/>
      <c r="I791" s="116"/>
      <c r="L791" s="170">
        <v>44733</v>
      </c>
      <c r="M791" s="116">
        <v>2116.25</v>
      </c>
      <c r="N791" s="116">
        <v>2143.15</v>
      </c>
      <c r="O791" s="116">
        <v>2080.1999999999998</v>
      </c>
      <c r="P791" s="116">
        <v>2094</v>
      </c>
      <c r="Q791" s="116">
        <v>2116.25</v>
      </c>
      <c r="R791">
        <v>388709</v>
      </c>
    </row>
    <row r="792" spans="1:18" x14ac:dyDescent="0.25">
      <c r="A792" s="170">
        <v>44734</v>
      </c>
      <c r="B792" s="116">
        <v>2177</v>
      </c>
      <c r="C792" s="116">
        <v>2127.65</v>
      </c>
      <c r="D792" s="116">
        <v>2080</v>
      </c>
      <c r="E792" s="116">
        <v>2116</v>
      </c>
      <c r="F792" s="116">
        <v>2127.65</v>
      </c>
      <c r="G792">
        <v>20914</v>
      </c>
      <c r="H792" s="116"/>
      <c r="I792" s="116"/>
      <c r="L792" s="170">
        <v>44734</v>
      </c>
      <c r="M792" s="116">
        <v>2125.4499999999998</v>
      </c>
      <c r="N792" s="116">
        <v>2176.9499999999998</v>
      </c>
      <c r="O792" s="116">
        <v>2081</v>
      </c>
      <c r="P792" s="116">
        <v>2116</v>
      </c>
      <c r="Q792" s="116">
        <v>2125.4499999999998</v>
      </c>
      <c r="R792">
        <v>459617</v>
      </c>
    </row>
    <row r="793" spans="1:18" x14ac:dyDescent="0.25">
      <c r="A793" s="170">
        <v>44735</v>
      </c>
      <c r="B793" s="116">
        <v>2192.8000000000002</v>
      </c>
      <c r="C793" s="116">
        <v>2184.65</v>
      </c>
      <c r="D793" s="116">
        <v>2130.6</v>
      </c>
      <c r="E793" s="116">
        <v>2133</v>
      </c>
      <c r="F793" s="116">
        <v>2184.65</v>
      </c>
      <c r="G793">
        <v>10869</v>
      </c>
      <c r="H793" s="116"/>
      <c r="I793" s="116"/>
      <c r="L793" s="170">
        <v>44735</v>
      </c>
      <c r="M793" s="116">
        <v>2185.25</v>
      </c>
      <c r="N793" s="116">
        <v>2192.65</v>
      </c>
      <c r="O793" s="116">
        <v>2130.5500000000002</v>
      </c>
      <c r="P793" s="116">
        <v>2130.5500000000002</v>
      </c>
      <c r="Q793" s="116">
        <v>2185.25</v>
      </c>
      <c r="R793">
        <v>308775</v>
      </c>
    </row>
    <row r="794" spans="1:18" x14ac:dyDescent="0.25">
      <c r="A794" s="170">
        <v>44736</v>
      </c>
      <c r="B794" s="116">
        <v>2239</v>
      </c>
      <c r="C794" s="116">
        <v>2221.25</v>
      </c>
      <c r="D794" s="116">
        <v>2184</v>
      </c>
      <c r="E794" s="116">
        <v>2239</v>
      </c>
      <c r="F794" s="116">
        <v>2221.25</v>
      </c>
      <c r="G794">
        <v>30247</v>
      </c>
      <c r="H794" s="116"/>
      <c r="I794" s="116"/>
      <c r="L794" s="170">
        <v>44736</v>
      </c>
      <c r="M794" s="116">
        <v>2221.1999999999998</v>
      </c>
      <c r="N794" s="116">
        <v>2245</v>
      </c>
      <c r="O794" s="116">
        <v>2183.3000000000002</v>
      </c>
      <c r="P794" s="116">
        <v>2245</v>
      </c>
      <c r="Q794" s="116">
        <v>2221.1999999999998</v>
      </c>
      <c r="R794">
        <v>470361</v>
      </c>
    </row>
    <row r="795" spans="1:18" x14ac:dyDescent="0.25">
      <c r="A795" s="170">
        <v>44739</v>
      </c>
      <c r="B795" s="116">
        <v>2285.65</v>
      </c>
      <c r="C795" s="116">
        <v>2258.35</v>
      </c>
      <c r="D795" s="116">
        <v>2222</v>
      </c>
      <c r="E795" s="116">
        <v>2259.9499999999998</v>
      </c>
      <c r="F795" s="116">
        <v>2258.35</v>
      </c>
      <c r="G795">
        <v>16420</v>
      </c>
      <c r="H795" s="116"/>
      <c r="I795" s="116"/>
      <c r="L795" s="170">
        <v>44739</v>
      </c>
      <c r="M795" s="116">
        <v>2260.3000000000002</v>
      </c>
      <c r="N795" s="116">
        <v>2287.65</v>
      </c>
      <c r="O795" s="116">
        <v>2222</v>
      </c>
      <c r="P795" s="116">
        <v>2250</v>
      </c>
      <c r="Q795" s="116">
        <v>2260.3000000000002</v>
      </c>
      <c r="R795">
        <v>269689</v>
      </c>
    </row>
    <row r="796" spans="1:18" x14ac:dyDescent="0.25">
      <c r="A796" s="170">
        <v>44740</v>
      </c>
      <c r="B796" s="116">
        <v>2285.3000000000002</v>
      </c>
      <c r="C796" s="116">
        <v>2235.6999999999998</v>
      </c>
      <c r="D796" s="116">
        <v>2230</v>
      </c>
      <c r="E796" s="116">
        <v>2275</v>
      </c>
      <c r="F796" s="116">
        <v>2235.6999999999998</v>
      </c>
      <c r="G796">
        <v>11508</v>
      </c>
      <c r="H796" s="116"/>
      <c r="I796" s="116"/>
      <c r="L796" s="170">
        <v>44740</v>
      </c>
      <c r="M796" s="116">
        <v>2238</v>
      </c>
      <c r="N796" s="116">
        <v>2287.35</v>
      </c>
      <c r="O796" s="116">
        <v>2227.4499999999998</v>
      </c>
      <c r="P796" s="116">
        <v>2265.25</v>
      </c>
      <c r="Q796" s="116">
        <v>2238</v>
      </c>
      <c r="R796">
        <v>223020</v>
      </c>
    </row>
    <row r="797" spans="1:18" x14ac:dyDescent="0.25">
      <c r="A797" s="170">
        <v>44741</v>
      </c>
      <c r="B797" s="116">
        <v>2244.65</v>
      </c>
      <c r="C797" s="116">
        <v>2223.9499999999998</v>
      </c>
      <c r="D797" s="116">
        <v>2202</v>
      </c>
      <c r="E797" s="116">
        <v>2219.8000000000002</v>
      </c>
      <c r="F797" s="116">
        <v>2223.9499999999998</v>
      </c>
      <c r="G797">
        <v>7875</v>
      </c>
      <c r="H797" s="116"/>
      <c r="I797" s="116"/>
      <c r="L797" s="170">
        <v>44741</v>
      </c>
      <c r="M797" s="116">
        <v>2219.9499999999998</v>
      </c>
      <c r="N797" s="116">
        <v>2244.25</v>
      </c>
      <c r="O797" s="116">
        <v>2201</v>
      </c>
      <c r="P797" s="116">
        <v>2210</v>
      </c>
      <c r="Q797" s="116">
        <v>2219.9499999999998</v>
      </c>
      <c r="R797">
        <v>156190</v>
      </c>
    </row>
    <row r="798" spans="1:18" x14ac:dyDescent="0.25">
      <c r="A798" s="170">
        <v>44742</v>
      </c>
      <c r="B798" s="116">
        <v>2239.15</v>
      </c>
      <c r="C798" s="116">
        <v>2199.4</v>
      </c>
      <c r="D798" s="116">
        <v>2185.75</v>
      </c>
      <c r="E798" s="116">
        <v>2225</v>
      </c>
      <c r="F798" s="116">
        <v>2199.4</v>
      </c>
      <c r="G798">
        <v>8982</v>
      </c>
      <c r="H798" s="116"/>
      <c r="I798" s="116"/>
      <c r="L798" s="170">
        <v>44742</v>
      </c>
      <c r="M798" s="116">
        <v>2201.1999999999998</v>
      </c>
      <c r="N798" s="116">
        <v>2239</v>
      </c>
      <c r="O798" s="116">
        <v>2186.75</v>
      </c>
      <c r="P798" s="116">
        <v>2215</v>
      </c>
      <c r="Q798" s="116">
        <v>2201.1999999999998</v>
      </c>
      <c r="R798">
        <v>150803</v>
      </c>
    </row>
    <row r="799" spans="1:18" x14ac:dyDescent="0.25">
      <c r="A799" s="170">
        <v>44743</v>
      </c>
      <c r="B799" s="116">
        <v>2214.85</v>
      </c>
      <c r="C799" s="116">
        <v>2175.4499999999998</v>
      </c>
      <c r="D799" s="116">
        <v>2158</v>
      </c>
      <c r="E799" s="116">
        <v>2190</v>
      </c>
      <c r="F799" s="116">
        <v>2175.4499999999998</v>
      </c>
      <c r="G799">
        <v>29478</v>
      </c>
      <c r="H799" s="116"/>
      <c r="I799" s="116"/>
      <c r="L799" s="170">
        <v>44743</v>
      </c>
      <c r="M799" s="116">
        <v>2176.9</v>
      </c>
      <c r="N799" s="116">
        <v>2216.8000000000002</v>
      </c>
      <c r="O799" s="116">
        <v>2156.25</v>
      </c>
      <c r="P799" s="116">
        <v>2202.5</v>
      </c>
      <c r="Q799" s="116">
        <v>2176.9</v>
      </c>
      <c r="R799">
        <v>409500</v>
      </c>
    </row>
    <row r="800" spans="1:18" x14ac:dyDescent="0.25">
      <c r="A800" s="170">
        <v>44746</v>
      </c>
      <c r="B800" s="116">
        <v>2200</v>
      </c>
      <c r="C800" s="116">
        <v>2148.1</v>
      </c>
      <c r="D800" s="116">
        <v>2136</v>
      </c>
      <c r="E800" s="116">
        <v>2200</v>
      </c>
      <c r="F800" s="116">
        <v>2148.1</v>
      </c>
      <c r="G800">
        <v>3785</v>
      </c>
      <c r="H800" s="116"/>
      <c r="I800" s="116"/>
      <c r="L800" s="170">
        <v>44746</v>
      </c>
      <c r="M800" s="116">
        <v>2150.35</v>
      </c>
      <c r="N800" s="116">
        <v>2198.0500000000002</v>
      </c>
      <c r="O800" s="116">
        <v>2133.5500000000002</v>
      </c>
      <c r="P800" s="116">
        <v>2182.15</v>
      </c>
      <c r="Q800" s="116">
        <v>2150.35</v>
      </c>
      <c r="R800">
        <v>250242</v>
      </c>
    </row>
    <row r="801" spans="1:18" x14ac:dyDescent="0.25">
      <c r="A801" s="170">
        <v>44747</v>
      </c>
      <c r="B801" s="116">
        <v>2238.0500000000002</v>
      </c>
      <c r="C801" s="116">
        <v>2180.85</v>
      </c>
      <c r="D801" s="116">
        <v>2155.15</v>
      </c>
      <c r="E801" s="116">
        <v>2155.15</v>
      </c>
      <c r="F801" s="116">
        <v>2180.85</v>
      </c>
      <c r="G801">
        <v>12674</v>
      </c>
      <c r="H801" s="116"/>
      <c r="I801" s="116"/>
      <c r="L801" s="170">
        <v>44747</v>
      </c>
      <c r="M801" s="116">
        <v>2179.85</v>
      </c>
      <c r="N801" s="116">
        <v>2240</v>
      </c>
      <c r="O801" s="116">
        <v>2160</v>
      </c>
      <c r="P801" s="116">
        <v>2170</v>
      </c>
      <c r="Q801" s="116">
        <v>2179.85</v>
      </c>
      <c r="R801">
        <v>445118</v>
      </c>
    </row>
    <row r="802" spans="1:18" x14ac:dyDescent="0.25">
      <c r="A802" s="170">
        <v>44748</v>
      </c>
      <c r="B802" s="116">
        <v>2224.9499999999998</v>
      </c>
      <c r="C802" s="116">
        <v>2214.4499999999998</v>
      </c>
      <c r="D802" s="116">
        <v>2175.15</v>
      </c>
      <c r="E802" s="116">
        <v>2175.15</v>
      </c>
      <c r="F802" s="116">
        <v>2214.4499999999998</v>
      </c>
      <c r="G802">
        <v>9824</v>
      </c>
      <c r="H802" s="116"/>
      <c r="I802" s="116"/>
      <c r="L802" s="170">
        <v>44748</v>
      </c>
      <c r="M802" s="116">
        <v>2215.35</v>
      </c>
      <c r="N802" s="116">
        <v>2225</v>
      </c>
      <c r="O802" s="116">
        <v>2180.1</v>
      </c>
      <c r="P802" s="116">
        <v>2187.85</v>
      </c>
      <c r="Q802" s="116">
        <v>2215.35</v>
      </c>
      <c r="R802">
        <v>217597</v>
      </c>
    </row>
    <row r="803" spans="1:18" x14ac:dyDescent="0.25">
      <c r="A803" s="170">
        <v>44749</v>
      </c>
      <c r="B803" s="116">
        <v>2263.4</v>
      </c>
      <c r="C803" s="116">
        <v>2248</v>
      </c>
      <c r="D803" s="116">
        <v>2215</v>
      </c>
      <c r="E803" s="116">
        <v>2240</v>
      </c>
      <c r="F803" s="116">
        <v>2248</v>
      </c>
      <c r="G803">
        <v>7342</v>
      </c>
      <c r="H803" s="116"/>
      <c r="I803" s="116"/>
      <c r="L803" s="170">
        <v>44749</v>
      </c>
      <c r="M803" s="116">
        <v>2250.5500000000002</v>
      </c>
      <c r="N803" s="116">
        <v>2264.3000000000002</v>
      </c>
      <c r="O803" s="116">
        <v>2211.8000000000002</v>
      </c>
      <c r="P803" s="116">
        <v>2242.3000000000002</v>
      </c>
      <c r="Q803" s="116">
        <v>2250.5500000000002</v>
      </c>
      <c r="R803">
        <v>215276</v>
      </c>
    </row>
    <row r="804" spans="1:18" x14ac:dyDescent="0.25">
      <c r="A804" s="170">
        <v>44750</v>
      </c>
      <c r="B804" s="116">
        <v>2251.9499999999998</v>
      </c>
      <c r="C804" s="116">
        <v>2206.35</v>
      </c>
      <c r="D804" s="116">
        <v>2197.1999999999998</v>
      </c>
      <c r="E804" s="116">
        <v>2250</v>
      </c>
      <c r="F804" s="116">
        <v>2206.35</v>
      </c>
      <c r="G804">
        <v>6140</v>
      </c>
      <c r="H804" s="116"/>
      <c r="I804" s="116"/>
      <c r="L804" s="170">
        <v>44750</v>
      </c>
      <c r="M804" s="116">
        <v>2204.0500000000002</v>
      </c>
      <c r="N804" s="116">
        <v>2253.75</v>
      </c>
      <c r="O804" s="116">
        <v>2197</v>
      </c>
      <c r="P804" s="116">
        <v>2234.0500000000002</v>
      </c>
      <c r="Q804" s="116">
        <v>2204.0500000000002</v>
      </c>
      <c r="R804">
        <v>214749</v>
      </c>
    </row>
    <row r="805" spans="1:18" x14ac:dyDescent="0.25">
      <c r="A805" s="170">
        <v>44753</v>
      </c>
      <c r="B805" s="116">
        <v>2249.3000000000002</v>
      </c>
      <c r="C805" s="116">
        <v>2246.4499999999998</v>
      </c>
      <c r="D805" s="116">
        <v>2199.6999999999998</v>
      </c>
      <c r="E805" s="116">
        <v>2220.8000000000002</v>
      </c>
      <c r="F805" s="116">
        <v>2246.4499999999998</v>
      </c>
      <c r="G805">
        <v>11266</v>
      </c>
      <c r="H805" s="116"/>
      <c r="I805" s="116"/>
      <c r="L805" s="170">
        <v>44753</v>
      </c>
      <c r="M805" s="116">
        <v>2246.5500000000002</v>
      </c>
      <c r="N805" s="116">
        <v>2250</v>
      </c>
      <c r="O805" s="116">
        <v>2200.0500000000002</v>
      </c>
      <c r="P805" s="116">
        <v>2204.15</v>
      </c>
      <c r="Q805" s="116">
        <v>2246.5500000000002</v>
      </c>
      <c r="R805">
        <v>167208</v>
      </c>
    </row>
    <row r="806" spans="1:18" x14ac:dyDescent="0.25">
      <c r="A806" s="170">
        <v>44754</v>
      </c>
      <c r="B806" s="116">
        <v>2246.4499999999998</v>
      </c>
      <c r="C806" s="116">
        <v>2213.65</v>
      </c>
      <c r="D806" s="116">
        <v>2205.3000000000002</v>
      </c>
      <c r="E806" s="116">
        <v>2246.4499999999998</v>
      </c>
      <c r="F806" s="116">
        <v>2213.65</v>
      </c>
      <c r="G806">
        <v>3858</v>
      </c>
      <c r="H806" s="116"/>
      <c r="I806" s="116"/>
      <c r="L806" s="170">
        <v>44754</v>
      </c>
      <c r="M806" s="116">
        <v>2214.35</v>
      </c>
      <c r="N806" s="116">
        <v>2240</v>
      </c>
      <c r="O806" s="116">
        <v>2205.1</v>
      </c>
      <c r="P806" s="116">
        <v>2239.9</v>
      </c>
      <c r="Q806" s="116">
        <v>2214.35</v>
      </c>
      <c r="R806">
        <v>149416</v>
      </c>
    </row>
    <row r="807" spans="1:18" x14ac:dyDescent="0.25">
      <c r="A807" s="170">
        <v>44755</v>
      </c>
      <c r="B807" s="116">
        <v>2247.85</v>
      </c>
      <c r="C807" s="116">
        <v>2211.8000000000002</v>
      </c>
      <c r="D807" s="116">
        <v>2203.35</v>
      </c>
      <c r="E807" s="116">
        <v>2235.3000000000002</v>
      </c>
      <c r="F807" s="116">
        <v>2211.8000000000002</v>
      </c>
      <c r="G807">
        <v>5947</v>
      </c>
      <c r="H807" s="116"/>
      <c r="I807" s="116"/>
      <c r="L807" s="170">
        <v>44755</v>
      </c>
      <c r="M807" s="116">
        <v>2212.1999999999998</v>
      </c>
      <c r="N807" s="116">
        <v>2248.6999999999998</v>
      </c>
      <c r="O807" s="116">
        <v>2202.15</v>
      </c>
      <c r="P807" s="116">
        <v>2238.15</v>
      </c>
      <c r="Q807" s="116">
        <v>2212.1999999999998</v>
      </c>
      <c r="R807">
        <v>208050</v>
      </c>
    </row>
    <row r="808" spans="1:18" x14ac:dyDescent="0.25">
      <c r="A808" s="170">
        <v>44756</v>
      </c>
      <c r="B808" s="116">
        <v>2228.4499999999998</v>
      </c>
      <c r="C808" s="116">
        <v>2147.85</v>
      </c>
      <c r="D808" s="116">
        <v>2135</v>
      </c>
      <c r="E808" s="116">
        <v>2215</v>
      </c>
      <c r="F808" s="116">
        <v>2147.85</v>
      </c>
      <c r="G808">
        <v>5974</v>
      </c>
      <c r="H808" s="116"/>
      <c r="I808" s="116"/>
      <c r="L808" s="170">
        <v>44756</v>
      </c>
      <c r="M808" s="116">
        <v>2145.1999999999998</v>
      </c>
      <c r="N808" s="116">
        <v>2234</v>
      </c>
      <c r="O808" s="116">
        <v>2133.4499999999998</v>
      </c>
      <c r="P808" s="116">
        <v>2219.3000000000002</v>
      </c>
      <c r="Q808" s="116">
        <v>2145.1999999999998</v>
      </c>
      <c r="R808">
        <v>247937</v>
      </c>
    </row>
    <row r="809" spans="1:18" x14ac:dyDescent="0.25">
      <c r="A809" s="170">
        <v>44757</v>
      </c>
      <c r="B809" s="116">
        <v>2165</v>
      </c>
      <c r="C809" s="116">
        <v>2154.6999999999998</v>
      </c>
      <c r="D809" s="116">
        <v>2105</v>
      </c>
      <c r="E809" s="116">
        <v>2165</v>
      </c>
      <c r="F809" s="116">
        <v>2154.6999999999998</v>
      </c>
      <c r="G809">
        <v>19036</v>
      </c>
      <c r="H809" s="116"/>
      <c r="I809" s="116"/>
      <c r="L809" s="170">
        <v>44757</v>
      </c>
      <c r="M809" s="116">
        <v>2156.5500000000002</v>
      </c>
      <c r="N809" s="116">
        <v>2166</v>
      </c>
      <c r="O809" s="116">
        <v>2104</v>
      </c>
      <c r="P809" s="116">
        <v>2160</v>
      </c>
      <c r="Q809" s="116">
        <v>2156.5500000000002</v>
      </c>
      <c r="R809">
        <v>518757</v>
      </c>
    </row>
    <row r="810" spans="1:18" x14ac:dyDescent="0.25">
      <c r="A810" s="170">
        <v>44760</v>
      </c>
      <c r="B810" s="116">
        <v>2183.65</v>
      </c>
      <c r="C810" s="116">
        <v>2154</v>
      </c>
      <c r="D810" s="116">
        <v>2135</v>
      </c>
      <c r="E810" s="116">
        <v>2170.15</v>
      </c>
      <c r="F810" s="116">
        <v>2154</v>
      </c>
      <c r="G810">
        <v>11181</v>
      </c>
      <c r="H810" s="116"/>
      <c r="I810" s="116"/>
      <c r="L810" s="170">
        <v>44760</v>
      </c>
      <c r="M810" s="116">
        <v>2153.3000000000002</v>
      </c>
      <c r="N810" s="116">
        <v>2184</v>
      </c>
      <c r="O810" s="116">
        <v>2134</v>
      </c>
      <c r="P810" s="116">
        <v>2184</v>
      </c>
      <c r="Q810" s="116">
        <v>2153.3000000000002</v>
      </c>
      <c r="R810">
        <v>337959</v>
      </c>
    </row>
    <row r="811" spans="1:18" x14ac:dyDescent="0.25">
      <c r="A811" s="170">
        <v>44761</v>
      </c>
      <c r="B811" s="116">
        <v>2259</v>
      </c>
      <c r="C811" s="116">
        <v>2249.4</v>
      </c>
      <c r="D811" s="116">
        <v>2132</v>
      </c>
      <c r="E811" s="116">
        <v>2158</v>
      </c>
      <c r="F811" s="116">
        <v>2249.4</v>
      </c>
      <c r="G811">
        <v>85356</v>
      </c>
      <c r="H811" s="116"/>
      <c r="I811" s="116"/>
      <c r="L811" s="170">
        <v>44761</v>
      </c>
      <c r="M811" s="116">
        <v>2250.8000000000002</v>
      </c>
      <c r="N811" s="116">
        <v>2260</v>
      </c>
      <c r="O811" s="116">
        <v>2132</v>
      </c>
      <c r="P811" s="116">
        <v>2159.5500000000002</v>
      </c>
      <c r="Q811" s="116">
        <v>2250.8000000000002</v>
      </c>
      <c r="R811">
        <v>2189907</v>
      </c>
    </row>
    <row r="812" spans="1:18" x14ac:dyDescent="0.25">
      <c r="A812" s="170">
        <v>44762</v>
      </c>
      <c r="B812" s="116">
        <v>2290</v>
      </c>
      <c r="C812" s="116">
        <v>2198.6</v>
      </c>
      <c r="D812" s="116">
        <v>2194</v>
      </c>
      <c r="E812" s="116">
        <v>2275</v>
      </c>
      <c r="F812" s="116">
        <v>2198.6</v>
      </c>
      <c r="G812">
        <v>22322</v>
      </c>
      <c r="H812" s="116"/>
      <c r="I812" s="116"/>
      <c r="L812" s="170">
        <v>44762</v>
      </c>
      <c r="M812" s="116">
        <v>2199</v>
      </c>
      <c r="N812" s="116">
        <v>2290</v>
      </c>
      <c r="O812" s="116">
        <v>2192.5500000000002</v>
      </c>
      <c r="P812" s="116">
        <v>2289</v>
      </c>
      <c r="Q812" s="116">
        <v>2199</v>
      </c>
      <c r="R812">
        <v>845808</v>
      </c>
    </row>
    <row r="813" spans="1:18" x14ac:dyDescent="0.25">
      <c r="A813" s="170">
        <v>44763</v>
      </c>
      <c r="B813" s="116">
        <v>2247.9499999999998</v>
      </c>
      <c r="C813" s="116">
        <v>2229.65</v>
      </c>
      <c r="D813" s="116">
        <v>2197.9499999999998</v>
      </c>
      <c r="E813" s="116">
        <v>2216</v>
      </c>
      <c r="F813" s="116">
        <v>2229.65</v>
      </c>
      <c r="G813">
        <v>10314</v>
      </c>
      <c r="H813" s="116"/>
      <c r="I813" s="116"/>
      <c r="L813" s="170">
        <v>44763</v>
      </c>
      <c r="M813" s="116">
        <v>2229.6999999999998</v>
      </c>
      <c r="N813" s="116">
        <v>2248.0500000000002</v>
      </c>
      <c r="O813" s="116">
        <v>2198.5500000000002</v>
      </c>
      <c r="P813" s="116">
        <v>2200</v>
      </c>
      <c r="Q813" s="116">
        <v>2229.6999999999998</v>
      </c>
      <c r="R813">
        <v>727176</v>
      </c>
    </row>
    <row r="814" spans="1:18" x14ac:dyDescent="0.25">
      <c r="A814" s="170">
        <v>44764</v>
      </c>
      <c r="B814" s="116">
        <v>2244</v>
      </c>
      <c r="C814" s="116">
        <v>2211.4499999999998</v>
      </c>
      <c r="D814" s="116">
        <v>2198.9499999999998</v>
      </c>
      <c r="E814" s="116">
        <v>2243.8000000000002</v>
      </c>
      <c r="F814" s="116">
        <v>2211.4499999999998</v>
      </c>
      <c r="G814">
        <v>9242</v>
      </c>
      <c r="H814" s="116"/>
      <c r="I814" s="116"/>
      <c r="L814" s="170">
        <v>44764</v>
      </c>
      <c r="M814" s="116">
        <v>2210.9</v>
      </c>
      <c r="N814" s="116">
        <v>2248</v>
      </c>
      <c r="O814" s="116">
        <v>2198</v>
      </c>
      <c r="P814" s="116">
        <v>2235</v>
      </c>
      <c r="Q814" s="116">
        <v>2210.9</v>
      </c>
      <c r="R814">
        <v>257552</v>
      </c>
    </row>
    <row r="815" spans="1:18" x14ac:dyDescent="0.25">
      <c r="A815" s="170">
        <v>44767</v>
      </c>
      <c r="B815" s="116">
        <v>2236.85</v>
      </c>
      <c r="C815" s="116">
        <v>2220.0500000000002</v>
      </c>
      <c r="D815" s="116">
        <v>2204.1</v>
      </c>
      <c r="E815" s="116">
        <v>2225</v>
      </c>
      <c r="F815" s="116">
        <v>2220.0500000000002</v>
      </c>
      <c r="G815">
        <v>16583</v>
      </c>
      <c r="H815" s="116"/>
      <c r="I815" s="116"/>
      <c r="L815" s="170">
        <v>44767</v>
      </c>
      <c r="M815" s="116">
        <v>2222.25</v>
      </c>
      <c r="N815" s="116">
        <v>2237</v>
      </c>
      <c r="O815" s="116">
        <v>2204</v>
      </c>
      <c r="P815" s="116">
        <v>2224</v>
      </c>
      <c r="Q815" s="116">
        <v>2222.25</v>
      </c>
      <c r="R815">
        <v>281283</v>
      </c>
    </row>
    <row r="816" spans="1:18" x14ac:dyDescent="0.25">
      <c r="A816" s="170">
        <v>44768</v>
      </c>
      <c r="B816" s="116">
        <v>2237.4499999999998</v>
      </c>
      <c r="C816" s="116">
        <v>2207.85</v>
      </c>
      <c r="D816" s="116">
        <v>2204</v>
      </c>
      <c r="E816" s="116">
        <v>2237</v>
      </c>
      <c r="F816" s="116">
        <v>2207.85</v>
      </c>
      <c r="G816">
        <v>13365</v>
      </c>
      <c r="H816" s="116"/>
      <c r="I816" s="116"/>
      <c r="L816" s="170">
        <v>44768</v>
      </c>
      <c r="M816" s="116">
        <v>2207.5500000000002</v>
      </c>
      <c r="N816" s="116">
        <v>2239</v>
      </c>
      <c r="O816" s="116">
        <v>2203</v>
      </c>
      <c r="P816" s="116">
        <v>2222.25</v>
      </c>
      <c r="Q816" s="116">
        <v>2207.5500000000002</v>
      </c>
      <c r="R816">
        <v>348502</v>
      </c>
    </row>
    <row r="817" spans="1:18" x14ac:dyDescent="0.25">
      <c r="A817" s="170">
        <v>44769</v>
      </c>
      <c r="B817" s="116">
        <v>2234</v>
      </c>
      <c r="C817" s="116">
        <v>2221.6</v>
      </c>
      <c r="D817" s="116">
        <v>2202.4499999999998</v>
      </c>
      <c r="E817" s="116">
        <v>2203.9</v>
      </c>
      <c r="F817" s="116">
        <v>2221.6</v>
      </c>
      <c r="G817">
        <v>11408</v>
      </c>
      <c r="H817" s="116"/>
      <c r="I817" s="116"/>
      <c r="L817" s="170">
        <v>44769</v>
      </c>
      <c r="M817" s="116">
        <v>2223.0500000000002</v>
      </c>
      <c r="N817" s="116">
        <v>2235</v>
      </c>
      <c r="O817" s="116">
        <v>2201.1</v>
      </c>
      <c r="P817" s="116">
        <v>2207.5500000000002</v>
      </c>
      <c r="Q817" s="116">
        <v>2223.0500000000002</v>
      </c>
      <c r="R817">
        <v>379121</v>
      </c>
    </row>
    <row r="818" spans="1:18" x14ac:dyDescent="0.25">
      <c r="A818" s="170">
        <v>44770</v>
      </c>
      <c r="B818" s="116">
        <v>2299.4499999999998</v>
      </c>
      <c r="C818" s="116">
        <v>2272.65</v>
      </c>
      <c r="D818" s="116">
        <v>2230</v>
      </c>
      <c r="E818" s="116">
        <v>2230</v>
      </c>
      <c r="F818" s="116">
        <v>2272.65</v>
      </c>
      <c r="G818">
        <v>13170</v>
      </c>
      <c r="H818" s="116"/>
      <c r="I818" s="116"/>
      <c r="L818" s="170">
        <v>44770</v>
      </c>
      <c r="M818" s="116">
        <v>2272.0500000000002</v>
      </c>
      <c r="N818" s="116">
        <v>2300</v>
      </c>
      <c r="O818" s="116">
        <v>2223.0500000000002</v>
      </c>
      <c r="P818" s="116">
        <v>2235</v>
      </c>
      <c r="Q818" s="116">
        <v>2272.0500000000002</v>
      </c>
      <c r="R818">
        <v>673056</v>
      </c>
    </row>
    <row r="819" spans="1:18" x14ac:dyDescent="0.25">
      <c r="A819" s="170">
        <v>44771</v>
      </c>
      <c r="B819" s="116">
        <v>2335.6999999999998</v>
      </c>
      <c r="C819" s="116">
        <v>2315.9</v>
      </c>
      <c r="D819" s="116">
        <v>2293</v>
      </c>
      <c r="E819" s="116">
        <v>2293.8000000000002</v>
      </c>
      <c r="F819" s="116">
        <v>2315.9</v>
      </c>
      <c r="G819">
        <v>30313</v>
      </c>
      <c r="H819" s="116"/>
      <c r="I819" s="116"/>
      <c r="L819" s="170">
        <v>44771</v>
      </c>
      <c r="M819" s="116">
        <v>2317.4499999999998</v>
      </c>
      <c r="N819" s="116">
        <v>2336</v>
      </c>
      <c r="O819" s="116">
        <v>2287.1999999999998</v>
      </c>
      <c r="P819" s="116">
        <v>2294</v>
      </c>
      <c r="Q819" s="116">
        <v>2317.4499999999998</v>
      </c>
      <c r="R819">
        <v>491549</v>
      </c>
    </row>
    <row r="820" spans="1:18" x14ac:dyDescent="0.25">
      <c r="A820" s="170">
        <v>44774</v>
      </c>
      <c r="B820" s="116">
        <v>2359.1</v>
      </c>
      <c r="C820" s="116">
        <v>2347.25</v>
      </c>
      <c r="D820" s="116">
        <v>2293.1</v>
      </c>
      <c r="E820" s="116">
        <v>2343.9499999999998</v>
      </c>
      <c r="F820" s="116">
        <v>2347.25</v>
      </c>
      <c r="G820">
        <v>12816</v>
      </c>
      <c r="H820" s="116"/>
      <c r="I820" s="116"/>
      <c r="L820" s="170">
        <v>44774</v>
      </c>
      <c r="M820" s="116">
        <v>2342.3000000000002</v>
      </c>
      <c r="N820" s="116">
        <v>2359.5500000000002</v>
      </c>
      <c r="O820" s="116">
        <v>2288.35</v>
      </c>
      <c r="P820" s="116">
        <v>2336</v>
      </c>
      <c r="Q820" s="116">
        <v>2342.3000000000002</v>
      </c>
      <c r="R820">
        <v>515788</v>
      </c>
    </row>
    <row r="821" spans="1:18" x14ac:dyDescent="0.25">
      <c r="A821" s="170">
        <v>44775</v>
      </c>
      <c r="B821" s="116">
        <v>2387.9</v>
      </c>
      <c r="C821" s="116">
        <v>2377.0500000000002</v>
      </c>
      <c r="D821" s="116">
        <v>2331</v>
      </c>
      <c r="E821" s="116">
        <v>2351.5</v>
      </c>
      <c r="F821" s="116">
        <v>2377.0500000000002</v>
      </c>
      <c r="G821">
        <v>23811</v>
      </c>
      <c r="H821" s="116"/>
      <c r="I821" s="116"/>
      <c r="L821" s="170">
        <v>44775</v>
      </c>
      <c r="M821" s="116">
        <v>2377.1999999999998</v>
      </c>
      <c r="N821" s="116">
        <v>2389</v>
      </c>
      <c r="O821" s="116">
        <v>2331</v>
      </c>
      <c r="P821" s="116">
        <v>2343</v>
      </c>
      <c r="Q821" s="116">
        <v>2377.1999999999998</v>
      </c>
      <c r="R821">
        <v>384807</v>
      </c>
    </row>
    <row r="822" spans="1:18" x14ac:dyDescent="0.25">
      <c r="A822" s="170">
        <v>44776</v>
      </c>
      <c r="B822" s="116">
        <v>2388.0500000000002</v>
      </c>
      <c r="C822" s="116">
        <v>2357.1999999999998</v>
      </c>
      <c r="D822" s="116">
        <v>2340</v>
      </c>
      <c r="E822" s="116">
        <v>2363.5</v>
      </c>
      <c r="F822" s="116">
        <v>2357.1999999999998</v>
      </c>
      <c r="G822">
        <v>5628</v>
      </c>
      <c r="H822" s="116"/>
      <c r="I822" s="116"/>
      <c r="L822" s="170">
        <v>44776</v>
      </c>
      <c r="M822" s="116">
        <v>2355.75</v>
      </c>
      <c r="N822" s="116">
        <v>2387.3000000000002</v>
      </c>
      <c r="O822" s="116">
        <v>2338.15</v>
      </c>
      <c r="P822" s="116">
        <v>2377</v>
      </c>
      <c r="Q822" s="116">
        <v>2355.75</v>
      </c>
      <c r="R822">
        <v>200623</v>
      </c>
    </row>
    <row r="823" spans="1:18" x14ac:dyDescent="0.25">
      <c r="A823" s="170">
        <v>44777</v>
      </c>
      <c r="B823" s="116">
        <v>2397.4</v>
      </c>
      <c r="C823" s="116">
        <v>2372.4</v>
      </c>
      <c r="D823" s="116">
        <v>2324.4</v>
      </c>
      <c r="E823" s="116">
        <v>2370</v>
      </c>
      <c r="F823" s="116">
        <v>2372.4</v>
      </c>
      <c r="G823">
        <v>22660</v>
      </c>
      <c r="H823" s="116"/>
      <c r="I823" s="116"/>
      <c r="L823" s="170">
        <v>44777</v>
      </c>
      <c r="M823" s="116">
        <v>2374.75</v>
      </c>
      <c r="N823" s="116">
        <v>2399</v>
      </c>
      <c r="O823" s="116">
        <v>2321.5500000000002</v>
      </c>
      <c r="P823" s="116">
        <v>2363</v>
      </c>
      <c r="Q823" s="116">
        <v>2374.75</v>
      </c>
      <c r="R823">
        <v>271601</v>
      </c>
    </row>
    <row r="824" spans="1:18" x14ac:dyDescent="0.25">
      <c r="A824" s="170">
        <v>44778</v>
      </c>
      <c r="B824" s="116">
        <v>2396.1999999999998</v>
      </c>
      <c r="C824" s="116">
        <v>2360</v>
      </c>
      <c r="D824" s="116">
        <v>2351.25</v>
      </c>
      <c r="E824" s="116">
        <v>2372</v>
      </c>
      <c r="F824" s="116">
        <v>2360</v>
      </c>
      <c r="G824">
        <v>7122</v>
      </c>
      <c r="H824" s="116"/>
      <c r="I824" s="116"/>
      <c r="L824" s="170">
        <v>44778</v>
      </c>
      <c r="M824" s="116">
        <v>2360.65</v>
      </c>
      <c r="N824" s="116">
        <v>2405</v>
      </c>
      <c r="O824" s="116">
        <v>2351.0500000000002</v>
      </c>
      <c r="P824" s="116">
        <v>2380</v>
      </c>
      <c r="Q824" s="116">
        <v>2360.65</v>
      </c>
      <c r="R824">
        <v>169952</v>
      </c>
    </row>
    <row r="825" spans="1:18" x14ac:dyDescent="0.25">
      <c r="A825" s="170">
        <v>44781</v>
      </c>
      <c r="B825" s="116">
        <v>2380.15</v>
      </c>
      <c r="C825" s="116">
        <v>2360.3000000000002</v>
      </c>
      <c r="D825" s="116">
        <v>2354.75</v>
      </c>
      <c r="E825" s="116">
        <v>2375</v>
      </c>
      <c r="F825" s="116">
        <v>2360.3000000000002</v>
      </c>
      <c r="G825">
        <v>7287</v>
      </c>
      <c r="H825" s="116"/>
      <c r="I825" s="116"/>
      <c r="L825" s="170">
        <v>44781</v>
      </c>
      <c r="M825" s="116">
        <v>2360.4499999999998</v>
      </c>
      <c r="N825" s="116">
        <v>2382</v>
      </c>
      <c r="O825" s="116">
        <v>2345.35</v>
      </c>
      <c r="P825" s="116">
        <v>2355</v>
      </c>
      <c r="Q825" s="116">
        <v>2360.4499999999998</v>
      </c>
      <c r="R825">
        <v>132693</v>
      </c>
    </row>
    <row r="826" spans="1:18" x14ac:dyDescent="0.25">
      <c r="A826" s="170">
        <v>44783</v>
      </c>
      <c r="B826" s="116">
        <v>2429.85</v>
      </c>
      <c r="C826" s="116">
        <v>2421.1</v>
      </c>
      <c r="D826" s="116">
        <v>2351.8000000000002</v>
      </c>
      <c r="E826" s="116">
        <v>2360.3000000000002</v>
      </c>
      <c r="F826" s="116">
        <v>2421.1</v>
      </c>
      <c r="G826">
        <v>34756</v>
      </c>
      <c r="H826" s="116"/>
      <c r="I826" s="116"/>
      <c r="L826" s="170">
        <v>44783</v>
      </c>
      <c r="M826" s="116">
        <v>2421.15</v>
      </c>
      <c r="N826" s="116">
        <v>2433</v>
      </c>
      <c r="O826" s="116">
        <v>2350.6</v>
      </c>
      <c r="P826" s="116">
        <v>2377</v>
      </c>
      <c r="Q826" s="116">
        <v>2421.15</v>
      </c>
      <c r="R826">
        <v>660830</v>
      </c>
    </row>
    <row r="827" spans="1:18" x14ac:dyDescent="0.25">
      <c r="A827" s="170">
        <v>44784</v>
      </c>
      <c r="B827" s="116">
        <v>2460.6</v>
      </c>
      <c r="C827" s="116">
        <v>2415.4499999999998</v>
      </c>
      <c r="D827" s="116">
        <v>2412.35</v>
      </c>
      <c r="E827" s="116">
        <v>2431</v>
      </c>
      <c r="F827" s="116">
        <v>2415.4499999999998</v>
      </c>
      <c r="G827">
        <v>7587</v>
      </c>
      <c r="H827" s="116"/>
      <c r="I827" s="116"/>
      <c r="L827" s="170">
        <v>44784</v>
      </c>
      <c r="M827" s="116">
        <v>2417.5</v>
      </c>
      <c r="N827" s="116">
        <v>2460</v>
      </c>
      <c r="O827" s="116">
        <v>2412</v>
      </c>
      <c r="P827" s="116">
        <v>2446.0500000000002</v>
      </c>
      <c r="Q827" s="116">
        <v>2417.5</v>
      </c>
      <c r="R827">
        <v>238979</v>
      </c>
    </row>
    <row r="828" spans="1:18" x14ac:dyDescent="0.25">
      <c r="A828" s="170">
        <v>44785</v>
      </c>
      <c r="B828" s="116">
        <v>2441</v>
      </c>
      <c r="C828" s="116">
        <v>2409.1</v>
      </c>
      <c r="D828" s="116">
        <v>2404.35</v>
      </c>
      <c r="E828" s="116">
        <v>2430</v>
      </c>
      <c r="F828" s="116">
        <v>2409.1</v>
      </c>
      <c r="G828">
        <v>4591</v>
      </c>
      <c r="H828" s="116"/>
      <c r="I828" s="116"/>
      <c r="L828" s="170">
        <v>44785</v>
      </c>
      <c r="M828" s="116">
        <v>2409.4499999999998</v>
      </c>
      <c r="N828" s="116">
        <v>2440</v>
      </c>
      <c r="O828" s="116">
        <v>2385</v>
      </c>
      <c r="P828" s="116">
        <v>2415.1</v>
      </c>
      <c r="Q828" s="116">
        <v>2409.4499999999998</v>
      </c>
      <c r="R828">
        <v>168815</v>
      </c>
    </row>
    <row r="829" spans="1:18" x14ac:dyDescent="0.25">
      <c r="A829" s="170">
        <v>44789</v>
      </c>
      <c r="B829" s="116">
        <v>2446</v>
      </c>
      <c r="C829" s="116">
        <v>2441.1</v>
      </c>
      <c r="D829" s="116">
        <v>2407.15</v>
      </c>
      <c r="E829" s="116">
        <v>2410.15</v>
      </c>
      <c r="F829" s="116">
        <v>2441.1</v>
      </c>
      <c r="G829">
        <v>4703</v>
      </c>
      <c r="H829" s="116"/>
      <c r="I829" s="116"/>
      <c r="L829" s="170">
        <v>44789</v>
      </c>
      <c r="M829" s="116">
        <v>2439.9</v>
      </c>
      <c r="N829" s="116">
        <v>2446</v>
      </c>
      <c r="O829" s="116">
        <v>2405.6999999999998</v>
      </c>
      <c r="P829" s="116">
        <v>2425</v>
      </c>
      <c r="Q829" s="116">
        <v>2439.9</v>
      </c>
      <c r="R829">
        <v>256715</v>
      </c>
    </row>
    <row r="830" spans="1:18" x14ac:dyDescent="0.25">
      <c r="A830" s="170">
        <v>44790</v>
      </c>
      <c r="B830" s="116">
        <v>2477.3000000000002</v>
      </c>
      <c r="C830" s="116">
        <v>2456.1999999999998</v>
      </c>
      <c r="D830" s="116">
        <v>2439.5</v>
      </c>
      <c r="E830" s="116">
        <v>2459</v>
      </c>
      <c r="F830" s="116">
        <v>2456.1999999999998</v>
      </c>
      <c r="G830">
        <v>19707</v>
      </c>
      <c r="H830" s="116"/>
      <c r="I830" s="116"/>
      <c r="L830" s="170">
        <v>44790</v>
      </c>
      <c r="M830" s="116">
        <v>2457.6</v>
      </c>
      <c r="N830" s="116">
        <v>2478.8000000000002</v>
      </c>
      <c r="O830" s="116">
        <v>2440</v>
      </c>
      <c r="P830" s="116">
        <v>2449</v>
      </c>
      <c r="Q830" s="116">
        <v>2457.6</v>
      </c>
      <c r="R830">
        <v>258779</v>
      </c>
    </row>
    <row r="831" spans="1:18" x14ac:dyDescent="0.25">
      <c r="A831" s="170">
        <v>44791</v>
      </c>
      <c r="B831" s="116">
        <v>2470.0500000000002</v>
      </c>
      <c r="C831" s="116">
        <v>2460.6</v>
      </c>
      <c r="D831" s="116">
        <v>2435</v>
      </c>
      <c r="E831" s="116">
        <v>2470</v>
      </c>
      <c r="F831" s="116">
        <v>2460.6</v>
      </c>
      <c r="G831">
        <v>3873</v>
      </c>
      <c r="H831" s="116"/>
      <c r="I831" s="116"/>
      <c r="L831" s="170">
        <v>44791</v>
      </c>
      <c r="M831" s="116">
        <v>2459.6999999999998</v>
      </c>
      <c r="N831" s="116">
        <v>2468.85</v>
      </c>
      <c r="O831" s="116">
        <v>2435</v>
      </c>
      <c r="P831" s="116">
        <v>2452.9</v>
      </c>
      <c r="Q831" s="116">
        <v>2459.6999999999998</v>
      </c>
      <c r="R831">
        <v>172105</v>
      </c>
    </row>
    <row r="832" spans="1:18" x14ac:dyDescent="0.25">
      <c r="A832" s="170">
        <v>44792</v>
      </c>
      <c r="B832" s="116">
        <v>2470</v>
      </c>
      <c r="C832" s="116">
        <v>2418.9499999999998</v>
      </c>
      <c r="D832" s="116">
        <v>2402.4</v>
      </c>
      <c r="E832" s="116">
        <v>2470</v>
      </c>
      <c r="F832" s="116">
        <v>2418.9499999999998</v>
      </c>
      <c r="G832">
        <v>16933</v>
      </c>
      <c r="H832" s="116"/>
      <c r="I832" s="116"/>
      <c r="L832" s="170">
        <v>44792</v>
      </c>
      <c r="M832" s="116">
        <v>2419.9</v>
      </c>
      <c r="N832" s="116">
        <v>2468</v>
      </c>
      <c r="O832" s="116">
        <v>2403.5500000000002</v>
      </c>
      <c r="P832" s="116">
        <v>2459.9</v>
      </c>
      <c r="Q832" s="116">
        <v>2419.9</v>
      </c>
      <c r="R832">
        <v>180353</v>
      </c>
    </row>
    <row r="833" spans="1:18" x14ac:dyDescent="0.25">
      <c r="A833" s="170">
        <v>44795</v>
      </c>
      <c r="B833" s="116">
        <v>2417</v>
      </c>
      <c r="C833" s="116">
        <v>2345.5</v>
      </c>
      <c r="D833" s="116">
        <v>2341</v>
      </c>
      <c r="E833" s="116">
        <v>2417</v>
      </c>
      <c r="F833" s="116">
        <v>2345.5</v>
      </c>
      <c r="G833">
        <v>6664</v>
      </c>
      <c r="H833" s="116"/>
      <c r="I833" s="116"/>
      <c r="L833" s="170">
        <v>44795</v>
      </c>
      <c r="M833" s="116">
        <v>2345.1999999999998</v>
      </c>
      <c r="N833" s="116">
        <v>2419.9</v>
      </c>
      <c r="O833" s="116">
        <v>2340.0500000000002</v>
      </c>
      <c r="P833" s="116">
        <v>2419.9</v>
      </c>
      <c r="Q833" s="116">
        <v>2345.1999999999998</v>
      </c>
      <c r="R833">
        <v>175714</v>
      </c>
    </row>
    <row r="834" spans="1:18" x14ac:dyDescent="0.25">
      <c r="A834" s="170">
        <v>44796</v>
      </c>
      <c r="B834" s="116">
        <v>2406.4499999999998</v>
      </c>
      <c r="C834" s="116">
        <v>2399.15</v>
      </c>
      <c r="D834" s="116">
        <v>2305</v>
      </c>
      <c r="E834" s="116">
        <v>2305</v>
      </c>
      <c r="F834" s="116">
        <v>2399.15</v>
      </c>
      <c r="G834">
        <v>12988</v>
      </c>
      <c r="H834" s="116"/>
      <c r="I834" s="116"/>
      <c r="L834" s="170">
        <v>44796</v>
      </c>
      <c r="M834" s="116">
        <v>2399.6999999999998</v>
      </c>
      <c r="N834" s="116">
        <v>2406.35</v>
      </c>
      <c r="O834" s="116">
        <v>2310</v>
      </c>
      <c r="P834" s="116">
        <v>2320</v>
      </c>
      <c r="Q834" s="116">
        <v>2399.6999999999998</v>
      </c>
      <c r="R834">
        <v>225646</v>
      </c>
    </row>
    <row r="835" spans="1:18" x14ac:dyDescent="0.25">
      <c r="A835" s="170">
        <v>44797</v>
      </c>
      <c r="B835" s="116">
        <v>2443</v>
      </c>
      <c r="C835" s="116">
        <v>2431.6</v>
      </c>
      <c r="D835" s="116">
        <v>2389.6</v>
      </c>
      <c r="E835" s="116">
        <v>2399.0500000000002</v>
      </c>
      <c r="F835" s="116">
        <v>2431.6</v>
      </c>
      <c r="G835">
        <v>8153</v>
      </c>
      <c r="H835" s="116"/>
      <c r="I835" s="116"/>
      <c r="L835" s="170">
        <v>44797</v>
      </c>
      <c r="M835" s="116">
        <v>2435.25</v>
      </c>
      <c r="N835" s="116">
        <v>2446.4499999999998</v>
      </c>
      <c r="O835" s="116">
        <v>2388.4499999999998</v>
      </c>
      <c r="P835" s="116">
        <v>2413.8000000000002</v>
      </c>
      <c r="Q835" s="116">
        <v>2435.25</v>
      </c>
      <c r="R835">
        <v>224219</v>
      </c>
    </row>
    <row r="836" spans="1:18" x14ac:dyDescent="0.25">
      <c r="A836" s="170">
        <v>44798</v>
      </c>
      <c r="B836" s="116">
        <v>2455</v>
      </c>
      <c r="C836" s="116">
        <v>2402.1</v>
      </c>
      <c r="D836" s="116">
        <v>2394.1</v>
      </c>
      <c r="E836" s="116">
        <v>2455</v>
      </c>
      <c r="F836" s="116">
        <v>2402.1</v>
      </c>
      <c r="G836">
        <v>6154</v>
      </c>
      <c r="H836" s="116"/>
      <c r="I836" s="116"/>
      <c r="L836" s="170">
        <v>44798</v>
      </c>
      <c r="M836" s="116">
        <v>2402.75</v>
      </c>
      <c r="N836" s="116">
        <v>2453</v>
      </c>
      <c r="O836" s="116">
        <v>2393</v>
      </c>
      <c r="P836" s="116">
        <v>2453</v>
      </c>
      <c r="Q836" s="116">
        <v>2402.75</v>
      </c>
      <c r="R836">
        <v>480148</v>
      </c>
    </row>
    <row r="837" spans="1:18" x14ac:dyDescent="0.25">
      <c r="A837" s="170">
        <v>44799</v>
      </c>
      <c r="B837" s="116">
        <v>2452.9499999999998</v>
      </c>
      <c r="C837" s="116">
        <v>2407.85</v>
      </c>
      <c r="D837" s="116">
        <v>2402.1</v>
      </c>
      <c r="E837" s="116">
        <v>2417.6</v>
      </c>
      <c r="F837" s="116">
        <v>2407.85</v>
      </c>
      <c r="G837">
        <v>4572</v>
      </c>
      <c r="H837" s="116"/>
      <c r="I837" s="116"/>
      <c r="L837" s="170">
        <v>44799</v>
      </c>
      <c r="M837" s="116">
        <v>2408.35</v>
      </c>
      <c r="N837" s="116">
        <v>2453.9499999999998</v>
      </c>
      <c r="O837" s="116">
        <v>2401.1999999999998</v>
      </c>
      <c r="P837" s="116">
        <v>2419</v>
      </c>
      <c r="Q837" s="116">
        <v>2408.35</v>
      </c>
      <c r="R837">
        <v>248300</v>
      </c>
    </row>
    <row r="838" spans="1:18" x14ac:dyDescent="0.25">
      <c r="A838" s="170">
        <v>44802</v>
      </c>
      <c r="B838" s="116">
        <v>2425</v>
      </c>
      <c r="C838" s="116">
        <v>2418.75</v>
      </c>
      <c r="D838" s="116">
        <v>2314.0500000000002</v>
      </c>
      <c r="E838" s="116">
        <v>2314.0500000000002</v>
      </c>
      <c r="F838" s="116">
        <v>2418.75</v>
      </c>
      <c r="G838">
        <v>7854</v>
      </c>
      <c r="H838" s="116"/>
      <c r="I838" s="116"/>
      <c r="L838" s="170">
        <v>44802</v>
      </c>
      <c r="M838" s="116">
        <v>2417.85</v>
      </c>
      <c r="N838" s="116">
        <v>2425</v>
      </c>
      <c r="O838" s="116">
        <v>2343.15</v>
      </c>
      <c r="P838" s="116">
        <v>2351.1</v>
      </c>
      <c r="Q838" s="116">
        <v>2417.85</v>
      </c>
      <c r="R838">
        <v>319794</v>
      </c>
    </row>
    <row r="839" spans="1:18" x14ac:dyDescent="0.25">
      <c r="A839" s="170">
        <v>44803</v>
      </c>
      <c r="B839" s="116">
        <v>2501</v>
      </c>
      <c r="C839" s="116">
        <v>2468.75</v>
      </c>
      <c r="D839" s="116">
        <v>2430.75</v>
      </c>
      <c r="E839" s="116">
        <v>2443</v>
      </c>
      <c r="F839" s="116">
        <v>2468.75</v>
      </c>
      <c r="G839">
        <v>23553</v>
      </c>
      <c r="H839" s="116"/>
      <c r="I839" s="116"/>
      <c r="L839" s="170">
        <v>44803</v>
      </c>
      <c r="M839" s="116">
        <v>2470.15</v>
      </c>
      <c r="N839" s="116">
        <v>2502.9499999999998</v>
      </c>
      <c r="O839" s="116">
        <v>2430.1</v>
      </c>
      <c r="P839" s="116">
        <v>2440</v>
      </c>
      <c r="Q839" s="116">
        <v>2470.15</v>
      </c>
      <c r="R839">
        <v>569354</v>
      </c>
    </row>
    <row r="840" spans="1:18" x14ac:dyDescent="0.25">
      <c r="A840" s="170">
        <v>44805</v>
      </c>
      <c r="B840" s="116">
        <v>2489</v>
      </c>
      <c r="C840" s="116">
        <v>2482.4499999999998</v>
      </c>
      <c r="D840" s="116">
        <v>2435</v>
      </c>
      <c r="E840" s="116">
        <v>2470</v>
      </c>
      <c r="F840" s="116">
        <v>2482.4499999999998</v>
      </c>
      <c r="G840">
        <v>10299</v>
      </c>
      <c r="H840" s="116"/>
      <c r="I840" s="116"/>
      <c r="L840" s="170">
        <v>44805</v>
      </c>
      <c r="M840" s="116">
        <v>2483.4499999999998</v>
      </c>
      <c r="N840" s="116">
        <v>2489.25</v>
      </c>
      <c r="O840" s="116">
        <v>2441.1</v>
      </c>
      <c r="P840" s="116">
        <v>2462.9499999999998</v>
      </c>
      <c r="Q840" s="116">
        <v>2483.4499999999998</v>
      </c>
      <c r="R840">
        <v>367495</v>
      </c>
    </row>
    <row r="841" spans="1:18" x14ac:dyDescent="0.25">
      <c r="A841" s="170">
        <v>44806</v>
      </c>
      <c r="B841" s="116">
        <v>2542.9499999999998</v>
      </c>
      <c r="C841" s="116">
        <v>2474.75</v>
      </c>
      <c r="D841" s="116">
        <v>2466.6</v>
      </c>
      <c r="E841" s="116">
        <v>2488</v>
      </c>
      <c r="F841" s="116">
        <v>2474.75</v>
      </c>
      <c r="G841">
        <v>11592</v>
      </c>
      <c r="H841" s="116"/>
      <c r="I841" s="116"/>
      <c r="L841" s="170">
        <v>44806</v>
      </c>
      <c r="M841" s="116">
        <v>2473.4499999999998</v>
      </c>
      <c r="N841" s="116">
        <v>2543.9</v>
      </c>
      <c r="O841" s="116">
        <v>2466.0500000000002</v>
      </c>
      <c r="P841" s="116">
        <v>2490</v>
      </c>
      <c r="Q841" s="116">
        <v>2473.4499999999998</v>
      </c>
      <c r="R841">
        <v>343567</v>
      </c>
    </row>
    <row r="842" spans="1:18" x14ac:dyDescent="0.25">
      <c r="A842" s="170">
        <v>44809</v>
      </c>
      <c r="B842" s="116">
        <v>2534.6</v>
      </c>
      <c r="C842" s="116">
        <v>2497.35</v>
      </c>
      <c r="D842" s="116">
        <v>2475.1</v>
      </c>
      <c r="E842" s="116">
        <v>2481</v>
      </c>
      <c r="F842" s="116">
        <v>2497.35</v>
      </c>
      <c r="G842">
        <v>16604</v>
      </c>
      <c r="H842" s="116"/>
      <c r="I842" s="116"/>
      <c r="L842" s="170">
        <v>44809</v>
      </c>
      <c r="M842" s="116">
        <v>2498.85</v>
      </c>
      <c r="N842" s="116">
        <v>2535</v>
      </c>
      <c r="O842" s="116">
        <v>2475</v>
      </c>
      <c r="P842" s="116">
        <v>2491.4499999999998</v>
      </c>
      <c r="Q842" s="116">
        <v>2498.85</v>
      </c>
      <c r="R842">
        <v>242091</v>
      </c>
    </row>
    <row r="843" spans="1:18" x14ac:dyDescent="0.25">
      <c r="A843" s="170">
        <v>44810</v>
      </c>
      <c r="B843" s="116">
        <v>2520.1999999999998</v>
      </c>
      <c r="C843" s="116">
        <v>2491.4499999999998</v>
      </c>
      <c r="D843" s="116">
        <v>2487.25</v>
      </c>
      <c r="E843" s="116">
        <v>2498.0500000000002</v>
      </c>
      <c r="F843" s="116">
        <v>2491.4499999999998</v>
      </c>
      <c r="G843">
        <v>5341</v>
      </c>
      <c r="H843" s="116"/>
      <c r="I843" s="116"/>
      <c r="L843" s="170">
        <v>44810</v>
      </c>
      <c r="M843" s="116">
        <v>2494.25</v>
      </c>
      <c r="N843" s="116">
        <v>2519.75</v>
      </c>
      <c r="O843" s="116">
        <v>2486.35</v>
      </c>
      <c r="P843" s="116">
        <v>2515</v>
      </c>
      <c r="Q843" s="116">
        <v>2494.25</v>
      </c>
      <c r="R843">
        <v>116636</v>
      </c>
    </row>
    <row r="844" spans="1:18" x14ac:dyDescent="0.25">
      <c r="A844" s="170">
        <v>44811</v>
      </c>
      <c r="B844" s="116">
        <v>2528.15</v>
      </c>
      <c r="C844" s="116">
        <v>2518.25</v>
      </c>
      <c r="D844" s="116">
        <v>2469.25</v>
      </c>
      <c r="E844" s="116">
        <v>2498.3000000000002</v>
      </c>
      <c r="F844" s="116">
        <v>2518.25</v>
      </c>
      <c r="G844">
        <v>7350</v>
      </c>
      <c r="H844" s="116"/>
      <c r="I844" s="116"/>
      <c r="L844" s="170">
        <v>44811</v>
      </c>
      <c r="M844" s="116">
        <v>2515.6</v>
      </c>
      <c r="N844" s="116">
        <v>2528.8000000000002</v>
      </c>
      <c r="O844" s="116">
        <v>2468.0500000000002</v>
      </c>
      <c r="P844" s="116">
        <v>2491.8000000000002</v>
      </c>
      <c r="Q844" s="116">
        <v>2515.6</v>
      </c>
      <c r="R844">
        <v>196702</v>
      </c>
    </row>
    <row r="845" spans="1:18" x14ac:dyDescent="0.25">
      <c r="A845" s="170">
        <v>44812</v>
      </c>
      <c r="B845" s="116">
        <v>2537</v>
      </c>
      <c r="C845" s="116">
        <v>2500.4499999999998</v>
      </c>
      <c r="D845" s="116">
        <v>2491</v>
      </c>
      <c r="E845" s="116">
        <v>2534.4499999999998</v>
      </c>
      <c r="F845" s="116">
        <v>2500.4499999999998</v>
      </c>
      <c r="G845">
        <v>10862</v>
      </c>
      <c r="H845" s="116"/>
      <c r="I845" s="116"/>
      <c r="L845" s="170">
        <v>44812</v>
      </c>
      <c r="M845" s="116">
        <v>2501.1999999999998</v>
      </c>
      <c r="N845" s="116">
        <v>2537.85</v>
      </c>
      <c r="O845" s="116">
        <v>2490</v>
      </c>
      <c r="P845" s="116">
        <v>2525</v>
      </c>
      <c r="Q845" s="116">
        <v>2501.1999999999998</v>
      </c>
      <c r="R845">
        <v>148298</v>
      </c>
    </row>
    <row r="846" spans="1:18" x14ac:dyDescent="0.25">
      <c r="A846" s="170">
        <v>44813</v>
      </c>
      <c r="B846" s="116">
        <v>2551</v>
      </c>
      <c r="C846" s="116">
        <v>2531.6999999999998</v>
      </c>
      <c r="D846" s="116">
        <v>2504.1</v>
      </c>
      <c r="E846" s="116">
        <v>2530</v>
      </c>
      <c r="F846" s="116">
        <v>2531.6999999999998</v>
      </c>
      <c r="G846">
        <v>6981</v>
      </c>
      <c r="H846" s="116"/>
      <c r="I846" s="116"/>
      <c r="L846" s="170">
        <v>44813</v>
      </c>
      <c r="M846" s="116">
        <v>2528.6999999999998</v>
      </c>
      <c r="N846" s="116">
        <v>2552</v>
      </c>
      <c r="O846" s="116">
        <v>2504.0500000000002</v>
      </c>
      <c r="P846" s="116">
        <v>2519</v>
      </c>
      <c r="Q846" s="116">
        <v>2528.6999999999998</v>
      </c>
      <c r="R846">
        <v>202663</v>
      </c>
    </row>
    <row r="847" spans="1:18" x14ac:dyDescent="0.25">
      <c r="A847" s="170">
        <v>44816</v>
      </c>
      <c r="B847" s="116">
        <v>2564.5</v>
      </c>
      <c r="C847" s="116">
        <v>2547.65</v>
      </c>
      <c r="D847" s="116">
        <v>2528.5500000000002</v>
      </c>
      <c r="E847" s="116">
        <v>2530.1999999999998</v>
      </c>
      <c r="F847" s="116">
        <v>2547.65</v>
      </c>
      <c r="G847">
        <v>15020</v>
      </c>
      <c r="H847" s="116"/>
      <c r="I847" s="116"/>
      <c r="L847" s="170">
        <v>44816</v>
      </c>
      <c r="M847" s="116">
        <v>2549.6999999999998</v>
      </c>
      <c r="N847" s="116">
        <v>2564</v>
      </c>
      <c r="O847" s="116">
        <v>2529.8000000000002</v>
      </c>
      <c r="P847" s="116">
        <v>2535</v>
      </c>
      <c r="Q847" s="116">
        <v>2549.6999999999998</v>
      </c>
      <c r="R847">
        <v>128320</v>
      </c>
    </row>
    <row r="848" spans="1:18" x14ac:dyDescent="0.25">
      <c r="A848" s="170">
        <v>44817</v>
      </c>
      <c r="B848" s="116">
        <v>2658.05</v>
      </c>
      <c r="C848" s="116">
        <v>2638.3</v>
      </c>
      <c r="D848" s="116">
        <v>2534.1999999999998</v>
      </c>
      <c r="E848" s="116">
        <v>2534.1999999999998</v>
      </c>
      <c r="F848" s="116">
        <v>2638.3</v>
      </c>
      <c r="G848">
        <v>17319</v>
      </c>
      <c r="H848" s="116"/>
      <c r="I848" s="116"/>
      <c r="L848" s="170">
        <v>44817</v>
      </c>
      <c r="M848" s="116">
        <v>2638.5</v>
      </c>
      <c r="N848" s="116">
        <v>2659</v>
      </c>
      <c r="O848" s="116">
        <v>2550</v>
      </c>
      <c r="P848" s="116">
        <v>2550</v>
      </c>
      <c r="Q848" s="116">
        <v>2638.5</v>
      </c>
      <c r="R848">
        <v>555754</v>
      </c>
    </row>
    <row r="849" spans="1:18" x14ac:dyDescent="0.25">
      <c r="A849" s="170">
        <v>44818</v>
      </c>
      <c r="B849" s="116">
        <v>2652</v>
      </c>
      <c r="C849" s="116">
        <v>2643.6</v>
      </c>
      <c r="D849" s="116">
        <v>2603.35</v>
      </c>
      <c r="E849" s="116">
        <v>2620</v>
      </c>
      <c r="F849" s="116">
        <v>2643.6</v>
      </c>
      <c r="G849">
        <v>8235</v>
      </c>
      <c r="H849" s="116"/>
      <c r="I849" s="116"/>
      <c r="L849" s="170">
        <v>44818</v>
      </c>
      <c r="M849" s="116">
        <v>2645.25</v>
      </c>
      <c r="N849" s="116">
        <v>2653</v>
      </c>
      <c r="O849" s="116">
        <v>2605</v>
      </c>
      <c r="P849" s="116">
        <v>2610</v>
      </c>
      <c r="Q849" s="116">
        <v>2645.25</v>
      </c>
      <c r="R849">
        <v>324717</v>
      </c>
    </row>
    <row r="850" spans="1:18" x14ac:dyDescent="0.25">
      <c r="A850" s="170">
        <v>44819</v>
      </c>
      <c r="B850" s="116">
        <v>2719</v>
      </c>
      <c r="C850" s="116">
        <v>2646.5</v>
      </c>
      <c r="D850" s="116">
        <v>2640</v>
      </c>
      <c r="E850" s="116">
        <v>2652.35</v>
      </c>
      <c r="F850" s="116">
        <v>2646.5</v>
      </c>
      <c r="G850">
        <v>19814</v>
      </c>
      <c r="H850" s="116"/>
      <c r="I850" s="116"/>
      <c r="L850" s="170">
        <v>44819</v>
      </c>
      <c r="M850" s="116">
        <v>2652.7</v>
      </c>
      <c r="N850" s="116">
        <v>2719.75</v>
      </c>
      <c r="O850" s="116">
        <v>2646.2</v>
      </c>
      <c r="P850" s="116">
        <v>2655.65</v>
      </c>
      <c r="Q850" s="116">
        <v>2652.7</v>
      </c>
      <c r="R850">
        <v>680793</v>
      </c>
    </row>
    <row r="851" spans="1:18" x14ac:dyDescent="0.25">
      <c r="A851" s="170">
        <v>44820</v>
      </c>
      <c r="B851" s="116">
        <v>2672</v>
      </c>
      <c r="C851" s="116">
        <v>2600.9</v>
      </c>
      <c r="D851" s="116">
        <v>2587.4</v>
      </c>
      <c r="E851" s="116">
        <v>2650.05</v>
      </c>
      <c r="F851" s="116">
        <v>2600.9</v>
      </c>
      <c r="G851">
        <v>13541</v>
      </c>
      <c r="H851" s="116"/>
      <c r="I851" s="116"/>
      <c r="L851" s="170">
        <v>44820</v>
      </c>
      <c r="M851" s="116">
        <v>2599.3000000000002</v>
      </c>
      <c r="N851" s="116">
        <v>2671.95</v>
      </c>
      <c r="O851" s="116">
        <v>2590</v>
      </c>
      <c r="P851" s="116">
        <v>2664.85</v>
      </c>
      <c r="Q851" s="116">
        <v>2599.3000000000002</v>
      </c>
      <c r="R851">
        <v>412572</v>
      </c>
    </row>
    <row r="852" spans="1:18" x14ac:dyDescent="0.25">
      <c r="A852" s="170">
        <v>44823</v>
      </c>
      <c r="B852" s="116">
        <v>2611.6999999999998</v>
      </c>
      <c r="C852" s="116">
        <v>2583.4</v>
      </c>
      <c r="D852" s="116">
        <v>2571.0500000000002</v>
      </c>
      <c r="E852" s="116">
        <v>2571.0500000000002</v>
      </c>
      <c r="F852" s="116">
        <v>2583.4</v>
      </c>
      <c r="G852">
        <v>96425</v>
      </c>
      <c r="H852" s="116"/>
      <c r="I852" s="116"/>
      <c r="L852" s="170">
        <v>44823</v>
      </c>
      <c r="M852" s="116">
        <v>2585</v>
      </c>
      <c r="N852" s="116">
        <v>2614</v>
      </c>
      <c r="O852" s="116">
        <v>2571.3000000000002</v>
      </c>
      <c r="P852" s="116">
        <v>2581</v>
      </c>
      <c r="Q852" s="116">
        <v>2585</v>
      </c>
      <c r="R852">
        <v>172011</v>
      </c>
    </row>
    <row r="853" spans="1:18" x14ac:dyDescent="0.25">
      <c r="A853" s="170">
        <v>44824</v>
      </c>
      <c r="B853" s="116">
        <v>2668</v>
      </c>
      <c r="C853" s="116">
        <v>2623.1</v>
      </c>
      <c r="D853" s="116">
        <v>2612.1999999999998</v>
      </c>
      <c r="E853" s="116">
        <v>2631.7</v>
      </c>
      <c r="F853" s="116">
        <v>2623.1</v>
      </c>
      <c r="G853">
        <v>9883</v>
      </c>
      <c r="H853" s="116"/>
      <c r="I853" s="116"/>
      <c r="L853" s="170">
        <v>44824</v>
      </c>
      <c r="M853" s="116">
        <v>2623.1</v>
      </c>
      <c r="N853" s="116">
        <v>2669.7</v>
      </c>
      <c r="O853" s="116">
        <v>2600.75</v>
      </c>
      <c r="P853" s="116">
        <v>2614</v>
      </c>
      <c r="Q853" s="116">
        <v>2623.1</v>
      </c>
      <c r="R853">
        <v>231658</v>
      </c>
    </row>
    <row r="854" spans="1:18" x14ac:dyDescent="0.25">
      <c r="A854" s="170">
        <v>44825</v>
      </c>
      <c r="B854" s="116">
        <v>2654.15</v>
      </c>
      <c r="C854" s="116">
        <v>2603.1999999999998</v>
      </c>
      <c r="D854" s="116">
        <v>2588.9499999999998</v>
      </c>
      <c r="E854" s="116">
        <v>2621</v>
      </c>
      <c r="F854" s="116">
        <v>2603.1999999999998</v>
      </c>
      <c r="G854">
        <v>13474</v>
      </c>
      <c r="H854" s="116"/>
      <c r="I854" s="116"/>
      <c r="L854" s="170">
        <v>44825</v>
      </c>
      <c r="M854" s="116">
        <v>2604.4499999999998</v>
      </c>
      <c r="N854" s="116">
        <v>2654.45</v>
      </c>
      <c r="O854" s="116">
        <v>2595</v>
      </c>
      <c r="P854" s="116">
        <v>2624</v>
      </c>
      <c r="Q854" s="116">
        <v>2604.4499999999998</v>
      </c>
      <c r="R854">
        <v>201665</v>
      </c>
    </row>
    <row r="855" spans="1:18" x14ac:dyDescent="0.25">
      <c r="A855" s="170">
        <v>44826</v>
      </c>
      <c r="B855" s="116">
        <v>2638</v>
      </c>
      <c r="C855" s="116">
        <v>2607.6</v>
      </c>
      <c r="D855" s="116">
        <v>2560.0500000000002</v>
      </c>
      <c r="E855" s="116">
        <v>2560.0500000000002</v>
      </c>
      <c r="F855" s="116">
        <v>2607.6</v>
      </c>
      <c r="G855">
        <v>4649</v>
      </c>
      <c r="H855" s="116"/>
      <c r="I855" s="116"/>
      <c r="L855" s="170">
        <v>44826</v>
      </c>
      <c r="M855" s="116">
        <v>2604.85</v>
      </c>
      <c r="N855" s="116">
        <v>2637.95</v>
      </c>
      <c r="O855" s="116">
        <v>2585</v>
      </c>
      <c r="P855" s="116">
        <v>2589.4499999999998</v>
      </c>
      <c r="Q855" s="116">
        <v>2604.85</v>
      </c>
      <c r="R855">
        <v>165078</v>
      </c>
    </row>
    <row r="856" spans="1:18" x14ac:dyDescent="0.25">
      <c r="A856" s="170">
        <v>44827</v>
      </c>
      <c r="B856" s="116">
        <v>2637</v>
      </c>
      <c r="C856" s="116">
        <v>2578.75</v>
      </c>
      <c r="D856" s="116">
        <v>2555</v>
      </c>
      <c r="E856" s="116">
        <v>2624.95</v>
      </c>
      <c r="F856" s="116">
        <v>2578.75</v>
      </c>
      <c r="G856">
        <v>14017</v>
      </c>
      <c r="H856" s="116"/>
      <c r="I856" s="116"/>
      <c r="L856" s="170">
        <v>44827</v>
      </c>
      <c r="M856" s="116">
        <v>2580.8000000000002</v>
      </c>
      <c r="N856" s="116">
        <v>2638.45</v>
      </c>
      <c r="O856" s="116">
        <v>2560</v>
      </c>
      <c r="P856" s="116">
        <v>2609</v>
      </c>
      <c r="Q856" s="116">
        <v>2580.8000000000002</v>
      </c>
      <c r="R856">
        <v>191261</v>
      </c>
    </row>
    <row r="857" spans="1:18" x14ac:dyDescent="0.25">
      <c r="A857" s="170">
        <v>44830</v>
      </c>
      <c r="B857" s="116">
        <v>2569.5</v>
      </c>
      <c r="C857" s="116">
        <v>2498.1999999999998</v>
      </c>
      <c r="D857" s="116">
        <v>2458.35</v>
      </c>
      <c r="E857" s="116">
        <v>2550</v>
      </c>
      <c r="F857" s="116">
        <v>2498.1999999999998</v>
      </c>
      <c r="G857">
        <v>14038</v>
      </c>
      <c r="H857" s="116"/>
      <c r="I857" s="116"/>
      <c r="L857" s="170">
        <v>44830</v>
      </c>
      <c r="M857" s="116">
        <v>2495.0500000000002</v>
      </c>
      <c r="N857" s="116">
        <v>2571</v>
      </c>
      <c r="O857" s="116">
        <v>2451.1</v>
      </c>
      <c r="P857" s="116">
        <v>2549.9499999999998</v>
      </c>
      <c r="Q857" s="116">
        <v>2495.0500000000002</v>
      </c>
      <c r="R857">
        <v>375161</v>
      </c>
    </row>
    <row r="858" spans="1:18" x14ac:dyDescent="0.25">
      <c r="A858" s="170">
        <v>44831</v>
      </c>
      <c r="B858" s="116">
        <v>2526.9499999999998</v>
      </c>
      <c r="C858" s="116">
        <v>2499.3000000000002</v>
      </c>
      <c r="D858" s="116">
        <v>2470.0500000000002</v>
      </c>
      <c r="E858" s="116">
        <v>2496.0500000000002</v>
      </c>
      <c r="F858" s="116">
        <v>2499.3000000000002</v>
      </c>
      <c r="G858">
        <v>12195</v>
      </c>
      <c r="H858" s="116"/>
      <c r="I858" s="116"/>
      <c r="L858" s="170">
        <v>44831</v>
      </c>
      <c r="M858" s="116">
        <v>2500.6999999999998</v>
      </c>
      <c r="N858" s="116">
        <v>2522</v>
      </c>
      <c r="O858" s="116">
        <v>2470</v>
      </c>
      <c r="P858" s="116">
        <v>2507</v>
      </c>
      <c r="Q858" s="116">
        <v>2500.6999999999998</v>
      </c>
      <c r="R858">
        <v>172204</v>
      </c>
    </row>
    <row r="859" spans="1:18" x14ac:dyDescent="0.25">
      <c r="A859" s="170">
        <v>44832</v>
      </c>
      <c r="B859" s="116">
        <v>2527.25</v>
      </c>
      <c r="C859" s="116">
        <v>2512.3000000000002</v>
      </c>
      <c r="D859" s="116">
        <v>2470.4</v>
      </c>
      <c r="E859" s="116">
        <v>2500</v>
      </c>
      <c r="F859" s="116">
        <v>2512.3000000000002</v>
      </c>
      <c r="G859">
        <v>9688</v>
      </c>
      <c r="H859" s="116"/>
      <c r="I859" s="116"/>
      <c r="L859" s="170">
        <v>44832</v>
      </c>
      <c r="M859" s="116">
        <v>2514.4</v>
      </c>
      <c r="N859" s="116">
        <v>2529</v>
      </c>
      <c r="O859" s="116">
        <v>2468.9499999999998</v>
      </c>
      <c r="P859" s="116">
        <v>2494.9</v>
      </c>
      <c r="Q859" s="116">
        <v>2514.4</v>
      </c>
      <c r="R859">
        <v>243415</v>
      </c>
    </row>
    <row r="860" spans="1:18" x14ac:dyDescent="0.25">
      <c r="A860" s="170">
        <v>44833</v>
      </c>
      <c r="B860" s="116">
        <v>2600</v>
      </c>
      <c r="C860" s="116">
        <v>2590.65</v>
      </c>
      <c r="D860" s="116">
        <v>2522.5500000000002</v>
      </c>
      <c r="E860" s="116">
        <v>2544.6</v>
      </c>
      <c r="F860" s="116">
        <v>2590.65</v>
      </c>
      <c r="G860">
        <v>15324</v>
      </c>
      <c r="H860" s="116"/>
      <c r="I860" s="116"/>
      <c r="L860" s="170">
        <v>44833</v>
      </c>
      <c r="M860" s="116">
        <v>2586.6</v>
      </c>
      <c r="N860" s="116">
        <v>2607</v>
      </c>
      <c r="O860" s="116">
        <v>2520</v>
      </c>
      <c r="P860" s="116">
        <v>2526.9499999999998</v>
      </c>
      <c r="Q860" s="116">
        <v>2586.6</v>
      </c>
      <c r="R860">
        <v>419989</v>
      </c>
    </row>
    <row r="861" spans="1:18" x14ac:dyDescent="0.25">
      <c r="A861" s="170">
        <v>44834</v>
      </c>
      <c r="B861" s="116">
        <v>2600.6999999999998</v>
      </c>
      <c r="C861" s="116">
        <v>2559.4499999999998</v>
      </c>
      <c r="D861" s="116">
        <v>2529</v>
      </c>
      <c r="E861" s="116">
        <v>2575.1999999999998</v>
      </c>
      <c r="F861" s="116">
        <v>2559.4499999999998</v>
      </c>
      <c r="G861">
        <v>14511</v>
      </c>
      <c r="H861" s="116"/>
      <c r="I861" s="116"/>
      <c r="L861" s="170">
        <v>44834</v>
      </c>
      <c r="M861" s="116">
        <v>2560.75</v>
      </c>
      <c r="N861" s="116">
        <v>2599</v>
      </c>
      <c r="O861" s="116">
        <v>2528.1</v>
      </c>
      <c r="P861" s="116">
        <v>2594</v>
      </c>
      <c r="Q861" s="116">
        <v>2560.75</v>
      </c>
      <c r="R861">
        <v>226182</v>
      </c>
    </row>
    <row r="862" spans="1:18" x14ac:dyDescent="0.25">
      <c r="A862" s="170">
        <v>44837</v>
      </c>
      <c r="B862" s="116">
        <v>2580</v>
      </c>
      <c r="C862" s="116">
        <v>2543.3000000000002</v>
      </c>
      <c r="D862" s="116">
        <v>2535</v>
      </c>
      <c r="E862" s="116">
        <v>2535.0500000000002</v>
      </c>
      <c r="F862" s="116">
        <v>2543.3000000000002</v>
      </c>
      <c r="G862">
        <v>3976</v>
      </c>
      <c r="H862" s="116"/>
      <c r="I862" s="116"/>
      <c r="L862" s="170">
        <v>44837</v>
      </c>
      <c r="M862" s="116">
        <v>2542.85</v>
      </c>
      <c r="N862" s="116">
        <v>2581.15</v>
      </c>
      <c r="O862" s="116">
        <v>2531</v>
      </c>
      <c r="P862" s="116">
        <v>2550</v>
      </c>
      <c r="Q862" s="116">
        <v>2542.85</v>
      </c>
      <c r="R862">
        <v>160643</v>
      </c>
    </row>
    <row r="863" spans="1:18" x14ac:dyDescent="0.25">
      <c r="A863" s="170">
        <v>44838</v>
      </c>
      <c r="B863" s="116">
        <v>2665</v>
      </c>
      <c r="C863" s="116">
        <v>2632.05</v>
      </c>
      <c r="D863" s="116">
        <v>2556.0500000000002</v>
      </c>
      <c r="E863" s="116">
        <v>2556.0500000000002</v>
      </c>
      <c r="F863" s="116">
        <v>2632.05</v>
      </c>
      <c r="G863">
        <v>18355</v>
      </c>
      <c r="H863" s="116"/>
      <c r="I863" s="116"/>
      <c r="L863" s="170">
        <v>44838</v>
      </c>
      <c r="M863" s="116">
        <v>2633.85</v>
      </c>
      <c r="N863" s="116">
        <v>2665</v>
      </c>
      <c r="O863" s="116">
        <v>2560.1999999999998</v>
      </c>
      <c r="P863" s="116">
        <v>2574</v>
      </c>
      <c r="Q863" s="116">
        <v>2633.85</v>
      </c>
      <c r="R863">
        <v>355302</v>
      </c>
    </row>
    <row r="864" spans="1:18" x14ac:dyDescent="0.25">
      <c r="A864" s="170">
        <v>44840</v>
      </c>
      <c r="B864" s="116">
        <v>2699.85</v>
      </c>
      <c r="C864" s="116">
        <v>2642.8</v>
      </c>
      <c r="D864" s="116">
        <v>2631</v>
      </c>
      <c r="E864" s="116">
        <v>2640.45</v>
      </c>
      <c r="F864" s="116">
        <v>2642.8</v>
      </c>
      <c r="G864">
        <v>8016</v>
      </c>
      <c r="H864" s="116"/>
      <c r="I864" s="116"/>
      <c r="L864" s="170">
        <v>44840</v>
      </c>
      <c r="M864" s="116">
        <v>2642.95</v>
      </c>
      <c r="N864" s="116">
        <v>2700</v>
      </c>
      <c r="O864" s="116">
        <v>2630</v>
      </c>
      <c r="P864" s="116">
        <v>2650</v>
      </c>
      <c r="Q864" s="116">
        <v>2642.95</v>
      </c>
      <c r="R864">
        <v>282347</v>
      </c>
    </row>
    <row r="865" spans="1:18" x14ac:dyDescent="0.25">
      <c r="A865" s="170">
        <v>44841</v>
      </c>
      <c r="B865" s="116">
        <v>2677.4</v>
      </c>
      <c r="C865" s="116">
        <v>2604.15</v>
      </c>
      <c r="D865" s="116">
        <v>2597.4</v>
      </c>
      <c r="E865" s="116">
        <v>2650</v>
      </c>
      <c r="F865" s="116">
        <v>2604.15</v>
      </c>
      <c r="G865">
        <v>9926</v>
      </c>
      <c r="H865" s="116"/>
      <c r="I865" s="116"/>
      <c r="L865" s="170">
        <v>44841</v>
      </c>
      <c r="M865" s="116">
        <v>2604.9</v>
      </c>
      <c r="N865" s="116">
        <v>2678.95</v>
      </c>
      <c r="O865" s="116">
        <v>2597</v>
      </c>
      <c r="P865" s="116">
        <v>2654</v>
      </c>
      <c r="Q865" s="116">
        <v>2604.9</v>
      </c>
      <c r="R865">
        <v>239419</v>
      </c>
    </row>
    <row r="866" spans="1:18" x14ac:dyDescent="0.25">
      <c r="A866" s="170">
        <v>44844</v>
      </c>
      <c r="B866" s="116">
        <v>2629.7</v>
      </c>
      <c r="C866" s="116">
        <v>2615.15</v>
      </c>
      <c r="D866" s="116">
        <v>2575</v>
      </c>
      <c r="E866" s="116">
        <v>2599.85</v>
      </c>
      <c r="F866" s="116">
        <v>2615.15</v>
      </c>
      <c r="G866">
        <v>7804</v>
      </c>
      <c r="H866" s="116"/>
      <c r="I866" s="116"/>
      <c r="L866" s="170">
        <v>44844</v>
      </c>
      <c r="M866" s="116">
        <v>2614.35</v>
      </c>
      <c r="N866" s="116">
        <v>2628.95</v>
      </c>
      <c r="O866" s="116">
        <v>2577.1</v>
      </c>
      <c r="P866" s="116">
        <v>2584.9</v>
      </c>
      <c r="Q866" s="116">
        <v>2614.35</v>
      </c>
      <c r="R866">
        <v>155471</v>
      </c>
    </row>
    <row r="867" spans="1:18" x14ac:dyDescent="0.25">
      <c r="A867" s="170">
        <v>44845</v>
      </c>
      <c r="B867" s="116">
        <v>2643.15</v>
      </c>
      <c r="C867" s="116">
        <v>2581.85</v>
      </c>
      <c r="D867" s="116">
        <v>2560</v>
      </c>
      <c r="E867" s="116">
        <v>2614</v>
      </c>
      <c r="F867" s="116">
        <v>2581.85</v>
      </c>
      <c r="G867">
        <v>74334</v>
      </c>
      <c r="H867" s="116"/>
      <c r="I867" s="116"/>
      <c r="L867" s="170">
        <v>44845</v>
      </c>
      <c r="M867" s="116">
        <v>2584.9499999999998</v>
      </c>
      <c r="N867" s="116">
        <v>2644</v>
      </c>
      <c r="O867" s="116">
        <v>2555</v>
      </c>
      <c r="P867" s="116">
        <v>2610</v>
      </c>
      <c r="Q867" s="116">
        <v>2584.9499999999998</v>
      </c>
      <c r="R867">
        <v>204428</v>
      </c>
    </row>
    <row r="868" spans="1:18" x14ac:dyDescent="0.25">
      <c r="A868" s="170">
        <v>44846</v>
      </c>
      <c r="B868" s="116">
        <v>2592</v>
      </c>
      <c r="C868" s="116">
        <v>2576.65</v>
      </c>
      <c r="D868" s="116">
        <v>2545.5</v>
      </c>
      <c r="E868" s="116">
        <v>2580</v>
      </c>
      <c r="F868" s="116">
        <v>2576.65</v>
      </c>
      <c r="G868">
        <v>4405</v>
      </c>
      <c r="H868" s="116"/>
      <c r="I868" s="116"/>
      <c r="L868" s="170">
        <v>44846</v>
      </c>
      <c r="M868" s="116">
        <v>2575.75</v>
      </c>
      <c r="N868" s="116">
        <v>2593.9499999999998</v>
      </c>
      <c r="O868" s="116">
        <v>2543.1999999999998</v>
      </c>
      <c r="P868" s="116">
        <v>2580</v>
      </c>
      <c r="Q868" s="116">
        <v>2575.75</v>
      </c>
      <c r="R868">
        <v>136019</v>
      </c>
    </row>
    <row r="869" spans="1:18" x14ac:dyDescent="0.25">
      <c r="A869" s="170">
        <v>44847</v>
      </c>
      <c r="B869" s="116">
        <v>2599.9499999999998</v>
      </c>
      <c r="C869" s="116">
        <v>2574.6</v>
      </c>
      <c r="D869" s="116">
        <v>2568.9499999999998</v>
      </c>
      <c r="E869" s="116">
        <v>2599.9499999999998</v>
      </c>
      <c r="F869" s="116">
        <v>2574.6</v>
      </c>
      <c r="G869">
        <v>7293</v>
      </c>
      <c r="H869" s="116"/>
      <c r="I869" s="116"/>
      <c r="L869" s="170">
        <v>44847</v>
      </c>
      <c r="M869" s="116">
        <v>2574.6</v>
      </c>
      <c r="N869" s="116">
        <v>2598</v>
      </c>
      <c r="O869" s="116">
        <v>2568.4499999999998</v>
      </c>
      <c r="P869" s="116">
        <v>2581.1</v>
      </c>
      <c r="Q869" s="116">
        <v>2574.6</v>
      </c>
      <c r="R869">
        <v>136687</v>
      </c>
    </row>
    <row r="870" spans="1:18" x14ac:dyDescent="0.25">
      <c r="A870" s="170">
        <v>44848</v>
      </c>
      <c r="B870" s="116">
        <v>2627.6</v>
      </c>
      <c r="C870" s="116">
        <v>2569.1999999999998</v>
      </c>
      <c r="D870" s="116">
        <v>2563.65</v>
      </c>
      <c r="E870" s="116">
        <v>2583.25</v>
      </c>
      <c r="F870" s="116">
        <v>2569.1999999999998</v>
      </c>
      <c r="G870">
        <v>8749</v>
      </c>
      <c r="H870" s="116"/>
      <c r="I870" s="116"/>
      <c r="L870" s="170">
        <v>44848</v>
      </c>
      <c r="M870" s="116">
        <v>2570.4499999999998</v>
      </c>
      <c r="N870" s="116">
        <v>2623.6</v>
      </c>
      <c r="O870" s="116">
        <v>2562.8000000000002</v>
      </c>
      <c r="P870" s="116">
        <v>2600</v>
      </c>
      <c r="Q870" s="116">
        <v>2570.4499999999998</v>
      </c>
      <c r="R870">
        <v>151383</v>
      </c>
    </row>
    <row r="871" spans="1:18" x14ac:dyDescent="0.25">
      <c r="A871" s="170">
        <v>44851</v>
      </c>
      <c r="B871" s="116">
        <v>2625.45</v>
      </c>
      <c r="C871" s="116">
        <v>2620.15</v>
      </c>
      <c r="D871" s="116">
        <v>2552.9</v>
      </c>
      <c r="E871" s="116">
        <v>2588.15</v>
      </c>
      <c r="F871" s="116">
        <v>2620.15</v>
      </c>
      <c r="G871">
        <v>122151</v>
      </c>
      <c r="H871" s="116"/>
      <c r="I871" s="116"/>
      <c r="L871" s="170">
        <v>44851</v>
      </c>
      <c r="M871" s="116">
        <v>2618.8000000000002</v>
      </c>
      <c r="N871" s="116">
        <v>2624.85</v>
      </c>
      <c r="O871" s="116">
        <v>2551.25</v>
      </c>
      <c r="P871" s="116">
        <v>2570</v>
      </c>
      <c r="Q871" s="116">
        <v>2618.8000000000002</v>
      </c>
      <c r="R871">
        <v>223353</v>
      </c>
    </row>
    <row r="872" spans="1:18" x14ac:dyDescent="0.25">
      <c r="A872" s="170">
        <v>44852</v>
      </c>
      <c r="B872" s="116">
        <v>2769</v>
      </c>
      <c r="C872" s="116">
        <v>2751.15</v>
      </c>
      <c r="D872" s="116">
        <v>2613.85</v>
      </c>
      <c r="E872" s="116">
        <v>2634</v>
      </c>
      <c r="F872" s="116">
        <v>2751.15</v>
      </c>
      <c r="G872">
        <v>64038</v>
      </c>
      <c r="H872" s="116"/>
      <c r="I872" s="116"/>
      <c r="L872" s="170">
        <v>44852</v>
      </c>
      <c r="M872" s="116">
        <v>2749.05</v>
      </c>
      <c r="N872" s="116">
        <v>2770</v>
      </c>
      <c r="O872" s="116">
        <v>2612.85</v>
      </c>
      <c r="P872" s="116">
        <v>2637</v>
      </c>
      <c r="Q872" s="116">
        <v>2749.05</v>
      </c>
      <c r="R872">
        <v>1315807</v>
      </c>
    </row>
    <row r="873" spans="1:18" x14ac:dyDescent="0.25">
      <c r="A873" s="170">
        <v>44853</v>
      </c>
      <c r="B873" s="116">
        <v>2853.5</v>
      </c>
      <c r="C873" s="116">
        <v>2704.45</v>
      </c>
      <c r="D873" s="116">
        <v>2673.8</v>
      </c>
      <c r="E873" s="116">
        <v>2790</v>
      </c>
      <c r="F873" s="116">
        <v>2704.45</v>
      </c>
      <c r="G873">
        <v>74103</v>
      </c>
      <c r="H873" s="116"/>
      <c r="I873" s="116"/>
      <c r="L873" s="170">
        <v>44853</v>
      </c>
      <c r="M873" s="116">
        <v>2706.65</v>
      </c>
      <c r="N873" s="116">
        <v>2862.5</v>
      </c>
      <c r="O873" s="116">
        <v>2674</v>
      </c>
      <c r="P873" s="116">
        <v>2791</v>
      </c>
      <c r="Q873" s="116">
        <v>2706.65</v>
      </c>
      <c r="R873">
        <v>1293572</v>
      </c>
    </row>
    <row r="874" spans="1:18" x14ac:dyDescent="0.25">
      <c r="A874" s="170">
        <v>44854</v>
      </c>
      <c r="B874" s="116">
        <v>2708</v>
      </c>
      <c r="C874" s="116">
        <v>2650.8</v>
      </c>
      <c r="D874" s="116">
        <v>2632</v>
      </c>
      <c r="E874" s="116">
        <v>2707.75</v>
      </c>
      <c r="F874" s="116">
        <v>2650.8</v>
      </c>
      <c r="G874">
        <v>10902</v>
      </c>
      <c r="H874" s="116"/>
      <c r="I874" s="116"/>
      <c r="L874" s="170">
        <v>44854</v>
      </c>
      <c r="M874" s="116">
        <v>2649.25</v>
      </c>
      <c r="N874" s="116">
        <v>2708.9</v>
      </c>
      <c r="O874" s="116">
        <v>2630.3</v>
      </c>
      <c r="P874" s="116">
        <v>2698</v>
      </c>
      <c r="Q874" s="116">
        <v>2649.25</v>
      </c>
      <c r="R874">
        <v>483384</v>
      </c>
    </row>
    <row r="875" spans="1:18" x14ac:dyDescent="0.25">
      <c r="A875" s="170">
        <v>44855</v>
      </c>
      <c r="B875" s="116">
        <v>2753.9</v>
      </c>
      <c r="C875" s="116">
        <v>2697.45</v>
      </c>
      <c r="D875" s="116">
        <v>2649</v>
      </c>
      <c r="E875" s="116">
        <v>2649</v>
      </c>
      <c r="F875" s="116">
        <v>2697.45</v>
      </c>
      <c r="G875">
        <v>35484</v>
      </c>
      <c r="H875" s="116"/>
      <c r="I875" s="116"/>
      <c r="L875" s="170">
        <v>44855</v>
      </c>
      <c r="M875" s="116">
        <v>2698.1</v>
      </c>
      <c r="N875" s="116">
        <v>2754.9</v>
      </c>
      <c r="O875" s="116">
        <v>2650</v>
      </c>
      <c r="P875" s="116">
        <v>2650</v>
      </c>
      <c r="Q875" s="116">
        <v>2698.1</v>
      </c>
      <c r="R875">
        <v>674894</v>
      </c>
    </row>
    <row r="876" spans="1:18" x14ac:dyDescent="0.25">
      <c r="A876" s="170">
        <v>44858</v>
      </c>
      <c r="B876" s="116">
        <v>2749.85</v>
      </c>
      <c r="C876" s="116">
        <v>2723.15</v>
      </c>
      <c r="D876" s="116">
        <v>2702.35</v>
      </c>
      <c r="E876" s="116">
        <v>2749.85</v>
      </c>
      <c r="F876" s="116">
        <v>2723.15</v>
      </c>
      <c r="G876">
        <v>4037</v>
      </c>
      <c r="H876" s="116"/>
      <c r="I876" s="116"/>
      <c r="L876" s="170">
        <v>44858</v>
      </c>
      <c r="M876" s="116">
        <v>2722</v>
      </c>
      <c r="N876" s="116">
        <v>2735</v>
      </c>
      <c r="O876" s="116">
        <v>2700</v>
      </c>
      <c r="P876" s="116">
        <v>2735</v>
      </c>
      <c r="Q876" s="116">
        <v>2722</v>
      </c>
      <c r="R876">
        <v>74923</v>
      </c>
    </row>
    <row r="877" spans="1:18" x14ac:dyDescent="0.25">
      <c r="A877" s="170">
        <v>44859</v>
      </c>
      <c r="B877" s="116">
        <v>2788.65</v>
      </c>
      <c r="C877" s="116">
        <v>2762.4</v>
      </c>
      <c r="D877" s="116">
        <v>2693.8</v>
      </c>
      <c r="E877" s="116">
        <v>2725</v>
      </c>
      <c r="F877" s="116">
        <v>2762.4</v>
      </c>
      <c r="G877">
        <v>92434</v>
      </c>
      <c r="H877" s="116"/>
      <c r="I877" s="116"/>
      <c r="L877" s="170">
        <v>44859</v>
      </c>
      <c r="M877" s="116">
        <v>2765.4</v>
      </c>
      <c r="N877" s="116">
        <v>2789.9</v>
      </c>
      <c r="O877" s="116">
        <v>2694.65</v>
      </c>
      <c r="P877" s="116">
        <v>2722</v>
      </c>
      <c r="Q877" s="116">
        <v>2765.4</v>
      </c>
      <c r="R877">
        <v>478836</v>
      </c>
    </row>
    <row r="878" spans="1:18" x14ac:dyDescent="0.25">
      <c r="A878" s="170">
        <v>44861</v>
      </c>
      <c r="B878" s="116">
        <v>2802</v>
      </c>
      <c r="C878" s="116">
        <v>2774.15</v>
      </c>
      <c r="D878" s="116">
        <v>2753.3</v>
      </c>
      <c r="E878" s="116">
        <v>2753.3</v>
      </c>
      <c r="F878" s="116">
        <v>2774.15</v>
      </c>
      <c r="G878">
        <v>9642</v>
      </c>
      <c r="H878" s="116"/>
      <c r="I878" s="116"/>
      <c r="L878" s="170">
        <v>44861</v>
      </c>
      <c r="M878" s="116">
        <v>2775.15</v>
      </c>
      <c r="N878" s="116">
        <v>2802.85</v>
      </c>
      <c r="O878" s="116">
        <v>2758.1</v>
      </c>
      <c r="P878" s="116">
        <v>2765</v>
      </c>
      <c r="Q878" s="116">
        <v>2775.15</v>
      </c>
      <c r="R878">
        <v>362667</v>
      </c>
    </row>
    <row r="879" spans="1:18" x14ac:dyDescent="0.25">
      <c r="A879" s="170">
        <v>44862</v>
      </c>
      <c r="B879" s="116">
        <v>2793.4</v>
      </c>
      <c r="C879" s="116">
        <v>2754.4</v>
      </c>
      <c r="D879" s="116">
        <v>2745</v>
      </c>
      <c r="E879" s="116">
        <v>2770.85</v>
      </c>
      <c r="F879" s="116">
        <v>2754.4</v>
      </c>
      <c r="G879">
        <v>6729</v>
      </c>
      <c r="H879" s="116"/>
      <c r="I879" s="116"/>
      <c r="L879" s="170">
        <v>44862</v>
      </c>
      <c r="M879" s="116">
        <v>2752.8</v>
      </c>
      <c r="N879" s="116">
        <v>2794.5</v>
      </c>
      <c r="O879" s="116">
        <v>2743.05</v>
      </c>
      <c r="P879" s="116">
        <v>2784.45</v>
      </c>
      <c r="Q879" s="116">
        <v>2752.8</v>
      </c>
      <c r="R879">
        <v>215373</v>
      </c>
    </row>
    <row r="880" spans="1:18" x14ac:dyDescent="0.25">
      <c r="A880" s="170">
        <v>44865</v>
      </c>
      <c r="B880" s="116">
        <v>2789</v>
      </c>
      <c r="C880" s="116">
        <v>2778.75</v>
      </c>
      <c r="D880" s="116">
        <v>2750.05</v>
      </c>
      <c r="E880" s="116">
        <v>2759.6</v>
      </c>
      <c r="F880" s="116">
        <v>2778.75</v>
      </c>
      <c r="G880">
        <v>13125</v>
      </c>
      <c r="H880" s="116"/>
      <c r="I880" s="116"/>
      <c r="L880" s="170">
        <v>44865</v>
      </c>
      <c r="M880" s="116">
        <v>2777.45</v>
      </c>
      <c r="N880" s="116">
        <v>2790</v>
      </c>
      <c r="O880" s="116">
        <v>2750</v>
      </c>
      <c r="P880" s="116">
        <v>2767.3</v>
      </c>
      <c r="Q880" s="116">
        <v>2777.45</v>
      </c>
      <c r="R880">
        <v>174844</v>
      </c>
    </row>
    <row r="881" spans="1:18" x14ac:dyDescent="0.25">
      <c r="A881" s="170">
        <v>44866</v>
      </c>
      <c r="B881" s="116">
        <v>2800.85</v>
      </c>
      <c r="C881" s="116">
        <v>2772.3</v>
      </c>
      <c r="D881" s="116">
        <v>2755.95</v>
      </c>
      <c r="E881" s="116">
        <v>2755.95</v>
      </c>
      <c r="F881" s="116">
        <v>2772.3</v>
      </c>
      <c r="G881">
        <v>11818</v>
      </c>
      <c r="H881" s="116"/>
      <c r="I881" s="116"/>
      <c r="L881" s="170">
        <v>44866</v>
      </c>
      <c r="M881" s="116">
        <v>2773.75</v>
      </c>
      <c r="N881" s="116">
        <v>2792.55</v>
      </c>
      <c r="O881" s="116">
        <v>2757.85</v>
      </c>
      <c r="P881" s="116">
        <v>2782.3</v>
      </c>
      <c r="Q881" s="116">
        <v>2773.75</v>
      </c>
      <c r="R881">
        <v>134708</v>
      </c>
    </row>
    <row r="882" spans="1:18" x14ac:dyDescent="0.25">
      <c r="A882" s="170">
        <v>44867</v>
      </c>
      <c r="B882" s="116">
        <v>2837.5</v>
      </c>
      <c r="C882" s="116">
        <v>2810.15</v>
      </c>
      <c r="D882" s="116">
        <v>2772</v>
      </c>
      <c r="E882" s="116">
        <v>2783.1</v>
      </c>
      <c r="F882" s="116">
        <v>2810.15</v>
      </c>
      <c r="G882">
        <v>12882</v>
      </c>
      <c r="H882" s="116"/>
      <c r="I882" s="116"/>
      <c r="L882" s="170">
        <v>44867</v>
      </c>
      <c r="M882" s="116">
        <v>2810.15</v>
      </c>
      <c r="N882" s="116">
        <v>2838.75</v>
      </c>
      <c r="O882" s="116">
        <v>2770.25</v>
      </c>
      <c r="P882" s="116">
        <v>2772.95</v>
      </c>
      <c r="Q882" s="116">
        <v>2810.15</v>
      </c>
      <c r="R882">
        <v>494169</v>
      </c>
    </row>
    <row r="883" spans="1:18" x14ac:dyDescent="0.25">
      <c r="A883" s="170">
        <v>44868</v>
      </c>
      <c r="B883" s="116">
        <v>2846</v>
      </c>
      <c r="C883" s="116">
        <v>2750.25</v>
      </c>
      <c r="D883" s="116">
        <v>2731</v>
      </c>
      <c r="E883" s="116">
        <v>2817.7</v>
      </c>
      <c r="F883" s="116">
        <v>2750.25</v>
      </c>
      <c r="G883">
        <v>20359</v>
      </c>
      <c r="H883" s="116"/>
      <c r="I883" s="116"/>
      <c r="L883" s="170">
        <v>44868</v>
      </c>
      <c r="M883" s="116">
        <v>2750.75</v>
      </c>
      <c r="N883" s="116">
        <v>2846.4</v>
      </c>
      <c r="O883" s="116">
        <v>2729.65</v>
      </c>
      <c r="P883" s="116">
        <v>2811</v>
      </c>
      <c r="Q883" s="116">
        <v>2750.75</v>
      </c>
      <c r="R883">
        <v>369760</v>
      </c>
    </row>
    <row r="884" spans="1:18" x14ac:dyDescent="0.25">
      <c r="A884" s="170">
        <v>44869</v>
      </c>
      <c r="B884" s="116">
        <v>2778.55</v>
      </c>
      <c r="C884" s="116">
        <v>2732.15</v>
      </c>
      <c r="D884" s="116">
        <v>2725.05</v>
      </c>
      <c r="E884" s="116">
        <v>2755</v>
      </c>
      <c r="F884" s="116">
        <v>2732.15</v>
      </c>
      <c r="G884">
        <v>4087</v>
      </c>
      <c r="H884" s="116"/>
      <c r="I884" s="116"/>
      <c r="L884" s="170">
        <v>44869</v>
      </c>
      <c r="M884" s="116">
        <v>2729.1</v>
      </c>
      <c r="N884" s="116">
        <v>2780</v>
      </c>
      <c r="O884" s="116">
        <v>2725</v>
      </c>
      <c r="P884" s="116">
        <v>2762</v>
      </c>
      <c r="Q884" s="116">
        <v>2729.1</v>
      </c>
      <c r="R884">
        <v>284880</v>
      </c>
    </row>
    <row r="885" spans="1:18" x14ac:dyDescent="0.25">
      <c r="A885" s="170">
        <v>44872</v>
      </c>
      <c r="B885" s="116">
        <v>2765.8</v>
      </c>
      <c r="C885" s="116">
        <v>2748.75</v>
      </c>
      <c r="D885" s="116">
        <v>2717.05</v>
      </c>
      <c r="E885" s="116">
        <v>2764.55</v>
      </c>
      <c r="F885" s="116">
        <v>2748.75</v>
      </c>
      <c r="G885">
        <v>14872</v>
      </c>
      <c r="H885" s="116"/>
      <c r="I885" s="116"/>
      <c r="L885" s="170">
        <v>44872</v>
      </c>
      <c r="M885" s="116">
        <v>2749.4</v>
      </c>
      <c r="N885" s="116">
        <v>2765</v>
      </c>
      <c r="O885" s="116">
        <v>2720.1</v>
      </c>
      <c r="P885" s="116">
        <v>2754.45</v>
      </c>
      <c r="Q885" s="116">
        <v>2749.4</v>
      </c>
      <c r="R885">
        <v>162195</v>
      </c>
    </row>
    <row r="886" spans="1:18" x14ac:dyDescent="0.25">
      <c r="A886" s="170">
        <v>44874</v>
      </c>
      <c r="B886" s="116">
        <v>2765</v>
      </c>
      <c r="C886" s="116">
        <v>2687.8</v>
      </c>
      <c r="D886" s="116">
        <v>2680</v>
      </c>
      <c r="E886" s="116">
        <v>2765</v>
      </c>
      <c r="F886" s="116">
        <v>2687.8</v>
      </c>
      <c r="G886">
        <v>8985</v>
      </c>
      <c r="H886" s="116"/>
      <c r="I886" s="116"/>
      <c r="L886" s="170">
        <v>44874</v>
      </c>
      <c r="M886" s="116">
        <v>2686.6</v>
      </c>
      <c r="N886" s="116">
        <v>2772.5</v>
      </c>
      <c r="O886" s="116">
        <v>2678.95</v>
      </c>
      <c r="P886" s="116">
        <v>2772.5</v>
      </c>
      <c r="Q886" s="116">
        <v>2686.6</v>
      </c>
      <c r="R886">
        <v>181198</v>
      </c>
    </row>
    <row r="887" spans="1:18" x14ac:dyDescent="0.25">
      <c r="A887" s="170">
        <v>44875</v>
      </c>
      <c r="B887" s="116">
        <v>2735.15</v>
      </c>
      <c r="C887" s="116">
        <v>2709.2</v>
      </c>
      <c r="D887" s="116">
        <v>2675</v>
      </c>
      <c r="E887" s="116">
        <v>2675.1</v>
      </c>
      <c r="F887" s="116">
        <v>2709.2</v>
      </c>
      <c r="G887">
        <v>15877</v>
      </c>
      <c r="H887" s="116"/>
      <c r="I887" s="116"/>
      <c r="L887" s="170">
        <v>44875</v>
      </c>
      <c r="M887" s="116">
        <v>2710.1</v>
      </c>
      <c r="N887" s="116">
        <v>2736.75</v>
      </c>
      <c r="O887" s="116">
        <v>2670.5</v>
      </c>
      <c r="P887" s="116">
        <v>2682.9</v>
      </c>
      <c r="Q887" s="116">
        <v>2710.1</v>
      </c>
      <c r="R887">
        <v>215103</v>
      </c>
    </row>
    <row r="888" spans="1:18" x14ac:dyDescent="0.25">
      <c r="A888" s="170">
        <v>44876</v>
      </c>
      <c r="B888" s="116">
        <v>2749.95</v>
      </c>
      <c r="C888" s="116">
        <v>2706.65</v>
      </c>
      <c r="D888" s="116">
        <v>2694</v>
      </c>
      <c r="E888" s="116">
        <v>2749.95</v>
      </c>
      <c r="F888" s="116">
        <v>2706.65</v>
      </c>
      <c r="G888">
        <v>5199</v>
      </c>
      <c r="H888" s="116"/>
      <c r="I888" s="116"/>
      <c r="L888" s="170">
        <v>44876</v>
      </c>
      <c r="M888" s="116">
        <v>2705.95</v>
      </c>
      <c r="N888" s="116">
        <v>2744</v>
      </c>
      <c r="O888" s="116">
        <v>2694.45</v>
      </c>
      <c r="P888" s="116">
        <v>2736</v>
      </c>
      <c r="Q888" s="116">
        <v>2705.95</v>
      </c>
      <c r="R888">
        <v>199706</v>
      </c>
    </row>
    <row r="889" spans="1:18" x14ac:dyDescent="0.25">
      <c r="A889" s="170">
        <v>44879</v>
      </c>
      <c r="B889" s="116">
        <v>2715</v>
      </c>
      <c r="C889" s="116">
        <v>2695.9</v>
      </c>
      <c r="D889" s="116">
        <v>2664.35</v>
      </c>
      <c r="E889" s="116">
        <v>2706.65</v>
      </c>
      <c r="F889" s="116">
        <v>2695.9</v>
      </c>
      <c r="G889">
        <v>10859</v>
      </c>
      <c r="H889" s="116"/>
      <c r="I889" s="116"/>
      <c r="L889" s="170">
        <v>44879</v>
      </c>
      <c r="M889" s="116">
        <v>2695.4</v>
      </c>
      <c r="N889" s="116">
        <v>2718.8</v>
      </c>
      <c r="O889" s="116">
        <v>2662.35</v>
      </c>
      <c r="P889" s="116">
        <v>2705.95</v>
      </c>
      <c r="Q889" s="116">
        <v>2695.4</v>
      </c>
      <c r="R889">
        <v>111212</v>
      </c>
    </row>
    <row r="890" spans="1:18" x14ac:dyDescent="0.25">
      <c r="A890" s="170">
        <v>44880</v>
      </c>
      <c r="B890" s="116">
        <v>2709.9</v>
      </c>
      <c r="C890" s="116">
        <v>2625.2</v>
      </c>
      <c r="D890" s="116">
        <v>2617.6</v>
      </c>
      <c r="E890" s="116">
        <v>2709.9</v>
      </c>
      <c r="F890" s="116">
        <v>2625.2</v>
      </c>
      <c r="G890">
        <v>9395</v>
      </c>
      <c r="H890" s="116"/>
      <c r="I890" s="116"/>
      <c r="L890" s="170">
        <v>44880</v>
      </c>
      <c r="M890" s="116">
        <v>2624.95</v>
      </c>
      <c r="N890" s="116">
        <v>2696.95</v>
      </c>
      <c r="O890" s="116">
        <v>2616.15</v>
      </c>
      <c r="P890" s="116">
        <v>2690</v>
      </c>
      <c r="Q890" s="116">
        <v>2624.95</v>
      </c>
      <c r="R890">
        <v>190072</v>
      </c>
    </row>
    <row r="891" spans="1:18" x14ac:dyDescent="0.25">
      <c r="A891" s="170">
        <v>44881</v>
      </c>
      <c r="B891" s="116">
        <v>2634.2</v>
      </c>
      <c r="C891" s="116">
        <v>2619.9499999999998</v>
      </c>
      <c r="D891" s="116">
        <v>2572</v>
      </c>
      <c r="E891" s="116">
        <v>2620</v>
      </c>
      <c r="F891" s="116">
        <v>2619.9499999999998</v>
      </c>
      <c r="G891">
        <v>24368</v>
      </c>
      <c r="H891" s="116"/>
      <c r="I891" s="116"/>
      <c r="L891" s="170">
        <v>44881</v>
      </c>
      <c r="M891" s="116">
        <v>2619.65</v>
      </c>
      <c r="N891" s="116">
        <v>2635</v>
      </c>
      <c r="O891" s="116">
        <v>2572.25</v>
      </c>
      <c r="P891" s="116">
        <v>2609</v>
      </c>
      <c r="Q891" s="116">
        <v>2619.65</v>
      </c>
      <c r="R891">
        <v>311648</v>
      </c>
    </row>
    <row r="892" spans="1:18" x14ac:dyDescent="0.25">
      <c r="A892" s="170">
        <v>44882</v>
      </c>
      <c r="B892" s="116">
        <v>2614.5</v>
      </c>
      <c r="C892" s="116">
        <v>2571.4</v>
      </c>
      <c r="D892" s="116">
        <v>2563.5</v>
      </c>
      <c r="E892" s="116">
        <v>2600</v>
      </c>
      <c r="F892" s="116">
        <v>2571.4</v>
      </c>
      <c r="G892">
        <v>103366</v>
      </c>
      <c r="H892" s="116"/>
      <c r="I892" s="116"/>
      <c r="L892" s="170">
        <v>44882</v>
      </c>
      <c r="M892" s="116">
        <v>2570.1</v>
      </c>
      <c r="N892" s="116">
        <v>2614.4</v>
      </c>
      <c r="O892" s="116">
        <v>2561.3000000000002</v>
      </c>
      <c r="P892" s="116">
        <v>2599.75</v>
      </c>
      <c r="Q892" s="116">
        <v>2570.1</v>
      </c>
      <c r="R892">
        <v>491921</v>
      </c>
    </row>
    <row r="893" spans="1:18" x14ac:dyDescent="0.25">
      <c r="A893" s="170">
        <v>44883</v>
      </c>
      <c r="B893" s="116">
        <v>2591.4</v>
      </c>
      <c r="C893" s="116">
        <v>2526.1999999999998</v>
      </c>
      <c r="D893" s="116">
        <v>2510.6</v>
      </c>
      <c r="E893" s="116">
        <v>2570.9499999999998</v>
      </c>
      <c r="F893" s="116">
        <v>2526.1999999999998</v>
      </c>
      <c r="G893">
        <v>57609</v>
      </c>
      <c r="H893" s="116"/>
      <c r="I893" s="116"/>
      <c r="L893" s="170">
        <v>44883</v>
      </c>
      <c r="M893" s="116">
        <v>2527.5</v>
      </c>
      <c r="N893" s="116">
        <v>2590.9</v>
      </c>
      <c r="O893" s="116">
        <v>2500</v>
      </c>
      <c r="P893" s="116">
        <v>2566</v>
      </c>
      <c r="Q893" s="116">
        <v>2527.5</v>
      </c>
      <c r="R893">
        <v>2617672</v>
      </c>
    </row>
    <row r="894" spans="1:18" x14ac:dyDescent="0.25">
      <c r="A894" s="170">
        <v>44886</v>
      </c>
      <c r="B894" s="116">
        <v>2577.5500000000002</v>
      </c>
      <c r="C894" s="116">
        <v>2528.3000000000002</v>
      </c>
      <c r="D894" s="116">
        <v>2518</v>
      </c>
      <c r="E894" s="116">
        <v>2526.1999999999998</v>
      </c>
      <c r="F894" s="116">
        <v>2528.3000000000002</v>
      </c>
      <c r="G894">
        <v>22206</v>
      </c>
      <c r="H894" s="116"/>
      <c r="I894" s="116"/>
      <c r="L894" s="170">
        <v>44886</v>
      </c>
      <c r="M894" s="116">
        <v>2524.85</v>
      </c>
      <c r="N894" s="116">
        <v>2577.9</v>
      </c>
      <c r="O894" s="116">
        <v>2516.85</v>
      </c>
      <c r="P894" s="116">
        <v>2525.0500000000002</v>
      </c>
      <c r="Q894" s="116">
        <v>2524.85</v>
      </c>
      <c r="R894">
        <v>575210</v>
      </c>
    </row>
    <row r="895" spans="1:18" x14ac:dyDescent="0.25">
      <c r="A895" s="170">
        <v>44887</v>
      </c>
      <c r="B895" s="116">
        <v>2547.25</v>
      </c>
      <c r="C895" s="116">
        <v>2519.75</v>
      </c>
      <c r="D895" s="116">
        <v>2508.0500000000002</v>
      </c>
      <c r="E895" s="116">
        <v>2530.15</v>
      </c>
      <c r="F895" s="116">
        <v>2519.75</v>
      </c>
      <c r="G895">
        <v>12105</v>
      </c>
      <c r="H895" s="116"/>
      <c r="I895" s="116"/>
      <c r="L895" s="170">
        <v>44887</v>
      </c>
      <c r="M895" s="116">
        <v>2519.65</v>
      </c>
      <c r="N895" s="116">
        <v>2546.9499999999998</v>
      </c>
      <c r="O895" s="116">
        <v>2508.3000000000002</v>
      </c>
      <c r="P895" s="116">
        <v>2537.5</v>
      </c>
      <c r="Q895" s="116">
        <v>2519.65</v>
      </c>
      <c r="R895">
        <v>210038</v>
      </c>
    </row>
    <row r="896" spans="1:18" x14ac:dyDescent="0.25">
      <c r="A896" s="170">
        <v>44888</v>
      </c>
      <c r="B896" s="116">
        <v>2554.9499999999998</v>
      </c>
      <c r="C896" s="116">
        <v>2523.35</v>
      </c>
      <c r="D896" s="116">
        <v>2502</v>
      </c>
      <c r="E896" s="116">
        <v>2554.9499999999998</v>
      </c>
      <c r="F896" s="116">
        <v>2523.35</v>
      </c>
      <c r="G896">
        <v>13991</v>
      </c>
      <c r="H896" s="116"/>
      <c r="I896" s="116"/>
      <c r="L896" s="170">
        <v>44888</v>
      </c>
      <c r="M896" s="116">
        <v>2526.3000000000002</v>
      </c>
      <c r="N896" s="116">
        <v>2542</v>
      </c>
      <c r="O896" s="116">
        <v>2502</v>
      </c>
      <c r="P896" s="116">
        <v>2537.9499999999998</v>
      </c>
      <c r="Q896" s="116">
        <v>2526.3000000000002</v>
      </c>
      <c r="R896">
        <v>456732</v>
      </c>
    </row>
    <row r="897" spans="1:18" x14ac:dyDescent="0.25">
      <c r="A897" s="170">
        <v>44889</v>
      </c>
      <c r="B897" s="116">
        <v>2546.4499999999998</v>
      </c>
      <c r="C897" s="116">
        <v>2520.5</v>
      </c>
      <c r="D897" s="116">
        <v>2509.6</v>
      </c>
      <c r="E897" s="116">
        <v>2533.9499999999998</v>
      </c>
      <c r="F897" s="116">
        <v>2520.5</v>
      </c>
      <c r="G897">
        <v>28081</v>
      </c>
      <c r="H897" s="116"/>
      <c r="I897" s="116"/>
      <c r="L897" s="170">
        <v>44889</v>
      </c>
      <c r="M897" s="116">
        <v>2520.25</v>
      </c>
      <c r="N897" s="116">
        <v>2546.3000000000002</v>
      </c>
      <c r="O897" s="116">
        <v>2510</v>
      </c>
      <c r="P897" s="116">
        <v>2524.8000000000002</v>
      </c>
      <c r="Q897" s="116">
        <v>2520.25</v>
      </c>
      <c r="R897">
        <v>321974</v>
      </c>
    </row>
    <row r="898" spans="1:18" x14ac:dyDescent="0.25">
      <c r="A898" s="170">
        <v>44890</v>
      </c>
      <c r="B898" s="116">
        <v>2562.15</v>
      </c>
      <c r="C898" s="116">
        <v>2549.75</v>
      </c>
      <c r="D898" s="116">
        <v>2521.1999999999998</v>
      </c>
      <c r="E898" s="116">
        <v>2521.1999999999998</v>
      </c>
      <c r="F898" s="116">
        <v>2549.75</v>
      </c>
      <c r="G898">
        <v>12296</v>
      </c>
      <c r="H898" s="116"/>
      <c r="I898" s="116"/>
      <c r="L898" s="170">
        <v>44890</v>
      </c>
      <c r="M898" s="116">
        <v>2550.1</v>
      </c>
      <c r="N898" s="116">
        <v>2561.9</v>
      </c>
      <c r="O898" s="116">
        <v>2521</v>
      </c>
      <c r="P898" s="116">
        <v>2534.9499999999998</v>
      </c>
      <c r="Q898" s="116">
        <v>2550.1</v>
      </c>
      <c r="R898">
        <v>279414</v>
      </c>
    </row>
    <row r="899" spans="1:18" x14ac:dyDescent="0.25">
      <c r="A899" s="170">
        <v>44893</v>
      </c>
      <c r="B899" s="116">
        <v>2574.35</v>
      </c>
      <c r="C899" s="116">
        <v>2550.15</v>
      </c>
      <c r="D899" s="116">
        <v>2541</v>
      </c>
      <c r="E899" s="116">
        <v>2569.0500000000002</v>
      </c>
      <c r="F899" s="116">
        <v>2550.15</v>
      </c>
      <c r="G899">
        <v>10358</v>
      </c>
      <c r="H899" s="116"/>
      <c r="I899" s="116"/>
      <c r="L899" s="170">
        <v>44893</v>
      </c>
      <c r="M899" s="116">
        <v>2548.9499999999998</v>
      </c>
      <c r="N899" s="116">
        <v>2574.5</v>
      </c>
      <c r="O899" s="116">
        <v>2540.85</v>
      </c>
      <c r="P899" s="116">
        <v>2561</v>
      </c>
      <c r="Q899" s="116">
        <v>2548.9499999999998</v>
      </c>
      <c r="R899">
        <v>213855</v>
      </c>
    </row>
    <row r="900" spans="1:18" x14ac:dyDescent="0.25">
      <c r="A900" s="170">
        <v>44894</v>
      </c>
      <c r="B900" s="116">
        <v>2555.85</v>
      </c>
      <c r="C900" s="116">
        <v>2529.0500000000002</v>
      </c>
      <c r="D900" s="116">
        <v>2523.6</v>
      </c>
      <c r="E900" s="116">
        <v>2530.25</v>
      </c>
      <c r="F900" s="116">
        <v>2529.0500000000002</v>
      </c>
      <c r="G900">
        <v>15467</v>
      </c>
      <c r="H900" s="116"/>
      <c r="I900" s="116"/>
      <c r="L900" s="170">
        <v>44894</v>
      </c>
      <c r="M900" s="116">
        <v>2528.1999999999998</v>
      </c>
      <c r="N900" s="116">
        <v>2565.8000000000002</v>
      </c>
      <c r="O900" s="116">
        <v>2525</v>
      </c>
      <c r="P900" s="116">
        <v>2539.9</v>
      </c>
      <c r="Q900" s="116">
        <v>2528.1999999999998</v>
      </c>
      <c r="R900">
        <v>195124</v>
      </c>
    </row>
    <row r="901" spans="1:18" x14ac:dyDescent="0.25">
      <c r="A901" s="170">
        <v>44895</v>
      </c>
      <c r="B901" s="116">
        <v>2569</v>
      </c>
      <c r="C901" s="116">
        <v>2564.35</v>
      </c>
      <c r="D901" s="116">
        <v>2520.0500000000002</v>
      </c>
      <c r="E901" s="116">
        <v>2520.0500000000002</v>
      </c>
      <c r="F901" s="116">
        <v>2564.35</v>
      </c>
      <c r="G901">
        <v>9508</v>
      </c>
      <c r="H901" s="116"/>
      <c r="I901" s="116"/>
      <c r="L901" s="170">
        <v>44895</v>
      </c>
      <c r="M901" s="116">
        <v>2565</v>
      </c>
      <c r="N901" s="116">
        <v>2574</v>
      </c>
      <c r="O901" s="116">
        <v>2522</v>
      </c>
      <c r="P901" s="116">
        <v>2528.9499999999998</v>
      </c>
      <c r="Q901" s="116">
        <v>2565</v>
      </c>
      <c r="R901">
        <v>208781</v>
      </c>
    </row>
    <row r="902" spans="1:18" x14ac:dyDescent="0.25">
      <c r="A902" s="170">
        <v>44896</v>
      </c>
      <c r="B902" s="116">
        <v>2611</v>
      </c>
      <c r="C902" s="116">
        <v>2606.75</v>
      </c>
      <c r="D902" s="116">
        <v>2560.9499999999998</v>
      </c>
      <c r="E902" s="116">
        <v>2567.0500000000002</v>
      </c>
      <c r="F902" s="116">
        <v>2606.75</v>
      </c>
      <c r="G902">
        <v>6880</v>
      </c>
      <c r="H902" s="116"/>
      <c r="I902" s="116"/>
      <c r="L902" s="170">
        <v>44896</v>
      </c>
      <c r="M902" s="116">
        <v>2606.75</v>
      </c>
      <c r="N902" s="116">
        <v>2612.75</v>
      </c>
      <c r="O902" s="116">
        <v>2560</v>
      </c>
      <c r="P902" s="116">
        <v>2573.9</v>
      </c>
      <c r="Q902" s="116">
        <v>2606.75</v>
      </c>
      <c r="R902">
        <v>323490</v>
      </c>
    </row>
    <row r="903" spans="1:18" x14ac:dyDescent="0.25">
      <c r="A903" s="170">
        <v>44897</v>
      </c>
      <c r="B903" s="116">
        <v>2707.7</v>
      </c>
      <c r="C903" s="116">
        <v>2673.75</v>
      </c>
      <c r="D903" s="116">
        <v>2598.6</v>
      </c>
      <c r="E903" s="116">
        <v>2610</v>
      </c>
      <c r="F903" s="116">
        <v>2673.75</v>
      </c>
      <c r="G903">
        <v>15192</v>
      </c>
      <c r="H903" s="116"/>
      <c r="I903" s="116"/>
      <c r="L903" s="170">
        <v>44897</v>
      </c>
      <c r="M903" s="116">
        <v>2674.3</v>
      </c>
      <c r="N903" s="116">
        <v>2709</v>
      </c>
      <c r="O903" s="116">
        <v>2601</v>
      </c>
      <c r="P903" s="116">
        <v>2616</v>
      </c>
      <c r="Q903" s="116">
        <v>2674.3</v>
      </c>
      <c r="R903">
        <v>641932</v>
      </c>
    </row>
    <row r="904" spans="1:18" x14ac:dyDescent="0.25">
      <c r="A904" s="170">
        <v>44900</v>
      </c>
      <c r="B904" s="116">
        <v>2695.05</v>
      </c>
      <c r="C904" s="116">
        <v>2672.7</v>
      </c>
      <c r="D904" s="116">
        <v>2647</v>
      </c>
      <c r="E904" s="116">
        <v>2676</v>
      </c>
      <c r="F904" s="116">
        <v>2672.7</v>
      </c>
      <c r="G904">
        <v>5409</v>
      </c>
      <c r="H904" s="116"/>
      <c r="I904" s="116"/>
      <c r="L904" s="170">
        <v>44900</v>
      </c>
      <c r="M904" s="116">
        <v>2672.6</v>
      </c>
      <c r="N904" s="116">
        <v>2695.9</v>
      </c>
      <c r="O904" s="116">
        <v>2645.65</v>
      </c>
      <c r="P904" s="116">
        <v>2689.9</v>
      </c>
      <c r="Q904" s="116">
        <v>2672.6</v>
      </c>
      <c r="R904">
        <v>238730</v>
      </c>
    </row>
    <row r="905" spans="1:18" x14ac:dyDescent="0.25">
      <c r="A905" s="170">
        <v>44901</v>
      </c>
      <c r="B905" s="116">
        <v>2740</v>
      </c>
      <c r="C905" s="116">
        <v>2706.35</v>
      </c>
      <c r="D905" s="116">
        <v>2663.3</v>
      </c>
      <c r="E905" s="116">
        <v>2663.3</v>
      </c>
      <c r="F905" s="116">
        <v>2706.35</v>
      </c>
      <c r="G905">
        <v>33477</v>
      </c>
      <c r="H905" s="116"/>
      <c r="I905" s="116"/>
      <c r="L905" s="170">
        <v>44901</v>
      </c>
      <c r="M905" s="116">
        <v>2706.8</v>
      </c>
      <c r="N905" s="116">
        <v>2740</v>
      </c>
      <c r="O905" s="116">
        <v>2660.3</v>
      </c>
      <c r="P905" s="116">
        <v>2676.3</v>
      </c>
      <c r="Q905" s="116">
        <v>2706.8</v>
      </c>
      <c r="R905">
        <v>541602</v>
      </c>
    </row>
    <row r="906" spans="1:18" x14ac:dyDescent="0.25">
      <c r="A906" s="170">
        <v>44902</v>
      </c>
      <c r="B906" s="116">
        <v>2732.7</v>
      </c>
      <c r="C906" s="116">
        <v>2705.7</v>
      </c>
      <c r="D906" s="116">
        <v>2687.3</v>
      </c>
      <c r="E906" s="116">
        <v>2720.1</v>
      </c>
      <c r="F906" s="116">
        <v>2705.7</v>
      </c>
      <c r="G906">
        <v>6134</v>
      </c>
      <c r="H906" s="116"/>
      <c r="I906" s="116"/>
      <c r="L906" s="170">
        <v>44902</v>
      </c>
      <c r="M906" s="116">
        <v>2706.65</v>
      </c>
      <c r="N906" s="116">
        <v>2733</v>
      </c>
      <c r="O906" s="116">
        <v>2687.65</v>
      </c>
      <c r="P906" s="116">
        <v>2715.95</v>
      </c>
      <c r="Q906" s="116">
        <v>2706.65</v>
      </c>
      <c r="R906">
        <v>232833</v>
      </c>
    </row>
    <row r="907" spans="1:18" x14ac:dyDescent="0.25">
      <c r="A907" s="170">
        <v>44903</v>
      </c>
      <c r="B907" s="116">
        <v>2738.2</v>
      </c>
      <c r="C907" s="116">
        <v>2731.45</v>
      </c>
      <c r="D907" s="116">
        <v>2698.75</v>
      </c>
      <c r="E907" s="116">
        <v>2724.95</v>
      </c>
      <c r="F907" s="116">
        <v>2731.45</v>
      </c>
      <c r="G907">
        <v>3899</v>
      </c>
      <c r="H907" s="116"/>
      <c r="I907" s="116"/>
      <c r="L907" s="170">
        <v>44903</v>
      </c>
      <c r="M907" s="116">
        <v>2732.45</v>
      </c>
      <c r="N907" s="116">
        <v>2739.95</v>
      </c>
      <c r="O907" s="116">
        <v>2696.1</v>
      </c>
      <c r="P907" s="116">
        <v>2706.65</v>
      </c>
      <c r="Q907" s="116">
        <v>2732.45</v>
      </c>
      <c r="R907">
        <v>193532</v>
      </c>
    </row>
    <row r="908" spans="1:18" x14ac:dyDescent="0.25">
      <c r="A908" s="170">
        <v>44904</v>
      </c>
      <c r="B908" s="116">
        <v>2763.65</v>
      </c>
      <c r="C908" s="116">
        <v>2734.25</v>
      </c>
      <c r="D908" s="116">
        <v>2708.2</v>
      </c>
      <c r="E908" s="116">
        <v>2736</v>
      </c>
      <c r="F908" s="116">
        <v>2734.25</v>
      </c>
      <c r="G908">
        <v>12728</v>
      </c>
      <c r="H908" s="116"/>
      <c r="I908" s="116"/>
      <c r="L908" s="170">
        <v>44904</v>
      </c>
      <c r="M908" s="116">
        <v>2733.8</v>
      </c>
      <c r="N908" s="116">
        <v>2765</v>
      </c>
      <c r="O908" s="116">
        <v>2708.05</v>
      </c>
      <c r="P908" s="116">
        <v>2742</v>
      </c>
      <c r="Q908" s="116">
        <v>2733.8</v>
      </c>
      <c r="R908">
        <v>325548</v>
      </c>
    </row>
    <row r="909" spans="1:18" x14ac:dyDescent="0.25">
      <c r="A909" s="170">
        <v>44907</v>
      </c>
      <c r="B909" s="116">
        <v>2828.85</v>
      </c>
      <c r="C909" s="116">
        <v>2818.55</v>
      </c>
      <c r="D909" s="116">
        <v>2710.05</v>
      </c>
      <c r="E909" s="116">
        <v>2710.05</v>
      </c>
      <c r="F909" s="116">
        <v>2818.55</v>
      </c>
      <c r="G909">
        <v>35554</v>
      </c>
      <c r="H909" s="116"/>
      <c r="I909" s="116"/>
      <c r="L909" s="170">
        <v>44907</v>
      </c>
      <c r="M909" s="116">
        <v>2818.8</v>
      </c>
      <c r="N909" s="116">
        <v>2829</v>
      </c>
      <c r="O909" s="116">
        <v>2717.5</v>
      </c>
      <c r="P909" s="116">
        <v>2719.35</v>
      </c>
      <c r="Q909" s="116">
        <v>2818.8</v>
      </c>
      <c r="R909">
        <v>526556</v>
      </c>
    </row>
    <row r="910" spans="1:18" x14ac:dyDescent="0.25">
      <c r="A910" s="170">
        <v>44908</v>
      </c>
      <c r="B910" s="116">
        <v>2990.9</v>
      </c>
      <c r="C910" s="116">
        <v>2944.05</v>
      </c>
      <c r="D910" s="116">
        <v>2821.95</v>
      </c>
      <c r="E910" s="116">
        <v>2839.9</v>
      </c>
      <c r="F910" s="116">
        <v>2944.05</v>
      </c>
      <c r="G910">
        <v>57034</v>
      </c>
      <c r="H910" s="116"/>
      <c r="I910" s="116"/>
      <c r="L910" s="170">
        <v>44908</v>
      </c>
      <c r="M910" s="116">
        <v>2942</v>
      </c>
      <c r="N910" s="116">
        <v>2990</v>
      </c>
      <c r="O910" s="116">
        <v>2821.85</v>
      </c>
      <c r="P910" s="116">
        <v>2834.7</v>
      </c>
      <c r="Q910" s="116">
        <v>2942</v>
      </c>
      <c r="R910">
        <v>2232195</v>
      </c>
    </row>
    <row r="911" spans="1:18" x14ac:dyDescent="0.25">
      <c r="A911" s="170">
        <v>44909</v>
      </c>
      <c r="B911" s="116">
        <v>3006</v>
      </c>
      <c r="C911" s="116">
        <v>3000</v>
      </c>
      <c r="D911" s="116">
        <v>2933.9</v>
      </c>
      <c r="E911" s="116">
        <v>2944.95</v>
      </c>
      <c r="F911" s="116">
        <v>3000</v>
      </c>
      <c r="G911">
        <v>46025</v>
      </c>
      <c r="H911" s="116"/>
      <c r="I911" s="116"/>
      <c r="L911" s="170">
        <v>44909</v>
      </c>
      <c r="M911" s="116">
        <v>3000.1</v>
      </c>
      <c r="N911" s="116">
        <v>3009</v>
      </c>
      <c r="O911" s="116">
        <v>2935.5</v>
      </c>
      <c r="P911" s="116">
        <v>2940</v>
      </c>
      <c r="Q911" s="116">
        <v>3000.1</v>
      </c>
      <c r="R911">
        <v>774214</v>
      </c>
    </row>
    <row r="912" spans="1:18" x14ac:dyDescent="0.25">
      <c r="A912" s="170">
        <v>44910</v>
      </c>
      <c r="B912" s="116">
        <v>3025</v>
      </c>
      <c r="C912" s="116">
        <v>2982.35</v>
      </c>
      <c r="D912" s="116">
        <v>2964.25</v>
      </c>
      <c r="E912" s="116">
        <v>3009</v>
      </c>
      <c r="F912" s="116">
        <v>2982.35</v>
      </c>
      <c r="G912">
        <v>14676</v>
      </c>
      <c r="H912" s="116"/>
      <c r="I912" s="116"/>
      <c r="L912" s="170">
        <v>44910</v>
      </c>
      <c r="M912" s="116">
        <v>2981.45</v>
      </c>
      <c r="N912" s="116">
        <v>3025</v>
      </c>
      <c r="O912" s="116">
        <v>2965</v>
      </c>
      <c r="P912" s="116">
        <v>3005.85</v>
      </c>
      <c r="Q912" s="116">
        <v>2981.45</v>
      </c>
      <c r="R912">
        <v>602308</v>
      </c>
    </row>
    <row r="913" spans="1:18" x14ac:dyDescent="0.25">
      <c r="A913" s="170">
        <v>44911</v>
      </c>
      <c r="B913" s="116">
        <v>2961.7</v>
      </c>
      <c r="C913" s="116">
        <v>2754.45</v>
      </c>
      <c r="D913" s="116">
        <v>2743</v>
      </c>
      <c r="E913" s="116">
        <v>2940.2</v>
      </c>
      <c r="F913" s="116">
        <v>2754.45</v>
      </c>
      <c r="G913">
        <v>63862</v>
      </c>
      <c r="H913" s="116"/>
      <c r="I913" s="116"/>
      <c r="L913" s="170">
        <v>44911</v>
      </c>
      <c r="M913" s="116">
        <v>2753.9</v>
      </c>
      <c r="N913" s="116">
        <v>2965.1</v>
      </c>
      <c r="O913" s="116">
        <v>2741</v>
      </c>
      <c r="P913" s="116">
        <v>2950.1</v>
      </c>
      <c r="Q913" s="116">
        <v>2753.9</v>
      </c>
      <c r="R913">
        <v>1907772</v>
      </c>
    </row>
    <row r="914" spans="1:18" x14ac:dyDescent="0.25">
      <c r="A914" s="170">
        <v>44914</v>
      </c>
      <c r="B914" s="116">
        <v>2766.9</v>
      </c>
      <c r="C914" s="116">
        <v>2730.45</v>
      </c>
      <c r="D914" s="116">
        <v>2657.1</v>
      </c>
      <c r="E914" s="116">
        <v>2760.05</v>
      </c>
      <c r="F914" s="116">
        <v>2730.45</v>
      </c>
      <c r="G914">
        <v>45167</v>
      </c>
      <c r="H914" s="116"/>
      <c r="I914" s="116"/>
      <c r="L914" s="170">
        <v>44914</v>
      </c>
      <c r="M914" s="116">
        <v>2730</v>
      </c>
      <c r="N914" s="116">
        <v>2765.35</v>
      </c>
      <c r="O914" s="116">
        <v>2657</v>
      </c>
      <c r="P914" s="116">
        <v>2765</v>
      </c>
      <c r="Q914" s="116">
        <v>2730</v>
      </c>
      <c r="R914">
        <v>811353</v>
      </c>
    </row>
    <row r="915" spans="1:18" x14ac:dyDescent="0.25">
      <c r="A915" s="170">
        <v>44915</v>
      </c>
      <c r="B915" s="116">
        <v>2735</v>
      </c>
      <c r="C915" s="116">
        <v>2712</v>
      </c>
      <c r="D915" s="116">
        <v>2675.8</v>
      </c>
      <c r="E915" s="116">
        <v>2730</v>
      </c>
      <c r="F915" s="116">
        <v>2712</v>
      </c>
      <c r="G915">
        <v>20058</v>
      </c>
      <c r="H915" s="116"/>
      <c r="I915" s="116"/>
      <c r="L915" s="170">
        <v>44915</v>
      </c>
      <c r="M915" s="116">
        <v>2713.45</v>
      </c>
      <c r="N915" s="116">
        <v>2734.95</v>
      </c>
      <c r="O915" s="116">
        <v>2671.35</v>
      </c>
      <c r="P915" s="116">
        <v>2730.5</v>
      </c>
      <c r="Q915" s="116">
        <v>2713.45</v>
      </c>
      <c r="R915">
        <v>324378</v>
      </c>
    </row>
    <row r="916" spans="1:18" x14ac:dyDescent="0.25">
      <c r="A916" s="170">
        <v>44916</v>
      </c>
      <c r="B916" s="116">
        <v>2770.45</v>
      </c>
      <c r="C916" s="116">
        <v>2672.25</v>
      </c>
      <c r="D916" s="116">
        <v>2660.2</v>
      </c>
      <c r="E916" s="116">
        <v>2710</v>
      </c>
      <c r="F916" s="116">
        <v>2672.25</v>
      </c>
      <c r="G916">
        <v>12247</v>
      </c>
      <c r="H916" s="116"/>
      <c r="I916" s="116"/>
      <c r="L916" s="170">
        <v>44916</v>
      </c>
      <c r="M916" s="116">
        <v>2669.3</v>
      </c>
      <c r="N916" s="116">
        <v>2771.7</v>
      </c>
      <c r="O916" s="116">
        <v>2660</v>
      </c>
      <c r="P916" s="116">
        <v>2717</v>
      </c>
      <c r="Q916" s="116">
        <v>2669.3</v>
      </c>
      <c r="R916">
        <v>582721</v>
      </c>
    </row>
    <row r="917" spans="1:18" x14ac:dyDescent="0.25">
      <c r="A917" s="170">
        <v>44917</v>
      </c>
      <c r="B917" s="116">
        <v>2691</v>
      </c>
      <c r="C917" s="116">
        <v>2617.5</v>
      </c>
      <c r="D917" s="116">
        <v>2607</v>
      </c>
      <c r="E917" s="116">
        <v>2680.05</v>
      </c>
      <c r="F917" s="116">
        <v>2617.5</v>
      </c>
      <c r="G917">
        <v>28193</v>
      </c>
      <c r="H917" s="116"/>
      <c r="I917" s="116"/>
      <c r="L917" s="170">
        <v>44917</v>
      </c>
      <c r="M917" s="116">
        <v>2617.0500000000002</v>
      </c>
      <c r="N917" s="116">
        <v>2699</v>
      </c>
      <c r="O917" s="116">
        <v>2607</v>
      </c>
      <c r="P917" s="116">
        <v>2690</v>
      </c>
      <c r="Q917" s="116">
        <v>2617.0500000000002</v>
      </c>
      <c r="R917">
        <v>347177</v>
      </c>
    </row>
    <row r="918" spans="1:18" x14ac:dyDescent="0.25">
      <c r="A918" s="170">
        <v>44918</v>
      </c>
      <c r="B918" s="116">
        <v>2605</v>
      </c>
      <c r="C918" s="116">
        <v>2512.1</v>
      </c>
      <c r="D918" s="116">
        <v>2505.0500000000002</v>
      </c>
      <c r="E918" s="116">
        <v>2566.0500000000002</v>
      </c>
      <c r="F918" s="116">
        <v>2512.1</v>
      </c>
      <c r="G918">
        <v>52366</v>
      </c>
      <c r="H918" s="116"/>
      <c r="I918" s="116"/>
      <c r="L918" s="170">
        <v>44918</v>
      </c>
      <c r="M918" s="116">
        <v>2513.9</v>
      </c>
      <c r="N918" s="116">
        <v>2605.1</v>
      </c>
      <c r="O918" s="116">
        <v>2506.1</v>
      </c>
      <c r="P918" s="116">
        <v>2590</v>
      </c>
      <c r="Q918" s="116">
        <v>2513.9</v>
      </c>
      <c r="R918">
        <v>448226</v>
      </c>
    </row>
    <row r="919" spans="1:18" x14ac:dyDescent="0.25">
      <c r="A919" s="170">
        <v>44921</v>
      </c>
      <c r="B919" s="116">
        <v>2600</v>
      </c>
      <c r="C919" s="116">
        <v>2576.0500000000002</v>
      </c>
      <c r="D919" s="116">
        <v>2500.15</v>
      </c>
      <c r="E919" s="116">
        <v>2502.0500000000002</v>
      </c>
      <c r="F919" s="116">
        <v>2576.0500000000002</v>
      </c>
      <c r="G919">
        <v>9755</v>
      </c>
      <c r="H919" s="116"/>
      <c r="I919" s="116"/>
      <c r="L919" s="170">
        <v>44921</v>
      </c>
      <c r="M919" s="116">
        <v>2578.1999999999998</v>
      </c>
      <c r="N919" s="116">
        <v>2600</v>
      </c>
      <c r="O919" s="116">
        <v>2500.25</v>
      </c>
      <c r="P919" s="116">
        <v>2515</v>
      </c>
      <c r="Q919" s="116">
        <v>2578.1999999999998</v>
      </c>
      <c r="R919">
        <v>291849</v>
      </c>
    </row>
    <row r="920" spans="1:18" x14ac:dyDescent="0.25">
      <c r="A920" s="170">
        <v>44922</v>
      </c>
      <c r="B920" s="116">
        <v>2611.9499999999998</v>
      </c>
      <c r="C920" s="116">
        <v>2601.65</v>
      </c>
      <c r="D920" s="116">
        <v>2564.75</v>
      </c>
      <c r="E920" s="116">
        <v>2602.0500000000002</v>
      </c>
      <c r="F920" s="116">
        <v>2601.65</v>
      </c>
      <c r="G920">
        <v>4975</v>
      </c>
      <c r="H920" s="116"/>
      <c r="I920" s="116"/>
      <c r="L920" s="170">
        <v>44922</v>
      </c>
      <c r="M920" s="116">
        <v>2601.5</v>
      </c>
      <c r="N920" s="116">
        <v>2615</v>
      </c>
      <c r="O920" s="116">
        <v>2565</v>
      </c>
      <c r="P920" s="116">
        <v>2601.8000000000002</v>
      </c>
      <c r="Q920" s="116">
        <v>2601.5</v>
      </c>
      <c r="R920">
        <v>207085</v>
      </c>
    </row>
    <row r="921" spans="1:18" x14ac:dyDescent="0.25">
      <c r="A921" s="170">
        <v>44923</v>
      </c>
      <c r="B921" s="116">
        <v>2612</v>
      </c>
      <c r="C921" s="116">
        <v>2601.25</v>
      </c>
      <c r="D921" s="116">
        <v>2580</v>
      </c>
      <c r="E921" s="116">
        <v>2606.9499999999998</v>
      </c>
      <c r="F921" s="116">
        <v>2601.25</v>
      </c>
      <c r="G921">
        <v>8633</v>
      </c>
      <c r="H921" s="116"/>
      <c r="I921" s="116"/>
      <c r="L921" s="170">
        <v>44923</v>
      </c>
      <c r="M921" s="116">
        <v>2601.65</v>
      </c>
      <c r="N921" s="116">
        <v>2612.5</v>
      </c>
      <c r="O921" s="116">
        <v>2580</v>
      </c>
      <c r="P921" s="116">
        <v>2598.0500000000002</v>
      </c>
      <c r="Q921" s="116">
        <v>2601.65</v>
      </c>
      <c r="R921">
        <v>181789</v>
      </c>
    </row>
    <row r="922" spans="1:18" x14ac:dyDescent="0.25">
      <c r="A922" s="170">
        <v>44924</v>
      </c>
      <c r="B922" s="116">
        <v>2602.0500000000002</v>
      </c>
      <c r="C922" s="116">
        <v>2568.75</v>
      </c>
      <c r="D922" s="116">
        <v>2560.4</v>
      </c>
      <c r="E922" s="116">
        <v>2602</v>
      </c>
      <c r="F922" s="116">
        <v>2568.75</v>
      </c>
      <c r="G922">
        <v>6616</v>
      </c>
      <c r="H922" s="116"/>
      <c r="I922" s="116"/>
      <c r="L922" s="170">
        <v>44924</v>
      </c>
      <c r="M922" s="116">
        <v>2568.6999999999998</v>
      </c>
      <c r="N922" s="116">
        <v>2604.75</v>
      </c>
      <c r="O922" s="116">
        <v>2560.15</v>
      </c>
      <c r="P922" s="116">
        <v>2601.65</v>
      </c>
      <c r="Q922" s="116">
        <v>2568.6999999999998</v>
      </c>
      <c r="R922">
        <v>294022</v>
      </c>
    </row>
    <row r="923" spans="1:18" x14ac:dyDescent="0.25">
      <c r="A923" s="170">
        <v>44925</v>
      </c>
      <c r="B923" s="116">
        <v>2609.9</v>
      </c>
      <c r="C923" s="116">
        <v>2570.5500000000002</v>
      </c>
      <c r="D923" s="116">
        <v>2562.35</v>
      </c>
      <c r="E923" s="116">
        <v>2609.9</v>
      </c>
      <c r="F923" s="116">
        <v>2570.5500000000002</v>
      </c>
      <c r="G923">
        <v>8577</v>
      </c>
      <c r="H923" s="116"/>
      <c r="I923" s="116"/>
      <c r="L923" s="170">
        <v>44925</v>
      </c>
      <c r="M923" s="116">
        <v>2569.1</v>
      </c>
      <c r="N923" s="116">
        <v>2595</v>
      </c>
      <c r="O923" s="116">
        <v>2561.3000000000002</v>
      </c>
      <c r="P923" s="116">
        <v>2589.8000000000002</v>
      </c>
      <c r="Q923" s="116">
        <v>2569.1</v>
      </c>
      <c r="R923">
        <v>127701</v>
      </c>
    </row>
    <row r="924" spans="1:18" x14ac:dyDescent="0.25">
      <c r="A924" s="170">
        <v>44928</v>
      </c>
      <c r="B924" s="116">
        <v>2608.85</v>
      </c>
      <c r="C924" s="116">
        <v>2579.6999999999998</v>
      </c>
      <c r="D924" s="116">
        <v>2546.8000000000002</v>
      </c>
      <c r="E924" s="116">
        <v>2562.0500000000002</v>
      </c>
      <c r="F924" s="116">
        <v>2579.6999999999998</v>
      </c>
      <c r="G924">
        <v>15439</v>
      </c>
      <c r="H924" s="116"/>
      <c r="I924" s="116"/>
      <c r="L924" s="170">
        <v>44928</v>
      </c>
      <c r="M924" s="116">
        <v>2580</v>
      </c>
      <c r="N924" s="116">
        <v>2609</v>
      </c>
      <c r="O924" s="116">
        <v>2546.0500000000002</v>
      </c>
      <c r="P924" s="116">
        <v>2570.1999999999998</v>
      </c>
      <c r="Q924" s="116">
        <v>2580</v>
      </c>
      <c r="R924">
        <v>194548</v>
      </c>
    </row>
    <row r="925" spans="1:18" x14ac:dyDescent="0.25">
      <c r="A925" s="170">
        <v>44929</v>
      </c>
      <c r="B925" s="116">
        <v>2609.1</v>
      </c>
      <c r="C925" s="116">
        <v>2590.5500000000002</v>
      </c>
      <c r="D925" s="116">
        <v>2579.25</v>
      </c>
      <c r="E925" s="116">
        <v>2599</v>
      </c>
      <c r="F925" s="116">
        <v>2590.5500000000002</v>
      </c>
      <c r="G925">
        <v>4087</v>
      </c>
      <c r="H925" s="116"/>
      <c r="I925" s="116"/>
      <c r="L925" s="170">
        <v>44929</v>
      </c>
      <c r="M925" s="116">
        <v>2590.9</v>
      </c>
      <c r="N925" s="116">
        <v>2608.9</v>
      </c>
      <c r="O925" s="116">
        <v>2578</v>
      </c>
      <c r="P925" s="116">
        <v>2591.5</v>
      </c>
      <c r="Q925" s="116">
        <v>2590.9</v>
      </c>
      <c r="R925">
        <v>132642</v>
      </c>
    </row>
    <row r="926" spans="1:18" x14ac:dyDescent="0.25">
      <c r="A926" s="170">
        <v>44930</v>
      </c>
      <c r="B926" s="116">
        <v>2608.8000000000002</v>
      </c>
      <c r="C926" s="116">
        <v>2595.85</v>
      </c>
      <c r="D926" s="116">
        <v>2564.65</v>
      </c>
      <c r="E926" s="116">
        <v>2598</v>
      </c>
      <c r="F926" s="116">
        <v>2595.85</v>
      </c>
      <c r="G926">
        <v>6052</v>
      </c>
      <c r="H926" s="116"/>
      <c r="I926" s="116"/>
      <c r="L926" s="170">
        <v>44930</v>
      </c>
      <c r="M926" s="116">
        <v>2596.6</v>
      </c>
      <c r="N926" s="116">
        <v>2609</v>
      </c>
      <c r="O926" s="116">
        <v>2565</v>
      </c>
      <c r="P926" s="116">
        <v>2594</v>
      </c>
      <c r="Q926" s="116">
        <v>2596.6</v>
      </c>
      <c r="R926">
        <v>177544</v>
      </c>
    </row>
    <row r="927" spans="1:18" x14ac:dyDescent="0.25">
      <c r="A927" s="170">
        <v>44931</v>
      </c>
      <c r="B927" s="116">
        <v>2655.6</v>
      </c>
      <c r="C927" s="116">
        <v>2647.6</v>
      </c>
      <c r="D927" s="116">
        <v>2595.85</v>
      </c>
      <c r="E927" s="116">
        <v>2604.8000000000002</v>
      </c>
      <c r="F927" s="116">
        <v>2647.6</v>
      </c>
      <c r="G927">
        <v>9735</v>
      </c>
      <c r="H927" s="116"/>
      <c r="I927" s="116"/>
      <c r="L927" s="170">
        <v>44931</v>
      </c>
      <c r="M927" s="116">
        <v>2648.45</v>
      </c>
      <c r="N927" s="116">
        <v>2655.95</v>
      </c>
      <c r="O927" s="116">
        <v>2592.25</v>
      </c>
      <c r="P927" s="116">
        <v>2600</v>
      </c>
      <c r="Q927" s="116">
        <v>2648.45</v>
      </c>
      <c r="R927">
        <v>336238</v>
      </c>
    </row>
    <row r="928" spans="1:18" x14ac:dyDescent="0.25">
      <c r="A928" s="170">
        <v>44932</v>
      </c>
      <c r="B928" s="116">
        <v>2668.75</v>
      </c>
      <c r="C928" s="116">
        <v>2620</v>
      </c>
      <c r="D928" s="116">
        <v>2608.1999999999998</v>
      </c>
      <c r="E928" s="116">
        <v>2654.95</v>
      </c>
      <c r="F928" s="116">
        <v>2620</v>
      </c>
      <c r="G928">
        <v>6624</v>
      </c>
      <c r="H928" s="116"/>
      <c r="I928" s="116"/>
      <c r="L928" s="170">
        <v>44932</v>
      </c>
      <c r="M928" s="116">
        <v>2620.35</v>
      </c>
      <c r="N928" s="116">
        <v>2669.3</v>
      </c>
      <c r="O928" s="116">
        <v>2608</v>
      </c>
      <c r="P928" s="116">
        <v>2648.45</v>
      </c>
      <c r="Q928" s="116">
        <v>2620.35</v>
      </c>
      <c r="R928">
        <v>200467</v>
      </c>
    </row>
    <row r="929" spans="1:18" x14ac:dyDescent="0.25">
      <c r="A929" s="170">
        <v>44935</v>
      </c>
      <c r="B929" s="116">
        <v>2672.75</v>
      </c>
      <c r="C929" s="116">
        <v>2653.25</v>
      </c>
      <c r="D929" s="116">
        <v>2616.4</v>
      </c>
      <c r="E929" s="116">
        <v>2672.75</v>
      </c>
      <c r="F929" s="116">
        <v>2653.25</v>
      </c>
      <c r="G929">
        <v>4429</v>
      </c>
      <c r="H929" s="116"/>
      <c r="I929" s="116"/>
      <c r="L929" s="170">
        <v>44935</v>
      </c>
      <c r="M929" s="116">
        <v>2653.7</v>
      </c>
      <c r="N929" s="116">
        <v>2659</v>
      </c>
      <c r="O929" s="116">
        <v>2615</v>
      </c>
      <c r="P929" s="116">
        <v>2646</v>
      </c>
      <c r="Q929" s="116">
        <v>2653.7</v>
      </c>
      <c r="R929">
        <v>155269</v>
      </c>
    </row>
    <row r="930" spans="1:18" x14ac:dyDescent="0.25">
      <c r="A930" s="170">
        <v>44936</v>
      </c>
      <c r="B930" s="116">
        <v>2685.7</v>
      </c>
      <c r="C930" s="116">
        <v>2679.4</v>
      </c>
      <c r="D930" s="116">
        <v>2632.5</v>
      </c>
      <c r="E930" s="116">
        <v>2654.85</v>
      </c>
      <c r="F930" s="116">
        <v>2679.4</v>
      </c>
      <c r="G930">
        <v>8032</v>
      </c>
      <c r="H930" s="116"/>
      <c r="I930" s="116"/>
      <c r="L930" s="170">
        <v>44936</v>
      </c>
      <c r="M930" s="116">
        <v>2680.8</v>
      </c>
      <c r="N930" s="116">
        <v>2686.8</v>
      </c>
      <c r="O930" s="116">
        <v>2630.8</v>
      </c>
      <c r="P930" s="116">
        <v>2660</v>
      </c>
      <c r="Q930" s="116">
        <v>2680.8</v>
      </c>
      <c r="R930">
        <v>199227</v>
      </c>
    </row>
    <row r="931" spans="1:18" x14ac:dyDescent="0.25">
      <c r="A931" s="170">
        <v>44937</v>
      </c>
      <c r="B931" s="116">
        <v>2707.35</v>
      </c>
      <c r="C931" s="116">
        <v>2669.95</v>
      </c>
      <c r="D931" s="116">
        <v>2661.65</v>
      </c>
      <c r="E931" s="116">
        <v>2680.05</v>
      </c>
      <c r="F931" s="116">
        <v>2669.95</v>
      </c>
      <c r="G931">
        <v>6827</v>
      </c>
      <c r="H931" s="116"/>
      <c r="I931" s="116"/>
      <c r="L931" s="170">
        <v>44937</v>
      </c>
      <c r="M931" s="116">
        <v>2671.1</v>
      </c>
      <c r="N931" s="116">
        <v>2708</v>
      </c>
      <c r="O931" s="116">
        <v>2662.05</v>
      </c>
      <c r="P931" s="116">
        <v>2684.55</v>
      </c>
      <c r="Q931" s="116">
        <v>2671.1</v>
      </c>
      <c r="R931">
        <v>188157</v>
      </c>
    </row>
    <row r="932" spans="1:18" x14ac:dyDescent="0.25">
      <c r="A932" s="170">
        <v>44938</v>
      </c>
      <c r="B932" s="116">
        <v>2715.8</v>
      </c>
      <c r="C932" s="116">
        <v>2671.4</v>
      </c>
      <c r="D932" s="116">
        <v>2670</v>
      </c>
      <c r="E932" s="116">
        <v>2699.75</v>
      </c>
      <c r="F932" s="116">
        <v>2671.4</v>
      </c>
      <c r="G932">
        <v>7390</v>
      </c>
      <c r="H932" s="116"/>
      <c r="I932" s="116"/>
      <c r="L932" s="170">
        <v>44938</v>
      </c>
      <c r="M932" s="116">
        <v>2677.05</v>
      </c>
      <c r="N932" s="116">
        <v>2718.5</v>
      </c>
      <c r="O932" s="116">
        <v>2667.8</v>
      </c>
      <c r="P932" s="116">
        <v>2675</v>
      </c>
      <c r="Q932" s="116">
        <v>2677.05</v>
      </c>
      <c r="R932">
        <v>263295</v>
      </c>
    </row>
    <row r="933" spans="1:18" x14ac:dyDescent="0.25">
      <c r="A933" s="170">
        <v>44939</v>
      </c>
      <c r="B933" s="116">
        <v>2692.4</v>
      </c>
      <c r="C933" s="116">
        <v>2662.45</v>
      </c>
      <c r="D933" s="116">
        <v>2653.8</v>
      </c>
      <c r="E933" s="116">
        <v>2689.95</v>
      </c>
      <c r="F933" s="116">
        <v>2662.45</v>
      </c>
      <c r="G933">
        <v>5220</v>
      </c>
      <c r="H933" s="116"/>
      <c r="I933" s="116"/>
      <c r="L933" s="170">
        <v>44939</v>
      </c>
      <c r="M933" s="116">
        <v>2663.7</v>
      </c>
      <c r="N933" s="116">
        <v>2693.4</v>
      </c>
      <c r="O933" s="116">
        <v>2651.55</v>
      </c>
      <c r="P933" s="116">
        <v>2685.4</v>
      </c>
      <c r="Q933" s="116">
        <v>2663.7</v>
      </c>
      <c r="R933">
        <v>115048</v>
      </c>
    </row>
    <row r="934" spans="1:18" x14ac:dyDescent="0.25">
      <c r="A934" s="170">
        <v>44942</v>
      </c>
      <c r="B934" s="116">
        <v>2705.35</v>
      </c>
      <c r="C934" s="116">
        <v>2675.35</v>
      </c>
      <c r="D934" s="116">
        <v>2666</v>
      </c>
      <c r="E934" s="116">
        <v>2684.8</v>
      </c>
      <c r="F934" s="116">
        <v>2675.35</v>
      </c>
      <c r="G934">
        <v>5661</v>
      </c>
      <c r="H934" s="116"/>
      <c r="I934" s="116"/>
      <c r="L934" s="170">
        <v>44942</v>
      </c>
      <c r="M934" s="116">
        <v>2673.55</v>
      </c>
      <c r="N934" s="116">
        <v>2705</v>
      </c>
      <c r="O934" s="116">
        <v>2665</v>
      </c>
      <c r="P934" s="116">
        <v>2674.8</v>
      </c>
      <c r="Q934" s="116">
        <v>2673.55</v>
      </c>
      <c r="R934">
        <v>151524</v>
      </c>
    </row>
    <row r="935" spans="1:18" x14ac:dyDescent="0.25">
      <c r="A935" s="170">
        <v>44943</v>
      </c>
      <c r="B935" s="116">
        <v>2734.3</v>
      </c>
      <c r="C935" s="116">
        <v>2716.25</v>
      </c>
      <c r="D935" s="116">
        <v>2651.15</v>
      </c>
      <c r="E935" s="116">
        <v>2651.15</v>
      </c>
      <c r="F935" s="116">
        <v>2716.25</v>
      </c>
      <c r="G935">
        <v>12457</v>
      </c>
      <c r="H935" s="116"/>
      <c r="I935" s="116"/>
      <c r="L935" s="170">
        <v>44943</v>
      </c>
      <c r="M935" s="116">
        <v>2717.35</v>
      </c>
      <c r="N935" s="116">
        <v>2733.55</v>
      </c>
      <c r="O935" s="116">
        <v>2655.25</v>
      </c>
      <c r="P935" s="116">
        <v>2665.25</v>
      </c>
      <c r="Q935" s="116">
        <v>2717.35</v>
      </c>
      <c r="R935">
        <v>163033</v>
      </c>
    </row>
    <row r="936" spans="1:18" x14ac:dyDescent="0.25">
      <c r="A936" s="170">
        <v>44944</v>
      </c>
      <c r="B936" s="116">
        <v>2762.75</v>
      </c>
      <c r="C936" s="116">
        <v>2752.7</v>
      </c>
      <c r="D936" s="116">
        <v>2716.3</v>
      </c>
      <c r="E936" s="116">
        <v>2716.3</v>
      </c>
      <c r="F936" s="116">
        <v>2752.7</v>
      </c>
      <c r="G936">
        <v>8160</v>
      </c>
      <c r="H936" s="116"/>
      <c r="I936" s="116"/>
      <c r="L936" s="170">
        <v>44944</v>
      </c>
      <c r="M936" s="116">
        <v>2753.6</v>
      </c>
      <c r="N936" s="116">
        <v>2764.85</v>
      </c>
      <c r="O936" s="116">
        <v>2720.5</v>
      </c>
      <c r="P936" s="116">
        <v>2731.65</v>
      </c>
      <c r="Q936" s="116">
        <v>2753.6</v>
      </c>
      <c r="R936">
        <v>275059</v>
      </c>
    </row>
    <row r="937" spans="1:18" x14ac:dyDescent="0.25">
      <c r="A937" s="170">
        <v>44945</v>
      </c>
      <c r="B937" s="116">
        <v>2844.75</v>
      </c>
      <c r="C937" s="116">
        <v>2829.55</v>
      </c>
      <c r="D937" s="116">
        <v>2725</v>
      </c>
      <c r="E937" s="116">
        <v>2752.7</v>
      </c>
      <c r="F937" s="116">
        <v>2829.55</v>
      </c>
      <c r="G937">
        <v>21760</v>
      </c>
      <c r="H937" s="116"/>
      <c r="I937" s="116"/>
      <c r="L937" s="170">
        <v>44945</v>
      </c>
      <c r="M937" s="116">
        <v>2828.6</v>
      </c>
      <c r="N937" s="116">
        <v>2843.85</v>
      </c>
      <c r="O937" s="116">
        <v>2722.85</v>
      </c>
      <c r="P937" s="116">
        <v>2740.05</v>
      </c>
      <c r="Q937" s="116">
        <v>2828.6</v>
      </c>
      <c r="R937">
        <v>633130</v>
      </c>
    </row>
    <row r="938" spans="1:18" x14ac:dyDescent="0.25">
      <c r="A938" s="170">
        <v>44946</v>
      </c>
      <c r="B938" s="116">
        <v>2843</v>
      </c>
      <c r="C938" s="116">
        <v>2760.6</v>
      </c>
      <c r="D938" s="116">
        <v>2753.05</v>
      </c>
      <c r="E938" s="116">
        <v>2843</v>
      </c>
      <c r="F938" s="116">
        <v>2760.6</v>
      </c>
      <c r="G938">
        <v>32597</v>
      </c>
      <c r="H938" s="116"/>
      <c r="I938" s="116"/>
      <c r="L938" s="170">
        <v>44946</v>
      </c>
      <c r="M938" s="116">
        <v>2761.2</v>
      </c>
      <c r="N938" s="116">
        <v>2851.2</v>
      </c>
      <c r="O938" s="116">
        <v>2751.35</v>
      </c>
      <c r="P938" s="116">
        <v>2850</v>
      </c>
      <c r="Q938" s="116">
        <v>2761.2</v>
      </c>
      <c r="R938">
        <v>479592</v>
      </c>
    </row>
    <row r="939" spans="1:18" x14ac:dyDescent="0.25">
      <c r="A939" s="170">
        <v>44949</v>
      </c>
      <c r="B939" s="116">
        <v>2819</v>
      </c>
      <c r="C939" s="116">
        <v>2800.7</v>
      </c>
      <c r="D939" s="116">
        <v>2760</v>
      </c>
      <c r="E939" s="116">
        <v>2778.95</v>
      </c>
      <c r="F939" s="116">
        <v>2800.7</v>
      </c>
      <c r="G939">
        <v>7270</v>
      </c>
      <c r="H939" s="116"/>
      <c r="I939" s="116"/>
      <c r="L939" s="170">
        <v>44949</v>
      </c>
      <c r="M939" s="116">
        <v>2800.45</v>
      </c>
      <c r="N939" s="116">
        <v>2820.1</v>
      </c>
      <c r="O939" s="116">
        <v>2757.7</v>
      </c>
      <c r="P939" s="116">
        <v>2762</v>
      </c>
      <c r="Q939" s="116">
        <v>2800.45</v>
      </c>
      <c r="R939">
        <v>354518</v>
      </c>
    </row>
    <row r="940" spans="1:18" x14ac:dyDescent="0.25">
      <c r="A940" s="170">
        <v>44950</v>
      </c>
      <c r="B940" s="116">
        <v>2848</v>
      </c>
      <c r="C940" s="116">
        <v>2817.5</v>
      </c>
      <c r="D940" s="116">
        <v>2800</v>
      </c>
      <c r="E940" s="116">
        <v>2800</v>
      </c>
      <c r="F940" s="116">
        <v>2817.5</v>
      </c>
      <c r="G940">
        <v>17826</v>
      </c>
      <c r="H940" s="116"/>
      <c r="I940" s="116"/>
      <c r="L940" s="170">
        <v>44950</v>
      </c>
      <c r="M940" s="116">
        <v>2817.35</v>
      </c>
      <c r="N940" s="116">
        <v>2849</v>
      </c>
      <c r="O940" s="116">
        <v>2805</v>
      </c>
      <c r="P940" s="116">
        <v>2811.95</v>
      </c>
      <c r="Q940" s="116">
        <v>2817.35</v>
      </c>
      <c r="R940">
        <v>396428</v>
      </c>
    </row>
    <row r="941" spans="1:18" x14ac:dyDescent="0.25">
      <c r="A941" s="170">
        <v>44951</v>
      </c>
      <c r="B941" s="116">
        <v>2825</v>
      </c>
      <c r="C941" s="116">
        <v>2818</v>
      </c>
      <c r="D941" s="116">
        <v>2790.75</v>
      </c>
      <c r="E941" s="116">
        <v>2814</v>
      </c>
      <c r="F941" s="116">
        <v>2818</v>
      </c>
      <c r="G941">
        <v>8998</v>
      </c>
      <c r="H941" s="116"/>
      <c r="I941" s="116"/>
      <c r="L941" s="170">
        <v>44951</v>
      </c>
      <c r="M941" s="116">
        <v>2817.7</v>
      </c>
      <c r="N941" s="116">
        <v>2826.15</v>
      </c>
      <c r="O941" s="116">
        <v>2790</v>
      </c>
      <c r="P941" s="116">
        <v>2810.35</v>
      </c>
      <c r="Q941" s="116">
        <v>2817.7</v>
      </c>
      <c r="R941">
        <v>232210</v>
      </c>
    </row>
    <row r="942" spans="1:18" x14ac:dyDescent="0.25">
      <c r="A942" s="170">
        <v>44953</v>
      </c>
      <c r="B942" s="116">
        <v>2841.65</v>
      </c>
      <c r="C942" s="116">
        <v>2777.1</v>
      </c>
      <c r="D942" s="116">
        <v>2736.5</v>
      </c>
      <c r="E942" s="116">
        <v>2818</v>
      </c>
      <c r="F942" s="116">
        <v>2777.1</v>
      </c>
      <c r="G942">
        <v>25918</v>
      </c>
      <c r="H942" s="116"/>
      <c r="I942" s="116"/>
      <c r="L942" s="170">
        <v>44953</v>
      </c>
      <c r="M942" s="116">
        <v>2777.3</v>
      </c>
      <c r="N942" s="116">
        <v>2841.95</v>
      </c>
      <c r="O942" s="116">
        <v>2737.7</v>
      </c>
      <c r="P942" s="116">
        <v>2820</v>
      </c>
      <c r="Q942" s="116">
        <v>2777.3</v>
      </c>
      <c r="R942">
        <v>270275</v>
      </c>
    </row>
    <row r="943" spans="1:18" x14ac:dyDescent="0.25">
      <c r="A943" s="170">
        <v>44956</v>
      </c>
      <c r="B943" s="116">
        <v>2867</v>
      </c>
      <c r="C943" s="116">
        <v>2821.9</v>
      </c>
      <c r="D943" s="116">
        <v>2765</v>
      </c>
      <c r="E943" s="116">
        <v>2777.1</v>
      </c>
      <c r="F943" s="116">
        <v>2821.9</v>
      </c>
      <c r="G943">
        <v>11623</v>
      </c>
      <c r="H943" s="116"/>
      <c r="I943" s="116"/>
      <c r="L943" s="170">
        <v>44956</v>
      </c>
      <c r="M943" s="116">
        <v>2819.2</v>
      </c>
      <c r="N943" s="116">
        <v>2868</v>
      </c>
      <c r="O943" s="116">
        <v>2748.3</v>
      </c>
      <c r="P943" s="116">
        <v>2780</v>
      </c>
      <c r="Q943" s="116">
        <v>2819.2</v>
      </c>
      <c r="R943">
        <v>426921</v>
      </c>
    </row>
    <row r="944" spans="1:18" x14ac:dyDescent="0.25">
      <c r="A944" s="170">
        <v>44957</v>
      </c>
      <c r="B944" s="116">
        <v>2934.95</v>
      </c>
      <c r="C944" s="116">
        <v>2920.5</v>
      </c>
      <c r="D944" s="116">
        <v>2825.05</v>
      </c>
      <c r="E944" s="116">
        <v>2825.05</v>
      </c>
      <c r="F944" s="116">
        <v>2920.5</v>
      </c>
      <c r="G944">
        <v>26333</v>
      </c>
      <c r="H944" s="116"/>
      <c r="I944" s="116"/>
      <c r="L944" s="170">
        <v>44957</v>
      </c>
      <c r="M944" s="116">
        <v>2921.25</v>
      </c>
      <c r="N944" s="116">
        <v>2934.65</v>
      </c>
      <c r="O944" s="116">
        <v>2835.15</v>
      </c>
      <c r="P944" s="116">
        <v>2847</v>
      </c>
      <c r="Q944" s="116">
        <v>2921.25</v>
      </c>
      <c r="R944">
        <v>545851</v>
      </c>
    </row>
    <row r="945" spans="1:18" x14ac:dyDescent="0.25">
      <c r="A945" s="170">
        <v>44958</v>
      </c>
      <c r="B945" s="116">
        <v>3044.85</v>
      </c>
      <c r="C945" s="116">
        <v>2998.7</v>
      </c>
      <c r="D945" s="116">
        <v>2920</v>
      </c>
      <c r="E945" s="116">
        <v>2935</v>
      </c>
      <c r="F945" s="116">
        <v>2998.7</v>
      </c>
      <c r="G945">
        <v>25840</v>
      </c>
      <c r="H945" s="116"/>
      <c r="I945" s="116"/>
      <c r="L945" s="170">
        <v>44958</v>
      </c>
      <c r="M945" s="116">
        <v>2995.4</v>
      </c>
      <c r="N945" s="116">
        <v>3045</v>
      </c>
      <c r="O945" s="116">
        <v>2913.3</v>
      </c>
      <c r="P945" s="116">
        <v>2949</v>
      </c>
      <c r="Q945" s="116">
        <v>2995.4</v>
      </c>
      <c r="R945">
        <v>936089</v>
      </c>
    </row>
    <row r="946" spans="1:18" x14ac:dyDescent="0.25">
      <c r="A946" s="170">
        <v>44959</v>
      </c>
      <c r="B946" s="116">
        <v>3088.55</v>
      </c>
      <c r="C946" s="116">
        <v>3000.25</v>
      </c>
      <c r="D946" s="116">
        <v>2980.25</v>
      </c>
      <c r="E946" s="116">
        <v>2991.05</v>
      </c>
      <c r="F946" s="116">
        <v>3000.25</v>
      </c>
      <c r="G946">
        <v>33979</v>
      </c>
      <c r="H946" s="116"/>
      <c r="I946" s="116"/>
      <c r="L946" s="170">
        <v>44959</v>
      </c>
      <c r="M946" s="116">
        <v>3001.5</v>
      </c>
      <c r="N946" s="116">
        <v>3088.6</v>
      </c>
      <c r="O946" s="116">
        <v>2981.1</v>
      </c>
      <c r="P946" s="116">
        <v>3000</v>
      </c>
      <c r="Q946" s="116">
        <v>3001.5</v>
      </c>
      <c r="R946">
        <v>716169</v>
      </c>
    </row>
    <row r="947" spans="1:18" x14ac:dyDescent="0.25">
      <c r="A947" s="170">
        <v>44960</v>
      </c>
      <c r="B947" s="116">
        <v>3012.8</v>
      </c>
      <c r="C947" s="116">
        <v>2948.95</v>
      </c>
      <c r="D947" s="116">
        <v>2925</v>
      </c>
      <c r="E947" s="116">
        <v>3001</v>
      </c>
      <c r="F947" s="116">
        <v>2948.95</v>
      </c>
      <c r="G947">
        <v>14823</v>
      </c>
      <c r="H947" s="116"/>
      <c r="I947" s="116"/>
      <c r="L947" s="170">
        <v>44960</v>
      </c>
      <c r="M947" s="116">
        <v>2949.15</v>
      </c>
      <c r="N947" s="116">
        <v>3030</v>
      </c>
      <c r="O947" s="116">
        <v>2925</v>
      </c>
      <c r="P947" s="116">
        <v>3030</v>
      </c>
      <c r="Q947" s="116">
        <v>2949.15</v>
      </c>
      <c r="R947">
        <v>378428</v>
      </c>
    </row>
    <row r="948" spans="1:18" x14ac:dyDescent="0.25">
      <c r="A948" s="170">
        <v>44963</v>
      </c>
      <c r="B948" s="116">
        <v>2995.6</v>
      </c>
      <c r="C948" s="116">
        <v>2966.05</v>
      </c>
      <c r="D948" s="116">
        <v>2941.75</v>
      </c>
      <c r="E948" s="116">
        <v>2956.75</v>
      </c>
      <c r="F948" s="116">
        <v>2966.05</v>
      </c>
      <c r="G948">
        <v>5680</v>
      </c>
      <c r="H948" s="116"/>
      <c r="I948" s="116"/>
      <c r="L948" s="170">
        <v>44963</v>
      </c>
      <c r="M948" s="116">
        <v>2965.65</v>
      </c>
      <c r="N948" s="116">
        <v>2998</v>
      </c>
      <c r="O948" s="116">
        <v>2940</v>
      </c>
      <c r="P948" s="116">
        <v>2950</v>
      </c>
      <c r="Q948" s="116">
        <v>2965.65</v>
      </c>
      <c r="R948">
        <v>255641</v>
      </c>
    </row>
    <row r="949" spans="1:18" x14ac:dyDescent="0.25">
      <c r="A949" s="170">
        <v>44964</v>
      </c>
      <c r="B949" s="116">
        <v>2993.65</v>
      </c>
      <c r="C949" s="116">
        <v>2981.95</v>
      </c>
      <c r="D949" s="116">
        <v>2960.05</v>
      </c>
      <c r="E949" s="116">
        <v>2980.15</v>
      </c>
      <c r="F949" s="116">
        <v>2981.95</v>
      </c>
      <c r="G949">
        <v>10530</v>
      </c>
      <c r="H949" s="116"/>
      <c r="I949" s="116"/>
      <c r="L949" s="170">
        <v>44964</v>
      </c>
      <c r="M949" s="116">
        <v>2987.4</v>
      </c>
      <c r="N949" s="116">
        <v>2994</v>
      </c>
      <c r="O949" s="116">
        <v>2959.45</v>
      </c>
      <c r="P949" s="116">
        <v>2980.5</v>
      </c>
      <c r="Q949" s="116">
        <v>2987.4</v>
      </c>
      <c r="R949">
        <v>186102</v>
      </c>
    </row>
    <row r="950" spans="1:18" x14ac:dyDescent="0.25">
      <c r="A950" s="170">
        <v>44965</v>
      </c>
      <c r="B950" s="116">
        <v>3011</v>
      </c>
      <c r="C950" s="116">
        <v>2979.9</v>
      </c>
      <c r="D950" s="116">
        <v>2971.5</v>
      </c>
      <c r="E950" s="116">
        <v>2975.05</v>
      </c>
      <c r="F950" s="116">
        <v>2979.9</v>
      </c>
      <c r="G950">
        <v>7771</v>
      </c>
      <c r="H950" s="116"/>
      <c r="I950" s="116"/>
      <c r="L950" s="170">
        <v>44965</v>
      </c>
      <c r="M950" s="116">
        <v>2978.85</v>
      </c>
      <c r="N950" s="116">
        <v>3010.8</v>
      </c>
      <c r="O950" s="116">
        <v>2971.6</v>
      </c>
      <c r="P950" s="116">
        <v>2983.5</v>
      </c>
      <c r="Q950" s="116">
        <v>2978.85</v>
      </c>
      <c r="R950">
        <v>278608</v>
      </c>
    </row>
    <row r="951" spans="1:18" x14ac:dyDescent="0.25">
      <c r="A951" s="170">
        <v>44966</v>
      </c>
      <c r="B951" s="116">
        <v>3000</v>
      </c>
      <c r="C951" s="116">
        <v>2994.95</v>
      </c>
      <c r="D951" s="116">
        <v>2954.25</v>
      </c>
      <c r="E951" s="116">
        <v>2974.95</v>
      </c>
      <c r="F951" s="116">
        <v>2994.95</v>
      </c>
      <c r="G951">
        <v>10660</v>
      </c>
      <c r="H951" s="116"/>
      <c r="I951" s="116"/>
      <c r="L951" s="170">
        <v>44966</v>
      </c>
      <c r="M951" s="116">
        <v>2995.7</v>
      </c>
      <c r="N951" s="116">
        <v>3001.95</v>
      </c>
      <c r="O951" s="116">
        <v>2955.1</v>
      </c>
      <c r="P951" s="116">
        <v>2970</v>
      </c>
      <c r="Q951" s="116">
        <v>2995.7</v>
      </c>
      <c r="R951">
        <v>172603</v>
      </c>
    </row>
    <row r="952" spans="1:18" x14ac:dyDescent="0.25">
      <c r="A952" s="170">
        <v>44967</v>
      </c>
      <c r="B952" s="116">
        <v>3005.85</v>
      </c>
      <c r="C952" s="116">
        <v>2984.1</v>
      </c>
      <c r="D952" s="116">
        <v>2979.4</v>
      </c>
      <c r="E952" s="116">
        <v>3005.85</v>
      </c>
      <c r="F952" s="116">
        <v>2984.1</v>
      </c>
      <c r="G952">
        <v>3791</v>
      </c>
      <c r="H952" s="116"/>
      <c r="I952" s="116"/>
      <c r="L952" s="170">
        <v>44967</v>
      </c>
      <c r="M952" s="116">
        <v>2985</v>
      </c>
      <c r="N952" s="116">
        <v>3004</v>
      </c>
      <c r="O952" s="116">
        <v>2976</v>
      </c>
      <c r="P952" s="116">
        <v>2987</v>
      </c>
      <c r="Q952" s="116">
        <v>2985</v>
      </c>
      <c r="R952">
        <v>136904</v>
      </c>
    </row>
    <row r="953" spans="1:18" x14ac:dyDescent="0.25">
      <c r="A953" s="170">
        <v>44970</v>
      </c>
      <c r="B953" s="116">
        <v>3004.95</v>
      </c>
      <c r="C953" s="116">
        <v>2949.35</v>
      </c>
      <c r="D953" s="116">
        <v>2904.15</v>
      </c>
      <c r="E953" s="116">
        <v>3004.95</v>
      </c>
      <c r="F953" s="116">
        <v>2949.35</v>
      </c>
      <c r="G953">
        <v>5170</v>
      </c>
      <c r="H953" s="116"/>
      <c r="I953" s="116"/>
      <c r="L953" s="170">
        <v>44970</v>
      </c>
      <c r="M953" s="116">
        <v>2947.55</v>
      </c>
      <c r="N953" s="116">
        <v>2988</v>
      </c>
      <c r="O953" s="116">
        <v>2904.75</v>
      </c>
      <c r="P953" s="116">
        <v>2988</v>
      </c>
      <c r="Q953" s="116">
        <v>2947.55</v>
      </c>
      <c r="R953">
        <v>196259</v>
      </c>
    </row>
    <row r="954" spans="1:18" x14ac:dyDescent="0.25">
      <c r="A954" s="170">
        <v>44971</v>
      </c>
      <c r="B954" s="116">
        <v>2992</v>
      </c>
      <c r="C954" s="116">
        <v>2981.1</v>
      </c>
      <c r="D954" s="116">
        <v>2936.6</v>
      </c>
      <c r="E954" s="116">
        <v>2940.1</v>
      </c>
      <c r="F954" s="116">
        <v>2981.1</v>
      </c>
      <c r="G954">
        <v>6807</v>
      </c>
      <c r="H954" s="116"/>
      <c r="I954" s="116"/>
      <c r="L954" s="170">
        <v>44971</v>
      </c>
      <c r="M954" s="116">
        <v>2981.85</v>
      </c>
      <c r="N954" s="116">
        <v>2994.9</v>
      </c>
      <c r="O954" s="116">
        <v>2936.85</v>
      </c>
      <c r="P954" s="116">
        <v>2948.9</v>
      </c>
      <c r="Q954" s="116">
        <v>2981.85</v>
      </c>
      <c r="R954">
        <v>204187</v>
      </c>
    </row>
    <row r="955" spans="1:18" x14ac:dyDescent="0.25">
      <c r="A955" s="170">
        <v>44972</v>
      </c>
      <c r="B955" s="116">
        <v>3031.25</v>
      </c>
      <c r="C955" s="116">
        <v>3006.85</v>
      </c>
      <c r="D955" s="116">
        <v>2950.05</v>
      </c>
      <c r="E955" s="116">
        <v>2950.05</v>
      </c>
      <c r="F955" s="116">
        <v>3006.85</v>
      </c>
      <c r="G955">
        <v>7689</v>
      </c>
      <c r="H955" s="116"/>
      <c r="I955" s="116"/>
      <c r="L955" s="170">
        <v>44972</v>
      </c>
      <c r="M955" s="116">
        <v>3006.45</v>
      </c>
      <c r="N955" s="116">
        <v>3030.1</v>
      </c>
      <c r="O955" s="116">
        <v>2952</v>
      </c>
      <c r="P955" s="116">
        <v>2967.95</v>
      </c>
      <c r="Q955" s="116">
        <v>3006.45</v>
      </c>
      <c r="R955">
        <v>216658</v>
      </c>
    </row>
    <row r="956" spans="1:18" x14ac:dyDescent="0.25">
      <c r="A956" s="170">
        <v>44973</v>
      </c>
      <c r="B956" s="116">
        <v>3059</v>
      </c>
      <c r="C956" s="116">
        <v>3045.65</v>
      </c>
      <c r="D956" s="116">
        <v>3016.25</v>
      </c>
      <c r="E956" s="116">
        <v>3044.95</v>
      </c>
      <c r="F956" s="116">
        <v>3045.65</v>
      </c>
      <c r="G956">
        <v>14534</v>
      </c>
      <c r="H956" s="116"/>
      <c r="I956" s="116"/>
      <c r="L956" s="170">
        <v>44973</v>
      </c>
      <c r="M956" s="116">
        <v>3046.1</v>
      </c>
      <c r="N956" s="116">
        <v>3059.9</v>
      </c>
      <c r="O956" s="116">
        <v>3017.75</v>
      </c>
      <c r="P956" s="116">
        <v>3032.3</v>
      </c>
      <c r="Q956" s="116">
        <v>3046.1</v>
      </c>
      <c r="R956">
        <v>351094</v>
      </c>
    </row>
    <row r="957" spans="1:18" x14ac:dyDescent="0.25">
      <c r="A957" s="170">
        <v>44974</v>
      </c>
      <c r="B957" s="116">
        <v>3142</v>
      </c>
      <c r="C957" s="116">
        <v>3013.95</v>
      </c>
      <c r="D957" s="116">
        <v>2991.9</v>
      </c>
      <c r="E957" s="116">
        <v>3012.05</v>
      </c>
      <c r="F957" s="116">
        <v>3013.95</v>
      </c>
      <c r="G957">
        <v>25938</v>
      </c>
      <c r="H957" s="116"/>
      <c r="I957" s="116"/>
      <c r="L957" s="170">
        <v>44974</v>
      </c>
      <c r="M957" s="116">
        <v>3014.8</v>
      </c>
      <c r="N957" s="116">
        <v>3143.4</v>
      </c>
      <c r="O957" s="116">
        <v>2991</v>
      </c>
      <c r="P957" s="116">
        <v>3030</v>
      </c>
      <c r="Q957" s="116">
        <v>3014.8</v>
      </c>
      <c r="R957">
        <v>1067039</v>
      </c>
    </row>
    <row r="958" spans="1:18" x14ac:dyDescent="0.25">
      <c r="A958" s="170">
        <v>44977</v>
      </c>
      <c r="B958" s="116">
        <v>3035</v>
      </c>
      <c r="C958" s="116">
        <v>3002.75</v>
      </c>
      <c r="D958" s="116">
        <v>2968.55</v>
      </c>
      <c r="E958" s="116">
        <v>3026.35</v>
      </c>
      <c r="F958" s="116">
        <v>3002.75</v>
      </c>
      <c r="G958">
        <v>6818</v>
      </c>
      <c r="H958" s="116"/>
      <c r="I958" s="116"/>
      <c r="L958" s="170">
        <v>44977</v>
      </c>
      <c r="M958" s="116">
        <v>3002.65</v>
      </c>
      <c r="N958" s="116">
        <v>3037.5</v>
      </c>
      <c r="O958" s="116">
        <v>2965.3</v>
      </c>
      <c r="P958" s="116">
        <v>3010</v>
      </c>
      <c r="Q958" s="116">
        <v>3002.65</v>
      </c>
      <c r="R958">
        <v>218449</v>
      </c>
    </row>
    <row r="959" spans="1:18" x14ac:dyDescent="0.25">
      <c r="A959" s="170">
        <v>44978</v>
      </c>
      <c r="B959" s="116">
        <v>3061</v>
      </c>
      <c r="C959" s="116">
        <v>3042.45</v>
      </c>
      <c r="D959" s="116">
        <v>2960.75</v>
      </c>
      <c r="E959" s="116">
        <v>3019.8</v>
      </c>
      <c r="F959" s="116">
        <v>3042.45</v>
      </c>
      <c r="G959">
        <v>14006</v>
      </c>
      <c r="H959" s="116"/>
      <c r="I959" s="116"/>
      <c r="L959" s="170">
        <v>44978</v>
      </c>
      <c r="M959" s="116">
        <v>3041.35</v>
      </c>
      <c r="N959" s="116">
        <v>3065.8</v>
      </c>
      <c r="O959" s="116">
        <v>2991.55</v>
      </c>
      <c r="P959" s="116">
        <v>3009.9</v>
      </c>
      <c r="Q959" s="116">
        <v>3041.35</v>
      </c>
      <c r="R959">
        <v>211481</v>
      </c>
    </row>
    <row r="960" spans="1:18" x14ac:dyDescent="0.25">
      <c r="A960" s="170">
        <v>44979</v>
      </c>
      <c r="B960" s="116">
        <v>3065.35</v>
      </c>
      <c r="C960" s="116">
        <v>3013.35</v>
      </c>
      <c r="D960" s="116">
        <v>2994</v>
      </c>
      <c r="E960" s="116">
        <v>3036</v>
      </c>
      <c r="F960" s="116">
        <v>3013.35</v>
      </c>
      <c r="G960">
        <v>15153</v>
      </c>
      <c r="H960" s="116"/>
      <c r="I960" s="116"/>
      <c r="L960" s="170">
        <v>44979</v>
      </c>
      <c r="M960" s="116">
        <v>3013.25</v>
      </c>
      <c r="N960" s="116">
        <v>3065.5</v>
      </c>
      <c r="O960" s="116">
        <v>2994.2</v>
      </c>
      <c r="P960" s="116">
        <v>3041.35</v>
      </c>
      <c r="Q960" s="116">
        <v>3013.25</v>
      </c>
      <c r="R960">
        <v>328540</v>
      </c>
    </row>
    <row r="961" spans="1:18" x14ac:dyDescent="0.25">
      <c r="A961" s="170">
        <v>44980</v>
      </c>
      <c r="B961" s="116">
        <v>3086</v>
      </c>
      <c r="C961" s="116">
        <v>3076.25</v>
      </c>
      <c r="D961" s="116">
        <v>2992.6</v>
      </c>
      <c r="E961" s="116">
        <v>2992.6</v>
      </c>
      <c r="F961" s="116">
        <v>3076.25</v>
      </c>
      <c r="G961">
        <v>24908</v>
      </c>
      <c r="H961" s="116"/>
      <c r="I961" s="116"/>
      <c r="L961" s="170">
        <v>44980</v>
      </c>
      <c r="M961" s="116">
        <v>3069.65</v>
      </c>
      <c r="N961" s="116">
        <v>3088.05</v>
      </c>
      <c r="O961" s="116">
        <v>3004.05</v>
      </c>
      <c r="P961" s="116">
        <v>3008</v>
      </c>
      <c r="Q961" s="116">
        <v>3069.65</v>
      </c>
      <c r="R961">
        <v>364256</v>
      </c>
    </row>
    <row r="962" spans="1:18" x14ac:dyDescent="0.25">
      <c r="A962" s="170">
        <v>44981</v>
      </c>
      <c r="B962" s="116">
        <v>3111</v>
      </c>
      <c r="C962" s="116">
        <v>3072.35</v>
      </c>
      <c r="D962" s="116">
        <v>3041</v>
      </c>
      <c r="E962" s="116">
        <v>3104.95</v>
      </c>
      <c r="F962" s="116">
        <v>3072.35</v>
      </c>
      <c r="G962">
        <v>19779</v>
      </c>
      <c r="H962" s="116"/>
      <c r="I962" s="116"/>
      <c r="L962" s="170">
        <v>44981</v>
      </c>
      <c r="M962" s="116">
        <v>3072.85</v>
      </c>
      <c r="N962" s="116">
        <v>3113</v>
      </c>
      <c r="O962" s="116">
        <v>3040.4</v>
      </c>
      <c r="P962" s="116">
        <v>3097.5</v>
      </c>
      <c r="Q962" s="116">
        <v>3072.85</v>
      </c>
      <c r="R962">
        <v>460091</v>
      </c>
    </row>
    <row r="963" spans="1:18" x14ac:dyDescent="0.25">
      <c r="A963" s="170">
        <v>44984</v>
      </c>
      <c r="B963" s="116">
        <v>3055.2</v>
      </c>
      <c r="C963" s="116">
        <v>2997.1</v>
      </c>
      <c r="D963" s="116">
        <v>2969.85</v>
      </c>
      <c r="E963" s="116">
        <v>3051.05</v>
      </c>
      <c r="F963" s="116">
        <v>2997.1</v>
      </c>
      <c r="G963">
        <v>7051</v>
      </c>
      <c r="H963" s="116"/>
      <c r="I963" s="116"/>
      <c r="L963" s="170">
        <v>44984</v>
      </c>
      <c r="M963" s="116">
        <v>2995.95</v>
      </c>
      <c r="N963" s="116">
        <v>3060</v>
      </c>
      <c r="O963" s="116">
        <v>2969</v>
      </c>
      <c r="P963" s="116">
        <v>3060</v>
      </c>
      <c r="Q963" s="116">
        <v>2995.95</v>
      </c>
      <c r="R963">
        <v>283462</v>
      </c>
    </row>
    <row r="964" spans="1:18" x14ac:dyDescent="0.25">
      <c r="A964" s="170">
        <v>44985</v>
      </c>
      <c r="B964" s="116">
        <v>3098.6</v>
      </c>
      <c r="C964" s="116">
        <v>3079.85</v>
      </c>
      <c r="D964" s="116">
        <v>2981.6</v>
      </c>
      <c r="E964" s="116">
        <v>2994.8</v>
      </c>
      <c r="F964" s="116">
        <v>3079.85</v>
      </c>
      <c r="G964">
        <v>13127</v>
      </c>
      <c r="H964" s="116"/>
      <c r="I964" s="116"/>
      <c r="L964" s="170">
        <v>44985</v>
      </c>
      <c r="M964" s="116">
        <v>3081.35</v>
      </c>
      <c r="N964" s="116">
        <v>3099.95</v>
      </c>
      <c r="O964" s="116">
        <v>2975</v>
      </c>
      <c r="P964" s="116">
        <v>2993</v>
      </c>
      <c r="Q964" s="116">
        <v>3081.35</v>
      </c>
      <c r="R964">
        <v>362293</v>
      </c>
    </row>
    <row r="965" spans="1:18" x14ac:dyDescent="0.25">
      <c r="A965" s="170">
        <v>44986</v>
      </c>
      <c r="B965" s="116">
        <v>3140</v>
      </c>
      <c r="C965" s="116">
        <v>3122</v>
      </c>
      <c r="D965" s="116">
        <v>3069.35</v>
      </c>
      <c r="E965" s="116">
        <v>3080</v>
      </c>
      <c r="F965" s="116">
        <v>3122</v>
      </c>
      <c r="G965">
        <v>6176</v>
      </c>
      <c r="H965" s="116"/>
      <c r="I965" s="116"/>
      <c r="L965" s="170">
        <v>44986</v>
      </c>
      <c r="M965" s="116">
        <v>3115.9</v>
      </c>
      <c r="N965" s="116">
        <v>3142</v>
      </c>
      <c r="O965" s="116">
        <v>3067.25</v>
      </c>
      <c r="P965" s="116">
        <v>3084</v>
      </c>
      <c r="Q965" s="116">
        <v>3115.9</v>
      </c>
      <c r="R965">
        <v>556955</v>
      </c>
    </row>
    <row r="966" spans="1:18" x14ac:dyDescent="0.25">
      <c r="A966" s="170">
        <v>44987</v>
      </c>
      <c r="B966" s="116">
        <v>3126</v>
      </c>
      <c r="C966" s="116">
        <v>3063</v>
      </c>
      <c r="D966" s="116">
        <v>3045.25</v>
      </c>
      <c r="E966" s="116">
        <v>3125</v>
      </c>
      <c r="F966" s="116">
        <v>3063</v>
      </c>
      <c r="G966">
        <v>7920</v>
      </c>
      <c r="H966" s="116"/>
      <c r="I966" s="116"/>
      <c r="L966" s="170">
        <v>44987</v>
      </c>
      <c r="M966" s="116">
        <v>3065.95</v>
      </c>
      <c r="N966" s="116">
        <v>3128.7</v>
      </c>
      <c r="O966" s="116">
        <v>3051</v>
      </c>
      <c r="P966" s="116">
        <v>3115.9</v>
      </c>
      <c r="Q966" s="116">
        <v>3065.95</v>
      </c>
      <c r="R966">
        <v>212610</v>
      </c>
    </row>
    <row r="967" spans="1:18" x14ac:dyDescent="0.25">
      <c r="A967" s="170">
        <v>44988</v>
      </c>
      <c r="B967" s="116">
        <v>3094.6</v>
      </c>
      <c r="C967" s="116">
        <v>3068.6</v>
      </c>
      <c r="D967" s="116">
        <v>3059</v>
      </c>
      <c r="E967" s="116">
        <v>3077.95</v>
      </c>
      <c r="F967" s="116">
        <v>3068.6</v>
      </c>
      <c r="G967">
        <v>3541</v>
      </c>
      <c r="H967" s="116"/>
      <c r="I967" s="116"/>
      <c r="L967" s="170">
        <v>44988</v>
      </c>
      <c r="M967" s="116">
        <v>3069.2</v>
      </c>
      <c r="N967" s="116">
        <v>3095.05</v>
      </c>
      <c r="O967" s="116">
        <v>3055.25</v>
      </c>
      <c r="P967" s="116">
        <v>3065.95</v>
      </c>
      <c r="Q967" s="116">
        <v>3069.2</v>
      </c>
      <c r="R967">
        <v>211402</v>
      </c>
    </row>
    <row r="968" spans="1:18" x14ac:dyDescent="0.25">
      <c r="A968" s="170">
        <v>44991</v>
      </c>
      <c r="B968" s="116">
        <v>3083.9</v>
      </c>
      <c r="C968" s="116">
        <v>3064.3</v>
      </c>
      <c r="D968" s="116">
        <v>3056.55</v>
      </c>
      <c r="E968" s="116">
        <v>3070</v>
      </c>
      <c r="F968" s="116">
        <v>3064.3</v>
      </c>
      <c r="G968">
        <v>5132</v>
      </c>
      <c r="H968" s="116"/>
      <c r="I968" s="116"/>
      <c r="L968" s="170">
        <v>44991</v>
      </c>
      <c r="M968" s="116">
        <v>3065.55</v>
      </c>
      <c r="N968" s="116">
        <v>3085</v>
      </c>
      <c r="O968" s="116">
        <v>3056.3</v>
      </c>
      <c r="P968" s="116">
        <v>3075</v>
      </c>
      <c r="Q968" s="116">
        <v>3065.55</v>
      </c>
      <c r="R968">
        <v>165157</v>
      </c>
    </row>
    <row r="969" spans="1:18" x14ac:dyDescent="0.25">
      <c r="A969" s="170">
        <v>44993</v>
      </c>
      <c r="B969" s="116">
        <v>3120</v>
      </c>
      <c r="C969" s="116">
        <v>3094.7</v>
      </c>
      <c r="D969" s="116">
        <v>3026.75</v>
      </c>
      <c r="E969" s="116">
        <v>3040.05</v>
      </c>
      <c r="F969" s="116">
        <v>3094.7</v>
      </c>
      <c r="G969">
        <v>8611</v>
      </c>
      <c r="H969" s="116"/>
      <c r="I969" s="116"/>
      <c r="L969" s="170">
        <v>44993</v>
      </c>
      <c r="M969" s="116">
        <v>3092.1</v>
      </c>
      <c r="N969" s="116">
        <v>3120</v>
      </c>
      <c r="O969" s="116">
        <v>3000</v>
      </c>
      <c r="P969" s="116">
        <v>3060</v>
      </c>
      <c r="Q969" s="116">
        <v>3092.1</v>
      </c>
      <c r="R969">
        <v>336445</v>
      </c>
    </row>
    <row r="970" spans="1:18" x14ac:dyDescent="0.25">
      <c r="A970" s="170">
        <v>44994</v>
      </c>
      <c r="B970" s="116">
        <v>3116.05</v>
      </c>
      <c r="C970" s="116">
        <v>3083.9</v>
      </c>
      <c r="D970" s="116">
        <v>3074.3</v>
      </c>
      <c r="E970" s="116">
        <v>3095</v>
      </c>
      <c r="F970" s="116">
        <v>3083.9</v>
      </c>
      <c r="G970">
        <v>6818</v>
      </c>
      <c r="H970" s="116"/>
      <c r="I970" s="116"/>
      <c r="L970" s="170">
        <v>44994</v>
      </c>
      <c r="M970" s="116">
        <v>3084.2</v>
      </c>
      <c r="N970" s="116">
        <v>3116.95</v>
      </c>
      <c r="O970" s="116">
        <v>3077</v>
      </c>
      <c r="P970" s="116">
        <v>3093</v>
      </c>
      <c r="Q970" s="116">
        <v>3084.2</v>
      </c>
      <c r="R970">
        <v>191541</v>
      </c>
    </row>
    <row r="971" spans="1:18" x14ac:dyDescent="0.25">
      <c r="A971" s="170">
        <v>44995</v>
      </c>
      <c r="B971" s="116">
        <v>3075.1</v>
      </c>
      <c r="C971" s="116">
        <v>2946.3</v>
      </c>
      <c r="D971" s="116">
        <v>2923</v>
      </c>
      <c r="E971" s="116">
        <v>3075.05</v>
      </c>
      <c r="F971" s="116">
        <v>2946.3</v>
      </c>
      <c r="G971">
        <v>11683</v>
      </c>
      <c r="H971" s="116"/>
      <c r="I971" s="116"/>
      <c r="L971" s="170">
        <v>44995</v>
      </c>
      <c r="M971" s="116">
        <v>2946.95</v>
      </c>
      <c r="N971" s="116">
        <v>3075</v>
      </c>
      <c r="O971" s="116">
        <v>2921</v>
      </c>
      <c r="P971" s="116">
        <v>3070.05</v>
      </c>
      <c r="Q971" s="116">
        <v>2946.95</v>
      </c>
      <c r="R971">
        <v>468768</v>
      </c>
    </row>
    <row r="972" spans="1:18" x14ac:dyDescent="0.25">
      <c r="A972" s="170">
        <v>44998</v>
      </c>
      <c r="B972" s="116">
        <v>2975</v>
      </c>
      <c r="C972" s="116">
        <v>2898.1</v>
      </c>
      <c r="D972" s="116">
        <v>2884.55</v>
      </c>
      <c r="E972" s="116">
        <v>2950.05</v>
      </c>
      <c r="F972" s="116">
        <v>2898.1</v>
      </c>
      <c r="G972">
        <v>7137</v>
      </c>
      <c r="H972" s="116"/>
      <c r="I972" s="116"/>
      <c r="L972" s="170">
        <v>44998</v>
      </c>
      <c r="M972" s="116">
        <v>2894.45</v>
      </c>
      <c r="N972" s="116">
        <v>2968.65</v>
      </c>
      <c r="O972" s="116">
        <v>2885.6</v>
      </c>
      <c r="P972" s="116">
        <v>2960</v>
      </c>
      <c r="Q972" s="116">
        <v>2894.45</v>
      </c>
      <c r="R972">
        <v>293866</v>
      </c>
    </row>
    <row r="973" spans="1:18" x14ac:dyDescent="0.25">
      <c r="A973" s="170">
        <v>44999</v>
      </c>
      <c r="B973" s="116">
        <v>2910.3</v>
      </c>
      <c r="C973" s="116">
        <v>2881.5</v>
      </c>
      <c r="D973" s="116">
        <v>2860.6</v>
      </c>
      <c r="E973" s="116">
        <v>2879.5</v>
      </c>
      <c r="F973" s="116">
        <v>2881.5</v>
      </c>
      <c r="G973">
        <v>14363</v>
      </c>
      <c r="H973" s="116"/>
      <c r="I973" s="116"/>
      <c r="L973" s="170">
        <v>44999</v>
      </c>
      <c r="M973" s="116">
        <v>2883.6</v>
      </c>
      <c r="N973" s="116">
        <v>2912.25</v>
      </c>
      <c r="O973" s="116">
        <v>2860.15</v>
      </c>
      <c r="P973" s="116">
        <v>2885</v>
      </c>
      <c r="Q973" s="116">
        <v>2883.6</v>
      </c>
      <c r="R973">
        <v>163628</v>
      </c>
    </row>
    <row r="974" spans="1:18" x14ac:dyDescent="0.25">
      <c r="A974" s="170">
        <v>45000</v>
      </c>
      <c r="B974" s="116">
        <v>2938.8</v>
      </c>
      <c r="C974" s="116">
        <v>2929</v>
      </c>
      <c r="D974" s="116">
        <v>2861</v>
      </c>
      <c r="E974" s="116">
        <v>2885.05</v>
      </c>
      <c r="F974" s="116">
        <v>2929</v>
      </c>
      <c r="G974">
        <v>189924</v>
      </c>
      <c r="H974" s="116"/>
      <c r="I974" s="116"/>
      <c r="L974" s="170">
        <v>45000</v>
      </c>
      <c r="M974" s="116">
        <v>2928.25</v>
      </c>
      <c r="N974" s="116">
        <v>2938</v>
      </c>
      <c r="O974" s="116">
        <v>2872.85</v>
      </c>
      <c r="P974" s="116">
        <v>2903.95</v>
      </c>
      <c r="Q974" s="116">
        <v>2928.25</v>
      </c>
      <c r="R974">
        <v>363303</v>
      </c>
    </row>
    <row r="975" spans="1:18" x14ac:dyDescent="0.25">
      <c r="A975" s="170">
        <v>45001</v>
      </c>
      <c r="B975" s="116">
        <v>2935</v>
      </c>
      <c r="C975" s="116">
        <v>2879.5</v>
      </c>
      <c r="D975" s="116">
        <v>2875</v>
      </c>
      <c r="E975" s="116">
        <v>2920.05</v>
      </c>
      <c r="F975" s="116">
        <v>2879.5</v>
      </c>
      <c r="G975">
        <v>20880</v>
      </c>
      <c r="H975" s="116"/>
      <c r="I975" s="116"/>
      <c r="L975" s="170">
        <v>45001</v>
      </c>
      <c r="M975" s="116">
        <v>2877.3</v>
      </c>
      <c r="N975" s="116">
        <v>2936.2</v>
      </c>
      <c r="O975" s="116">
        <v>2869</v>
      </c>
      <c r="P975" s="116">
        <v>2930</v>
      </c>
      <c r="Q975" s="116">
        <v>2877.3</v>
      </c>
      <c r="R975">
        <v>376887</v>
      </c>
    </row>
    <row r="976" spans="1:18" x14ac:dyDescent="0.25">
      <c r="A976" s="170">
        <v>45002</v>
      </c>
      <c r="B976" s="116">
        <v>2916.55</v>
      </c>
      <c r="C976" s="116">
        <v>2883.3</v>
      </c>
      <c r="D976" s="116">
        <v>2836</v>
      </c>
      <c r="E976" s="116">
        <v>2894.05</v>
      </c>
      <c r="F976" s="116">
        <v>2883.3</v>
      </c>
      <c r="G976">
        <v>11229</v>
      </c>
      <c r="H976" s="116"/>
      <c r="I976" s="116"/>
      <c r="L976" s="170">
        <v>45002</v>
      </c>
      <c r="M976" s="116">
        <v>2884.4</v>
      </c>
      <c r="N976" s="116">
        <v>2916.15</v>
      </c>
      <c r="O976" s="116">
        <v>2835</v>
      </c>
      <c r="P976" s="116">
        <v>2900</v>
      </c>
      <c r="Q976" s="116">
        <v>2884.4</v>
      </c>
      <c r="R976">
        <v>289717</v>
      </c>
    </row>
    <row r="977" spans="1:18" x14ac:dyDescent="0.25">
      <c r="A977" s="170">
        <v>45005</v>
      </c>
      <c r="B977" s="116">
        <v>2883.35</v>
      </c>
      <c r="C977" s="116">
        <v>2866.2</v>
      </c>
      <c r="D977" s="116">
        <v>2837.5</v>
      </c>
      <c r="E977" s="116">
        <v>2883.35</v>
      </c>
      <c r="F977" s="116">
        <v>2866.2</v>
      </c>
      <c r="G977">
        <v>3890</v>
      </c>
      <c r="H977" s="116"/>
      <c r="I977" s="116"/>
      <c r="L977" s="170">
        <v>45005</v>
      </c>
      <c r="M977" s="116">
        <v>2864.45</v>
      </c>
      <c r="N977" s="116">
        <v>2908.7</v>
      </c>
      <c r="O977" s="116">
        <v>2836</v>
      </c>
      <c r="P977" s="116">
        <v>2908.7</v>
      </c>
      <c r="Q977" s="116">
        <v>2864.45</v>
      </c>
      <c r="R977">
        <v>143701</v>
      </c>
    </row>
    <row r="978" spans="1:18" x14ac:dyDescent="0.25">
      <c r="A978" s="170">
        <v>45006</v>
      </c>
      <c r="B978" s="116">
        <v>2899</v>
      </c>
      <c r="C978" s="116">
        <v>2862.2</v>
      </c>
      <c r="D978" s="116">
        <v>2845.7</v>
      </c>
      <c r="E978" s="116">
        <v>2845.7</v>
      </c>
      <c r="F978" s="116">
        <v>2862.2</v>
      </c>
      <c r="G978">
        <v>27312</v>
      </c>
      <c r="H978" s="116"/>
      <c r="I978" s="116"/>
      <c r="L978" s="170">
        <v>45006</v>
      </c>
      <c r="M978" s="116">
        <v>2864</v>
      </c>
      <c r="N978" s="116">
        <v>2899</v>
      </c>
      <c r="O978" s="116">
        <v>2857.95</v>
      </c>
      <c r="P978" s="116">
        <v>2880.05</v>
      </c>
      <c r="Q978" s="116">
        <v>2864</v>
      </c>
      <c r="R978">
        <v>228098</v>
      </c>
    </row>
    <row r="979" spans="1:18" x14ac:dyDescent="0.25">
      <c r="A979" s="170">
        <v>45007</v>
      </c>
      <c r="B979" s="116">
        <v>2905</v>
      </c>
      <c r="C979" s="116">
        <v>2878.9</v>
      </c>
      <c r="D979" s="116">
        <v>2872.45</v>
      </c>
      <c r="E979" s="116">
        <v>2879.05</v>
      </c>
      <c r="F979" s="116">
        <v>2878.9</v>
      </c>
      <c r="G979">
        <v>5621</v>
      </c>
      <c r="H979" s="116"/>
      <c r="I979" s="116"/>
      <c r="L979" s="170">
        <v>45007</v>
      </c>
      <c r="M979" s="116">
        <v>2878.5</v>
      </c>
      <c r="N979" s="116">
        <v>2906.1</v>
      </c>
      <c r="O979" s="116">
        <v>2871</v>
      </c>
      <c r="P979" s="116">
        <v>2889.8</v>
      </c>
      <c r="Q979" s="116">
        <v>2878.5</v>
      </c>
      <c r="R979">
        <v>264831</v>
      </c>
    </row>
    <row r="980" spans="1:18" x14ac:dyDescent="0.25">
      <c r="A980" s="170">
        <v>45008</v>
      </c>
      <c r="B980" s="116">
        <v>2894.35</v>
      </c>
      <c r="C980" s="116">
        <v>2861.45</v>
      </c>
      <c r="D980" s="116">
        <v>2852</v>
      </c>
      <c r="E980" s="116">
        <v>2880</v>
      </c>
      <c r="F980" s="116">
        <v>2861.45</v>
      </c>
      <c r="G980">
        <v>6820</v>
      </c>
      <c r="H980" s="116"/>
      <c r="I980" s="116"/>
      <c r="L980" s="170">
        <v>45008</v>
      </c>
      <c r="M980" s="116">
        <v>2860.7</v>
      </c>
      <c r="N980" s="116">
        <v>2894.85</v>
      </c>
      <c r="O980" s="116">
        <v>2850</v>
      </c>
      <c r="P980" s="116">
        <v>2878.1</v>
      </c>
      <c r="Q980" s="116">
        <v>2860.7</v>
      </c>
      <c r="R980">
        <v>162906</v>
      </c>
    </row>
    <row r="981" spans="1:18" x14ac:dyDescent="0.25">
      <c r="A981" s="170">
        <v>45009</v>
      </c>
      <c r="B981" s="116">
        <v>2870.65</v>
      </c>
      <c r="C981" s="116">
        <v>2822.7</v>
      </c>
      <c r="D981" s="116">
        <v>2805</v>
      </c>
      <c r="E981" s="116">
        <v>2852.35</v>
      </c>
      <c r="F981" s="116">
        <v>2822.7</v>
      </c>
      <c r="G981">
        <v>7886</v>
      </c>
      <c r="H981" s="116"/>
      <c r="I981" s="116"/>
      <c r="L981" s="170">
        <v>45009</v>
      </c>
      <c r="M981" s="116">
        <v>2818.6</v>
      </c>
      <c r="N981" s="116">
        <v>2871.05</v>
      </c>
      <c r="O981" s="116">
        <v>2805</v>
      </c>
      <c r="P981" s="116">
        <v>2861.85</v>
      </c>
      <c r="Q981" s="116">
        <v>2818.6</v>
      </c>
      <c r="R981">
        <v>193270</v>
      </c>
    </row>
    <row r="982" spans="1:18" x14ac:dyDescent="0.25">
      <c r="A982" s="170">
        <v>45012</v>
      </c>
      <c r="B982" s="116">
        <v>2847.7</v>
      </c>
      <c r="C982" s="116">
        <v>2779.75</v>
      </c>
      <c r="D982" s="116">
        <v>2773</v>
      </c>
      <c r="E982" s="116">
        <v>2820.05</v>
      </c>
      <c r="F982" s="116">
        <v>2779.75</v>
      </c>
      <c r="G982">
        <v>12497</v>
      </c>
      <c r="H982" s="116"/>
      <c r="I982" s="116"/>
      <c r="L982" s="170">
        <v>45012</v>
      </c>
      <c r="M982" s="116">
        <v>2779.2</v>
      </c>
      <c r="N982" s="116">
        <v>2847.95</v>
      </c>
      <c r="O982" s="116">
        <v>2772.65</v>
      </c>
      <c r="P982" s="116">
        <v>2825</v>
      </c>
      <c r="Q982" s="116">
        <v>2779.2</v>
      </c>
      <c r="R982">
        <v>378284</v>
      </c>
    </row>
    <row r="983" spans="1:18" x14ac:dyDescent="0.25">
      <c r="A983" s="170">
        <v>45013</v>
      </c>
      <c r="B983" s="116">
        <v>2808</v>
      </c>
      <c r="C983" s="116">
        <v>2800.65</v>
      </c>
      <c r="D983" s="116">
        <v>2755</v>
      </c>
      <c r="E983" s="116">
        <v>2765.05</v>
      </c>
      <c r="F983" s="116">
        <v>2800.65</v>
      </c>
      <c r="G983">
        <v>10921</v>
      </c>
      <c r="H983" s="116"/>
      <c r="I983" s="116"/>
      <c r="L983" s="170">
        <v>45013</v>
      </c>
      <c r="M983" s="116">
        <v>2798.35</v>
      </c>
      <c r="N983" s="116">
        <v>2808</v>
      </c>
      <c r="O983" s="116">
        <v>2753.9</v>
      </c>
      <c r="P983" s="116">
        <v>2781.05</v>
      </c>
      <c r="Q983" s="116">
        <v>2798.35</v>
      </c>
      <c r="R983">
        <v>296813</v>
      </c>
    </row>
    <row r="984" spans="1:18" x14ac:dyDescent="0.25">
      <c r="A984" s="170">
        <v>45014</v>
      </c>
      <c r="B984" s="116">
        <v>2872.1</v>
      </c>
      <c r="C984" s="116">
        <v>2858.85</v>
      </c>
      <c r="D984" s="116">
        <v>2765.25</v>
      </c>
      <c r="E984" s="116">
        <v>2765.25</v>
      </c>
      <c r="F984" s="116">
        <v>2858.85</v>
      </c>
      <c r="G984">
        <v>13452</v>
      </c>
      <c r="H984" s="116"/>
      <c r="I984" s="116"/>
      <c r="L984" s="170">
        <v>45014</v>
      </c>
      <c r="M984" s="116">
        <v>2856.45</v>
      </c>
      <c r="N984" s="116">
        <v>2874</v>
      </c>
      <c r="O984" s="116">
        <v>2783.45</v>
      </c>
      <c r="P984" s="116">
        <v>2785</v>
      </c>
      <c r="Q984" s="116">
        <v>2856.45</v>
      </c>
      <c r="R984">
        <v>245686</v>
      </c>
    </row>
    <row r="985" spans="1:18" x14ac:dyDescent="0.25">
      <c r="A985" s="170">
        <v>45016</v>
      </c>
      <c r="B985" s="116">
        <v>2911.5</v>
      </c>
      <c r="C985" s="116">
        <v>2878.5</v>
      </c>
      <c r="D985" s="116">
        <v>2850</v>
      </c>
      <c r="E985" s="116">
        <v>2850</v>
      </c>
      <c r="F985" s="116">
        <v>2878.5</v>
      </c>
      <c r="G985">
        <v>19187</v>
      </c>
      <c r="H985" s="116"/>
      <c r="I985" s="116"/>
      <c r="L985" s="170">
        <v>45016</v>
      </c>
      <c r="M985" s="116">
        <v>2880.05</v>
      </c>
      <c r="N985" s="116">
        <v>2911.85</v>
      </c>
      <c r="O985" s="116">
        <v>2841.05</v>
      </c>
      <c r="P985" s="116">
        <v>2856.75</v>
      </c>
      <c r="Q985" s="116">
        <v>2880.05</v>
      </c>
      <c r="R985">
        <v>203707</v>
      </c>
    </row>
    <row r="986" spans="1:18" x14ac:dyDescent="0.25">
      <c r="A986" s="170">
        <v>45019</v>
      </c>
      <c r="B986" s="116">
        <v>2965.5</v>
      </c>
      <c r="C986" s="116">
        <v>2959.9</v>
      </c>
      <c r="D986" s="116">
        <v>2880.1</v>
      </c>
      <c r="E986" s="116">
        <v>2880.1</v>
      </c>
      <c r="F986" s="116">
        <v>2959.9</v>
      </c>
      <c r="G986">
        <v>6648</v>
      </c>
      <c r="H986" s="116"/>
      <c r="I986" s="116"/>
      <c r="L986" s="170">
        <v>45019</v>
      </c>
      <c r="M986" s="116">
        <v>2960.2</v>
      </c>
      <c r="N986" s="116">
        <v>2965.65</v>
      </c>
      <c r="O986" s="116">
        <v>2900</v>
      </c>
      <c r="P986" s="116">
        <v>2903.4</v>
      </c>
      <c r="Q986" s="116">
        <v>2960.2</v>
      </c>
      <c r="R986">
        <v>303832</v>
      </c>
    </row>
    <row r="987" spans="1:18" x14ac:dyDescent="0.25">
      <c r="A987" s="170">
        <v>45021</v>
      </c>
      <c r="B987" s="116">
        <v>2967.5</v>
      </c>
      <c r="C987" s="116">
        <v>2936.35</v>
      </c>
      <c r="D987" s="116">
        <v>2918</v>
      </c>
      <c r="E987" s="116">
        <v>2955.05</v>
      </c>
      <c r="F987" s="116">
        <v>2936.35</v>
      </c>
      <c r="G987">
        <v>3735</v>
      </c>
      <c r="H987" s="116"/>
      <c r="I987" s="116"/>
      <c r="L987" s="170">
        <v>45021</v>
      </c>
      <c r="M987" s="116">
        <v>2937.85</v>
      </c>
      <c r="N987" s="116">
        <v>2969.95</v>
      </c>
      <c r="O987" s="116">
        <v>2917.45</v>
      </c>
      <c r="P987" s="116">
        <v>2969.95</v>
      </c>
      <c r="Q987" s="116">
        <v>2937.85</v>
      </c>
      <c r="R987">
        <v>190853</v>
      </c>
    </row>
    <row r="988" spans="1:18" x14ac:dyDescent="0.25">
      <c r="A988" s="170">
        <v>45022</v>
      </c>
      <c r="B988" s="116">
        <v>2980.75</v>
      </c>
      <c r="C988" s="116">
        <v>2920.35</v>
      </c>
      <c r="D988" s="116">
        <v>2903.95</v>
      </c>
      <c r="E988" s="116">
        <v>2980.75</v>
      </c>
      <c r="F988" s="116">
        <v>2920.35</v>
      </c>
      <c r="G988">
        <v>4933</v>
      </c>
      <c r="H988" s="116"/>
      <c r="I988" s="116"/>
      <c r="L988" s="170">
        <v>45022</v>
      </c>
      <c r="M988" s="116">
        <v>2919.25</v>
      </c>
      <c r="N988" s="116">
        <v>2953.3</v>
      </c>
      <c r="O988" s="116">
        <v>2905</v>
      </c>
      <c r="P988" s="116">
        <v>2937.5</v>
      </c>
      <c r="Q988" s="116">
        <v>2919.25</v>
      </c>
      <c r="R988">
        <v>193484</v>
      </c>
    </row>
    <row r="989" spans="1:18" x14ac:dyDescent="0.25">
      <c r="A989" s="170">
        <v>45026</v>
      </c>
      <c r="B989" s="116">
        <v>2980.65</v>
      </c>
      <c r="C989" s="116">
        <v>2975.35</v>
      </c>
      <c r="D989" s="116">
        <v>2890.05</v>
      </c>
      <c r="E989" s="116">
        <v>2890.05</v>
      </c>
      <c r="F989" s="116">
        <v>2975.35</v>
      </c>
      <c r="G989">
        <v>15310</v>
      </c>
      <c r="H989" s="116"/>
      <c r="I989" s="116"/>
      <c r="L989" s="170">
        <v>45026</v>
      </c>
      <c r="M989" s="116">
        <v>2975</v>
      </c>
      <c r="N989" s="116">
        <v>2984</v>
      </c>
      <c r="O989" s="116">
        <v>2905.8</v>
      </c>
      <c r="P989" s="116">
        <v>2909.1</v>
      </c>
      <c r="Q989" s="116">
        <v>2975</v>
      </c>
      <c r="R989">
        <v>352557</v>
      </c>
    </row>
    <row r="990" spans="1:18" x14ac:dyDescent="0.25">
      <c r="A990" s="170">
        <v>45027</v>
      </c>
      <c r="B990" s="116">
        <v>3054.3</v>
      </c>
      <c r="C990" s="116">
        <v>3047.1</v>
      </c>
      <c r="D990" s="116">
        <v>2980.05</v>
      </c>
      <c r="E990" s="116">
        <v>2980.05</v>
      </c>
      <c r="F990" s="116">
        <v>3047.1</v>
      </c>
      <c r="G990">
        <v>19794</v>
      </c>
      <c r="H990" s="116"/>
      <c r="I990" s="116"/>
      <c r="L990" s="170">
        <v>45027</v>
      </c>
      <c r="M990" s="116">
        <v>3045.5</v>
      </c>
      <c r="N990" s="116">
        <v>3055</v>
      </c>
      <c r="O990" s="116">
        <v>2985</v>
      </c>
      <c r="P990" s="116">
        <v>2990</v>
      </c>
      <c r="Q990" s="116">
        <v>3045.5</v>
      </c>
      <c r="R990">
        <v>475618</v>
      </c>
    </row>
    <row r="991" spans="1:18" x14ac:dyDescent="0.25">
      <c r="A991" s="170">
        <v>45028</v>
      </c>
      <c r="B991" s="116">
        <v>3063.2</v>
      </c>
      <c r="C991" s="116">
        <v>3050.75</v>
      </c>
      <c r="D991" s="116">
        <v>3018.6</v>
      </c>
      <c r="E991" s="116">
        <v>3047.1</v>
      </c>
      <c r="F991" s="116">
        <v>3050.75</v>
      </c>
      <c r="G991">
        <v>10351</v>
      </c>
      <c r="H991" s="116"/>
      <c r="I991" s="116"/>
      <c r="L991" s="170">
        <v>45028</v>
      </c>
      <c r="M991" s="116">
        <v>3051.05</v>
      </c>
      <c r="N991" s="116">
        <v>3064.65</v>
      </c>
      <c r="O991" s="116">
        <v>3016.1</v>
      </c>
      <c r="P991" s="116">
        <v>3035</v>
      </c>
      <c r="Q991" s="116">
        <v>3051.05</v>
      </c>
      <c r="R991">
        <v>192138</v>
      </c>
    </row>
    <row r="992" spans="1:18" x14ac:dyDescent="0.25">
      <c r="A992" s="170">
        <v>45029</v>
      </c>
      <c r="B992" s="116">
        <v>3097.6</v>
      </c>
      <c r="C992" s="116">
        <v>3083.75</v>
      </c>
      <c r="D992" s="116">
        <v>3043.6</v>
      </c>
      <c r="E992" s="116">
        <v>3050.7</v>
      </c>
      <c r="F992" s="116">
        <v>3083.75</v>
      </c>
      <c r="G992">
        <v>6710</v>
      </c>
      <c r="H992" s="116"/>
      <c r="I992" s="116"/>
      <c r="L992" s="170">
        <v>45029</v>
      </c>
      <c r="M992" s="116">
        <v>3084.25</v>
      </c>
      <c r="N992" s="116">
        <v>3098.5</v>
      </c>
      <c r="O992" s="116">
        <v>3042.35</v>
      </c>
      <c r="P992" s="116">
        <v>3043.85</v>
      </c>
      <c r="Q992" s="116">
        <v>3084.25</v>
      </c>
      <c r="R992">
        <v>250406</v>
      </c>
    </row>
    <row r="993" spans="1:18" x14ac:dyDescent="0.25">
      <c r="A993" s="170">
        <v>45033</v>
      </c>
      <c r="B993" s="116">
        <v>3129</v>
      </c>
      <c r="C993" s="116">
        <v>3099.45</v>
      </c>
      <c r="D993" s="116">
        <v>3050.2</v>
      </c>
      <c r="E993" s="116">
        <v>3050.2</v>
      </c>
      <c r="F993" s="116">
        <v>3099.45</v>
      </c>
      <c r="G993">
        <v>6828</v>
      </c>
      <c r="H993" s="116"/>
      <c r="I993" s="116"/>
      <c r="L993" s="170">
        <v>45033</v>
      </c>
      <c r="M993" s="116">
        <v>3097.8</v>
      </c>
      <c r="N993" s="116">
        <v>3128.9</v>
      </c>
      <c r="O993" s="116">
        <v>3060</v>
      </c>
      <c r="P993" s="116">
        <v>3064.95</v>
      </c>
      <c r="Q993" s="116">
        <v>3097.8</v>
      </c>
      <c r="R993">
        <v>383771</v>
      </c>
    </row>
    <row r="994" spans="1:18" x14ac:dyDescent="0.25">
      <c r="A994" s="170">
        <v>45034</v>
      </c>
      <c r="B994" s="116">
        <v>3113.95</v>
      </c>
      <c r="C994" s="116">
        <v>3095.85</v>
      </c>
      <c r="D994" s="116">
        <v>3080</v>
      </c>
      <c r="E994" s="116">
        <v>3096.05</v>
      </c>
      <c r="F994" s="116">
        <v>3095.85</v>
      </c>
      <c r="G994">
        <v>8754</v>
      </c>
      <c r="H994" s="116"/>
      <c r="I994" s="116"/>
      <c r="L994" s="170">
        <v>45034</v>
      </c>
      <c r="M994" s="116">
        <v>3095.75</v>
      </c>
      <c r="N994" s="116">
        <v>3114.6</v>
      </c>
      <c r="O994" s="116">
        <v>3080.3</v>
      </c>
      <c r="P994" s="116">
        <v>3106.1</v>
      </c>
      <c r="Q994" s="116">
        <v>3095.75</v>
      </c>
      <c r="R994">
        <v>165738</v>
      </c>
    </row>
    <row r="995" spans="1:18" x14ac:dyDescent="0.25">
      <c r="A995" s="170">
        <v>45035</v>
      </c>
      <c r="B995" s="116">
        <v>3160</v>
      </c>
      <c r="C995" s="116">
        <v>3139.15</v>
      </c>
      <c r="D995" s="116">
        <v>3076.05</v>
      </c>
      <c r="E995" s="116">
        <v>3076.05</v>
      </c>
      <c r="F995" s="116">
        <v>3139.15</v>
      </c>
      <c r="G995">
        <v>14403</v>
      </c>
      <c r="H995" s="116"/>
      <c r="I995" s="116"/>
      <c r="L995" s="170">
        <v>45035</v>
      </c>
      <c r="M995" s="116">
        <v>3138.85</v>
      </c>
      <c r="N995" s="116">
        <v>3159.9</v>
      </c>
      <c r="O995" s="116">
        <v>3083.15</v>
      </c>
      <c r="P995" s="116">
        <v>3095</v>
      </c>
      <c r="Q995" s="116">
        <v>3138.85</v>
      </c>
      <c r="R995">
        <v>290136</v>
      </c>
    </row>
    <row r="996" spans="1:18" x14ac:dyDescent="0.25">
      <c r="A996" s="170">
        <v>45036</v>
      </c>
      <c r="B996" s="116">
        <v>3158.3</v>
      </c>
      <c r="C996" s="116">
        <v>3129.85</v>
      </c>
      <c r="D996" s="116">
        <v>3120.05</v>
      </c>
      <c r="E996" s="116">
        <v>3148</v>
      </c>
      <c r="F996" s="116">
        <v>3129.85</v>
      </c>
      <c r="G996">
        <v>9040</v>
      </c>
      <c r="H996" s="116"/>
      <c r="I996" s="116"/>
      <c r="L996" s="170">
        <v>45036</v>
      </c>
      <c r="M996" s="116">
        <v>3129.2</v>
      </c>
      <c r="N996" s="116">
        <v>3157.5</v>
      </c>
      <c r="O996" s="116">
        <v>3120</v>
      </c>
      <c r="P996" s="116">
        <v>3149.9</v>
      </c>
      <c r="Q996" s="116">
        <v>3129.2</v>
      </c>
      <c r="R996">
        <v>201430</v>
      </c>
    </row>
    <row r="997" spans="1:18" x14ac:dyDescent="0.25">
      <c r="A997" s="170">
        <v>45037</v>
      </c>
      <c r="B997" s="116">
        <v>3160</v>
      </c>
      <c r="C997" s="116">
        <v>3112.8</v>
      </c>
      <c r="D997" s="116">
        <v>3090</v>
      </c>
      <c r="E997" s="116">
        <v>3160</v>
      </c>
      <c r="F997" s="116">
        <v>3112.8</v>
      </c>
      <c r="G997">
        <v>7167</v>
      </c>
      <c r="H997" s="116"/>
      <c r="I997" s="116"/>
      <c r="L997" s="170">
        <v>45037</v>
      </c>
      <c r="M997" s="116">
        <v>3111.65</v>
      </c>
      <c r="N997" s="116">
        <v>3139</v>
      </c>
      <c r="O997" s="116">
        <v>3090.1</v>
      </c>
      <c r="P997" s="116">
        <v>3139</v>
      </c>
      <c r="Q997" s="116">
        <v>3111.65</v>
      </c>
      <c r="R997">
        <v>139730</v>
      </c>
    </row>
    <row r="998" spans="1:18" x14ac:dyDescent="0.25">
      <c r="A998" s="170">
        <v>45040</v>
      </c>
      <c r="B998" s="116">
        <v>3146</v>
      </c>
      <c r="C998" s="116">
        <v>3141.8</v>
      </c>
      <c r="D998" s="116">
        <v>3109.35</v>
      </c>
      <c r="E998" s="116">
        <v>3113.5</v>
      </c>
      <c r="F998" s="116">
        <v>3141.8</v>
      </c>
      <c r="G998">
        <v>6956</v>
      </c>
      <c r="H998" s="116"/>
      <c r="I998" s="116"/>
      <c r="L998" s="170">
        <v>45040</v>
      </c>
      <c r="M998" s="116">
        <v>3142.45</v>
      </c>
      <c r="N998" s="116">
        <v>3146</v>
      </c>
      <c r="O998" s="116">
        <v>3110.1</v>
      </c>
      <c r="P998" s="116">
        <v>3126.95</v>
      </c>
      <c r="Q998" s="116">
        <v>3142.45</v>
      </c>
      <c r="R998">
        <v>120666</v>
      </c>
    </row>
    <row r="999" spans="1:18" x14ac:dyDescent="0.25">
      <c r="A999" s="170">
        <v>45041</v>
      </c>
      <c r="B999" s="116">
        <v>3181.45</v>
      </c>
      <c r="C999" s="116">
        <v>3151.2</v>
      </c>
      <c r="D999" s="116">
        <v>3122</v>
      </c>
      <c r="E999" s="116">
        <v>3154.9</v>
      </c>
      <c r="F999" s="116">
        <v>3151.2</v>
      </c>
      <c r="G999">
        <v>4716</v>
      </c>
      <c r="H999" s="116"/>
      <c r="I999" s="116"/>
      <c r="L999" s="170">
        <v>45041</v>
      </c>
      <c r="M999" s="116">
        <v>3151.7</v>
      </c>
      <c r="N999" s="116">
        <v>3183.8</v>
      </c>
      <c r="O999" s="116">
        <v>3120.05</v>
      </c>
      <c r="P999" s="116">
        <v>3148.1</v>
      </c>
      <c r="Q999" s="116">
        <v>3151.7</v>
      </c>
      <c r="R999">
        <v>272892</v>
      </c>
    </row>
    <row r="1000" spans="1:18" x14ac:dyDescent="0.25">
      <c r="A1000" s="170">
        <v>45042</v>
      </c>
      <c r="B1000" s="116">
        <v>3179</v>
      </c>
      <c r="C1000" s="116">
        <v>3176.95</v>
      </c>
      <c r="D1000" s="116">
        <v>3141.05</v>
      </c>
      <c r="E1000" s="116">
        <v>3141.05</v>
      </c>
      <c r="F1000" s="116">
        <v>3176.95</v>
      </c>
      <c r="G1000">
        <v>4449</v>
      </c>
      <c r="H1000" s="116"/>
      <c r="I1000" s="116"/>
      <c r="L1000" s="170">
        <v>45042</v>
      </c>
      <c r="M1000" s="116">
        <v>3177.8</v>
      </c>
      <c r="N1000" s="116">
        <v>3180</v>
      </c>
      <c r="O1000" s="116">
        <v>3145.1</v>
      </c>
      <c r="P1000" s="116">
        <v>3150</v>
      </c>
      <c r="Q1000" s="116">
        <v>3177.8</v>
      </c>
      <c r="R1000">
        <v>128534</v>
      </c>
    </row>
    <row r="1001" spans="1:18" x14ac:dyDescent="0.25">
      <c r="A1001" s="170">
        <v>45043</v>
      </c>
      <c r="B1001" s="116">
        <v>3200.75</v>
      </c>
      <c r="C1001" s="116">
        <v>3188.85</v>
      </c>
      <c r="D1001" s="116">
        <v>3171.45</v>
      </c>
      <c r="E1001" s="116">
        <v>3189.9</v>
      </c>
      <c r="F1001" s="116">
        <v>3188.85</v>
      </c>
      <c r="G1001">
        <v>6446</v>
      </c>
      <c r="H1001" s="116"/>
      <c r="I1001" s="116"/>
      <c r="L1001" s="170">
        <v>45043</v>
      </c>
      <c r="M1001" s="116">
        <v>3189</v>
      </c>
      <c r="N1001" s="116">
        <v>3200</v>
      </c>
      <c r="O1001" s="116">
        <v>3170</v>
      </c>
      <c r="P1001" s="116">
        <v>3185</v>
      </c>
      <c r="Q1001" s="116">
        <v>3189</v>
      </c>
      <c r="R1001">
        <v>163208</v>
      </c>
    </row>
    <row r="1002" spans="1:18" x14ac:dyDescent="0.25">
      <c r="A1002" s="170">
        <v>45044</v>
      </c>
      <c r="B1002" s="116">
        <v>3212.25</v>
      </c>
      <c r="C1002" s="116">
        <v>3205.35</v>
      </c>
      <c r="D1002" s="116">
        <v>3180.05</v>
      </c>
      <c r="E1002" s="116">
        <v>3180.05</v>
      </c>
      <c r="F1002" s="116">
        <v>3205.35</v>
      </c>
      <c r="G1002">
        <v>4069</v>
      </c>
      <c r="H1002" s="116"/>
      <c r="I1002" s="116"/>
      <c r="L1002" s="170">
        <v>45044</v>
      </c>
      <c r="M1002" s="116">
        <v>3205.35</v>
      </c>
      <c r="N1002" s="116">
        <v>3213</v>
      </c>
      <c r="O1002" s="116">
        <v>3184.1</v>
      </c>
      <c r="P1002" s="116">
        <v>3190</v>
      </c>
      <c r="Q1002" s="116">
        <v>3205.35</v>
      </c>
      <c r="R1002">
        <v>192921</v>
      </c>
    </row>
    <row r="1003" spans="1:18" x14ac:dyDescent="0.25">
      <c r="A1003" s="170">
        <v>45048</v>
      </c>
      <c r="B1003" s="116">
        <v>3258</v>
      </c>
      <c r="C1003" s="116">
        <v>3249.05</v>
      </c>
      <c r="D1003" s="116">
        <v>3205.35</v>
      </c>
      <c r="E1003" s="116">
        <v>3205.35</v>
      </c>
      <c r="F1003" s="116">
        <v>3249.05</v>
      </c>
      <c r="G1003">
        <v>9837</v>
      </c>
      <c r="H1003" s="116"/>
      <c r="I1003" s="116"/>
      <c r="L1003" s="170">
        <v>45048</v>
      </c>
      <c r="M1003" s="116">
        <v>3249.95</v>
      </c>
      <c r="N1003" s="116">
        <v>3259</v>
      </c>
      <c r="O1003" s="116">
        <v>3205.5</v>
      </c>
      <c r="P1003" s="116">
        <v>3209</v>
      </c>
      <c r="Q1003" s="116">
        <v>3249.95</v>
      </c>
      <c r="R1003">
        <v>195103</v>
      </c>
    </row>
    <row r="1004" spans="1:18" x14ac:dyDescent="0.25">
      <c r="A1004" s="170">
        <v>45049</v>
      </c>
      <c r="B1004" s="116">
        <v>3318.1</v>
      </c>
      <c r="C1004" s="116">
        <v>3290.75</v>
      </c>
      <c r="D1004" s="116">
        <v>3232.35</v>
      </c>
      <c r="E1004" s="116">
        <v>3249.95</v>
      </c>
      <c r="F1004" s="116">
        <v>3290.75</v>
      </c>
      <c r="G1004">
        <v>8953</v>
      </c>
      <c r="H1004" s="116"/>
      <c r="I1004" s="116"/>
      <c r="L1004" s="170">
        <v>45049</v>
      </c>
      <c r="M1004" s="116">
        <v>3291.65</v>
      </c>
      <c r="N1004" s="116">
        <v>3317</v>
      </c>
      <c r="O1004" s="116">
        <v>3233.05</v>
      </c>
      <c r="P1004" s="116">
        <v>3249</v>
      </c>
      <c r="Q1004" s="116">
        <v>3291.65</v>
      </c>
      <c r="R1004">
        <v>331116</v>
      </c>
    </row>
    <row r="1005" spans="1:18" x14ac:dyDescent="0.25">
      <c r="A1005" s="170">
        <v>45050</v>
      </c>
      <c r="B1005" s="116">
        <v>3290.5</v>
      </c>
      <c r="C1005" s="116">
        <v>3269.4</v>
      </c>
      <c r="D1005" s="116">
        <v>3253.3</v>
      </c>
      <c r="E1005" s="116">
        <v>3280.1</v>
      </c>
      <c r="F1005" s="116">
        <v>3269.4</v>
      </c>
      <c r="G1005">
        <v>2853</v>
      </c>
      <c r="H1005" s="116"/>
      <c r="I1005" s="116"/>
      <c r="L1005" s="170">
        <v>45050</v>
      </c>
      <c r="M1005" s="116">
        <v>3269.05</v>
      </c>
      <c r="N1005" s="116">
        <v>3295.95</v>
      </c>
      <c r="O1005" s="116">
        <v>3253.6</v>
      </c>
      <c r="P1005" s="116">
        <v>3287</v>
      </c>
      <c r="Q1005" s="116">
        <v>3269.05</v>
      </c>
      <c r="R1005">
        <v>138245</v>
      </c>
    </row>
    <row r="1006" spans="1:18" x14ac:dyDescent="0.25">
      <c r="A1006" s="170">
        <v>45051</v>
      </c>
      <c r="B1006" s="116">
        <v>3335</v>
      </c>
      <c r="C1006" s="116">
        <v>3317.35</v>
      </c>
      <c r="D1006" s="116">
        <v>3246.8</v>
      </c>
      <c r="E1006" s="116">
        <v>3255.1</v>
      </c>
      <c r="F1006" s="116">
        <v>3317.35</v>
      </c>
      <c r="G1006">
        <v>11858</v>
      </c>
      <c r="H1006" s="116"/>
      <c r="I1006" s="116"/>
      <c r="L1006" s="170">
        <v>45051</v>
      </c>
      <c r="M1006" s="116">
        <v>3314.75</v>
      </c>
      <c r="N1006" s="116">
        <v>3335.55</v>
      </c>
      <c r="O1006" s="116">
        <v>3249.05</v>
      </c>
      <c r="P1006" s="116">
        <v>3269</v>
      </c>
      <c r="Q1006" s="116">
        <v>3314.75</v>
      </c>
      <c r="R1006">
        <v>210596</v>
      </c>
    </row>
    <row r="1007" spans="1:18" x14ac:dyDescent="0.25">
      <c r="A1007" s="170">
        <v>45054</v>
      </c>
      <c r="B1007" s="116">
        <v>3359</v>
      </c>
      <c r="C1007" s="116">
        <v>3263.65</v>
      </c>
      <c r="D1007" s="116">
        <v>3255</v>
      </c>
      <c r="E1007" s="116">
        <v>3330</v>
      </c>
      <c r="F1007" s="116">
        <v>3263.65</v>
      </c>
      <c r="G1007">
        <v>13276</v>
      </c>
      <c r="H1007" s="116"/>
      <c r="I1007" s="116"/>
      <c r="L1007" s="170">
        <v>45054</v>
      </c>
      <c r="M1007" s="116">
        <v>3262.9</v>
      </c>
      <c r="N1007" s="116">
        <v>3358</v>
      </c>
      <c r="O1007" s="116">
        <v>3256.1</v>
      </c>
      <c r="P1007" s="116">
        <v>3337.5</v>
      </c>
      <c r="Q1007" s="116">
        <v>3262.9</v>
      </c>
      <c r="R1007">
        <v>307218</v>
      </c>
    </row>
    <row r="1008" spans="1:18" x14ac:dyDescent="0.25">
      <c r="A1008" s="170">
        <v>45055</v>
      </c>
      <c r="B1008" s="116">
        <v>3258.45</v>
      </c>
      <c r="C1008" s="116">
        <v>3224.3</v>
      </c>
      <c r="D1008" s="116">
        <v>3208.6</v>
      </c>
      <c r="E1008" s="116">
        <v>3238.65</v>
      </c>
      <c r="F1008" s="116">
        <v>3224.3</v>
      </c>
      <c r="G1008">
        <v>16804</v>
      </c>
      <c r="H1008" s="116"/>
      <c r="I1008" s="116"/>
      <c r="L1008" s="170">
        <v>45055</v>
      </c>
      <c r="M1008" s="116">
        <v>3222</v>
      </c>
      <c r="N1008" s="116">
        <v>3263</v>
      </c>
      <c r="O1008" s="116">
        <v>3207</v>
      </c>
      <c r="P1008" s="116">
        <v>3263</v>
      </c>
      <c r="Q1008" s="116">
        <v>3222</v>
      </c>
      <c r="R1008">
        <v>292954</v>
      </c>
    </row>
    <row r="1009" spans="1:18" x14ac:dyDescent="0.25">
      <c r="A1009" s="170">
        <v>45056</v>
      </c>
      <c r="B1009" s="116">
        <v>3248</v>
      </c>
      <c r="C1009" s="116">
        <v>3209.3</v>
      </c>
      <c r="D1009" s="116">
        <v>3171.4</v>
      </c>
      <c r="E1009" s="116">
        <v>3225</v>
      </c>
      <c r="F1009" s="116">
        <v>3209.3</v>
      </c>
      <c r="G1009">
        <v>12491</v>
      </c>
      <c r="H1009" s="116"/>
      <c r="I1009" s="116"/>
      <c r="L1009" s="170">
        <v>45056</v>
      </c>
      <c r="M1009" s="116">
        <v>3209.25</v>
      </c>
      <c r="N1009" s="116">
        <v>3248.95</v>
      </c>
      <c r="O1009" s="116">
        <v>3172.15</v>
      </c>
      <c r="P1009" s="116">
        <v>3225</v>
      </c>
      <c r="Q1009" s="116">
        <v>3209.25</v>
      </c>
      <c r="R1009">
        <v>182938</v>
      </c>
    </row>
    <row r="1010" spans="1:18" x14ac:dyDescent="0.25">
      <c r="A1010" s="170">
        <v>45057</v>
      </c>
      <c r="B1010" s="116">
        <v>3287.25</v>
      </c>
      <c r="C1010" s="116">
        <v>3234.1</v>
      </c>
      <c r="D1010" s="116">
        <v>3200.05</v>
      </c>
      <c r="E1010" s="116">
        <v>3200.05</v>
      </c>
      <c r="F1010" s="116">
        <v>3234.1</v>
      </c>
      <c r="G1010">
        <v>17274</v>
      </c>
      <c r="H1010" s="116"/>
      <c r="I1010" s="116"/>
      <c r="L1010" s="170">
        <v>45057</v>
      </c>
      <c r="M1010" s="116">
        <v>3235.25</v>
      </c>
      <c r="N1010" s="116">
        <v>3288.85</v>
      </c>
      <c r="O1010" s="116">
        <v>3202.3</v>
      </c>
      <c r="P1010" s="116">
        <v>3209.25</v>
      </c>
      <c r="Q1010" s="116">
        <v>3235.25</v>
      </c>
      <c r="R1010">
        <v>528871</v>
      </c>
    </row>
    <row r="1011" spans="1:18" x14ac:dyDescent="0.25">
      <c r="A1011" s="170">
        <v>45058</v>
      </c>
      <c r="B1011" s="116">
        <v>3399</v>
      </c>
      <c r="C1011" s="116">
        <v>3388.55</v>
      </c>
      <c r="D1011" s="116">
        <v>3239.2</v>
      </c>
      <c r="E1011" s="116">
        <v>3260.95</v>
      </c>
      <c r="F1011" s="116">
        <v>3388.55</v>
      </c>
      <c r="G1011">
        <v>33038</v>
      </c>
      <c r="H1011" s="116"/>
      <c r="I1011" s="116"/>
      <c r="L1011" s="170">
        <v>45058</v>
      </c>
      <c r="M1011" s="116">
        <v>3388.95</v>
      </c>
      <c r="N1011" s="116">
        <v>3400</v>
      </c>
      <c r="O1011" s="116">
        <v>3235.45</v>
      </c>
      <c r="P1011" s="116">
        <v>3252.2</v>
      </c>
      <c r="Q1011" s="116">
        <v>3388.95</v>
      </c>
      <c r="R1011">
        <v>1549977</v>
      </c>
    </row>
    <row r="1012" spans="1:18" x14ac:dyDescent="0.25">
      <c r="A1012" s="170">
        <v>45061</v>
      </c>
      <c r="B1012" s="116">
        <v>3422.85</v>
      </c>
      <c r="C1012" s="116">
        <v>3378.6</v>
      </c>
      <c r="D1012" s="116">
        <v>3298.8</v>
      </c>
      <c r="E1012" s="116">
        <v>3422.85</v>
      </c>
      <c r="F1012" s="116">
        <v>3378.6</v>
      </c>
      <c r="G1012">
        <v>21087</v>
      </c>
      <c r="H1012" s="116"/>
      <c r="I1012" s="116"/>
      <c r="L1012" s="170">
        <v>45061</v>
      </c>
      <c r="M1012" s="116">
        <v>3381.2</v>
      </c>
      <c r="N1012" s="116">
        <v>3400</v>
      </c>
      <c r="O1012" s="116">
        <v>3295.35</v>
      </c>
      <c r="P1012" s="116">
        <v>3400</v>
      </c>
      <c r="Q1012" s="116">
        <v>3381.2</v>
      </c>
      <c r="R1012">
        <v>799715</v>
      </c>
    </row>
    <row r="1013" spans="1:18" x14ac:dyDescent="0.25">
      <c r="A1013" s="170">
        <v>45062</v>
      </c>
      <c r="B1013" s="116">
        <v>3436.4</v>
      </c>
      <c r="C1013" s="116">
        <v>3426.55</v>
      </c>
      <c r="D1013" s="116">
        <v>3340.05</v>
      </c>
      <c r="E1013" s="116">
        <v>3350.05</v>
      </c>
      <c r="F1013" s="116">
        <v>3426.55</v>
      </c>
      <c r="G1013">
        <v>11766</v>
      </c>
      <c r="H1013" s="116"/>
      <c r="I1013" s="116"/>
      <c r="L1013" s="170">
        <v>45062</v>
      </c>
      <c r="M1013" s="116">
        <v>3426.3</v>
      </c>
      <c r="N1013" s="116">
        <v>3436</v>
      </c>
      <c r="O1013" s="116">
        <v>3336.1</v>
      </c>
      <c r="P1013" s="116">
        <v>3379.95</v>
      </c>
      <c r="Q1013" s="116">
        <v>3426.3</v>
      </c>
      <c r="R1013">
        <v>460036</v>
      </c>
    </row>
    <row r="1014" spans="1:18" x14ac:dyDescent="0.25">
      <c r="A1014" s="170">
        <v>45063</v>
      </c>
      <c r="B1014" s="116">
        <v>3489.75</v>
      </c>
      <c r="C1014" s="116">
        <v>3438.35</v>
      </c>
      <c r="D1014" s="116">
        <v>3411.45</v>
      </c>
      <c r="E1014" s="116">
        <v>3420.05</v>
      </c>
      <c r="F1014" s="116">
        <v>3438.35</v>
      </c>
      <c r="G1014">
        <v>18981</v>
      </c>
      <c r="H1014" s="116"/>
      <c r="I1014" s="116"/>
      <c r="L1014" s="170">
        <v>45063</v>
      </c>
      <c r="M1014" s="116">
        <v>3437.7</v>
      </c>
      <c r="N1014" s="116">
        <v>3489.7</v>
      </c>
      <c r="O1014" s="116">
        <v>3410.1</v>
      </c>
      <c r="P1014" s="116">
        <v>3427.75</v>
      </c>
      <c r="Q1014" s="116">
        <v>3437.7</v>
      </c>
      <c r="R1014">
        <v>429840</v>
      </c>
    </row>
    <row r="1015" spans="1:18" x14ac:dyDescent="0.25">
      <c r="A1015" s="170">
        <v>45064</v>
      </c>
      <c r="B1015" s="116">
        <v>3465</v>
      </c>
      <c r="C1015" s="116">
        <v>3405.2</v>
      </c>
      <c r="D1015" s="116">
        <v>3400</v>
      </c>
      <c r="E1015" s="116">
        <v>3445.05</v>
      </c>
      <c r="F1015" s="116">
        <v>3405.2</v>
      </c>
      <c r="G1015">
        <v>12190</v>
      </c>
      <c r="H1015" s="116"/>
      <c r="I1015" s="116"/>
      <c r="L1015" s="170">
        <v>45064</v>
      </c>
      <c r="M1015" s="116">
        <v>3405.4</v>
      </c>
      <c r="N1015" s="116">
        <v>3468.5</v>
      </c>
      <c r="O1015" s="116">
        <v>3400</v>
      </c>
      <c r="P1015" s="116">
        <v>3454.65</v>
      </c>
      <c r="Q1015" s="116">
        <v>3405.4</v>
      </c>
      <c r="R1015">
        <v>168884</v>
      </c>
    </row>
    <row r="1016" spans="1:18" x14ac:dyDescent="0.25">
      <c r="A1016" s="170">
        <v>45065</v>
      </c>
      <c r="B1016" s="116">
        <v>3446.4</v>
      </c>
      <c r="C1016" s="116">
        <v>3441.15</v>
      </c>
      <c r="D1016" s="116">
        <v>3395.7</v>
      </c>
      <c r="E1016" s="116">
        <v>3400.05</v>
      </c>
      <c r="F1016" s="116">
        <v>3441.15</v>
      </c>
      <c r="G1016">
        <v>5503</v>
      </c>
      <c r="H1016" s="116"/>
      <c r="I1016" s="116"/>
      <c r="L1016" s="170">
        <v>45065</v>
      </c>
      <c r="M1016" s="116">
        <v>3441</v>
      </c>
      <c r="N1016" s="116">
        <v>3448</v>
      </c>
      <c r="O1016" s="116">
        <v>3391.05</v>
      </c>
      <c r="P1016" s="116">
        <v>3415</v>
      </c>
      <c r="Q1016" s="116">
        <v>3441</v>
      </c>
      <c r="R1016">
        <v>204182</v>
      </c>
    </row>
    <row r="1017" spans="1:18" x14ac:dyDescent="0.25">
      <c r="A1017" s="170">
        <v>45068</v>
      </c>
      <c r="B1017" s="116">
        <v>3449.95</v>
      </c>
      <c r="C1017" s="116">
        <v>3430.95</v>
      </c>
      <c r="D1017" s="116">
        <v>3412.1</v>
      </c>
      <c r="E1017" s="116">
        <v>3430.8</v>
      </c>
      <c r="F1017" s="116">
        <v>3430.95</v>
      </c>
      <c r="G1017">
        <v>6731</v>
      </c>
      <c r="H1017" s="116"/>
      <c r="I1017" s="116"/>
      <c r="L1017" s="170">
        <v>45068</v>
      </c>
      <c r="M1017" s="116">
        <v>3431.35</v>
      </c>
      <c r="N1017" s="116">
        <v>3454.5</v>
      </c>
      <c r="O1017" s="116">
        <v>3412.05</v>
      </c>
      <c r="P1017" s="116">
        <v>3454.5</v>
      </c>
      <c r="Q1017" s="116">
        <v>3431.35</v>
      </c>
      <c r="R1017">
        <v>91735</v>
      </c>
    </row>
    <row r="1018" spans="1:18" x14ac:dyDescent="0.25">
      <c r="A1018" s="170">
        <v>45069</v>
      </c>
      <c r="B1018" s="116">
        <v>3449.95</v>
      </c>
      <c r="C1018" s="116">
        <v>3374.8</v>
      </c>
      <c r="D1018" s="116">
        <v>3364.8</v>
      </c>
      <c r="E1018" s="116">
        <v>3449.95</v>
      </c>
      <c r="F1018" s="116">
        <v>3374.8</v>
      </c>
      <c r="G1018">
        <v>6872</v>
      </c>
      <c r="H1018" s="116"/>
      <c r="I1018" s="116"/>
      <c r="L1018" s="170">
        <v>45069</v>
      </c>
      <c r="M1018" s="116">
        <v>3374.95</v>
      </c>
      <c r="N1018" s="116">
        <v>3443.8</v>
      </c>
      <c r="O1018" s="116">
        <v>3365</v>
      </c>
      <c r="P1018" s="116">
        <v>3426.9</v>
      </c>
      <c r="Q1018" s="116">
        <v>3374.95</v>
      </c>
      <c r="R1018">
        <v>241794</v>
      </c>
    </row>
    <row r="1019" spans="1:18" x14ac:dyDescent="0.25">
      <c r="A1019" s="170">
        <v>45070</v>
      </c>
      <c r="B1019" s="116">
        <v>3415.05</v>
      </c>
      <c r="C1019" s="116">
        <v>3401.6</v>
      </c>
      <c r="D1019" s="116">
        <v>3364.8</v>
      </c>
      <c r="E1019" s="116">
        <v>3394.1</v>
      </c>
      <c r="F1019" s="116">
        <v>3401.6</v>
      </c>
      <c r="G1019">
        <v>5039</v>
      </c>
      <c r="H1019" s="116"/>
      <c r="I1019" s="116"/>
      <c r="L1019" s="170">
        <v>45070</v>
      </c>
      <c r="M1019" s="116">
        <v>3402.55</v>
      </c>
      <c r="N1019" s="116">
        <v>3415</v>
      </c>
      <c r="O1019" s="116">
        <v>3360.2</v>
      </c>
      <c r="P1019" s="116">
        <v>3370</v>
      </c>
      <c r="Q1019" s="116">
        <v>3402.55</v>
      </c>
      <c r="R1019">
        <v>180173</v>
      </c>
    </row>
    <row r="1020" spans="1:18" x14ac:dyDescent="0.25">
      <c r="A1020" s="170">
        <v>45071</v>
      </c>
      <c r="B1020" s="116">
        <v>3430</v>
      </c>
      <c r="C1020" s="116">
        <v>3413.65</v>
      </c>
      <c r="D1020" s="116">
        <v>3389.7</v>
      </c>
      <c r="E1020" s="116">
        <v>3389.7</v>
      </c>
      <c r="F1020" s="116">
        <v>3413.65</v>
      </c>
      <c r="G1020">
        <v>4935</v>
      </c>
      <c r="H1020" s="116"/>
      <c r="I1020" s="116"/>
      <c r="L1020" s="170">
        <v>45071</v>
      </c>
      <c r="M1020" s="116">
        <v>3413.7</v>
      </c>
      <c r="N1020" s="116">
        <v>3430</v>
      </c>
      <c r="O1020" s="116">
        <v>3392.35</v>
      </c>
      <c r="P1020" s="116">
        <v>3400</v>
      </c>
      <c r="Q1020" s="116">
        <v>3413.7</v>
      </c>
      <c r="R1020">
        <v>177428</v>
      </c>
    </row>
    <row r="1021" spans="1:18" x14ac:dyDescent="0.25">
      <c r="A1021" s="170">
        <v>45072</v>
      </c>
      <c r="B1021" s="116">
        <v>3445</v>
      </c>
      <c r="C1021" s="116">
        <v>3409.7</v>
      </c>
      <c r="D1021" s="116">
        <v>3399</v>
      </c>
      <c r="E1021" s="116">
        <v>3415.2</v>
      </c>
      <c r="F1021" s="116">
        <v>3409.7</v>
      </c>
      <c r="G1021">
        <v>3929</v>
      </c>
      <c r="H1021" s="116"/>
      <c r="I1021" s="116"/>
      <c r="L1021" s="170">
        <v>45072</v>
      </c>
      <c r="M1021" s="116">
        <v>3408.65</v>
      </c>
      <c r="N1021" s="116">
        <v>3447</v>
      </c>
      <c r="O1021" s="116">
        <v>3396.6</v>
      </c>
      <c r="P1021" s="116">
        <v>3425</v>
      </c>
      <c r="Q1021" s="116">
        <v>3408.65</v>
      </c>
      <c r="R1021">
        <v>140093</v>
      </c>
    </row>
    <row r="1022" spans="1:18" x14ac:dyDescent="0.25">
      <c r="A1022" s="170">
        <v>45075</v>
      </c>
      <c r="B1022" s="116">
        <v>3439.75</v>
      </c>
      <c r="C1022" s="116">
        <v>3410.3</v>
      </c>
      <c r="D1022" s="116">
        <v>3394.45</v>
      </c>
      <c r="E1022" s="116">
        <v>3410.05</v>
      </c>
      <c r="F1022" s="116">
        <v>3410.3</v>
      </c>
      <c r="G1022">
        <v>7178</v>
      </c>
      <c r="H1022" s="116"/>
      <c r="I1022" s="116"/>
      <c r="L1022" s="170">
        <v>45075</v>
      </c>
      <c r="M1022" s="116">
        <v>3412.3</v>
      </c>
      <c r="N1022" s="116">
        <v>3439.15</v>
      </c>
      <c r="O1022" s="116">
        <v>3394.45</v>
      </c>
      <c r="P1022" s="116">
        <v>3428.85</v>
      </c>
      <c r="Q1022" s="116">
        <v>3412.3</v>
      </c>
      <c r="R1022">
        <v>84643</v>
      </c>
    </row>
    <row r="1023" spans="1:18" x14ac:dyDescent="0.25">
      <c r="A1023" s="170">
        <v>45076</v>
      </c>
      <c r="B1023" s="116">
        <v>3492.95</v>
      </c>
      <c r="C1023" s="116">
        <v>3484.1</v>
      </c>
      <c r="D1023" s="116">
        <v>3378</v>
      </c>
      <c r="E1023" s="116">
        <v>3410.3</v>
      </c>
      <c r="F1023" s="116">
        <v>3484.1</v>
      </c>
      <c r="G1023">
        <v>7636</v>
      </c>
      <c r="H1023" s="116"/>
      <c r="I1023" s="116"/>
      <c r="L1023" s="170">
        <v>45076</v>
      </c>
      <c r="M1023" s="116">
        <v>3482.7</v>
      </c>
      <c r="N1023" s="116">
        <v>3495</v>
      </c>
      <c r="O1023" s="116">
        <v>3379.5</v>
      </c>
      <c r="P1023" s="116">
        <v>3412</v>
      </c>
      <c r="Q1023" s="116">
        <v>3482.7</v>
      </c>
      <c r="R1023">
        <v>340548</v>
      </c>
    </row>
    <row r="1024" spans="1:18" x14ac:dyDescent="0.25">
      <c r="A1024" s="170">
        <v>45077</v>
      </c>
      <c r="B1024" s="116">
        <v>3515.85</v>
      </c>
      <c r="C1024" s="116">
        <v>3434.6</v>
      </c>
      <c r="D1024" s="116">
        <v>3380</v>
      </c>
      <c r="E1024" s="116">
        <v>3494.95</v>
      </c>
      <c r="F1024" s="116">
        <v>3434.6</v>
      </c>
      <c r="G1024">
        <v>34037</v>
      </c>
      <c r="H1024" s="116"/>
      <c r="I1024" s="116"/>
      <c r="L1024" s="170">
        <v>45077</v>
      </c>
      <c r="M1024" s="116">
        <v>3423.5</v>
      </c>
      <c r="N1024" s="116">
        <v>3516</v>
      </c>
      <c r="O1024" s="116">
        <v>3379.05</v>
      </c>
      <c r="P1024" s="116">
        <v>3482.75</v>
      </c>
      <c r="Q1024" s="116">
        <v>3423.5</v>
      </c>
      <c r="R1024">
        <v>1802492</v>
      </c>
    </row>
    <row r="1025" spans="1:18" x14ac:dyDescent="0.25">
      <c r="A1025" s="170">
        <v>45078</v>
      </c>
      <c r="B1025" s="116">
        <v>3488.95</v>
      </c>
      <c r="C1025" s="116">
        <v>3483.75</v>
      </c>
      <c r="D1025" s="116">
        <v>3411.55</v>
      </c>
      <c r="E1025" s="116">
        <v>3435</v>
      </c>
      <c r="F1025" s="116">
        <v>3483.75</v>
      </c>
      <c r="G1025">
        <v>15430</v>
      </c>
      <c r="H1025" s="116"/>
      <c r="I1025" s="116"/>
      <c r="L1025" s="170">
        <v>45078</v>
      </c>
      <c r="M1025" s="116">
        <v>3482.4</v>
      </c>
      <c r="N1025" s="116">
        <v>3488.95</v>
      </c>
      <c r="O1025" s="116">
        <v>3409</v>
      </c>
      <c r="P1025" s="116">
        <v>3450</v>
      </c>
      <c r="Q1025" s="116">
        <v>3482.4</v>
      </c>
      <c r="R1025">
        <v>346059</v>
      </c>
    </row>
    <row r="1026" spans="1:18" x14ac:dyDescent="0.25">
      <c r="A1026" s="170">
        <v>45079</v>
      </c>
      <c r="B1026" s="116">
        <v>3562.6</v>
      </c>
      <c r="C1026" s="116">
        <v>3553.75</v>
      </c>
      <c r="D1026" s="116">
        <v>3487.8</v>
      </c>
      <c r="E1026" s="116">
        <v>3500</v>
      </c>
      <c r="F1026" s="116">
        <v>3553.75</v>
      </c>
      <c r="G1026">
        <v>25878</v>
      </c>
      <c r="H1026" s="116"/>
      <c r="I1026" s="116"/>
      <c r="L1026" s="170">
        <v>45079</v>
      </c>
      <c r="M1026" s="116">
        <v>3551.75</v>
      </c>
      <c r="N1026" s="116">
        <v>3563.95</v>
      </c>
      <c r="O1026" s="116">
        <v>3487.3</v>
      </c>
      <c r="P1026" s="116">
        <v>3499.95</v>
      </c>
      <c r="Q1026" s="116">
        <v>3551.75</v>
      </c>
      <c r="R1026">
        <v>428950</v>
      </c>
    </row>
    <row r="1027" spans="1:18" x14ac:dyDescent="0.25">
      <c r="A1027" s="170">
        <v>45082</v>
      </c>
      <c r="B1027" s="116">
        <v>3618.2</v>
      </c>
      <c r="C1027" s="116">
        <v>3593.75</v>
      </c>
      <c r="D1027" s="116">
        <v>3558.95</v>
      </c>
      <c r="E1027" s="116">
        <v>3590.95</v>
      </c>
      <c r="F1027" s="116">
        <v>3593.75</v>
      </c>
      <c r="G1027">
        <v>20074</v>
      </c>
      <c r="H1027" s="116"/>
      <c r="I1027" s="116"/>
      <c r="L1027" s="170">
        <v>45082</v>
      </c>
      <c r="M1027" s="116">
        <v>3594.7</v>
      </c>
      <c r="N1027" s="116">
        <v>3618</v>
      </c>
      <c r="O1027" s="116">
        <v>3558</v>
      </c>
      <c r="P1027" s="116">
        <v>3582.95</v>
      </c>
      <c r="Q1027" s="116">
        <v>3594.7</v>
      </c>
      <c r="R1027">
        <v>389947</v>
      </c>
    </row>
    <row r="1028" spans="1:18" x14ac:dyDescent="0.25">
      <c r="A1028" s="170">
        <v>45083</v>
      </c>
      <c r="B1028" s="116">
        <v>3599.95</v>
      </c>
      <c r="C1028" s="116">
        <v>3594.15</v>
      </c>
      <c r="D1028" s="116">
        <v>3545</v>
      </c>
      <c r="E1028" s="116">
        <v>3593.75</v>
      </c>
      <c r="F1028" s="116">
        <v>3594.15</v>
      </c>
      <c r="G1028">
        <v>9104</v>
      </c>
      <c r="H1028" s="116"/>
      <c r="I1028" s="116"/>
      <c r="L1028" s="170">
        <v>45083</v>
      </c>
      <c r="M1028" s="116">
        <v>3595.45</v>
      </c>
      <c r="N1028" s="116">
        <v>3604.9</v>
      </c>
      <c r="O1028" s="116">
        <v>3544.5</v>
      </c>
      <c r="P1028" s="116">
        <v>3594.7</v>
      </c>
      <c r="Q1028" s="116">
        <v>3595.45</v>
      </c>
      <c r="R1028">
        <v>196700</v>
      </c>
    </row>
    <row r="1029" spans="1:18" x14ac:dyDescent="0.25">
      <c r="A1029" s="170">
        <v>45084</v>
      </c>
      <c r="B1029" s="116">
        <v>3599</v>
      </c>
      <c r="C1029" s="116">
        <v>3537.45</v>
      </c>
      <c r="D1029" s="116">
        <v>3523.75</v>
      </c>
      <c r="E1029" s="116">
        <v>3599</v>
      </c>
      <c r="F1029" s="116">
        <v>3537.45</v>
      </c>
      <c r="G1029">
        <v>9832</v>
      </c>
      <c r="H1029" s="116"/>
      <c r="I1029" s="116"/>
      <c r="L1029" s="170">
        <v>45084</v>
      </c>
      <c r="M1029" s="116">
        <v>3538.05</v>
      </c>
      <c r="N1029" s="116">
        <v>3595</v>
      </c>
      <c r="O1029" s="116">
        <v>3523.05</v>
      </c>
      <c r="P1029" s="116">
        <v>3595</v>
      </c>
      <c r="Q1029" s="116">
        <v>3538.05</v>
      </c>
      <c r="R1029">
        <v>437956</v>
      </c>
    </row>
    <row r="1030" spans="1:18" x14ac:dyDescent="0.25">
      <c r="A1030" s="170">
        <v>45085</v>
      </c>
      <c r="B1030" s="116">
        <v>3550</v>
      </c>
      <c r="C1030" s="116">
        <v>3512.6</v>
      </c>
      <c r="D1030" s="116">
        <v>3491</v>
      </c>
      <c r="E1030" s="116">
        <v>3550</v>
      </c>
      <c r="F1030" s="116">
        <v>3512.6</v>
      </c>
      <c r="G1030">
        <v>6058</v>
      </c>
      <c r="H1030" s="116"/>
      <c r="I1030" s="116"/>
      <c r="L1030" s="170">
        <v>45085</v>
      </c>
      <c r="M1030" s="116">
        <v>3511.6</v>
      </c>
      <c r="N1030" s="116">
        <v>3554.4</v>
      </c>
      <c r="O1030" s="116">
        <v>3490</v>
      </c>
      <c r="P1030" s="116">
        <v>3550</v>
      </c>
      <c r="Q1030" s="116">
        <v>3511.6</v>
      </c>
      <c r="R1030">
        <v>297932</v>
      </c>
    </row>
    <row r="1031" spans="1:18" x14ac:dyDescent="0.25">
      <c r="A1031" s="170">
        <v>45086</v>
      </c>
      <c r="B1031" s="116">
        <v>3561.5</v>
      </c>
      <c r="C1031" s="116">
        <v>3547.6</v>
      </c>
      <c r="D1031" s="116">
        <v>3500.05</v>
      </c>
      <c r="E1031" s="116">
        <v>3500.05</v>
      </c>
      <c r="F1031" s="116">
        <v>3547.6</v>
      </c>
      <c r="G1031">
        <v>16378</v>
      </c>
      <c r="H1031" s="116"/>
      <c r="I1031" s="116"/>
      <c r="L1031" s="170">
        <v>45086</v>
      </c>
      <c r="M1031" s="116">
        <v>3547.5</v>
      </c>
      <c r="N1031" s="116">
        <v>3561.2</v>
      </c>
      <c r="O1031" s="116">
        <v>3512.05</v>
      </c>
      <c r="P1031" s="116">
        <v>3512.05</v>
      </c>
      <c r="Q1031" s="116">
        <v>3547.5</v>
      </c>
      <c r="R1031">
        <v>187230</v>
      </c>
    </row>
    <row r="1032" spans="1:18" x14ac:dyDescent="0.25">
      <c r="A1032" s="170">
        <v>45089</v>
      </c>
      <c r="B1032" s="116">
        <v>3556.85</v>
      </c>
      <c r="C1032" s="116">
        <v>3534.8</v>
      </c>
      <c r="D1032" s="116">
        <v>3512.2</v>
      </c>
      <c r="E1032" s="116">
        <v>3531.05</v>
      </c>
      <c r="F1032" s="116">
        <v>3534.8</v>
      </c>
      <c r="G1032">
        <v>8128</v>
      </c>
      <c r="H1032" s="116"/>
      <c r="I1032" s="116"/>
      <c r="L1032" s="170">
        <v>45089</v>
      </c>
      <c r="M1032" s="116">
        <v>3534.1</v>
      </c>
      <c r="N1032" s="116">
        <v>3558</v>
      </c>
      <c r="O1032" s="116">
        <v>3510.4</v>
      </c>
      <c r="P1032" s="116">
        <v>3548</v>
      </c>
      <c r="Q1032" s="116">
        <v>3534.1</v>
      </c>
      <c r="R1032">
        <v>243029</v>
      </c>
    </row>
    <row r="1033" spans="1:18" x14ac:dyDescent="0.25">
      <c r="A1033" s="170">
        <v>45090</v>
      </c>
      <c r="B1033" s="116">
        <v>3589.7</v>
      </c>
      <c r="C1033" s="116">
        <v>3583.4</v>
      </c>
      <c r="D1033" s="116">
        <v>3509.9</v>
      </c>
      <c r="E1033" s="116">
        <v>3523.9</v>
      </c>
      <c r="F1033" s="116">
        <v>3583.4</v>
      </c>
      <c r="G1033">
        <v>12805</v>
      </c>
      <c r="H1033" s="116"/>
      <c r="I1033" s="116"/>
      <c r="L1033" s="170">
        <v>45090</v>
      </c>
      <c r="M1033" s="116">
        <v>3583.9</v>
      </c>
      <c r="N1033" s="116">
        <v>3590</v>
      </c>
      <c r="O1033" s="116">
        <v>3519.45</v>
      </c>
      <c r="P1033" s="116">
        <v>3534</v>
      </c>
      <c r="Q1033" s="116">
        <v>3583.9</v>
      </c>
      <c r="R1033">
        <v>249758</v>
      </c>
    </row>
    <row r="1034" spans="1:18" x14ac:dyDescent="0.25">
      <c r="A1034" s="170">
        <v>45091</v>
      </c>
      <c r="B1034" s="116">
        <v>3614.65</v>
      </c>
      <c r="C1034" s="116">
        <v>3588.05</v>
      </c>
      <c r="D1034" s="116">
        <v>3571.5</v>
      </c>
      <c r="E1034" s="116">
        <v>3614.65</v>
      </c>
      <c r="F1034" s="116">
        <v>3588.05</v>
      </c>
      <c r="G1034">
        <v>5094</v>
      </c>
      <c r="H1034" s="116"/>
      <c r="I1034" s="116"/>
      <c r="L1034" s="170">
        <v>45091</v>
      </c>
      <c r="M1034" s="116">
        <v>3587.8</v>
      </c>
      <c r="N1034" s="116">
        <v>3607</v>
      </c>
      <c r="O1034" s="116">
        <v>3571.6</v>
      </c>
      <c r="P1034" s="116">
        <v>3607</v>
      </c>
      <c r="Q1034" s="116">
        <v>3587.8</v>
      </c>
      <c r="R1034">
        <v>153118</v>
      </c>
    </row>
    <row r="1035" spans="1:18" x14ac:dyDescent="0.25">
      <c r="A1035" s="170">
        <v>45092</v>
      </c>
      <c r="B1035" s="116">
        <v>3590.5</v>
      </c>
      <c r="C1035" s="116">
        <v>3558.7</v>
      </c>
      <c r="D1035" s="116">
        <v>3550</v>
      </c>
      <c r="E1035" s="116">
        <v>3560.1</v>
      </c>
      <c r="F1035" s="116">
        <v>3558.7</v>
      </c>
      <c r="G1035">
        <v>9267</v>
      </c>
      <c r="H1035" s="116"/>
      <c r="I1035" s="116"/>
      <c r="L1035" s="170">
        <v>45092</v>
      </c>
      <c r="M1035" s="116">
        <v>3559</v>
      </c>
      <c r="N1035" s="116">
        <v>3593.6</v>
      </c>
      <c r="O1035" s="116">
        <v>3549.55</v>
      </c>
      <c r="P1035" s="116">
        <v>3575</v>
      </c>
      <c r="Q1035" s="116">
        <v>3559</v>
      </c>
      <c r="R1035">
        <v>184254</v>
      </c>
    </row>
    <row r="1036" spans="1:18" x14ac:dyDescent="0.25">
      <c r="A1036" s="170">
        <v>45093</v>
      </c>
      <c r="B1036" s="116">
        <v>3584.95</v>
      </c>
      <c r="C1036" s="116">
        <v>3575.9</v>
      </c>
      <c r="D1036" s="116">
        <v>3538.55</v>
      </c>
      <c r="E1036" s="116">
        <v>3558.7</v>
      </c>
      <c r="F1036" s="116">
        <v>3575.9</v>
      </c>
      <c r="G1036">
        <v>3527</v>
      </c>
      <c r="H1036" s="116"/>
      <c r="I1036" s="116"/>
      <c r="L1036" s="170">
        <v>45093</v>
      </c>
      <c r="M1036" s="116">
        <v>3574.7</v>
      </c>
      <c r="N1036" s="116">
        <v>3586.95</v>
      </c>
      <c r="O1036" s="116">
        <v>3538.2</v>
      </c>
      <c r="P1036" s="116">
        <v>3550</v>
      </c>
      <c r="Q1036" s="116">
        <v>3574.7</v>
      </c>
      <c r="R1036">
        <v>223482</v>
      </c>
    </row>
    <row r="1037" spans="1:18" x14ac:dyDescent="0.25">
      <c r="A1037" s="170">
        <v>45096</v>
      </c>
      <c r="B1037" s="116">
        <v>3600</v>
      </c>
      <c r="C1037" s="116">
        <v>3531.45</v>
      </c>
      <c r="D1037" s="116">
        <v>3515.65</v>
      </c>
      <c r="E1037" s="116">
        <v>3598.75</v>
      </c>
      <c r="F1037" s="116">
        <v>3531.45</v>
      </c>
      <c r="G1037">
        <v>16055</v>
      </c>
      <c r="H1037" s="116"/>
      <c r="I1037" s="116"/>
      <c r="L1037" s="170">
        <v>45096</v>
      </c>
      <c r="M1037" s="116">
        <v>3529.65</v>
      </c>
      <c r="N1037" s="116">
        <v>3599.5</v>
      </c>
      <c r="O1037" s="116">
        <v>3514.25</v>
      </c>
      <c r="P1037" s="116">
        <v>3585</v>
      </c>
      <c r="Q1037" s="116">
        <v>3529.65</v>
      </c>
      <c r="R1037">
        <v>169991</v>
      </c>
    </row>
    <row r="1038" spans="1:18" x14ac:dyDescent="0.25">
      <c r="A1038" s="170">
        <v>45097</v>
      </c>
      <c r="B1038" s="116">
        <v>3571.25</v>
      </c>
      <c r="C1038" s="116">
        <v>3541.5</v>
      </c>
      <c r="D1038" s="116">
        <v>3516</v>
      </c>
      <c r="E1038" s="116">
        <v>3531.5</v>
      </c>
      <c r="F1038" s="116">
        <v>3541.5</v>
      </c>
      <c r="G1038">
        <v>10263</v>
      </c>
      <c r="H1038" s="116"/>
      <c r="I1038" s="116"/>
      <c r="L1038" s="170">
        <v>45097</v>
      </c>
      <c r="M1038" s="116">
        <v>3542.45</v>
      </c>
      <c r="N1038" s="116">
        <v>3569.8</v>
      </c>
      <c r="O1038" s="116">
        <v>3515.65</v>
      </c>
      <c r="P1038" s="116">
        <v>3540</v>
      </c>
      <c r="Q1038" s="116">
        <v>3542.45</v>
      </c>
      <c r="R1038">
        <v>275988</v>
      </c>
    </row>
    <row r="1039" spans="1:18" x14ac:dyDescent="0.25">
      <c r="A1039" s="170">
        <v>45098</v>
      </c>
      <c r="B1039" s="116">
        <v>3560</v>
      </c>
      <c r="C1039" s="116">
        <v>3420.15</v>
      </c>
      <c r="D1039" s="116">
        <v>3380.4</v>
      </c>
      <c r="E1039" s="116">
        <v>3541.5</v>
      </c>
      <c r="F1039" s="116">
        <v>3420.15</v>
      </c>
      <c r="G1039">
        <v>16308</v>
      </c>
      <c r="H1039" s="116"/>
      <c r="I1039" s="116"/>
      <c r="L1039" s="170">
        <v>45098</v>
      </c>
      <c r="M1039" s="116">
        <v>3418.35</v>
      </c>
      <c r="N1039" s="116">
        <v>3560.95</v>
      </c>
      <c r="O1039" s="116">
        <v>3379.75</v>
      </c>
      <c r="P1039" s="116">
        <v>3529.4</v>
      </c>
      <c r="Q1039" s="116">
        <v>3418.35</v>
      </c>
      <c r="R1039">
        <v>468855</v>
      </c>
    </row>
    <row r="1040" spans="1:18" x14ac:dyDescent="0.25">
      <c r="A1040" s="170">
        <v>45099</v>
      </c>
      <c r="B1040" s="116">
        <v>3555</v>
      </c>
      <c r="C1040" s="116">
        <v>3485.65</v>
      </c>
      <c r="D1040" s="116">
        <v>3435.05</v>
      </c>
      <c r="E1040" s="116">
        <v>3435.05</v>
      </c>
      <c r="F1040" s="116">
        <v>3485.65</v>
      </c>
      <c r="G1040">
        <v>48670</v>
      </c>
      <c r="H1040" s="116"/>
      <c r="I1040" s="116"/>
      <c r="L1040" s="170">
        <v>45099</v>
      </c>
      <c r="M1040" s="116">
        <v>3483.95</v>
      </c>
      <c r="N1040" s="116">
        <v>3555</v>
      </c>
      <c r="O1040" s="116">
        <v>3441.1</v>
      </c>
      <c r="P1040" s="116">
        <v>3450</v>
      </c>
      <c r="Q1040" s="116">
        <v>3483.95</v>
      </c>
      <c r="R1040">
        <v>899667</v>
      </c>
    </row>
    <row r="1041" spans="1:18" x14ac:dyDescent="0.25">
      <c r="A1041" s="170">
        <v>45100</v>
      </c>
      <c r="B1041" s="116">
        <v>3507.1</v>
      </c>
      <c r="C1041" s="116">
        <v>3427</v>
      </c>
      <c r="D1041" s="116">
        <v>3415</v>
      </c>
      <c r="E1041" s="116">
        <v>3485.7</v>
      </c>
      <c r="F1041" s="116">
        <v>3427</v>
      </c>
      <c r="G1041">
        <v>19184</v>
      </c>
      <c r="H1041" s="116"/>
      <c r="I1041" s="116"/>
      <c r="L1041" s="170">
        <v>45100</v>
      </c>
      <c r="M1041" s="116">
        <v>3427.65</v>
      </c>
      <c r="N1041" s="116">
        <v>3511.15</v>
      </c>
      <c r="O1041" s="116">
        <v>3415.25</v>
      </c>
      <c r="P1041" s="116">
        <v>3491</v>
      </c>
      <c r="Q1041" s="116">
        <v>3427.65</v>
      </c>
      <c r="R1041">
        <v>272568</v>
      </c>
    </row>
    <row r="1042" spans="1:18" x14ac:dyDescent="0.25">
      <c r="A1042" s="170">
        <v>45103</v>
      </c>
      <c r="B1042" s="116">
        <v>3479.65</v>
      </c>
      <c r="C1042" s="116">
        <v>3468.95</v>
      </c>
      <c r="D1042" s="116">
        <v>3415.8</v>
      </c>
      <c r="E1042" s="116">
        <v>3428.05</v>
      </c>
      <c r="F1042" s="116">
        <v>3468.95</v>
      </c>
      <c r="G1042">
        <v>8076</v>
      </c>
      <c r="H1042" s="116"/>
      <c r="I1042" s="116"/>
      <c r="L1042" s="170">
        <v>45103</v>
      </c>
      <c r="M1042" s="116">
        <v>3466.35</v>
      </c>
      <c r="N1042" s="116">
        <v>3480</v>
      </c>
      <c r="O1042" s="116">
        <v>3416</v>
      </c>
      <c r="P1042" s="116">
        <v>3435</v>
      </c>
      <c r="Q1042" s="116">
        <v>3466.35</v>
      </c>
      <c r="R1042">
        <v>204577</v>
      </c>
    </row>
    <row r="1043" spans="1:18" x14ac:dyDescent="0.25">
      <c r="A1043" s="170">
        <v>45104</v>
      </c>
      <c r="B1043" s="116">
        <v>3555</v>
      </c>
      <c r="C1043" s="116">
        <v>3475</v>
      </c>
      <c r="D1043" s="116">
        <v>3456.05</v>
      </c>
      <c r="E1043" s="116">
        <v>3456.05</v>
      </c>
      <c r="F1043" s="116">
        <v>3475</v>
      </c>
      <c r="G1043">
        <v>18713</v>
      </c>
      <c r="H1043" s="116"/>
      <c r="I1043" s="116"/>
      <c r="L1043" s="170">
        <v>45104</v>
      </c>
      <c r="M1043" s="116">
        <v>3475.1</v>
      </c>
      <c r="N1043" s="116">
        <v>3554.95</v>
      </c>
      <c r="O1043" s="116">
        <v>3462</v>
      </c>
      <c r="P1043" s="116">
        <v>3480</v>
      </c>
      <c r="Q1043" s="116">
        <v>3475.1</v>
      </c>
      <c r="R1043">
        <v>346501</v>
      </c>
    </row>
    <row r="1044" spans="1:18" x14ac:dyDescent="0.25">
      <c r="A1044" s="170">
        <v>45105</v>
      </c>
      <c r="B1044" s="116">
        <v>3634.85</v>
      </c>
      <c r="C1044" s="116">
        <v>3616.4</v>
      </c>
      <c r="D1044" s="116">
        <v>3508.95</v>
      </c>
      <c r="E1044" s="116">
        <v>3524.95</v>
      </c>
      <c r="F1044" s="116">
        <v>3616.4</v>
      </c>
      <c r="G1044">
        <v>14349</v>
      </c>
      <c r="H1044" s="116"/>
      <c r="I1044" s="116"/>
      <c r="L1044" s="170">
        <v>45105</v>
      </c>
      <c r="M1044" s="116">
        <v>3614.05</v>
      </c>
      <c r="N1044" s="116">
        <v>3636.65</v>
      </c>
      <c r="O1044" s="116">
        <v>3506.35</v>
      </c>
      <c r="P1044" s="116">
        <v>3510</v>
      </c>
      <c r="Q1044" s="116">
        <v>3614.05</v>
      </c>
      <c r="R1044">
        <v>885684</v>
      </c>
    </row>
    <row r="1045" spans="1:18" x14ac:dyDescent="0.25">
      <c r="A1045" s="170">
        <v>45107</v>
      </c>
      <c r="B1045" s="116">
        <v>3635</v>
      </c>
      <c r="C1045" s="116">
        <v>3552.15</v>
      </c>
      <c r="D1045" s="116">
        <v>3534.55</v>
      </c>
      <c r="E1045" s="116">
        <v>3622</v>
      </c>
      <c r="F1045" s="116">
        <v>3552.15</v>
      </c>
      <c r="G1045">
        <v>25163</v>
      </c>
      <c r="H1045" s="116"/>
      <c r="I1045" s="116"/>
      <c r="L1045" s="170">
        <v>45107</v>
      </c>
      <c r="M1045" s="116">
        <v>3551.15</v>
      </c>
      <c r="N1045" s="116">
        <v>3637.95</v>
      </c>
      <c r="O1045" s="116">
        <v>3535</v>
      </c>
      <c r="P1045" s="116">
        <v>3637.05</v>
      </c>
      <c r="Q1045" s="116">
        <v>3551.15</v>
      </c>
      <c r="R1045">
        <v>430346</v>
      </c>
    </row>
    <row r="1046" spans="1:18" x14ac:dyDescent="0.25">
      <c r="A1046" s="170">
        <v>45110</v>
      </c>
      <c r="B1046" s="116">
        <v>3594.95</v>
      </c>
      <c r="C1046" s="116">
        <v>3524.1</v>
      </c>
      <c r="D1046" s="116">
        <v>3518</v>
      </c>
      <c r="E1046" s="116">
        <v>3594.95</v>
      </c>
      <c r="F1046" s="116">
        <v>3524.1</v>
      </c>
      <c r="G1046">
        <v>16674</v>
      </c>
      <c r="H1046" s="116"/>
      <c r="I1046" s="116"/>
      <c r="L1046" s="170">
        <v>45110</v>
      </c>
      <c r="M1046" s="116">
        <v>3522.85</v>
      </c>
      <c r="N1046" s="116">
        <v>3585.8</v>
      </c>
      <c r="O1046" s="116">
        <v>3519</v>
      </c>
      <c r="P1046" s="116">
        <v>3579.9</v>
      </c>
      <c r="Q1046" s="116">
        <v>3522.85</v>
      </c>
      <c r="R1046">
        <v>223753</v>
      </c>
    </row>
    <row r="1047" spans="1:18" x14ac:dyDescent="0.25">
      <c r="A1047" s="170">
        <v>45111</v>
      </c>
      <c r="B1047" s="116">
        <v>3540.95</v>
      </c>
      <c r="C1047" s="116">
        <v>3508.7</v>
      </c>
      <c r="D1047" s="116">
        <v>3505.15</v>
      </c>
      <c r="E1047" s="116">
        <v>3538</v>
      </c>
      <c r="F1047" s="116">
        <v>3508.7</v>
      </c>
      <c r="G1047">
        <v>10681</v>
      </c>
      <c r="H1047" s="116"/>
      <c r="I1047" s="116"/>
      <c r="L1047" s="170">
        <v>45111</v>
      </c>
      <c r="M1047" s="116">
        <v>3509.55</v>
      </c>
      <c r="N1047" s="116">
        <v>3543.6</v>
      </c>
      <c r="O1047" s="116">
        <v>3505.4</v>
      </c>
      <c r="P1047" s="116">
        <v>3539.95</v>
      </c>
      <c r="Q1047" s="116">
        <v>3509.55</v>
      </c>
      <c r="R1047">
        <v>165447</v>
      </c>
    </row>
    <row r="1048" spans="1:18" x14ac:dyDescent="0.25">
      <c r="A1048" s="170">
        <v>45112</v>
      </c>
      <c r="B1048" s="116">
        <v>3568.45</v>
      </c>
      <c r="C1048" s="116">
        <v>3551.6</v>
      </c>
      <c r="D1048" s="116">
        <v>3511.05</v>
      </c>
      <c r="E1048" s="116">
        <v>3511.05</v>
      </c>
      <c r="F1048" s="116">
        <v>3551.6</v>
      </c>
      <c r="G1048">
        <v>8609</v>
      </c>
      <c r="H1048" s="116"/>
      <c r="I1048" s="116"/>
      <c r="L1048" s="170">
        <v>45112</v>
      </c>
      <c r="M1048" s="116">
        <v>3552.7</v>
      </c>
      <c r="N1048" s="116">
        <v>3568</v>
      </c>
      <c r="O1048" s="116">
        <v>3512.2</v>
      </c>
      <c r="P1048" s="116">
        <v>3517</v>
      </c>
      <c r="Q1048" s="116">
        <v>3552.7</v>
      </c>
      <c r="R1048">
        <v>246209</v>
      </c>
    </row>
    <row r="1049" spans="1:18" x14ac:dyDescent="0.25">
      <c r="A1049" s="170">
        <v>45113</v>
      </c>
      <c r="B1049" s="116">
        <v>3585</v>
      </c>
      <c r="C1049" s="116">
        <v>3561.55</v>
      </c>
      <c r="D1049" s="116">
        <v>3543.45</v>
      </c>
      <c r="E1049" s="116">
        <v>3550.05</v>
      </c>
      <c r="F1049" s="116">
        <v>3561.55</v>
      </c>
      <c r="G1049">
        <v>8885</v>
      </c>
      <c r="H1049" s="116"/>
      <c r="I1049" s="116"/>
      <c r="L1049" s="170">
        <v>45113</v>
      </c>
      <c r="M1049" s="116">
        <v>3560.75</v>
      </c>
      <c r="N1049" s="116">
        <v>3585</v>
      </c>
      <c r="O1049" s="116">
        <v>3542</v>
      </c>
      <c r="P1049" s="116">
        <v>3560</v>
      </c>
      <c r="Q1049" s="116">
        <v>3560.75</v>
      </c>
      <c r="R1049">
        <v>180300</v>
      </c>
    </row>
    <row r="1050" spans="1:18" x14ac:dyDescent="0.25">
      <c r="A1050" s="170">
        <v>45114</v>
      </c>
      <c r="B1050" s="116">
        <v>3560.95</v>
      </c>
      <c r="C1050" s="116">
        <v>3509.7</v>
      </c>
      <c r="D1050" s="116">
        <v>3492</v>
      </c>
      <c r="E1050" s="116">
        <v>3560.95</v>
      </c>
      <c r="F1050" s="116">
        <v>3509.7</v>
      </c>
      <c r="G1050">
        <v>13760</v>
      </c>
      <c r="H1050" s="116"/>
      <c r="I1050" s="116"/>
      <c r="L1050" s="170">
        <v>45114</v>
      </c>
      <c r="M1050" s="116">
        <v>3508.2</v>
      </c>
      <c r="N1050" s="116">
        <v>3563.85</v>
      </c>
      <c r="O1050" s="116">
        <v>3491</v>
      </c>
      <c r="P1050" s="116">
        <v>3555.2</v>
      </c>
      <c r="Q1050" s="116">
        <v>3508.2</v>
      </c>
      <c r="R1050">
        <v>153939</v>
      </c>
    </row>
    <row r="1051" spans="1:18" x14ac:dyDescent="0.25">
      <c r="A1051" s="170">
        <v>45117</v>
      </c>
      <c r="B1051" s="116">
        <v>3565</v>
      </c>
      <c r="C1051" s="116">
        <v>3546.05</v>
      </c>
      <c r="D1051" s="116">
        <v>3505.95</v>
      </c>
      <c r="E1051" s="116">
        <v>3509.7</v>
      </c>
      <c r="F1051" s="116">
        <v>3546.05</v>
      </c>
      <c r="G1051">
        <v>13134</v>
      </c>
      <c r="H1051" s="116"/>
      <c r="I1051" s="116"/>
      <c r="L1051" s="170">
        <v>45117</v>
      </c>
      <c r="M1051" s="116">
        <v>3546.7</v>
      </c>
      <c r="N1051" s="116">
        <v>3566.75</v>
      </c>
      <c r="O1051" s="116">
        <v>3506.55</v>
      </c>
      <c r="P1051" s="116">
        <v>3510</v>
      </c>
      <c r="Q1051" s="116">
        <v>3546.7</v>
      </c>
      <c r="R1051">
        <v>284687</v>
      </c>
    </row>
    <row r="1052" spans="1:18" x14ac:dyDescent="0.25">
      <c r="A1052" s="170">
        <v>45118</v>
      </c>
      <c r="B1052" s="116">
        <v>3799.95</v>
      </c>
      <c r="C1052" s="116">
        <v>3780.05</v>
      </c>
      <c r="D1052" s="116">
        <v>3546.1</v>
      </c>
      <c r="E1052" s="116">
        <v>3546.1</v>
      </c>
      <c r="F1052" s="116">
        <v>3780.05</v>
      </c>
      <c r="G1052">
        <v>29847</v>
      </c>
      <c r="H1052" s="116"/>
      <c r="I1052" s="116"/>
      <c r="L1052" s="170">
        <v>45118</v>
      </c>
      <c r="M1052" s="116">
        <v>3774.8</v>
      </c>
      <c r="N1052" s="116">
        <v>3799.95</v>
      </c>
      <c r="O1052" s="116">
        <v>3554</v>
      </c>
      <c r="P1052" s="116">
        <v>3558</v>
      </c>
      <c r="Q1052" s="116">
        <v>3774.8</v>
      </c>
      <c r="R1052">
        <v>1485223</v>
      </c>
    </row>
    <row r="1053" spans="1:18" x14ac:dyDescent="0.25">
      <c r="A1053" s="170">
        <v>45119</v>
      </c>
      <c r="B1053" s="116">
        <v>3823.95</v>
      </c>
      <c r="C1053" s="116">
        <v>3801.75</v>
      </c>
      <c r="D1053" s="116">
        <v>3745</v>
      </c>
      <c r="E1053" s="116">
        <v>3797.95</v>
      </c>
      <c r="F1053" s="116">
        <v>3801.75</v>
      </c>
      <c r="G1053">
        <v>24904</v>
      </c>
      <c r="H1053" s="116"/>
      <c r="I1053" s="116"/>
      <c r="L1053" s="170">
        <v>45119</v>
      </c>
      <c r="M1053" s="116">
        <v>3800.5</v>
      </c>
      <c r="N1053" s="116">
        <v>3824.7</v>
      </c>
      <c r="O1053" s="116">
        <v>3745.1</v>
      </c>
      <c r="P1053" s="116">
        <v>3784</v>
      </c>
      <c r="Q1053" s="116">
        <v>3800.5</v>
      </c>
      <c r="R1053">
        <v>535242</v>
      </c>
    </row>
    <row r="1054" spans="1:18" x14ac:dyDescent="0.25">
      <c r="A1054" s="170">
        <v>45120</v>
      </c>
      <c r="B1054" s="116">
        <v>3845</v>
      </c>
      <c r="C1054" s="116">
        <v>3814.85</v>
      </c>
      <c r="D1054" s="116">
        <v>3784</v>
      </c>
      <c r="E1054" s="116">
        <v>3809.95</v>
      </c>
      <c r="F1054" s="116">
        <v>3814.85</v>
      </c>
      <c r="G1054">
        <v>17807</v>
      </c>
      <c r="H1054" s="116"/>
      <c r="I1054" s="116"/>
      <c r="L1054" s="170">
        <v>45120</v>
      </c>
      <c r="M1054" s="116">
        <v>3815.15</v>
      </c>
      <c r="N1054" s="116">
        <v>3847</v>
      </c>
      <c r="O1054" s="116">
        <v>3783.3</v>
      </c>
      <c r="P1054" s="116">
        <v>3802.35</v>
      </c>
      <c r="Q1054" s="116">
        <v>3815.15</v>
      </c>
      <c r="R1054">
        <v>488118</v>
      </c>
    </row>
    <row r="1055" spans="1:18" x14ac:dyDescent="0.25">
      <c r="A1055" s="170">
        <v>45121</v>
      </c>
      <c r="B1055" s="116">
        <v>3886.3</v>
      </c>
      <c r="C1055" s="116">
        <v>3875.75</v>
      </c>
      <c r="D1055" s="116">
        <v>3823.6</v>
      </c>
      <c r="E1055" s="116">
        <v>3847.95</v>
      </c>
      <c r="F1055" s="116">
        <v>3875.75</v>
      </c>
      <c r="G1055">
        <v>8384</v>
      </c>
      <c r="H1055" s="116"/>
      <c r="I1055" s="116"/>
      <c r="L1055" s="170">
        <v>45121</v>
      </c>
      <c r="M1055" s="116">
        <v>3874.35</v>
      </c>
      <c r="N1055" s="116">
        <v>3886.95</v>
      </c>
      <c r="O1055" s="116">
        <v>3824.1</v>
      </c>
      <c r="P1055" s="116">
        <v>3826.75</v>
      </c>
      <c r="Q1055" s="116">
        <v>3874.35</v>
      </c>
      <c r="R1055">
        <v>389985</v>
      </c>
    </row>
    <row r="1056" spans="1:18" x14ac:dyDescent="0.25">
      <c r="A1056" s="170">
        <v>45124</v>
      </c>
      <c r="B1056" s="116">
        <v>3950</v>
      </c>
      <c r="C1056" s="116">
        <v>3912.05</v>
      </c>
      <c r="D1056" s="116">
        <v>3893.9</v>
      </c>
      <c r="E1056" s="116">
        <v>3899.95</v>
      </c>
      <c r="F1056" s="116">
        <v>3912.05</v>
      </c>
      <c r="G1056">
        <v>19093</v>
      </c>
      <c r="H1056" s="116"/>
      <c r="I1056" s="116"/>
      <c r="L1056" s="170">
        <v>45124</v>
      </c>
      <c r="M1056" s="116">
        <v>3914.65</v>
      </c>
      <c r="N1056" s="116">
        <v>3948.95</v>
      </c>
      <c r="O1056" s="116">
        <v>3887.05</v>
      </c>
      <c r="P1056" s="116">
        <v>3892</v>
      </c>
      <c r="Q1056" s="116">
        <v>3914.65</v>
      </c>
      <c r="R1056">
        <v>473022</v>
      </c>
    </row>
    <row r="1057" spans="1:18" x14ac:dyDescent="0.25">
      <c r="A1057" s="170">
        <v>45125</v>
      </c>
      <c r="B1057" s="116">
        <v>4148</v>
      </c>
      <c r="C1057" s="116">
        <v>4127.8999999999996</v>
      </c>
      <c r="D1057" s="116">
        <v>3912.35</v>
      </c>
      <c r="E1057" s="116">
        <v>3949.95</v>
      </c>
      <c r="F1057" s="116">
        <v>4127.8999999999996</v>
      </c>
      <c r="G1057">
        <v>88327</v>
      </c>
      <c r="H1057" s="116"/>
      <c r="I1057" s="116"/>
      <c r="L1057" s="170">
        <v>45125</v>
      </c>
      <c r="M1057" s="116">
        <v>4128.1499999999996</v>
      </c>
      <c r="N1057" s="116">
        <v>4148.6499999999996</v>
      </c>
      <c r="O1057" s="116">
        <v>3910.8</v>
      </c>
      <c r="P1057" s="116">
        <v>3925</v>
      </c>
      <c r="Q1057" s="116">
        <v>4128.1499999999996</v>
      </c>
      <c r="R1057">
        <v>2882873</v>
      </c>
    </row>
    <row r="1058" spans="1:18" x14ac:dyDescent="0.25">
      <c r="A1058" s="170">
        <v>45126</v>
      </c>
      <c r="B1058" s="116">
        <v>4324.8500000000004</v>
      </c>
      <c r="C1058" s="116">
        <v>4309.3</v>
      </c>
      <c r="D1058" s="116">
        <v>4180</v>
      </c>
      <c r="E1058" s="116">
        <v>4197.8999999999996</v>
      </c>
      <c r="F1058" s="116">
        <v>4309.3</v>
      </c>
      <c r="G1058">
        <v>83748</v>
      </c>
      <c r="H1058" s="116"/>
      <c r="I1058" s="116"/>
      <c r="L1058" s="170">
        <v>45126</v>
      </c>
      <c r="M1058" s="116">
        <v>4308.8500000000004</v>
      </c>
      <c r="N1058" s="116">
        <v>4325.1499999999996</v>
      </c>
      <c r="O1058" s="116">
        <v>4176.3999999999996</v>
      </c>
      <c r="P1058" s="116">
        <v>4188</v>
      </c>
      <c r="Q1058" s="116">
        <v>4308.8500000000004</v>
      </c>
      <c r="R1058">
        <v>2988725</v>
      </c>
    </row>
    <row r="1059" spans="1:18" x14ac:dyDescent="0.25">
      <c r="A1059" s="170">
        <v>45127</v>
      </c>
      <c r="B1059" s="116">
        <v>4848</v>
      </c>
      <c r="C1059" s="116">
        <v>4715.1000000000004</v>
      </c>
      <c r="D1059" s="116">
        <v>4254.8500000000004</v>
      </c>
      <c r="E1059" s="116">
        <v>4303</v>
      </c>
      <c r="F1059" s="116">
        <v>4715.1000000000004</v>
      </c>
      <c r="G1059">
        <v>253114</v>
      </c>
      <c r="H1059" s="116"/>
      <c r="I1059" s="116"/>
      <c r="L1059" s="170">
        <v>45127</v>
      </c>
      <c r="M1059" s="116">
        <v>4717.3500000000004</v>
      </c>
      <c r="N1059" s="116">
        <v>4924</v>
      </c>
      <c r="O1059" s="116">
        <v>4270.25</v>
      </c>
      <c r="P1059" s="116">
        <v>4307.8999999999996</v>
      </c>
      <c r="Q1059" s="116">
        <v>4717.3500000000004</v>
      </c>
      <c r="R1059">
        <v>5530760</v>
      </c>
    </row>
    <row r="1060" spans="1:18" x14ac:dyDescent="0.25">
      <c r="A1060" s="170">
        <v>45128</v>
      </c>
      <c r="B1060" s="116">
        <v>4700</v>
      </c>
      <c r="C1060" s="116">
        <v>4586.3</v>
      </c>
      <c r="D1060" s="116">
        <v>4491.3500000000004</v>
      </c>
      <c r="E1060" s="116">
        <v>4700</v>
      </c>
      <c r="F1060" s="116">
        <v>4586.3</v>
      </c>
      <c r="G1060">
        <v>111938</v>
      </c>
      <c r="H1060" s="116"/>
      <c r="I1060" s="116"/>
      <c r="L1060" s="170">
        <v>45128</v>
      </c>
      <c r="M1060" s="116">
        <v>4586.8</v>
      </c>
      <c r="N1060" s="116">
        <v>4693</v>
      </c>
      <c r="O1060" s="116">
        <v>4494.05</v>
      </c>
      <c r="P1060" s="116">
        <v>4675</v>
      </c>
      <c r="Q1060" s="116">
        <v>4586.8</v>
      </c>
      <c r="R1060">
        <v>3034596</v>
      </c>
    </row>
    <row r="1061" spans="1:18" x14ac:dyDescent="0.25">
      <c r="A1061" s="170">
        <v>45131</v>
      </c>
      <c r="B1061" s="116">
        <v>4770.7</v>
      </c>
      <c r="C1061" s="116">
        <v>4698.3999999999996</v>
      </c>
      <c r="D1061" s="116">
        <v>4586.8</v>
      </c>
      <c r="E1061" s="116">
        <v>4648.95</v>
      </c>
      <c r="F1061" s="116">
        <v>4698.3999999999996</v>
      </c>
      <c r="G1061">
        <v>49930</v>
      </c>
      <c r="H1061" s="116"/>
      <c r="I1061" s="116"/>
      <c r="L1061" s="170">
        <v>45131</v>
      </c>
      <c r="M1061" s="116">
        <v>4698.45</v>
      </c>
      <c r="N1061" s="116">
        <v>4770</v>
      </c>
      <c r="O1061" s="116">
        <v>4586.8</v>
      </c>
      <c r="P1061" s="116">
        <v>4611.8</v>
      </c>
      <c r="Q1061" s="116">
        <v>4698.45</v>
      </c>
      <c r="R1061">
        <v>1450583</v>
      </c>
    </row>
    <row r="1062" spans="1:18" x14ac:dyDescent="0.25">
      <c r="A1062" s="170">
        <v>45132</v>
      </c>
      <c r="B1062" s="116">
        <v>4780.3999999999996</v>
      </c>
      <c r="C1062" s="116">
        <v>4692.2</v>
      </c>
      <c r="D1062" s="116">
        <v>4651.5</v>
      </c>
      <c r="E1062" s="116">
        <v>4711</v>
      </c>
      <c r="F1062" s="116">
        <v>4692.2</v>
      </c>
      <c r="G1062">
        <v>30662</v>
      </c>
      <c r="H1062" s="116"/>
      <c r="I1062" s="116"/>
      <c r="L1062" s="170">
        <v>45132</v>
      </c>
      <c r="M1062" s="116">
        <v>4693.3999999999996</v>
      </c>
      <c r="N1062" s="116">
        <v>4784</v>
      </c>
      <c r="O1062" s="116">
        <v>4650.1000000000004</v>
      </c>
      <c r="P1062" s="116">
        <v>4740</v>
      </c>
      <c r="Q1062" s="116">
        <v>4693.3999999999996</v>
      </c>
      <c r="R1062">
        <v>845678</v>
      </c>
    </row>
    <row r="1063" spans="1:18" x14ac:dyDescent="0.25">
      <c r="A1063" s="170">
        <v>45133</v>
      </c>
      <c r="B1063" s="116">
        <v>4736.55</v>
      </c>
      <c r="C1063" s="116">
        <v>4674.95</v>
      </c>
      <c r="D1063" s="116">
        <v>4608.05</v>
      </c>
      <c r="E1063" s="116">
        <v>4688</v>
      </c>
      <c r="F1063" s="116">
        <v>4674.95</v>
      </c>
      <c r="G1063">
        <v>18644</v>
      </c>
      <c r="H1063" s="116"/>
      <c r="I1063" s="116"/>
      <c r="L1063" s="170">
        <v>45133</v>
      </c>
      <c r="M1063" s="116">
        <v>4673.8500000000004</v>
      </c>
      <c r="N1063" s="116">
        <v>4747</v>
      </c>
      <c r="O1063" s="116">
        <v>4608</v>
      </c>
      <c r="P1063" s="116">
        <v>4698.95</v>
      </c>
      <c r="Q1063" s="116">
        <v>4673.8500000000004</v>
      </c>
      <c r="R1063">
        <v>616591</v>
      </c>
    </row>
    <row r="1064" spans="1:18" x14ac:dyDescent="0.25">
      <c r="A1064" s="170">
        <v>45134</v>
      </c>
      <c r="B1064" s="116">
        <v>4744.45</v>
      </c>
      <c r="C1064" s="116">
        <v>4699.55</v>
      </c>
      <c r="D1064" s="116">
        <v>4623.8</v>
      </c>
      <c r="E1064" s="116">
        <v>4623.8</v>
      </c>
      <c r="F1064" s="116">
        <v>4699.55</v>
      </c>
      <c r="G1064">
        <v>25010</v>
      </c>
      <c r="H1064" s="116"/>
      <c r="I1064" s="116"/>
      <c r="L1064" s="170">
        <v>45134</v>
      </c>
      <c r="M1064" s="116">
        <v>4701</v>
      </c>
      <c r="N1064" s="116">
        <v>4745</v>
      </c>
      <c r="O1064" s="116">
        <v>4648.2</v>
      </c>
      <c r="P1064" s="116">
        <v>4650</v>
      </c>
      <c r="Q1064" s="116">
        <v>4701</v>
      </c>
      <c r="R1064">
        <v>693349</v>
      </c>
    </row>
    <row r="1065" spans="1:18" x14ac:dyDescent="0.25">
      <c r="A1065" s="170">
        <v>45135</v>
      </c>
      <c r="B1065" s="116">
        <v>4773.95</v>
      </c>
      <c r="C1065" s="116">
        <v>4747.05</v>
      </c>
      <c r="D1065" s="116">
        <v>4665.75</v>
      </c>
      <c r="E1065" s="116">
        <v>4703</v>
      </c>
      <c r="F1065" s="116">
        <v>4747.05</v>
      </c>
      <c r="G1065">
        <v>13964</v>
      </c>
      <c r="H1065" s="116"/>
      <c r="I1065" s="116"/>
      <c r="L1065" s="170">
        <v>45135</v>
      </c>
      <c r="M1065" s="116">
        <v>4745.75</v>
      </c>
      <c r="N1065" s="116">
        <v>4775</v>
      </c>
      <c r="O1065" s="116">
        <v>4665</v>
      </c>
      <c r="P1065" s="116">
        <v>4703</v>
      </c>
      <c r="Q1065" s="116">
        <v>4745.75</v>
      </c>
      <c r="R1065">
        <v>530565</v>
      </c>
    </row>
    <row r="1066" spans="1:18" x14ac:dyDescent="0.25">
      <c r="A1066" s="170">
        <v>45138</v>
      </c>
      <c r="B1066" s="116">
        <v>4875</v>
      </c>
      <c r="C1066" s="116">
        <v>4816.1000000000004</v>
      </c>
      <c r="D1066" s="116">
        <v>4742.45</v>
      </c>
      <c r="E1066" s="116">
        <v>4747.05</v>
      </c>
      <c r="F1066" s="116">
        <v>4816.1000000000004</v>
      </c>
      <c r="G1066">
        <v>32154</v>
      </c>
      <c r="H1066" s="116"/>
      <c r="I1066" s="116"/>
      <c r="L1066" s="170">
        <v>45138</v>
      </c>
      <c r="M1066" s="116">
        <v>4816.8</v>
      </c>
      <c r="N1066" s="116">
        <v>4876.95</v>
      </c>
      <c r="O1066" s="116">
        <v>4735.05</v>
      </c>
      <c r="P1066" s="116">
        <v>4745.75</v>
      </c>
      <c r="Q1066" s="116">
        <v>4816.8</v>
      </c>
      <c r="R1066">
        <v>702383</v>
      </c>
    </row>
    <row r="1067" spans="1:18" x14ac:dyDescent="0.25">
      <c r="A1067" s="170">
        <v>45139</v>
      </c>
      <c r="B1067" s="116">
        <v>4875.25</v>
      </c>
      <c r="C1067" s="116">
        <v>4629.8500000000004</v>
      </c>
      <c r="D1067" s="116">
        <v>4621</v>
      </c>
      <c r="E1067" s="116">
        <v>4830</v>
      </c>
      <c r="F1067" s="116">
        <v>4629.8500000000004</v>
      </c>
      <c r="G1067">
        <v>29645</v>
      </c>
      <c r="H1067" s="116"/>
      <c r="I1067" s="116"/>
      <c r="L1067" s="170">
        <v>45139</v>
      </c>
      <c r="M1067" s="116">
        <v>4630.2</v>
      </c>
      <c r="N1067" s="116">
        <v>4873.95</v>
      </c>
      <c r="O1067" s="116">
        <v>4616.3</v>
      </c>
      <c r="P1067" s="116">
        <v>4844.95</v>
      </c>
      <c r="Q1067" s="116">
        <v>4630.2</v>
      </c>
      <c r="R1067">
        <v>896053</v>
      </c>
    </row>
    <row r="1068" spans="1:18" x14ac:dyDescent="0.25">
      <c r="A1068" s="170">
        <v>45140</v>
      </c>
      <c r="B1068" s="116">
        <v>4705.3999999999996</v>
      </c>
      <c r="C1068" s="116">
        <v>4589.7</v>
      </c>
      <c r="D1068" s="116">
        <v>4560.8</v>
      </c>
      <c r="E1068" s="116">
        <v>4629</v>
      </c>
      <c r="F1068" s="116">
        <v>4589.7</v>
      </c>
      <c r="G1068">
        <v>27176</v>
      </c>
      <c r="H1068" s="116"/>
      <c r="I1068" s="116"/>
      <c r="L1068" s="170">
        <v>45140</v>
      </c>
      <c r="M1068" s="116">
        <v>4588.05</v>
      </c>
      <c r="N1068" s="116">
        <v>4702.3500000000004</v>
      </c>
      <c r="O1068" s="116">
        <v>4561.75</v>
      </c>
      <c r="P1068" s="116">
        <v>4630.2</v>
      </c>
      <c r="Q1068" s="116">
        <v>4588.05</v>
      </c>
      <c r="R1068">
        <v>879726</v>
      </c>
    </row>
    <row r="1069" spans="1:18" x14ac:dyDescent="0.25">
      <c r="A1069" s="170">
        <v>45141</v>
      </c>
      <c r="B1069" s="116">
        <v>4631.8500000000004</v>
      </c>
      <c r="C1069" s="116">
        <v>4613.3500000000004</v>
      </c>
      <c r="D1069" s="116">
        <v>4511.3</v>
      </c>
      <c r="E1069" s="116">
        <v>4580.05</v>
      </c>
      <c r="F1069" s="116">
        <v>4613.3500000000004</v>
      </c>
      <c r="G1069">
        <v>27047</v>
      </c>
      <c r="H1069" s="116"/>
      <c r="I1069" s="116"/>
      <c r="L1069" s="170">
        <v>45141</v>
      </c>
      <c r="M1069" s="116">
        <v>4614.8999999999996</v>
      </c>
      <c r="N1069" s="116">
        <v>4636.2</v>
      </c>
      <c r="O1069" s="116">
        <v>4512.05</v>
      </c>
      <c r="P1069" s="116">
        <v>4590</v>
      </c>
      <c r="Q1069" s="116">
        <v>4614.8999999999996</v>
      </c>
      <c r="R1069">
        <v>498305</v>
      </c>
    </row>
    <row r="1070" spans="1:18" x14ac:dyDescent="0.25">
      <c r="A1070" s="170">
        <v>45142</v>
      </c>
      <c r="B1070" s="116">
        <v>4660</v>
      </c>
      <c r="C1070" s="116">
        <v>4614.6000000000004</v>
      </c>
      <c r="D1070" s="116">
        <v>4592.7</v>
      </c>
      <c r="E1070" s="116">
        <v>4639.95</v>
      </c>
      <c r="F1070" s="116">
        <v>4614.6000000000004</v>
      </c>
      <c r="G1070">
        <v>13425</v>
      </c>
      <c r="H1070" s="116"/>
      <c r="I1070" s="116"/>
      <c r="L1070" s="170">
        <v>45142</v>
      </c>
      <c r="M1070" s="116">
        <v>4614.8999999999996</v>
      </c>
      <c r="N1070" s="116">
        <v>4663.7</v>
      </c>
      <c r="O1070" s="116">
        <v>4589.5</v>
      </c>
      <c r="P1070" s="116">
        <v>4630</v>
      </c>
      <c r="Q1070" s="116">
        <v>4614.8999999999996</v>
      </c>
      <c r="R1070">
        <v>375403</v>
      </c>
    </row>
    <row r="1071" spans="1:18" x14ac:dyDescent="0.25">
      <c r="A1071" s="170">
        <v>45145</v>
      </c>
      <c r="B1071" s="116">
        <v>4654</v>
      </c>
      <c r="C1071" s="116">
        <v>4599.25</v>
      </c>
      <c r="D1071" s="116">
        <v>4560.05</v>
      </c>
      <c r="E1071" s="116">
        <v>4641.05</v>
      </c>
      <c r="F1071" s="116">
        <v>4599.25</v>
      </c>
      <c r="G1071">
        <v>21876</v>
      </c>
      <c r="H1071" s="116"/>
      <c r="I1071" s="116"/>
      <c r="L1071" s="170">
        <v>45145</v>
      </c>
      <c r="M1071" s="116">
        <v>4599.3500000000004</v>
      </c>
      <c r="N1071" s="116">
        <v>4655</v>
      </c>
      <c r="O1071" s="116">
        <v>4559.1000000000004</v>
      </c>
      <c r="P1071" s="116">
        <v>4655</v>
      </c>
      <c r="Q1071" s="116">
        <v>4599.3500000000004</v>
      </c>
      <c r="R1071">
        <v>350693</v>
      </c>
    </row>
    <row r="1072" spans="1:18" x14ac:dyDescent="0.25">
      <c r="A1072" s="170">
        <v>45146</v>
      </c>
      <c r="B1072" s="116">
        <v>4678.75</v>
      </c>
      <c r="C1072" s="116">
        <v>4669.6499999999996</v>
      </c>
      <c r="D1072" s="116">
        <v>4601.6000000000004</v>
      </c>
      <c r="E1072" s="116">
        <v>4630</v>
      </c>
      <c r="F1072" s="116">
        <v>4669.6499999999996</v>
      </c>
      <c r="G1072">
        <v>9867</v>
      </c>
      <c r="H1072" s="116"/>
      <c r="I1072" s="116"/>
      <c r="L1072" s="170">
        <v>45146</v>
      </c>
      <c r="M1072" s="116">
        <v>4671.6000000000004</v>
      </c>
      <c r="N1072" s="116">
        <v>4679.95</v>
      </c>
      <c r="O1072" s="116">
        <v>4601.25</v>
      </c>
      <c r="P1072" s="116">
        <v>4634.8999999999996</v>
      </c>
      <c r="Q1072" s="116">
        <v>4671.6000000000004</v>
      </c>
      <c r="R1072">
        <v>421136</v>
      </c>
    </row>
    <row r="1073" spans="1:18" x14ac:dyDescent="0.25">
      <c r="A1073" s="170">
        <v>45147</v>
      </c>
      <c r="B1073" s="116">
        <v>4716.95</v>
      </c>
      <c r="C1073" s="116">
        <v>4682.05</v>
      </c>
      <c r="D1073" s="116">
        <v>4656.3500000000004</v>
      </c>
      <c r="E1073" s="116">
        <v>4669.6499999999996</v>
      </c>
      <c r="F1073" s="116">
        <v>4682.05</v>
      </c>
      <c r="G1073">
        <v>9269</v>
      </c>
      <c r="H1073" s="116"/>
      <c r="I1073" s="116"/>
      <c r="L1073" s="170">
        <v>45147</v>
      </c>
      <c r="M1073" s="116">
        <v>4683.8999999999996</v>
      </c>
      <c r="N1073" s="116">
        <v>4717</v>
      </c>
      <c r="O1073" s="116">
        <v>4650</v>
      </c>
      <c r="P1073" s="116">
        <v>4675</v>
      </c>
      <c r="Q1073" s="116">
        <v>4683.8999999999996</v>
      </c>
      <c r="R1073">
        <v>447877</v>
      </c>
    </row>
    <row r="1074" spans="1:18" x14ac:dyDescent="0.25">
      <c r="A1074" s="170">
        <v>45148</v>
      </c>
      <c r="B1074" s="116">
        <v>4689.7</v>
      </c>
      <c r="C1074" s="116">
        <v>4581.25</v>
      </c>
      <c r="D1074" s="116">
        <v>4575</v>
      </c>
      <c r="E1074" s="116">
        <v>4682.05</v>
      </c>
      <c r="F1074" s="116">
        <v>4581.25</v>
      </c>
      <c r="G1074">
        <v>9816</v>
      </c>
      <c r="H1074" s="116"/>
      <c r="I1074" s="116"/>
      <c r="L1074" s="170">
        <v>45148</v>
      </c>
      <c r="M1074" s="116">
        <v>4584.6499999999996</v>
      </c>
      <c r="N1074" s="116">
        <v>4689.3</v>
      </c>
      <c r="O1074" s="116">
        <v>4575.5</v>
      </c>
      <c r="P1074" s="116">
        <v>4660</v>
      </c>
      <c r="Q1074" s="116">
        <v>4584.6499999999996</v>
      </c>
      <c r="R1074">
        <v>327433</v>
      </c>
    </row>
    <row r="1075" spans="1:18" x14ac:dyDescent="0.25">
      <c r="A1075" s="170">
        <v>45149</v>
      </c>
      <c r="B1075" s="116">
        <v>4735.45</v>
      </c>
      <c r="C1075" s="116">
        <v>4663.2</v>
      </c>
      <c r="D1075" s="116">
        <v>4486.75</v>
      </c>
      <c r="E1075" s="116">
        <v>4581.25</v>
      </c>
      <c r="F1075" s="116">
        <v>4663.2</v>
      </c>
      <c r="G1075">
        <v>31589</v>
      </c>
      <c r="H1075" s="116"/>
      <c r="I1075" s="116"/>
      <c r="L1075" s="170">
        <v>45149</v>
      </c>
      <c r="M1075" s="116">
        <v>4659.45</v>
      </c>
      <c r="N1075" s="116">
        <v>4738.45</v>
      </c>
      <c r="O1075" s="116">
        <v>4490.75</v>
      </c>
      <c r="P1075" s="116">
        <v>4581</v>
      </c>
      <c r="Q1075" s="116">
        <v>4659.45</v>
      </c>
      <c r="R1075">
        <v>979085</v>
      </c>
    </row>
    <row r="1076" spans="1:18" x14ac:dyDescent="0.25">
      <c r="A1076" s="170">
        <v>45152</v>
      </c>
      <c r="B1076" s="116">
        <v>4748</v>
      </c>
      <c r="C1076" s="116">
        <v>4744.25</v>
      </c>
      <c r="D1076" s="116">
        <v>4636.8999999999996</v>
      </c>
      <c r="E1076" s="116">
        <v>4659</v>
      </c>
      <c r="F1076" s="116">
        <v>4744.25</v>
      </c>
      <c r="G1076">
        <v>28306</v>
      </c>
      <c r="H1076" s="116"/>
      <c r="I1076" s="116"/>
      <c r="L1076" s="170">
        <v>45152</v>
      </c>
      <c r="M1076" s="116">
        <v>4744.7</v>
      </c>
      <c r="N1076" s="116">
        <v>4750</v>
      </c>
      <c r="O1076" s="116">
        <v>4636.1000000000004</v>
      </c>
      <c r="P1076" s="116">
        <v>4659</v>
      </c>
      <c r="Q1076" s="116">
        <v>4744.7</v>
      </c>
      <c r="R1076">
        <v>448711</v>
      </c>
    </row>
    <row r="1077" spans="1:18" x14ac:dyDescent="0.25">
      <c r="A1077" s="170">
        <v>45154</v>
      </c>
      <c r="B1077" s="116">
        <v>4870</v>
      </c>
      <c r="C1077" s="116">
        <v>4852.2</v>
      </c>
      <c r="D1077" s="116">
        <v>4731.3999999999996</v>
      </c>
      <c r="E1077" s="116">
        <v>4744</v>
      </c>
      <c r="F1077" s="116">
        <v>4852.2</v>
      </c>
      <c r="G1077">
        <v>22829</v>
      </c>
      <c r="H1077" s="116"/>
      <c r="I1077" s="116"/>
      <c r="L1077" s="170">
        <v>45154</v>
      </c>
      <c r="M1077" s="116">
        <v>4853.75</v>
      </c>
      <c r="N1077" s="116">
        <v>4870</v>
      </c>
      <c r="O1077" s="116">
        <v>4733.3</v>
      </c>
      <c r="P1077" s="116">
        <v>4739.95</v>
      </c>
      <c r="Q1077" s="116">
        <v>4853.75</v>
      </c>
      <c r="R1077">
        <v>837609</v>
      </c>
    </row>
    <row r="1078" spans="1:18" x14ac:dyDescent="0.25">
      <c r="A1078" s="170">
        <v>45155</v>
      </c>
      <c r="B1078" s="116">
        <v>4911.3</v>
      </c>
      <c r="C1078" s="116">
        <v>4819.8</v>
      </c>
      <c r="D1078" s="116">
        <v>4781</v>
      </c>
      <c r="E1078" s="116">
        <v>4865</v>
      </c>
      <c r="F1078" s="116">
        <v>4819.8</v>
      </c>
      <c r="G1078">
        <v>21559</v>
      </c>
      <c r="H1078" s="116"/>
      <c r="I1078" s="116"/>
      <c r="L1078" s="170">
        <v>45155</v>
      </c>
      <c r="M1078" s="116">
        <v>4818</v>
      </c>
      <c r="N1078" s="116">
        <v>4908.8500000000004</v>
      </c>
      <c r="O1078" s="116">
        <v>4779.3500000000004</v>
      </c>
      <c r="P1078" s="116">
        <v>4868</v>
      </c>
      <c r="Q1078" s="116">
        <v>4818</v>
      </c>
      <c r="R1078">
        <v>653948</v>
      </c>
    </row>
    <row r="1079" spans="1:18" x14ac:dyDescent="0.25">
      <c r="A1079" s="170">
        <v>45156</v>
      </c>
      <c r="B1079" s="116">
        <v>4863.25</v>
      </c>
      <c r="C1079" s="116">
        <v>4773.25</v>
      </c>
      <c r="D1079" s="116">
        <v>4754</v>
      </c>
      <c r="E1079" s="116">
        <v>4822.75</v>
      </c>
      <c r="F1079" s="116">
        <v>4773.25</v>
      </c>
      <c r="G1079">
        <v>21525</v>
      </c>
      <c r="H1079" s="116"/>
      <c r="I1079" s="116"/>
      <c r="L1079" s="170">
        <v>45156</v>
      </c>
      <c r="M1079" s="116">
        <v>4777.6499999999996</v>
      </c>
      <c r="N1079" s="116">
        <v>4864.3999999999996</v>
      </c>
      <c r="O1079" s="116">
        <v>4753</v>
      </c>
      <c r="P1079" s="116">
        <v>4819</v>
      </c>
      <c r="Q1079" s="116">
        <v>4777.6499999999996</v>
      </c>
      <c r="R1079">
        <v>330161</v>
      </c>
    </row>
    <row r="1080" spans="1:18" x14ac:dyDescent="0.25">
      <c r="A1080" s="170">
        <v>45159</v>
      </c>
      <c r="B1080" s="116">
        <v>4860</v>
      </c>
      <c r="C1080" s="116">
        <v>4850.2</v>
      </c>
      <c r="D1080" s="116">
        <v>4749.8500000000004</v>
      </c>
      <c r="E1080" s="116">
        <v>4777.05</v>
      </c>
      <c r="F1080" s="116">
        <v>4850.2</v>
      </c>
      <c r="G1080">
        <v>8442</v>
      </c>
      <c r="H1080" s="116"/>
      <c r="I1080" s="116"/>
      <c r="L1080" s="170">
        <v>45159</v>
      </c>
      <c r="M1080" s="116">
        <v>4850.1000000000004</v>
      </c>
      <c r="N1080" s="116">
        <v>4860</v>
      </c>
      <c r="O1080" s="116">
        <v>4751.1000000000004</v>
      </c>
      <c r="P1080" s="116">
        <v>4784.95</v>
      </c>
      <c r="Q1080" s="116">
        <v>4850.1000000000004</v>
      </c>
      <c r="R1080">
        <v>329531</v>
      </c>
    </row>
    <row r="1081" spans="1:18" x14ac:dyDescent="0.25">
      <c r="A1081" s="170">
        <v>45160</v>
      </c>
      <c r="B1081" s="116">
        <v>5009</v>
      </c>
      <c r="C1081" s="116">
        <v>4998.3500000000004</v>
      </c>
      <c r="D1081" s="116">
        <v>4861.6000000000004</v>
      </c>
      <c r="E1081" s="116">
        <v>4863.95</v>
      </c>
      <c r="F1081" s="116">
        <v>4998.3500000000004</v>
      </c>
      <c r="G1081">
        <v>47192</v>
      </c>
      <c r="H1081" s="116"/>
      <c r="I1081" s="116"/>
      <c r="L1081" s="170">
        <v>45160</v>
      </c>
      <c r="M1081" s="116">
        <v>4997.2</v>
      </c>
      <c r="N1081" s="116">
        <v>5008.3999999999996</v>
      </c>
      <c r="O1081" s="116">
        <v>4858.25</v>
      </c>
      <c r="P1081" s="116">
        <v>4875</v>
      </c>
      <c r="Q1081" s="116">
        <v>4997.2</v>
      </c>
      <c r="R1081">
        <v>929778</v>
      </c>
    </row>
    <row r="1082" spans="1:18" x14ac:dyDescent="0.25">
      <c r="A1082" s="170">
        <v>45161</v>
      </c>
      <c r="B1082" s="116">
        <v>5153.8</v>
      </c>
      <c r="C1082" s="116">
        <v>5132.3999999999996</v>
      </c>
      <c r="D1082" s="116">
        <v>5001.45</v>
      </c>
      <c r="E1082" s="116">
        <v>5025</v>
      </c>
      <c r="F1082" s="116">
        <v>5132.3999999999996</v>
      </c>
      <c r="G1082">
        <v>43091</v>
      </c>
      <c r="H1082" s="116"/>
      <c r="I1082" s="116"/>
      <c r="L1082" s="170">
        <v>45161</v>
      </c>
      <c r="M1082" s="116">
        <v>5135.05</v>
      </c>
      <c r="N1082" s="116">
        <v>5156</v>
      </c>
      <c r="O1082" s="116">
        <v>5001</v>
      </c>
      <c r="P1082" s="116">
        <v>5020.6499999999996</v>
      </c>
      <c r="Q1082" s="116">
        <v>5135.05</v>
      </c>
      <c r="R1082">
        <v>975669</v>
      </c>
    </row>
    <row r="1083" spans="1:18" x14ac:dyDescent="0.25">
      <c r="A1083" s="170">
        <v>45162</v>
      </c>
      <c r="B1083" s="116">
        <v>5162.8999999999996</v>
      </c>
      <c r="C1083" s="116">
        <v>5028.8999999999996</v>
      </c>
      <c r="D1083" s="116">
        <v>4986.2</v>
      </c>
      <c r="E1083" s="116">
        <v>5150.3</v>
      </c>
      <c r="F1083" s="116">
        <v>5028.8999999999996</v>
      </c>
      <c r="G1083">
        <v>30030</v>
      </c>
      <c r="H1083" s="116"/>
      <c r="I1083" s="116"/>
      <c r="L1083" s="170">
        <v>45162</v>
      </c>
      <c r="M1083" s="116">
        <v>5026.8500000000004</v>
      </c>
      <c r="N1083" s="116">
        <v>5166</v>
      </c>
      <c r="O1083" s="116">
        <v>4985.8</v>
      </c>
      <c r="P1083" s="116">
        <v>5165</v>
      </c>
      <c r="Q1083" s="116">
        <v>5026.8500000000004</v>
      </c>
      <c r="R1083">
        <v>675077</v>
      </c>
    </row>
    <row r="1084" spans="1:18" x14ac:dyDescent="0.25">
      <c r="A1084" s="170">
        <v>45163</v>
      </c>
      <c r="B1084" s="116">
        <v>5046.95</v>
      </c>
      <c r="C1084" s="116">
        <v>4999.2</v>
      </c>
      <c r="D1084" s="116">
        <v>4929.7</v>
      </c>
      <c r="E1084" s="116">
        <v>5046.95</v>
      </c>
      <c r="F1084" s="116">
        <v>4999.2</v>
      </c>
      <c r="G1084">
        <v>20421</v>
      </c>
      <c r="H1084" s="116"/>
      <c r="I1084" s="116"/>
      <c r="L1084" s="170">
        <v>45163</v>
      </c>
      <c r="M1084" s="116">
        <v>5001.95</v>
      </c>
      <c r="N1084" s="116">
        <v>5030</v>
      </c>
      <c r="O1084" s="116">
        <v>4930</v>
      </c>
      <c r="P1084" s="116">
        <v>5020</v>
      </c>
      <c r="Q1084" s="116">
        <v>5001.95</v>
      </c>
      <c r="R1084">
        <v>479853</v>
      </c>
    </row>
    <row r="1085" spans="1:18" x14ac:dyDescent="0.25">
      <c r="A1085" s="170">
        <v>45166</v>
      </c>
      <c r="B1085" s="116">
        <v>5112</v>
      </c>
      <c r="C1085" s="116">
        <v>5093.6000000000004</v>
      </c>
      <c r="D1085" s="116">
        <v>5001.95</v>
      </c>
      <c r="E1085" s="116">
        <v>5001.95</v>
      </c>
      <c r="F1085" s="116">
        <v>5093.6000000000004</v>
      </c>
      <c r="G1085">
        <v>15202</v>
      </c>
      <c r="H1085" s="116"/>
      <c r="I1085" s="116"/>
      <c r="L1085" s="170">
        <v>45166</v>
      </c>
      <c r="M1085" s="116">
        <v>5093.45</v>
      </c>
      <c r="N1085" s="116">
        <v>5113.3500000000004</v>
      </c>
      <c r="O1085" s="116">
        <v>5001.8999999999996</v>
      </c>
      <c r="P1085" s="116">
        <v>5011.95</v>
      </c>
      <c r="Q1085" s="116">
        <v>5093.45</v>
      </c>
      <c r="R1085">
        <v>669023</v>
      </c>
    </row>
    <row r="1086" spans="1:18" x14ac:dyDescent="0.25">
      <c r="A1086" s="170">
        <v>45167</v>
      </c>
      <c r="B1086" s="116">
        <v>5128.95</v>
      </c>
      <c r="C1086" s="116">
        <v>5021.8500000000004</v>
      </c>
      <c r="D1086" s="116">
        <v>5009.5</v>
      </c>
      <c r="E1086" s="116">
        <v>5128.95</v>
      </c>
      <c r="F1086" s="116">
        <v>5021.8500000000004</v>
      </c>
      <c r="G1086">
        <v>16162</v>
      </c>
      <c r="H1086" s="116"/>
      <c r="I1086" s="116"/>
      <c r="L1086" s="170">
        <v>45167</v>
      </c>
      <c r="M1086" s="116">
        <v>5020.55</v>
      </c>
      <c r="N1086" s="116">
        <v>5126.6000000000004</v>
      </c>
      <c r="O1086" s="116">
        <v>5008</v>
      </c>
      <c r="P1086" s="116">
        <v>5115</v>
      </c>
      <c r="Q1086" s="116">
        <v>5020.55</v>
      </c>
      <c r="R1086">
        <v>425772</v>
      </c>
    </row>
    <row r="1087" spans="1:18" x14ac:dyDescent="0.25">
      <c r="A1087" s="170">
        <v>45168</v>
      </c>
      <c r="B1087" s="116">
        <v>5068.3500000000004</v>
      </c>
      <c r="C1087" s="116">
        <v>5043.2</v>
      </c>
      <c r="D1087" s="116">
        <v>4989.95</v>
      </c>
      <c r="E1087" s="116">
        <v>5029.95</v>
      </c>
      <c r="F1087" s="116">
        <v>5043.2</v>
      </c>
      <c r="G1087">
        <v>16746</v>
      </c>
      <c r="H1087" s="116"/>
      <c r="I1087" s="116"/>
      <c r="L1087" s="170">
        <v>45168</v>
      </c>
      <c r="M1087" s="116">
        <v>5040.7</v>
      </c>
      <c r="N1087" s="116">
        <v>5070</v>
      </c>
      <c r="O1087" s="116">
        <v>4990.05</v>
      </c>
      <c r="P1087" s="116">
        <v>5045.75</v>
      </c>
      <c r="Q1087" s="116">
        <v>5040.7</v>
      </c>
      <c r="R1087">
        <v>327971</v>
      </c>
    </row>
    <row r="1088" spans="1:18" x14ac:dyDescent="0.25">
      <c r="A1088" s="170">
        <v>45169</v>
      </c>
      <c r="B1088" s="116">
        <v>5138.8</v>
      </c>
      <c r="C1088" s="116">
        <v>5120.5</v>
      </c>
      <c r="D1088" s="116">
        <v>5040.6499999999996</v>
      </c>
      <c r="E1088" s="116">
        <v>5059</v>
      </c>
      <c r="F1088" s="116">
        <v>5120.5</v>
      </c>
      <c r="G1088">
        <v>22307</v>
      </c>
      <c r="H1088" s="116"/>
      <c r="I1088" s="116"/>
      <c r="L1088" s="170">
        <v>45169</v>
      </c>
      <c r="M1088" s="116">
        <v>5123.05</v>
      </c>
      <c r="N1088" s="116">
        <v>5139.8999999999996</v>
      </c>
      <c r="O1088" s="116">
        <v>5040.1499999999996</v>
      </c>
      <c r="P1088" s="116">
        <v>5069.95</v>
      </c>
      <c r="Q1088" s="116">
        <v>5123.05</v>
      </c>
      <c r="R1088">
        <v>484299</v>
      </c>
    </row>
    <row r="1089" spans="1:18" x14ac:dyDescent="0.25">
      <c r="A1089" s="170">
        <v>45170</v>
      </c>
      <c r="B1089" s="116">
        <v>5220.75</v>
      </c>
      <c r="C1089" s="116">
        <v>5196.8999999999996</v>
      </c>
      <c r="D1089" s="116">
        <v>5094.5</v>
      </c>
      <c r="E1089" s="116">
        <v>5149.95</v>
      </c>
      <c r="F1089" s="116">
        <v>5196.8999999999996</v>
      </c>
      <c r="G1089">
        <v>13809</v>
      </c>
      <c r="H1089" s="116"/>
      <c r="I1089" s="116"/>
      <c r="L1089" s="170">
        <v>45170</v>
      </c>
      <c r="M1089" s="116">
        <v>5208.25</v>
      </c>
      <c r="N1089" s="116">
        <v>5220</v>
      </c>
      <c r="O1089" s="116">
        <v>5094.8999999999996</v>
      </c>
      <c r="P1089" s="116">
        <v>5139.75</v>
      </c>
      <c r="Q1089" s="116">
        <v>5208.25</v>
      </c>
      <c r="R1089">
        <v>448449</v>
      </c>
    </row>
    <row r="1090" spans="1:18" x14ac:dyDescent="0.25">
      <c r="A1090" s="170">
        <v>45173</v>
      </c>
      <c r="B1090" s="116">
        <v>5272.35</v>
      </c>
      <c r="C1090" s="116">
        <v>5217.3</v>
      </c>
      <c r="D1090" s="116">
        <v>5140.8</v>
      </c>
      <c r="E1090" s="116">
        <v>5224.25</v>
      </c>
      <c r="F1090" s="116">
        <v>5217.3</v>
      </c>
      <c r="G1090">
        <v>8690</v>
      </c>
      <c r="H1090" s="116"/>
      <c r="I1090" s="116"/>
      <c r="L1090" s="170">
        <v>45173</v>
      </c>
      <c r="M1090" s="116">
        <v>5218.55</v>
      </c>
      <c r="N1090" s="116">
        <v>5249.05</v>
      </c>
      <c r="O1090" s="116">
        <v>5140</v>
      </c>
      <c r="P1090" s="116">
        <v>5235</v>
      </c>
      <c r="Q1090" s="116">
        <v>5218.55</v>
      </c>
      <c r="R1090">
        <v>355134</v>
      </c>
    </row>
    <row r="1091" spans="1:18" x14ac:dyDescent="0.25">
      <c r="A1091" s="170">
        <v>45174</v>
      </c>
      <c r="B1091" s="116">
        <v>5310.85</v>
      </c>
      <c r="C1091" s="116">
        <v>5293.7</v>
      </c>
      <c r="D1091" s="116">
        <v>5206.55</v>
      </c>
      <c r="E1091" s="116">
        <v>5229</v>
      </c>
      <c r="F1091" s="116">
        <v>5293.7</v>
      </c>
      <c r="G1091">
        <v>12100</v>
      </c>
      <c r="H1091" s="116"/>
      <c r="I1091" s="116"/>
      <c r="L1091" s="170">
        <v>45174</v>
      </c>
      <c r="M1091" s="116">
        <v>5303.75</v>
      </c>
      <c r="N1091" s="116">
        <v>5311</v>
      </c>
      <c r="O1091" s="116">
        <v>5211.45</v>
      </c>
      <c r="P1091" s="116">
        <v>5224</v>
      </c>
      <c r="Q1091" s="116">
        <v>5303.75</v>
      </c>
      <c r="R1091">
        <v>464679</v>
      </c>
    </row>
    <row r="1092" spans="1:18" x14ac:dyDescent="0.25">
      <c r="A1092" s="170">
        <v>45175</v>
      </c>
      <c r="B1092" s="116">
        <v>5331</v>
      </c>
      <c r="C1092" s="116">
        <v>5292.4</v>
      </c>
      <c r="D1092" s="116">
        <v>5270</v>
      </c>
      <c r="E1092" s="116">
        <v>5323.95</v>
      </c>
      <c r="F1092" s="116">
        <v>5292.4</v>
      </c>
      <c r="G1092">
        <v>12341</v>
      </c>
      <c r="H1092" s="116"/>
      <c r="I1092" s="116"/>
      <c r="L1092" s="170">
        <v>45175</v>
      </c>
      <c r="M1092" s="116">
        <v>5293.75</v>
      </c>
      <c r="N1092" s="116">
        <v>5333</v>
      </c>
      <c r="O1092" s="116">
        <v>5244.5</v>
      </c>
      <c r="P1092" s="116">
        <v>5308.8</v>
      </c>
      <c r="Q1092" s="116">
        <v>5293.75</v>
      </c>
      <c r="R1092">
        <v>374585</v>
      </c>
    </row>
    <row r="1093" spans="1:18" x14ac:dyDescent="0.25">
      <c r="A1093" s="170">
        <v>45176</v>
      </c>
      <c r="B1093" s="116">
        <v>5314.65</v>
      </c>
      <c r="C1093" s="116">
        <v>5182.6499999999996</v>
      </c>
      <c r="D1093" s="116">
        <v>5166.7</v>
      </c>
      <c r="E1093" s="116">
        <v>5300</v>
      </c>
      <c r="F1093" s="116">
        <v>5182.6499999999996</v>
      </c>
      <c r="G1093">
        <v>13537</v>
      </c>
      <c r="H1093" s="116"/>
      <c r="I1093" s="116"/>
      <c r="L1093" s="170">
        <v>45176</v>
      </c>
      <c r="M1093" s="116">
        <v>5185.3999999999996</v>
      </c>
      <c r="N1093" s="116">
        <v>5315</v>
      </c>
      <c r="O1093" s="116">
        <v>5172.2</v>
      </c>
      <c r="P1093" s="116">
        <v>5303</v>
      </c>
      <c r="Q1093" s="116">
        <v>5185.3999999999996</v>
      </c>
      <c r="R1093">
        <v>515569</v>
      </c>
    </row>
    <row r="1094" spans="1:18" x14ac:dyDescent="0.25">
      <c r="A1094" s="170">
        <v>45177</v>
      </c>
      <c r="B1094" s="116">
        <v>5225.3500000000004</v>
      </c>
      <c r="C1094" s="116">
        <v>5199.3999999999996</v>
      </c>
      <c r="D1094" s="116">
        <v>5163.95</v>
      </c>
      <c r="E1094" s="116">
        <v>5225.3500000000004</v>
      </c>
      <c r="F1094" s="116">
        <v>5199.3999999999996</v>
      </c>
      <c r="G1094">
        <v>8227</v>
      </c>
      <c r="H1094" s="116"/>
      <c r="I1094" s="116"/>
      <c r="L1094" s="170">
        <v>45177</v>
      </c>
      <c r="M1094" s="116">
        <v>5199.3</v>
      </c>
      <c r="N1094" s="116">
        <v>5209.45</v>
      </c>
      <c r="O1094" s="116">
        <v>5165</v>
      </c>
      <c r="P1094" s="116">
        <v>5187.05</v>
      </c>
      <c r="Q1094" s="116">
        <v>5199.3</v>
      </c>
      <c r="R1094">
        <v>372420</v>
      </c>
    </row>
    <row r="1095" spans="1:18" x14ac:dyDescent="0.25">
      <c r="A1095" s="170">
        <v>45180</v>
      </c>
      <c r="B1095" s="116">
        <v>5220</v>
      </c>
      <c r="C1095" s="116">
        <v>5147.95</v>
      </c>
      <c r="D1095" s="116">
        <v>5126.45</v>
      </c>
      <c r="E1095" s="116">
        <v>5200.05</v>
      </c>
      <c r="F1095" s="116">
        <v>5147.95</v>
      </c>
      <c r="G1095">
        <v>22572</v>
      </c>
      <c r="H1095" s="116"/>
      <c r="I1095" s="116"/>
      <c r="L1095" s="170">
        <v>45180</v>
      </c>
      <c r="M1095" s="116">
        <v>5147.95</v>
      </c>
      <c r="N1095" s="116">
        <v>5221.7</v>
      </c>
      <c r="O1095" s="116">
        <v>5127.2</v>
      </c>
      <c r="P1095" s="116">
        <v>5213.1499999999996</v>
      </c>
      <c r="Q1095" s="116">
        <v>5147.95</v>
      </c>
      <c r="R1095">
        <v>398409</v>
      </c>
    </row>
    <row r="1096" spans="1:18" x14ac:dyDescent="0.25">
      <c r="A1096" s="170">
        <v>45181</v>
      </c>
      <c r="B1096" s="116">
        <v>5200</v>
      </c>
      <c r="C1096" s="116">
        <v>4942.6000000000004</v>
      </c>
      <c r="D1096" s="116">
        <v>4934.5</v>
      </c>
      <c r="E1096" s="116">
        <v>5170.8999999999996</v>
      </c>
      <c r="F1096" s="116">
        <v>4942.6000000000004</v>
      </c>
      <c r="G1096">
        <v>40094</v>
      </c>
      <c r="H1096" s="116"/>
      <c r="I1096" s="116"/>
      <c r="L1096" s="170">
        <v>45181</v>
      </c>
      <c r="M1096" s="116">
        <v>4942.3999999999996</v>
      </c>
      <c r="N1096" s="116">
        <v>5200</v>
      </c>
      <c r="O1096" s="116">
        <v>4933.25</v>
      </c>
      <c r="P1096" s="116">
        <v>5189.8500000000004</v>
      </c>
      <c r="Q1096" s="116">
        <v>4942.3999999999996</v>
      </c>
      <c r="R1096">
        <v>693209</v>
      </c>
    </row>
    <row r="1097" spans="1:18" x14ac:dyDescent="0.25">
      <c r="A1097" s="170">
        <v>45182</v>
      </c>
      <c r="B1097" s="116">
        <v>5050</v>
      </c>
      <c r="C1097" s="116">
        <v>5040.1000000000004</v>
      </c>
      <c r="D1097" s="116">
        <v>4851.1000000000004</v>
      </c>
      <c r="E1097" s="116">
        <v>4950</v>
      </c>
      <c r="F1097" s="116">
        <v>5040.1000000000004</v>
      </c>
      <c r="G1097">
        <v>28245</v>
      </c>
      <c r="H1097" s="116"/>
      <c r="I1097" s="116"/>
      <c r="L1097" s="170">
        <v>45182</v>
      </c>
      <c r="M1097" s="116">
        <v>5043.3999999999996</v>
      </c>
      <c r="N1097" s="116">
        <v>5053.45</v>
      </c>
      <c r="O1097" s="116">
        <v>4849.45</v>
      </c>
      <c r="P1097" s="116">
        <v>4951</v>
      </c>
      <c r="Q1097" s="116">
        <v>5043.3999999999996</v>
      </c>
      <c r="R1097">
        <v>802559</v>
      </c>
    </row>
    <row r="1098" spans="1:18" x14ac:dyDescent="0.25">
      <c r="A1098" s="170">
        <v>45183</v>
      </c>
      <c r="B1098" s="116">
        <v>5179.1499999999996</v>
      </c>
      <c r="C1098" s="116">
        <v>5168.1499999999996</v>
      </c>
      <c r="D1098" s="116">
        <v>5044.3500000000004</v>
      </c>
      <c r="E1098" s="116">
        <v>5088.8999999999996</v>
      </c>
      <c r="F1098" s="116">
        <v>5168.1499999999996</v>
      </c>
      <c r="G1098">
        <v>11377</v>
      </c>
      <c r="H1098" s="116"/>
      <c r="I1098" s="116"/>
      <c r="L1098" s="170">
        <v>45183</v>
      </c>
      <c r="M1098" s="116">
        <v>5167.95</v>
      </c>
      <c r="N1098" s="116">
        <v>5178.3500000000004</v>
      </c>
      <c r="O1098" s="116">
        <v>5045.25</v>
      </c>
      <c r="P1098" s="116">
        <v>5067.95</v>
      </c>
      <c r="Q1098" s="116">
        <v>5167.95</v>
      </c>
      <c r="R1098">
        <v>513990</v>
      </c>
    </row>
    <row r="1099" spans="1:18" x14ac:dyDescent="0.25">
      <c r="A1099" s="170">
        <v>45184</v>
      </c>
      <c r="B1099" s="116">
        <v>5198.1499999999996</v>
      </c>
      <c r="C1099" s="116">
        <v>5167.95</v>
      </c>
      <c r="D1099" s="116">
        <v>5117</v>
      </c>
      <c r="E1099" s="116">
        <v>5168.1499999999996</v>
      </c>
      <c r="F1099" s="116">
        <v>5167.95</v>
      </c>
      <c r="G1099">
        <v>13631</v>
      </c>
      <c r="H1099" s="116"/>
      <c r="I1099" s="116"/>
      <c r="L1099" s="170">
        <v>45184</v>
      </c>
      <c r="M1099" s="116">
        <v>5166.8</v>
      </c>
      <c r="N1099" s="116">
        <v>5197.45</v>
      </c>
      <c r="O1099" s="116">
        <v>5116.3500000000004</v>
      </c>
      <c r="P1099" s="116">
        <v>5174</v>
      </c>
      <c r="Q1099" s="116">
        <v>5166.8</v>
      </c>
      <c r="R1099">
        <v>350026</v>
      </c>
    </row>
    <row r="1100" spans="1:18" x14ac:dyDescent="0.25">
      <c r="A1100" s="170">
        <v>45187</v>
      </c>
      <c r="B1100" s="116">
        <v>5197.95</v>
      </c>
      <c r="C1100" s="116">
        <v>5133.45</v>
      </c>
      <c r="D1100" s="116">
        <v>5123.75</v>
      </c>
      <c r="E1100" s="116">
        <v>5150.05</v>
      </c>
      <c r="F1100" s="116">
        <v>5133.45</v>
      </c>
      <c r="G1100">
        <v>12055</v>
      </c>
      <c r="H1100" s="116"/>
      <c r="I1100" s="116"/>
      <c r="L1100" s="170">
        <v>45187</v>
      </c>
      <c r="M1100" s="116">
        <v>5135.25</v>
      </c>
      <c r="N1100" s="116">
        <v>5198.1499999999996</v>
      </c>
      <c r="O1100" s="116">
        <v>5122.6000000000004</v>
      </c>
      <c r="P1100" s="116">
        <v>5182</v>
      </c>
      <c r="Q1100" s="116">
        <v>5135.25</v>
      </c>
      <c r="R1100">
        <v>188335</v>
      </c>
    </row>
    <row r="1101" spans="1:18" x14ac:dyDescent="0.25">
      <c r="A1101" s="170">
        <v>45189</v>
      </c>
      <c r="B1101" s="116">
        <v>5300</v>
      </c>
      <c r="C1101" s="116">
        <v>5287.35</v>
      </c>
      <c r="D1101" s="116">
        <v>5120</v>
      </c>
      <c r="E1101" s="116">
        <v>5120.5</v>
      </c>
      <c r="F1101" s="116">
        <v>5287.35</v>
      </c>
      <c r="G1101">
        <v>23533</v>
      </c>
      <c r="H1101" s="116"/>
      <c r="I1101" s="116"/>
      <c r="L1101" s="170">
        <v>45189</v>
      </c>
      <c r="M1101" s="116">
        <v>5287.6</v>
      </c>
      <c r="N1101" s="116">
        <v>5300</v>
      </c>
      <c r="O1101" s="116">
        <v>5118.25</v>
      </c>
      <c r="P1101" s="116">
        <v>5140</v>
      </c>
      <c r="Q1101" s="116">
        <v>5287.6</v>
      </c>
      <c r="R1101">
        <v>886432</v>
      </c>
    </row>
    <row r="1102" spans="1:18" x14ac:dyDescent="0.25">
      <c r="A1102" s="170">
        <v>45190</v>
      </c>
      <c r="B1102" s="116">
        <v>5357.55</v>
      </c>
      <c r="C1102" s="116">
        <v>5222.5</v>
      </c>
      <c r="D1102" s="116">
        <v>5186.45</v>
      </c>
      <c r="E1102" s="116">
        <v>5314.95</v>
      </c>
      <c r="F1102" s="116">
        <v>5222.5</v>
      </c>
      <c r="G1102">
        <v>26323</v>
      </c>
      <c r="H1102" s="116"/>
      <c r="I1102" s="116"/>
      <c r="L1102" s="170">
        <v>45190</v>
      </c>
      <c r="M1102" s="116">
        <v>5221.8500000000004</v>
      </c>
      <c r="N1102" s="116">
        <v>5358.55</v>
      </c>
      <c r="O1102" s="116">
        <v>5184.05</v>
      </c>
      <c r="P1102" s="116">
        <v>5300</v>
      </c>
      <c r="Q1102" s="116">
        <v>5221.8500000000004</v>
      </c>
      <c r="R1102">
        <v>788735</v>
      </c>
    </row>
    <row r="1103" spans="1:18" x14ac:dyDescent="0.25">
      <c r="A1103" s="170">
        <v>45191</v>
      </c>
      <c r="B1103" s="116">
        <v>5248.35</v>
      </c>
      <c r="C1103" s="116">
        <v>5129.3500000000004</v>
      </c>
      <c r="D1103" s="116">
        <v>5076.8999999999996</v>
      </c>
      <c r="E1103" s="116">
        <v>5248.35</v>
      </c>
      <c r="F1103" s="116">
        <v>5129.3500000000004</v>
      </c>
      <c r="G1103">
        <v>22387</v>
      </c>
      <c r="H1103" s="116"/>
      <c r="I1103" s="116"/>
      <c r="L1103" s="170">
        <v>45191</v>
      </c>
      <c r="M1103" s="116">
        <v>5130</v>
      </c>
      <c r="N1103" s="116">
        <v>5241.55</v>
      </c>
      <c r="O1103" s="116">
        <v>5085</v>
      </c>
      <c r="P1103" s="116">
        <v>5225</v>
      </c>
      <c r="Q1103" s="116">
        <v>5130</v>
      </c>
      <c r="R1103">
        <v>660080</v>
      </c>
    </row>
    <row r="1104" spans="1:18" x14ac:dyDescent="0.25">
      <c r="A1104" s="170">
        <v>45194</v>
      </c>
      <c r="B1104" s="116">
        <v>5260.2</v>
      </c>
      <c r="C1104" s="116">
        <v>5207.45</v>
      </c>
      <c r="D1104" s="116">
        <v>5089.55</v>
      </c>
      <c r="E1104" s="116">
        <v>5150</v>
      </c>
      <c r="F1104" s="116">
        <v>5207.45</v>
      </c>
      <c r="G1104">
        <v>10245</v>
      </c>
      <c r="H1104" s="116"/>
      <c r="I1104" s="116"/>
      <c r="L1104" s="170">
        <v>45194</v>
      </c>
      <c r="M1104" s="116">
        <v>5206.6000000000004</v>
      </c>
      <c r="N1104" s="116">
        <v>5262.95</v>
      </c>
      <c r="O1104" s="116">
        <v>5086.05</v>
      </c>
      <c r="P1104" s="116">
        <v>5151</v>
      </c>
      <c r="Q1104" s="116">
        <v>5206.6000000000004</v>
      </c>
      <c r="R1104">
        <v>702950</v>
      </c>
    </row>
    <row r="1105" spans="1:18" x14ac:dyDescent="0.25">
      <c r="A1105" s="170">
        <v>45195</v>
      </c>
      <c r="B1105" s="116">
        <v>5222.1000000000004</v>
      </c>
      <c r="C1105" s="116">
        <v>5139.3500000000004</v>
      </c>
      <c r="D1105" s="116">
        <v>5118.6499999999996</v>
      </c>
      <c r="E1105" s="116">
        <v>5211</v>
      </c>
      <c r="F1105" s="116">
        <v>5139.3500000000004</v>
      </c>
      <c r="G1105">
        <v>11466</v>
      </c>
      <c r="H1105" s="116"/>
      <c r="I1105" s="116"/>
      <c r="L1105" s="170">
        <v>45195</v>
      </c>
      <c r="M1105" s="116">
        <v>5139.05</v>
      </c>
      <c r="N1105" s="116">
        <v>5227.95</v>
      </c>
      <c r="O1105" s="116">
        <v>5119.3</v>
      </c>
      <c r="P1105" s="116">
        <v>5212.05</v>
      </c>
      <c r="Q1105" s="116">
        <v>5139.05</v>
      </c>
      <c r="R1105">
        <v>382174</v>
      </c>
    </row>
    <row r="1106" spans="1:18" x14ac:dyDescent="0.25">
      <c r="A1106" s="170">
        <v>45196</v>
      </c>
      <c r="B1106" s="116">
        <v>5375</v>
      </c>
      <c r="C1106" s="116">
        <v>5360.65</v>
      </c>
      <c r="D1106" s="116">
        <v>5116.05</v>
      </c>
      <c r="E1106" s="116">
        <v>5169.8999999999996</v>
      </c>
      <c r="F1106" s="116">
        <v>5360.65</v>
      </c>
      <c r="G1106">
        <v>35708</v>
      </c>
      <c r="H1106" s="116"/>
      <c r="I1106" s="116"/>
      <c r="L1106" s="170">
        <v>45196</v>
      </c>
      <c r="M1106" s="116">
        <v>5360.55</v>
      </c>
      <c r="N1106" s="116">
        <v>5375.5</v>
      </c>
      <c r="O1106" s="116">
        <v>5115.45</v>
      </c>
      <c r="P1106" s="116">
        <v>5158</v>
      </c>
      <c r="Q1106" s="116">
        <v>5360.55</v>
      </c>
      <c r="R1106">
        <v>883496</v>
      </c>
    </row>
    <row r="1107" spans="1:18" x14ac:dyDescent="0.25">
      <c r="A1107" s="170">
        <v>45197</v>
      </c>
      <c r="B1107" s="116">
        <v>5398.15</v>
      </c>
      <c r="C1107" s="116">
        <v>5285.8</v>
      </c>
      <c r="D1107" s="116">
        <v>5259</v>
      </c>
      <c r="E1107" s="116">
        <v>5360</v>
      </c>
      <c r="F1107" s="116">
        <v>5285.8</v>
      </c>
      <c r="G1107">
        <v>24541</v>
      </c>
      <c r="H1107" s="116"/>
      <c r="I1107" s="116"/>
      <c r="L1107" s="170">
        <v>45197</v>
      </c>
      <c r="M1107" s="116">
        <v>5286.5</v>
      </c>
      <c r="N1107" s="116">
        <v>5398</v>
      </c>
      <c r="O1107" s="116">
        <v>5259.05</v>
      </c>
      <c r="P1107" s="116">
        <v>5360.55</v>
      </c>
      <c r="Q1107" s="116">
        <v>5286.5</v>
      </c>
      <c r="R1107">
        <v>718228</v>
      </c>
    </row>
    <row r="1108" spans="1:18" x14ac:dyDescent="0.25">
      <c r="A1108" s="170">
        <v>45198</v>
      </c>
      <c r="B1108" s="116">
        <v>5380</v>
      </c>
      <c r="C1108" s="116">
        <v>5338.25</v>
      </c>
      <c r="D1108" s="116">
        <v>5257.6</v>
      </c>
      <c r="E1108" s="116">
        <v>5284.95</v>
      </c>
      <c r="F1108" s="116">
        <v>5338.25</v>
      </c>
      <c r="G1108">
        <v>11748</v>
      </c>
      <c r="H1108" s="116"/>
      <c r="I1108" s="116"/>
      <c r="L1108" s="170">
        <v>45198</v>
      </c>
      <c r="M1108" s="116">
        <v>5343.05</v>
      </c>
      <c r="N1108" s="116">
        <v>5381.9</v>
      </c>
      <c r="O1108" s="116">
        <v>5254.15</v>
      </c>
      <c r="P1108" s="116">
        <v>5275.05</v>
      </c>
      <c r="Q1108" s="116">
        <v>5343.05</v>
      </c>
      <c r="R1108">
        <v>533039</v>
      </c>
    </row>
    <row r="1109" spans="1:18" x14ac:dyDescent="0.25">
      <c r="A1109" s="170">
        <v>45202</v>
      </c>
      <c r="B1109" s="116">
        <v>5421.2</v>
      </c>
      <c r="C1109" s="116">
        <v>5373.8</v>
      </c>
      <c r="D1109" s="116">
        <v>5274.45</v>
      </c>
      <c r="E1109" s="116">
        <v>5349.95</v>
      </c>
      <c r="F1109" s="116">
        <v>5373.8</v>
      </c>
      <c r="G1109">
        <v>12837</v>
      </c>
      <c r="H1109" s="116"/>
      <c r="I1109" s="116"/>
      <c r="L1109" s="170">
        <v>45202</v>
      </c>
      <c r="M1109" s="116">
        <v>5373.25</v>
      </c>
      <c r="N1109" s="116">
        <v>5422.7</v>
      </c>
      <c r="O1109" s="116">
        <v>5271.75</v>
      </c>
      <c r="P1109" s="116">
        <v>5325</v>
      </c>
      <c r="Q1109" s="116">
        <v>5373.25</v>
      </c>
      <c r="R1109">
        <v>630157</v>
      </c>
    </row>
    <row r="1110" spans="1:18" x14ac:dyDescent="0.25">
      <c r="A1110" s="170">
        <v>45203</v>
      </c>
      <c r="B1110" s="116">
        <v>5370</v>
      </c>
      <c r="C1110" s="116">
        <v>5312.3</v>
      </c>
      <c r="D1110" s="116">
        <v>5267.8</v>
      </c>
      <c r="E1110" s="116">
        <v>5370</v>
      </c>
      <c r="F1110" s="116">
        <v>5312.3</v>
      </c>
      <c r="G1110">
        <v>15910</v>
      </c>
      <c r="H1110" s="116"/>
      <c r="I1110" s="116"/>
      <c r="L1110" s="170">
        <v>45203</v>
      </c>
      <c r="M1110" s="116">
        <v>5313.4</v>
      </c>
      <c r="N1110" s="116">
        <v>5372.3</v>
      </c>
      <c r="O1110" s="116">
        <v>5266.8</v>
      </c>
      <c r="P1110" s="116">
        <v>5352.95</v>
      </c>
      <c r="Q1110" s="116">
        <v>5313.4</v>
      </c>
      <c r="R1110">
        <v>553831</v>
      </c>
    </row>
    <row r="1111" spans="1:18" x14ac:dyDescent="0.25">
      <c r="A1111" s="170">
        <v>45204</v>
      </c>
      <c r="B1111" s="116">
        <v>5359.25</v>
      </c>
      <c r="C1111" s="116">
        <v>5238.6499999999996</v>
      </c>
      <c r="D1111" s="116">
        <v>5231</v>
      </c>
      <c r="E1111" s="116">
        <v>5310</v>
      </c>
      <c r="F1111" s="116">
        <v>5238.6499999999996</v>
      </c>
      <c r="G1111">
        <v>7033</v>
      </c>
      <c r="H1111" s="116"/>
      <c r="I1111" s="116"/>
      <c r="L1111" s="170">
        <v>45204</v>
      </c>
      <c r="M1111" s="116">
        <v>5240.1000000000004</v>
      </c>
      <c r="N1111" s="116">
        <v>5359</v>
      </c>
      <c r="O1111" s="116">
        <v>5230.2</v>
      </c>
      <c r="P1111" s="116">
        <v>5336.95</v>
      </c>
      <c r="Q1111" s="116">
        <v>5240.1000000000004</v>
      </c>
      <c r="R1111">
        <v>286121</v>
      </c>
    </row>
    <row r="1112" spans="1:18" x14ac:dyDescent="0.25">
      <c r="A1112" s="170">
        <v>45205</v>
      </c>
      <c r="B1112" s="116">
        <v>5333</v>
      </c>
      <c r="C1112" s="116">
        <v>5259.6</v>
      </c>
      <c r="D1112" s="116">
        <v>5245.55</v>
      </c>
      <c r="E1112" s="116">
        <v>5289.95</v>
      </c>
      <c r="F1112" s="116">
        <v>5259.6</v>
      </c>
      <c r="G1112">
        <v>8567</v>
      </c>
      <c r="H1112" s="116"/>
      <c r="I1112" s="116"/>
      <c r="L1112" s="170">
        <v>45205</v>
      </c>
      <c r="M1112" s="116">
        <v>5259.25</v>
      </c>
      <c r="N1112" s="116">
        <v>5335</v>
      </c>
      <c r="O1112" s="116">
        <v>5245</v>
      </c>
      <c r="P1112" s="116">
        <v>5272.8</v>
      </c>
      <c r="Q1112" s="116">
        <v>5259.25</v>
      </c>
      <c r="R1112">
        <v>384926</v>
      </c>
    </row>
    <row r="1113" spans="1:18" x14ac:dyDescent="0.25">
      <c r="A1113" s="170">
        <v>45208</v>
      </c>
      <c r="B1113" s="116">
        <v>5229.95</v>
      </c>
      <c r="C1113" s="116">
        <v>5178.3999999999996</v>
      </c>
      <c r="D1113" s="116">
        <v>5140.05</v>
      </c>
      <c r="E1113" s="116">
        <v>5154.45</v>
      </c>
      <c r="F1113" s="116">
        <v>5178.3999999999996</v>
      </c>
      <c r="G1113">
        <v>17314</v>
      </c>
      <c r="H1113" s="116"/>
      <c r="I1113" s="116"/>
      <c r="L1113" s="170">
        <v>45208</v>
      </c>
      <c r="M1113" s="116">
        <v>5178.95</v>
      </c>
      <c r="N1113" s="116">
        <v>5238</v>
      </c>
      <c r="O1113" s="116">
        <v>5140.1499999999996</v>
      </c>
      <c r="P1113" s="116">
        <v>5202.1000000000004</v>
      </c>
      <c r="Q1113" s="116">
        <v>5178.95</v>
      </c>
      <c r="R1113">
        <v>280349</v>
      </c>
    </row>
    <row r="1114" spans="1:18" x14ac:dyDescent="0.25">
      <c r="A1114" s="170">
        <v>45209</v>
      </c>
      <c r="B1114" s="116">
        <v>5256.1</v>
      </c>
      <c r="C1114" s="116">
        <v>5206.8500000000004</v>
      </c>
      <c r="D1114" s="116">
        <v>5188.3500000000004</v>
      </c>
      <c r="E1114" s="116">
        <v>5205.05</v>
      </c>
      <c r="F1114" s="116">
        <v>5206.8500000000004</v>
      </c>
      <c r="G1114">
        <v>7146</v>
      </c>
      <c r="H1114" s="116"/>
      <c r="I1114" s="116"/>
      <c r="L1114" s="170">
        <v>45209</v>
      </c>
      <c r="M1114" s="116">
        <v>5205.25</v>
      </c>
      <c r="N1114" s="116">
        <v>5255.05</v>
      </c>
      <c r="O1114" s="116">
        <v>5179</v>
      </c>
      <c r="P1114" s="116">
        <v>5200.3999999999996</v>
      </c>
      <c r="Q1114" s="116">
        <v>5205.25</v>
      </c>
      <c r="R1114">
        <v>331263</v>
      </c>
    </row>
    <row r="1115" spans="1:18" x14ac:dyDescent="0.25">
      <c r="A1115" s="170">
        <v>45210</v>
      </c>
      <c r="B1115" s="116">
        <v>5300.25</v>
      </c>
      <c r="C1115" s="116">
        <v>5226.25</v>
      </c>
      <c r="D1115" s="116">
        <v>5204.75</v>
      </c>
      <c r="E1115" s="116">
        <v>5289.95</v>
      </c>
      <c r="F1115" s="116">
        <v>5226.25</v>
      </c>
      <c r="G1115">
        <v>11500</v>
      </c>
      <c r="H1115" s="116"/>
      <c r="I1115" s="116"/>
      <c r="L1115" s="170">
        <v>45210</v>
      </c>
      <c r="M1115" s="116">
        <v>5228.3</v>
      </c>
      <c r="N1115" s="116">
        <v>5300</v>
      </c>
      <c r="O1115" s="116">
        <v>5202.1000000000004</v>
      </c>
      <c r="P1115" s="116">
        <v>5238</v>
      </c>
      <c r="Q1115" s="116">
        <v>5228.3</v>
      </c>
      <c r="R1115">
        <v>400950</v>
      </c>
    </row>
    <row r="1116" spans="1:18" x14ac:dyDescent="0.25">
      <c r="A1116" s="170">
        <v>45211</v>
      </c>
      <c r="B1116" s="116">
        <v>5285</v>
      </c>
      <c r="C1116" s="116">
        <v>5240.45</v>
      </c>
      <c r="D1116" s="116">
        <v>5217.95</v>
      </c>
      <c r="E1116" s="116">
        <v>5279.95</v>
      </c>
      <c r="F1116" s="116">
        <v>5240.45</v>
      </c>
      <c r="G1116">
        <v>5952</v>
      </c>
      <c r="H1116" s="116"/>
      <c r="I1116" s="116"/>
      <c r="L1116" s="170">
        <v>45211</v>
      </c>
      <c r="M1116" s="116">
        <v>5241.1000000000004</v>
      </c>
      <c r="N1116" s="116">
        <v>5274</v>
      </c>
      <c r="O1116" s="116">
        <v>5213.45</v>
      </c>
      <c r="P1116" s="116">
        <v>5250</v>
      </c>
      <c r="Q1116" s="116">
        <v>5241.1000000000004</v>
      </c>
      <c r="R1116">
        <v>433492</v>
      </c>
    </row>
    <row r="1117" spans="1:18" x14ac:dyDescent="0.25">
      <c r="A1117" s="170">
        <v>45212</v>
      </c>
      <c r="B1117" s="116">
        <v>5343.6</v>
      </c>
      <c r="C1117" s="116">
        <v>5322.4</v>
      </c>
      <c r="D1117" s="116">
        <v>5217.6000000000004</v>
      </c>
      <c r="E1117" s="116">
        <v>5240</v>
      </c>
      <c r="F1117" s="116">
        <v>5322.4</v>
      </c>
      <c r="G1117">
        <v>6740</v>
      </c>
      <c r="H1117" s="116"/>
      <c r="I1117" s="116"/>
      <c r="L1117" s="170">
        <v>45212</v>
      </c>
      <c r="M1117" s="116">
        <v>5323.3</v>
      </c>
      <c r="N1117" s="116">
        <v>5344</v>
      </c>
      <c r="O1117" s="116">
        <v>5214.3</v>
      </c>
      <c r="P1117" s="116">
        <v>5230.3500000000004</v>
      </c>
      <c r="Q1117" s="116">
        <v>5323.3</v>
      </c>
      <c r="R1117">
        <v>357812</v>
      </c>
    </row>
    <row r="1118" spans="1:18" x14ac:dyDescent="0.25">
      <c r="A1118" s="170">
        <v>45215</v>
      </c>
      <c r="B1118" s="116">
        <v>5446.7</v>
      </c>
      <c r="C1118" s="116">
        <v>5420.7</v>
      </c>
      <c r="D1118" s="116">
        <v>5331.35</v>
      </c>
      <c r="E1118" s="116">
        <v>5350.9</v>
      </c>
      <c r="F1118" s="116">
        <v>5420.7</v>
      </c>
      <c r="G1118">
        <v>12377</v>
      </c>
      <c r="H1118" s="116"/>
      <c r="I1118" s="116"/>
      <c r="L1118" s="170">
        <v>45215</v>
      </c>
      <c r="M1118" s="116">
        <v>5420.5</v>
      </c>
      <c r="N1118" s="116">
        <v>5449</v>
      </c>
      <c r="O1118" s="116">
        <v>5336.8</v>
      </c>
      <c r="P1118" s="116">
        <v>5345</v>
      </c>
      <c r="Q1118" s="116">
        <v>5420.5</v>
      </c>
      <c r="R1118">
        <v>727018</v>
      </c>
    </row>
    <row r="1119" spans="1:18" x14ac:dyDescent="0.25">
      <c r="A1119" s="170">
        <v>45216</v>
      </c>
      <c r="B1119" s="116">
        <v>5485</v>
      </c>
      <c r="C1119" s="116">
        <v>5466.75</v>
      </c>
      <c r="D1119" s="116">
        <v>5362.15</v>
      </c>
      <c r="E1119" s="116">
        <v>5479.95</v>
      </c>
      <c r="F1119" s="116">
        <v>5466.75</v>
      </c>
      <c r="G1119">
        <v>24940</v>
      </c>
      <c r="H1119" s="116"/>
      <c r="I1119" s="116"/>
      <c r="L1119" s="170">
        <v>45216</v>
      </c>
      <c r="M1119" s="116">
        <v>5467.85</v>
      </c>
      <c r="N1119" s="116">
        <v>5485</v>
      </c>
      <c r="O1119" s="116">
        <v>5364.05</v>
      </c>
      <c r="P1119" s="116">
        <v>5464.95</v>
      </c>
      <c r="Q1119" s="116">
        <v>5467.85</v>
      </c>
      <c r="R1119">
        <v>741605</v>
      </c>
    </row>
    <row r="1120" spans="1:18" x14ac:dyDescent="0.25">
      <c r="A1120" s="170">
        <v>45217</v>
      </c>
      <c r="B1120" s="116">
        <v>5492.85</v>
      </c>
      <c r="C1120" s="116">
        <v>5332.4</v>
      </c>
      <c r="D1120" s="116">
        <v>5276</v>
      </c>
      <c r="E1120" s="116">
        <v>5476</v>
      </c>
      <c r="F1120" s="116">
        <v>5332.4</v>
      </c>
      <c r="G1120">
        <v>25157</v>
      </c>
      <c r="H1120" s="116"/>
      <c r="I1120" s="116"/>
      <c r="L1120" s="170">
        <v>45217</v>
      </c>
      <c r="M1120" s="116">
        <v>5338.75</v>
      </c>
      <c r="N1120" s="116">
        <v>5493.65</v>
      </c>
      <c r="O1120" s="116">
        <v>5272.9</v>
      </c>
      <c r="P1120" s="116">
        <v>5469.45</v>
      </c>
      <c r="Q1120" s="116">
        <v>5338.75</v>
      </c>
      <c r="R1120">
        <v>1211440</v>
      </c>
    </row>
    <row r="1121" spans="1:18" x14ac:dyDescent="0.25">
      <c r="A1121" s="170">
        <v>45218</v>
      </c>
      <c r="B1121" s="116">
        <v>5421.35</v>
      </c>
      <c r="C1121" s="116">
        <v>5294.15</v>
      </c>
      <c r="D1121" s="116">
        <v>5166.6499999999996</v>
      </c>
      <c r="E1121" s="116">
        <v>5354.3</v>
      </c>
      <c r="F1121" s="116">
        <v>5294.15</v>
      </c>
      <c r="G1121">
        <v>30586</v>
      </c>
      <c r="H1121" s="116"/>
      <c r="I1121" s="116"/>
      <c r="L1121" s="170">
        <v>45218</v>
      </c>
      <c r="M1121" s="116">
        <v>5297</v>
      </c>
      <c r="N1121" s="116">
        <v>5420.65</v>
      </c>
      <c r="O1121" s="116">
        <v>5160.05</v>
      </c>
      <c r="P1121" s="116">
        <v>5345</v>
      </c>
      <c r="Q1121" s="116">
        <v>5297</v>
      </c>
      <c r="R1121">
        <v>1423792</v>
      </c>
    </row>
    <row r="1122" spans="1:18" x14ac:dyDescent="0.25">
      <c r="A1122" s="170">
        <v>45219</v>
      </c>
      <c r="B1122" s="116">
        <v>5373.45</v>
      </c>
      <c r="C1122" s="116">
        <v>5225.8500000000004</v>
      </c>
      <c r="D1122" s="116">
        <v>5194.8999999999996</v>
      </c>
      <c r="E1122" s="116">
        <v>5319.95</v>
      </c>
      <c r="F1122" s="116">
        <v>5225.8500000000004</v>
      </c>
      <c r="G1122">
        <v>134820</v>
      </c>
      <c r="H1122" s="116"/>
      <c r="I1122" s="116"/>
      <c r="L1122" s="170">
        <v>45219</v>
      </c>
      <c r="M1122" s="116">
        <v>5227.3</v>
      </c>
      <c r="N1122" s="116">
        <v>5374.25</v>
      </c>
      <c r="O1122" s="116">
        <v>5195</v>
      </c>
      <c r="P1122" s="116">
        <v>5309</v>
      </c>
      <c r="Q1122" s="116">
        <v>5227.3</v>
      </c>
      <c r="R1122">
        <v>705270</v>
      </c>
    </row>
    <row r="1123" spans="1:18" x14ac:dyDescent="0.25">
      <c r="A1123" s="170">
        <v>45222</v>
      </c>
      <c r="B1123" s="116">
        <v>5273.95</v>
      </c>
      <c r="C1123" s="116">
        <v>5154.2</v>
      </c>
      <c r="D1123" s="116">
        <v>5139.95</v>
      </c>
      <c r="E1123" s="116">
        <v>5273.95</v>
      </c>
      <c r="F1123" s="116">
        <v>5154.2</v>
      </c>
      <c r="G1123">
        <v>14291</v>
      </c>
      <c r="H1123" s="116"/>
      <c r="I1123" s="116"/>
      <c r="L1123" s="170">
        <v>45222</v>
      </c>
      <c r="M1123" s="116">
        <v>5154.1499999999996</v>
      </c>
      <c r="N1123" s="116">
        <v>5244.85</v>
      </c>
      <c r="O1123" s="116">
        <v>5138</v>
      </c>
      <c r="P1123" s="116">
        <v>5244.85</v>
      </c>
      <c r="Q1123" s="116">
        <v>5154.1499999999996</v>
      </c>
      <c r="R1123">
        <v>644285</v>
      </c>
    </row>
    <row r="1124" spans="1:18" x14ac:dyDescent="0.25">
      <c r="A1124" s="170">
        <v>45224</v>
      </c>
      <c r="B1124" s="116">
        <v>5182.3999999999996</v>
      </c>
      <c r="C1124" s="116">
        <v>5024.5</v>
      </c>
      <c r="D1124" s="116">
        <v>5005.05</v>
      </c>
      <c r="E1124" s="116">
        <v>5170.7</v>
      </c>
      <c r="F1124" s="116">
        <v>5024.5</v>
      </c>
      <c r="G1124">
        <v>36540</v>
      </c>
      <c r="H1124" s="116"/>
      <c r="I1124" s="116"/>
      <c r="L1124" s="170">
        <v>45224</v>
      </c>
      <c r="M1124" s="116">
        <v>5023.1499999999996</v>
      </c>
      <c r="N1124" s="116">
        <v>5187.5</v>
      </c>
      <c r="O1124" s="116">
        <v>5006.2</v>
      </c>
      <c r="P1124" s="116">
        <v>5179.8999999999996</v>
      </c>
      <c r="Q1124" s="116">
        <v>5023.1499999999996</v>
      </c>
      <c r="R1124">
        <v>694305</v>
      </c>
    </row>
    <row r="1125" spans="1:18" x14ac:dyDescent="0.25">
      <c r="A1125" s="170">
        <v>45225</v>
      </c>
      <c r="B1125" s="116">
        <v>4983.3</v>
      </c>
      <c r="C1125" s="116">
        <v>4872.2</v>
      </c>
      <c r="D1125" s="116">
        <v>4811.1000000000004</v>
      </c>
      <c r="E1125" s="116">
        <v>4979.95</v>
      </c>
      <c r="F1125" s="116">
        <v>4872.2</v>
      </c>
      <c r="G1125">
        <v>65556</v>
      </c>
      <c r="H1125" s="116"/>
      <c r="I1125" s="116"/>
      <c r="L1125" s="170">
        <v>45225</v>
      </c>
      <c r="M1125" s="116">
        <v>4871.8</v>
      </c>
      <c r="N1125" s="116">
        <v>4996.8999999999996</v>
      </c>
      <c r="O1125" s="116">
        <v>4811.1000000000004</v>
      </c>
      <c r="P1125" s="116">
        <v>4976</v>
      </c>
      <c r="Q1125" s="116">
        <v>4871.8</v>
      </c>
      <c r="R1125">
        <v>841759</v>
      </c>
    </row>
    <row r="1126" spans="1:18" x14ac:dyDescent="0.25">
      <c r="A1126" s="170">
        <v>45226</v>
      </c>
      <c r="B1126" s="116">
        <v>5007.3999999999996</v>
      </c>
      <c r="C1126" s="116">
        <v>4978.3500000000004</v>
      </c>
      <c r="D1126" s="116">
        <v>4882.2</v>
      </c>
      <c r="E1126" s="116">
        <v>4883.2</v>
      </c>
      <c r="F1126" s="116">
        <v>4978.3500000000004</v>
      </c>
      <c r="G1126">
        <v>30940</v>
      </c>
      <c r="H1126" s="116"/>
      <c r="I1126" s="116"/>
      <c r="L1126" s="170">
        <v>45226</v>
      </c>
      <c r="M1126" s="116">
        <v>4976.7</v>
      </c>
      <c r="N1126" s="116">
        <v>5008.95</v>
      </c>
      <c r="O1126" s="116">
        <v>4876.3500000000004</v>
      </c>
      <c r="P1126" s="116">
        <v>4900</v>
      </c>
      <c r="Q1126" s="116">
        <v>4976.7</v>
      </c>
      <c r="R1126">
        <v>652732</v>
      </c>
    </row>
    <row r="1127" spans="1:18" x14ac:dyDescent="0.25">
      <c r="A1127" s="170">
        <v>45229</v>
      </c>
      <c r="B1127" s="116">
        <v>5005</v>
      </c>
      <c r="C1127" s="116">
        <v>4938.7</v>
      </c>
      <c r="D1127" s="116">
        <v>4890</v>
      </c>
      <c r="E1127" s="116">
        <v>4988</v>
      </c>
      <c r="F1127" s="116">
        <v>4938.7</v>
      </c>
      <c r="G1127">
        <v>21414</v>
      </c>
      <c r="H1127" s="116"/>
      <c r="I1127" s="116"/>
      <c r="L1127" s="170">
        <v>45229</v>
      </c>
      <c r="M1127" s="116">
        <v>4937.45</v>
      </c>
      <c r="N1127" s="116">
        <v>5015</v>
      </c>
      <c r="O1127" s="116">
        <v>4891.2</v>
      </c>
      <c r="P1127" s="116">
        <v>4999</v>
      </c>
      <c r="Q1127" s="116">
        <v>4937.45</v>
      </c>
      <c r="R1127">
        <v>554716</v>
      </c>
    </row>
    <row r="1128" spans="1:18" x14ac:dyDescent="0.25">
      <c r="A1128" s="170">
        <v>45230</v>
      </c>
      <c r="B1128" s="116">
        <v>4981.8999999999996</v>
      </c>
      <c r="C1128" s="116">
        <v>4921.45</v>
      </c>
      <c r="D1128" s="116">
        <v>4893.05</v>
      </c>
      <c r="E1128" s="116">
        <v>4955</v>
      </c>
      <c r="F1128" s="116">
        <v>4921.45</v>
      </c>
      <c r="G1128">
        <v>15095</v>
      </c>
      <c r="H1128" s="116"/>
      <c r="I1128" s="116"/>
      <c r="L1128" s="170">
        <v>45230</v>
      </c>
      <c r="M1128" s="116">
        <v>4922.1000000000004</v>
      </c>
      <c r="N1128" s="116">
        <v>4979.3500000000004</v>
      </c>
      <c r="O1128" s="116">
        <v>4893.05</v>
      </c>
      <c r="P1128" s="116">
        <v>4950</v>
      </c>
      <c r="Q1128" s="116">
        <v>4922.1000000000004</v>
      </c>
      <c r="R1128">
        <v>347116</v>
      </c>
    </row>
    <row r="1129" spans="1:18" x14ac:dyDescent="0.25">
      <c r="A1129" s="170">
        <v>45231</v>
      </c>
      <c r="B1129" s="116">
        <v>4965.95</v>
      </c>
      <c r="C1129" s="116">
        <v>4898.8999999999996</v>
      </c>
      <c r="D1129" s="116">
        <v>4892.8500000000004</v>
      </c>
      <c r="E1129" s="116">
        <v>4920</v>
      </c>
      <c r="F1129" s="116">
        <v>4898.8999999999996</v>
      </c>
      <c r="G1129">
        <v>5537</v>
      </c>
      <c r="H1129" s="116"/>
      <c r="I1129" s="116"/>
      <c r="L1129" s="170">
        <v>45231</v>
      </c>
      <c r="M1129" s="116">
        <v>4900.6499999999996</v>
      </c>
      <c r="N1129" s="116">
        <v>4965</v>
      </c>
      <c r="O1129" s="116">
        <v>4890.8</v>
      </c>
      <c r="P1129" s="116">
        <v>4922.1000000000004</v>
      </c>
      <c r="Q1129" s="116">
        <v>4900.6499999999996</v>
      </c>
      <c r="R1129">
        <v>385779</v>
      </c>
    </row>
    <row r="1130" spans="1:18" x14ac:dyDescent="0.25">
      <c r="A1130" s="170">
        <v>45232</v>
      </c>
      <c r="B1130" s="116">
        <v>5064.8</v>
      </c>
      <c r="C1130" s="116">
        <v>5051.8</v>
      </c>
      <c r="D1130" s="116">
        <v>4929.25</v>
      </c>
      <c r="E1130" s="116">
        <v>4951.1000000000004</v>
      </c>
      <c r="F1130" s="116">
        <v>5051.8</v>
      </c>
      <c r="G1130">
        <v>11061</v>
      </c>
      <c r="H1130" s="116"/>
      <c r="I1130" s="116"/>
      <c r="L1130" s="170">
        <v>45232</v>
      </c>
      <c r="M1130" s="116">
        <v>5051.6000000000004</v>
      </c>
      <c r="N1130" s="116">
        <v>5064</v>
      </c>
      <c r="O1130" s="116">
        <v>4926</v>
      </c>
      <c r="P1130" s="116">
        <v>4959.8999999999996</v>
      </c>
      <c r="Q1130" s="116">
        <v>5051.6000000000004</v>
      </c>
      <c r="R1130">
        <v>624189</v>
      </c>
    </row>
    <row r="1131" spans="1:18" x14ac:dyDescent="0.25">
      <c r="A1131" s="170">
        <v>45233</v>
      </c>
      <c r="B1131" s="116">
        <v>5101.1000000000004</v>
      </c>
      <c r="C1131" s="116">
        <v>5036</v>
      </c>
      <c r="D1131" s="116">
        <v>5021</v>
      </c>
      <c r="E1131" s="116">
        <v>5101.1000000000004</v>
      </c>
      <c r="F1131" s="116">
        <v>5036</v>
      </c>
      <c r="G1131">
        <v>15142</v>
      </c>
      <c r="H1131" s="116"/>
      <c r="I1131" s="116"/>
      <c r="L1131" s="170">
        <v>45233</v>
      </c>
      <c r="M1131" s="116">
        <v>5036.55</v>
      </c>
      <c r="N1131" s="116">
        <v>5098.8</v>
      </c>
      <c r="O1131" s="116">
        <v>5019.05</v>
      </c>
      <c r="P1131" s="116">
        <v>5098.8</v>
      </c>
      <c r="Q1131" s="116">
        <v>5036.55</v>
      </c>
      <c r="R1131">
        <v>318145</v>
      </c>
    </row>
    <row r="1132" spans="1:18" x14ac:dyDescent="0.25">
      <c r="A1132" s="170">
        <v>45236</v>
      </c>
      <c r="B1132" s="116">
        <v>5172.25</v>
      </c>
      <c r="C1132" s="116">
        <v>5140.1000000000004</v>
      </c>
      <c r="D1132" s="116">
        <v>5051.5</v>
      </c>
      <c r="E1132" s="116">
        <v>5099.95</v>
      </c>
      <c r="F1132" s="116">
        <v>5140.1000000000004</v>
      </c>
      <c r="G1132">
        <v>11860</v>
      </c>
      <c r="H1132" s="116"/>
      <c r="I1132" s="116"/>
      <c r="L1132" s="170">
        <v>45236</v>
      </c>
      <c r="M1132" s="116">
        <v>5138.8500000000004</v>
      </c>
      <c r="N1132" s="116">
        <v>5171</v>
      </c>
      <c r="O1132" s="116">
        <v>5049.3500000000004</v>
      </c>
      <c r="P1132" s="116">
        <v>5068.05</v>
      </c>
      <c r="Q1132" s="116">
        <v>5138.8500000000004</v>
      </c>
      <c r="R1132">
        <v>613383</v>
      </c>
    </row>
    <row r="1133" spans="1:18" x14ac:dyDescent="0.25">
      <c r="A1133" s="170">
        <v>45237</v>
      </c>
      <c r="B1133" s="116">
        <v>5160</v>
      </c>
      <c r="C1133" s="116">
        <v>5114.75</v>
      </c>
      <c r="D1133" s="116">
        <v>5110</v>
      </c>
      <c r="E1133" s="116">
        <v>5160</v>
      </c>
      <c r="F1133" s="116">
        <v>5114.75</v>
      </c>
      <c r="G1133">
        <v>10253</v>
      </c>
      <c r="H1133" s="116"/>
      <c r="I1133" s="116"/>
      <c r="L1133" s="170">
        <v>45237</v>
      </c>
      <c r="M1133" s="116">
        <v>5115.75</v>
      </c>
      <c r="N1133" s="116">
        <v>5159.95</v>
      </c>
      <c r="O1133" s="116">
        <v>5110</v>
      </c>
      <c r="P1133" s="116">
        <v>5159.95</v>
      </c>
      <c r="Q1133" s="116">
        <v>5115.75</v>
      </c>
      <c r="R1133">
        <v>272225</v>
      </c>
    </row>
    <row r="1134" spans="1:18" x14ac:dyDescent="0.25">
      <c r="A1134" s="170">
        <v>45238</v>
      </c>
      <c r="B1134" s="116">
        <v>5153.3500000000004</v>
      </c>
      <c r="C1134" s="116">
        <v>5127.5</v>
      </c>
      <c r="D1134" s="116">
        <v>5108.1499999999996</v>
      </c>
      <c r="E1134" s="116">
        <v>5131.05</v>
      </c>
      <c r="F1134" s="116">
        <v>5127.5</v>
      </c>
      <c r="G1134">
        <v>4670</v>
      </c>
      <c r="H1134" s="116"/>
      <c r="I1134" s="116"/>
      <c r="L1134" s="170">
        <v>45238</v>
      </c>
      <c r="M1134" s="116">
        <v>5128.3999999999996</v>
      </c>
      <c r="N1134" s="116">
        <v>5164.75</v>
      </c>
      <c r="O1134" s="116">
        <v>5106.8999999999996</v>
      </c>
      <c r="P1134" s="116">
        <v>5145</v>
      </c>
      <c r="Q1134" s="116">
        <v>5128.3999999999996</v>
      </c>
      <c r="R1134">
        <v>183790</v>
      </c>
    </row>
    <row r="1135" spans="1:18" x14ac:dyDescent="0.25">
      <c r="A1135" s="170">
        <v>45239</v>
      </c>
      <c r="B1135" s="116">
        <v>5169.95</v>
      </c>
      <c r="C1135" s="116">
        <v>5132.45</v>
      </c>
      <c r="D1135" s="116">
        <v>5113.1499999999996</v>
      </c>
      <c r="E1135" s="116">
        <v>5169.95</v>
      </c>
      <c r="F1135" s="116">
        <v>5132.45</v>
      </c>
      <c r="G1135">
        <v>2706</v>
      </c>
      <c r="H1135" s="116"/>
      <c r="I1135" s="116"/>
      <c r="L1135" s="170">
        <v>45239</v>
      </c>
      <c r="M1135" s="116">
        <v>5133.3</v>
      </c>
      <c r="N1135" s="116">
        <v>5152.3999999999996</v>
      </c>
      <c r="O1135" s="116">
        <v>5115</v>
      </c>
      <c r="P1135" s="116">
        <v>5128.3999999999996</v>
      </c>
      <c r="Q1135" s="116">
        <v>5133.3</v>
      </c>
      <c r="R1135">
        <v>155776</v>
      </c>
    </row>
    <row r="1136" spans="1:18" x14ac:dyDescent="0.25">
      <c r="A1136" s="170">
        <v>45240</v>
      </c>
      <c r="B1136" s="116">
        <v>5151.8</v>
      </c>
      <c r="C1136" s="116">
        <v>5136.6499999999996</v>
      </c>
      <c r="D1136" s="116">
        <v>5052.3</v>
      </c>
      <c r="E1136" s="116">
        <v>5095.05</v>
      </c>
      <c r="F1136" s="116">
        <v>5136.6499999999996</v>
      </c>
      <c r="G1136">
        <v>7154</v>
      </c>
      <c r="H1136" s="116"/>
      <c r="I1136" s="116"/>
      <c r="L1136" s="170">
        <v>45240</v>
      </c>
      <c r="M1136" s="116">
        <v>5135.8</v>
      </c>
      <c r="N1136" s="116">
        <v>5154.95</v>
      </c>
      <c r="O1136" s="116">
        <v>5052.1000000000004</v>
      </c>
      <c r="P1136" s="116">
        <v>5133.25</v>
      </c>
      <c r="Q1136" s="116">
        <v>5135.8</v>
      </c>
      <c r="R1136">
        <v>283963</v>
      </c>
    </row>
    <row r="1137" spans="1:18" x14ac:dyDescent="0.25">
      <c r="A1137" s="170">
        <v>45242</v>
      </c>
      <c r="B1137" s="116">
        <v>5196.95</v>
      </c>
      <c r="C1137" s="116">
        <v>5151.5</v>
      </c>
      <c r="D1137" s="116">
        <v>5145</v>
      </c>
      <c r="E1137" s="116">
        <v>5196.95</v>
      </c>
      <c r="F1137" s="116">
        <v>5151.5</v>
      </c>
      <c r="G1137">
        <v>5562</v>
      </c>
      <c r="H1137" s="116"/>
      <c r="I1137" s="116"/>
      <c r="L1137" s="170">
        <v>45242</v>
      </c>
      <c r="M1137" s="116">
        <v>5150.1000000000004</v>
      </c>
      <c r="N1137" s="116">
        <v>5180</v>
      </c>
      <c r="O1137" s="116">
        <v>5145</v>
      </c>
      <c r="P1137" s="116">
        <v>5179.95</v>
      </c>
      <c r="Q1137" s="116">
        <v>5150.1000000000004</v>
      </c>
      <c r="R1137">
        <v>26021</v>
      </c>
    </row>
    <row r="1138" spans="1:18" x14ac:dyDescent="0.25">
      <c r="A1138" s="170">
        <v>45243</v>
      </c>
      <c r="B1138" s="116">
        <v>5160</v>
      </c>
      <c r="C1138" s="116">
        <v>5130.8999999999996</v>
      </c>
      <c r="D1138" s="116">
        <v>5072.2</v>
      </c>
      <c r="E1138" s="116">
        <v>5160</v>
      </c>
      <c r="F1138" s="116">
        <v>5130.8999999999996</v>
      </c>
      <c r="G1138">
        <v>14638</v>
      </c>
      <c r="H1138" s="116"/>
      <c r="I1138" s="116"/>
      <c r="L1138" s="170">
        <v>45243</v>
      </c>
      <c r="M1138" s="116">
        <v>5132.05</v>
      </c>
      <c r="N1138" s="116">
        <v>5149.45</v>
      </c>
      <c r="O1138" s="116">
        <v>5073</v>
      </c>
      <c r="P1138" s="116">
        <v>5148.05</v>
      </c>
      <c r="Q1138" s="116">
        <v>5132.05</v>
      </c>
      <c r="R1138">
        <v>337361</v>
      </c>
    </row>
    <row r="1139" spans="1:18" x14ac:dyDescent="0.25">
      <c r="A1139" s="170">
        <v>45245</v>
      </c>
      <c r="B1139" s="116">
        <v>5237.05</v>
      </c>
      <c r="C1139" s="116">
        <v>5128.8</v>
      </c>
      <c r="D1139" s="116">
        <v>5093.1499999999996</v>
      </c>
      <c r="E1139" s="116">
        <v>5176.95</v>
      </c>
      <c r="F1139" s="116">
        <v>5128.8</v>
      </c>
      <c r="G1139">
        <v>9795</v>
      </c>
      <c r="H1139" s="116"/>
      <c r="I1139" s="116"/>
      <c r="L1139" s="170">
        <v>45245</v>
      </c>
      <c r="M1139" s="116">
        <v>5130.45</v>
      </c>
      <c r="N1139" s="116">
        <v>5210.95</v>
      </c>
      <c r="O1139" s="116">
        <v>5092.6499999999996</v>
      </c>
      <c r="P1139" s="116">
        <v>5200</v>
      </c>
      <c r="Q1139" s="116">
        <v>5130.45</v>
      </c>
      <c r="R1139">
        <v>601215</v>
      </c>
    </row>
    <row r="1140" spans="1:18" x14ac:dyDescent="0.25">
      <c r="A1140" s="170">
        <v>45246</v>
      </c>
      <c r="B1140" s="116">
        <v>5282</v>
      </c>
      <c r="C1140" s="116">
        <v>5265.05</v>
      </c>
      <c r="D1140" s="116">
        <v>5119</v>
      </c>
      <c r="E1140" s="116">
        <v>5129.05</v>
      </c>
      <c r="F1140" s="116">
        <v>5265.05</v>
      </c>
      <c r="G1140">
        <v>11112</v>
      </c>
      <c r="H1140" s="116"/>
      <c r="I1140" s="116"/>
      <c r="L1140" s="170">
        <v>45246</v>
      </c>
      <c r="M1140" s="116">
        <v>5268.95</v>
      </c>
      <c r="N1140" s="116">
        <v>5282.25</v>
      </c>
      <c r="O1140" s="116">
        <v>5113.6000000000004</v>
      </c>
      <c r="P1140" s="116">
        <v>5138.5</v>
      </c>
      <c r="Q1140" s="116">
        <v>5268.95</v>
      </c>
      <c r="R1140">
        <v>528615</v>
      </c>
    </row>
    <row r="1141" spans="1:18" x14ac:dyDescent="0.25">
      <c r="A1141" s="170">
        <v>45247</v>
      </c>
      <c r="B1141" s="116">
        <v>5317.9</v>
      </c>
      <c r="C1141" s="116">
        <v>5289.1</v>
      </c>
      <c r="D1141" s="116">
        <v>5232.5</v>
      </c>
      <c r="E1141" s="116">
        <v>5275</v>
      </c>
      <c r="F1141" s="116">
        <v>5289.1</v>
      </c>
      <c r="G1141">
        <v>10811</v>
      </c>
      <c r="H1141" s="116"/>
      <c r="I1141" s="116"/>
      <c r="L1141" s="170">
        <v>45247</v>
      </c>
      <c r="M1141" s="116">
        <v>5288.05</v>
      </c>
      <c r="N1141" s="116">
        <v>5318</v>
      </c>
      <c r="O1141" s="116">
        <v>5235.3999999999996</v>
      </c>
      <c r="P1141" s="116">
        <v>5269</v>
      </c>
      <c r="Q1141" s="116">
        <v>5288.05</v>
      </c>
      <c r="R1141">
        <v>289947</v>
      </c>
    </row>
    <row r="1142" spans="1:18" x14ac:dyDescent="0.25">
      <c r="A1142" s="170">
        <v>45250</v>
      </c>
      <c r="B1142" s="116">
        <v>5320.55</v>
      </c>
      <c r="C1142" s="116">
        <v>5310.8</v>
      </c>
      <c r="D1142" s="116">
        <v>5261.2</v>
      </c>
      <c r="E1142" s="116">
        <v>5317.95</v>
      </c>
      <c r="F1142" s="116">
        <v>5310.8</v>
      </c>
      <c r="G1142">
        <v>15488</v>
      </c>
      <c r="H1142" s="116"/>
      <c r="I1142" s="116"/>
      <c r="L1142" s="170">
        <v>45250</v>
      </c>
      <c r="M1142" s="116">
        <v>5312.9</v>
      </c>
      <c r="N1142" s="116">
        <v>5320.95</v>
      </c>
      <c r="O1142" s="116">
        <v>5261.05</v>
      </c>
      <c r="P1142" s="116">
        <v>5307.9</v>
      </c>
      <c r="Q1142" s="116">
        <v>5312.9</v>
      </c>
      <c r="R1142">
        <v>339009</v>
      </c>
    </row>
    <row r="1143" spans="1:18" x14ac:dyDescent="0.25">
      <c r="A1143" s="170">
        <v>45251</v>
      </c>
      <c r="B1143" s="116">
        <v>5387.95</v>
      </c>
      <c r="C1143" s="116">
        <v>5313.55</v>
      </c>
      <c r="D1143" s="116">
        <v>5302</v>
      </c>
      <c r="E1143" s="116">
        <v>5349.95</v>
      </c>
      <c r="F1143" s="116">
        <v>5313.55</v>
      </c>
      <c r="G1143">
        <v>10065</v>
      </c>
      <c r="H1143" s="116"/>
      <c r="I1143" s="116"/>
      <c r="L1143" s="170">
        <v>45251</v>
      </c>
      <c r="M1143" s="116">
        <v>5314.4</v>
      </c>
      <c r="N1143" s="116">
        <v>5388.8</v>
      </c>
      <c r="O1143" s="116">
        <v>5301</v>
      </c>
      <c r="P1143" s="116">
        <v>5326.1</v>
      </c>
      <c r="Q1143" s="116">
        <v>5314.4</v>
      </c>
      <c r="R1143">
        <v>379315</v>
      </c>
    </row>
    <row r="1144" spans="1:18" x14ac:dyDescent="0.25">
      <c r="A1144" s="170">
        <v>45252</v>
      </c>
      <c r="B1144" s="116">
        <v>5432.55</v>
      </c>
      <c r="C1144" s="116">
        <v>5309</v>
      </c>
      <c r="D1144" s="116">
        <v>5288.05</v>
      </c>
      <c r="E1144" s="116">
        <v>5391</v>
      </c>
      <c r="F1144" s="116">
        <v>5309</v>
      </c>
      <c r="G1144">
        <v>21390</v>
      </c>
      <c r="H1144" s="116"/>
      <c r="I1144" s="116"/>
      <c r="L1144" s="170">
        <v>45252</v>
      </c>
      <c r="M1144" s="116">
        <v>5313.05</v>
      </c>
      <c r="N1144" s="116">
        <v>5433</v>
      </c>
      <c r="O1144" s="116">
        <v>5282.5</v>
      </c>
      <c r="P1144" s="116">
        <v>5371</v>
      </c>
      <c r="Q1144" s="116">
        <v>5313.05</v>
      </c>
      <c r="R1144">
        <v>569920</v>
      </c>
    </row>
    <row r="1145" spans="1:18" x14ac:dyDescent="0.25">
      <c r="A1145" s="170">
        <v>45253</v>
      </c>
      <c r="B1145" s="116">
        <v>5354.95</v>
      </c>
      <c r="C1145" s="116">
        <v>5224.8</v>
      </c>
      <c r="D1145" s="116">
        <v>5213.5</v>
      </c>
      <c r="E1145" s="116">
        <v>5354.95</v>
      </c>
      <c r="F1145" s="116">
        <v>5224.8</v>
      </c>
      <c r="G1145">
        <v>9182</v>
      </c>
      <c r="H1145" s="116"/>
      <c r="I1145" s="116"/>
      <c r="L1145" s="170">
        <v>45253</v>
      </c>
      <c r="M1145" s="116">
        <v>5225.8</v>
      </c>
      <c r="N1145" s="116">
        <v>5345.05</v>
      </c>
      <c r="O1145" s="116">
        <v>5212.55</v>
      </c>
      <c r="P1145" s="116">
        <v>5333</v>
      </c>
      <c r="Q1145" s="116">
        <v>5225.8</v>
      </c>
      <c r="R1145">
        <v>449488</v>
      </c>
    </row>
    <row r="1146" spans="1:18" x14ac:dyDescent="0.25">
      <c r="A1146" s="170">
        <v>45254</v>
      </c>
      <c r="B1146" s="116">
        <v>5310.45</v>
      </c>
      <c r="C1146" s="116">
        <v>5280.65</v>
      </c>
      <c r="D1146" s="116">
        <v>5205</v>
      </c>
      <c r="E1146" s="116">
        <v>5268.95</v>
      </c>
      <c r="F1146" s="116">
        <v>5280.65</v>
      </c>
      <c r="G1146">
        <v>12780</v>
      </c>
      <c r="H1146" s="116"/>
      <c r="I1146" s="116"/>
      <c r="L1146" s="170">
        <v>45254</v>
      </c>
      <c r="M1146" s="116">
        <v>5280.2</v>
      </c>
      <c r="N1146" s="116">
        <v>5311.45</v>
      </c>
      <c r="O1146" s="116">
        <v>5204.55</v>
      </c>
      <c r="P1146" s="116">
        <v>5254</v>
      </c>
      <c r="Q1146" s="116">
        <v>5280.2</v>
      </c>
      <c r="R1146">
        <v>637746</v>
      </c>
    </row>
    <row r="1147" spans="1:18" x14ac:dyDescent="0.25">
      <c r="A1147" s="170">
        <v>45258</v>
      </c>
      <c r="B1147" s="116">
        <v>5306.6</v>
      </c>
      <c r="C1147" s="116">
        <v>5196.25</v>
      </c>
      <c r="D1147" s="116">
        <v>5160.5</v>
      </c>
      <c r="E1147" s="116">
        <v>5290.05</v>
      </c>
      <c r="F1147" s="116">
        <v>5196.25</v>
      </c>
      <c r="G1147">
        <v>29589</v>
      </c>
      <c r="H1147" s="116"/>
      <c r="I1147" s="116"/>
      <c r="L1147" s="170">
        <v>45258</v>
      </c>
      <c r="M1147" s="116">
        <v>5199.75</v>
      </c>
      <c r="N1147" s="116">
        <v>5309</v>
      </c>
      <c r="O1147" s="116">
        <v>5160</v>
      </c>
      <c r="P1147" s="116">
        <v>5309</v>
      </c>
      <c r="Q1147" s="116">
        <v>5199.75</v>
      </c>
      <c r="R1147">
        <v>849883</v>
      </c>
    </row>
    <row r="1148" spans="1:18" x14ac:dyDescent="0.25">
      <c r="A1148" s="170">
        <v>45259</v>
      </c>
      <c r="B1148" s="116">
        <v>5259.9</v>
      </c>
      <c r="C1148" s="116">
        <v>5162.3999999999996</v>
      </c>
      <c r="D1148" s="116">
        <v>5150</v>
      </c>
      <c r="E1148" s="116">
        <v>5249.95</v>
      </c>
      <c r="F1148" s="116">
        <v>5162.3999999999996</v>
      </c>
      <c r="G1148">
        <v>16254</v>
      </c>
      <c r="H1148" s="116"/>
      <c r="I1148" s="116"/>
      <c r="L1148" s="170">
        <v>45259</v>
      </c>
      <c r="M1148" s="116">
        <v>5162.95</v>
      </c>
      <c r="N1148" s="116">
        <v>5260</v>
      </c>
      <c r="O1148" s="116">
        <v>5150.1499999999996</v>
      </c>
      <c r="P1148" s="116">
        <v>5230</v>
      </c>
      <c r="Q1148" s="116">
        <v>5162.95</v>
      </c>
      <c r="R1148">
        <v>637793</v>
      </c>
    </row>
    <row r="1149" spans="1:18" x14ac:dyDescent="0.25">
      <c r="A1149" s="170">
        <v>45260</v>
      </c>
      <c r="B1149" s="116">
        <v>5335.55</v>
      </c>
      <c r="C1149" s="116">
        <v>5270.65</v>
      </c>
      <c r="D1149" s="116">
        <v>5157.7</v>
      </c>
      <c r="E1149" s="116">
        <v>5180</v>
      </c>
      <c r="F1149" s="116">
        <v>5270.65</v>
      </c>
      <c r="G1149">
        <v>35140</v>
      </c>
      <c r="H1149" s="116"/>
      <c r="I1149" s="116"/>
      <c r="L1149" s="170">
        <v>45260</v>
      </c>
      <c r="M1149" s="116">
        <v>5267.9</v>
      </c>
      <c r="N1149" s="116">
        <v>5340</v>
      </c>
      <c r="O1149" s="116">
        <v>5156.3</v>
      </c>
      <c r="P1149" s="116">
        <v>5200</v>
      </c>
      <c r="Q1149" s="116">
        <v>5267.9</v>
      </c>
      <c r="R1149">
        <v>6818392</v>
      </c>
    </row>
    <row r="1150" spans="1:18" x14ac:dyDescent="0.25">
      <c r="A1150" s="170">
        <v>45261</v>
      </c>
      <c r="B1150" s="116">
        <v>5347.95</v>
      </c>
      <c r="C1150" s="116">
        <v>5232.8999999999996</v>
      </c>
      <c r="D1150" s="116">
        <v>5225.1000000000004</v>
      </c>
      <c r="E1150" s="116">
        <v>5340</v>
      </c>
      <c r="F1150" s="116">
        <v>5232.8999999999996</v>
      </c>
      <c r="G1150">
        <v>15194</v>
      </c>
      <c r="H1150" s="116"/>
      <c r="I1150" s="116"/>
      <c r="L1150" s="170">
        <v>45261</v>
      </c>
      <c r="M1150" s="116">
        <v>5234.55</v>
      </c>
      <c r="N1150" s="116">
        <v>5344</v>
      </c>
      <c r="O1150" s="116">
        <v>5226.1000000000004</v>
      </c>
      <c r="P1150" s="116">
        <v>5344</v>
      </c>
      <c r="Q1150" s="116">
        <v>5234.55</v>
      </c>
      <c r="R1150">
        <v>433155</v>
      </c>
    </row>
    <row r="1151" spans="1:18" x14ac:dyDescent="0.25">
      <c r="A1151" s="170">
        <v>45264</v>
      </c>
      <c r="B1151" s="116">
        <v>5353</v>
      </c>
      <c r="C1151" s="116">
        <v>5340.45</v>
      </c>
      <c r="D1151" s="116">
        <v>5259</v>
      </c>
      <c r="E1151" s="116">
        <v>5259</v>
      </c>
      <c r="F1151" s="116">
        <v>5340.45</v>
      </c>
      <c r="G1151">
        <v>8381</v>
      </c>
      <c r="H1151" s="116"/>
      <c r="I1151" s="116"/>
      <c r="L1151" s="170">
        <v>45264</v>
      </c>
      <c r="M1151" s="116">
        <v>5341.6</v>
      </c>
      <c r="N1151" s="116">
        <v>5355.7</v>
      </c>
      <c r="O1151" s="116">
        <v>5268.05</v>
      </c>
      <c r="P1151" s="116">
        <v>5300</v>
      </c>
      <c r="Q1151" s="116">
        <v>5341.6</v>
      </c>
      <c r="R1151">
        <v>487407</v>
      </c>
    </row>
    <row r="1152" spans="1:18" x14ac:dyDescent="0.25">
      <c r="A1152" s="170">
        <v>45265</v>
      </c>
      <c r="B1152" s="116">
        <v>5390</v>
      </c>
      <c r="C1152" s="116">
        <v>5360.8</v>
      </c>
      <c r="D1152" s="116">
        <v>5275</v>
      </c>
      <c r="E1152" s="116">
        <v>5340.5</v>
      </c>
      <c r="F1152" s="116">
        <v>5360.8</v>
      </c>
      <c r="G1152">
        <v>8226</v>
      </c>
      <c r="H1152" s="116"/>
      <c r="I1152" s="116"/>
      <c r="L1152" s="170">
        <v>45265</v>
      </c>
      <c r="M1152" s="116">
        <v>5360.15</v>
      </c>
      <c r="N1152" s="116">
        <v>5390</v>
      </c>
      <c r="O1152" s="116">
        <v>5270</v>
      </c>
      <c r="P1152" s="116">
        <v>5350</v>
      </c>
      <c r="Q1152" s="116">
        <v>5360.15</v>
      </c>
      <c r="R1152">
        <v>325063</v>
      </c>
    </row>
    <row r="1153" spans="1:18" x14ac:dyDescent="0.25">
      <c r="A1153" s="170">
        <v>45266</v>
      </c>
      <c r="B1153" s="116">
        <v>5418</v>
      </c>
      <c r="C1153" s="116">
        <v>5317.3</v>
      </c>
      <c r="D1153" s="116">
        <v>5300.2</v>
      </c>
      <c r="E1153" s="116">
        <v>5370.6</v>
      </c>
      <c r="F1153" s="116">
        <v>5317.3</v>
      </c>
      <c r="G1153">
        <v>16249</v>
      </c>
      <c r="H1153" s="116"/>
      <c r="I1153" s="116"/>
      <c r="L1153" s="170">
        <v>45266</v>
      </c>
      <c r="M1153" s="116">
        <v>5318.95</v>
      </c>
      <c r="N1153" s="116">
        <v>5418</v>
      </c>
      <c r="O1153" s="116">
        <v>5300.05</v>
      </c>
      <c r="P1153" s="116">
        <v>5378</v>
      </c>
      <c r="Q1153" s="116">
        <v>5318.95</v>
      </c>
      <c r="R1153">
        <v>393732</v>
      </c>
    </row>
    <row r="1154" spans="1:18" x14ac:dyDescent="0.25">
      <c r="A1154" s="170">
        <v>45267</v>
      </c>
      <c r="B1154" s="116">
        <v>5440</v>
      </c>
      <c r="C1154" s="116">
        <v>5420.2</v>
      </c>
      <c r="D1154" s="116">
        <v>5297.4</v>
      </c>
      <c r="E1154" s="116">
        <v>5325</v>
      </c>
      <c r="F1154" s="116">
        <v>5420.2</v>
      </c>
      <c r="G1154">
        <v>10022</v>
      </c>
      <c r="H1154" s="116"/>
      <c r="I1154" s="116"/>
      <c r="L1154" s="170">
        <v>45267</v>
      </c>
      <c r="M1154" s="116">
        <v>5419.95</v>
      </c>
      <c r="N1154" s="116">
        <v>5443</v>
      </c>
      <c r="O1154" s="116">
        <v>5290.55</v>
      </c>
      <c r="P1154" s="116">
        <v>5330</v>
      </c>
      <c r="Q1154" s="116">
        <v>5419.95</v>
      </c>
      <c r="R1154">
        <v>338949</v>
      </c>
    </row>
    <row r="1155" spans="1:18" x14ac:dyDescent="0.25">
      <c r="A1155" s="170">
        <v>45268</v>
      </c>
      <c r="B1155" s="116">
        <v>5519</v>
      </c>
      <c r="C1155" s="116">
        <v>5445.5</v>
      </c>
      <c r="D1155" s="116">
        <v>5391.3</v>
      </c>
      <c r="E1155" s="116">
        <v>5420.45</v>
      </c>
      <c r="F1155" s="116">
        <v>5445.5</v>
      </c>
      <c r="G1155">
        <v>21991</v>
      </c>
      <c r="H1155" s="116"/>
      <c r="I1155" s="116"/>
      <c r="L1155" s="170">
        <v>45268</v>
      </c>
      <c r="M1155" s="116">
        <v>5446.65</v>
      </c>
      <c r="N1155" s="116">
        <v>5520.8</v>
      </c>
      <c r="O1155" s="116">
        <v>5392.5</v>
      </c>
      <c r="P1155" s="116">
        <v>5432</v>
      </c>
      <c r="Q1155" s="116">
        <v>5446.65</v>
      </c>
      <c r="R1155">
        <v>419779</v>
      </c>
    </row>
    <row r="1156" spans="1:18" x14ac:dyDescent="0.25">
      <c r="A1156" s="170">
        <v>45271</v>
      </c>
      <c r="B1156" s="116">
        <v>5710</v>
      </c>
      <c r="C1156" s="116">
        <v>5691.45</v>
      </c>
      <c r="D1156" s="116">
        <v>5454.45</v>
      </c>
      <c r="E1156" s="116">
        <v>5468</v>
      </c>
      <c r="F1156" s="116">
        <v>5691.45</v>
      </c>
      <c r="G1156">
        <v>35095</v>
      </c>
      <c r="H1156" s="116"/>
      <c r="I1156" s="116"/>
      <c r="L1156" s="170">
        <v>45271</v>
      </c>
      <c r="M1156" s="116">
        <v>5691.95</v>
      </c>
      <c r="N1156" s="116">
        <v>5710.35</v>
      </c>
      <c r="O1156" s="116">
        <v>5446</v>
      </c>
      <c r="P1156" s="116">
        <v>5464.95</v>
      </c>
      <c r="Q1156" s="116">
        <v>5691.95</v>
      </c>
      <c r="R1156">
        <v>973960</v>
      </c>
    </row>
    <row r="1157" spans="1:18" x14ac:dyDescent="0.25">
      <c r="A1157" s="170">
        <v>45272</v>
      </c>
      <c r="B1157" s="116">
        <v>5709.35</v>
      </c>
      <c r="C1157" s="116">
        <v>5606.95</v>
      </c>
      <c r="D1157" s="116">
        <v>5581.95</v>
      </c>
      <c r="E1157" s="116">
        <v>5709.35</v>
      </c>
      <c r="F1157" s="116">
        <v>5606.95</v>
      </c>
      <c r="G1157">
        <v>13510</v>
      </c>
      <c r="H1157" s="116"/>
      <c r="I1157" s="116"/>
      <c r="L1157" s="170">
        <v>45272</v>
      </c>
      <c r="M1157" s="116">
        <v>5609.9</v>
      </c>
      <c r="N1157" s="116">
        <v>5733</v>
      </c>
      <c r="O1157" s="116">
        <v>5580.05</v>
      </c>
      <c r="P1157" s="116">
        <v>5700</v>
      </c>
      <c r="Q1157" s="116">
        <v>5609.9</v>
      </c>
      <c r="R1157">
        <v>524434</v>
      </c>
    </row>
    <row r="1158" spans="1:18" x14ac:dyDescent="0.25">
      <c r="A1158" s="170">
        <v>45273</v>
      </c>
      <c r="B1158" s="116">
        <v>5704.55</v>
      </c>
      <c r="C1158" s="116">
        <v>5679.75</v>
      </c>
      <c r="D1158" s="116">
        <v>5607.2</v>
      </c>
      <c r="E1158" s="116">
        <v>5640</v>
      </c>
      <c r="F1158" s="116">
        <v>5679.75</v>
      </c>
      <c r="G1158">
        <v>4426</v>
      </c>
      <c r="H1158" s="116"/>
      <c r="I1158" s="116"/>
      <c r="L1158" s="170">
        <v>45273</v>
      </c>
      <c r="M1158" s="116">
        <v>5678.15</v>
      </c>
      <c r="N1158" s="116">
        <v>5703.1</v>
      </c>
      <c r="O1158" s="116">
        <v>5606.25</v>
      </c>
      <c r="P1158" s="116">
        <v>5639</v>
      </c>
      <c r="Q1158" s="116">
        <v>5678.15</v>
      </c>
      <c r="R1158">
        <v>320345</v>
      </c>
    </row>
    <row r="1159" spans="1:18" x14ac:dyDescent="0.25">
      <c r="A1159" s="170">
        <v>45274</v>
      </c>
      <c r="B1159" s="116">
        <v>5722.9</v>
      </c>
      <c r="C1159" s="116">
        <v>5653.15</v>
      </c>
      <c r="D1159" s="116">
        <v>5629.2</v>
      </c>
      <c r="E1159" s="116">
        <v>5722.15</v>
      </c>
      <c r="F1159" s="116">
        <v>5653.15</v>
      </c>
      <c r="G1159">
        <v>11634</v>
      </c>
      <c r="H1159" s="116"/>
      <c r="I1159" s="116"/>
      <c r="L1159" s="170">
        <v>45274</v>
      </c>
      <c r="M1159" s="116">
        <v>5653.45</v>
      </c>
      <c r="N1159" s="116">
        <v>5719.1</v>
      </c>
      <c r="O1159" s="116">
        <v>5630</v>
      </c>
      <c r="P1159" s="116">
        <v>5714.9</v>
      </c>
      <c r="Q1159" s="116">
        <v>5653.45</v>
      </c>
      <c r="R1159">
        <v>351256</v>
      </c>
    </row>
    <row r="1160" spans="1:18" x14ac:dyDescent="0.25">
      <c r="A1160" s="170">
        <v>45275</v>
      </c>
      <c r="B1160" s="116">
        <v>5714.95</v>
      </c>
      <c r="C1160" s="116">
        <v>5674.65</v>
      </c>
      <c r="D1160" s="116">
        <v>5621.1</v>
      </c>
      <c r="E1160" s="116">
        <v>5714.95</v>
      </c>
      <c r="F1160" s="116">
        <v>5674.65</v>
      </c>
      <c r="G1160">
        <v>7960</v>
      </c>
      <c r="H1160" s="116"/>
      <c r="I1160" s="116"/>
      <c r="L1160" s="170">
        <v>45275</v>
      </c>
      <c r="M1160" s="116">
        <v>5670</v>
      </c>
      <c r="N1160" s="116">
        <v>5700</v>
      </c>
      <c r="O1160" s="116">
        <v>5621.25</v>
      </c>
      <c r="P1160" s="116">
        <v>5688.15</v>
      </c>
      <c r="Q1160" s="116">
        <v>5670</v>
      </c>
      <c r="R1160">
        <v>267973</v>
      </c>
    </row>
    <row r="1161" spans="1:18" x14ac:dyDescent="0.25">
      <c r="A1161" s="170">
        <v>45278</v>
      </c>
      <c r="B1161" s="116">
        <v>5710</v>
      </c>
      <c r="C1161" s="116">
        <v>5677.5</v>
      </c>
      <c r="D1161" s="116">
        <v>5635.65</v>
      </c>
      <c r="E1161" s="116">
        <v>5690</v>
      </c>
      <c r="F1161" s="116">
        <v>5677.5</v>
      </c>
      <c r="G1161">
        <v>11630</v>
      </c>
      <c r="H1161" s="116"/>
      <c r="I1161" s="116"/>
      <c r="L1161" s="170">
        <v>45278</v>
      </c>
      <c r="M1161" s="116">
        <v>5678.75</v>
      </c>
      <c r="N1161" s="116">
        <v>5713.45</v>
      </c>
      <c r="O1161" s="116">
        <v>5637</v>
      </c>
      <c r="P1161" s="116">
        <v>5686</v>
      </c>
      <c r="Q1161" s="116">
        <v>5678.75</v>
      </c>
      <c r="R1161">
        <v>310923</v>
      </c>
    </row>
    <row r="1162" spans="1:18" x14ac:dyDescent="0.25">
      <c r="A1162" s="170">
        <v>45279</v>
      </c>
      <c r="B1162" s="116">
        <v>5697.95</v>
      </c>
      <c r="C1162" s="116">
        <v>5615.75</v>
      </c>
      <c r="D1162" s="116">
        <v>5570.55</v>
      </c>
      <c r="E1162" s="116">
        <v>5680.75</v>
      </c>
      <c r="F1162" s="116">
        <v>5615.75</v>
      </c>
      <c r="G1162">
        <v>5591</v>
      </c>
      <c r="H1162" s="116"/>
      <c r="I1162" s="116"/>
      <c r="L1162" s="170">
        <v>45279</v>
      </c>
      <c r="M1162" s="116">
        <v>5610.9</v>
      </c>
      <c r="N1162" s="116">
        <v>5698.95</v>
      </c>
      <c r="O1162" s="116">
        <v>5573.05</v>
      </c>
      <c r="P1162" s="116">
        <v>5692.55</v>
      </c>
      <c r="Q1162" s="116">
        <v>5610.9</v>
      </c>
      <c r="R1162">
        <v>306765</v>
      </c>
    </row>
    <row r="1163" spans="1:18" x14ac:dyDescent="0.25">
      <c r="A1163" s="170">
        <v>45280</v>
      </c>
      <c r="B1163" s="116">
        <v>5683.5</v>
      </c>
      <c r="C1163" s="116">
        <v>5482.2</v>
      </c>
      <c r="D1163" s="116">
        <v>5451.15</v>
      </c>
      <c r="E1163" s="116">
        <v>5616</v>
      </c>
      <c r="F1163" s="116">
        <v>5482.2</v>
      </c>
      <c r="G1163">
        <v>21520</v>
      </c>
      <c r="H1163" s="116"/>
      <c r="I1163" s="116"/>
      <c r="L1163" s="170">
        <v>45280</v>
      </c>
      <c r="M1163" s="116">
        <v>5498</v>
      </c>
      <c r="N1163" s="116">
        <v>5684</v>
      </c>
      <c r="O1163" s="116">
        <v>5461</v>
      </c>
      <c r="P1163" s="116">
        <v>5644.9</v>
      </c>
      <c r="Q1163" s="116">
        <v>5498</v>
      </c>
      <c r="R1163">
        <v>345075</v>
      </c>
    </row>
    <row r="1164" spans="1:18" x14ac:dyDescent="0.25">
      <c r="A1164" s="170">
        <v>45281</v>
      </c>
      <c r="B1164" s="116">
        <v>5627.6</v>
      </c>
      <c r="C1164" s="116">
        <v>5620.6</v>
      </c>
      <c r="D1164" s="116">
        <v>5424.7</v>
      </c>
      <c r="E1164" s="116">
        <v>5470.15</v>
      </c>
      <c r="F1164" s="116">
        <v>5620.6</v>
      </c>
      <c r="G1164">
        <v>9672</v>
      </c>
      <c r="H1164" s="116"/>
      <c r="I1164" s="116"/>
      <c r="L1164" s="170">
        <v>45281</v>
      </c>
      <c r="M1164" s="116">
        <v>5619.3</v>
      </c>
      <c r="N1164" s="116">
        <v>5627</v>
      </c>
      <c r="O1164" s="116">
        <v>5415.25</v>
      </c>
      <c r="P1164" s="116">
        <v>5489</v>
      </c>
      <c r="Q1164" s="116">
        <v>5619.3</v>
      </c>
      <c r="R1164">
        <v>242120</v>
      </c>
    </row>
    <row r="1165" spans="1:18" x14ac:dyDescent="0.25">
      <c r="A1165" s="170">
        <v>45282</v>
      </c>
      <c r="B1165" s="116">
        <v>5638.65</v>
      </c>
      <c r="C1165" s="116">
        <v>5360.4</v>
      </c>
      <c r="D1165" s="116">
        <v>5304</v>
      </c>
      <c r="E1165" s="116">
        <v>5638.65</v>
      </c>
      <c r="F1165" s="116">
        <v>5360.4</v>
      </c>
      <c r="G1165">
        <v>119253</v>
      </c>
      <c r="H1165" s="116"/>
      <c r="I1165" s="116"/>
      <c r="L1165" s="170">
        <v>45282</v>
      </c>
      <c r="M1165" s="116">
        <v>5359.3</v>
      </c>
      <c r="N1165" s="116">
        <v>5633</v>
      </c>
      <c r="O1165" s="116">
        <v>5305.65</v>
      </c>
      <c r="P1165" s="116">
        <v>5633</v>
      </c>
      <c r="Q1165" s="116">
        <v>5359.3</v>
      </c>
      <c r="R1165">
        <v>1898658</v>
      </c>
    </row>
    <row r="1166" spans="1:18" x14ac:dyDescent="0.25">
      <c r="A1166" s="170">
        <v>45286</v>
      </c>
      <c r="B1166" s="116">
        <v>5447</v>
      </c>
      <c r="C1166" s="116">
        <v>5394.05</v>
      </c>
      <c r="D1166" s="116">
        <v>5304.2</v>
      </c>
      <c r="E1166" s="116">
        <v>5342.4</v>
      </c>
      <c r="F1166" s="116">
        <v>5394.05</v>
      </c>
      <c r="G1166">
        <v>50133</v>
      </c>
      <c r="H1166" s="116"/>
      <c r="I1166" s="116"/>
      <c r="L1166" s="170">
        <v>45286</v>
      </c>
      <c r="M1166" s="116">
        <v>5394.75</v>
      </c>
      <c r="N1166" s="116">
        <v>5449</v>
      </c>
      <c r="O1166" s="116">
        <v>5309</v>
      </c>
      <c r="P1166" s="116">
        <v>5359.3</v>
      </c>
      <c r="Q1166" s="116">
        <v>5394.75</v>
      </c>
      <c r="R1166">
        <v>682407</v>
      </c>
    </row>
    <row r="1167" spans="1:18" x14ac:dyDescent="0.25">
      <c r="A1167" s="170">
        <v>45287</v>
      </c>
      <c r="B1167" s="116">
        <v>5460</v>
      </c>
      <c r="C1167" s="116">
        <v>5439.05</v>
      </c>
      <c r="D1167" s="116">
        <v>5388</v>
      </c>
      <c r="E1167" s="116">
        <v>5412.05</v>
      </c>
      <c r="F1167" s="116">
        <v>5439.05</v>
      </c>
      <c r="G1167">
        <v>8530</v>
      </c>
      <c r="H1167" s="116"/>
      <c r="I1167" s="116"/>
      <c r="L1167" s="170">
        <v>45287</v>
      </c>
      <c r="M1167" s="116">
        <v>5436.65</v>
      </c>
      <c r="N1167" s="116">
        <v>5458</v>
      </c>
      <c r="O1167" s="116">
        <v>5385.05</v>
      </c>
      <c r="P1167" s="116">
        <v>5420</v>
      </c>
      <c r="Q1167" s="116">
        <v>5436.65</v>
      </c>
      <c r="R1167">
        <v>357111</v>
      </c>
    </row>
    <row r="1168" spans="1:18" x14ac:dyDescent="0.25">
      <c r="A1168" s="170">
        <v>45288</v>
      </c>
      <c r="B1168" s="116">
        <v>5491.9</v>
      </c>
      <c r="C1168" s="116">
        <v>5456.85</v>
      </c>
      <c r="D1168" s="116">
        <v>5433.1</v>
      </c>
      <c r="E1168" s="116">
        <v>5440.1</v>
      </c>
      <c r="F1168" s="116">
        <v>5456.85</v>
      </c>
      <c r="G1168">
        <v>15116</v>
      </c>
      <c r="H1168" s="116"/>
      <c r="I1168" s="116"/>
      <c r="L1168" s="170">
        <v>45288</v>
      </c>
      <c r="M1168" s="116">
        <v>5458.95</v>
      </c>
      <c r="N1168" s="116">
        <v>5493.85</v>
      </c>
      <c r="O1168" s="116">
        <v>5435</v>
      </c>
      <c r="P1168" s="116">
        <v>5457.95</v>
      </c>
      <c r="Q1168" s="116">
        <v>5458.95</v>
      </c>
      <c r="R1168">
        <v>233728</v>
      </c>
    </row>
    <row r="1169" spans="1:18" x14ac:dyDescent="0.25">
      <c r="A1169" s="170">
        <v>45289</v>
      </c>
      <c r="B1169" s="116">
        <v>5564</v>
      </c>
      <c r="C1169" s="116">
        <v>5491.35</v>
      </c>
      <c r="D1169" s="116">
        <v>5431.25</v>
      </c>
      <c r="E1169" s="116">
        <v>5460</v>
      </c>
      <c r="F1169" s="116">
        <v>5491.35</v>
      </c>
      <c r="G1169">
        <v>7759</v>
      </c>
      <c r="H1169" s="116"/>
      <c r="I1169" s="116"/>
      <c r="L1169" s="170">
        <v>45289</v>
      </c>
      <c r="M1169" s="116">
        <v>5484.85</v>
      </c>
      <c r="N1169" s="116">
        <v>5564.55</v>
      </c>
      <c r="O1169" s="116">
        <v>5431.55</v>
      </c>
      <c r="P1169" s="116">
        <v>5470</v>
      </c>
      <c r="Q1169" s="116">
        <v>5484.85</v>
      </c>
      <c r="R1169">
        <v>347319</v>
      </c>
    </row>
    <row r="1170" spans="1:18" x14ac:dyDescent="0.25">
      <c r="A1170" s="170">
        <v>45292</v>
      </c>
      <c r="B1170" s="116">
        <v>5531.6</v>
      </c>
      <c r="C1170" s="116">
        <v>5464.85</v>
      </c>
      <c r="D1170" s="116">
        <v>5450.05</v>
      </c>
      <c r="E1170" s="116">
        <v>5491.35</v>
      </c>
      <c r="F1170" s="116">
        <v>5464.85</v>
      </c>
      <c r="G1170">
        <v>10664</v>
      </c>
      <c r="H1170" s="116"/>
      <c r="I1170" s="116"/>
      <c r="L1170" s="170">
        <v>45292</v>
      </c>
      <c r="M1170" s="116">
        <v>5464.7</v>
      </c>
      <c r="N1170" s="116">
        <v>5530.45</v>
      </c>
      <c r="O1170" s="116">
        <v>5449.95</v>
      </c>
      <c r="P1170" s="116">
        <v>5500</v>
      </c>
      <c r="Q1170" s="116">
        <v>5464.7</v>
      </c>
      <c r="R1170">
        <v>146403</v>
      </c>
    </row>
    <row r="1171" spans="1:18" x14ac:dyDescent="0.25">
      <c r="A1171" s="170">
        <v>45293</v>
      </c>
      <c r="B1171" s="116">
        <v>5464.85</v>
      </c>
      <c r="C1171" s="116">
        <v>5347.75</v>
      </c>
      <c r="D1171" s="116">
        <v>5327.8</v>
      </c>
      <c r="E1171" s="116">
        <v>5464.85</v>
      </c>
      <c r="F1171" s="116">
        <v>5347.75</v>
      </c>
      <c r="G1171">
        <v>22589</v>
      </c>
      <c r="H1171" s="116"/>
      <c r="I1171" s="116"/>
      <c r="L1171" s="170">
        <v>45293</v>
      </c>
      <c r="M1171" s="116">
        <v>5346.6</v>
      </c>
      <c r="N1171" s="116">
        <v>5470</v>
      </c>
      <c r="O1171" s="116">
        <v>5330</v>
      </c>
      <c r="P1171" s="116">
        <v>5464.7</v>
      </c>
      <c r="Q1171" s="116">
        <v>5346.6</v>
      </c>
      <c r="R1171">
        <v>281635</v>
      </c>
    </row>
    <row r="1172" spans="1:18" x14ac:dyDescent="0.25">
      <c r="A1172" s="170">
        <v>45294</v>
      </c>
      <c r="B1172" s="116">
        <v>5423.95</v>
      </c>
      <c r="C1172" s="116">
        <v>5402.35</v>
      </c>
      <c r="D1172" s="116">
        <v>5310</v>
      </c>
      <c r="E1172" s="116">
        <v>5348</v>
      </c>
      <c r="F1172" s="116">
        <v>5402.35</v>
      </c>
      <c r="G1172">
        <v>18204</v>
      </c>
      <c r="H1172" s="116"/>
      <c r="I1172" s="116"/>
      <c r="L1172" s="170">
        <v>45294</v>
      </c>
      <c r="M1172" s="116">
        <v>5404.55</v>
      </c>
      <c r="N1172" s="116">
        <v>5426.6</v>
      </c>
      <c r="O1172" s="116">
        <v>5309</v>
      </c>
      <c r="P1172" s="116">
        <v>5340.05</v>
      </c>
      <c r="Q1172" s="116">
        <v>5404.55</v>
      </c>
      <c r="R1172">
        <v>250172</v>
      </c>
    </row>
    <row r="1173" spans="1:18" x14ac:dyDescent="0.25">
      <c r="A1173" s="170">
        <v>45295</v>
      </c>
      <c r="B1173" s="116">
        <v>5450.55</v>
      </c>
      <c r="C1173" s="116">
        <v>5393.25</v>
      </c>
      <c r="D1173" s="116">
        <v>5338.45</v>
      </c>
      <c r="E1173" s="116">
        <v>5402.35</v>
      </c>
      <c r="F1173" s="116">
        <v>5393.25</v>
      </c>
      <c r="G1173">
        <v>9190</v>
      </c>
      <c r="H1173" s="116"/>
      <c r="I1173" s="116"/>
      <c r="L1173" s="170">
        <v>45295</v>
      </c>
      <c r="M1173" s="116">
        <v>5394.6</v>
      </c>
      <c r="N1173" s="116">
        <v>5452</v>
      </c>
      <c r="O1173" s="116">
        <v>5337.15</v>
      </c>
      <c r="P1173" s="116">
        <v>5404.55</v>
      </c>
      <c r="Q1173" s="116">
        <v>5394.6</v>
      </c>
      <c r="R1173">
        <v>282732</v>
      </c>
    </row>
    <row r="1174" spans="1:18" x14ac:dyDescent="0.25">
      <c r="A1174" s="170">
        <v>45296</v>
      </c>
      <c r="B1174" s="116">
        <v>5436.5</v>
      </c>
      <c r="C1174" s="116">
        <v>5399.55</v>
      </c>
      <c r="D1174" s="116">
        <v>5356.7</v>
      </c>
      <c r="E1174" s="116">
        <v>5424.9</v>
      </c>
      <c r="F1174" s="116">
        <v>5399.55</v>
      </c>
      <c r="G1174">
        <v>6886</v>
      </c>
      <c r="H1174" s="116"/>
      <c r="I1174" s="116"/>
      <c r="L1174" s="170">
        <v>45296</v>
      </c>
      <c r="M1174" s="116">
        <v>5401.3</v>
      </c>
      <c r="N1174" s="116">
        <v>5441.85</v>
      </c>
      <c r="O1174" s="116">
        <v>5358.05</v>
      </c>
      <c r="P1174" s="116">
        <v>5433</v>
      </c>
      <c r="Q1174" s="116">
        <v>5401.3</v>
      </c>
      <c r="R1174">
        <v>140560</v>
      </c>
    </row>
    <row r="1175" spans="1:18" x14ac:dyDescent="0.25">
      <c r="A1175" s="170">
        <v>45299</v>
      </c>
      <c r="B1175" s="116">
        <v>5467.45</v>
      </c>
      <c r="C1175" s="116">
        <v>5344.75</v>
      </c>
      <c r="D1175" s="116">
        <v>5335</v>
      </c>
      <c r="E1175" s="116">
        <v>5365.25</v>
      </c>
      <c r="F1175" s="116">
        <v>5344.75</v>
      </c>
      <c r="G1175">
        <v>6317</v>
      </c>
      <c r="H1175" s="116"/>
      <c r="I1175" s="116"/>
      <c r="L1175" s="170">
        <v>45299</v>
      </c>
      <c r="M1175" s="116">
        <v>5344.25</v>
      </c>
      <c r="N1175" s="116">
        <v>5469.9</v>
      </c>
      <c r="O1175" s="116">
        <v>5335</v>
      </c>
      <c r="P1175" s="116">
        <v>5400</v>
      </c>
      <c r="Q1175" s="116">
        <v>5344.25</v>
      </c>
      <c r="R1175">
        <v>346476</v>
      </c>
    </row>
    <row r="1176" spans="1:18" x14ac:dyDescent="0.25">
      <c r="A1176" s="170">
        <v>45300</v>
      </c>
      <c r="B1176" s="116">
        <v>5401.55</v>
      </c>
      <c r="C1176" s="116">
        <v>4867.55</v>
      </c>
      <c r="D1176" s="116">
        <v>4850</v>
      </c>
      <c r="E1176" s="116">
        <v>5389.9</v>
      </c>
      <c r="F1176" s="116">
        <v>4867.55</v>
      </c>
      <c r="G1176">
        <v>262433</v>
      </c>
      <c r="H1176" s="116"/>
      <c r="I1176" s="116"/>
      <c r="L1176" s="170">
        <v>45300</v>
      </c>
      <c r="M1176" s="116">
        <v>4867.1000000000004</v>
      </c>
      <c r="N1176" s="116">
        <v>5403</v>
      </c>
      <c r="O1176" s="116">
        <v>4850</v>
      </c>
      <c r="P1176" s="116">
        <v>5389.9</v>
      </c>
      <c r="Q1176" s="116">
        <v>4867.1000000000004</v>
      </c>
      <c r="R1176">
        <v>4167413</v>
      </c>
    </row>
    <row r="1177" spans="1:18" x14ac:dyDescent="0.25">
      <c r="A1177" s="170">
        <v>45301</v>
      </c>
      <c r="B1177" s="116">
        <v>5036.2</v>
      </c>
      <c r="C1177" s="116">
        <v>4913.1499999999996</v>
      </c>
      <c r="D1177" s="116">
        <v>4863.95</v>
      </c>
      <c r="E1177" s="116">
        <v>4960</v>
      </c>
      <c r="F1177" s="116">
        <v>4913.1499999999996</v>
      </c>
      <c r="G1177">
        <v>169165</v>
      </c>
      <c r="H1177" s="116"/>
      <c r="I1177" s="116"/>
      <c r="L1177" s="170">
        <v>45301</v>
      </c>
      <c r="M1177" s="116">
        <v>4911.8500000000004</v>
      </c>
      <c r="N1177" s="116">
        <v>5035.25</v>
      </c>
      <c r="O1177" s="116">
        <v>4863.3500000000004</v>
      </c>
      <c r="P1177" s="116">
        <v>4995.95</v>
      </c>
      <c r="Q1177" s="116">
        <v>4911.8500000000004</v>
      </c>
      <c r="R1177">
        <v>2695792</v>
      </c>
    </row>
    <row r="1178" spans="1:18" x14ac:dyDescent="0.25">
      <c r="A1178" s="170">
        <v>45302</v>
      </c>
      <c r="B1178" s="116">
        <v>4421.8500000000004</v>
      </c>
      <c r="C1178" s="116">
        <v>3877.4</v>
      </c>
      <c r="D1178" s="116">
        <v>3812.35</v>
      </c>
      <c r="E1178" s="116">
        <v>4421.8500000000004</v>
      </c>
      <c r="F1178" s="116">
        <v>3877.4</v>
      </c>
      <c r="G1178">
        <v>1459098</v>
      </c>
      <c r="H1178" s="116"/>
      <c r="I1178" s="116"/>
      <c r="L1178" s="170">
        <v>45302</v>
      </c>
      <c r="M1178" s="116">
        <v>3878.45</v>
      </c>
      <c r="N1178" s="116">
        <v>4420.7</v>
      </c>
      <c r="O1178" s="116">
        <v>3801</v>
      </c>
      <c r="P1178" s="116">
        <v>4420.7</v>
      </c>
      <c r="Q1178" s="116">
        <v>3878.45</v>
      </c>
      <c r="R1178">
        <v>18029446</v>
      </c>
    </row>
    <row r="1179" spans="1:18" x14ac:dyDescent="0.25">
      <c r="A1179" s="170">
        <v>45303</v>
      </c>
      <c r="B1179" s="116">
        <v>4061.35</v>
      </c>
      <c r="C1179" s="116">
        <v>3981.3</v>
      </c>
      <c r="D1179" s="116">
        <v>3906.3</v>
      </c>
      <c r="E1179" s="116">
        <v>3906.3</v>
      </c>
      <c r="F1179" s="116">
        <v>3981.3</v>
      </c>
      <c r="G1179">
        <v>360918</v>
      </c>
      <c r="H1179" s="116"/>
      <c r="I1179" s="116"/>
      <c r="L1179" s="170">
        <v>45303</v>
      </c>
      <c r="M1179" s="116">
        <v>3980.9</v>
      </c>
      <c r="N1179" s="116">
        <v>4059</v>
      </c>
      <c r="O1179" s="116">
        <v>3905</v>
      </c>
      <c r="P1179" s="116">
        <v>3910</v>
      </c>
      <c r="Q1179" s="116">
        <v>3980.9</v>
      </c>
      <c r="R1179">
        <v>6218177</v>
      </c>
    </row>
    <row r="1180" spans="1:18" x14ac:dyDescent="0.25">
      <c r="A1180" s="170">
        <v>45306</v>
      </c>
      <c r="B1180" s="116">
        <v>4253.95</v>
      </c>
      <c r="C1180" s="116">
        <v>4198.3</v>
      </c>
      <c r="D1180" s="116">
        <v>3972</v>
      </c>
      <c r="E1180" s="116">
        <v>4051.1</v>
      </c>
      <c r="F1180" s="116">
        <v>4198.3</v>
      </c>
      <c r="G1180">
        <v>382605</v>
      </c>
      <c r="H1180" s="116"/>
      <c r="I1180" s="116"/>
      <c r="L1180" s="170">
        <v>45306</v>
      </c>
      <c r="M1180" s="116">
        <v>4198.2</v>
      </c>
      <c r="N1180" s="116">
        <v>4254.3999999999996</v>
      </c>
      <c r="O1180" s="116">
        <v>3975</v>
      </c>
      <c r="P1180" s="116">
        <v>4094.95</v>
      </c>
      <c r="Q1180" s="116">
        <v>4198.2</v>
      </c>
      <c r="R1180">
        <v>3860786</v>
      </c>
    </row>
    <row r="1181" spans="1:18" x14ac:dyDescent="0.25">
      <c r="A1181" s="170">
        <v>45307</v>
      </c>
      <c r="B1181" s="116">
        <v>4358</v>
      </c>
      <c r="C1181" s="116">
        <v>4339.3</v>
      </c>
      <c r="D1181" s="116">
        <v>4255.2</v>
      </c>
      <c r="E1181" s="116">
        <v>4294.8500000000004</v>
      </c>
      <c r="F1181" s="116">
        <v>4339.3</v>
      </c>
      <c r="G1181">
        <v>283257</v>
      </c>
      <c r="H1181" s="116"/>
      <c r="I1181" s="116"/>
      <c r="L1181" s="170">
        <v>45307</v>
      </c>
      <c r="M1181" s="116">
        <v>4340.8</v>
      </c>
      <c r="N1181" s="116">
        <v>4361</v>
      </c>
      <c r="O1181" s="116">
        <v>4255</v>
      </c>
      <c r="P1181" s="116">
        <v>4290</v>
      </c>
      <c r="Q1181" s="116">
        <v>4340.8</v>
      </c>
      <c r="R1181">
        <v>2599390</v>
      </c>
    </row>
    <row r="1182" spans="1:18" x14ac:dyDescent="0.25">
      <c r="A1182" s="170">
        <v>45308</v>
      </c>
      <c r="B1182" s="116">
        <v>4490</v>
      </c>
      <c r="C1182" s="116">
        <v>4440.05</v>
      </c>
      <c r="D1182" s="116">
        <v>4325</v>
      </c>
      <c r="E1182" s="116">
        <v>4349.45</v>
      </c>
      <c r="F1182" s="116">
        <v>4440.05</v>
      </c>
      <c r="G1182">
        <v>101445</v>
      </c>
      <c r="H1182" s="116"/>
      <c r="I1182" s="116"/>
      <c r="L1182" s="170">
        <v>45308</v>
      </c>
      <c r="M1182" s="116">
        <v>4439.3</v>
      </c>
      <c r="N1182" s="116">
        <v>4490</v>
      </c>
      <c r="O1182" s="116">
        <v>4328.1000000000004</v>
      </c>
      <c r="P1182" s="116">
        <v>4340</v>
      </c>
      <c r="Q1182" s="116">
        <v>4439.3</v>
      </c>
      <c r="R1182">
        <v>1928680</v>
      </c>
    </row>
    <row r="1183" spans="1:18" x14ac:dyDescent="0.25">
      <c r="A1183" s="170">
        <v>45309</v>
      </c>
      <c r="B1183" s="116">
        <v>4546</v>
      </c>
      <c r="C1183" s="116">
        <v>4431</v>
      </c>
      <c r="D1183" s="116">
        <v>3996.05</v>
      </c>
      <c r="E1183" s="116">
        <v>4459.95</v>
      </c>
      <c r="F1183" s="116">
        <v>4431</v>
      </c>
      <c r="G1183">
        <v>408171</v>
      </c>
      <c r="H1183" s="116"/>
      <c r="I1183" s="116"/>
      <c r="L1183" s="170">
        <v>45309</v>
      </c>
      <c r="M1183" s="116">
        <v>4436.05</v>
      </c>
      <c r="N1183" s="116">
        <v>4549</v>
      </c>
      <c r="O1183" s="116">
        <v>3995.4</v>
      </c>
      <c r="P1183" s="116">
        <v>4460</v>
      </c>
      <c r="Q1183" s="116">
        <v>4436.05</v>
      </c>
      <c r="R1183">
        <v>3940479</v>
      </c>
    </row>
    <row r="1184" spans="1:18" x14ac:dyDescent="0.25">
      <c r="A1184" s="170">
        <v>45310</v>
      </c>
      <c r="B1184" s="116">
        <v>4543.45</v>
      </c>
      <c r="C1184" s="116">
        <v>4413.8500000000004</v>
      </c>
      <c r="D1184" s="116">
        <v>4250.1499999999996</v>
      </c>
      <c r="E1184" s="116">
        <v>4504.5</v>
      </c>
      <c r="F1184" s="116">
        <v>4413.8500000000004</v>
      </c>
      <c r="G1184">
        <v>95198</v>
      </c>
      <c r="H1184" s="116"/>
      <c r="I1184" s="116"/>
      <c r="L1184" s="170">
        <v>45310</v>
      </c>
      <c r="M1184" s="116">
        <v>4422.7</v>
      </c>
      <c r="N1184" s="116">
        <v>4537</v>
      </c>
      <c r="O1184" s="116">
        <v>4250</v>
      </c>
      <c r="P1184" s="116">
        <v>4500</v>
      </c>
      <c r="Q1184" s="116">
        <v>4422.7</v>
      </c>
      <c r="R1184">
        <v>2042284</v>
      </c>
    </row>
    <row r="1185" spans="1:18" x14ac:dyDescent="0.25">
      <c r="A1185" s="170">
        <v>45311</v>
      </c>
      <c r="B1185" s="116">
        <v>4459.8999999999996</v>
      </c>
      <c r="C1185" s="116">
        <v>4334.95</v>
      </c>
      <c r="D1185" s="116">
        <v>4320.05</v>
      </c>
      <c r="E1185" s="116">
        <v>4459.8999999999996</v>
      </c>
      <c r="F1185" s="116">
        <v>4334.95</v>
      </c>
      <c r="G1185">
        <v>27424</v>
      </c>
      <c r="H1185" s="116"/>
      <c r="I1185" s="116"/>
      <c r="L1185" s="170">
        <v>45311</v>
      </c>
      <c r="M1185" s="116">
        <v>4335.3500000000004</v>
      </c>
      <c r="N1185" s="116">
        <v>4450</v>
      </c>
      <c r="O1185" s="116">
        <v>4321</v>
      </c>
      <c r="P1185" s="116">
        <v>4450</v>
      </c>
      <c r="Q1185" s="116">
        <v>4335.3500000000004</v>
      </c>
      <c r="R1185">
        <v>512155</v>
      </c>
    </row>
    <row r="1186" spans="1:18" x14ac:dyDescent="0.25">
      <c r="A1186" s="170">
        <v>45314</v>
      </c>
      <c r="B1186" s="116">
        <v>4399.95</v>
      </c>
      <c r="C1186" s="116">
        <v>4162.5</v>
      </c>
      <c r="D1186" s="116">
        <v>4100.95</v>
      </c>
      <c r="E1186" s="116">
        <v>4378.8500000000004</v>
      </c>
      <c r="F1186" s="116">
        <v>4162.5</v>
      </c>
      <c r="G1186">
        <v>61084</v>
      </c>
      <c r="H1186" s="116"/>
      <c r="I1186" s="116"/>
      <c r="L1186" s="170">
        <v>45314</v>
      </c>
      <c r="M1186" s="116">
        <v>4169.95</v>
      </c>
      <c r="N1186" s="116">
        <v>4399</v>
      </c>
      <c r="O1186" s="116">
        <v>4050</v>
      </c>
      <c r="P1186" s="116">
        <v>4350</v>
      </c>
      <c r="Q1186" s="116">
        <v>4169.95</v>
      </c>
      <c r="R1186">
        <v>1286472</v>
      </c>
    </row>
    <row r="1187" spans="1:18" x14ac:dyDescent="0.25">
      <c r="A1187" s="170">
        <v>45315</v>
      </c>
      <c r="B1187" s="116">
        <v>4399</v>
      </c>
      <c r="C1187" s="116">
        <v>4361.3</v>
      </c>
      <c r="D1187" s="116">
        <v>4125.5</v>
      </c>
      <c r="E1187" s="116">
        <v>4185.25</v>
      </c>
      <c r="F1187" s="116">
        <v>4361.3</v>
      </c>
      <c r="G1187">
        <v>60249</v>
      </c>
      <c r="H1187" s="116"/>
      <c r="I1187" s="116"/>
      <c r="L1187" s="170">
        <v>45315</v>
      </c>
      <c r="M1187" s="116">
        <v>4361.7</v>
      </c>
      <c r="N1187" s="116">
        <v>4400</v>
      </c>
      <c r="O1187" s="116">
        <v>4125.3999999999996</v>
      </c>
      <c r="P1187" s="116">
        <v>4200</v>
      </c>
      <c r="Q1187" s="116">
        <v>4361.7</v>
      </c>
      <c r="R1187">
        <v>1879874</v>
      </c>
    </row>
    <row r="1188" spans="1:18" x14ac:dyDescent="0.25">
      <c r="A1188" s="170">
        <v>45316</v>
      </c>
      <c r="B1188" s="116">
        <v>4451.25</v>
      </c>
      <c r="C1188" s="116">
        <v>4342.3500000000004</v>
      </c>
      <c r="D1188" s="116">
        <v>4311.95</v>
      </c>
      <c r="E1188" s="116">
        <v>4355.25</v>
      </c>
      <c r="F1188" s="116">
        <v>4342.3500000000004</v>
      </c>
      <c r="G1188">
        <v>36613</v>
      </c>
      <c r="H1188" s="116"/>
      <c r="I1188" s="116"/>
      <c r="L1188" s="170">
        <v>45316</v>
      </c>
      <c r="M1188" s="116">
        <v>4343.8500000000004</v>
      </c>
      <c r="N1188" s="116">
        <v>4455</v>
      </c>
      <c r="O1188" s="116">
        <v>4283.1499999999996</v>
      </c>
      <c r="P1188" s="116">
        <v>4350</v>
      </c>
      <c r="Q1188" s="116">
        <v>4343.8500000000004</v>
      </c>
      <c r="R1188">
        <v>1295034</v>
      </c>
    </row>
    <row r="1189" spans="1:18" x14ac:dyDescent="0.25">
      <c r="A1189" s="170">
        <v>45320</v>
      </c>
      <c r="B1189" s="116">
        <v>4440.1499999999996</v>
      </c>
      <c r="C1189" s="116">
        <v>4343.6499999999996</v>
      </c>
      <c r="D1189" s="116">
        <v>4300</v>
      </c>
      <c r="E1189" s="116">
        <v>4366.05</v>
      </c>
      <c r="F1189" s="116">
        <v>4343.6499999999996</v>
      </c>
      <c r="G1189">
        <v>30535</v>
      </c>
      <c r="H1189" s="116"/>
      <c r="I1189" s="116"/>
      <c r="L1189" s="170">
        <v>45320</v>
      </c>
      <c r="M1189" s="116">
        <v>4346.2</v>
      </c>
      <c r="N1189" s="116">
        <v>4408.5</v>
      </c>
      <c r="O1189" s="116">
        <v>4293.1000000000004</v>
      </c>
      <c r="P1189" s="116">
        <v>4384.95</v>
      </c>
      <c r="Q1189" s="116">
        <v>4346.2</v>
      </c>
      <c r="R1189">
        <v>878902</v>
      </c>
    </row>
    <row r="1190" spans="1:18" x14ac:dyDescent="0.25">
      <c r="A1190" s="170">
        <v>45321</v>
      </c>
      <c r="B1190" s="116">
        <v>4381.3999999999996</v>
      </c>
      <c r="C1190" s="116">
        <v>4312.25</v>
      </c>
      <c r="D1190" s="116">
        <v>4300.3999999999996</v>
      </c>
      <c r="E1190" s="116">
        <v>4350.1499999999996</v>
      </c>
      <c r="F1190" s="116">
        <v>4312.25</v>
      </c>
      <c r="G1190">
        <v>20360</v>
      </c>
      <c r="H1190" s="116"/>
      <c r="I1190" s="116"/>
      <c r="L1190" s="170">
        <v>45321</v>
      </c>
      <c r="M1190" s="116">
        <v>4314</v>
      </c>
      <c r="N1190" s="116">
        <v>4384.95</v>
      </c>
      <c r="O1190" s="116">
        <v>4300</v>
      </c>
      <c r="P1190" s="116">
        <v>4375</v>
      </c>
      <c r="Q1190" s="116">
        <v>4314</v>
      </c>
      <c r="R1190">
        <v>432662</v>
      </c>
    </row>
    <row r="1191" spans="1:18" x14ac:dyDescent="0.25">
      <c r="A1191" s="170">
        <v>45322</v>
      </c>
      <c r="B1191" s="116">
        <v>4375</v>
      </c>
      <c r="C1191" s="116">
        <v>4342.3999999999996</v>
      </c>
      <c r="D1191" s="116">
        <v>4290</v>
      </c>
      <c r="E1191" s="116">
        <v>4320.1000000000004</v>
      </c>
      <c r="F1191" s="116">
        <v>4342.3999999999996</v>
      </c>
      <c r="G1191">
        <v>14724</v>
      </c>
      <c r="H1191" s="116"/>
      <c r="I1191" s="116"/>
      <c r="L1191" s="170">
        <v>45322</v>
      </c>
      <c r="M1191" s="116">
        <v>4343.1499999999996</v>
      </c>
      <c r="N1191" s="116">
        <v>4374.25</v>
      </c>
      <c r="O1191" s="116">
        <v>4291</v>
      </c>
      <c r="P1191" s="116">
        <v>4338.6000000000004</v>
      </c>
      <c r="Q1191" s="116">
        <v>4343.1499999999996</v>
      </c>
      <c r="R1191">
        <v>522874</v>
      </c>
    </row>
    <row r="1192" spans="1:18" x14ac:dyDescent="0.25">
      <c r="A1192" s="170">
        <v>45323</v>
      </c>
      <c r="B1192" s="116">
        <v>4365</v>
      </c>
      <c r="C1192" s="116">
        <v>4265.95</v>
      </c>
      <c r="D1192" s="116">
        <v>4240</v>
      </c>
      <c r="E1192" s="116">
        <v>4333.1499999999996</v>
      </c>
      <c r="F1192" s="116">
        <v>4265.95</v>
      </c>
      <c r="G1192">
        <v>19197</v>
      </c>
      <c r="H1192" s="116"/>
      <c r="I1192" s="116"/>
      <c r="L1192" s="170">
        <v>45323</v>
      </c>
      <c r="M1192" s="116">
        <v>4263.95</v>
      </c>
      <c r="N1192" s="116">
        <v>4366.8500000000004</v>
      </c>
      <c r="O1192" s="116">
        <v>4236</v>
      </c>
      <c r="P1192" s="116">
        <v>4350</v>
      </c>
      <c r="Q1192" s="116">
        <v>4263.95</v>
      </c>
      <c r="R1192">
        <v>651423</v>
      </c>
    </row>
    <row r="1193" spans="1:18" x14ac:dyDescent="0.25">
      <c r="A1193" s="170">
        <v>45324</v>
      </c>
      <c r="B1193" s="116">
        <v>4435.3999999999996</v>
      </c>
      <c r="C1193" s="116">
        <v>4383.8999999999996</v>
      </c>
      <c r="D1193" s="116">
        <v>4251.2</v>
      </c>
      <c r="E1193" s="116">
        <v>4270.1499999999996</v>
      </c>
      <c r="F1193" s="116">
        <v>4383.8999999999996</v>
      </c>
      <c r="G1193">
        <v>106428</v>
      </c>
      <c r="H1193" s="116"/>
      <c r="I1193" s="116"/>
      <c r="L1193" s="170">
        <v>45324</v>
      </c>
      <c r="M1193" s="116">
        <v>4383.7</v>
      </c>
      <c r="N1193" s="116">
        <v>4437.8999999999996</v>
      </c>
      <c r="O1193" s="116">
        <v>4269.1000000000004</v>
      </c>
      <c r="P1193" s="116">
        <v>4298.75</v>
      </c>
      <c r="Q1193" s="116">
        <v>4383.7</v>
      </c>
      <c r="R1193">
        <v>843638</v>
      </c>
    </row>
    <row r="1194" spans="1:18" x14ac:dyDescent="0.25">
      <c r="A1194" s="170">
        <v>45327</v>
      </c>
      <c r="B1194" s="116">
        <v>4430</v>
      </c>
      <c r="C1194" s="116">
        <v>4383.5</v>
      </c>
      <c r="D1194" s="116">
        <v>4329.1499999999996</v>
      </c>
      <c r="E1194" s="116">
        <v>4329.1499999999996</v>
      </c>
      <c r="F1194" s="116">
        <v>4383.5</v>
      </c>
      <c r="G1194">
        <v>72273</v>
      </c>
      <c r="H1194" s="116"/>
      <c r="I1194" s="116"/>
      <c r="L1194" s="170">
        <v>45327</v>
      </c>
      <c r="M1194" s="116">
        <v>4385.25</v>
      </c>
      <c r="N1194" s="116">
        <v>4430</v>
      </c>
      <c r="O1194" s="116">
        <v>4346.1000000000004</v>
      </c>
      <c r="P1194" s="116">
        <v>4370</v>
      </c>
      <c r="Q1194" s="116">
        <v>4385.25</v>
      </c>
      <c r="R1194">
        <v>542583</v>
      </c>
    </row>
    <row r="1195" spans="1:18" x14ac:dyDescent="0.25">
      <c r="A1195" s="170">
        <v>45328</v>
      </c>
      <c r="B1195" s="116">
        <v>4410</v>
      </c>
      <c r="C1195" s="116">
        <v>4395</v>
      </c>
      <c r="D1195" s="116">
        <v>4350</v>
      </c>
      <c r="E1195" s="116">
        <v>4385.5</v>
      </c>
      <c r="F1195" s="116">
        <v>4395</v>
      </c>
      <c r="G1195">
        <v>13205</v>
      </c>
      <c r="H1195" s="116"/>
      <c r="I1195" s="116"/>
      <c r="L1195" s="170">
        <v>45328</v>
      </c>
      <c r="M1195" s="116">
        <v>4396.1499999999996</v>
      </c>
      <c r="N1195" s="116">
        <v>4411.95</v>
      </c>
      <c r="O1195" s="116">
        <v>4345</v>
      </c>
      <c r="P1195" s="116">
        <v>4399</v>
      </c>
      <c r="Q1195" s="116">
        <v>4396.1499999999996</v>
      </c>
      <c r="R1195">
        <v>400247</v>
      </c>
    </row>
    <row r="1196" spans="1:18" x14ac:dyDescent="0.25">
      <c r="A1196" s="170">
        <v>45329</v>
      </c>
      <c r="B1196" s="116">
        <v>4425</v>
      </c>
      <c r="C1196" s="116">
        <v>4387.6499999999996</v>
      </c>
      <c r="D1196" s="116">
        <v>4361.6000000000004</v>
      </c>
      <c r="E1196" s="116">
        <v>4400.1000000000004</v>
      </c>
      <c r="F1196" s="116">
        <v>4387.6499999999996</v>
      </c>
      <c r="G1196">
        <v>10006</v>
      </c>
      <c r="H1196" s="116"/>
      <c r="I1196" s="116"/>
      <c r="L1196" s="170">
        <v>45329</v>
      </c>
      <c r="M1196" s="116">
        <v>4388.1499999999996</v>
      </c>
      <c r="N1196" s="116">
        <v>4425.2</v>
      </c>
      <c r="O1196" s="116">
        <v>4362</v>
      </c>
      <c r="P1196" s="116">
        <v>4415</v>
      </c>
      <c r="Q1196" s="116">
        <v>4388.1499999999996</v>
      </c>
      <c r="R1196">
        <v>362267</v>
      </c>
    </row>
    <row r="1197" spans="1:18" x14ac:dyDescent="0.25">
      <c r="A1197" s="170">
        <v>45330</v>
      </c>
      <c r="B1197" s="116">
        <v>4421.45</v>
      </c>
      <c r="C1197" s="116">
        <v>4320.3</v>
      </c>
      <c r="D1197" s="116">
        <v>4300</v>
      </c>
      <c r="E1197" s="116">
        <v>4390</v>
      </c>
      <c r="F1197" s="116">
        <v>4320.3</v>
      </c>
      <c r="G1197">
        <v>11011</v>
      </c>
      <c r="H1197" s="116"/>
      <c r="I1197" s="116"/>
      <c r="L1197" s="170">
        <v>45330</v>
      </c>
      <c r="M1197" s="116">
        <v>4319.6000000000004</v>
      </c>
      <c r="N1197" s="116">
        <v>4420.3500000000004</v>
      </c>
      <c r="O1197" s="116">
        <v>4297.8500000000004</v>
      </c>
      <c r="P1197" s="116">
        <v>4400</v>
      </c>
      <c r="Q1197" s="116">
        <v>4319.6000000000004</v>
      </c>
      <c r="R1197">
        <v>448325</v>
      </c>
    </row>
    <row r="1198" spans="1:18" x14ac:dyDescent="0.25">
      <c r="A1198" s="170">
        <v>45331</v>
      </c>
      <c r="B1198" s="116">
        <v>4323</v>
      </c>
      <c r="C1198" s="116">
        <v>4305.7</v>
      </c>
      <c r="D1198" s="116">
        <v>4250</v>
      </c>
      <c r="E1198" s="116">
        <v>4311</v>
      </c>
      <c r="F1198" s="116">
        <v>4305.7</v>
      </c>
      <c r="G1198">
        <v>43768</v>
      </c>
      <c r="H1198" s="116"/>
      <c r="I1198" s="116"/>
      <c r="L1198" s="170">
        <v>45331</v>
      </c>
      <c r="M1198" s="116">
        <v>4307.3500000000004</v>
      </c>
      <c r="N1198" s="116">
        <v>4329.6499999999996</v>
      </c>
      <c r="O1198" s="116">
        <v>4250</v>
      </c>
      <c r="P1198" s="116">
        <v>4319.6000000000004</v>
      </c>
      <c r="Q1198" s="116">
        <v>4307.3500000000004</v>
      </c>
      <c r="R1198">
        <v>272191</v>
      </c>
    </row>
    <row r="1199" spans="1:18" x14ac:dyDescent="0.25">
      <c r="A1199" s="170">
        <v>45334</v>
      </c>
      <c r="B1199" s="116">
        <v>4367.2</v>
      </c>
      <c r="C1199" s="116">
        <v>4342.95</v>
      </c>
      <c r="D1199" s="116">
        <v>4286.75</v>
      </c>
      <c r="E1199" s="116">
        <v>4300.2</v>
      </c>
      <c r="F1199" s="116">
        <v>4342.95</v>
      </c>
      <c r="G1199">
        <v>39532</v>
      </c>
      <c r="H1199" s="116"/>
      <c r="I1199" s="116"/>
      <c r="L1199" s="170">
        <v>45334</v>
      </c>
      <c r="M1199" s="116">
        <v>4345.2</v>
      </c>
      <c r="N1199" s="116">
        <v>4365.7</v>
      </c>
      <c r="O1199" s="116">
        <v>4286.1499999999996</v>
      </c>
      <c r="P1199" s="116">
        <v>4309</v>
      </c>
      <c r="Q1199" s="116">
        <v>4345.2</v>
      </c>
      <c r="R1199">
        <v>761494</v>
      </c>
    </row>
    <row r="1200" spans="1:18" x14ac:dyDescent="0.25">
      <c r="A1200" s="170">
        <v>45335</v>
      </c>
      <c r="B1200" s="116">
        <v>4355.95</v>
      </c>
      <c r="C1200" s="116">
        <v>4327.8999999999996</v>
      </c>
      <c r="D1200" s="116">
        <v>4292</v>
      </c>
      <c r="E1200" s="116">
        <v>4335.95</v>
      </c>
      <c r="F1200" s="116">
        <v>4327.8999999999996</v>
      </c>
      <c r="G1200">
        <v>16384</v>
      </c>
      <c r="H1200" s="116"/>
      <c r="I1200" s="116"/>
      <c r="L1200" s="170">
        <v>45335</v>
      </c>
      <c r="M1200" s="116">
        <v>4330.2</v>
      </c>
      <c r="N1200" s="116">
        <v>4358.95</v>
      </c>
      <c r="O1200" s="116">
        <v>4290</v>
      </c>
      <c r="P1200" s="116">
        <v>4340</v>
      </c>
      <c r="Q1200" s="116">
        <v>4330.2</v>
      </c>
      <c r="R1200">
        <v>387834</v>
      </c>
    </row>
    <row r="1201" spans="1:18" x14ac:dyDescent="0.25">
      <c r="A1201" s="170">
        <v>45336</v>
      </c>
      <c r="B1201" s="116">
        <v>4380</v>
      </c>
      <c r="C1201" s="116">
        <v>4356.1499999999996</v>
      </c>
      <c r="D1201" s="116">
        <v>4279.5</v>
      </c>
      <c r="E1201" s="116">
        <v>4300</v>
      </c>
      <c r="F1201" s="116">
        <v>4356.1499999999996</v>
      </c>
      <c r="G1201">
        <v>7616</v>
      </c>
      <c r="H1201" s="116"/>
      <c r="I1201" s="116"/>
      <c r="L1201" s="170">
        <v>45336</v>
      </c>
      <c r="M1201" s="116">
        <v>4355.45</v>
      </c>
      <c r="N1201" s="116">
        <v>4386.2</v>
      </c>
      <c r="O1201" s="116">
        <v>4278</v>
      </c>
      <c r="P1201" s="116">
        <v>4300</v>
      </c>
      <c r="Q1201" s="116">
        <v>4355.45</v>
      </c>
      <c r="R1201">
        <v>261333</v>
      </c>
    </row>
    <row r="1202" spans="1:18" x14ac:dyDescent="0.25">
      <c r="A1202" s="170">
        <v>45337</v>
      </c>
      <c r="B1202" s="116">
        <v>4625</v>
      </c>
      <c r="C1202" s="116">
        <v>4564.8999999999996</v>
      </c>
      <c r="D1202" s="116">
        <v>4340.05</v>
      </c>
      <c r="E1202" s="116">
        <v>4366.55</v>
      </c>
      <c r="F1202" s="116">
        <v>4564.8999999999996</v>
      </c>
      <c r="G1202">
        <v>101232</v>
      </c>
      <c r="H1202" s="116"/>
      <c r="I1202" s="116"/>
      <c r="L1202" s="170">
        <v>45337</v>
      </c>
      <c r="M1202" s="116">
        <v>4564.95</v>
      </c>
      <c r="N1202" s="116">
        <v>4630</v>
      </c>
      <c r="O1202" s="116">
        <v>4340.6499999999996</v>
      </c>
      <c r="P1202" s="116">
        <v>4361.3500000000004</v>
      </c>
      <c r="Q1202" s="116">
        <v>4564.95</v>
      </c>
      <c r="R1202">
        <v>1011374</v>
      </c>
    </row>
    <row r="1203" spans="1:18" x14ac:dyDescent="0.25">
      <c r="A1203" s="170">
        <v>45338</v>
      </c>
      <c r="B1203" s="116">
        <v>4732.55</v>
      </c>
      <c r="C1203" s="116">
        <v>4667</v>
      </c>
      <c r="D1203" s="116">
        <v>4515.7</v>
      </c>
      <c r="E1203" s="116">
        <v>4650</v>
      </c>
      <c r="F1203" s="116">
        <v>4667</v>
      </c>
      <c r="G1203">
        <v>75472</v>
      </c>
      <c r="H1203" s="116"/>
      <c r="I1203" s="116"/>
      <c r="L1203" s="170">
        <v>45338</v>
      </c>
      <c r="M1203" s="116">
        <v>4670</v>
      </c>
      <c r="N1203" s="116">
        <v>4734</v>
      </c>
      <c r="O1203" s="116">
        <v>4515.1000000000004</v>
      </c>
      <c r="P1203" s="116">
        <v>4650</v>
      </c>
      <c r="Q1203" s="116">
        <v>4670</v>
      </c>
      <c r="R1203">
        <v>1956433</v>
      </c>
    </row>
    <row r="1204" spans="1:18" x14ac:dyDescent="0.25">
      <c r="A1204" s="170">
        <v>45341</v>
      </c>
      <c r="B1204" s="116">
        <v>4826.5</v>
      </c>
      <c r="C1204" s="116">
        <v>4769.3500000000004</v>
      </c>
      <c r="D1204" s="116">
        <v>4642.5</v>
      </c>
      <c r="E1204" s="116">
        <v>4700.1000000000004</v>
      </c>
      <c r="F1204" s="116">
        <v>4769.3500000000004</v>
      </c>
      <c r="G1204">
        <v>36331</v>
      </c>
      <c r="H1204" s="116"/>
      <c r="I1204" s="116"/>
      <c r="L1204" s="170">
        <v>45341</v>
      </c>
      <c r="M1204" s="116">
        <v>4768.6000000000004</v>
      </c>
      <c r="N1204" s="116">
        <v>4824.8999999999996</v>
      </c>
      <c r="O1204" s="116">
        <v>4643.8999999999996</v>
      </c>
      <c r="P1204" s="116">
        <v>4709.95</v>
      </c>
      <c r="Q1204" s="116">
        <v>4768.6000000000004</v>
      </c>
      <c r="R1204">
        <v>1125013</v>
      </c>
    </row>
    <row r="1205" spans="1:18" x14ac:dyDescent="0.25">
      <c r="A1205" s="170">
        <v>45342</v>
      </c>
      <c r="B1205" s="116">
        <v>4820</v>
      </c>
      <c r="C1205" s="116">
        <v>4731.1499999999996</v>
      </c>
      <c r="D1205" s="116">
        <v>4708</v>
      </c>
      <c r="E1205" s="116">
        <v>4790</v>
      </c>
      <c r="F1205" s="116">
        <v>4731.1499999999996</v>
      </c>
      <c r="G1205">
        <v>52775</v>
      </c>
      <c r="H1205" s="116"/>
      <c r="I1205" s="116"/>
      <c r="L1205" s="170">
        <v>45342</v>
      </c>
      <c r="M1205" s="116">
        <v>4732.1499999999996</v>
      </c>
      <c r="N1205" s="116">
        <v>4819.8</v>
      </c>
      <c r="O1205" s="116">
        <v>4696.3500000000004</v>
      </c>
      <c r="P1205" s="116">
        <v>4776.95</v>
      </c>
      <c r="Q1205" s="116">
        <v>4732.1499999999996</v>
      </c>
      <c r="R1205">
        <v>735136</v>
      </c>
    </row>
    <row r="1206" spans="1:18" x14ac:dyDescent="0.25">
      <c r="A1206" s="170">
        <v>45343</v>
      </c>
      <c r="B1206" s="116">
        <v>4765.55</v>
      </c>
      <c r="C1206" s="116">
        <v>4722.05</v>
      </c>
      <c r="D1206" s="116">
        <v>4683.3500000000004</v>
      </c>
      <c r="E1206" s="116">
        <v>4736.95</v>
      </c>
      <c r="F1206" s="116">
        <v>4722.05</v>
      </c>
      <c r="G1206">
        <v>31797</v>
      </c>
      <c r="H1206" s="116"/>
      <c r="I1206" s="116"/>
      <c r="L1206" s="170">
        <v>45343</v>
      </c>
      <c r="M1206" s="116">
        <v>4716.6000000000004</v>
      </c>
      <c r="N1206" s="116">
        <v>4765.8999999999996</v>
      </c>
      <c r="O1206" s="116">
        <v>4685.1000000000004</v>
      </c>
      <c r="P1206" s="116">
        <v>4759.8999999999996</v>
      </c>
      <c r="Q1206" s="116">
        <v>4716.6000000000004</v>
      </c>
      <c r="R1206">
        <v>658619</v>
      </c>
    </row>
    <row r="1207" spans="1:18" x14ac:dyDescent="0.25">
      <c r="A1207" s="170">
        <v>45344</v>
      </c>
      <c r="B1207" s="116">
        <v>4740</v>
      </c>
      <c r="C1207" s="116">
        <v>4717.1000000000004</v>
      </c>
      <c r="D1207" s="116">
        <v>4648.55</v>
      </c>
      <c r="E1207" s="116">
        <v>4713</v>
      </c>
      <c r="F1207" s="116">
        <v>4717.1000000000004</v>
      </c>
      <c r="G1207">
        <v>32702</v>
      </c>
      <c r="H1207" s="116"/>
      <c r="I1207" s="116"/>
      <c r="L1207" s="170">
        <v>45344</v>
      </c>
      <c r="M1207" s="116">
        <v>4716.6000000000004</v>
      </c>
      <c r="N1207" s="116">
        <v>4741.3999999999996</v>
      </c>
      <c r="O1207" s="116">
        <v>4652.3500000000004</v>
      </c>
      <c r="P1207" s="116">
        <v>4731.8500000000004</v>
      </c>
      <c r="Q1207" s="116">
        <v>4716.6000000000004</v>
      </c>
      <c r="R1207">
        <v>425946</v>
      </c>
    </row>
    <row r="1208" spans="1:18" x14ac:dyDescent="0.25">
      <c r="A1208" s="170">
        <v>45345</v>
      </c>
      <c r="B1208" s="116">
        <v>4850</v>
      </c>
      <c r="C1208" s="116">
        <v>4813.5</v>
      </c>
      <c r="D1208" s="116">
        <v>4717.6499999999996</v>
      </c>
      <c r="E1208" s="116">
        <v>4717.6499999999996</v>
      </c>
      <c r="F1208" s="116">
        <v>4813.5</v>
      </c>
      <c r="G1208">
        <v>73180</v>
      </c>
      <c r="H1208" s="116"/>
      <c r="I1208" s="116"/>
      <c r="L1208" s="170">
        <v>45345</v>
      </c>
      <c r="M1208" s="116">
        <v>4801.8</v>
      </c>
      <c r="N1208" s="116">
        <v>4830</v>
      </c>
      <c r="O1208" s="116">
        <v>4721.1000000000004</v>
      </c>
      <c r="P1208" s="116">
        <v>4739</v>
      </c>
      <c r="Q1208" s="116">
        <v>4801.8</v>
      </c>
      <c r="R1208">
        <v>506542</v>
      </c>
    </row>
    <row r="1209" spans="1:18" x14ac:dyDescent="0.25">
      <c r="A1209" s="170">
        <v>45348</v>
      </c>
      <c r="B1209" s="116">
        <v>4866.55</v>
      </c>
      <c r="C1209" s="116">
        <v>4786.8999999999996</v>
      </c>
      <c r="D1209" s="116">
        <v>4709.6499999999996</v>
      </c>
      <c r="E1209" s="116">
        <v>4810.8</v>
      </c>
      <c r="F1209" s="116">
        <v>4786.8999999999996</v>
      </c>
      <c r="G1209">
        <v>58473</v>
      </c>
      <c r="H1209" s="116"/>
      <c r="I1209" s="116"/>
      <c r="L1209" s="170">
        <v>45348</v>
      </c>
      <c r="M1209" s="116">
        <v>4788.3999999999996</v>
      </c>
      <c r="N1209" s="116">
        <v>4867.6000000000004</v>
      </c>
      <c r="O1209" s="116">
        <v>4709</v>
      </c>
      <c r="P1209" s="116">
        <v>4805</v>
      </c>
      <c r="Q1209" s="116">
        <v>4788.3999999999996</v>
      </c>
      <c r="R1209">
        <v>1005726</v>
      </c>
    </row>
    <row r="1210" spans="1:18" x14ac:dyDescent="0.25">
      <c r="A1210" s="170">
        <v>45349</v>
      </c>
      <c r="B1210" s="116">
        <v>4823.8</v>
      </c>
      <c r="C1210" s="116">
        <v>4765.95</v>
      </c>
      <c r="D1210" s="116">
        <v>4728.05</v>
      </c>
      <c r="E1210" s="116">
        <v>4823.8</v>
      </c>
      <c r="F1210" s="116">
        <v>4765.95</v>
      </c>
      <c r="G1210">
        <v>15292</v>
      </c>
      <c r="H1210" s="116"/>
      <c r="I1210" s="116"/>
      <c r="L1210" s="170">
        <v>45349</v>
      </c>
      <c r="M1210" s="116">
        <v>4766.8999999999996</v>
      </c>
      <c r="N1210" s="116">
        <v>4800</v>
      </c>
      <c r="O1210" s="116">
        <v>4726</v>
      </c>
      <c r="P1210" s="116">
        <v>4800</v>
      </c>
      <c r="Q1210" s="116">
        <v>4766.8999999999996</v>
      </c>
      <c r="R1210">
        <v>525966</v>
      </c>
    </row>
    <row r="1211" spans="1:18" x14ac:dyDescent="0.25">
      <c r="A1211" s="170">
        <v>45350</v>
      </c>
      <c r="B1211" s="116">
        <v>4788</v>
      </c>
      <c r="C1211" s="116">
        <v>4710.45</v>
      </c>
      <c r="D1211" s="116">
        <v>4679.7</v>
      </c>
      <c r="E1211" s="116">
        <v>4788</v>
      </c>
      <c r="F1211" s="116">
        <v>4710.45</v>
      </c>
      <c r="G1211">
        <v>11276</v>
      </c>
      <c r="H1211" s="116"/>
      <c r="I1211" s="116"/>
      <c r="L1211" s="170">
        <v>45350</v>
      </c>
      <c r="M1211" s="116">
        <v>4709.8999999999996</v>
      </c>
      <c r="N1211" s="116">
        <v>4788</v>
      </c>
      <c r="O1211" s="116">
        <v>4666</v>
      </c>
      <c r="P1211" s="116">
        <v>4785</v>
      </c>
      <c r="Q1211" s="116">
        <v>4709.8999999999996</v>
      </c>
      <c r="R1211">
        <v>309601</v>
      </c>
    </row>
    <row r="1212" spans="1:18" x14ac:dyDescent="0.25">
      <c r="A1212" s="170">
        <v>45351</v>
      </c>
      <c r="B1212" s="116">
        <v>4791.6000000000004</v>
      </c>
      <c r="C1212" s="116">
        <v>4754.05</v>
      </c>
      <c r="D1212" s="116">
        <v>4661.3999999999996</v>
      </c>
      <c r="E1212" s="116">
        <v>4688.05</v>
      </c>
      <c r="F1212" s="116">
        <v>4754.05</v>
      </c>
      <c r="G1212">
        <v>34720</v>
      </c>
      <c r="H1212" s="116"/>
      <c r="I1212" s="116"/>
      <c r="L1212" s="170">
        <v>45351</v>
      </c>
      <c r="M1212" s="116">
        <v>4749.8500000000004</v>
      </c>
      <c r="N1212" s="116">
        <v>4797.95</v>
      </c>
      <c r="O1212" s="116">
        <v>4663.3</v>
      </c>
      <c r="P1212" s="116">
        <v>4709.1000000000004</v>
      </c>
      <c r="Q1212" s="116">
        <v>4749.8500000000004</v>
      </c>
      <c r="R1212">
        <v>629330</v>
      </c>
    </row>
    <row r="1213" spans="1:18" x14ac:dyDescent="0.25">
      <c r="A1213" s="170">
        <v>45352</v>
      </c>
      <c r="B1213" s="116">
        <v>4827</v>
      </c>
      <c r="C1213" s="116">
        <v>4803.05</v>
      </c>
      <c r="D1213" s="116">
        <v>4757.3</v>
      </c>
      <c r="E1213" s="116">
        <v>4794.95</v>
      </c>
      <c r="F1213" s="116">
        <v>4803.05</v>
      </c>
      <c r="G1213">
        <v>35617</v>
      </c>
      <c r="H1213" s="116"/>
      <c r="I1213" s="116"/>
      <c r="L1213" s="170">
        <v>45352</v>
      </c>
      <c r="M1213" s="116">
        <v>4807.45</v>
      </c>
      <c r="N1213" s="116">
        <v>4829</v>
      </c>
      <c r="O1213" s="116">
        <v>4751.1000000000004</v>
      </c>
      <c r="P1213" s="116">
        <v>4780</v>
      </c>
      <c r="Q1213" s="116">
        <v>4807.45</v>
      </c>
      <c r="R1213">
        <v>366189</v>
      </c>
    </row>
    <row r="1214" spans="1:18" x14ac:dyDescent="0.25">
      <c r="A1214" s="170">
        <v>45353</v>
      </c>
      <c r="B1214" s="116">
        <v>4873.2</v>
      </c>
      <c r="C1214" s="116">
        <v>4794.3</v>
      </c>
      <c r="D1214" s="116">
        <v>4757.45</v>
      </c>
      <c r="E1214" s="116">
        <v>4800</v>
      </c>
      <c r="F1214" s="116">
        <v>4794.3</v>
      </c>
      <c r="G1214">
        <v>2023</v>
      </c>
      <c r="H1214" s="116"/>
      <c r="I1214" s="116"/>
      <c r="L1214" s="170">
        <v>45353</v>
      </c>
      <c r="M1214" s="116">
        <v>4794.3500000000004</v>
      </c>
      <c r="N1214" s="116">
        <v>4830</v>
      </c>
      <c r="O1214" s="116">
        <v>4771.2</v>
      </c>
      <c r="P1214" s="116">
        <v>4805</v>
      </c>
      <c r="Q1214" s="116">
        <v>4794.3500000000004</v>
      </c>
      <c r="R1214">
        <v>43057</v>
      </c>
    </row>
    <row r="1215" spans="1:18" x14ac:dyDescent="0.25">
      <c r="A1215" s="170">
        <v>45355</v>
      </c>
      <c r="B1215" s="116">
        <v>4801.25</v>
      </c>
      <c r="C1215" s="116">
        <v>4780.05</v>
      </c>
      <c r="D1215" s="116">
        <v>4731</v>
      </c>
      <c r="E1215" s="116">
        <v>4788.55</v>
      </c>
      <c r="F1215" s="116">
        <v>4780.05</v>
      </c>
      <c r="G1215">
        <v>11366</v>
      </c>
      <c r="H1215" s="116"/>
      <c r="I1215" s="116"/>
      <c r="L1215" s="170">
        <v>45355</v>
      </c>
      <c r="M1215" s="116">
        <v>4792.2</v>
      </c>
      <c r="N1215" s="116">
        <v>4811.3</v>
      </c>
      <c r="O1215" s="116">
        <v>4730.95</v>
      </c>
      <c r="P1215" s="116">
        <v>4777</v>
      </c>
      <c r="Q1215" s="116">
        <v>4792.2</v>
      </c>
      <c r="R1215">
        <v>417409</v>
      </c>
    </row>
    <row r="1216" spans="1:18" x14ac:dyDescent="0.25">
      <c r="A1216" s="170">
        <v>45356</v>
      </c>
      <c r="B1216" s="116">
        <v>4952</v>
      </c>
      <c r="C1216" s="116">
        <v>4918.1499999999996</v>
      </c>
      <c r="D1216" s="116">
        <v>4750.45</v>
      </c>
      <c r="E1216" s="116">
        <v>4750.45</v>
      </c>
      <c r="F1216" s="116">
        <v>4918.1499999999996</v>
      </c>
      <c r="G1216">
        <v>30719</v>
      </c>
      <c r="H1216" s="116"/>
      <c r="I1216" s="116"/>
      <c r="L1216" s="170">
        <v>45356</v>
      </c>
      <c r="M1216" s="116">
        <v>4913.3</v>
      </c>
      <c r="N1216" s="116">
        <v>4954</v>
      </c>
      <c r="O1216" s="116">
        <v>4752</v>
      </c>
      <c r="P1216" s="116">
        <v>4791.95</v>
      </c>
      <c r="Q1216" s="116">
        <v>4913.3</v>
      </c>
      <c r="R1216">
        <v>735203</v>
      </c>
    </row>
    <row r="1217" spans="1:18" x14ac:dyDescent="0.25">
      <c r="A1217" s="170">
        <v>45357</v>
      </c>
      <c r="B1217" s="116">
        <v>4945</v>
      </c>
      <c r="C1217" s="116">
        <v>4880.8999999999996</v>
      </c>
      <c r="D1217" s="116">
        <v>4805</v>
      </c>
      <c r="E1217" s="116">
        <v>4920.3500000000004</v>
      </c>
      <c r="F1217" s="116">
        <v>4880.8999999999996</v>
      </c>
      <c r="G1217">
        <v>60934</v>
      </c>
      <c r="H1217" s="116"/>
      <c r="I1217" s="116"/>
      <c r="L1217" s="170">
        <v>45357</v>
      </c>
      <c r="M1217" s="116">
        <v>4880.3</v>
      </c>
      <c r="N1217" s="116">
        <v>4938.8</v>
      </c>
      <c r="O1217" s="116">
        <v>4805</v>
      </c>
      <c r="P1217" s="116">
        <v>4930.95</v>
      </c>
      <c r="Q1217" s="116">
        <v>4880.3</v>
      </c>
      <c r="R1217">
        <v>483453</v>
      </c>
    </row>
    <row r="1218" spans="1:18" x14ac:dyDescent="0.25">
      <c r="A1218" s="170">
        <v>45358</v>
      </c>
      <c r="B1218" s="116">
        <v>4938.75</v>
      </c>
      <c r="C1218" s="116">
        <v>4888.2</v>
      </c>
      <c r="D1218" s="116">
        <v>4863.3</v>
      </c>
      <c r="E1218" s="116">
        <v>4881</v>
      </c>
      <c r="F1218" s="116">
        <v>4888.2</v>
      </c>
      <c r="G1218">
        <v>32781</v>
      </c>
      <c r="H1218" s="116"/>
      <c r="I1218" s="116"/>
      <c r="L1218" s="170">
        <v>45358</v>
      </c>
      <c r="M1218" s="116">
        <v>4891</v>
      </c>
      <c r="N1218" s="116">
        <v>4938.3</v>
      </c>
      <c r="O1218" s="116">
        <v>4863.05</v>
      </c>
      <c r="P1218" s="116">
        <v>4880</v>
      </c>
      <c r="Q1218" s="116">
        <v>4891</v>
      </c>
      <c r="R1218">
        <v>270473</v>
      </c>
    </row>
    <row r="1219" spans="1:18" x14ac:dyDescent="0.25">
      <c r="A1219" s="170">
        <v>45362</v>
      </c>
      <c r="B1219" s="116">
        <v>4991</v>
      </c>
      <c r="C1219" s="116">
        <v>4930.55</v>
      </c>
      <c r="D1219" s="116">
        <v>4888</v>
      </c>
      <c r="E1219" s="116">
        <v>4888.6499999999996</v>
      </c>
      <c r="F1219" s="116">
        <v>4930.55</v>
      </c>
      <c r="G1219">
        <v>17296</v>
      </c>
      <c r="H1219" s="116"/>
      <c r="I1219" s="116"/>
      <c r="L1219" s="170">
        <v>45362</v>
      </c>
      <c r="M1219" s="116">
        <v>4933.8999999999996</v>
      </c>
      <c r="N1219" s="116">
        <v>4992</v>
      </c>
      <c r="O1219" s="116">
        <v>4885.2</v>
      </c>
      <c r="P1219" s="116">
        <v>4910</v>
      </c>
      <c r="Q1219" s="116">
        <v>4933.8999999999996</v>
      </c>
      <c r="R1219">
        <v>542531</v>
      </c>
    </row>
    <row r="1220" spans="1:18" x14ac:dyDescent="0.25">
      <c r="A1220" s="170">
        <v>45363</v>
      </c>
      <c r="B1220" s="116">
        <v>4957.3500000000004</v>
      </c>
      <c r="C1220" s="116">
        <v>4855.3999999999996</v>
      </c>
      <c r="D1220" s="116">
        <v>4838</v>
      </c>
      <c r="E1220" s="116">
        <v>4930.55</v>
      </c>
      <c r="F1220" s="116">
        <v>4855.3999999999996</v>
      </c>
      <c r="G1220">
        <v>8584</v>
      </c>
      <c r="H1220" s="116"/>
      <c r="I1220" s="116"/>
      <c r="L1220" s="170">
        <v>45363</v>
      </c>
      <c r="M1220" s="116">
        <v>4854.8500000000004</v>
      </c>
      <c r="N1220" s="116">
        <v>4965</v>
      </c>
      <c r="O1220" s="116">
        <v>4835</v>
      </c>
      <c r="P1220" s="116">
        <v>4933.8999999999996</v>
      </c>
      <c r="Q1220" s="116">
        <v>4854.8500000000004</v>
      </c>
      <c r="R1220">
        <v>264101</v>
      </c>
    </row>
    <row r="1221" spans="1:18" x14ac:dyDescent="0.25">
      <c r="A1221" s="170">
        <v>45364</v>
      </c>
      <c r="B1221" s="116">
        <v>4930</v>
      </c>
      <c r="C1221" s="116">
        <v>4777.6499999999996</v>
      </c>
      <c r="D1221" s="116">
        <v>4727.75</v>
      </c>
      <c r="E1221" s="116">
        <v>4837.55</v>
      </c>
      <c r="F1221" s="116">
        <v>4777.6499999999996</v>
      </c>
      <c r="G1221">
        <v>72607</v>
      </c>
      <c r="H1221" s="116"/>
      <c r="I1221" s="116"/>
      <c r="L1221" s="170">
        <v>45364</v>
      </c>
      <c r="M1221" s="116">
        <v>4778.8999999999996</v>
      </c>
      <c r="N1221" s="116">
        <v>4929.1499999999996</v>
      </c>
      <c r="O1221" s="116">
        <v>4730.25</v>
      </c>
      <c r="P1221" s="116">
        <v>4835.1499999999996</v>
      </c>
      <c r="Q1221" s="116">
        <v>4778.8999999999996</v>
      </c>
      <c r="R1221">
        <v>633146</v>
      </c>
    </row>
    <row r="1222" spans="1:18" x14ac:dyDescent="0.25">
      <c r="A1222" s="170">
        <v>45365</v>
      </c>
      <c r="B1222" s="116">
        <v>4925</v>
      </c>
      <c r="C1222" s="116">
        <v>4889.95</v>
      </c>
      <c r="D1222" s="116">
        <v>4720.05</v>
      </c>
      <c r="E1222" s="116">
        <v>4720.05</v>
      </c>
      <c r="F1222" s="116">
        <v>4889.95</v>
      </c>
      <c r="G1222">
        <v>13062</v>
      </c>
      <c r="H1222" s="116"/>
      <c r="I1222" s="116"/>
      <c r="L1222" s="170">
        <v>45365</v>
      </c>
      <c r="M1222" s="116">
        <v>4890.1499999999996</v>
      </c>
      <c r="N1222" s="116">
        <v>4927.95</v>
      </c>
      <c r="O1222" s="116">
        <v>4752.3999999999996</v>
      </c>
      <c r="P1222" s="116">
        <v>4760</v>
      </c>
      <c r="Q1222" s="116">
        <v>4890.1499999999996</v>
      </c>
      <c r="R1222">
        <v>379033</v>
      </c>
    </row>
    <row r="1223" spans="1:18" x14ac:dyDescent="0.25">
      <c r="A1223" s="170">
        <v>45366</v>
      </c>
      <c r="B1223" s="116">
        <v>4911.5</v>
      </c>
      <c r="C1223" s="116">
        <v>4891.3500000000004</v>
      </c>
      <c r="D1223" s="116">
        <v>4774.3500000000004</v>
      </c>
      <c r="E1223" s="116">
        <v>4874.6000000000004</v>
      </c>
      <c r="F1223" s="116">
        <v>4891.3500000000004</v>
      </c>
      <c r="G1223">
        <v>9890</v>
      </c>
      <c r="H1223" s="116"/>
      <c r="I1223" s="116"/>
      <c r="L1223" s="170">
        <v>45366</v>
      </c>
      <c r="M1223" s="116">
        <v>4894.5</v>
      </c>
      <c r="N1223" s="116">
        <v>4918.05</v>
      </c>
      <c r="O1223" s="116">
        <v>4775</v>
      </c>
      <c r="P1223" s="116">
        <v>4860.05</v>
      </c>
      <c r="Q1223" s="116">
        <v>4894.5</v>
      </c>
      <c r="R1223">
        <v>345532</v>
      </c>
    </row>
    <row r="1224" spans="1:18" x14ac:dyDescent="0.25">
      <c r="A1224" s="170">
        <v>45369</v>
      </c>
      <c r="B1224" s="116">
        <v>4913.3500000000004</v>
      </c>
      <c r="C1224" s="116">
        <v>4794.3500000000004</v>
      </c>
      <c r="D1224" s="116">
        <v>4780</v>
      </c>
      <c r="E1224" s="116">
        <v>4888.5</v>
      </c>
      <c r="F1224" s="116">
        <v>4794.3500000000004</v>
      </c>
      <c r="G1224">
        <v>6435</v>
      </c>
      <c r="H1224" s="116"/>
      <c r="I1224" s="116"/>
      <c r="L1224" s="170">
        <v>45369</v>
      </c>
      <c r="M1224" s="116">
        <v>4795.3999999999996</v>
      </c>
      <c r="N1224" s="116">
        <v>4915</v>
      </c>
      <c r="O1224" s="116">
        <v>4778</v>
      </c>
      <c r="P1224" s="116">
        <v>4885</v>
      </c>
      <c r="Q1224" s="116">
        <v>4795.3999999999996</v>
      </c>
      <c r="R1224">
        <v>433656</v>
      </c>
    </row>
    <row r="1225" spans="1:18" x14ac:dyDescent="0.25">
      <c r="A1225" s="170">
        <v>45370</v>
      </c>
      <c r="B1225" s="116">
        <v>4822.95</v>
      </c>
      <c r="C1225" s="116">
        <v>4679.75</v>
      </c>
      <c r="D1225" s="116">
        <v>4671.05</v>
      </c>
      <c r="E1225" s="116">
        <v>4817.75</v>
      </c>
      <c r="F1225" s="116">
        <v>4679.75</v>
      </c>
      <c r="G1225">
        <v>7896</v>
      </c>
      <c r="H1225" s="116"/>
      <c r="I1225" s="116"/>
      <c r="L1225" s="170">
        <v>45370</v>
      </c>
      <c r="M1225" s="116">
        <v>4680.25</v>
      </c>
      <c r="N1225" s="116">
        <v>4819.3999999999996</v>
      </c>
      <c r="O1225" s="116">
        <v>4670.55</v>
      </c>
      <c r="P1225" s="116">
        <v>4810</v>
      </c>
      <c r="Q1225" s="116">
        <v>4680.25</v>
      </c>
      <c r="R1225">
        <v>272824</v>
      </c>
    </row>
    <row r="1226" spans="1:18" x14ac:dyDescent="0.25">
      <c r="A1226" s="170">
        <v>45371</v>
      </c>
      <c r="B1226" s="116">
        <v>4833</v>
      </c>
      <c r="C1226" s="116">
        <v>4733.2</v>
      </c>
      <c r="D1226" s="116">
        <v>4638</v>
      </c>
      <c r="E1226" s="116">
        <v>4675.75</v>
      </c>
      <c r="F1226" s="116">
        <v>4733.2</v>
      </c>
      <c r="G1226">
        <v>15233</v>
      </c>
      <c r="H1226" s="116"/>
      <c r="I1226" s="116"/>
      <c r="L1226" s="170">
        <v>45371</v>
      </c>
      <c r="M1226" s="116">
        <v>4744.3500000000004</v>
      </c>
      <c r="N1226" s="116">
        <v>4838.95</v>
      </c>
      <c r="O1226" s="116">
        <v>4635.05</v>
      </c>
      <c r="P1226" s="116">
        <v>4700</v>
      </c>
      <c r="Q1226" s="116">
        <v>4744.3500000000004</v>
      </c>
      <c r="R1226">
        <v>445608</v>
      </c>
    </row>
    <row r="1227" spans="1:18" x14ac:dyDescent="0.25">
      <c r="A1227" s="170">
        <v>45372</v>
      </c>
      <c r="B1227" s="116">
        <v>5028.75</v>
      </c>
      <c r="C1227" s="116">
        <v>4994.2</v>
      </c>
      <c r="D1227" s="116">
        <v>4770</v>
      </c>
      <c r="E1227" s="116">
        <v>4832.95</v>
      </c>
      <c r="F1227" s="116">
        <v>4994.2</v>
      </c>
      <c r="G1227">
        <v>18619</v>
      </c>
      <c r="H1227" s="116"/>
      <c r="I1227" s="116"/>
      <c r="L1227" s="170">
        <v>45372</v>
      </c>
      <c r="M1227" s="116">
        <v>4986.55</v>
      </c>
      <c r="N1227" s="116">
        <v>5025.5</v>
      </c>
      <c r="O1227" s="116">
        <v>4770</v>
      </c>
      <c r="P1227" s="116">
        <v>4799</v>
      </c>
      <c r="Q1227" s="116">
        <v>4986.55</v>
      </c>
      <c r="R1227">
        <v>712776</v>
      </c>
    </row>
    <row r="1228" spans="1:18" x14ac:dyDescent="0.25">
      <c r="A1228" s="170">
        <v>45373</v>
      </c>
      <c r="B1228" s="116">
        <v>5038.2</v>
      </c>
      <c r="C1228" s="116">
        <v>4910.55</v>
      </c>
      <c r="D1228" s="116">
        <v>4900</v>
      </c>
      <c r="E1228" s="116">
        <v>4994.25</v>
      </c>
      <c r="F1228" s="116">
        <v>4910.55</v>
      </c>
      <c r="G1228">
        <v>29776</v>
      </c>
      <c r="H1228" s="116"/>
      <c r="I1228" s="116"/>
      <c r="L1228" s="170">
        <v>45373</v>
      </c>
      <c r="M1228" s="116">
        <v>4909.8999999999996</v>
      </c>
      <c r="N1228" s="116">
        <v>5037.6499999999996</v>
      </c>
      <c r="O1228" s="116">
        <v>4850</v>
      </c>
      <c r="P1228" s="116">
        <v>4996.95</v>
      </c>
      <c r="Q1228" s="116">
        <v>4909.8999999999996</v>
      </c>
      <c r="R1228">
        <v>594108</v>
      </c>
    </row>
    <row r="1229" spans="1:18" x14ac:dyDescent="0.25">
      <c r="A1229" s="170">
        <v>45377</v>
      </c>
      <c r="B1229" s="116">
        <v>5090</v>
      </c>
      <c r="C1229" s="116">
        <v>5015.45</v>
      </c>
      <c r="D1229" s="116">
        <v>4882.75</v>
      </c>
      <c r="E1229" s="116">
        <v>4969.7</v>
      </c>
      <c r="F1229" s="116">
        <v>5015.45</v>
      </c>
      <c r="G1229">
        <v>44040</v>
      </c>
      <c r="H1229" s="116"/>
      <c r="I1229" s="116"/>
      <c r="L1229" s="170">
        <v>45377</v>
      </c>
      <c r="M1229" s="116">
        <v>5018.1499999999996</v>
      </c>
      <c r="N1229" s="116">
        <v>5094</v>
      </c>
      <c r="O1229" s="116">
        <v>4886.5</v>
      </c>
      <c r="P1229" s="116">
        <v>4929.8999999999996</v>
      </c>
      <c r="Q1229" s="116">
        <v>5018.1499999999996</v>
      </c>
      <c r="R1229">
        <v>497218</v>
      </c>
    </row>
    <row r="1230" spans="1:18" x14ac:dyDescent="0.25">
      <c r="A1230" s="170">
        <v>45378</v>
      </c>
      <c r="B1230" s="116">
        <v>5137.1000000000004</v>
      </c>
      <c r="C1230" s="116">
        <v>5036.1000000000004</v>
      </c>
      <c r="D1230" s="116">
        <v>5025</v>
      </c>
      <c r="E1230" s="116">
        <v>5050</v>
      </c>
      <c r="F1230" s="116">
        <v>5036.1000000000004</v>
      </c>
      <c r="G1230">
        <v>16241</v>
      </c>
      <c r="H1230" s="116"/>
      <c r="I1230" s="116"/>
      <c r="L1230" s="170">
        <v>45378</v>
      </c>
      <c r="M1230" s="116">
        <v>5038.2</v>
      </c>
      <c r="N1230" s="116">
        <v>5136.3</v>
      </c>
      <c r="O1230" s="116">
        <v>5026.8500000000004</v>
      </c>
      <c r="P1230" s="116">
        <v>5058</v>
      </c>
      <c r="Q1230" s="116">
        <v>5038.2</v>
      </c>
      <c r="R1230">
        <v>407426</v>
      </c>
    </row>
    <row r="1231" spans="1:18" x14ac:dyDescent="0.25">
      <c r="A1231" s="170">
        <v>45379</v>
      </c>
      <c r="B1231" s="116">
        <v>5116</v>
      </c>
      <c r="C1231" s="116">
        <v>5066.3</v>
      </c>
      <c r="D1231" s="116">
        <v>5004.05</v>
      </c>
      <c r="E1231" s="116">
        <v>5099.45</v>
      </c>
      <c r="F1231" s="116">
        <v>5066.3</v>
      </c>
      <c r="G1231">
        <v>10313</v>
      </c>
      <c r="H1231" s="116"/>
      <c r="I1231" s="116"/>
      <c r="L1231" s="170">
        <v>45379</v>
      </c>
      <c r="M1231" s="116">
        <v>5065</v>
      </c>
      <c r="N1231" s="116">
        <v>5116</v>
      </c>
      <c r="O1231" s="116">
        <v>5004</v>
      </c>
      <c r="P1231" s="116">
        <v>5042</v>
      </c>
      <c r="Q1231" s="116">
        <v>5065</v>
      </c>
      <c r="R1231">
        <v>359484</v>
      </c>
    </row>
    <row r="1232" spans="1:18" x14ac:dyDescent="0.25">
      <c r="A1232" s="170">
        <v>45383</v>
      </c>
      <c r="B1232" s="116">
        <v>5150</v>
      </c>
      <c r="C1232" s="116">
        <v>5131.3500000000004</v>
      </c>
      <c r="D1232" s="116">
        <v>5070</v>
      </c>
      <c r="E1232" s="116">
        <v>5070</v>
      </c>
      <c r="F1232" s="116">
        <v>5131.3500000000004</v>
      </c>
      <c r="G1232">
        <v>22017</v>
      </c>
      <c r="H1232" s="116"/>
      <c r="I1232" s="116"/>
      <c r="L1232" s="170">
        <v>45383</v>
      </c>
      <c r="M1232" s="116">
        <v>5133</v>
      </c>
      <c r="N1232" s="116">
        <v>5151</v>
      </c>
      <c r="O1232" s="116">
        <v>5073</v>
      </c>
      <c r="P1232" s="116">
        <v>5073</v>
      </c>
      <c r="Q1232" s="116">
        <v>5133</v>
      </c>
      <c r="R1232">
        <v>271256</v>
      </c>
    </row>
    <row r="1233" spans="1:18" x14ac:dyDescent="0.25">
      <c r="A1233" s="170">
        <v>45384</v>
      </c>
      <c r="B1233" s="116">
        <v>5223.8500000000004</v>
      </c>
      <c r="C1233" s="116">
        <v>5206.55</v>
      </c>
      <c r="D1233" s="116">
        <v>5095.5</v>
      </c>
      <c r="E1233" s="116">
        <v>5146</v>
      </c>
      <c r="F1233" s="116">
        <v>5206.55</v>
      </c>
      <c r="G1233">
        <v>14585</v>
      </c>
      <c r="H1233" s="116"/>
      <c r="I1233" s="116"/>
      <c r="L1233" s="170">
        <v>45384</v>
      </c>
      <c r="M1233" s="116">
        <v>5205.8</v>
      </c>
      <c r="N1233" s="116">
        <v>5214.55</v>
      </c>
      <c r="O1233" s="116">
        <v>5100</v>
      </c>
      <c r="P1233" s="116">
        <v>5151.25</v>
      </c>
      <c r="Q1233" s="116">
        <v>5205.8</v>
      </c>
      <c r="R1233">
        <v>392786</v>
      </c>
    </row>
    <row r="1234" spans="1:18" x14ac:dyDescent="0.25">
      <c r="A1234" s="170">
        <v>45385</v>
      </c>
      <c r="B1234" s="116">
        <v>5289</v>
      </c>
      <c r="C1234" s="116">
        <v>5260.6</v>
      </c>
      <c r="D1234" s="116">
        <v>5160</v>
      </c>
      <c r="E1234" s="116">
        <v>5194.55</v>
      </c>
      <c r="F1234" s="116">
        <v>5260.6</v>
      </c>
      <c r="G1234">
        <v>27474</v>
      </c>
      <c r="H1234" s="116"/>
      <c r="I1234" s="116"/>
      <c r="L1234" s="170">
        <v>45385</v>
      </c>
      <c r="M1234" s="116">
        <v>5261.55</v>
      </c>
      <c r="N1234" s="116">
        <v>5289</v>
      </c>
      <c r="O1234" s="116">
        <v>5160</v>
      </c>
      <c r="P1234" s="116">
        <v>5180</v>
      </c>
      <c r="Q1234" s="116">
        <v>5261.55</v>
      </c>
      <c r="R1234">
        <v>338866</v>
      </c>
    </row>
    <row r="1235" spans="1:18" x14ac:dyDescent="0.25">
      <c r="A1235" s="170">
        <v>45386</v>
      </c>
      <c r="B1235" s="116">
        <v>5292</v>
      </c>
      <c r="C1235" s="116">
        <v>5221.3999999999996</v>
      </c>
      <c r="D1235" s="116">
        <v>5203.8</v>
      </c>
      <c r="E1235" s="116">
        <v>5292</v>
      </c>
      <c r="F1235" s="116">
        <v>5221.3999999999996</v>
      </c>
      <c r="G1235">
        <v>8358</v>
      </c>
      <c r="H1235" s="116"/>
      <c r="I1235" s="116"/>
      <c r="L1235" s="170">
        <v>45386</v>
      </c>
      <c r="M1235" s="116">
        <v>5224.95</v>
      </c>
      <c r="N1235" s="116">
        <v>5304.9</v>
      </c>
      <c r="O1235" s="116">
        <v>5204.7</v>
      </c>
      <c r="P1235" s="116">
        <v>5300</v>
      </c>
      <c r="Q1235" s="116">
        <v>5224.95</v>
      </c>
      <c r="R1235">
        <v>226936</v>
      </c>
    </row>
    <row r="1236" spans="1:18" x14ac:dyDescent="0.25">
      <c r="A1236" s="170">
        <v>45387</v>
      </c>
      <c r="B1236" s="116">
        <v>5320</v>
      </c>
      <c r="C1236" s="116">
        <v>5317.6</v>
      </c>
      <c r="D1236" s="116">
        <v>5220.75</v>
      </c>
      <c r="E1236" s="116">
        <v>5220.75</v>
      </c>
      <c r="F1236" s="116">
        <v>5317.6</v>
      </c>
      <c r="G1236">
        <v>11876</v>
      </c>
      <c r="H1236" s="116"/>
      <c r="I1236" s="116"/>
      <c r="L1236" s="170">
        <v>45387</v>
      </c>
      <c r="M1236" s="116">
        <v>5316.6</v>
      </c>
      <c r="N1236" s="116">
        <v>5323.3</v>
      </c>
      <c r="O1236" s="116">
        <v>5220</v>
      </c>
      <c r="P1236" s="116">
        <v>5226</v>
      </c>
      <c r="Q1236" s="116">
        <v>5316.6</v>
      </c>
      <c r="R1236">
        <v>296298</v>
      </c>
    </row>
    <row r="1237" spans="1:18" x14ac:dyDescent="0.25">
      <c r="A1237" s="170">
        <v>45390</v>
      </c>
      <c r="B1237" s="116">
        <v>5385</v>
      </c>
      <c r="C1237" s="116">
        <v>5277.4</v>
      </c>
      <c r="D1237" s="116">
        <v>5215.55</v>
      </c>
      <c r="E1237" s="116">
        <v>5330.05</v>
      </c>
      <c r="F1237" s="116">
        <v>5277.4</v>
      </c>
      <c r="G1237">
        <v>25425</v>
      </c>
      <c r="H1237" s="116"/>
      <c r="I1237" s="116"/>
      <c r="L1237" s="170">
        <v>45390</v>
      </c>
      <c r="M1237" s="116">
        <v>5281.4</v>
      </c>
      <c r="N1237" s="116">
        <v>5390</v>
      </c>
      <c r="O1237" s="116">
        <v>5216.3500000000004</v>
      </c>
      <c r="P1237" s="116">
        <v>5349.85</v>
      </c>
      <c r="Q1237" s="116">
        <v>5281.4</v>
      </c>
      <c r="R1237">
        <v>484823</v>
      </c>
    </row>
    <row r="1238" spans="1:18" x14ac:dyDescent="0.25">
      <c r="A1238" s="170">
        <v>45391</v>
      </c>
      <c r="B1238" s="116">
        <v>5331.35</v>
      </c>
      <c r="C1238" s="116">
        <v>5259.25</v>
      </c>
      <c r="D1238" s="116">
        <v>5240.3999999999996</v>
      </c>
      <c r="E1238" s="116">
        <v>5322.05</v>
      </c>
      <c r="F1238" s="116">
        <v>5259.25</v>
      </c>
      <c r="G1238">
        <v>8777</v>
      </c>
      <c r="H1238" s="116"/>
      <c r="I1238" s="116"/>
      <c r="L1238" s="170">
        <v>45391</v>
      </c>
      <c r="M1238" s="116">
        <v>5261.4</v>
      </c>
      <c r="N1238" s="116">
        <v>5336.8</v>
      </c>
      <c r="O1238" s="116">
        <v>5242.8</v>
      </c>
      <c r="P1238" s="116">
        <v>5336.8</v>
      </c>
      <c r="Q1238" s="116">
        <v>5261.4</v>
      </c>
      <c r="R1238">
        <v>197608</v>
      </c>
    </row>
    <row r="1239" spans="1:18" x14ac:dyDescent="0.25">
      <c r="A1239" s="170">
        <v>45392</v>
      </c>
      <c r="B1239" s="116">
        <v>5280</v>
      </c>
      <c r="C1239" s="116">
        <v>5249.7</v>
      </c>
      <c r="D1239" s="116">
        <v>5197.3500000000004</v>
      </c>
      <c r="E1239" s="116">
        <v>5272.45</v>
      </c>
      <c r="F1239" s="116">
        <v>5249.7</v>
      </c>
      <c r="G1239">
        <v>7894</v>
      </c>
      <c r="H1239" s="116"/>
      <c r="I1239" s="116"/>
      <c r="L1239" s="170">
        <v>45392</v>
      </c>
      <c r="M1239" s="116">
        <v>5248.4</v>
      </c>
      <c r="N1239" s="116">
        <v>5283</v>
      </c>
      <c r="O1239" s="116">
        <v>5196.8999999999996</v>
      </c>
      <c r="P1239" s="116">
        <v>5260</v>
      </c>
      <c r="Q1239" s="116">
        <v>5248.4</v>
      </c>
      <c r="R1239">
        <v>282041</v>
      </c>
    </row>
    <row r="1240" spans="1:18" x14ac:dyDescent="0.25">
      <c r="A1240" s="170">
        <v>45394</v>
      </c>
      <c r="B1240" s="116">
        <v>5365</v>
      </c>
      <c r="C1240" s="116">
        <v>5300.25</v>
      </c>
      <c r="D1240" s="116">
        <v>5236.1000000000004</v>
      </c>
      <c r="E1240" s="116">
        <v>5236.1000000000004</v>
      </c>
      <c r="F1240" s="116">
        <v>5300.25</v>
      </c>
      <c r="G1240">
        <v>28476</v>
      </c>
      <c r="H1240" s="116"/>
      <c r="I1240" s="116"/>
      <c r="L1240" s="170">
        <v>45394</v>
      </c>
      <c r="M1240" s="116">
        <v>5302.35</v>
      </c>
      <c r="N1240" s="116">
        <v>5363.9</v>
      </c>
      <c r="O1240" s="116">
        <v>5230.1000000000004</v>
      </c>
      <c r="P1240" s="116">
        <v>5247.95</v>
      </c>
      <c r="Q1240" s="116">
        <v>5302.35</v>
      </c>
      <c r="R1240">
        <v>338176</v>
      </c>
    </row>
    <row r="1241" spans="1:18" x14ac:dyDescent="0.25">
      <c r="A1241" s="170">
        <v>45397</v>
      </c>
      <c r="B1241" s="116">
        <v>5395</v>
      </c>
      <c r="C1241" s="116">
        <v>5311.15</v>
      </c>
      <c r="D1241" s="116">
        <v>5001.05</v>
      </c>
      <c r="E1241" s="116">
        <v>5001.05</v>
      </c>
      <c r="F1241" s="116">
        <v>5311.15</v>
      </c>
      <c r="G1241">
        <v>19351</v>
      </c>
      <c r="H1241" s="116"/>
      <c r="I1241" s="116"/>
      <c r="L1241" s="170">
        <v>45397</v>
      </c>
      <c r="M1241" s="116">
        <v>5313.85</v>
      </c>
      <c r="N1241" s="116">
        <v>5394.7</v>
      </c>
      <c r="O1241" s="116">
        <v>5226.1000000000004</v>
      </c>
      <c r="P1241" s="116">
        <v>5226.1000000000004</v>
      </c>
      <c r="Q1241" s="116">
        <v>5313.85</v>
      </c>
      <c r="R1241">
        <v>550150</v>
      </c>
    </row>
    <row r="1242" spans="1:18" x14ac:dyDescent="0.25">
      <c r="A1242" s="170">
        <v>45398</v>
      </c>
      <c r="B1242" s="116">
        <v>5386</v>
      </c>
      <c r="C1242" s="116">
        <v>5264.55</v>
      </c>
      <c r="D1242" s="116">
        <v>5241</v>
      </c>
      <c r="E1242" s="116">
        <v>5300</v>
      </c>
      <c r="F1242" s="116">
        <v>5264.55</v>
      </c>
      <c r="G1242">
        <v>12307</v>
      </c>
      <c r="H1242" s="116"/>
      <c r="I1242" s="116"/>
      <c r="L1242" s="170">
        <v>45398</v>
      </c>
      <c r="M1242" s="116">
        <v>5267.55</v>
      </c>
      <c r="N1242" s="116">
        <v>5387</v>
      </c>
      <c r="O1242" s="116">
        <v>5241.1000000000004</v>
      </c>
      <c r="P1242" s="116">
        <v>5302.5</v>
      </c>
      <c r="Q1242" s="116">
        <v>5267.55</v>
      </c>
      <c r="R1242">
        <v>342974</v>
      </c>
    </row>
    <row r="1243" spans="1:18" x14ac:dyDescent="0.25">
      <c r="A1243" s="170">
        <v>45400</v>
      </c>
      <c r="B1243" s="116">
        <v>5434</v>
      </c>
      <c r="C1243" s="116">
        <v>5328.35</v>
      </c>
      <c r="D1243" s="116">
        <v>5290.45</v>
      </c>
      <c r="E1243" s="116">
        <v>5290.45</v>
      </c>
      <c r="F1243" s="116">
        <v>5328.35</v>
      </c>
      <c r="G1243">
        <v>13784</v>
      </c>
      <c r="H1243" s="116"/>
      <c r="I1243" s="116"/>
      <c r="L1243" s="170">
        <v>45400</v>
      </c>
      <c r="M1243" s="116">
        <v>5329.9</v>
      </c>
      <c r="N1243" s="116">
        <v>5434.15</v>
      </c>
      <c r="O1243" s="116">
        <v>5298.9</v>
      </c>
      <c r="P1243" s="116">
        <v>5315.55</v>
      </c>
      <c r="Q1243" s="116">
        <v>5329.9</v>
      </c>
      <c r="R1243">
        <v>440369</v>
      </c>
    </row>
    <row r="1244" spans="1:18" x14ac:dyDescent="0.25">
      <c r="A1244" s="170">
        <v>45401</v>
      </c>
      <c r="B1244" s="116">
        <v>5351</v>
      </c>
      <c r="C1244" s="116">
        <v>5292.45</v>
      </c>
      <c r="D1244" s="116">
        <v>5235</v>
      </c>
      <c r="E1244" s="116">
        <v>5319</v>
      </c>
      <c r="F1244" s="116">
        <v>5292.45</v>
      </c>
      <c r="G1244">
        <v>7114</v>
      </c>
      <c r="H1244" s="116"/>
      <c r="I1244" s="116"/>
      <c r="L1244" s="170">
        <v>45401</v>
      </c>
      <c r="M1244" s="116">
        <v>5290.05</v>
      </c>
      <c r="N1244" s="116">
        <v>5353</v>
      </c>
      <c r="O1244" s="116">
        <v>5230</v>
      </c>
      <c r="P1244" s="116">
        <v>5290</v>
      </c>
      <c r="Q1244" s="116">
        <v>5290.05</v>
      </c>
      <c r="R1244">
        <v>334073</v>
      </c>
    </row>
    <row r="1245" spans="1:18" x14ac:dyDescent="0.25">
      <c r="A1245" s="170">
        <v>45404</v>
      </c>
      <c r="B1245" s="116">
        <v>5454</v>
      </c>
      <c r="C1245" s="116">
        <v>5430.45</v>
      </c>
      <c r="D1245" s="116">
        <v>5313.65</v>
      </c>
      <c r="E1245" s="116">
        <v>5347.8</v>
      </c>
      <c r="F1245" s="116">
        <v>5430.45</v>
      </c>
      <c r="G1245">
        <v>33081</v>
      </c>
      <c r="H1245" s="116"/>
      <c r="I1245" s="116"/>
      <c r="L1245" s="170">
        <v>45404</v>
      </c>
      <c r="M1245" s="116">
        <v>5433.65</v>
      </c>
      <c r="N1245" s="116">
        <v>5454.7</v>
      </c>
      <c r="O1245" s="116">
        <v>5315.9</v>
      </c>
      <c r="P1245" s="116">
        <v>5331</v>
      </c>
      <c r="Q1245" s="116">
        <v>5433.65</v>
      </c>
      <c r="R1245">
        <v>397202</v>
      </c>
    </row>
    <row r="1246" spans="1:18" x14ac:dyDescent="0.25">
      <c r="A1246" s="170">
        <v>45405</v>
      </c>
      <c r="B1246" s="116">
        <v>5525</v>
      </c>
      <c r="C1246" s="116">
        <v>5496.2</v>
      </c>
      <c r="D1246" s="116">
        <v>5385</v>
      </c>
      <c r="E1246" s="116">
        <v>5430.45</v>
      </c>
      <c r="F1246" s="116">
        <v>5496.2</v>
      </c>
      <c r="G1246">
        <v>12639</v>
      </c>
      <c r="H1246" s="116"/>
      <c r="I1246" s="116"/>
      <c r="L1246" s="170">
        <v>45405</v>
      </c>
      <c r="M1246" s="116">
        <v>5497.25</v>
      </c>
      <c r="N1246" s="116">
        <v>5525</v>
      </c>
      <c r="O1246" s="116">
        <v>5380.95</v>
      </c>
      <c r="P1246" s="116">
        <v>5430</v>
      </c>
      <c r="Q1246" s="116">
        <v>5497.25</v>
      </c>
      <c r="R1246">
        <v>406322</v>
      </c>
    </row>
    <row r="1247" spans="1:18" x14ac:dyDescent="0.25">
      <c r="A1247" s="170">
        <v>45406</v>
      </c>
      <c r="B1247" s="116">
        <v>5615.25</v>
      </c>
      <c r="C1247" s="116">
        <v>5583.5</v>
      </c>
      <c r="D1247" s="116">
        <v>5475.95</v>
      </c>
      <c r="E1247" s="116">
        <v>5475.95</v>
      </c>
      <c r="F1247" s="116">
        <v>5583.5</v>
      </c>
      <c r="G1247">
        <v>14509</v>
      </c>
      <c r="H1247" s="116"/>
      <c r="I1247" s="116"/>
      <c r="L1247" s="170">
        <v>45406</v>
      </c>
      <c r="M1247" s="116">
        <v>5593.8</v>
      </c>
      <c r="N1247" s="116">
        <v>5618.1</v>
      </c>
      <c r="O1247" s="116">
        <v>5494.8</v>
      </c>
      <c r="P1247" s="116">
        <v>5497.25</v>
      </c>
      <c r="Q1247" s="116">
        <v>5593.8</v>
      </c>
      <c r="R1247">
        <v>305918</v>
      </c>
    </row>
    <row r="1248" spans="1:18" x14ac:dyDescent="0.25">
      <c r="A1248" s="170">
        <v>45407</v>
      </c>
      <c r="B1248" s="116">
        <v>5685</v>
      </c>
      <c r="C1248" s="116">
        <v>5630.55</v>
      </c>
      <c r="D1248" s="116">
        <v>5594.2</v>
      </c>
      <c r="E1248" s="116">
        <v>5615</v>
      </c>
      <c r="F1248" s="116">
        <v>5630.55</v>
      </c>
      <c r="G1248">
        <v>12963</v>
      </c>
      <c r="H1248" s="116"/>
      <c r="I1248" s="116"/>
      <c r="L1248" s="170">
        <v>45407</v>
      </c>
      <c r="M1248" s="116">
        <v>5633.1</v>
      </c>
      <c r="N1248" s="116">
        <v>5689.9</v>
      </c>
      <c r="O1248" s="116">
        <v>5590</v>
      </c>
      <c r="P1248" s="116">
        <v>5610</v>
      </c>
      <c r="Q1248" s="116">
        <v>5633.1</v>
      </c>
      <c r="R1248">
        <v>425165</v>
      </c>
    </row>
    <row r="1249" spans="1:18" x14ac:dyDescent="0.25">
      <c r="A1249" s="170">
        <v>45408</v>
      </c>
      <c r="B1249" s="116">
        <v>5651</v>
      </c>
      <c r="C1249" s="116">
        <v>5584.15</v>
      </c>
      <c r="D1249" s="116">
        <v>5545.35</v>
      </c>
      <c r="E1249" s="116">
        <v>5585</v>
      </c>
      <c r="F1249" s="116">
        <v>5584.15</v>
      </c>
      <c r="G1249">
        <v>10608</v>
      </c>
      <c r="H1249" s="116"/>
      <c r="I1249" s="116"/>
      <c r="L1249" s="170">
        <v>45408</v>
      </c>
      <c r="M1249" s="116">
        <v>5593.65</v>
      </c>
      <c r="N1249" s="116">
        <v>5651.85</v>
      </c>
      <c r="O1249" s="116">
        <v>5547.05</v>
      </c>
      <c r="P1249" s="116">
        <v>5582</v>
      </c>
      <c r="Q1249" s="116">
        <v>5593.65</v>
      </c>
      <c r="R1249">
        <v>510332</v>
      </c>
    </row>
    <row r="1250" spans="1:18" x14ac:dyDescent="0.25">
      <c r="A1250" s="170">
        <v>45411</v>
      </c>
      <c r="B1250" s="116">
        <v>5697</v>
      </c>
      <c r="C1250" s="116">
        <v>5633.65</v>
      </c>
      <c r="D1250" s="116">
        <v>5575</v>
      </c>
      <c r="E1250" s="116">
        <v>5586.4</v>
      </c>
      <c r="F1250" s="116">
        <v>5633.65</v>
      </c>
      <c r="G1250">
        <v>9768</v>
      </c>
      <c r="H1250" s="116"/>
      <c r="I1250" s="116"/>
      <c r="L1250" s="170">
        <v>45411</v>
      </c>
      <c r="M1250" s="116">
        <v>5639.95</v>
      </c>
      <c r="N1250" s="116">
        <v>5697</v>
      </c>
      <c r="O1250" s="116">
        <v>5573</v>
      </c>
      <c r="P1250" s="116">
        <v>5600</v>
      </c>
      <c r="Q1250" s="116">
        <v>5639.95</v>
      </c>
      <c r="R1250">
        <v>350075</v>
      </c>
    </row>
    <row r="1251" spans="1:18" x14ac:dyDescent="0.25">
      <c r="A1251" s="170">
        <v>45412</v>
      </c>
      <c r="B1251" s="116">
        <v>5787.1</v>
      </c>
      <c r="C1251" s="116">
        <v>5666.6</v>
      </c>
      <c r="D1251" s="116">
        <v>5633.65</v>
      </c>
      <c r="E1251" s="116">
        <v>5635.75</v>
      </c>
      <c r="F1251" s="116">
        <v>5666.6</v>
      </c>
      <c r="G1251">
        <v>35700</v>
      </c>
      <c r="H1251" s="116"/>
      <c r="I1251" s="116"/>
      <c r="L1251" s="170">
        <v>45412</v>
      </c>
      <c r="M1251" s="116">
        <v>5666.55</v>
      </c>
      <c r="N1251" s="116">
        <v>5789</v>
      </c>
      <c r="O1251" s="116">
        <v>5630.05</v>
      </c>
      <c r="P1251" s="116">
        <v>5630.05</v>
      </c>
      <c r="Q1251" s="116">
        <v>5666.55</v>
      </c>
      <c r="R1251">
        <v>474928</v>
      </c>
    </row>
    <row r="1252" spans="1:18" x14ac:dyDescent="0.25">
      <c r="A1252" s="170">
        <v>45414</v>
      </c>
      <c r="B1252" s="116">
        <v>5800</v>
      </c>
      <c r="C1252" s="116">
        <v>5793</v>
      </c>
      <c r="D1252" s="116">
        <v>5686.75</v>
      </c>
      <c r="E1252" s="116">
        <v>5700</v>
      </c>
      <c r="F1252" s="116">
        <v>5793</v>
      </c>
      <c r="G1252">
        <v>26619</v>
      </c>
      <c r="H1252" s="116"/>
      <c r="I1252" s="116"/>
      <c r="L1252" s="170">
        <v>45414</v>
      </c>
      <c r="M1252" s="116">
        <v>5792.5</v>
      </c>
      <c r="N1252" s="116">
        <v>5804</v>
      </c>
      <c r="O1252" s="116">
        <v>5691</v>
      </c>
      <c r="P1252" s="116">
        <v>5700</v>
      </c>
      <c r="Q1252" s="116">
        <v>5792.5</v>
      </c>
      <c r="R1252">
        <v>286240</v>
      </c>
    </row>
    <row r="1253" spans="1:18" x14ac:dyDescent="0.25">
      <c r="A1253" s="170">
        <v>45415</v>
      </c>
      <c r="B1253" s="116">
        <v>5870</v>
      </c>
      <c r="C1253" s="116">
        <v>5830.8</v>
      </c>
      <c r="D1253" s="116">
        <v>5750.05</v>
      </c>
      <c r="E1253" s="116">
        <v>5840</v>
      </c>
      <c r="F1253" s="116">
        <v>5830.8</v>
      </c>
      <c r="G1253">
        <v>30549</v>
      </c>
      <c r="H1253" s="116"/>
      <c r="I1253" s="116"/>
      <c r="L1253" s="170">
        <v>45415</v>
      </c>
      <c r="M1253" s="116">
        <v>5832.15</v>
      </c>
      <c r="N1253" s="116">
        <v>5869.9</v>
      </c>
      <c r="O1253" s="116">
        <v>5751</v>
      </c>
      <c r="P1253" s="116">
        <v>5840</v>
      </c>
      <c r="Q1253" s="116">
        <v>5832.15</v>
      </c>
      <c r="R1253">
        <v>312177</v>
      </c>
    </row>
    <row r="1254" spans="1:18" x14ac:dyDescent="0.25">
      <c r="A1254" s="170">
        <v>45418</v>
      </c>
      <c r="B1254" s="116">
        <v>5939.95</v>
      </c>
      <c r="C1254" s="116">
        <v>5893.75</v>
      </c>
      <c r="D1254" s="116">
        <v>5800</v>
      </c>
      <c r="E1254" s="116">
        <v>5899.95</v>
      </c>
      <c r="F1254" s="116">
        <v>5893.75</v>
      </c>
      <c r="G1254">
        <v>17743</v>
      </c>
      <c r="H1254" s="116"/>
      <c r="I1254" s="116"/>
      <c r="L1254" s="170">
        <v>45418</v>
      </c>
      <c r="M1254" s="116">
        <v>5901.55</v>
      </c>
      <c r="N1254" s="116">
        <v>5939.8</v>
      </c>
      <c r="O1254" s="116">
        <v>5800</v>
      </c>
      <c r="P1254" s="116">
        <v>5863</v>
      </c>
      <c r="Q1254" s="116">
        <v>5901.55</v>
      </c>
      <c r="R1254">
        <v>449452</v>
      </c>
    </row>
    <row r="1255" spans="1:18" x14ac:dyDescent="0.25">
      <c r="A1255" s="170">
        <v>45419</v>
      </c>
      <c r="B1255" s="116">
        <v>5945</v>
      </c>
      <c r="C1255" s="116">
        <v>5807</v>
      </c>
      <c r="D1255" s="116">
        <v>5679.45</v>
      </c>
      <c r="E1255" s="116">
        <v>5925.15</v>
      </c>
      <c r="F1255" s="116">
        <v>5807</v>
      </c>
      <c r="G1255">
        <v>12439</v>
      </c>
      <c r="H1255" s="116"/>
      <c r="I1255" s="116"/>
      <c r="L1255" s="170">
        <v>45419</v>
      </c>
      <c r="M1255" s="116">
        <v>5808.8</v>
      </c>
      <c r="N1255" s="116">
        <v>5948.85</v>
      </c>
      <c r="O1255" s="116">
        <v>5680</v>
      </c>
      <c r="P1255" s="116">
        <v>5902</v>
      </c>
      <c r="Q1255" s="116">
        <v>5808.8</v>
      </c>
      <c r="R1255">
        <v>481713</v>
      </c>
    </row>
    <row r="1256" spans="1:18" x14ac:dyDescent="0.25">
      <c r="A1256" s="170">
        <v>45420</v>
      </c>
      <c r="B1256" s="116">
        <v>5944.9</v>
      </c>
      <c r="C1256" s="116">
        <v>5923.4</v>
      </c>
      <c r="D1256" s="116">
        <v>5782.05</v>
      </c>
      <c r="E1256" s="116">
        <v>5815</v>
      </c>
      <c r="F1256" s="116">
        <v>5923.4</v>
      </c>
      <c r="G1256">
        <v>7831</v>
      </c>
      <c r="H1256" s="116"/>
      <c r="I1256" s="116"/>
      <c r="L1256" s="170">
        <v>45420</v>
      </c>
      <c r="M1256" s="116">
        <v>5921.55</v>
      </c>
      <c r="N1256" s="116">
        <v>5947.95</v>
      </c>
      <c r="O1256" s="116">
        <v>5785.1</v>
      </c>
      <c r="P1256" s="116">
        <v>5808.8</v>
      </c>
      <c r="Q1256" s="116">
        <v>5921.55</v>
      </c>
      <c r="R1256">
        <v>306101</v>
      </c>
    </row>
    <row r="1257" spans="1:18" x14ac:dyDescent="0.25">
      <c r="A1257" s="170">
        <v>45421</v>
      </c>
      <c r="B1257" s="116">
        <v>5950</v>
      </c>
      <c r="C1257" s="116">
        <v>5801.6</v>
      </c>
      <c r="D1257" s="116">
        <v>5785.65</v>
      </c>
      <c r="E1257" s="116">
        <v>5900.15</v>
      </c>
      <c r="F1257" s="116">
        <v>5801.6</v>
      </c>
      <c r="G1257">
        <v>22120</v>
      </c>
      <c r="H1257" s="116"/>
      <c r="I1257" s="116"/>
      <c r="L1257" s="170">
        <v>45421</v>
      </c>
      <c r="M1257" s="116">
        <v>5803.5</v>
      </c>
      <c r="N1257" s="116">
        <v>5949</v>
      </c>
      <c r="O1257" s="116">
        <v>5786</v>
      </c>
      <c r="P1257" s="116">
        <v>5919</v>
      </c>
      <c r="Q1257" s="116">
        <v>5803.5</v>
      </c>
      <c r="R1257">
        <v>271663</v>
      </c>
    </row>
    <row r="1258" spans="1:18" x14ac:dyDescent="0.25">
      <c r="A1258" s="170">
        <v>45422</v>
      </c>
      <c r="B1258" s="116">
        <v>6364</v>
      </c>
      <c r="C1258" s="116">
        <v>6153.6</v>
      </c>
      <c r="D1258" s="116">
        <v>5765.95</v>
      </c>
      <c r="E1258" s="116">
        <v>5825.15</v>
      </c>
      <c r="F1258" s="116">
        <v>6153.6</v>
      </c>
      <c r="G1258">
        <v>168671</v>
      </c>
      <c r="H1258" s="116"/>
      <c r="I1258" s="116"/>
      <c r="L1258" s="170">
        <v>45422</v>
      </c>
      <c r="M1258" s="116">
        <v>6155.65</v>
      </c>
      <c r="N1258" s="116">
        <v>6362.95</v>
      </c>
      <c r="O1258" s="116">
        <v>5762</v>
      </c>
      <c r="P1258" s="116">
        <v>5844</v>
      </c>
      <c r="Q1258" s="116">
        <v>6155.65</v>
      </c>
      <c r="R1258">
        <v>3423107</v>
      </c>
    </row>
    <row r="1259" spans="1:18" x14ac:dyDescent="0.25">
      <c r="A1259" s="170">
        <v>45425</v>
      </c>
      <c r="B1259" s="116">
        <v>6469.65</v>
      </c>
      <c r="C1259" s="116">
        <v>6425.7</v>
      </c>
      <c r="D1259" s="116">
        <v>6225.9</v>
      </c>
      <c r="E1259" s="116">
        <v>6263.6</v>
      </c>
      <c r="F1259" s="116">
        <v>6425.7</v>
      </c>
      <c r="G1259">
        <v>59569</v>
      </c>
      <c r="H1259" s="116"/>
      <c r="I1259" s="116"/>
      <c r="L1259" s="170">
        <v>45425</v>
      </c>
      <c r="M1259" s="116">
        <v>6430.9</v>
      </c>
      <c r="N1259" s="116">
        <v>6468.9</v>
      </c>
      <c r="O1259" s="116">
        <v>6222.25</v>
      </c>
      <c r="P1259" s="116">
        <v>6269</v>
      </c>
      <c r="Q1259" s="116">
        <v>6430.9</v>
      </c>
      <c r="R1259">
        <v>1788362</v>
      </c>
    </row>
    <row r="1260" spans="1:18" x14ac:dyDescent="0.25">
      <c r="A1260" s="170">
        <v>45426</v>
      </c>
      <c r="B1260" s="116">
        <v>6479.95</v>
      </c>
      <c r="C1260" s="116">
        <v>6322.95</v>
      </c>
      <c r="D1260" s="116">
        <v>6253</v>
      </c>
      <c r="E1260" s="116">
        <v>6437.4</v>
      </c>
      <c r="F1260" s="116">
        <v>6322.95</v>
      </c>
      <c r="G1260">
        <v>17500</v>
      </c>
      <c r="H1260" s="116"/>
      <c r="I1260" s="116"/>
      <c r="L1260" s="170">
        <v>45426</v>
      </c>
      <c r="M1260" s="116">
        <v>6323.55</v>
      </c>
      <c r="N1260" s="116">
        <v>6480</v>
      </c>
      <c r="O1260" s="116">
        <v>6250.9</v>
      </c>
      <c r="P1260" s="116">
        <v>6430</v>
      </c>
      <c r="Q1260" s="116">
        <v>6323.55</v>
      </c>
      <c r="R1260">
        <v>507179</v>
      </c>
    </row>
    <row r="1261" spans="1:18" x14ac:dyDescent="0.25">
      <c r="A1261" s="170">
        <v>45427</v>
      </c>
      <c r="B1261" s="116">
        <v>6536.45</v>
      </c>
      <c r="C1261" s="116">
        <v>6468.55</v>
      </c>
      <c r="D1261" s="116">
        <v>6291.85</v>
      </c>
      <c r="E1261" s="116">
        <v>6439.85</v>
      </c>
      <c r="F1261" s="116">
        <v>6468.55</v>
      </c>
      <c r="G1261">
        <v>18372</v>
      </c>
      <c r="H1261" s="116"/>
      <c r="I1261" s="116"/>
      <c r="L1261" s="170">
        <v>45427</v>
      </c>
      <c r="M1261" s="116">
        <v>6466.9</v>
      </c>
      <c r="N1261" s="116">
        <v>6534.7</v>
      </c>
      <c r="O1261" s="116">
        <v>6284.35</v>
      </c>
      <c r="P1261" s="116">
        <v>6397.85</v>
      </c>
      <c r="Q1261" s="116">
        <v>6466.9</v>
      </c>
      <c r="R1261">
        <v>671424</v>
      </c>
    </row>
    <row r="1262" spans="1:18" x14ac:dyDescent="0.25">
      <c r="A1262" s="170">
        <v>45428</v>
      </c>
      <c r="B1262" s="116">
        <v>6530.4</v>
      </c>
      <c r="C1262" s="116">
        <v>6472.9</v>
      </c>
      <c r="D1262" s="116">
        <v>6420.25</v>
      </c>
      <c r="E1262" s="116">
        <v>6499.95</v>
      </c>
      <c r="F1262" s="116">
        <v>6472.9</v>
      </c>
      <c r="G1262">
        <v>23617</v>
      </c>
      <c r="H1262" s="116"/>
      <c r="I1262" s="116"/>
      <c r="L1262" s="170">
        <v>45428</v>
      </c>
      <c r="M1262" s="116">
        <v>6470.3</v>
      </c>
      <c r="N1262" s="116">
        <v>6531.75</v>
      </c>
      <c r="O1262" s="116">
        <v>6420</v>
      </c>
      <c r="P1262" s="116">
        <v>6482.15</v>
      </c>
      <c r="Q1262" s="116">
        <v>6470.3</v>
      </c>
      <c r="R1262">
        <v>343819</v>
      </c>
    </row>
    <row r="1263" spans="1:18" x14ac:dyDescent="0.25">
      <c r="A1263" s="170">
        <v>45429</v>
      </c>
      <c r="B1263" s="116">
        <v>6542.2</v>
      </c>
      <c r="C1263" s="116">
        <v>6487.65</v>
      </c>
      <c r="D1263" s="116">
        <v>6451.45</v>
      </c>
      <c r="E1263" s="116">
        <v>6500</v>
      </c>
      <c r="F1263" s="116">
        <v>6487.65</v>
      </c>
      <c r="G1263">
        <v>19686</v>
      </c>
      <c r="H1263" s="116"/>
      <c r="I1263" s="116"/>
      <c r="L1263" s="170">
        <v>45429</v>
      </c>
      <c r="M1263" s="116">
        <v>6490.95</v>
      </c>
      <c r="N1263" s="116">
        <v>6542.9</v>
      </c>
      <c r="O1263" s="116">
        <v>6451.1</v>
      </c>
      <c r="P1263" s="116">
        <v>6510.95</v>
      </c>
      <c r="Q1263" s="116">
        <v>6490.95</v>
      </c>
      <c r="R1263">
        <v>305803</v>
      </c>
    </row>
    <row r="1264" spans="1:18" x14ac:dyDescent="0.25">
      <c r="A1264" s="170">
        <v>45430</v>
      </c>
      <c r="B1264" s="116">
        <v>6530</v>
      </c>
      <c r="C1264" s="116">
        <v>6495.55</v>
      </c>
      <c r="D1264" s="116">
        <v>6470.45</v>
      </c>
      <c r="E1264" s="116">
        <v>6530</v>
      </c>
      <c r="F1264" s="116">
        <v>6495.55</v>
      </c>
      <c r="G1264">
        <v>1060</v>
      </c>
      <c r="H1264" s="116"/>
      <c r="I1264" s="116"/>
      <c r="L1264" s="170">
        <v>45430</v>
      </c>
      <c r="M1264" s="116">
        <v>6496.25</v>
      </c>
      <c r="N1264" s="116">
        <v>6538</v>
      </c>
      <c r="O1264" s="116">
        <v>6471.05</v>
      </c>
      <c r="P1264" s="116">
        <v>6538</v>
      </c>
      <c r="Q1264" s="116">
        <v>6496.25</v>
      </c>
      <c r="R1264">
        <v>28685</v>
      </c>
    </row>
    <row r="1265" spans="1:18" x14ac:dyDescent="0.25">
      <c r="A1265" s="170">
        <v>45433</v>
      </c>
      <c r="B1265" s="116">
        <v>6843.8</v>
      </c>
      <c r="C1265" s="116">
        <v>6693.5</v>
      </c>
      <c r="D1265" s="116">
        <v>6500.05</v>
      </c>
      <c r="E1265" s="116">
        <v>6532.7</v>
      </c>
      <c r="F1265" s="116">
        <v>6693.5</v>
      </c>
      <c r="G1265">
        <v>34611</v>
      </c>
      <c r="H1265" s="116"/>
      <c r="I1265" s="116"/>
      <c r="L1265" s="170">
        <v>45433</v>
      </c>
      <c r="M1265" s="116">
        <v>6693.55</v>
      </c>
      <c r="N1265" s="116">
        <v>6843.95</v>
      </c>
      <c r="O1265" s="116">
        <v>6500.5</v>
      </c>
      <c r="P1265" s="116">
        <v>6500.5</v>
      </c>
      <c r="Q1265" s="116">
        <v>6693.55</v>
      </c>
      <c r="R1265">
        <v>957271</v>
      </c>
    </row>
    <row r="1266" spans="1:18" x14ac:dyDescent="0.25">
      <c r="A1266" s="170">
        <v>45434</v>
      </c>
      <c r="B1266" s="116">
        <v>6762.95</v>
      </c>
      <c r="C1266" s="116">
        <v>6564.25</v>
      </c>
      <c r="D1266" s="116">
        <v>6527.25</v>
      </c>
      <c r="E1266" s="116">
        <v>6756.85</v>
      </c>
      <c r="F1266" s="116">
        <v>6564.25</v>
      </c>
      <c r="G1266">
        <v>20142</v>
      </c>
      <c r="H1266" s="116"/>
      <c r="I1266" s="116"/>
      <c r="L1266" s="170">
        <v>45434</v>
      </c>
      <c r="M1266" s="116">
        <v>6561.8</v>
      </c>
      <c r="N1266" s="116">
        <v>6778</v>
      </c>
      <c r="O1266" s="116">
        <v>6530</v>
      </c>
      <c r="P1266" s="116">
        <v>6778</v>
      </c>
      <c r="Q1266" s="116">
        <v>6561.8</v>
      </c>
      <c r="R1266">
        <v>426788</v>
      </c>
    </row>
    <row r="1267" spans="1:18" x14ac:dyDescent="0.25">
      <c r="A1267" s="170">
        <v>45435</v>
      </c>
      <c r="B1267" s="116">
        <v>6737.65</v>
      </c>
      <c r="C1267" s="116">
        <v>6641.05</v>
      </c>
      <c r="D1267" s="116">
        <v>6571.9</v>
      </c>
      <c r="E1267" s="116">
        <v>6571.9</v>
      </c>
      <c r="F1267" s="116">
        <v>6641.05</v>
      </c>
      <c r="G1267">
        <v>23213</v>
      </c>
      <c r="H1267" s="116"/>
      <c r="I1267" s="116"/>
      <c r="L1267" s="170">
        <v>45435</v>
      </c>
      <c r="M1267" s="116">
        <v>6642.15</v>
      </c>
      <c r="N1267" s="116">
        <v>6740</v>
      </c>
      <c r="O1267" s="116">
        <v>6592.15</v>
      </c>
      <c r="P1267" s="116">
        <v>6602.4</v>
      </c>
      <c r="Q1267" s="116">
        <v>6642.15</v>
      </c>
      <c r="R1267">
        <v>476201</v>
      </c>
    </row>
    <row r="1268" spans="1:18" x14ac:dyDescent="0.25">
      <c r="A1268" s="170">
        <v>45436</v>
      </c>
      <c r="B1268" s="116">
        <v>6740</v>
      </c>
      <c r="C1268" s="116">
        <v>6683.15</v>
      </c>
      <c r="D1268" s="116">
        <v>6640</v>
      </c>
      <c r="E1268" s="116">
        <v>6641.9</v>
      </c>
      <c r="F1268" s="116">
        <v>6683.15</v>
      </c>
      <c r="G1268">
        <v>8106</v>
      </c>
      <c r="H1268" s="116"/>
      <c r="I1268" s="116"/>
      <c r="L1268" s="170">
        <v>45436</v>
      </c>
      <c r="M1268" s="116">
        <v>6684.15</v>
      </c>
      <c r="N1268" s="116">
        <v>6741.45</v>
      </c>
      <c r="O1268" s="116">
        <v>6635.05</v>
      </c>
      <c r="P1268" s="116">
        <v>6647.85</v>
      </c>
      <c r="Q1268" s="116">
        <v>6684.15</v>
      </c>
      <c r="R1268">
        <v>239053</v>
      </c>
    </row>
    <row r="1269" spans="1:18" x14ac:dyDescent="0.25">
      <c r="A1269" s="170">
        <v>45439</v>
      </c>
      <c r="B1269" s="116">
        <v>6901</v>
      </c>
      <c r="C1269" s="116">
        <v>6843.8</v>
      </c>
      <c r="D1269" s="116">
        <v>6693.25</v>
      </c>
      <c r="E1269" s="116">
        <v>6729.2</v>
      </c>
      <c r="F1269" s="116">
        <v>6843.8</v>
      </c>
      <c r="G1269">
        <v>23829</v>
      </c>
      <c r="H1269" s="116"/>
      <c r="I1269" s="116"/>
      <c r="L1269" s="170">
        <v>45439</v>
      </c>
      <c r="M1269" s="116">
        <v>6839.45</v>
      </c>
      <c r="N1269" s="116">
        <v>6900</v>
      </c>
      <c r="O1269" s="116">
        <v>6701.5</v>
      </c>
      <c r="P1269" s="116">
        <v>6722</v>
      </c>
      <c r="Q1269" s="116">
        <v>6839.45</v>
      </c>
      <c r="R1269">
        <v>756028</v>
      </c>
    </row>
    <row r="1270" spans="1:18" x14ac:dyDescent="0.25">
      <c r="A1270" s="170">
        <v>45440</v>
      </c>
      <c r="B1270" s="116">
        <v>6899</v>
      </c>
      <c r="C1270" s="116">
        <v>6705.55</v>
      </c>
      <c r="D1270" s="116">
        <v>6680.15</v>
      </c>
      <c r="E1270" s="116">
        <v>6870</v>
      </c>
      <c r="F1270" s="116">
        <v>6705.55</v>
      </c>
      <c r="G1270">
        <v>21719</v>
      </c>
      <c r="H1270" s="116"/>
      <c r="I1270" s="116"/>
      <c r="L1270" s="170">
        <v>45440</v>
      </c>
      <c r="M1270" s="116">
        <v>6706.6</v>
      </c>
      <c r="N1270" s="116">
        <v>6899.85</v>
      </c>
      <c r="O1270" s="116">
        <v>6685</v>
      </c>
      <c r="P1270" s="116">
        <v>6870</v>
      </c>
      <c r="Q1270" s="116">
        <v>6706.6</v>
      </c>
      <c r="R1270">
        <v>298627</v>
      </c>
    </row>
    <row r="1271" spans="1:18" x14ac:dyDescent="0.25">
      <c r="A1271" s="170">
        <v>45441</v>
      </c>
      <c r="B1271" s="116">
        <v>6778.15</v>
      </c>
      <c r="C1271" s="116">
        <v>6748.15</v>
      </c>
      <c r="D1271" s="116">
        <v>6648.95</v>
      </c>
      <c r="E1271" s="116">
        <v>6750</v>
      </c>
      <c r="F1271" s="116">
        <v>6748.15</v>
      </c>
      <c r="G1271">
        <v>9785</v>
      </c>
      <c r="H1271" s="116"/>
      <c r="I1271" s="116"/>
      <c r="L1271" s="170">
        <v>45441</v>
      </c>
      <c r="M1271" s="116">
        <v>6747.75</v>
      </c>
      <c r="N1271" s="116">
        <v>6778.95</v>
      </c>
      <c r="O1271" s="116">
        <v>6650.05</v>
      </c>
      <c r="P1271" s="116">
        <v>6700</v>
      </c>
      <c r="Q1271" s="116">
        <v>6747.75</v>
      </c>
      <c r="R1271">
        <v>240288</v>
      </c>
    </row>
    <row r="1272" spans="1:18" x14ac:dyDescent="0.25">
      <c r="A1272" s="170">
        <v>45442</v>
      </c>
      <c r="B1272" s="116">
        <v>6767.55</v>
      </c>
      <c r="C1272" s="116">
        <v>6711.6</v>
      </c>
      <c r="D1272" s="116">
        <v>6697.2</v>
      </c>
      <c r="E1272" s="116">
        <v>6748.15</v>
      </c>
      <c r="F1272" s="116">
        <v>6711.6</v>
      </c>
      <c r="G1272">
        <v>13940</v>
      </c>
      <c r="H1272" s="116"/>
      <c r="I1272" s="116"/>
      <c r="L1272" s="170">
        <v>45442</v>
      </c>
      <c r="M1272" s="116">
        <v>6714.1</v>
      </c>
      <c r="N1272" s="116">
        <v>6767</v>
      </c>
      <c r="O1272" s="116">
        <v>6698</v>
      </c>
      <c r="P1272" s="116">
        <v>6747.75</v>
      </c>
      <c r="Q1272" s="116">
        <v>6714.1</v>
      </c>
      <c r="R1272">
        <v>232385</v>
      </c>
    </row>
    <row r="1273" spans="1:18" x14ac:dyDescent="0.25">
      <c r="A1273" s="170">
        <v>45443</v>
      </c>
      <c r="B1273" s="116">
        <v>6846.55</v>
      </c>
      <c r="C1273" s="116">
        <v>6746.4</v>
      </c>
      <c r="D1273" s="116">
        <v>6621.35</v>
      </c>
      <c r="E1273" s="116">
        <v>6735.45</v>
      </c>
      <c r="F1273" s="116">
        <v>6746.4</v>
      </c>
      <c r="G1273">
        <v>10973</v>
      </c>
      <c r="H1273" s="116"/>
      <c r="I1273" s="116"/>
      <c r="L1273" s="170">
        <v>45443</v>
      </c>
      <c r="M1273" s="116">
        <v>6741.65</v>
      </c>
      <c r="N1273" s="116">
        <v>6852</v>
      </c>
      <c r="O1273" s="116">
        <v>6621.55</v>
      </c>
      <c r="P1273" s="116">
        <v>6741.9</v>
      </c>
      <c r="Q1273" s="116">
        <v>6741.65</v>
      </c>
      <c r="R1273">
        <v>1118735</v>
      </c>
    </row>
    <row r="1274" spans="1:18" x14ac:dyDescent="0.25">
      <c r="A1274" s="170">
        <v>45446</v>
      </c>
      <c r="B1274" s="116">
        <v>7106.2</v>
      </c>
      <c r="C1274" s="116">
        <v>6931.2</v>
      </c>
      <c r="D1274" s="116">
        <v>6846</v>
      </c>
      <c r="E1274" s="116">
        <v>6920.05</v>
      </c>
      <c r="F1274" s="116">
        <v>6931.2</v>
      </c>
      <c r="G1274">
        <v>43163</v>
      </c>
      <c r="H1274" s="116"/>
      <c r="I1274" s="116"/>
      <c r="L1274" s="170">
        <v>45446</v>
      </c>
      <c r="M1274" s="116">
        <v>6929.15</v>
      </c>
      <c r="N1274" s="116">
        <v>7116.2</v>
      </c>
      <c r="O1274" s="116">
        <v>6845.4</v>
      </c>
      <c r="P1274" s="116">
        <v>7000</v>
      </c>
      <c r="Q1274" s="116">
        <v>6929.15</v>
      </c>
      <c r="R1274">
        <v>571071</v>
      </c>
    </row>
    <row r="1275" spans="1:18" x14ac:dyDescent="0.25">
      <c r="A1275" s="170">
        <v>45447</v>
      </c>
      <c r="B1275" s="116">
        <v>7024.05</v>
      </c>
      <c r="C1275" s="116">
        <v>6465.3</v>
      </c>
      <c r="D1275" s="116">
        <v>6238.1</v>
      </c>
      <c r="E1275" s="116">
        <v>6950.1</v>
      </c>
      <c r="F1275" s="116">
        <v>6465.3</v>
      </c>
      <c r="G1275">
        <v>92389</v>
      </c>
      <c r="H1275" s="116"/>
      <c r="I1275" s="116"/>
      <c r="L1275" s="170">
        <v>45447</v>
      </c>
      <c r="M1275" s="116">
        <v>6456.2</v>
      </c>
      <c r="N1275" s="116">
        <v>7025.55</v>
      </c>
      <c r="O1275" s="116">
        <v>6211.35</v>
      </c>
      <c r="P1275" s="116">
        <v>7000</v>
      </c>
      <c r="Q1275" s="116">
        <v>6456.2</v>
      </c>
      <c r="R1275">
        <v>1324429</v>
      </c>
    </row>
    <row r="1276" spans="1:18" x14ac:dyDescent="0.25">
      <c r="A1276" s="170">
        <v>45448</v>
      </c>
      <c r="B1276" s="116">
        <v>6817.4</v>
      </c>
      <c r="C1276" s="116">
        <v>6785.95</v>
      </c>
      <c r="D1276" s="116">
        <v>6134.75</v>
      </c>
      <c r="E1276" s="116">
        <v>6515.15</v>
      </c>
      <c r="F1276" s="116">
        <v>6785.95</v>
      </c>
      <c r="G1276">
        <v>42410</v>
      </c>
      <c r="H1276" s="116"/>
      <c r="I1276" s="116"/>
      <c r="L1276" s="170">
        <v>45448</v>
      </c>
      <c r="M1276" s="116">
        <v>6788.45</v>
      </c>
      <c r="N1276" s="116">
        <v>6820</v>
      </c>
      <c r="O1276" s="116">
        <v>6137</v>
      </c>
      <c r="P1276" s="116">
        <v>6598</v>
      </c>
      <c r="Q1276" s="116">
        <v>6788.45</v>
      </c>
      <c r="R1276">
        <v>700772</v>
      </c>
    </row>
    <row r="1277" spans="1:18" x14ac:dyDescent="0.25">
      <c r="A1277" s="170">
        <v>45449</v>
      </c>
      <c r="B1277" s="116">
        <v>6986</v>
      </c>
      <c r="C1277" s="116">
        <v>6858.65</v>
      </c>
      <c r="D1277" s="116">
        <v>6810</v>
      </c>
      <c r="E1277" s="116">
        <v>6920.9</v>
      </c>
      <c r="F1277" s="116">
        <v>6858.65</v>
      </c>
      <c r="G1277">
        <v>7658</v>
      </c>
      <c r="H1277" s="116"/>
      <c r="I1277" s="116"/>
      <c r="L1277" s="170">
        <v>45449</v>
      </c>
      <c r="M1277" s="116">
        <v>6858.75</v>
      </c>
      <c r="N1277" s="116">
        <v>6980</v>
      </c>
      <c r="O1277" s="116">
        <v>6808.2</v>
      </c>
      <c r="P1277" s="116">
        <v>6900</v>
      </c>
      <c r="Q1277" s="116">
        <v>6858.75</v>
      </c>
      <c r="R1277">
        <v>237858</v>
      </c>
    </row>
    <row r="1278" spans="1:18" x14ac:dyDescent="0.25">
      <c r="A1278" s="170">
        <v>45450</v>
      </c>
      <c r="B1278" s="116">
        <v>6886.4</v>
      </c>
      <c r="C1278" s="116">
        <v>6846.9</v>
      </c>
      <c r="D1278" s="116">
        <v>6809.6</v>
      </c>
      <c r="E1278" s="116">
        <v>6865.85</v>
      </c>
      <c r="F1278" s="116">
        <v>6846.9</v>
      </c>
      <c r="G1278">
        <v>5478</v>
      </c>
      <c r="H1278" s="116"/>
      <c r="I1278" s="116"/>
      <c r="L1278" s="170">
        <v>45450</v>
      </c>
      <c r="M1278" s="116">
        <v>6846.45</v>
      </c>
      <c r="N1278" s="116">
        <v>6886.25</v>
      </c>
      <c r="O1278" s="116">
        <v>6810</v>
      </c>
      <c r="P1278" s="116">
        <v>6862.25</v>
      </c>
      <c r="Q1278" s="116">
        <v>6846.45</v>
      </c>
      <c r="R1278">
        <v>180893</v>
      </c>
    </row>
    <row r="1279" spans="1:18" x14ac:dyDescent="0.25">
      <c r="A1279" s="170">
        <v>45453</v>
      </c>
      <c r="B1279" s="116">
        <v>6948.95</v>
      </c>
      <c r="C1279" s="116">
        <v>6797.5</v>
      </c>
      <c r="D1279" s="116">
        <v>6729.05</v>
      </c>
      <c r="E1279" s="116">
        <v>6919.75</v>
      </c>
      <c r="F1279" s="116">
        <v>6797.5</v>
      </c>
      <c r="G1279">
        <v>24820</v>
      </c>
      <c r="H1279" s="116"/>
      <c r="I1279" s="116"/>
      <c r="L1279" s="170">
        <v>45453</v>
      </c>
      <c r="M1279" s="116">
        <v>6798.9</v>
      </c>
      <c r="N1279" s="116">
        <v>6950</v>
      </c>
      <c r="O1279" s="116">
        <v>6730</v>
      </c>
      <c r="P1279" s="116">
        <v>6887.6</v>
      </c>
      <c r="Q1279" s="116">
        <v>6798.9</v>
      </c>
      <c r="R1279">
        <v>636790</v>
      </c>
    </row>
    <row r="1280" spans="1:18" x14ac:dyDescent="0.25">
      <c r="A1280" s="170">
        <v>45454</v>
      </c>
      <c r="B1280" s="116">
        <v>7035</v>
      </c>
      <c r="C1280" s="116">
        <v>6995.7</v>
      </c>
      <c r="D1280" s="116">
        <v>6780</v>
      </c>
      <c r="E1280" s="116">
        <v>6847.4</v>
      </c>
      <c r="F1280" s="116">
        <v>6995.7</v>
      </c>
      <c r="G1280">
        <v>16406</v>
      </c>
      <c r="H1280" s="116"/>
      <c r="I1280" s="116"/>
      <c r="L1280" s="170">
        <v>45454</v>
      </c>
      <c r="M1280" s="116">
        <v>6997.9</v>
      </c>
      <c r="N1280" s="116">
        <v>7039.9</v>
      </c>
      <c r="O1280" s="116">
        <v>6778</v>
      </c>
      <c r="P1280" s="116">
        <v>6850.8</v>
      </c>
      <c r="Q1280" s="116">
        <v>6997.9</v>
      </c>
      <c r="R1280">
        <v>435671</v>
      </c>
    </row>
    <row r="1281" spans="1:18" x14ac:dyDescent="0.25">
      <c r="A1281" s="170">
        <v>45455</v>
      </c>
      <c r="B1281" s="116">
        <v>7092.35</v>
      </c>
      <c r="C1281" s="116">
        <v>7003.1</v>
      </c>
      <c r="D1281" s="116">
        <v>6960.25</v>
      </c>
      <c r="E1281" s="116">
        <v>6998.55</v>
      </c>
      <c r="F1281" s="116">
        <v>7003.1</v>
      </c>
      <c r="G1281">
        <v>7205</v>
      </c>
      <c r="H1281" s="116"/>
      <c r="I1281" s="116"/>
      <c r="L1281" s="170">
        <v>45455</v>
      </c>
      <c r="M1281" s="116">
        <v>7002</v>
      </c>
      <c r="N1281" s="116">
        <v>7094.3</v>
      </c>
      <c r="O1281" s="116">
        <v>6960</v>
      </c>
      <c r="P1281" s="116">
        <v>7010</v>
      </c>
      <c r="Q1281" s="116">
        <v>7002</v>
      </c>
      <c r="R1281">
        <v>297295</v>
      </c>
    </row>
    <row r="1282" spans="1:18" x14ac:dyDescent="0.25">
      <c r="A1282" s="170">
        <v>45456</v>
      </c>
      <c r="B1282" s="116">
        <v>7065.85</v>
      </c>
      <c r="C1282" s="116">
        <v>7045.9</v>
      </c>
      <c r="D1282" s="116">
        <v>6943</v>
      </c>
      <c r="E1282" s="116">
        <v>7050</v>
      </c>
      <c r="F1282" s="116">
        <v>7045.9</v>
      </c>
      <c r="G1282">
        <v>19261</v>
      </c>
      <c r="H1282" s="116"/>
      <c r="I1282" s="116"/>
      <c r="L1282" s="170">
        <v>45456</v>
      </c>
      <c r="M1282" s="116">
        <v>7047.2</v>
      </c>
      <c r="N1282" s="116">
        <v>7067.4</v>
      </c>
      <c r="O1282" s="116">
        <v>6942</v>
      </c>
      <c r="P1282" s="116">
        <v>7050</v>
      </c>
      <c r="Q1282" s="116">
        <v>7047.2</v>
      </c>
      <c r="R1282">
        <v>378833</v>
      </c>
    </row>
    <row r="1283" spans="1:18" x14ac:dyDescent="0.25">
      <c r="A1283" s="170">
        <v>45457</v>
      </c>
      <c r="B1283" s="116">
        <v>7138.2</v>
      </c>
      <c r="C1283" s="116">
        <v>7079.8</v>
      </c>
      <c r="D1283" s="116">
        <v>7001.5</v>
      </c>
      <c r="E1283" s="116">
        <v>7050</v>
      </c>
      <c r="F1283" s="116">
        <v>7079.8</v>
      </c>
      <c r="G1283">
        <v>7935</v>
      </c>
      <c r="H1283" s="116"/>
      <c r="I1283" s="116"/>
      <c r="L1283" s="170">
        <v>45457</v>
      </c>
      <c r="M1283" s="116">
        <v>7079.9</v>
      </c>
      <c r="N1283" s="116">
        <v>7140</v>
      </c>
      <c r="O1283" s="116">
        <v>7000.25</v>
      </c>
      <c r="P1283" s="116">
        <v>7050</v>
      </c>
      <c r="Q1283" s="116">
        <v>7079.9</v>
      </c>
      <c r="R1283">
        <v>409053</v>
      </c>
    </row>
    <row r="1284" spans="1:18" x14ac:dyDescent="0.25">
      <c r="A1284" s="170">
        <v>45461</v>
      </c>
      <c r="B1284" s="116">
        <v>7150</v>
      </c>
      <c r="C1284" s="116">
        <v>7111.75</v>
      </c>
      <c r="D1284" s="116">
        <v>7061.85</v>
      </c>
      <c r="E1284" s="116">
        <v>7141.35</v>
      </c>
      <c r="F1284" s="116">
        <v>7111.75</v>
      </c>
      <c r="G1284">
        <v>4497</v>
      </c>
      <c r="H1284" s="116"/>
      <c r="I1284" s="116"/>
      <c r="L1284" s="170">
        <v>45461</v>
      </c>
      <c r="M1284" s="116">
        <v>7110.25</v>
      </c>
      <c r="N1284" s="116">
        <v>7147.4</v>
      </c>
      <c r="O1284" s="116">
        <v>7061.4</v>
      </c>
      <c r="P1284" s="116">
        <v>7120</v>
      </c>
      <c r="Q1284" s="116">
        <v>7110.25</v>
      </c>
      <c r="R1284">
        <v>194223</v>
      </c>
    </row>
    <row r="1285" spans="1:18" x14ac:dyDescent="0.25">
      <c r="A1285" s="170">
        <v>45462</v>
      </c>
      <c r="B1285" s="116">
        <v>7178.35</v>
      </c>
      <c r="C1285" s="116">
        <v>7001.55</v>
      </c>
      <c r="D1285" s="116">
        <v>6976.75</v>
      </c>
      <c r="E1285" s="116">
        <v>7137.75</v>
      </c>
      <c r="F1285" s="116">
        <v>7001.55</v>
      </c>
      <c r="G1285">
        <v>14012</v>
      </c>
      <c r="H1285" s="116"/>
      <c r="I1285" s="116"/>
      <c r="L1285" s="170">
        <v>45462</v>
      </c>
      <c r="M1285" s="116">
        <v>7002.7</v>
      </c>
      <c r="N1285" s="116">
        <v>7174.75</v>
      </c>
      <c r="O1285" s="116">
        <v>6980</v>
      </c>
      <c r="P1285" s="116">
        <v>7144</v>
      </c>
      <c r="Q1285" s="116">
        <v>7002.7</v>
      </c>
      <c r="R1285">
        <v>319124</v>
      </c>
    </row>
    <row r="1286" spans="1:18" x14ac:dyDescent="0.25">
      <c r="A1286" s="170">
        <v>45463</v>
      </c>
      <c r="B1286" s="116">
        <v>7028.75</v>
      </c>
      <c r="C1286" s="116">
        <v>6953.55</v>
      </c>
      <c r="D1286" s="116">
        <v>6901.5</v>
      </c>
      <c r="E1286" s="116">
        <v>6994.75</v>
      </c>
      <c r="F1286" s="116">
        <v>6953.55</v>
      </c>
      <c r="G1286">
        <v>5025</v>
      </c>
      <c r="H1286" s="116"/>
      <c r="I1286" s="116"/>
      <c r="L1286" s="170">
        <v>45463</v>
      </c>
      <c r="M1286" s="116">
        <v>6956.45</v>
      </c>
      <c r="N1286" s="116">
        <v>7025.5</v>
      </c>
      <c r="O1286" s="116">
        <v>6905</v>
      </c>
      <c r="P1286" s="116">
        <v>7002.7</v>
      </c>
      <c r="Q1286" s="116">
        <v>6956.45</v>
      </c>
      <c r="R1286">
        <v>224893</v>
      </c>
    </row>
    <row r="1287" spans="1:18" x14ac:dyDescent="0.25">
      <c r="A1287" s="170">
        <v>45464</v>
      </c>
      <c r="B1287" s="116">
        <v>7211.9</v>
      </c>
      <c r="C1287" s="116">
        <v>7089.55</v>
      </c>
      <c r="D1287" s="116">
        <v>6950</v>
      </c>
      <c r="E1287" s="116">
        <v>7040.95</v>
      </c>
      <c r="F1287" s="116">
        <v>7089.55</v>
      </c>
      <c r="G1287">
        <v>22438</v>
      </c>
      <c r="H1287" s="116"/>
      <c r="I1287" s="116"/>
      <c r="L1287" s="170">
        <v>45464</v>
      </c>
      <c r="M1287" s="116">
        <v>7091.55</v>
      </c>
      <c r="N1287" s="116">
        <v>7215</v>
      </c>
      <c r="O1287" s="116">
        <v>6947.15</v>
      </c>
      <c r="P1287" s="116">
        <v>7010</v>
      </c>
      <c r="Q1287" s="116">
        <v>7091.55</v>
      </c>
      <c r="R1287">
        <v>776401</v>
      </c>
    </row>
    <row r="1288" spans="1:18" x14ac:dyDescent="0.25">
      <c r="A1288" s="170">
        <v>45467</v>
      </c>
      <c r="B1288" s="116">
        <v>7294.7</v>
      </c>
      <c r="C1288" s="116">
        <v>7258.75</v>
      </c>
      <c r="D1288" s="116">
        <v>7000</v>
      </c>
      <c r="E1288" s="116">
        <v>7020.4</v>
      </c>
      <c r="F1288" s="116">
        <v>7258.75</v>
      </c>
      <c r="G1288">
        <v>12283</v>
      </c>
      <c r="H1288" s="116"/>
      <c r="I1288" s="116"/>
      <c r="L1288" s="170">
        <v>45467</v>
      </c>
      <c r="M1288" s="116">
        <v>7260.6</v>
      </c>
      <c r="N1288" s="116">
        <v>7293.3</v>
      </c>
      <c r="O1288" s="116">
        <v>6985</v>
      </c>
      <c r="P1288" s="116">
        <v>7000</v>
      </c>
      <c r="Q1288" s="116">
        <v>7260.6</v>
      </c>
      <c r="R1288">
        <v>631243</v>
      </c>
    </row>
    <row r="1289" spans="1:18" x14ac:dyDescent="0.25">
      <c r="A1289" s="170">
        <v>45468</v>
      </c>
      <c r="B1289" s="116">
        <v>7330</v>
      </c>
      <c r="C1289" s="116">
        <v>7233.9</v>
      </c>
      <c r="D1289" s="116">
        <v>7194.7</v>
      </c>
      <c r="E1289" s="116">
        <v>7294</v>
      </c>
      <c r="F1289" s="116">
        <v>7233.9</v>
      </c>
      <c r="G1289">
        <v>7495</v>
      </c>
      <c r="H1289" s="116"/>
      <c r="I1289" s="116"/>
      <c r="L1289" s="170">
        <v>45468</v>
      </c>
      <c r="M1289" s="116">
        <v>7227.6</v>
      </c>
      <c r="N1289" s="116">
        <v>7331.45</v>
      </c>
      <c r="O1289" s="116">
        <v>7191.15</v>
      </c>
      <c r="P1289" s="116">
        <v>7309.95</v>
      </c>
      <c r="Q1289" s="116">
        <v>7227.6</v>
      </c>
      <c r="R1289">
        <v>292396</v>
      </c>
    </row>
    <row r="1290" spans="1:18" x14ac:dyDescent="0.25">
      <c r="A1290" s="170">
        <v>45469</v>
      </c>
      <c r="B1290" s="116">
        <v>7322.25</v>
      </c>
      <c r="C1290" s="116">
        <v>7182.55</v>
      </c>
      <c r="D1290" s="116">
        <v>7150.05</v>
      </c>
      <c r="E1290" s="116">
        <v>7150.05</v>
      </c>
      <c r="F1290" s="116">
        <v>7182.55</v>
      </c>
      <c r="G1290">
        <v>15569</v>
      </c>
      <c r="H1290" s="116"/>
      <c r="I1290" s="116"/>
      <c r="L1290" s="170">
        <v>45469</v>
      </c>
      <c r="M1290" s="116">
        <v>7180.35</v>
      </c>
      <c r="N1290" s="116">
        <v>7323.95</v>
      </c>
      <c r="O1290" s="116">
        <v>7164.05</v>
      </c>
      <c r="P1290" s="116">
        <v>7211.85</v>
      </c>
      <c r="Q1290" s="116">
        <v>7180.35</v>
      </c>
      <c r="R1290">
        <v>298420</v>
      </c>
    </row>
    <row r="1291" spans="1:18" x14ac:dyDescent="0.25">
      <c r="A1291" s="170">
        <v>45470</v>
      </c>
      <c r="B1291" s="116">
        <v>7320</v>
      </c>
      <c r="C1291" s="116">
        <v>6989.85</v>
      </c>
      <c r="D1291" s="116">
        <v>6942</v>
      </c>
      <c r="E1291" s="116">
        <v>7232.05</v>
      </c>
      <c r="F1291" s="116">
        <v>6989.85</v>
      </c>
      <c r="G1291">
        <v>39727</v>
      </c>
      <c r="H1291" s="116"/>
      <c r="I1291" s="116"/>
      <c r="L1291" s="170">
        <v>45470</v>
      </c>
      <c r="M1291" s="116">
        <v>6989.25</v>
      </c>
      <c r="N1291" s="116">
        <v>7319.9</v>
      </c>
      <c r="O1291" s="116">
        <v>6960</v>
      </c>
      <c r="P1291" s="116">
        <v>7250</v>
      </c>
      <c r="Q1291" s="116">
        <v>6989.25</v>
      </c>
      <c r="R1291">
        <v>1135404</v>
      </c>
    </row>
    <row r="1292" spans="1:18" x14ac:dyDescent="0.25">
      <c r="A1292" s="170">
        <v>45471</v>
      </c>
      <c r="B1292" s="116">
        <v>6824.35</v>
      </c>
      <c r="C1292" s="116">
        <v>6735.9</v>
      </c>
      <c r="D1292" s="116">
        <v>6636.45</v>
      </c>
      <c r="E1292" s="116">
        <v>6779.35</v>
      </c>
      <c r="F1292" s="116">
        <v>6735.9</v>
      </c>
      <c r="G1292">
        <v>1115798</v>
      </c>
      <c r="H1292" s="116"/>
      <c r="I1292" s="116"/>
      <c r="L1292" s="170">
        <v>45471</v>
      </c>
      <c r="M1292" s="116">
        <v>6739.5</v>
      </c>
      <c r="N1292" s="116">
        <v>6823.3</v>
      </c>
      <c r="O1292" s="116">
        <v>6616</v>
      </c>
      <c r="P1292" s="116">
        <v>6768</v>
      </c>
      <c r="Q1292" s="116">
        <v>6739.5</v>
      </c>
      <c r="R1292">
        <v>8853879</v>
      </c>
    </row>
    <row r="1293" spans="1:18" x14ac:dyDescent="0.25">
      <c r="A1293" s="170">
        <v>45474</v>
      </c>
      <c r="B1293" s="116">
        <v>6782.3</v>
      </c>
      <c r="C1293" s="116">
        <v>6737.85</v>
      </c>
      <c r="D1293" s="116">
        <v>6704.55</v>
      </c>
      <c r="E1293" s="116">
        <v>6775.65</v>
      </c>
      <c r="F1293" s="116">
        <v>6737.85</v>
      </c>
      <c r="G1293">
        <v>16747</v>
      </c>
      <c r="H1293" s="116"/>
      <c r="I1293" s="116"/>
      <c r="L1293" s="170">
        <v>45474</v>
      </c>
      <c r="M1293" s="116">
        <v>6735.95</v>
      </c>
      <c r="N1293" s="116">
        <v>6780</v>
      </c>
      <c r="O1293" s="116">
        <v>6704</v>
      </c>
      <c r="P1293" s="116">
        <v>6750</v>
      </c>
      <c r="Q1293" s="116">
        <v>6735.95</v>
      </c>
      <c r="R1293">
        <v>488374</v>
      </c>
    </row>
    <row r="1294" spans="1:18" x14ac:dyDescent="0.25">
      <c r="A1294" s="170">
        <v>45475</v>
      </c>
      <c r="B1294" s="116">
        <v>6784.95</v>
      </c>
      <c r="C1294" s="116">
        <v>6628.5</v>
      </c>
      <c r="D1294" s="116">
        <v>6541.55</v>
      </c>
      <c r="E1294" s="116">
        <v>6738.2</v>
      </c>
      <c r="F1294" s="116">
        <v>6628.5</v>
      </c>
      <c r="G1294">
        <v>68297</v>
      </c>
      <c r="H1294" s="116"/>
      <c r="I1294" s="116"/>
      <c r="L1294" s="170">
        <v>45475</v>
      </c>
      <c r="M1294" s="116">
        <v>6628.1</v>
      </c>
      <c r="N1294" s="116">
        <v>6786</v>
      </c>
      <c r="O1294" s="116">
        <v>6544.1</v>
      </c>
      <c r="P1294" s="116">
        <v>6759.8</v>
      </c>
      <c r="Q1294" s="116">
        <v>6628.1</v>
      </c>
      <c r="R1294">
        <v>818252</v>
      </c>
    </row>
    <row r="1295" spans="1:18" x14ac:dyDescent="0.25">
      <c r="A1295" s="170">
        <v>45476</v>
      </c>
      <c r="B1295" s="116">
        <v>6732</v>
      </c>
      <c r="C1295" s="116">
        <v>6711.15</v>
      </c>
      <c r="D1295" s="116">
        <v>6625</v>
      </c>
      <c r="E1295" s="116">
        <v>6642</v>
      </c>
      <c r="F1295" s="116">
        <v>6711.15</v>
      </c>
      <c r="G1295">
        <v>38338</v>
      </c>
      <c r="H1295" s="116"/>
      <c r="I1295" s="116"/>
      <c r="L1295" s="170">
        <v>45476</v>
      </c>
      <c r="M1295" s="116">
        <v>6711.7</v>
      </c>
      <c r="N1295" s="116">
        <v>6734</v>
      </c>
      <c r="O1295" s="116">
        <v>6606.95</v>
      </c>
      <c r="P1295" s="116">
        <v>6628.35</v>
      </c>
      <c r="Q1295" s="116">
        <v>6711.7</v>
      </c>
      <c r="R1295">
        <v>656496</v>
      </c>
    </row>
    <row r="1296" spans="1:18" x14ac:dyDescent="0.25">
      <c r="A1296" s="170">
        <v>45477</v>
      </c>
      <c r="B1296" s="116">
        <v>6780</v>
      </c>
      <c r="C1296" s="116">
        <v>6662.9</v>
      </c>
      <c r="D1296" s="116">
        <v>6653.05</v>
      </c>
      <c r="E1296" s="116">
        <v>6780</v>
      </c>
      <c r="F1296" s="116">
        <v>6662.9</v>
      </c>
      <c r="G1296">
        <v>17400</v>
      </c>
      <c r="H1296" s="116"/>
      <c r="I1296" s="116"/>
      <c r="L1296" s="170">
        <v>45477</v>
      </c>
      <c r="M1296" s="116">
        <v>6661.45</v>
      </c>
      <c r="N1296" s="116">
        <v>6775</v>
      </c>
      <c r="O1296" s="116">
        <v>6651.3</v>
      </c>
      <c r="P1296" s="116">
        <v>6775</v>
      </c>
      <c r="Q1296" s="116">
        <v>6661.45</v>
      </c>
      <c r="R1296">
        <v>348211</v>
      </c>
    </row>
    <row r="1297" spans="1:18" x14ac:dyDescent="0.25">
      <c r="A1297" s="170">
        <v>45478</v>
      </c>
      <c r="B1297" s="116">
        <v>6696.85</v>
      </c>
      <c r="C1297" s="116">
        <v>6629.15</v>
      </c>
      <c r="D1297" s="116">
        <v>6595.4</v>
      </c>
      <c r="E1297" s="116">
        <v>6665.7</v>
      </c>
      <c r="F1297" s="116">
        <v>6629.15</v>
      </c>
      <c r="G1297">
        <v>23837</v>
      </c>
      <c r="H1297" s="116"/>
      <c r="I1297" s="116"/>
      <c r="L1297" s="170">
        <v>45478</v>
      </c>
      <c r="M1297" s="116">
        <v>6634.1</v>
      </c>
      <c r="N1297" s="116">
        <v>6699</v>
      </c>
      <c r="O1297" s="116">
        <v>6600.15</v>
      </c>
      <c r="P1297" s="116">
        <v>6675</v>
      </c>
      <c r="Q1297" s="116">
        <v>6634.1</v>
      </c>
      <c r="R1297">
        <v>222128</v>
      </c>
    </row>
    <row r="1298" spans="1:18" x14ac:dyDescent="0.25">
      <c r="A1298" s="170">
        <v>45481</v>
      </c>
      <c r="B1298" s="116">
        <v>6676.3</v>
      </c>
      <c r="C1298" s="116">
        <v>6545.85</v>
      </c>
      <c r="D1298" s="116">
        <v>6538.45</v>
      </c>
      <c r="E1298" s="116">
        <v>6649.95</v>
      </c>
      <c r="F1298" s="116">
        <v>6545.85</v>
      </c>
      <c r="G1298">
        <v>11198</v>
      </c>
      <c r="H1298" s="116"/>
      <c r="I1298" s="116"/>
      <c r="L1298" s="170">
        <v>45481</v>
      </c>
      <c r="M1298" s="116">
        <v>6546.6</v>
      </c>
      <c r="N1298" s="116">
        <v>6675</v>
      </c>
      <c r="O1298" s="116">
        <v>6535</v>
      </c>
      <c r="P1298" s="116">
        <v>6639</v>
      </c>
      <c r="Q1298" s="116">
        <v>6546.6</v>
      </c>
      <c r="R1298">
        <v>560888</v>
      </c>
    </row>
    <row r="1299" spans="1:18" x14ac:dyDescent="0.25">
      <c r="A1299" s="170">
        <v>45482</v>
      </c>
      <c r="B1299" s="116">
        <v>6593.2</v>
      </c>
      <c r="C1299" s="116">
        <v>6455.75</v>
      </c>
      <c r="D1299" s="116">
        <v>6415.3</v>
      </c>
      <c r="E1299" s="116">
        <v>6587.1</v>
      </c>
      <c r="F1299" s="116">
        <v>6455.75</v>
      </c>
      <c r="G1299">
        <v>12507</v>
      </c>
      <c r="H1299" s="116"/>
      <c r="I1299" s="116"/>
      <c r="L1299" s="170">
        <v>45482</v>
      </c>
      <c r="M1299" s="116">
        <v>6454.15</v>
      </c>
      <c r="N1299" s="116">
        <v>6592</v>
      </c>
      <c r="O1299" s="116">
        <v>6415.7</v>
      </c>
      <c r="P1299" s="116">
        <v>6577.45</v>
      </c>
      <c r="Q1299" s="116">
        <v>6454.15</v>
      </c>
      <c r="R1299">
        <v>547696</v>
      </c>
    </row>
    <row r="1300" spans="1:18" x14ac:dyDescent="0.25">
      <c r="A1300" s="170">
        <v>45483</v>
      </c>
      <c r="B1300" s="116">
        <v>6475.5</v>
      </c>
      <c r="C1300" s="116">
        <v>6359.4</v>
      </c>
      <c r="D1300" s="116">
        <v>6311.15</v>
      </c>
      <c r="E1300" s="116">
        <v>6455.75</v>
      </c>
      <c r="F1300" s="116">
        <v>6359.4</v>
      </c>
      <c r="G1300">
        <v>32253</v>
      </c>
      <c r="H1300" s="116"/>
      <c r="I1300" s="116"/>
      <c r="L1300" s="170">
        <v>45483</v>
      </c>
      <c r="M1300" s="116">
        <v>6358.3</v>
      </c>
      <c r="N1300" s="116">
        <v>6477.3</v>
      </c>
      <c r="O1300" s="116">
        <v>6311.1</v>
      </c>
      <c r="P1300" s="116">
        <v>6456.75</v>
      </c>
      <c r="Q1300" s="116">
        <v>6358.3</v>
      </c>
      <c r="R1300">
        <v>381571</v>
      </c>
    </row>
    <row r="1301" spans="1:18" x14ac:dyDescent="0.25">
      <c r="A1301" s="170">
        <v>45484</v>
      </c>
      <c r="B1301" s="116">
        <v>6637.95</v>
      </c>
      <c r="C1301" s="116">
        <v>6611</v>
      </c>
      <c r="D1301" s="116">
        <v>6380</v>
      </c>
      <c r="E1301" s="116">
        <v>6380.05</v>
      </c>
      <c r="F1301" s="116">
        <v>6611</v>
      </c>
      <c r="G1301">
        <v>43017</v>
      </c>
      <c r="H1301" s="116"/>
      <c r="I1301" s="116"/>
      <c r="L1301" s="170">
        <v>45484</v>
      </c>
      <c r="M1301" s="116">
        <v>6619</v>
      </c>
      <c r="N1301" s="116">
        <v>6639.95</v>
      </c>
      <c r="O1301" s="116">
        <v>6384.1</v>
      </c>
      <c r="P1301" s="116">
        <v>6388.9</v>
      </c>
      <c r="Q1301" s="116">
        <v>6619</v>
      </c>
      <c r="R1301">
        <v>973579</v>
      </c>
    </row>
    <row r="1302" spans="1:18" x14ac:dyDescent="0.25">
      <c r="A1302" s="170">
        <v>45485</v>
      </c>
      <c r="B1302" s="116">
        <v>6668.75</v>
      </c>
      <c r="C1302" s="116">
        <v>6574.55</v>
      </c>
      <c r="D1302" s="116">
        <v>6510.6</v>
      </c>
      <c r="E1302" s="116">
        <v>6668.75</v>
      </c>
      <c r="F1302" s="116">
        <v>6574.55</v>
      </c>
      <c r="G1302">
        <v>29323</v>
      </c>
      <c r="H1302" s="116"/>
      <c r="I1302" s="116"/>
      <c r="L1302" s="170">
        <v>45485</v>
      </c>
      <c r="M1302" s="116">
        <v>6581</v>
      </c>
      <c r="N1302" s="116">
        <v>6645.1</v>
      </c>
      <c r="O1302" s="116">
        <v>6511</v>
      </c>
      <c r="P1302" s="116">
        <v>6643.95</v>
      </c>
      <c r="Q1302" s="116">
        <v>6581</v>
      </c>
      <c r="R1302">
        <v>499047</v>
      </c>
    </row>
    <row r="1303" spans="1:18" x14ac:dyDescent="0.25">
      <c r="A1303" s="170">
        <v>45488</v>
      </c>
      <c r="B1303" s="116">
        <v>6690</v>
      </c>
      <c r="C1303" s="116">
        <v>6660.1</v>
      </c>
      <c r="D1303" s="116">
        <v>6520</v>
      </c>
      <c r="E1303" s="116">
        <v>6584.7</v>
      </c>
      <c r="F1303" s="116">
        <v>6660.1</v>
      </c>
      <c r="G1303">
        <v>10499</v>
      </c>
      <c r="H1303" s="116"/>
      <c r="I1303" s="116"/>
      <c r="L1303" s="170">
        <v>45488</v>
      </c>
      <c r="M1303" s="116">
        <v>6667.85</v>
      </c>
      <c r="N1303" s="116">
        <v>6693</v>
      </c>
      <c r="O1303" s="116">
        <v>6516</v>
      </c>
      <c r="P1303" s="116">
        <v>6591</v>
      </c>
      <c r="Q1303" s="116">
        <v>6667.85</v>
      </c>
      <c r="R1303">
        <v>423404</v>
      </c>
    </row>
    <row r="1304" spans="1:18" x14ac:dyDescent="0.25">
      <c r="A1304" s="170">
        <v>45489</v>
      </c>
      <c r="B1304" s="116">
        <v>6724.95</v>
      </c>
      <c r="C1304" s="116">
        <v>6624.95</v>
      </c>
      <c r="D1304" s="116">
        <v>6608.65</v>
      </c>
      <c r="E1304" s="116">
        <v>6724.95</v>
      </c>
      <c r="F1304" s="116">
        <v>6624.95</v>
      </c>
      <c r="G1304">
        <v>6755</v>
      </c>
      <c r="H1304" s="116"/>
      <c r="I1304" s="116"/>
      <c r="L1304" s="170">
        <v>45489</v>
      </c>
      <c r="M1304" s="116">
        <v>6629.2</v>
      </c>
      <c r="N1304" s="116">
        <v>6717.85</v>
      </c>
      <c r="O1304" s="116">
        <v>6608.85</v>
      </c>
      <c r="P1304" s="116">
        <v>6694.8</v>
      </c>
      <c r="Q1304" s="116">
        <v>6629.2</v>
      </c>
      <c r="R1304">
        <v>232566</v>
      </c>
    </row>
    <row r="1305" spans="1:18" x14ac:dyDescent="0.25">
      <c r="A1305" s="170">
        <v>45491</v>
      </c>
      <c r="B1305" s="116">
        <v>6710</v>
      </c>
      <c r="C1305" s="116">
        <v>6550.25</v>
      </c>
      <c r="D1305" s="116">
        <v>6499.15</v>
      </c>
      <c r="E1305" s="116">
        <v>6624.95</v>
      </c>
      <c r="F1305" s="116">
        <v>6550.25</v>
      </c>
      <c r="G1305">
        <v>38365</v>
      </c>
      <c r="H1305" s="116"/>
      <c r="I1305" s="116"/>
      <c r="L1305" s="170">
        <v>45491</v>
      </c>
      <c r="M1305" s="116">
        <v>6552.25</v>
      </c>
      <c r="N1305" s="116">
        <v>6713.35</v>
      </c>
      <c r="O1305" s="116">
        <v>6494.55</v>
      </c>
      <c r="P1305" s="116">
        <v>6600</v>
      </c>
      <c r="Q1305" s="116">
        <v>6552.25</v>
      </c>
      <c r="R1305">
        <v>1507949</v>
      </c>
    </row>
    <row r="1306" spans="1:18" x14ac:dyDescent="0.25">
      <c r="A1306" s="170">
        <v>45492</v>
      </c>
      <c r="B1306" s="116">
        <v>6520</v>
      </c>
      <c r="C1306" s="116">
        <v>6365.2</v>
      </c>
      <c r="D1306" s="116">
        <v>6260</v>
      </c>
      <c r="E1306" s="116">
        <v>6520</v>
      </c>
      <c r="F1306" s="116">
        <v>6365.2</v>
      </c>
      <c r="G1306">
        <v>61215</v>
      </c>
      <c r="H1306" s="116"/>
      <c r="I1306" s="116"/>
      <c r="L1306" s="170">
        <v>45492</v>
      </c>
      <c r="M1306" s="116">
        <v>6349.85</v>
      </c>
      <c r="N1306" s="116">
        <v>6524.85</v>
      </c>
      <c r="O1306" s="116">
        <v>6257.5</v>
      </c>
      <c r="P1306" s="116">
        <v>6500</v>
      </c>
      <c r="Q1306" s="116">
        <v>6349.85</v>
      </c>
      <c r="R1306">
        <v>1038301</v>
      </c>
    </row>
    <row r="1307" spans="1:18" x14ac:dyDescent="0.25">
      <c r="A1307" s="170">
        <v>45495</v>
      </c>
      <c r="B1307" s="116">
        <v>6420</v>
      </c>
      <c r="C1307" s="116">
        <v>6289.6</v>
      </c>
      <c r="D1307" s="116">
        <v>6233.6</v>
      </c>
      <c r="E1307" s="116">
        <v>6300.05</v>
      </c>
      <c r="F1307" s="116">
        <v>6289.6</v>
      </c>
      <c r="G1307">
        <v>23187</v>
      </c>
      <c r="H1307" s="116"/>
      <c r="I1307" s="116"/>
      <c r="L1307" s="170">
        <v>45495</v>
      </c>
      <c r="M1307" s="116">
        <v>6289</v>
      </c>
      <c r="N1307" s="116">
        <v>6423.45</v>
      </c>
      <c r="O1307" s="116">
        <v>6238.95</v>
      </c>
      <c r="P1307" s="116">
        <v>6330</v>
      </c>
      <c r="Q1307" s="116">
        <v>6289</v>
      </c>
      <c r="R1307">
        <v>689230</v>
      </c>
    </row>
    <row r="1308" spans="1:18" x14ac:dyDescent="0.25">
      <c r="A1308" s="170">
        <v>45496</v>
      </c>
      <c r="B1308" s="116">
        <v>6349.95</v>
      </c>
      <c r="C1308" s="116">
        <v>6203.1</v>
      </c>
      <c r="D1308" s="116">
        <v>5936.4</v>
      </c>
      <c r="E1308" s="116">
        <v>6349.95</v>
      </c>
      <c r="F1308" s="116">
        <v>6203.1</v>
      </c>
      <c r="G1308">
        <v>36175</v>
      </c>
      <c r="H1308" s="116"/>
      <c r="I1308" s="116"/>
      <c r="L1308" s="170">
        <v>45496</v>
      </c>
      <c r="M1308" s="116">
        <v>6206.65</v>
      </c>
      <c r="N1308" s="116">
        <v>6322.15</v>
      </c>
      <c r="O1308" s="116">
        <v>5930.05</v>
      </c>
      <c r="P1308" s="116">
        <v>6301.6</v>
      </c>
      <c r="Q1308" s="116">
        <v>6206.65</v>
      </c>
      <c r="R1308">
        <v>618868</v>
      </c>
    </row>
    <row r="1309" spans="1:18" x14ac:dyDescent="0.25">
      <c r="A1309" s="170">
        <v>45497</v>
      </c>
      <c r="B1309" s="116">
        <v>6377</v>
      </c>
      <c r="C1309" s="116">
        <v>6330.1</v>
      </c>
      <c r="D1309" s="116">
        <v>6185.05</v>
      </c>
      <c r="E1309" s="116">
        <v>6249.95</v>
      </c>
      <c r="F1309" s="116">
        <v>6330.1</v>
      </c>
      <c r="G1309">
        <v>8993</v>
      </c>
      <c r="H1309" s="116"/>
      <c r="I1309" s="116"/>
      <c r="L1309" s="170">
        <v>45497</v>
      </c>
      <c r="M1309" s="116">
        <v>6322.25</v>
      </c>
      <c r="N1309" s="116">
        <v>6375.5</v>
      </c>
      <c r="O1309" s="116">
        <v>6186.7</v>
      </c>
      <c r="P1309" s="116">
        <v>6204.05</v>
      </c>
      <c r="Q1309" s="116">
        <v>6322.25</v>
      </c>
      <c r="R1309">
        <v>628120</v>
      </c>
    </row>
    <row r="1310" spans="1:18" x14ac:dyDescent="0.25">
      <c r="A1310" s="170">
        <v>45498</v>
      </c>
      <c r="B1310" s="116">
        <v>6454.95</v>
      </c>
      <c r="C1310" s="116">
        <v>6421.25</v>
      </c>
      <c r="D1310" s="116">
        <v>6237.05</v>
      </c>
      <c r="E1310" s="116">
        <v>6329.5</v>
      </c>
      <c r="F1310" s="116">
        <v>6421.25</v>
      </c>
      <c r="G1310">
        <v>25386</v>
      </c>
      <c r="H1310" s="116"/>
      <c r="I1310" s="116"/>
      <c r="L1310" s="170">
        <v>45498</v>
      </c>
      <c r="M1310" s="116">
        <v>6427.45</v>
      </c>
      <c r="N1310" s="116">
        <v>6457.6</v>
      </c>
      <c r="O1310" s="116">
        <v>6239.25</v>
      </c>
      <c r="P1310" s="116">
        <v>6310</v>
      </c>
      <c r="Q1310" s="116">
        <v>6427.45</v>
      </c>
      <c r="R1310">
        <v>589561</v>
      </c>
    </row>
    <row r="1311" spans="1:18" x14ac:dyDescent="0.25">
      <c r="A1311" s="170">
        <v>45499</v>
      </c>
      <c r="B1311" s="116">
        <v>6572.2</v>
      </c>
      <c r="C1311" s="116">
        <v>6557.1</v>
      </c>
      <c r="D1311" s="116">
        <v>6417.55</v>
      </c>
      <c r="E1311" s="116">
        <v>6449.95</v>
      </c>
      <c r="F1311" s="116">
        <v>6557.1</v>
      </c>
      <c r="G1311">
        <v>14809</v>
      </c>
      <c r="H1311" s="116"/>
      <c r="I1311" s="116"/>
      <c r="L1311" s="170">
        <v>45499</v>
      </c>
      <c r="M1311" s="116">
        <v>6548.5</v>
      </c>
      <c r="N1311" s="116">
        <v>6564.75</v>
      </c>
      <c r="O1311" s="116">
        <v>6408.55</v>
      </c>
      <c r="P1311" s="116">
        <v>6440</v>
      </c>
      <c r="Q1311" s="116">
        <v>6548.5</v>
      </c>
      <c r="R1311">
        <v>477709</v>
      </c>
    </row>
    <row r="1312" spans="1:18" x14ac:dyDescent="0.25">
      <c r="A1312" s="170">
        <v>45502</v>
      </c>
      <c r="B1312" s="116">
        <v>6640.65</v>
      </c>
      <c r="C1312" s="116">
        <v>6584</v>
      </c>
      <c r="D1312" s="116">
        <v>6536.85</v>
      </c>
      <c r="E1312" s="116">
        <v>6565.05</v>
      </c>
      <c r="F1312" s="116">
        <v>6584</v>
      </c>
      <c r="G1312">
        <v>21311</v>
      </c>
      <c r="H1312" s="116"/>
      <c r="I1312" s="116"/>
      <c r="L1312" s="170">
        <v>45502</v>
      </c>
      <c r="M1312" s="116">
        <v>6583.55</v>
      </c>
      <c r="N1312" s="116">
        <v>6639.75</v>
      </c>
      <c r="O1312" s="116">
        <v>6540</v>
      </c>
      <c r="P1312" s="116">
        <v>6584.95</v>
      </c>
      <c r="Q1312" s="116">
        <v>6583.55</v>
      </c>
      <c r="R1312">
        <v>386209</v>
      </c>
    </row>
    <row r="1313" spans="1:18" x14ac:dyDescent="0.25">
      <c r="A1313" s="170">
        <v>45503</v>
      </c>
      <c r="B1313" s="116">
        <v>6697.5</v>
      </c>
      <c r="C1313" s="116">
        <v>6676.4</v>
      </c>
      <c r="D1313" s="116">
        <v>6549.2</v>
      </c>
      <c r="E1313" s="116">
        <v>6585</v>
      </c>
      <c r="F1313" s="116">
        <v>6676.4</v>
      </c>
      <c r="G1313">
        <v>34028</v>
      </c>
      <c r="H1313" s="116"/>
      <c r="I1313" s="116"/>
      <c r="L1313" s="170">
        <v>45503</v>
      </c>
      <c r="M1313" s="116">
        <v>6681.75</v>
      </c>
      <c r="N1313" s="116">
        <v>6701</v>
      </c>
      <c r="O1313" s="116">
        <v>6554.65</v>
      </c>
      <c r="P1313" s="116">
        <v>6583</v>
      </c>
      <c r="Q1313" s="116">
        <v>6681.75</v>
      </c>
      <c r="R1313">
        <v>531991</v>
      </c>
    </row>
    <row r="1314" spans="1:18" x14ac:dyDescent="0.25">
      <c r="A1314" s="170">
        <v>45504</v>
      </c>
      <c r="B1314" s="116">
        <v>6882</v>
      </c>
      <c r="C1314" s="116">
        <v>6860.15</v>
      </c>
      <c r="D1314" s="116">
        <v>6676.4</v>
      </c>
      <c r="E1314" s="116">
        <v>6676.4</v>
      </c>
      <c r="F1314" s="116">
        <v>6860.15</v>
      </c>
      <c r="G1314">
        <v>12528</v>
      </c>
      <c r="H1314" s="116"/>
      <c r="I1314" s="116"/>
      <c r="L1314" s="170">
        <v>45504</v>
      </c>
      <c r="M1314" s="116">
        <v>6858.2</v>
      </c>
      <c r="N1314" s="116">
        <v>6882</v>
      </c>
      <c r="O1314" s="116">
        <v>6681.75</v>
      </c>
      <c r="P1314" s="116">
        <v>6681.75</v>
      </c>
      <c r="Q1314" s="116">
        <v>6858.2</v>
      </c>
      <c r="R1314">
        <v>806650</v>
      </c>
    </row>
    <row r="1315" spans="1:18" x14ac:dyDescent="0.25">
      <c r="A1315" s="170">
        <v>45505</v>
      </c>
      <c r="B1315" s="116">
        <v>6909.2</v>
      </c>
      <c r="C1315" s="116">
        <v>6771.7</v>
      </c>
      <c r="D1315" s="116">
        <v>6760</v>
      </c>
      <c r="E1315" s="116">
        <v>6890</v>
      </c>
      <c r="F1315" s="116">
        <v>6771.7</v>
      </c>
      <c r="G1315">
        <v>25833</v>
      </c>
      <c r="H1315" s="116"/>
      <c r="I1315" s="116"/>
      <c r="L1315" s="170">
        <v>45505</v>
      </c>
      <c r="M1315" s="116">
        <v>6775.05</v>
      </c>
      <c r="N1315" s="116">
        <v>6906</v>
      </c>
      <c r="O1315" s="116">
        <v>6760</v>
      </c>
      <c r="P1315" s="116">
        <v>6900</v>
      </c>
      <c r="Q1315" s="116">
        <v>6775.05</v>
      </c>
      <c r="R1315">
        <v>248158</v>
      </c>
    </row>
    <row r="1316" spans="1:18" x14ac:dyDescent="0.25">
      <c r="A1316" s="170">
        <v>45506</v>
      </c>
      <c r="B1316" s="116">
        <v>6836.7</v>
      </c>
      <c r="C1316" s="116">
        <v>6753</v>
      </c>
      <c r="D1316" s="116">
        <v>6668.9</v>
      </c>
      <c r="E1316" s="116">
        <v>6699.9</v>
      </c>
      <c r="F1316" s="116">
        <v>6753</v>
      </c>
      <c r="G1316">
        <v>4970</v>
      </c>
      <c r="H1316" s="116"/>
      <c r="I1316" s="116"/>
      <c r="L1316" s="170">
        <v>45506</v>
      </c>
      <c r="M1316" s="116">
        <v>6751.5</v>
      </c>
      <c r="N1316" s="116">
        <v>6839.95</v>
      </c>
      <c r="O1316" s="116">
        <v>6674.8</v>
      </c>
      <c r="P1316" s="116">
        <v>6678.55</v>
      </c>
      <c r="Q1316" s="116">
        <v>6751.5</v>
      </c>
      <c r="R1316">
        <v>285579</v>
      </c>
    </row>
    <row r="1317" spans="1:18" x14ac:dyDescent="0.25">
      <c r="A1317" s="170">
        <v>45509</v>
      </c>
      <c r="B1317" s="116">
        <v>6617.95</v>
      </c>
      <c r="C1317" s="116">
        <v>6453.5</v>
      </c>
      <c r="D1317" s="116">
        <v>6303.35</v>
      </c>
      <c r="E1317" s="116">
        <v>6303.35</v>
      </c>
      <c r="F1317" s="116">
        <v>6453.5</v>
      </c>
      <c r="G1317">
        <v>38339</v>
      </c>
      <c r="H1317" s="116"/>
      <c r="I1317" s="116"/>
      <c r="L1317" s="170">
        <v>45509</v>
      </c>
      <c r="M1317" s="116">
        <v>6457.8</v>
      </c>
      <c r="N1317" s="116">
        <v>6617.95</v>
      </c>
      <c r="O1317" s="116">
        <v>6432</v>
      </c>
      <c r="P1317" s="116">
        <v>6525</v>
      </c>
      <c r="Q1317" s="116">
        <v>6457.8</v>
      </c>
      <c r="R1317">
        <v>361050</v>
      </c>
    </row>
    <row r="1318" spans="1:18" x14ac:dyDescent="0.25">
      <c r="A1318" s="170">
        <v>45510</v>
      </c>
      <c r="B1318" s="116">
        <v>6609.85</v>
      </c>
      <c r="C1318" s="116">
        <v>6405.5</v>
      </c>
      <c r="D1318" s="116">
        <v>6383.8</v>
      </c>
      <c r="E1318" s="116">
        <v>6482.7</v>
      </c>
      <c r="F1318" s="116">
        <v>6405.5</v>
      </c>
      <c r="G1318">
        <v>5890</v>
      </c>
      <c r="H1318" s="116"/>
      <c r="I1318" s="116"/>
      <c r="L1318" s="170">
        <v>45510</v>
      </c>
      <c r="M1318" s="116">
        <v>6413.15</v>
      </c>
      <c r="N1318" s="116">
        <v>6611.15</v>
      </c>
      <c r="O1318" s="116">
        <v>6386.45</v>
      </c>
      <c r="P1318" s="116">
        <v>6521.3</v>
      </c>
      <c r="Q1318" s="116">
        <v>6413.15</v>
      </c>
      <c r="R1318">
        <v>366504</v>
      </c>
    </row>
    <row r="1319" spans="1:18" x14ac:dyDescent="0.25">
      <c r="A1319" s="170">
        <v>45511</v>
      </c>
      <c r="B1319" s="116">
        <v>6720</v>
      </c>
      <c r="C1319" s="116">
        <v>6707.7</v>
      </c>
      <c r="D1319" s="116">
        <v>6481.05</v>
      </c>
      <c r="E1319" s="116">
        <v>6481.05</v>
      </c>
      <c r="F1319" s="116">
        <v>6707.7</v>
      </c>
      <c r="G1319">
        <v>11165</v>
      </c>
      <c r="H1319" s="116"/>
      <c r="I1319" s="116"/>
      <c r="L1319" s="170">
        <v>45511</v>
      </c>
      <c r="M1319" s="116">
        <v>6707.4</v>
      </c>
      <c r="N1319" s="116">
        <v>6750</v>
      </c>
      <c r="O1319" s="116">
        <v>6480.6</v>
      </c>
      <c r="P1319" s="116">
        <v>6489.7</v>
      </c>
      <c r="Q1319" s="116">
        <v>6707.4</v>
      </c>
      <c r="R1319">
        <v>348385</v>
      </c>
    </row>
    <row r="1320" spans="1:18" x14ac:dyDescent="0.25">
      <c r="A1320" s="170">
        <v>45512</v>
      </c>
      <c r="B1320" s="116">
        <v>6707</v>
      </c>
      <c r="C1320" s="116">
        <v>6634.95</v>
      </c>
      <c r="D1320" s="116">
        <v>6616.75</v>
      </c>
      <c r="E1320" s="116">
        <v>6706.85</v>
      </c>
      <c r="F1320" s="116">
        <v>6634.95</v>
      </c>
      <c r="G1320">
        <v>16485</v>
      </c>
      <c r="H1320" s="116"/>
      <c r="I1320" s="116"/>
      <c r="L1320" s="170">
        <v>45512</v>
      </c>
      <c r="M1320" s="116">
        <v>6632.4</v>
      </c>
      <c r="N1320" s="116">
        <v>6708</v>
      </c>
      <c r="O1320" s="116">
        <v>6615.1</v>
      </c>
      <c r="P1320" s="116">
        <v>6700</v>
      </c>
      <c r="Q1320" s="116">
        <v>6632.4</v>
      </c>
      <c r="R1320">
        <v>211234</v>
      </c>
    </row>
    <row r="1321" spans="1:18" x14ac:dyDescent="0.25">
      <c r="A1321" s="170">
        <v>45513</v>
      </c>
      <c r="B1321" s="116">
        <v>6744.5</v>
      </c>
      <c r="C1321" s="116">
        <v>6649.2</v>
      </c>
      <c r="D1321" s="116">
        <v>6608.65</v>
      </c>
      <c r="E1321" s="116">
        <v>6744.5</v>
      </c>
      <c r="F1321" s="116">
        <v>6649.2</v>
      </c>
      <c r="G1321">
        <v>9177</v>
      </c>
      <c r="H1321" s="116"/>
      <c r="I1321" s="116"/>
      <c r="L1321" s="170">
        <v>45513</v>
      </c>
      <c r="M1321" s="116">
        <v>6650.7</v>
      </c>
      <c r="N1321" s="116">
        <v>6729.95</v>
      </c>
      <c r="O1321" s="116">
        <v>6608</v>
      </c>
      <c r="P1321" s="116">
        <v>6708.05</v>
      </c>
      <c r="Q1321" s="116">
        <v>6650.7</v>
      </c>
      <c r="R1321">
        <v>118749</v>
      </c>
    </row>
    <row r="1322" spans="1:18" x14ac:dyDescent="0.25">
      <c r="A1322" s="170">
        <v>45516</v>
      </c>
      <c r="B1322" s="116">
        <v>6654.45</v>
      </c>
      <c r="C1322" s="116">
        <v>6587</v>
      </c>
      <c r="D1322" s="116">
        <v>6550.25</v>
      </c>
      <c r="E1322" s="116">
        <v>6575.15</v>
      </c>
      <c r="F1322" s="116">
        <v>6587</v>
      </c>
      <c r="G1322">
        <v>10009</v>
      </c>
      <c r="H1322" s="116"/>
      <c r="I1322" s="116"/>
      <c r="L1322" s="170">
        <v>45516</v>
      </c>
      <c r="M1322" s="116">
        <v>6585.15</v>
      </c>
      <c r="N1322" s="116">
        <v>6656.05</v>
      </c>
      <c r="O1322" s="116">
        <v>6548.35</v>
      </c>
      <c r="P1322" s="116">
        <v>6632</v>
      </c>
      <c r="Q1322" s="116">
        <v>6585.15</v>
      </c>
      <c r="R1322">
        <v>400058</v>
      </c>
    </row>
    <row r="1323" spans="1:18" x14ac:dyDescent="0.25">
      <c r="A1323" s="170">
        <v>45517</v>
      </c>
      <c r="B1323" s="116">
        <v>6606.75</v>
      </c>
      <c r="C1323" s="116">
        <v>6414.65</v>
      </c>
      <c r="D1323" s="116">
        <v>6382.15</v>
      </c>
      <c r="E1323" s="116">
        <v>6590</v>
      </c>
      <c r="F1323" s="116">
        <v>6414.65</v>
      </c>
      <c r="G1323">
        <v>13814</v>
      </c>
      <c r="H1323" s="116"/>
      <c r="I1323" s="116"/>
      <c r="L1323" s="170">
        <v>45517</v>
      </c>
      <c r="M1323" s="116">
        <v>6413.8</v>
      </c>
      <c r="N1323" s="116">
        <v>6607.85</v>
      </c>
      <c r="O1323" s="116">
        <v>6381.5</v>
      </c>
      <c r="P1323" s="116">
        <v>6585.55</v>
      </c>
      <c r="Q1323" s="116">
        <v>6413.8</v>
      </c>
      <c r="R1323">
        <v>198328</v>
      </c>
    </row>
    <row r="1324" spans="1:18" x14ac:dyDescent="0.25">
      <c r="A1324" s="170">
        <v>45518</v>
      </c>
      <c r="B1324" s="116">
        <v>6479.75</v>
      </c>
      <c r="C1324" s="116">
        <v>6411.2</v>
      </c>
      <c r="D1324" s="116">
        <v>6307.35</v>
      </c>
      <c r="E1324" s="116">
        <v>6479.75</v>
      </c>
      <c r="F1324" s="116">
        <v>6411.2</v>
      </c>
      <c r="G1324">
        <v>9588</v>
      </c>
      <c r="H1324" s="116"/>
      <c r="I1324" s="116"/>
      <c r="L1324" s="170">
        <v>45518</v>
      </c>
      <c r="M1324" s="116">
        <v>6413.35</v>
      </c>
      <c r="N1324" s="116">
        <v>6439.95</v>
      </c>
      <c r="O1324" s="116">
        <v>6308.75</v>
      </c>
      <c r="P1324" s="116">
        <v>6433.85</v>
      </c>
      <c r="Q1324" s="116">
        <v>6413.35</v>
      </c>
      <c r="R1324">
        <v>258704</v>
      </c>
    </row>
    <row r="1325" spans="1:18" x14ac:dyDescent="0.25">
      <c r="A1325" s="170">
        <v>45520</v>
      </c>
      <c r="B1325" s="116">
        <v>6708</v>
      </c>
      <c r="C1325" s="116">
        <v>6671.05</v>
      </c>
      <c r="D1325" s="116">
        <v>6418.85</v>
      </c>
      <c r="E1325" s="116">
        <v>6478.45</v>
      </c>
      <c r="F1325" s="116">
        <v>6671.05</v>
      </c>
      <c r="G1325">
        <v>12100</v>
      </c>
      <c r="H1325" s="116"/>
      <c r="I1325" s="116"/>
      <c r="L1325" s="170">
        <v>45520</v>
      </c>
      <c r="M1325" s="116">
        <v>6674.35</v>
      </c>
      <c r="N1325" s="116">
        <v>6709</v>
      </c>
      <c r="O1325" s="116">
        <v>6415.05</v>
      </c>
      <c r="P1325" s="116">
        <v>6460</v>
      </c>
      <c r="Q1325" s="116">
        <v>6674.35</v>
      </c>
      <c r="R1325">
        <v>479575</v>
      </c>
    </row>
    <row r="1326" spans="1:18" x14ac:dyDescent="0.25">
      <c r="A1326" s="170">
        <v>45523</v>
      </c>
      <c r="B1326" s="116">
        <v>6700.65</v>
      </c>
      <c r="C1326" s="116">
        <v>6639.3</v>
      </c>
      <c r="D1326" s="116">
        <v>6500</v>
      </c>
      <c r="E1326" s="116">
        <v>6700.65</v>
      </c>
      <c r="F1326" s="116">
        <v>6639.3</v>
      </c>
      <c r="G1326">
        <v>7575</v>
      </c>
      <c r="H1326" s="116"/>
      <c r="I1326" s="116"/>
      <c r="L1326" s="170">
        <v>45523</v>
      </c>
      <c r="M1326" s="116">
        <v>6616.9</v>
      </c>
      <c r="N1326" s="116">
        <v>6700</v>
      </c>
      <c r="O1326" s="116">
        <v>6495.05</v>
      </c>
      <c r="P1326" s="116">
        <v>6700</v>
      </c>
      <c r="Q1326" s="116">
        <v>6616.9</v>
      </c>
      <c r="R1326">
        <v>567049</v>
      </c>
    </row>
    <row r="1327" spans="1:18" x14ac:dyDescent="0.25">
      <c r="A1327" s="170">
        <v>45524</v>
      </c>
      <c r="B1327" s="116">
        <v>6881.4</v>
      </c>
      <c r="C1327" s="116">
        <v>6783.15</v>
      </c>
      <c r="D1327" s="116">
        <v>6672.65</v>
      </c>
      <c r="E1327" s="116">
        <v>6783.95</v>
      </c>
      <c r="F1327" s="116">
        <v>6783.15</v>
      </c>
      <c r="G1327">
        <v>57508</v>
      </c>
      <c r="H1327" s="116"/>
      <c r="I1327" s="116"/>
      <c r="L1327" s="170">
        <v>45524</v>
      </c>
      <c r="M1327" s="116">
        <v>6786</v>
      </c>
      <c r="N1327" s="116">
        <v>6884</v>
      </c>
      <c r="O1327" s="116">
        <v>6673.25</v>
      </c>
      <c r="P1327" s="116">
        <v>6770</v>
      </c>
      <c r="Q1327" s="116">
        <v>6786</v>
      </c>
      <c r="R1327">
        <v>1067336</v>
      </c>
    </row>
    <row r="1328" spans="1:18" x14ac:dyDescent="0.25">
      <c r="A1328" s="170">
        <v>45525</v>
      </c>
      <c r="B1328" s="116">
        <v>6842</v>
      </c>
      <c r="C1328" s="116">
        <v>6784</v>
      </c>
      <c r="D1328" s="116">
        <v>6740</v>
      </c>
      <c r="E1328" s="116">
        <v>6790</v>
      </c>
      <c r="F1328" s="116">
        <v>6784</v>
      </c>
      <c r="G1328">
        <v>8697</v>
      </c>
      <c r="H1328" s="116"/>
      <c r="I1328" s="116"/>
      <c r="L1328" s="170">
        <v>45525</v>
      </c>
      <c r="M1328" s="116">
        <v>6787.7</v>
      </c>
      <c r="N1328" s="116">
        <v>6844</v>
      </c>
      <c r="O1328" s="116">
        <v>6736.05</v>
      </c>
      <c r="P1328" s="116">
        <v>6800</v>
      </c>
      <c r="Q1328" s="116">
        <v>6787.7</v>
      </c>
      <c r="R1328">
        <v>357548</v>
      </c>
    </row>
    <row r="1329" spans="1:18" x14ac:dyDescent="0.25">
      <c r="A1329" s="170">
        <v>45526</v>
      </c>
      <c r="B1329" s="116">
        <v>6869.55</v>
      </c>
      <c r="C1329" s="116">
        <v>6828.65</v>
      </c>
      <c r="D1329" s="116">
        <v>6770</v>
      </c>
      <c r="E1329" s="116">
        <v>6805</v>
      </c>
      <c r="F1329" s="116">
        <v>6828.65</v>
      </c>
      <c r="G1329">
        <v>4675</v>
      </c>
      <c r="H1329" s="116"/>
      <c r="I1329" s="116"/>
      <c r="L1329" s="170">
        <v>45526</v>
      </c>
      <c r="M1329" s="116">
        <v>6832</v>
      </c>
      <c r="N1329" s="116">
        <v>6870</v>
      </c>
      <c r="O1329" s="116">
        <v>6768.8</v>
      </c>
      <c r="P1329" s="116">
        <v>6824</v>
      </c>
      <c r="Q1329" s="116">
        <v>6832</v>
      </c>
      <c r="R1329">
        <v>352837</v>
      </c>
    </row>
    <row r="1330" spans="1:18" x14ac:dyDescent="0.25">
      <c r="A1330" s="170">
        <v>45527</v>
      </c>
      <c r="B1330" s="116">
        <v>6850.7</v>
      </c>
      <c r="C1330" s="116">
        <v>6744.65</v>
      </c>
      <c r="D1330" s="116">
        <v>6729.7</v>
      </c>
      <c r="E1330" s="116">
        <v>6818.8</v>
      </c>
      <c r="F1330" s="116">
        <v>6744.65</v>
      </c>
      <c r="G1330">
        <v>3374</v>
      </c>
      <c r="H1330" s="116"/>
      <c r="I1330" s="116"/>
      <c r="L1330" s="170">
        <v>45527</v>
      </c>
      <c r="M1330" s="116">
        <v>6754.15</v>
      </c>
      <c r="N1330" s="116">
        <v>6850.85</v>
      </c>
      <c r="O1330" s="116">
        <v>6736</v>
      </c>
      <c r="P1330" s="116">
        <v>6790</v>
      </c>
      <c r="Q1330" s="116">
        <v>6754.15</v>
      </c>
      <c r="R1330">
        <v>191477</v>
      </c>
    </row>
    <row r="1331" spans="1:18" x14ac:dyDescent="0.25">
      <c r="A1331" s="170">
        <v>45530</v>
      </c>
      <c r="B1331" s="116">
        <v>6795.4</v>
      </c>
      <c r="C1331" s="116">
        <v>6765.3</v>
      </c>
      <c r="D1331" s="116">
        <v>6723</v>
      </c>
      <c r="E1331" s="116">
        <v>6794.6</v>
      </c>
      <c r="F1331" s="116">
        <v>6765.3</v>
      </c>
      <c r="G1331">
        <v>4354</v>
      </c>
      <c r="H1331" s="116"/>
      <c r="I1331" s="116"/>
      <c r="L1331" s="170">
        <v>45530</v>
      </c>
      <c r="M1331" s="116">
        <v>6766.5</v>
      </c>
      <c r="N1331" s="116">
        <v>6804.9</v>
      </c>
      <c r="O1331" s="116">
        <v>6722.3</v>
      </c>
      <c r="P1331" s="116">
        <v>6804.9</v>
      </c>
      <c r="Q1331" s="116">
        <v>6766.5</v>
      </c>
      <c r="R1331">
        <v>230388</v>
      </c>
    </row>
    <row r="1332" spans="1:18" x14ac:dyDescent="0.25">
      <c r="A1332" s="170">
        <v>45531</v>
      </c>
      <c r="B1332" s="116">
        <v>6812.15</v>
      </c>
      <c r="C1332" s="116">
        <v>6769.7</v>
      </c>
      <c r="D1332" s="116">
        <v>6732</v>
      </c>
      <c r="E1332" s="116">
        <v>6770.85</v>
      </c>
      <c r="F1332" s="116">
        <v>6769.7</v>
      </c>
      <c r="G1332">
        <v>2589</v>
      </c>
      <c r="H1332" s="116"/>
      <c r="I1332" s="116"/>
      <c r="L1332" s="170">
        <v>45531</v>
      </c>
      <c r="M1332" s="116">
        <v>6769.55</v>
      </c>
      <c r="N1332" s="116">
        <v>6812.85</v>
      </c>
      <c r="O1332" s="116">
        <v>6730</v>
      </c>
      <c r="P1332" s="116">
        <v>6788.95</v>
      </c>
      <c r="Q1332" s="116">
        <v>6769.55</v>
      </c>
      <c r="R1332">
        <v>200927</v>
      </c>
    </row>
    <row r="1333" spans="1:18" x14ac:dyDescent="0.25">
      <c r="A1333" s="170">
        <v>45532</v>
      </c>
      <c r="B1333" s="116">
        <v>6825.6</v>
      </c>
      <c r="C1333" s="116">
        <v>6785.45</v>
      </c>
      <c r="D1333" s="116">
        <v>6750</v>
      </c>
      <c r="E1333" s="116">
        <v>6770.55</v>
      </c>
      <c r="F1333" s="116">
        <v>6785.45</v>
      </c>
      <c r="G1333">
        <v>9845</v>
      </c>
      <c r="H1333" s="116"/>
      <c r="I1333" s="116"/>
      <c r="L1333" s="170">
        <v>45532</v>
      </c>
      <c r="M1333" s="116">
        <v>6788.25</v>
      </c>
      <c r="N1333" s="116">
        <v>6825</v>
      </c>
      <c r="O1333" s="116">
        <v>6751</v>
      </c>
      <c r="P1333" s="116">
        <v>6806</v>
      </c>
      <c r="Q1333" s="116">
        <v>6788.25</v>
      </c>
      <c r="R1333">
        <v>206801</v>
      </c>
    </row>
    <row r="1334" spans="1:18" x14ac:dyDescent="0.25">
      <c r="A1334" s="170">
        <v>45533</v>
      </c>
      <c r="B1334" s="116">
        <v>6850.95</v>
      </c>
      <c r="C1334" s="116">
        <v>6749</v>
      </c>
      <c r="D1334" s="116">
        <v>6711</v>
      </c>
      <c r="E1334" s="116">
        <v>6848.9</v>
      </c>
      <c r="F1334" s="116">
        <v>6749</v>
      </c>
      <c r="G1334">
        <v>5797</v>
      </c>
      <c r="H1334" s="116"/>
      <c r="I1334" s="116"/>
      <c r="L1334" s="170">
        <v>45533</v>
      </c>
      <c r="M1334" s="116">
        <v>6743.5</v>
      </c>
      <c r="N1334" s="116">
        <v>6855</v>
      </c>
      <c r="O1334" s="116">
        <v>6706.2</v>
      </c>
      <c r="P1334" s="116">
        <v>6820</v>
      </c>
      <c r="Q1334" s="116">
        <v>6743.5</v>
      </c>
      <c r="R1334">
        <v>352648</v>
      </c>
    </row>
    <row r="1335" spans="1:18" x14ac:dyDescent="0.25">
      <c r="A1335" s="170">
        <v>45534</v>
      </c>
      <c r="B1335" s="116">
        <v>6859.95</v>
      </c>
      <c r="C1335" s="116">
        <v>6814.4</v>
      </c>
      <c r="D1335" s="116">
        <v>6746.6</v>
      </c>
      <c r="E1335" s="116">
        <v>6780</v>
      </c>
      <c r="F1335" s="116">
        <v>6814.4</v>
      </c>
      <c r="G1335">
        <v>17481</v>
      </c>
      <c r="H1335" s="116"/>
      <c r="I1335" s="116"/>
      <c r="L1335" s="170">
        <v>45534</v>
      </c>
      <c r="M1335" s="116">
        <v>6813.4</v>
      </c>
      <c r="N1335" s="116">
        <v>6862.3</v>
      </c>
      <c r="O1335" s="116">
        <v>6750.05</v>
      </c>
      <c r="P1335" s="116">
        <v>6770</v>
      </c>
      <c r="Q1335" s="116">
        <v>6813.4</v>
      </c>
      <c r="R1335">
        <v>414118</v>
      </c>
    </row>
    <row r="1336" spans="1:18" x14ac:dyDescent="0.25">
      <c r="A1336" s="170">
        <v>45537</v>
      </c>
      <c r="B1336" s="116">
        <v>6840</v>
      </c>
      <c r="C1336" s="116">
        <v>6717.95</v>
      </c>
      <c r="D1336" s="116">
        <v>6700</v>
      </c>
      <c r="E1336" s="116">
        <v>6814.7</v>
      </c>
      <c r="F1336" s="116">
        <v>6717.95</v>
      </c>
      <c r="G1336">
        <v>17167</v>
      </c>
      <c r="H1336" s="116"/>
      <c r="I1336" s="116"/>
      <c r="L1336" s="170">
        <v>45537</v>
      </c>
      <c r="M1336" s="116">
        <v>6718</v>
      </c>
      <c r="N1336" s="116">
        <v>6840.8</v>
      </c>
      <c r="O1336" s="116">
        <v>6698.45</v>
      </c>
      <c r="P1336" s="116">
        <v>6839.95</v>
      </c>
      <c r="Q1336" s="116">
        <v>6718</v>
      </c>
      <c r="R1336">
        <v>159217</v>
      </c>
    </row>
    <row r="1337" spans="1:18" x14ac:dyDescent="0.25">
      <c r="A1337" s="170">
        <v>45538</v>
      </c>
      <c r="B1337" s="116">
        <v>6786.15</v>
      </c>
      <c r="C1337" s="116">
        <v>6766.3</v>
      </c>
      <c r="D1337" s="116">
        <v>6700</v>
      </c>
      <c r="E1337" s="116">
        <v>6748.55</v>
      </c>
      <c r="F1337" s="116">
        <v>6766.3</v>
      </c>
      <c r="G1337">
        <v>3550</v>
      </c>
      <c r="H1337" s="116"/>
      <c r="I1337" s="116"/>
      <c r="L1337" s="170">
        <v>45538</v>
      </c>
      <c r="M1337" s="116">
        <v>6767.15</v>
      </c>
      <c r="N1337" s="116">
        <v>6790</v>
      </c>
      <c r="O1337" s="116">
        <v>6698.8</v>
      </c>
      <c r="P1337" s="116">
        <v>6718</v>
      </c>
      <c r="Q1337" s="116">
        <v>6767.15</v>
      </c>
      <c r="R1337">
        <v>176221</v>
      </c>
    </row>
    <row r="1338" spans="1:18" x14ac:dyDescent="0.25">
      <c r="A1338" s="170">
        <v>45539</v>
      </c>
      <c r="B1338" s="116">
        <v>6739.95</v>
      </c>
      <c r="C1338" s="116">
        <v>6716.7</v>
      </c>
      <c r="D1338" s="116">
        <v>6670.85</v>
      </c>
      <c r="E1338" s="116">
        <v>6670.85</v>
      </c>
      <c r="F1338" s="116">
        <v>6716.7</v>
      </c>
      <c r="G1338">
        <v>5617</v>
      </c>
      <c r="H1338" s="116"/>
      <c r="I1338" s="116"/>
      <c r="L1338" s="170">
        <v>45539</v>
      </c>
      <c r="M1338" s="116">
        <v>6717.05</v>
      </c>
      <c r="N1338" s="116">
        <v>6752.95</v>
      </c>
      <c r="O1338" s="116">
        <v>6676.75</v>
      </c>
      <c r="P1338" s="116">
        <v>6710</v>
      </c>
      <c r="Q1338" s="116">
        <v>6717.05</v>
      </c>
      <c r="R1338">
        <v>183073</v>
      </c>
    </row>
    <row r="1339" spans="1:18" x14ac:dyDescent="0.25">
      <c r="A1339" s="170">
        <v>45540</v>
      </c>
      <c r="B1339" s="116">
        <v>6721.15</v>
      </c>
      <c r="C1339" s="116">
        <v>6645.35</v>
      </c>
      <c r="D1339" s="116">
        <v>6476.95</v>
      </c>
      <c r="E1339" s="116">
        <v>6704.4</v>
      </c>
      <c r="F1339" s="116">
        <v>6645.35</v>
      </c>
      <c r="G1339">
        <v>14272</v>
      </c>
      <c r="H1339" s="116"/>
      <c r="I1339" s="116"/>
      <c r="L1339" s="170">
        <v>45540</v>
      </c>
      <c r="M1339" s="116">
        <v>6648.8</v>
      </c>
      <c r="N1339" s="116">
        <v>6739.65</v>
      </c>
      <c r="O1339" s="116">
        <v>6476.3</v>
      </c>
      <c r="P1339" s="116">
        <v>6723.75</v>
      </c>
      <c r="Q1339" s="116">
        <v>6648.8</v>
      </c>
      <c r="R1339">
        <v>700511</v>
      </c>
    </row>
    <row r="1340" spans="1:18" x14ac:dyDescent="0.25">
      <c r="A1340" s="170">
        <v>45541</v>
      </c>
      <c r="B1340" s="116">
        <v>6699.95</v>
      </c>
      <c r="C1340" s="116">
        <v>6620.15</v>
      </c>
      <c r="D1340" s="116">
        <v>6583.85</v>
      </c>
      <c r="E1340" s="116">
        <v>6699.95</v>
      </c>
      <c r="F1340" s="116">
        <v>6620.15</v>
      </c>
      <c r="G1340">
        <v>2505</v>
      </c>
      <c r="H1340" s="116"/>
      <c r="I1340" s="116"/>
      <c r="L1340" s="170">
        <v>45541</v>
      </c>
      <c r="M1340" s="116">
        <v>6620.7</v>
      </c>
      <c r="N1340" s="116">
        <v>6692.95</v>
      </c>
      <c r="O1340" s="116">
        <v>6585</v>
      </c>
      <c r="P1340" s="116">
        <v>6649</v>
      </c>
      <c r="Q1340" s="116">
        <v>6620.7</v>
      </c>
      <c r="R1340">
        <v>222473</v>
      </c>
    </row>
    <row r="1341" spans="1:18" x14ac:dyDescent="0.25">
      <c r="A1341" s="170">
        <v>45544</v>
      </c>
      <c r="B1341" s="116">
        <v>6702.1</v>
      </c>
      <c r="C1341" s="116">
        <v>6658.85</v>
      </c>
      <c r="D1341" s="116">
        <v>6574.6</v>
      </c>
      <c r="E1341" s="116">
        <v>6584.3</v>
      </c>
      <c r="F1341" s="116">
        <v>6658.85</v>
      </c>
      <c r="G1341">
        <v>9027</v>
      </c>
      <c r="H1341" s="116"/>
      <c r="I1341" s="116"/>
      <c r="L1341" s="170">
        <v>45544</v>
      </c>
      <c r="M1341" s="116">
        <v>6664</v>
      </c>
      <c r="N1341" s="116">
        <v>6701.65</v>
      </c>
      <c r="O1341" s="116">
        <v>6575</v>
      </c>
      <c r="P1341" s="116">
        <v>6580</v>
      </c>
      <c r="Q1341" s="116">
        <v>6664</v>
      </c>
      <c r="R1341">
        <v>527457</v>
      </c>
    </row>
    <row r="1342" spans="1:18" x14ac:dyDescent="0.25">
      <c r="A1342" s="170">
        <v>45545</v>
      </c>
      <c r="B1342" s="116">
        <v>6739.7</v>
      </c>
      <c r="C1342" s="116">
        <v>6682.35</v>
      </c>
      <c r="D1342" s="116">
        <v>6655.05</v>
      </c>
      <c r="E1342" s="116">
        <v>6685</v>
      </c>
      <c r="F1342" s="116">
        <v>6682.35</v>
      </c>
      <c r="G1342">
        <v>3478</v>
      </c>
      <c r="H1342" s="116"/>
      <c r="I1342" s="116"/>
      <c r="L1342" s="170">
        <v>45545</v>
      </c>
      <c r="M1342" s="116">
        <v>6687.4</v>
      </c>
      <c r="N1342" s="116">
        <v>6735.1</v>
      </c>
      <c r="O1342" s="116">
        <v>6650</v>
      </c>
      <c r="P1342" s="116">
        <v>6679.2</v>
      </c>
      <c r="Q1342" s="116">
        <v>6687.4</v>
      </c>
      <c r="R1342">
        <v>147853</v>
      </c>
    </row>
    <row r="1343" spans="1:18" x14ac:dyDescent="0.25">
      <c r="A1343" s="170">
        <v>45546</v>
      </c>
      <c r="B1343" s="116">
        <v>6841</v>
      </c>
      <c r="C1343" s="116">
        <v>6811.85</v>
      </c>
      <c r="D1343" s="116">
        <v>6674.5</v>
      </c>
      <c r="E1343" s="116">
        <v>6729.85</v>
      </c>
      <c r="F1343" s="116">
        <v>6811.85</v>
      </c>
      <c r="G1343">
        <v>8628</v>
      </c>
      <c r="H1343" s="116"/>
      <c r="I1343" s="116"/>
      <c r="L1343" s="170">
        <v>45546</v>
      </c>
      <c r="M1343" s="116">
        <v>6811</v>
      </c>
      <c r="N1343" s="116">
        <v>6844.45</v>
      </c>
      <c r="O1343" s="116">
        <v>6672</v>
      </c>
      <c r="P1343" s="116">
        <v>6715</v>
      </c>
      <c r="Q1343" s="116">
        <v>6811</v>
      </c>
      <c r="R1343">
        <v>581267</v>
      </c>
    </row>
    <row r="1344" spans="1:18" x14ac:dyDescent="0.25">
      <c r="A1344" s="170">
        <v>45547</v>
      </c>
      <c r="B1344" s="116">
        <v>6889.95</v>
      </c>
      <c r="C1344" s="116">
        <v>6843.85</v>
      </c>
      <c r="D1344" s="116">
        <v>6807.95</v>
      </c>
      <c r="E1344" s="116">
        <v>6821</v>
      </c>
      <c r="F1344" s="116">
        <v>6843.85</v>
      </c>
      <c r="G1344">
        <v>9990</v>
      </c>
      <c r="H1344" s="116"/>
      <c r="I1344" s="116"/>
      <c r="L1344" s="170">
        <v>45547</v>
      </c>
      <c r="M1344" s="116">
        <v>6848.2</v>
      </c>
      <c r="N1344" s="116">
        <v>6890</v>
      </c>
      <c r="O1344" s="116">
        <v>6805</v>
      </c>
      <c r="P1344" s="116">
        <v>6849.95</v>
      </c>
      <c r="Q1344" s="116">
        <v>6848.2</v>
      </c>
      <c r="R1344">
        <v>263580</v>
      </c>
    </row>
    <row r="1345" spans="1:18" x14ac:dyDescent="0.25">
      <c r="A1345" s="170">
        <v>45548</v>
      </c>
      <c r="B1345" s="116">
        <v>6921</v>
      </c>
      <c r="C1345" s="116">
        <v>6752.95</v>
      </c>
      <c r="D1345" s="116">
        <v>6744.8</v>
      </c>
      <c r="E1345" s="116">
        <v>6850.2</v>
      </c>
      <c r="F1345" s="116">
        <v>6752.95</v>
      </c>
      <c r="G1345">
        <v>11535</v>
      </c>
      <c r="H1345" s="116"/>
      <c r="I1345" s="116"/>
      <c r="L1345" s="170">
        <v>45548</v>
      </c>
      <c r="M1345" s="116">
        <v>6752.85</v>
      </c>
      <c r="N1345" s="116">
        <v>6924.5</v>
      </c>
      <c r="O1345" s="116">
        <v>6745</v>
      </c>
      <c r="P1345" s="116">
        <v>6860</v>
      </c>
      <c r="Q1345" s="116">
        <v>6752.85</v>
      </c>
      <c r="R1345">
        <v>395742</v>
      </c>
    </row>
    <row r="1346" spans="1:18" x14ac:dyDescent="0.25">
      <c r="A1346" s="170">
        <v>45551</v>
      </c>
      <c r="B1346" s="116">
        <v>6825</v>
      </c>
      <c r="C1346" s="116">
        <v>6721.85</v>
      </c>
      <c r="D1346" s="116">
        <v>6710</v>
      </c>
      <c r="E1346" s="116">
        <v>6790.85</v>
      </c>
      <c r="F1346" s="116">
        <v>6721.85</v>
      </c>
      <c r="G1346">
        <v>8831</v>
      </c>
      <c r="H1346" s="116"/>
      <c r="I1346" s="116"/>
      <c r="L1346" s="170">
        <v>45551</v>
      </c>
      <c r="M1346" s="116">
        <v>6724.45</v>
      </c>
      <c r="N1346" s="116">
        <v>6828</v>
      </c>
      <c r="O1346" s="116">
        <v>6710.05</v>
      </c>
      <c r="P1346" s="116">
        <v>6800</v>
      </c>
      <c r="Q1346" s="116">
        <v>6724.45</v>
      </c>
      <c r="R1346">
        <v>337211</v>
      </c>
    </row>
    <row r="1347" spans="1:18" x14ac:dyDescent="0.25">
      <c r="A1347" s="170">
        <v>45552</v>
      </c>
      <c r="B1347" s="116">
        <v>6743.9</v>
      </c>
      <c r="C1347" s="116">
        <v>6692.55</v>
      </c>
      <c r="D1347" s="116">
        <v>6686.3</v>
      </c>
      <c r="E1347" s="116">
        <v>6730.4</v>
      </c>
      <c r="F1347" s="116">
        <v>6692.55</v>
      </c>
      <c r="G1347">
        <v>2168</v>
      </c>
      <c r="H1347" s="116"/>
      <c r="I1347" s="116"/>
      <c r="L1347" s="170">
        <v>45552</v>
      </c>
      <c r="M1347" s="116">
        <v>6691.4</v>
      </c>
      <c r="N1347" s="116">
        <v>6752.8</v>
      </c>
      <c r="O1347" s="116">
        <v>6680.8</v>
      </c>
      <c r="P1347" s="116">
        <v>6750</v>
      </c>
      <c r="Q1347" s="116">
        <v>6691.4</v>
      </c>
      <c r="R1347">
        <v>106032</v>
      </c>
    </row>
    <row r="1348" spans="1:18" x14ac:dyDescent="0.25">
      <c r="A1348" s="170">
        <v>45553</v>
      </c>
      <c r="B1348" s="116">
        <v>6727.95</v>
      </c>
      <c r="C1348" s="116">
        <v>6663.8</v>
      </c>
      <c r="D1348" s="116">
        <v>6645.3</v>
      </c>
      <c r="E1348" s="116">
        <v>6724.35</v>
      </c>
      <c r="F1348" s="116">
        <v>6663.8</v>
      </c>
      <c r="G1348">
        <v>8014</v>
      </c>
      <c r="H1348" s="116"/>
      <c r="I1348" s="116"/>
      <c r="L1348" s="170">
        <v>45553</v>
      </c>
      <c r="M1348" s="116">
        <v>6667.2</v>
      </c>
      <c r="N1348" s="116">
        <v>6729.95</v>
      </c>
      <c r="O1348" s="116">
        <v>6648</v>
      </c>
      <c r="P1348" s="116">
        <v>6700</v>
      </c>
      <c r="Q1348" s="116">
        <v>6667.2</v>
      </c>
      <c r="R1348">
        <v>282119</v>
      </c>
    </row>
    <row r="1349" spans="1:18" x14ac:dyDescent="0.25">
      <c r="A1349" s="170">
        <v>45554</v>
      </c>
      <c r="B1349" s="116">
        <v>6730.4</v>
      </c>
      <c r="C1349" s="116">
        <v>6476.65</v>
      </c>
      <c r="D1349" s="116">
        <v>6427.25</v>
      </c>
      <c r="E1349" s="116">
        <v>6729.95</v>
      </c>
      <c r="F1349" s="116">
        <v>6476.65</v>
      </c>
      <c r="G1349">
        <v>11292</v>
      </c>
      <c r="H1349" s="116"/>
      <c r="I1349" s="116"/>
      <c r="L1349" s="170">
        <v>45554</v>
      </c>
      <c r="M1349" s="116">
        <v>6475.85</v>
      </c>
      <c r="N1349" s="116">
        <v>6739.05</v>
      </c>
      <c r="O1349" s="116">
        <v>6425.55</v>
      </c>
      <c r="P1349" s="116">
        <v>6690</v>
      </c>
      <c r="Q1349" s="116">
        <v>6475.85</v>
      </c>
      <c r="R1349">
        <v>391188</v>
      </c>
    </row>
    <row r="1350" spans="1:18" x14ac:dyDescent="0.25">
      <c r="A1350" s="170">
        <v>45555</v>
      </c>
      <c r="B1350" s="116">
        <v>6578</v>
      </c>
      <c r="C1350" s="116">
        <v>6557.65</v>
      </c>
      <c r="D1350" s="116">
        <v>6464</v>
      </c>
      <c r="E1350" s="116">
        <v>6505</v>
      </c>
      <c r="F1350" s="116">
        <v>6557.65</v>
      </c>
      <c r="G1350">
        <v>10296</v>
      </c>
      <c r="H1350" s="116"/>
      <c r="I1350" s="116"/>
      <c r="L1350" s="170">
        <v>45555</v>
      </c>
      <c r="M1350" s="116">
        <v>6559.35</v>
      </c>
      <c r="N1350" s="116">
        <v>6583.35</v>
      </c>
      <c r="O1350" s="116">
        <v>6460.05</v>
      </c>
      <c r="P1350" s="116">
        <v>6499.9</v>
      </c>
      <c r="Q1350" s="116">
        <v>6559.35</v>
      </c>
      <c r="R1350">
        <v>309437</v>
      </c>
    </row>
    <row r="1351" spans="1:18" x14ac:dyDescent="0.25">
      <c r="A1351" s="170">
        <v>45558</v>
      </c>
      <c r="B1351" s="116">
        <v>6634.9</v>
      </c>
      <c r="C1351" s="116">
        <v>6610.9</v>
      </c>
      <c r="D1351" s="116">
        <v>6536.8</v>
      </c>
      <c r="E1351" s="116">
        <v>6626.45</v>
      </c>
      <c r="F1351" s="116">
        <v>6610.9</v>
      </c>
      <c r="G1351">
        <v>4125</v>
      </c>
      <c r="H1351" s="116"/>
      <c r="I1351" s="116"/>
      <c r="L1351" s="170">
        <v>45558</v>
      </c>
      <c r="M1351" s="116">
        <v>6609.05</v>
      </c>
      <c r="N1351" s="116">
        <v>6633.95</v>
      </c>
      <c r="O1351" s="116">
        <v>6525</v>
      </c>
      <c r="P1351" s="116">
        <v>6600</v>
      </c>
      <c r="Q1351" s="116">
        <v>6609.05</v>
      </c>
      <c r="R1351">
        <v>265590</v>
      </c>
    </row>
    <row r="1352" spans="1:18" x14ac:dyDescent="0.25">
      <c r="A1352" s="170">
        <v>45559</v>
      </c>
      <c r="B1352" s="116">
        <v>6706.05</v>
      </c>
      <c r="C1352" s="116">
        <v>6658.15</v>
      </c>
      <c r="D1352" s="116">
        <v>6530.2</v>
      </c>
      <c r="E1352" s="116">
        <v>6615.05</v>
      </c>
      <c r="F1352" s="116">
        <v>6658.15</v>
      </c>
      <c r="G1352">
        <v>10471</v>
      </c>
      <c r="H1352" s="116"/>
      <c r="I1352" s="116"/>
      <c r="L1352" s="170">
        <v>45559</v>
      </c>
      <c r="M1352" s="116">
        <v>6657.75</v>
      </c>
      <c r="N1352" s="116">
        <v>6705.8</v>
      </c>
      <c r="O1352" s="116">
        <v>6530</v>
      </c>
      <c r="P1352" s="116">
        <v>6635</v>
      </c>
      <c r="Q1352" s="116">
        <v>6657.75</v>
      </c>
      <c r="R1352">
        <v>416396</v>
      </c>
    </row>
    <row r="1353" spans="1:18" x14ac:dyDescent="0.25">
      <c r="A1353" s="170">
        <v>45560</v>
      </c>
      <c r="B1353" s="116">
        <v>6703.35</v>
      </c>
      <c r="C1353" s="116">
        <v>6679.55</v>
      </c>
      <c r="D1353" s="116">
        <v>6583.5</v>
      </c>
      <c r="E1353" s="116">
        <v>6640.2</v>
      </c>
      <c r="F1353" s="116">
        <v>6679.55</v>
      </c>
      <c r="G1353">
        <v>12711</v>
      </c>
      <c r="H1353" s="116"/>
      <c r="I1353" s="116"/>
      <c r="L1353" s="170">
        <v>45560</v>
      </c>
      <c r="M1353" s="116">
        <v>6685.95</v>
      </c>
      <c r="N1353" s="116">
        <v>6705</v>
      </c>
      <c r="O1353" s="116">
        <v>6583.35</v>
      </c>
      <c r="P1353" s="116">
        <v>6659.9</v>
      </c>
      <c r="Q1353" s="116">
        <v>6685.95</v>
      </c>
      <c r="R1353">
        <v>289831</v>
      </c>
    </row>
    <row r="1354" spans="1:18" x14ac:dyDescent="0.25">
      <c r="A1354" s="170">
        <v>45561</v>
      </c>
      <c r="B1354" s="116">
        <v>6770.45</v>
      </c>
      <c r="C1354" s="116">
        <v>6748.6</v>
      </c>
      <c r="D1354" s="116">
        <v>6662.75</v>
      </c>
      <c r="E1354" s="116">
        <v>6700</v>
      </c>
      <c r="F1354" s="116">
        <v>6748.6</v>
      </c>
      <c r="G1354">
        <v>5658</v>
      </c>
      <c r="H1354" s="116"/>
      <c r="I1354" s="116"/>
      <c r="L1354" s="170">
        <v>45561</v>
      </c>
      <c r="M1354" s="116">
        <v>6747.4</v>
      </c>
      <c r="N1354" s="116">
        <v>6774.65</v>
      </c>
      <c r="O1354" s="116">
        <v>6664</v>
      </c>
      <c r="P1354" s="116">
        <v>6700</v>
      </c>
      <c r="Q1354" s="116">
        <v>6747.4</v>
      </c>
      <c r="R1354">
        <v>536672</v>
      </c>
    </row>
    <row r="1355" spans="1:18" x14ac:dyDescent="0.25">
      <c r="A1355" s="170">
        <v>45562</v>
      </c>
      <c r="B1355" s="116">
        <v>7117.35</v>
      </c>
      <c r="C1355" s="116">
        <v>7055.45</v>
      </c>
      <c r="D1355" s="116">
        <v>6741.7</v>
      </c>
      <c r="E1355" s="116">
        <v>6741.7</v>
      </c>
      <c r="F1355" s="116">
        <v>7055.45</v>
      </c>
      <c r="G1355">
        <v>90399</v>
      </c>
      <c r="H1355" s="116"/>
      <c r="I1355" s="116"/>
      <c r="L1355" s="170">
        <v>45562</v>
      </c>
      <c r="M1355" s="116">
        <v>7054.8</v>
      </c>
      <c r="N1355" s="116">
        <v>7119</v>
      </c>
      <c r="O1355" s="116">
        <v>6735.9</v>
      </c>
      <c r="P1355" s="116">
        <v>6753.7</v>
      </c>
      <c r="Q1355" s="116">
        <v>7054.8</v>
      </c>
      <c r="R1355">
        <v>1291485</v>
      </c>
    </row>
    <row r="1356" spans="1:18" x14ac:dyDescent="0.25">
      <c r="A1356" s="170">
        <v>45565</v>
      </c>
      <c r="B1356" s="116">
        <v>7065.5</v>
      </c>
      <c r="C1356" s="116">
        <v>6955.25</v>
      </c>
      <c r="D1356" s="116">
        <v>6909.95</v>
      </c>
      <c r="E1356" s="116">
        <v>7055.8</v>
      </c>
      <c r="F1356" s="116">
        <v>6955.25</v>
      </c>
      <c r="G1356">
        <v>16008</v>
      </c>
      <c r="H1356" s="116"/>
      <c r="I1356" s="116"/>
      <c r="L1356" s="170">
        <v>45565</v>
      </c>
      <c r="M1356" s="116">
        <v>6955.2</v>
      </c>
      <c r="N1356" s="116">
        <v>7068.9</v>
      </c>
      <c r="O1356" s="116">
        <v>6909</v>
      </c>
      <c r="P1356" s="116">
        <v>7065</v>
      </c>
      <c r="Q1356" s="116">
        <v>6955.2</v>
      </c>
      <c r="R1356">
        <v>303374</v>
      </c>
    </row>
    <row r="1357" spans="1:18" x14ac:dyDescent="0.25">
      <c r="A1357" s="170">
        <v>45566</v>
      </c>
      <c r="B1357" s="116">
        <v>7350</v>
      </c>
      <c r="C1357" s="116">
        <v>7321.45</v>
      </c>
      <c r="D1357" s="116">
        <v>6900</v>
      </c>
      <c r="E1357" s="116">
        <v>6960</v>
      </c>
      <c r="F1357" s="116">
        <v>7321.45</v>
      </c>
      <c r="G1357">
        <v>71588</v>
      </c>
      <c r="H1357" s="116"/>
      <c r="I1357" s="116"/>
      <c r="L1357" s="170">
        <v>45566</v>
      </c>
      <c r="M1357" s="116">
        <v>7326.55</v>
      </c>
      <c r="N1357" s="116">
        <v>7353.55</v>
      </c>
      <c r="O1357" s="116">
        <v>6902.4</v>
      </c>
      <c r="P1357" s="116">
        <v>6987.95</v>
      </c>
      <c r="Q1357" s="116">
        <v>7326.55</v>
      </c>
      <c r="R1357">
        <v>1221518</v>
      </c>
    </row>
    <row r="1358" spans="1:18" x14ac:dyDescent="0.25">
      <c r="A1358" s="170">
        <v>45568</v>
      </c>
      <c r="B1358" s="116">
        <v>7427</v>
      </c>
      <c r="C1358" s="116">
        <v>7340.35</v>
      </c>
      <c r="D1358" s="116">
        <v>7194.35</v>
      </c>
      <c r="E1358" s="116">
        <v>7210</v>
      </c>
      <c r="F1358" s="116">
        <v>7340.35</v>
      </c>
      <c r="G1358">
        <v>23468</v>
      </c>
      <c r="H1358" s="116"/>
      <c r="I1358" s="116"/>
      <c r="L1358" s="170">
        <v>45568</v>
      </c>
      <c r="M1358" s="116">
        <v>7332.2</v>
      </c>
      <c r="N1358" s="116">
        <v>7430</v>
      </c>
      <c r="O1358" s="116">
        <v>7200</v>
      </c>
      <c r="P1358" s="116">
        <v>7202.3</v>
      </c>
      <c r="Q1358" s="116">
        <v>7332.2</v>
      </c>
      <c r="R1358">
        <v>885592</v>
      </c>
    </row>
    <row r="1359" spans="1:18" x14ac:dyDescent="0.25">
      <c r="A1359" s="170">
        <v>45569</v>
      </c>
      <c r="B1359" s="116">
        <v>7390</v>
      </c>
      <c r="C1359" s="116">
        <v>7181.55</v>
      </c>
      <c r="D1359" s="116">
        <v>7166.1</v>
      </c>
      <c r="E1359" s="116">
        <v>7330.55</v>
      </c>
      <c r="F1359" s="116">
        <v>7181.55</v>
      </c>
      <c r="G1359">
        <v>27925</v>
      </c>
      <c r="H1359" s="116"/>
      <c r="I1359" s="116"/>
      <c r="L1359" s="170">
        <v>45569</v>
      </c>
      <c r="M1359" s="116">
        <v>7184.95</v>
      </c>
      <c r="N1359" s="116">
        <v>7393.45</v>
      </c>
      <c r="O1359" s="116">
        <v>7170</v>
      </c>
      <c r="P1359" s="116">
        <v>7329</v>
      </c>
      <c r="Q1359" s="116">
        <v>7184.95</v>
      </c>
      <c r="R1359">
        <v>467877</v>
      </c>
    </row>
    <row r="1360" spans="1:18" x14ac:dyDescent="0.25">
      <c r="A1360" s="170">
        <v>45572</v>
      </c>
      <c r="B1360" s="116">
        <v>7245</v>
      </c>
      <c r="C1360" s="116">
        <v>7074.55</v>
      </c>
      <c r="D1360" s="116">
        <v>6983.8</v>
      </c>
      <c r="E1360" s="116">
        <v>7181.6</v>
      </c>
      <c r="F1360" s="116">
        <v>7074.55</v>
      </c>
      <c r="G1360">
        <v>12905</v>
      </c>
      <c r="H1360" s="116"/>
      <c r="I1360" s="116"/>
      <c r="L1360" s="170">
        <v>45572</v>
      </c>
      <c r="M1360" s="116">
        <v>7076.9</v>
      </c>
      <c r="N1360" s="116">
        <v>7245.5</v>
      </c>
      <c r="O1360" s="116">
        <v>6980.1</v>
      </c>
      <c r="P1360" s="116">
        <v>7187</v>
      </c>
      <c r="Q1360" s="116">
        <v>7076.9</v>
      </c>
      <c r="R1360">
        <v>438613</v>
      </c>
    </row>
    <row r="1361" spans="1:18" x14ac:dyDescent="0.25">
      <c r="A1361" s="170">
        <v>45573</v>
      </c>
      <c r="B1361" s="116">
        <v>7295</v>
      </c>
      <c r="C1361" s="116">
        <v>7264</v>
      </c>
      <c r="D1361" s="116">
        <v>7042.5</v>
      </c>
      <c r="E1361" s="116">
        <v>7055.8</v>
      </c>
      <c r="F1361" s="116">
        <v>7264</v>
      </c>
      <c r="G1361">
        <v>6453</v>
      </c>
      <c r="H1361" s="116"/>
      <c r="I1361" s="116"/>
      <c r="L1361" s="170">
        <v>45573</v>
      </c>
      <c r="M1361" s="116">
        <v>7262.75</v>
      </c>
      <c r="N1361" s="116">
        <v>7297.9</v>
      </c>
      <c r="O1361" s="116">
        <v>7036</v>
      </c>
      <c r="P1361" s="116">
        <v>7077</v>
      </c>
      <c r="Q1361" s="116">
        <v>7262.75</v>
      </c>
      <c r="R1361">
        <v>410534</v>
      </c>
    </row>
    <row r="1362" spans="1:18" x14ac:dyDescent="0.25">
      <c r="A1362" s="170">
        <v>45574</v>
      </c>
      <c r="B1362" s="116">
        <v>7432.4</v>
      </c>
      <c r="C1362" s="116">
        <v>7396.55</v>
      </c>
      <c r="D1362" s="116">
        <v>7250.05</v>
      </c>
      <c r="E1362" s="116">
        <v>7280</v>
      </c>
      <c r="F1362" s="116">
        <v>7396.55</v>
      </c>
      <c r="G1362">
        <v>13854</v>
      </c>
      <c r="H1362" s="116"/>
      <c r="I1362" s="116"/>
      <c r="L1362" s="170">
        <v>45574</v>
      </c>
      <c r="M1362" s="116">
        <v>7396.65</v>
      </c>
      <c r="N1362" s="116">
        <v>7438</v>
      </c>
      <c r="O1362" s="116">
        <v>7250</v>
      </c>
      <c r="P1362" s="116">
        <v>7300</v>
      </c>
      <c r="Q1362" s="116">
        <v>7396.65</v>
      </c>
      <c r="R1362">
        <v>369028</v>
      </c>
    </row>
    <row r="1363" spans="1:18" x14ac:dyDescent="0.25">
      <c r="A1363" s="170">
        <v>45575</v>
      </c>
      <c r="B1363" s="116">
        <v>7578.85</v>
      </c>
      <c r="C1363" s="116">
        <v>7451.15</v>
      </c>
      <c r="D1363" s="116">
        <v>7388.7</v>
      </c>
      <c r="E1363" s="116">
        <v>7405</v>
      </c>
      <c r="F1363" s="116">
        <v>7451.15</v>
      </c>
      <c r="G1363">
        <v>12515</v>
      </c>
      <c r="H1363" s="116"/>
      <c r="I1363" s="116"/>
      <c r="L1363" s="170">
        <v>45575</v>
      </c>
      <c r="M1363" s="116">
        <v>7452.85</v>
      </c>
      <c r="N1363" s="116">
        <v>7585.5</v>
      </c>
      <c r="O1363" s="116">
        <v>7381.7</v>
      </c>
      <c r="P1363" s="116">
        <v>7425</v>
      </c>
      <c r="Q1363" s="116">
        <v>7452.85</v>
      </c>
      <c r="R1363">
        <v>470788</v>
      </c>
    </row>
    <row r="1364" spans="1:18" x14ac:dyDescent="0.25">
      <c r="A1364" s="170">
        <v>45576</v>
      </c>
      <c r="B1364" s="116">
        <v>7474.35</v>
      </c>
      <c r="C1364" s="116">
        <v>7447.2</v>
      </c>
      <c r="D1364" s="116">
        <v>7371.8</v>
      </c>
      <c r="E1364" s="116">
        <v>7472</v>
      </c>
      <c r="F1364" s="116">
        <v>7447.2</v>
      </c>
      <c r="G1364">
        <v>3507</v>
      </c>
      <c r="H1364" s="116"/>
      <c r="I1364" s="116"/>
      <c r="L1364" s="170">
        <v>45576</v>
      </c>
      <c r="M1364" s="116">
        <v>7446.85</v>
      </c>
      <c r="N1364" s="116">
        <v>7493.15</v>
      </c>
      <c r="O1364" s="116">
        <v>7365</v>
      </c>
      <c r="P1364" s="116">
        <v>7493.15</v>
      </c>
      <c r="Q1364" s="116">
        <v>7446.85</v>
      </c>
      <c r="R1364">
        <v>177393</v>
      </c>
    </row>
    <row r="1365" spans="1:18" x14ac:dyDescent="0.25">
      <c r="A1365" s="170">
        <v>45579</v>
      </c>
      <c r="B1365" s="116">
        <v>7507.95</v>
      </c>
      <c r="C1365" s="116">
        <v>7479.85</v>
      </c>
      <c r="D1365" s="116">
        <v>7332.1</v>
      </c>
      <c r="E1365" s="116">
        <v>7400</v>
      </c>
      <c r="F1365" s="116">
        <v>7479.85</v>
      </c>
      <c r="G1365">
        <v>14890</v>
      </c>
      <c r="H1365" s="116"/>
      <c r="I1365" s="116"/>
      <c r="L1365" s="170">
        <v>45579</v>
      </c>
      <c r="M1365" s="116">
        <v>7483.4</v>
      </c>
      <c r="N1365" s="116">
        <v>7509.95</v>
      </c>
      <c r="O1365" s="116">
        <v>7338</v>
      </c>
      <c r="P1365" s="116">
        <v>7385</v>
      </c>
      <c r="Q1365" s="116">
        <v>7483.4</v>
      </c>
      <c r="R1365">
        <v>311238</v>
      </c>
    </row>
    <row r="1366" spans="1:18" x14ac:dyDescent="0.25">
      <c r="A1366" s="170">
        <v>45580</v>
      </c>
      <c r="B1366" s="116">
        <v>7607.15</v>
      </c>
      <c r="C1366" s="116">
        <v>7489.85</v>
      </c>
      <c r="D1366" s="116">
        <v>7393.15</v>
      </c>
      <c r="E1366" s="116">
        <v>7500</v>
      </c>
      <c r="F1366" s="116">
        <v>7489.85</v>
      </c>
      <c r="G1366">
        <v>6320</v>
      </c>
      <c r="H1366" s="116"/>
      <c r="I1366" s="116"/>
      <c r="L1366" s="170">
        <v>45580</v>
      </c>
      <c r="M1366" s="116">
        <v>7489.3</v>
      </c>
      <c r="N1366" s="116">
        <v>7605</v>
      </c>
      <c r="O1366" s="116">
        <v>7393.5</v>
      </c>
      <c r="P1366" s="116">
        <v>7508.95</v>
      </c>
      <c r="Q1366" s="116">
        <v>7489.3</v>
      </c>
      <c r="R1366">
        <v>209845</v>
      </c>
    </row>
    <row r="1367" spans="1:18" x14ac:dyDescent="0.25">
      <c r="A1367" s="170">
        <v>45581</v>
      </c>
      <c r="B1367" s="116">
        <v>7500.2</v>
      </c>
      <c r="C1367" s="116">
        <v>7182.4</v>
      </c>
      <c r="D1367" s="116">
        <v>7161</v>
      </c>
      <c r="E1367" s="116">
        <v>7450.05</v>
      </c>
      <c r="F1367" s="116">
        <v>7182.4</v>
      </c>
      <c r="G1367">
        <v>24822</v>
      </c>
      <c r="H1367" s="116"/>
      <c r="I1367" s="116"/>
      <c r="L1367" s="170">
        <v>45581</v>
      </c>
      <c r="M1367" s="116">
        <v>7181.5</v>
      </c>
      <c r="N1367" s="116">
        <v>7520.9</v>
      </c>
      <c r="O1367" s="116">
        <v>7160.25</v>
      </c>
      <c r="P1367" s="116">
        <v>7480</v>
      </c>
      <c r="Q1367" s="116">
        <v>7181.5</v>
      </c>
      <c r="R1367">
        <v>482049</v>
      </c>
    </row>
    <row r="1368" spans="1:18" x14ac:dyDescent="0.25">
      <c r="A1368" s="170">
        <v>45582</v>
      </c>
      <c r="B1368" s="116">
        <v>7304.35</v>
      </c>
      <c r="C1368" s="116">
        <v>7102.2</v>
      </c>
      <c r="D1368" s="116">
        <v>7017.5</v>
      </c>
      <c r="E1368" s="116">
        <v>7142.05</v>
      </c>
      <c r="F1368" s="116">
        <v>7102.2</v>
      </c>
      <c r="G1368">
        <v>39164</v>
      </c>
      <c r="H1368" s="116"/>
      <c r="I1368" s="116"/>
      <c r="L1368" s="170">
        <v>45582</v>
      </c>
      <c r="M1368" s="116">
        <v>7120.55</v>
      </c>
      <c r="N1368" s="116">
        <v>7307.8</v>
      </c>
      <c r="O1368" s="116">
        <v>7013.55</v>
      </c>
      <c r="P1368" s="116">
        <v>7156.2</v>
      </c>
      <c r="Q1368" s="116">
        <v>7120.55</v>
      </c>
      <c r="R1368">
        <v>734999</v>
      </c>
    </row>
    <row r="1369" spans="1:18" x14ac:dyDescent="0.25">
      <c r="A1369" s="170">
        <v>45583</v>
      </c>
      <c r="B1369" s="116">
        <v>7169</v>
      </c>
      <c r="C1369" s="116">
        <v>7117.55</v>
      </c>
      <c r="D1369" s="116">
        <v>6611.4</v>
      </c>
      <c r="E1369" s="116">
        <v>6798.95</v>
      </c>
      <c r="F1369" s="116">
        <v>7117.55</v>
      </c>
      <c r="G1369">
        <v>51156</v>
      </c>
      <c r="H1369" s="116"/>
      <c r="I1369" s="116"/>
      <c r="L1369" s="170">
        <v>45583</v>
      </c>
      <c r="M1369" s="116">
        <v>7120.4</v>
      </c>
      <c r="N1369" s="116">
        <v>7170</v>
      </c>
      <c r="O1369" s="116">
        <v>6612</v>
      </c>
      <c r="P1369" s="116">
        <v>6699.95</v>
      </c>
      <c r="Q1369" s="116">
        <v>7120.4</v>
      </c>
      <c r="R1369">
        <v>1967388</v>
      </c>
    </row>
    <row r="1370" spans="1:18" x14ac:dyDescent="0.25">
      <c r="A1370" s="170">
        <v>45586</v>
      </c>
      <c r="B1370" s="116">
        <v>7228.75</v>
      </c>
      <c r="C1370" s="116">
        <v>6861.45</v>
      </c>
      <c r="D1370" s="116">
        <v>6800</v>
      </c>
      <c r="E1370" s="116">
        <v>7189.95</v>
      </c>
      <c r="F1370" s="116">
        <v>6861.45</v>
      </c>
      <c r="G1370">
        <v>27045</v>
      </c>
      <c r="H1370" s="116"/>
      <c r="I1370" s="116"/>
      <c r="L1370" s="170">
        <v>45586</v>
      </c>
      <c r="M1370" s="116">
        <v>6849.75</v>
      </c>
      <c r="N1370" s="116">
        <v>7243.95</v>
      </c>
      <c r="O1370" s="116">
        <v>6795.75</v>
      </c>
      <c r="P1370" s="116">
        <v>7155</v>
      </c>
      <c r="Q1370" s="116">
        <v>6849.75</v>
      </c>
      <c r="R1370">
        <v>842387</v>
      </c>
    </row>
    <row r="1371" spans="1:18" x14ac:dyDescent="0.25">
      <c r="A1371" s="170">
        <v>45587</v>
      </c>
      <c r="B1371" s="116">
        <v>6834</v>
      </c>
      <c r="C1371" s="116">
        <v>6639.3</v>
      </c>
      <c r="D1371" s="116">
        <v>6595.6</v>
      </c>
      <c r="E1371" s="116">
        <v>6820.05</v>
      </c>
      <c r="F1371" s="116">
        <v>6639.3</v>
      </c>
      <c r="G1371">
        <v>31723</v>
      </c>
      <c r="H1371" s="116"/>
      <c r="I1371" s="116"/>
      <c r="L1371" s="170">
        <v>45587</v>
      </c>
      <c r="M1371" s="116">
        <v>6651.45</v>
      </c>
      <c r="N1371" s="116">
        <v>6840</v>
      </c>
      <c r="O1371" s="116">
        <v>6590.05</v>
      </c>
      <c r="P1371" s="116">
        <v>6840</v>
      </c>
      <c r="Q1371" s="116">
        <v>6651.45</v>
      </c>
      <c r="R1371">
        <v>720095</v>
      </c>
    </row>
    <row r="1372" spans="1:18" x14ac:dyDescent="0.25">
      <c r="A1372" s="170">
        <v>45588</v>
      </c>
      <c r="B1372" s="116">
        <v>6767.55</v>
      </c>
      <c r="C1372" s="116">
        <v>6672.9</v>
      </c>
      <c r="D1372" s="116">
        <v>6600</v>
      </c>
      <c r="E1372" s="116">
        <v>6611</v>
      </c>
      <c r="F1372" s="116">
        <v>6672.9</v>
      </c>
      <c r="G1372">
        <v>12580</v>
      </c>
      <c r="H1372" s="116"/>
      <c r="I1372" s="116"/>
      <c r="L1372" s="170">
        <v>45588</v>
      </c>
      <c r="M1372" s="116">
        <v>6661.7</v>
      </c>
      <c r="N1372" s="116">
        <v>6765</v>
      </c>
      <c r="O1372" s="116">
        <v>6592</v>
      </c>
      <c r="P1372" s="116">
        <v>6620</v>
      </c>
      <c r="Q1372" s="116">
        <v>6661.7</v>
      </c>
      <c r="R1372">
        <v>461038</v>
      </c>
    </row>
    <row r="1373" spans="1:18" x14ac:dyDescent="0.25">
      <c r="A1373" s="170">
        <v>45589</v>
      </c>
      <c r="B1373" s="116">
        <v>6661.7</v>
      </c>
      <c r="C1373" s="116">
        <v>6501.2</v>
      </c>
      <c r="D1373" s="116">
        <v>6489.05</v>
      </c>
      <c r="E1373" s="116">
        <v>6661.7</v>
      </c>
      <c r="F1373" s="116">
        <v>6501.2</v>
      </c>
      <c r="G1373">
        <v>15661</v>
      </c>
      <c r="H1373" s="116"/>
      <c r="I1373" s="116"/>
      <c r="L1373" s="170">
        <v>45589</v>
      </c>
      <c r="M1373" s="116">
        <v>6502.35</v>
      </c>
      <c r="N1373" s="116">
        <v>6650</v>
      </c>
      <c r="O1373" s="116">
        <v>6490</v>
      </c>
      <c r="P1373" s="116">
        <v>6650</v>
      </c>
      <c r="Q1373" s="116">
        <v>6502.35</v>
      </c>
      <c r="R1373">
        <v>313821</v>
      </c>
    </row>
    <row r="1374" spans="1:18" x14ac:dyDescent="0.25">
      <c r="A1374" s="170">
        <v>45590</v>
      </c>
      <c r="B1374" s="116">
        <v>6559.75</v>
      </c>
      <c r="C1374" s="116">
        <v>6461.25</v>
      </c>
      <c r="D1374" s="116">
        <v>6384</v>
      </c>
      <c r="E1374" s="116">
        <v>6559.75</v>
      </c>
      <c r="F1374" s="116">
        <v>6461.25</v>
      </c>
      <c r="G1374">
        <v>12894</v>
      </c>
      <c r="H1374" s="116"/>
      <c r="I1374" s="116"/>
      <c r="L1374" s="170">
        <v>45590</v>
      </c>
      <c r="M1374" s="116">
        <v>6455.4</v>
      </c>
      <c r="N1374" s="116">
        <v>6541.8</v>
      </c>
      <c r="O1374" s="116">
        <v>6382</v>
      </c>
      <c r="P1374" s="116">
        <v>6510</v>
      </c>
      <c r="Q1374" s="116">
        <v>6455.4</v>
      </c>
      <c r="R1374">
        <v>324913</v>
      </c>
    </row>
    <row r="1375" spans="1:18" x14ac:dyDescent="0.25">
      <c r="A1375" s="170">
        <v>45593</v>
      </c>
      <c r="B1375" s="116">
        <v>6520</v>
      </c>
      <c r="C1375" s="116">
        <v>6366.9</v>
      </c>
      <c r="D1375" s="116">
        <v>6345.9</v>
      </c>
      <c r="E1375" s="116">
        <v>6460</v>
      </c>
      <c r="F1375" s="116">
        <v>6366.9</v>
      </c>
      <c r="G1375">
        <v>12311</v>
      </c>
      <c r="H1375" s="116"/>
      <c r="I1375" s="116"/>
      <c r="L1375" s="170">
        <v>45593</v>
      </c>
      <c r="M1375" s="116">
        <v>6369.25</v>
      </c>
      <c r="N1375" s="116">
        <v>6524.55</v>
      </c>
      <c r="O1375" s="116">
        <v>6344</v>
      </c>
      <c r="P1375" s="116">
        <v>6500</v>
      </c>
      <c r="Q1375" s="116">
        <v>6369.25</v>
      </c>
      <c r="R1375">
        <v>318609</v>
      </c>
    </row>
    <row r="1376" spans="1:18" x14ac:dyDescent="0.25">
      <c r="A1376" s="170">
        <v>45594</v>
      </c>
      <c r="B1376" s="116">
        <v>6441.7</v>
      </c>
      <c r="C1376" s="116">
        <v>6389.8</v>
      </c>
      <c r="D1376" s="116">
        <v>6303.15</v>
      </c>
      <c r="E1376" s="116">
        <v>6436.85</v>
      </c>
      <c r="F1376" s="116">
        <v>6389.8</v>
      </c>
      <c r="G1376">
        <v>11994</v>
      </c>
      <c r="H1376" s="116"/>
      <c r="I1376" s="116"/>
      <c r="L1376" s="170">
        <v>45594</v>
      </c>
      <c r="M1376" s="116">
        <v>6398</v>
      </c>
      <c r="N1376" s="116">
        <v>6439.8</v>
      </c>
      <c r="O1376" s="116">
        <v>6308</v>
      </c>
      <c r="P1376" s="116">
        <v>6404.95</v>
      </c>
      <c r="Q1376" s="116">
        <v>6398</v>
      </c>
      <c r="R1376">
        <v>208968</v>
      </c>
    </row>
    <row r="1377" spans="1:18" x14ac:dyDescent="0.25">
      <c r="A1377" s="170">
        <v>45595</v>
      </c>
      <c r="B1377" s="116">
        <v>6476.85</v>
      </c>
      <c r="C1377" s="116">
        <v>6393.75</v>
      </c>
      <c r="D1377" s="116">
        <v>6340</v>
      </c>
      <c r="E1377" s="116">
        <v>6400.25</v>
      </c>
      <c r="F1377" s="116">
        <v>6393.75</v>
      </c>
      <c r="G1377">
        <v>8654</v>
      </c>
      <c r="H1377" s="116"/>
      <c r="I1377" s="116"/>
      <c r="L1377" s="170">
        <v>45595</v>
      </c>
      <c r="M1377" s="116">
        <v>6394.35</v>
      </c>
      <c r="N1377" s="116">
        <v>6479.95</v>
      </c>
      <c r="O1377" s="116">
        <v>6335</v>
      </c>
      <c r="P1377" s="116">
        <v>6430</v>
      </c>
      <c r="Q1377" s="116">
        <v>6394.35</v>
      </c>
      <c r="R1377">
        <v>275703</v>
      </c>
    </row>
    <row r="1378" spans="1:18" x14ac:dyDescent="0.25">
      <c r="A1378" s="170">
        <v>45596</v>
      </c>
      <c r="B1378" s="116">
        <v>6498.1</v>
      </c>
      <c r="C1378" s="116">
        <v>6482.3</v>
      </c>
      <c r="D1378" s="116">
        <v>6345</v>
      </c>
      <c r="E1378" s="116">
        <v>6419.95</v>
      </c>
      <c r="F1378" s="116">
        <v>6482.3</v>
      </c>
      <c r="G1378">
        <v>108046</v>
      </c>
      <c r="H1378" s="116"/>
      <c r="I1378" s="116"/>
      <c r="L1378" s="170">
        <v>45596</v>
      </c>
      <c r="M1378" s="116">
        <v>6480.4</v>
      </c>
      <c r="N1378" s="116">
        <v>6500.75</v>
      </c>
      <c r="O1378" s="116">
        <v>6342</v>
      </c>
      <c r="P1378" s="116">
        <v>6394.7</v>
      </c>
      <c r="Q1378" s="116">
        <v>6480.4</v>
      </c>
      <c r="R1378">
        <v>259567</v>
      </c>
    </row>
    <row r="1379" spans="1:18" x14ac:dyDescent="0.25">
      <c r="A1379" s="170">
        <v>45597</v>
      </c>
      <c r="B1379" s="116">
        <v>6531.65</v>
      </c>
      <c r="C1379" s="116">
        <v>6503.9</v>
      </c>
      <c r="D1379" s="116">
        <v>6471.65</v>
      </c>
      <c r="E1379" s="116">
        <v>6490.05</v>
      </c>
      <c r="F1379" s="116">
        <v>6503.9</v>
      </c>
      <c r="G1379">
        <v>4130</v>
      </c>
      <c r="H1379" s="116"/>
      <c r="I1379" s="116"/>
      <c r="L1379" s="170">
        <v>45597</v>
      </c>
      <c r="M1379" s="116">
        <v>6501.8</v>
      </c>
      <c r="N1379" s="116">
        <v>6531.4</v>
      </c>
      <c r="O1379" s="116">
        <v>6450</v>
      </c>
      <c r="P1379" s="116">
        <v>6500</v>
      </c>
      <c r="Q1379" s="116">
        <v>6501.8</v>
      </c>
      <c r="R1379">
        <v>26757</v>
      </c>
    </row>
    <row r="1380" spans="1:18" x14ac:dyDescent="0.25">
      <c r="A1380" s="170">
        <v>45600</v>
      </c>
      <c r="B1380" s="116">
        <v>6552.65</v>
      </c>
      <c r="C1380" s="116">
        <v>6521.65</v>
      </c>
      <c r="D1380" s="116">
        <v>6385.05</v>
      </c>
      <c r="E1380" s="116">
        <v>6547.95</v>
      </c>
      <c r="F1380" s="116">
        <v>6521.65</v>
      </c>
      <c r="G1380">
        <v>12351</v>
      </c>
      <c r="H1380" s="116"/>
      <c r="I1380" s="116"/>
      <c r="L1380" s="170">
        <v>45600</v>
      </c>
      <c r="M1380" s="116">
        <v>6522.95</v>
      </c>
      <c r="N1380" s="116">
        <v>6553.15</v>
      </c>
      <c r="O1380" s="116">
        <v>6383.2</v>
      </c>
      <c r="P1380" s="116">
        <v>6505</v>
      </c>
      <c r="Q1380" s="116">
        <v>6522.95</v>
      </c>
      <c r="R1380">
        <v>285465</v>
      </c>
    </row>
    <row r="1381" spans="1:18" x14ac:dyDescent="0.25">
      <c r="A1381" s="170">
        <v>45601</v>
      </c>
      <c r="B1381" s="116">
        <v>6653.9</v>
      </c>
      <c r="C1381" s="116">
        <v>6632.55</v>
      </c>
      <c r="D1381" s="116">
        <v>6375</v>
      </c>
      <c r="E1381" s="116">
        <v>6565</v>
      </c>
      <c r="F1381" s="116">
        <v>6632.55</v>
      </c>
      <c r="G1381">
        <v>12189</v>
      </c>
      <c r="H1381" s="116"/>
      <c r="I1381" s="116"/>
      <c r="L1381" s="170">
        <v>45601</v>
      </c>
      <c r="M1381" s="116">
        <v>6632.55</v>
      </c>
      <c r="N1381" s="116">
        <v>6655.45</v>
      </c>
      <c r="O1381" s="116">
        <v>6371.4</v>
      </c>
      <c r="P1381" s="116">
        <v>6577.05</v>
      </c>
      <c r="Q1381" s="116">
        <v>6632.55</v>
      </c>
      <c r="R1381">
        <v>532984</v>
      </c>
    </row>
    <row r="1382" spans="1:18" x14ac:dyDescent="0.25">
      <c r="A1382" s="170">
        <v>45602</v>
      </c>
      <c r="B1382" s="116">
        <v>6934.15</v>
      </c>
      <c r="C1382" s="116">
        <v>6885.3</v>
      </c>
      <c r="D1382" s="116">
        <v>6650</v>
      </c>
      <c r="E1382" s="116">
        <v>6650</v>
      </c>
      <c r="F1382" s="116">
        <v>6885.3</v>
      </c>
      <c r="G1382">
        <v>36756</v>
      </c>
      <c r="H1382" s="116"/>
      <c r="I1382" s="116"/>
      <c r="L1382" s="170">
        <v>45602</v>
      </c>
      <c r="M1382" s="116">
        <v>6883.95</v>
      </c>
      <c r="N1382" s="116">
        <v>6935</v>
      </c>
      <c r="O1382" s="116">
        <v>6700</v>
      </c>
      <c r="P1382" s="116">
        <v>6700</v>
      </c>
      <c r="Q1382" s="116">
        <v>6883.95</v>
      </c>
      <c r="R1382">
        <v>667866</v>
      </c>
    </row>
    <row r="1383" spans="1:18" x14ac:dyDescent="0.25">
      <c r="A1383" s="170">
        <v>45603</v>
      </c>
      <c r="B1383" s="116">
        <v>6998.95</v>
      </c>
      <c r="C1383" s="116">
        <v>6815.15</v>
      </c>
      <c r="D1383" s="116">
        <v>6800.1</v>
      </c>
      <c r="E1383" s="116">
        <v>6998.95</v>
      </c>
      <c r="F1383" s="116">
        <v>6815.15</v>
      </c>
      <c r="G1383">
        <v>15967</v>
      </c>
      <c r="H1383" s="116"/>
      <c r="I1383" s="116"/>
      <c r="L1383" s="170">
        <v>45603</v>
      </c>
      <c r="M1383" s="116">
        <v>6816.75</v>
      </c>
      <c r="N1383" s="116">
        <v>6950</v>
      </c>
      <c r="O1383" s="116">
        <v>6802.75</v>
      </c>
      <c r="P1383" s="116">
        <v>6950</v>
      </c>
      <c r="Q1383" s="116">
        <v>6816.75</v>
      </c>
      <c r="R1383">
        <v>240697</v>
      </c>
    </row>
    <row r="1384" spans="1:18" x14ac:dyDescent="0.25">
      <c r="A1384" s="170">
        <v>45604</v>
      </c>
      <c r="B1384" s="116">
        <v>6844</v>
      </c>
      <c r="C1384" s="116">
        <v>6715</v>
      </c>
      <c r="D1384" s="116">
        <v>6690</v>
      </c>
      <c r="E1384" s="116">
        <v>6819.05</v>
      </c>
      <c r="F1384" s="116">
        <v>6715</v>
      </c>
      <c r="G1384">
        <v>7567</v>
      </c>
      <c r="H1384" s="116"/>
      <c r="I1384" s="116"/>
      <c r="L1384" s="170">
        <v>45604</v>
      </c>
      <c r="M1384" s="116">
        <v>6725.8</v>
      </c>
      <c r="N1384" s="116">
        <v>6839.9</v>
      </c>
      <c r="O1384" s="116">
        <v>6685</v>
      </c>
      <c r="P1384" s="116">
        <v>6839.85</v>
      </c>
      <c r="Q1384" s="116">
        <v>6725.8</v>
      </c>
      <c r="R1384">
        <v>164756</v>
      </c>
    </row>
    <row r="1385" spans="1:18" x14ac:dyDescent="0.25">
      <c r="A1385" s="170">
        <v>45607</v>
      </c>
      <c r="B1385" s="116">
        <v>6795</v>
      </c>
      <c r="C1385" s="116">
        <v>6702.65</v>
      </c>
      <c r="D1385" s="116">
        <v>6630.05</v>
      </c>
      <c r="E1385" s="116">
        <v>6700.05</v>
      </c>
      <c r="F1385" s="116">
        <v>6702.65</v>
      </c>
      <c r="G1385">
        <v>4134</v>
      </c>
      <c r="H1385" s="116"/>
      <c r="I1385" s="116"/>
      <c r="L1385" s="170">
        <v>45607</v>
      </c>
      <c r="M1385" s="116">
        <v>6708.4</v>
      </c>
      <c r="N1385" s="116">
        <v>6798.75</v>
      </c>
      <c r="O1385" s="116">
        <v>6626.45</v>
      </c>
      <c r="P1385" s="116">
        <v>6725.8</v>
      </c>
      <c r="Q1385" s="116">
        <v>6708.4</v>
      </c>
      <c r="R1385">
        <v>175932</v>
      </c>
    </row>
    <row r="1386" spans="1:18" x14ac:dyDescent="0.25">
      <c r="A1386" s="170">
        <v>45608</v>
      </c>
      <c r="B1386" s="116">
        <v>6750.45</v>
      </c>
      <c r="C1386" s="116">
        <v>6507.1</v>
      </c>
      <c r="D1386" s="116">
        <v>6490</v>
      </c>
      <c r="E1386" s="116">
        <v>6710.5</v>
      </c>
      <c r="F1386" s="116">
        <v>6507.1</v>
      </c>
      <c r="G1386">
        <v>7167</v>
      </c>
      <c r="H1386" s="116"/>
      <c r="I1386" s="116"/>
      <c r="L1386" s="170">
        <v>45608</v>
      </c>
      <c r="M1386" s="116">
        <v>6502.75</v>
      </c>
      <c r="N1386" s="116">
        <v>6756</v>
      </c>
      <c r="O1386" s="116">
        <v>6486.1</v>
      </c>
      <c r="P1386" s="116">
        <v>6720</v>
      </c>
      <c r="Q1386" s="116">
        <v>6502.75</v>
      </c>
      <c r="R1386">
        <v>199839</v>
      </c>
    </row>
    <row r="1387" spans="1:18" x14ac:dyDescent="0.25">
      <c r="A1387" s="170">
        <v>45609</v>
      </c>
      <c r="B1387" s="116">
        <v>6489.4</v>
      </c>
      <c r="C1387" s="116">
        <v>6328.1</v>
      </c>
      <c r="D1387" s="116">
        <v>6275.85</v>
      </c>
      <c r="E1387" s="116">
        <v>6489.4</v>
      </c>
      <c r="F1387" s="116">
        <v>6328.1</v>
      </c>
      <c r="G1387">
        <v>21154</v>
      </c>
      <c r="H1387" s="116"/>
      <c r="I1387" s="116"/>
      <c r="L1387" s="170">
        <v>45609</v>
      </c>
      <c r="M1387" s="116">
        <v>6328.25</v>
      </c>
      <c r="N1387" s="116">
        <v>6479.95</v>
      </c>
      <c r="O1387" s="116">
        <v>6264.15</v>
      </c>
      <c r="P1387" s="116">
        <v>6465</v>
      </c>
      <c r="Q1387" s="116">
        <v>6328.25</v>
      </c>
      <c r="R1387">
        <v>232394</v>
      </c>
    </row>
    <row r="1388" spans="1:18" x14ac:dyDescent="0.25">
      <c r="A1388" s="170">
        <v>45610</v>
      </c>
      <c r="B1388" s="116">
        <v>6396.05</v>
      </c>
      <c r="C1388" s="116">
        <v>6300.95</v>
      </c>
      <c r="D1388" s="116">
        <v>6278.55</v>
      </c>
      <c r="E1388" s="116">
        <v>6301.45</v>
      </c>
      <c r="F1388" s="116">
        <v>6300.95</v>
      </c>
      <c r="G1388">
        <v>5684</v>
      </c>
      <c r="H1388" s="116"/>
      <c r="I1388" s="116"/>
      <c r="L1388" s="170">
        <v>45610</v>
      </c>
      <c r="M1388" s="116">
        <v>6301.9</v>
      </c>
      <c r="N1388" s="116">
        <v>6400</v>
      </c>
      <c r="O1388" s="116">
        <v>6277.45</v>
      </c>
      <c r="P1388" s="116">
        <v>6334.95</v>
      </c>
      <c r="Q1388" s="116">
        <v>6301.9</v>
      </c>
      <c r="R1388">
        <v>191359</v>
      </c>
    </row>
    <row r="1389" spans="1:18" x14ac:dyDescent="0.25">
      <c r="A1389" s="170">
        <v>45614</v>
      </c>
      <c r="B1389" s="116">
        <v>6486.65</v>
      </c>
      <c r="C1389" s="116">
        <v>6447.2</v>
      </c>
      <c r="D1389" s="116">
        <v>6258.85</v>
      </c>
      <c r="E1389" s="116">
        <v>6300</v>
      </c>
      <c r="F1389" s="116">
        <v>6447.2</v>
      </c>
      <c r="G1389">
        <v>15065</v>
      </c>
      <c r="H1389" s="116"/>
      <c r="I1389" s="116"/>
      <c r="L1389" s="170">
        <v>45614</v>
      </c>
      <c r="M1389" s="116">
        <v>6444.65</v>
      </c>
      <c r="N1389" s="116">
        <v>6485.7</v>
      </c>
      <c r="O1389" s="116">
        <v>6257.5</v>
      </c>
      <c r="P1389" s="116">
        <v>6295.9</v>
      </c>
      <c r="Q1389" s="116">
        <v>6444.65</v>
      </c>
      <c r="R1389">
        <v>455631</v>
      </c>
    </row>
    <row r="1390" spans="1:18" x14ac:dyDescent="0.25">
      <c r="A1390" s="170">
        <v>45615</v>
      </c>
      <c r="B1390" s="116">
        <v>6610.1</v>
      </c>
      <c r="C1390" s="116">
        <v>6515.6</v>
      </c>
      <c r="D1390" s="116">
        <v>6463.05</v>
      </c>
      <c r="E1390" s="116">
        <v>6475.05</v>
      </c>
      <c r="F1390" s="116">
        <v>6515.6</v>
      </c>
      <c r="G1390">
        <v>8996</v>
      </c>
      <c r="H1390" s="116"/>
      <c r="I1390" s="116"/>
      <c r="L1390" s="170">
        <v>45615</v>
      </c>
      <c r="M1390" s="116">
        <v>6517.05</v>
      </c>
      <c r="N1390" s="116">
        <v>6610.4</v>
      </c>
      <c r="O1390" s="116">
        <v>6460</v>
      </c>
      <c r="P1390" s="116">
        <v>6493</v>
      </c>
      <c r="Q1390" s="116">
        <v>6517.05</v>
      </c>
      <c r="R1390">
        <v>197471</v>
      </c>
    </row>
    <row r="1391" spans="1:18" x14ac:dyDescent="0.25">
      <c r="A1391" s="170">
        <v>45617</v>
      </c>
      <c r="B1391" s="116">
        <v>6515.6</v>
      </c>
      <c r="C1391" s="116">
        <v>6407.15</v>
      </c>
      <c r="D1391" s="116">
        <v>6388.85</v>
      </c>
      <c r="E1391" s="116">
        <v>6515.6</v>
      </c>
      <c r="F1391" s="116">
        <v>6407.15</v>
      </c>
      <c r="G1391">
        <v>4139</v>
      </c>
      <c r="H1391" s="116"/>
      <c r="I1391" s="116"/>
      <c r="L1391" s="170">
        <v>45617</v>
      </c>
      <c r="M1391" s="116">
        <v>6408.35</v>
      </c>
      <c r="N1391" s="116">
        <v>6532</v>
      </c>
      <c r="O1391" s="116">
        <v>6390.05</v>
      </c>
      <c r="P1391" s="116">
        <v>6525</v>
      </c>
      <c r="Q1391" s="116">
        <v>6408.35</v>
      </c>
      <c r="R1391">
        <v>199200</v>
      </c>
    </row>
    <row r="1392" spans="1:18" x14ac:dyDescent="0.25">
      <c r="A1392" s="170">
        <v>45618</v>
      </c>
      <c r="B1392" s="116">
        <v>6644.2</v>
      </c>
      <c r="C1392" s="116">
        <v>6617.2</v>
      </c>
      <c r="D1392" s="116">
        <v>6412.55</v>
      </c>
      <c r="E1392" s="116">
        <v>6433.8</v>
      </c>
      <c r="F1392" s="116">
        <v>6617.2</v>
      </c>
      <c r="G1392">
        <v>6454</v>
      </c>
      <c r="H1392" s="116"/>
      <c r="I1392" s="116"/>
      <c r="L1392" s="170">
        <v>45618</v>
      </c>
      <c r="M1392" s="116">
        <v>6620.5</v>
      </c>
      <c r="N1392" s="116">
        <v>6645.5</v>
      </c>
      <c r="O1392" s="116">
        <v>6408.35</v>
      </c>
      <c r="P1392" s="116">
        <v>6415</v>
      </c>
      <c r="Q1392" s="116">
        <v>6620.5</v>
      </c>
      <c r="R1392">
        <v>191475</v>
      </c>
    </row>
    <row r="1393" spans="1:18" x14ac:dyDescent="0.25">
      <c r="A1393" s="170">
        <v>45621</v>
      </c>
      <c r="B1393" s="116">
        <v>6839.65</v>
      </c>
      <c r="C1393" s="116">
        <v>6765.55</v>
      </c>
      <c r="D1393" s="116">
        <v>6703.5</v>
      </c>
      <c r="E1393" s="116">
        <v>6839.65</v>
      </c>
      <c r="F1393" s="116">
        <v>6765.55</v>
      </c>
      <c r="G1393">
        <v>4907</v>
      </c>
      <c r="H1393" s="116"/>
      <c r="I1393" s="116"/>
      <c r="L1393" s="170">
        <v>45621</v>
      </c>
      <c r="M1393" s="116">
        <v>6766.15</v>
      </c>
      <c r="N1393" s="116">
        <v>6821</v>
      </c>
      <c r="O1393" s="116">
        <v>6701.2</v>
      </c>
      <c r="P1393" s="116">
        <v>6810</v>
      </c>
      <c r="Q1393" s="116">
        <v>6766.15</v>
      </c>
      <c r="R1393">
        <v>369729</v>
      </c>
    </row>
    <row r="1394" spans="1:18" x14ac:dyDescent="0.25">
      <c r="A1394" s="170">
        <v>45622</v>
      </c>
      <c r="B1394" s="116">
        <v>6884.95</v>
      </c>
      <c r="C1394" s="116">
        <v>6875</v>
      </c>
      <c r="D1394" s="116">
        <v>6739.55</v>
      </c>
      <c r="E1394" s="116">
        <v>6780.7</v>
      </c>
      <c r="F1394" s="116">
        <v>6875</v>
      </c>
      <c r="G1394">
        <v>5288</v>
      </c>
      <c r="H1394" s="116"/>
      <c r="I1394" s="116"/>
      <c r="L1394" s="170">
        <v>45622</v>
      </c>
      <c r="M1394" s="116">
        <v>6872.65</v>
      </c>
      <c r="N1394" s="116">
        <v>6885</v>
      </c>
      <c r="O1394" s="116">
        <v>6740</v>
      </c>
      <c r="P1394" s="116">
        <v>6800</v>
      </c>
      <c r="Q1394" s="116">
        <v>6872.65</v>
      </c>
      <c r="R1394">
        <v>218029</v>
      </c>
    </row>
    <row r="1395" spans="1:18" x14ac:dyDescent="0.25">
      <c r="A1395" s="170">
        <v>45623</v>
      </c>
      <c r="B1395" s="116">
        <v>7082</v>
      </c>
      <c r="C1395" s="116">
        <v>7044.55</v>
      </c>
      <c r="D1395" s="116">
        <v>6823.2</v>
      </c>
      <c r="E1395" s="116">
        <v>6875</v>
      </c>
      <c r="F1395" s="116">
        <v>7044.55</v>
      </c>
      <c r="G1395">
        <v>19721</v>
      </c>
      <c r="H1395" s="116"/>
      <c r="I1395" s="116"/>
      <c r="L1395" s="170">
        <v>45623</v>
      </c>
      <c r="M1395" s="116">
        <v>7044</v>
      </c>
      <c r="N1395" s="116">
        <v>7087.45</v>
      </c>
      <c r="O1395" s="116">
        <v>6828.15</v>
      </c>
      <c r="P1395" s="116">
        <v>6870.5</v>
      </c>
      <c r="Q1395" s="116">
        <v>7044</v>
      </c>
      <c r="R1395">
        <v>497850</v>
      </c>
    </row>
    <row r="1396" spans="1:18" x14ac:dyDescent="0.25">
      <c r="A1396" s="170">
        <v>45624</v>
      </c>
      <c r="B1396" s="116">
        <v>7166.2</v>
      </c>
      <c r="C1396" s="116">
        <v>7149.1</v>
      </c>
      <c r="D1396" s="116">
        <v>7040</v>
      </c>
      <c r="E1396" s="116">
        <v>7078.45</v>
      </c>
      <c r="F1396" s="116">
        <v>7149.1</v>
      </c>
      <c r="G1396">
        <v>19066</v>
      </c>
      <c r="H1396" s="116"/>
      <c r="I1396" s="116"/>
      <c r="L1396" s="170">
        <v>45624</v>
      </c>
      <c r="M1396" s="116">
        <v>7149.2</v>
      </c>
      <c r="N1396" s="116">
        <v>7165.25</v>
      </c>
      <c r="O1396" s="116">
        <v>7039.3</v>
      </c>
      <c r="P1396" s="116">
        <v>7100</v>
      </c>
      <c r="Q1396" s="116">
        <v>7149.2</v>
      </c>
      <c r="R1396">
        <v>620605</v>
      </c>
    </row>
    <row r="1397" spans="1:18" x14ac:dyDescent="0.25">
      <c r="A1397" s="170">
        <v>45625</v>
      </c>
      <c r="B1397" s="116">
        <v>7317.65</v>
      </c>
      <c r="C1397" s="116">
        <v>7297.45</v>
      </c>
      <c r="D1397" s="116">
        <v>7116</v>
      </c>
      <c r="E1397" s="116">
        <v>7189.8</v>
      </c>
      <c r="F1397" s="116">
        <v>7297.45</v>
      </c>
      <c r="G1397">
        <v>14597</v>
      </c>
      <c r="H1397" s="116"/>
      <c r="I1397" s="116"/>
      <c r="L1397" s="170">
        <v>45625</v>
      </c>
      <c r="M1397" s="116">
        <v>7297.9</v>
      </c>
      <c r="N1397" s="116">
        <v>7320</v>
      </c>
      <c r="O1397" s="116">
        <v>7110</v>
      </c>
      <c r="P1397" s="116">
        <v>7175.5</v>
      </c>
      <c r="Q1397" s="116">
        <v>7297.9</v>
      </c>
      <c r="R1397">
        <v>500991</v>
      </c>
    </row>
    <row r="1398" spans="1:18" x14ac:dyDescent="0.25">
      <c r="A1398" s="170">
        <v>45628</v>
      </c>
      <c r="B1398" s="116">
        <v>7391</v>
      </c>
      <c r="C1398" s="116">
        <v>7352.85</v>
      </c>
      <c r="D1398" s="116">
        <v>7281.05</v>
      </c>
      <c r="E1398" s="116">
        <v>7281.05</v>
      </c>
      <c r="F1398" s="116">
        <v>7352.85</v>
      </c>
      <c r="G1398">
        <v>4740</v>
      </c>
      <c r="H1398" s="116"/>
      <c r="I1398" s="116"/>
      <c r="L1398" s="170">
        <v>45628</v>
      </c>
      <c r="M1398" s="116">
        <v>7351.95</v>
      </c>
      <c r="N1398" s="116">
        <v>7393</v>
      </c>
      <c r="O1398" s="116">
        <v>7290.15</v>
      </c>
      <c r="P1398" s="116">
        <v>7308</v>
      </c>
      <c r="Q1398" s="116">
        <v>7351.95</v>
      </c>
      <c r="R1398">
        <v>229302</v>
      </c>
    </row>
    <row r="1399" spans="1:18" x14ac:dyDescent="0.25">
      <c r="A1399" s="170">
        <v>45629</v>
      </c>
      <c r="B1399" s="116">
        <v>7428</v>
      </c>
      <c r="C1399" s="116">
        <v>7412</v>
      </c>
      <c r="D1399" s="116">
        <v>7303</v>
      </c>
      <c r="E1399" s="116">
        <v>7359.95</v>
      </c>
      <c r="F1399" s="116">
        <v>7412</v>
      </c>
      <c r="G1399">
        <v>10748</v>
      </c>
      <c r="H1399" s="116"/>
      <c r="I1399" s="116"/>
      <c r="L1399" s="170">
        <v>45629</v>
      </c>
      <c r="M1399" s="116">
        <v>7412.5</v>
      </c>
      <c r="N1399" s="116">
        <v>7429.15</v>
      </c>
      <c r="O1399" s="116">
        <v>7302</v>
      </c>
      <c r="P1399" s="116">
        <v>7352</v>
      </c>
      <c r="Q1399" s="116">
        <v>7412.5</v>
      </c>
      <c r="R1399">
        <v>270695</v>
      </c>
    </row>
    <row r="1400" spans="1:18" x14ac:dyDescent="0.25">
      <c r="A1400" s="170">
        <v>45630</v>
      </c>
      <c r="B1400" s="116">
        <v>7478.4</v>
      </c>
      <c r="C1400" s="116">
        <v>7297.55</v>
      </c>
      <c r="D1400" s="116">
        <v>7275</v>
      </c>
      <c r="E1400" s="116">
        <v>7413</v>
      </c>
      <c r="F1400" s="116">
        <v>7297.55</v>
      </c>
      <c r="G1400">
        <v>5936</v>
      </c>
      <c r="H1400" s="116"/>
      <c r="I1400" s="116"/>
      <c r="L1400" s="170">
        <v>45630</v>
      </c>
      <c r="M1400" s="116">
        <v>7300.1</v>
      </c>
      <c r="N1400" s="116">
        <v>7479</v>
      </c>
      <c r="O1400" s="116">
        <v>7272</v>
      </c>
      <c r="P1400" s="116">
        <v>7420.95</v>
      </c>
      <c r="Q1400" s="116">
        <v>7300.1</v>
      </c>
      <c r="R1400">
        <v>213014</v>
      </c>
    </row>
    <row r="1401" spans="1:18" x14ac:dyDescent="0.25">
      <c r="A1401" s="170">
        <v>45631</v>
      </c>
      <c r="B1401" s="116">
        <v>7384.45</v>
      </c>
      <c r="C1401" s="116">
        <v>7334.65</v>
      </c>
      <c r="D1401" s="116">
        <v>7275</v>
      </c>
      <c r="E1401" s="116">
        <v>7346.4</v>
      </c>
      <c r="F1401" s="116">
        <v>7334.65</v>
      </c>
      <c r="G1401">
        <v>3827</v>
      </c>
      <c r="H1401" s="116"/>
      <c r="I1401" s="116"/>
      <c r="L1401" s="170">
        <v>45631</v>
      </c>
      <c r="M1401" s="116">
        <v>7341.6</v>
      </c>
      <c r="N1401" s="116">
        <v>7386.85</v>
      </c>
      <c r="O1401" s="116">
        <v>7273.65</v>
      </c>
      <c r="P1401" s="116">
        <v>7325.3</v>
      </c>
      <c r="Q1401" s="116">
        <v>7341.6</v>
      </c>
      <c r="R1401">
        <v>299865</v>
      </c>
    </row>
    <row r="1402" spans="1:18" x14ac:dyDescent="0.25">
      <c r="A1402" s="170">
        <v>45632</v>
      </c>
      <c r="B1402" s="116">
        <v>7360</v>
      </c>
      <c r="C1402" s="116">
        <v>7319.4</v>
      </c>
      <c r="D1402" s="116">
        <v>7285</v>
      </c>
      <c r="E1402" s="116">
        <v>7350.25</v>
      </c>
      <c r="F1402" s="116">
        <v>7319.4</v>
      </c>
      <c r="G1402">
        <v>2279</v>
      </c>
      <c r="H1402" s="116"/>
      <c r="I1402" s="116"/>
      <c r="L1402" s="170">
        <v>45632</v>
      </c>
      <c r="M1402" s="116">
        <v>7317.95</v>
      </c>
      <c r="N1402" s="116">
        <v>7362.4</v>
      </c>
      <c r="O1402" s="116">
        <v>7281.95</v>
      </c>
      <c r="P1402" s="116">
        <v>7362.4</v>
      </c>
      <c r="Q1402" s="116">
        <v>7317.95</v>
      </c>
      <c r="R1402">
        <v>106871</v>
      </c>
    </row>
    <row r="1403" spans="1:18" x14ac:dyDescent="0.25">
      <c r="A1403" s="170">
        <v>45635</v>
      </c>
      <c r="B1403" s="116">
        <v>7475.4</v>
      </c>
      <c r="C1403" s="116">
        <v>7446.2</v>
      </c>
      <c r="D1403" s="116">
        <v>7292.45</v>
      </c>
      <c r="E1403" s="116">
        <v>7310.05</v>
      </c>
      <c r="F1403" s="116">
        <v>7446.2</v>
      </c>
      <c r="G1403">
        <v>14470</v>
      </c>
      <c r="H1403" s="116"/>
      <c r="I1403" s="116"/>
      <c r="L1403" s="170">
        <v>45635</v>
      </c>
      <c r="M1403" s="116">
        <v>7438.4</v>
      </c>
      <c r="N1403" s="116">
        <v>7451</v>
      </c>
      <c r="O1403" s="116">
        <v>7295.1</v>
      </c>
      <c r="P1403" s="116">
        <v>7317.95</v>
      </c>
      <c r="Q1403" s="116">
        <v>7438.4</v>
      </c>
      <c r="R1403">
        <v>228256</v>
      </c>
    </row>
    <row r="1404" spans="1:18" x14ac:dyDescent="0.25">
      <c r="A1404" s="170">
        <v>45636</v>
      </c>
      <c r="B1404" s="116">
        <v>7466.55</v>
      </c>
      <c r="C1404" s="116">
        <v>7440.75</v>
      </c>
      <c r="D1404" s="116">
        <v>7370.8</v>
      </c>
      <c r="E1404" s="116">
        <v>7438.2</v>
      </c>
      <c r="F1404" s="116">
        <v>7440.75</v>
      </c>
      <c r="G1404">
        <v>8094</v>
      </c>
      <c r="H1404" s="116"/>
      <c r="I1404" s="116"/>
      <c r="L1404" s="170">
        <v>45636</v>
      </c>
      <c r="M1404" s="116">
        <v>7442.85</v>
      </c>
      <c r="N1404" s="116">
        <v>7470</v>
      </c>
      <c r="O1404" s="116">
        <v>7373.65</v>
      </c>
      <c r="P1404" s="116">
        <v>7450</v>
      </c>
      <c r="Q1404" s="116">
        <v>7442.85</v>
      </c>
      <c r="R1404">
        <v>233072</v>
      </c>
    </row>
    <row r="1405" spans="1:18" x14ac:dyDescent="0.25">
      <c r="A1405" s="170">
        <v>45637</v>
      </c>
      <c r="B1405" s="116">
        <v>7450.55</v>
      </c>
      <c r="C1405" s="116">
        <v>7397.75</v>
      </c>
      <c r="D1405" s="116">
        <v>7385.7</v>
      </c>
      <c r="E1405" s="116">
        <v>7441.4</v>
      </c>
      <c r="F1405" s="116">
        <v>7397.75</v>
      </c>
      <c r="G1405">
        <v>2819</v>
      </c>
      <c r="H1405" s="116"/>
      <c r="I1405" s="116"/>
      <c r="L1405" s="170">
        <v>45637</v>
      </c>
      <c r="M1405" s="116">
        <v>7401.25</v>
      </c>
      <c r="N1405" s="116">
        <v>7458.45</v>
      </c>
      <c r="O1405" s="116">
        <v>7385</v>
      </c>
      <c r="P1405" s="116">
        <v>7458.45</v>
      </c>
      <c r="Q1405" s="116">
        <v>7401.25</v>
      </c>
      <c r="R1405">
        <v>96608</v>
      </c>
    </row>
    <row r="1406" spans="1:18" x14ac:dyDescent="0.25">
      <c r="A1406" s="170">
        <v>45638</v>
      </c>
      <c r="B1406" s="116">
        <v>7525.05</v>
      </c>
      <c r="C1406" s="116">
        <v>7484.45</v>
      </c>
      <c r="D1406" s="116">
        <v>7390.15</v>
      </c>
      <c r="E1406" s="116">
        <v>7443.95</v>
      </c>
      <c r="F1406" s="116">
        <v>7484.45</v>
      </c>
      <c r="G1406">
        <v>3615</v>
      </c>
      <c r="H1406" s="116"/>
      <c r="I1406" s="116"/>
      <c r="L1406" s="170">
        <v>45638</v>
      </c>
      <c r="M1406" s="116">
        <v>7486.4</v>
      </c>
      <c r="N1406" s="116">
        <v>7524.8</v>
      </c>
      <c r="O1406" s="116">
        <v>7385</v>
      </c>
      <c r="P1406" s="116">
        <v>7401.25</v>
      </c>
      <c r="Q1406" s="116">
        <v>7486.4</v>
      </c>
      <c r="R1406">
        <v>206603</v>
      </c>
    </row>
    <row r="1407" spans="1:18" x14ac:dyDescent="0.25">
      <c r="A1407" s="170">
        <v>45639</v>
      </c>
      <c r="B1407" s="116">
        <v>7563.2</v>
      </c>
      <c r="C1407" s="116">
        <v>7521.75</v>
      </c>
      <c r="D1407" s="116">
        <v>7405</v>
      </c>
      <c r="E1407" s="116">
        <v>7450.05</v>
      </c>
      <c r="F1407" s="116">
        <v>7521.75</v>
      </c>
      <c r="G1407">
        <v>3410</v>
      </c>
      <c r="H1407" s="116"/>
      <c r="I1407" s="116"/>
      <c r="L1407" s="170">
        <v>45639</v>
      </c>
      <c r="M1407" s="116">
        <v>7522.15</v>
      </c>
      <c r="N1407" s="116">
        <v>7565</v>
      </c>
      <c r="O1407" s="116">
        <v>7402.45</v>
      </c>
      <c r="P1407" s="116">
        <v>7459.95</v>
      </c>
      <c r="Q1407" s="116">
        <v>7522.15</v>
      </c>
      <c r="R1407">
        <v>320336</v>
      </c>
    </row>
    <row r="1408" spans="1:18" x14ac:dyDescent="0.25">
      <c r="A1408" s="170">
        <v>45642</v>
      </c>
      <c r="B1408" s="116">
        <v>7595.5</v>
      </c>
      <c r="C1408" s="116">
        <v>7543.1</v>
      </c>
      <c r="D1408" s="116">
        <v>7508.15</v>
      </c>
      <c r="E1408" s="116">
        <v>7521.75</v>
      </c>
      <c r="F1408" s="116">
        <v>7543.1</v>
      </c>
      <c r="G1408">
        <v>2396</v>
      </c>
      <c r="H1408" s="116"/>
      <c r="I1408" s="116"/>
      <c r="L1408" s="170">
        <v>45642</v>
      </c>
      <c r="M1408" s="116">
        <v>7541.35</v>
      </c>
      <c r="N1408" s="116">
        <v>7595</v>
      </c>
      <c r="O1408" s="116">
        <v>7505</v>
      </c>
      <c r="P1408" s="116">
        <v>7529.35</v>
      </c>
      <c r="Q1408" s="116">
        <v>7541.35</v>
      </c>
      <c r="R1408">
        <v>150287</v>
      </c>
    </row>
    <row r="1409" spans="1:18" x14ac:dyDescent="0.25">
      <c r="A1409" s="170">
        <v>45643</v>
      </c>
      <c r="B1409" s="116">
        <v>7547.7</v>
      </c>
      <c r="C1409" s="116">
        <v>7474.35</v>
      </c>
      <c r="D1409" s="116">
        <v>7450.85</v>
      </c>
      <c r="E1409" s="116">
        <v>7527.75</v>
      </c>
      <c r="F1409" s="116">
        <v>7474.35</v>
      </c>
      <c r="G1409">
        <v>6265</v>
      </c>
      <c r="H1409" s="116"/>
      <c r="I1409" s="116"/>
      <c r="L1409" s="170">
        <v>45643</v>
      </c>
      <c r="M1409" s="116">
        <v>7483.05</v>
      </c>
      <c r="N1409" s="116">
        <v>7550</v>
      </c>
      <c r="O1409" s="116">
        <v>7451</v>
      </c>
      <c r="P1409" s="116">
        <v>7550</v>
      </c>
      <c r="Q1409" s="116">
        <v>7483.05</v>
      </c>
      <c r="R1409">
        <v>199765</v>
      </c>
    </row>
    <row r="1410" spans="1:18" x14ac:dyDescent="0.25">
      <c r="A1410" s="170">
        <v>45644</v>
      </c>
      <c r="B1410" s="116">
        <v>7490</v>
      </c>
      <c r="C1410" s="116">
        <v>7408.85</v>
      </c>
      <c r="D1410" s="116">
        <v>7380</v>
      </c>
      <c r="E1410" s="116">
        <v>7480</v>
      </c>
      <c r="F1410" s="116">
        <v>7408.85</v>
      </c>
      <c r="G1410">
        <v>3798</v>
      </c>
      <c r="H1410" s="116"/>
      <c r="I1410" s="116"/>
      <c r="L1410" s="170">
        <v>45644</v>
      </c>
      <c r="M1410" s="116">
        <v>7413.35</v>
      </c>
      <c r="N1410" s="116">
        <v>7495.15</v>
      </c>
      <c r="O1410" s="116">
        <v>7372.1</v>
      </c>
      <c r="P1410" s="116">
        <v>7483.05</v>
      </c>
      <c r="Q1410" s="116">
        <v>7413.35</v>
      </c>
      <c r="R1410">
        <v>167097</v>
      </c>
    </row>
    <row r="1411" spans="1:18" x14ac:dyDescent="0.25">
      <c r="A1411" s="170">
        <v>45645</v>
      </c>
      <c r="B1411" s="116">
        <v>7510</v>
      </c>
      <c r="C1411" s="116">
        <v>7487.45</v>
      </c>
      <c r="D1411" s="116">
        <v>7296.4</v>
      </c>
      <c r="E1411" s="116">
        <v>7399.65</v>
      </c>
      <c r="F1411" s="116">
        <v>7487.45</v>
      </c>
      <c r="G1411">
        <v>6225</v>
      </c>
      <c r="H1411" s="116"/>
      <c r="I1411" s="116"/>
      <c r="L1411" s="170">
        <v>45645</v>
      </c>
      <c r="M1411" s="116">
        <v>7493.5</v>
      </c>
      <c r="N1411" s="116">
        <v>7512.1</v>
      </c>
      <c r="O1411" s="116">
        <v>7300</v>
      </c>
      <c r="P1411" s="116">
        <v>7350</v>
      </c>
      <c r="Q1411" s="116">
        <v>7493.5</v>
      </c>
      <c r="R1411">
        <v>240206</v>
      </c>
    </row>
    <row r="1412" spans="1:18" x14ac:dyDescent="0.25">
      <c r="A1412" s="170">
        <v>45646</v>
      </c>
      <c r="B1412" s="116">
        <v>7590.4</v>
      </c>
      <c r="C1412" s="116">
        <v>7180.7</v>
      </c>
      <c r="D1412" s="116">
        <v>7151</v>
      </c>
      <c r="E1412" s="116">
        <v>7500.05</v>
      </c>
      <c r="F1412" s="116">
        <v>7180.7</v>
      </c>
      <c r="G1412">
        <v>5991</v>
      </c>
      <c r="H1412" s="116"/>
      <c r="I1412" s="116"/>
      <c r="L1412" s="170">
        <v>45646</v>
      </c>
      <c r="M1412" s="116">
        <v>7178.25</v>
      </c>
      <c r="N1412" s="116">
        <v>7593.5</v>
      </c>
      <c r="O1412" s="116">
        <v>7150.1</v>
      </c>
      <c r="P1412" s="116">
        <v>7510</v>
      </c>
      <c r="Q1412" s="116">
        <v>7178.25</v>
      </c>
      <c r="R1412">
        <v>340963</v>
      </c>
    </row>
    <row r="1413" spans="1:18" x14ac:dyDescent="0.25">
      <c r="A1413" s="170">
        <v>45649</v>
      </c>
      <c r="B1413" s="116">
        <v>7266.1</v>
      </c>
      <c r="C1413" s="116">
        <v>7116.65</v>
      </c>
      <c r="D1413" s="116">
        <v>7083</v>
      </c>
      <c r="E1413" s="116">
        <v>7160.4</v>
      </c>
      <c r="F1413" s="116">
        <v>7116.65</v>
      </c>
      <c r="G1413">
        <v>9467</v>
      </c>
      <c r="H1413" s="116"/>
      <c r="I1413" s="116"/>
      <c r="L1413" s="170">
        <v>45649</v>
      </c>
      <c r="M1413" s="116">
        <v>7118.35</v>
      </c>
      <c r="N1413" s="116">
        <v>7268.45</v>
      </c>
      <c r="O1413" s="116">
        <v>7081.65</v>
      </c>
      <c r="P1413" s="116">
        <v>7180</v>
      </c>
      <c r="Q1413" s="116">
        <v>7118.35</v>
      </c>
      <c r="R1413">
        <v>245937</v>
      </c>
    </row>
    <row r="1414" spans="1:18" x14ac:dyDescent="0.25">
      <c r="A1414" s="170">
        <v>45650</v>
      </c>
      <c r="B1414" s="116">
        <v>7149.85</v>
      </c>
      <c r="C1414" s="116">
        <v>7090.2</v>
      </c>
      <c r="D1414" s="116">
        <v>7022.2</v>
      </c>
      <c r="E1414" s="116">
        <v>7149.85</v>
      </c>
      <c r="F1414" s="116">
        <v>7090.2</v>
      </c>
      <c r="G1414">
        <v>3304</v>
      </c>
      <c r="H1414" s="116"/>
      <c r="I1414" s="116"/>
      <c r="L1414" s="170">
        <v>45650</v>
      </c>
      <c r="M1414" s="116">
        <v>7091.85</v>
      </c>
      <c r="N1414" s="116">
        <v>7149</v>
      </c>
      <c r="O1414" s="116">
        <v>7022</v>
      </c>
      <c r="P1414" s="116">
        <v>7118.35</v>
      </c>
      <c r="Q1414" s="116">
        <v>7091.85</v>
      </c>
      <c r="R1414">
        <v>122770</v>
      </c>
    </row>
    <row r="1415" spans="1:18" x14ac:dyDescent="0.25">
      <c r="A1415" s="170">
        <v>45652</v>
      </c>
      <c r="B1415" s="116">
        <v>7163.55</v>
      </c>
      <c r="C1415" s="116">
        <v>7147</v>
      </c>
      <c r="D1415" s="116">
        <v>7048.7</v>
      </c>
      <c r="E1415" s="116">
        <v>7091.85</v>
      </c>
      <c r="F1415" s="116">
        <v>7147</v>
      </c>
      <c r="G1415">
        <v>5420</v>
      </c>
      <c r="H1415" s="116"/>
      <c r="I1415" s="116"/>
      <c r="L1415" s="170">
        <v>45652</v>
      </c>
      <c r="M1415" s="116">
        <v>7144.6</v>
      </c>
      <c r="N1415" s="116">
        <v>7160.5</v>
      </c>
      <c r="O1415" s="116">
        <v>7050</v>
      </c>
      <c r="P1415" s="116">
        <v>7091.85</v>
      </c>
      <c r="Q1415" s="116">
        <v>7144.6</v>
      </c>
      <c r="R1415">
        <v>153820</v>
      </c>
    </row>
    <row r="1416" spans="1:18" x14ac:dyDescent="0.25">
      <c r="A1416" s="170">
        <v>45653</v>
      </c>
      <c r="B1416" s="116">
        <v>7198.05</v>
      </c>
      <c r="C1416" s="116">
        <v>7150.9</v>
      </c>
      <c r="D1416" s="116">
        <v>7082.35</v>
      </c>
      <c r="E1416" s="116">
        <v>7147</v>
      </c>
      <c r="F1416" s="116">
        <v>7150.9</v>
      </c>
      <c r="G1416">
        <v>6604</v>
      </c>
      <c r="H1416" s="116"/>
      <c r="I1416" s="116"/>
      <c r="L1416" s="170">
        <v>45653</v>
      </c>
      <c r="M1416" s="116">
        <v>7149.25</v>
      </c>
      <c r="N1416" s="116">
        <v>7200</v>
      </c>
      <c r="O1416" s="116">
        <v>7086</v>
      </c>
      <c r="P1416" s="116">
        <v>7144.6</v>
      </c>
      <c r="Q1416" s="116">
        <v>7149.25</v>
      </c>
      <c r="R1416">
        <v>147479</v>
      </c>
    </row>
    <row r="1417" spans="1:18" x14ac:dyDescent="0.25">
      <c r="A1417" s="170">
        <v>45656</v>
      </c>
      <c r="B1417" s="116">
        <v>7321</v>
      </c>
      <c r="C1417" s="116">
        <v>7284.05</v>
      </c>
      <c r="D1417" s="116">
        <v>7142.4</v>
      </c>
      <c r="E1417" s="116">
        <v>7143.65</v>
      </c>
      <c r="F1417" s="116">
        <v>7284.05</v>
      </c>
      <c r="G1417">
        <v>9340</v>
      </c>
      <c r="H1417" s="116"/>
      <c r="I1417" s="116"/>
      <c r="L1417" s="170">
        <v>45656</v>
      </c>
      <c r="M1417" s="116">
        <v>7283.65</v>
      </c>
      <c r="N1417" s="116">
        <v>7328</v>
      </c>
      <c r="O1417" s="116">
        <v>7145.2</v>
      </c>
      <c r="P1417" s="116">
        <v>7185</v>
      </c>
      <c r="Q1417" s="116">
        <v>7283.65</v>
      </c>
      <c r="R1417">
        <v>378267</v>
      </c>
    </row>
    <row r="1418" spans="1:18" x14ac:dyDescent="0.25">
      <c r="A1418" s="170">
        <v>45657</v>
      </c>
      <c r="B1418" s="116">
        <v>7356.05</v>
      </c>
      <c r="C1418" s="116">
        <v>7271.55</v>
      </c>
      <c r="D1418" s="116">
        <v>7183.6</v>
      </c>
      <c r="E1418" s="116">
        <v>7270.05</v>
      </c>
      <c r="F1418" s="116">
        <v>7271.55</v>
      </c>
      <c r="G1418">
        <v>6173</v>
      </c>
      <c r="H1418" s="116"/>
      <c r="I1418" s="116"/>
      <c r="L1418" s="170">
        <v>45657</v>
      </c>
      <c r="M1418" s="116">
        <v>7272.35</v>
      </c>
      <c r="N1418" s="116">
        <v>7362.7</v>
      </c>
      <c r="O1418" s="116">
        <v>7182.05</v>
      </c>
      <c r="P1418" s="116">
        <v>7290</v>
      </c>
      <c r="Q1418" s="116">
        <v>7272.35</v>
      </c>
      <c r="R1418">
        <v>164893</v>
      </c>
    </row>
    <row r="1419" spans="1:18" x14ac:dyDescent="0.25">
      <c r="A1419" s="170">
        <v>45658</v>
      </c>
      <c r="B1419" s="116">
        <v>7350.45</v>
      </c>
      <c r="C1419" s="116">
        <v>7342.25</v>
      </c>
      <c r="D1419" s="116">
        <v>7204.2</v>
      </c>
      <c r="E1419" s="116">
        <v>7299.95</v>
      </c>
      <c r="F1419" s="116">
        <v>7342.25</v>
      </c>
      <c r="G1419">
        <v>4199</v>
      </c>
      <c r="H1419" s="116"/>
      <c r="I1419" s="116"/>
      <c r="L1419" s="170">
        <v>45658</v>
      </c>
      <c r="M1419" s="116">
        <v>7341.4</v>
      </c>
      <c r="N1419" s="116">
        <v>7365.8</v>
      </c>
      <c r="O1419" s="116">
        <v>7202.8</v>
      </c>
      <c r="P1419" s="116">
        <v>7285</v>
      </c>
      <c r="Q1419" s="116">
        <v>7341.4</v>
      </c>
      <c r="R1419">
        <v>113918</v>
      </c>
    </row>
    <row r="1420" spans="1:18" x14ac:dyDescent="0.25">
      <c r="A1420" s="170">
        <v>45659</v>
      </c>
      <c r="B1420" s="116">
        <v>7438.4</v>
      </c>
      <c r="C1420" s="116">
        <v>7384.4</v>
      </c>
      <c r="D1420" s="116">
        <v>7281.05</v>
      </c>
      <c r="E1420" s="116">
        <v>7399.95</v>
      </c>
      <c r="F1420" s="116">
        <v>7384.4</v>
      </c>
      <c r="G1420">
        <v>6007</v>
      </c>
      <c r="H1420" s="116"/>
      <c r="I1420" s="116"/>
      <c r="L1420" s="170">
        <v>45659</v>
      </c>
      <c r="M1420" s="116">
        <v>7390.65</v>
      </c>
      <c r="N1420" s="116">
        <v>7440</v>
      </c>
      <c r="O1420" s="116">
        <v>7280.05</v>
      </c>
      <c r="P1420" s="116">
        <v>7341.4</v>
      </c>
      <c r="Q1420" s="116">
        <v>7390.65</v>
      </c>
      <c r="R1420">
        <v>162726</v>
      </c>
    </row>
    <row r="1421" spans="1:18" x14ac:dyDescent="0.25">
      <c r="A1421" s="170">
        <v>45660</v>
      </c>
      <c r="B1421" s="116">
        <v>7449.45</v>
      </c>
      <c r="C1421" s="116">
        <v>7220.85</v>
      </c>
      <c r="D1421" s="116">
        <v>7168.7</v>
      </c>
      <c r="E1421" s="116">
        <v>7449.45</v>
      </c>
      <c r="F1421" s="116">
        <v>7220.85</v>
      </c>
      <c r="G1421">
        <v>5149</v>
      </c>
      <c r="H1421" s="116"/>
      <c r="I1421" s="116"/>
      <c r="L1421" s="170">
        <v>45660</v>
      </c>
      <c r="M1421" s="116">
        <v>7208</v>
      </c>
      <c r="N1421" s="116">
        <v>7438</v>
      </c>
      <c r="O1421" s="116">
        <v>7169.7</v>
      </c>
      <c r="P1421" s="116">
        <v>7400</v>
      </c>
      <c r="Q1421" s="116">
        <v>7208</v>
      </c>
      <c r="R1421">
        <v>209835</v>
      </c>
    </row>
    <row r="1422" spans="1:18" x14ac:dyDescent="0.25">
      <c r="A1422" s="170">
        <v>45663</v>
      </c>
      <c r="B1422" s="116">
        <v>7259.95</v>
      </c>
      <c r="C1422" s="116">
        <v>6944.25</v>
      </c>
      <c r="D1422" s="116">
        <v>6925.55</v>
      </c>
      <c r="E1422" s="116">
        <v>7259.95</v>
      </c>
      <c r="F1422" s="116">
        <v>6944.25</v>
      </c>
      <c r="G1422">
        <v>14259</v>
      </c>
      <c r="H1422" s="116"/>
      <c r="I1422" s="116"/>
      <c r="L1422" s="170">
        <v>45663</v>
      </c>
      <c r="M1422" s="116">
        <v>6948.35</v>
      </c>
      <c r="N1422" s="116">
        <v>7235.55</v>
      </c>
      <c r="O1422" s="116">
        <v>6925.6</v>
      </c>
      <c r="P1422" s="116">
        <v>7215</v>
      </c>
      <c r="Q1422" s="116">
        <v>6948.35</v>
      </c>
      <c r="R1422">
        <v>268937</v>
      </c>
    </row>
    <row r="1423" spans="1:18" x14ac:dyDescent="0.25">
      <c r="A1423" s="170">
        <v>45664</v>
      </c>
      <c r="B1423" s="116">
        <v>7189</v>
      </c>
      <c r="C1423" s="116">
        <v>7161.3</v>
      </c>
      <c r="D1423" s="116">
        <v>6949.25</v>
      </c>
      <c r="E1423" s="116">
        <v>6949.25</v>
      </c>
      <c r="F1423" s="116">
        <v>7161.3</v>
      </c>
      <c r="G1423">
        <v>7071</v>
      </c>
      <c r="H1423" s="116"/>
      <c r="I1423" s="116"/>
      <c r="L1423" s="170">
        <v>45664</v>
      </c>
      <c r="M1423" s="116">
        <v>7162.85</v>
      </c>
      <c r="N1423" s="116">
        <v>7190</v>
      </c>
      <c r="O1423" s="116">
        <v>6968.9</v>
      </c>
      <c r="P1423" s="116">
        <v>7009.9</v>
      </c>
      <c r="Q1423" s="116">
        <v>7162.85</v>
      </c>
      <c r="R1423">
        <v>262756</v>
      </c>
    </row>
    <row r="1424" spans="1:18" x14ac:dyDescent="0.25">
      <c r="A1424" s="170">
        <v>45665</v>
      </c>
      <c r="B1424" s="116">
        <v>7161.1</v>
      </c>
      <c r="C1424" s="116">
        <v>6916.15</v>
      </c>
      <c r="D1424" s="116">
        <v>6825</v>
      </c>
      <c r="E1424" s="116">
        <v>7161.1</v>
      </c>
      <c r="F1424" s="116">
        <v>6916.15</v>
      </c>
      <c r="G1424">
        <v>7184</v>
      </c>
      <c r="H1424" s="116"/>
      <c r="I1424" s="116"/>
      <c r="L1424" s="170">
        <v>45665</v>
      </c>
      <c r="M1424" s="116">
        <v>6904.6</v>
      </c>
      <c r="N1424" s="116">
        <v>7150</v>
      </c>
      <c r="O1424" s="116">
        <v>6820.05</v>
      </c>
      <c r="P1424" s="116">
        <v>7150</v>
      </c>
      <c r="Q1424" s="116">
        <v>6904.6</v>
      </c>
      <c r="R1424">
        <v>271536</v>
      </c>
    </row>
    <row r="1425" spans="1:18" x14ac:dyDescent="0.25">
      <c r="A1425" s="170">
        <v>45666</v>
      </c>
      <c r="B1425" s="116">
        <v>6979.05</v>
      </c>
      <c r="C1425" s="116">
        <v>6749.4</v>
      </c>
      <c r="D1425" s="116">
        <v>6737.55</v>
      </c>
      <c r="E1425" s="116">
        <v>6979.05</v>
      </c>
      <c r="F1425" s="116">
        <v>6749.4</v>
      </c>
      <c r="G1425">
        <v>8278</v>
      </c>
      <c r="H1425" s="116"/>
      <c r="I1425" s="116"/>
      <c r="L1425" s="170">
        <v>45666</v>
      </c>
      <c r="M1425" s="116">
        <v>6749.3</v>
      </c>
      <c r="N1425" s="116">
        <v>7000</v>
      </c>
      <c r="O1425" s="116">
        <v>6734.95</v>
      </c>
      <c r="P1425" s="116">
        <v>7000</v>
      </c>
      <c r="Q1425" s="116">
        <v>6749.3</v>
      </c>
      <c r="R1425">
        <v>174394</v>
      </c>
    </row>
    <row r="1426" spans="1:18" x14ac:dyDescent="0.25">
      <c r="A1426" s="170">
        <v>45667</v>
      </c>
      <c r="B1426" s="116">
        <v>6749</v>
      </c>
      <c r="C1426" s="116">
        <v>6537.3</v>
      </c>
      <c r="D1426" s="116">
        <v>6500.5</v>
      </c>
      <c r="E1426" s="116">
        <v>6726.15</v>
      </c>
      <c r="F1426" s="116">
        <v>6537.3</v>
      </c>
      <c r="G1426">
        <v>14577</v>
      </c>
      <c r="H1426" s="116"/>
      <c r="I1426" s="116"/>
      <c r="L1426" s="170">
        <v>45667</v>
      </c>
      <c r="M1426" s="116">
        <v>6538.95</v>
      </c>
      <c r="N1426" s="116">
        <v>6760</v>
      </c>
      <c r="O1426" s="116">
        <v>6500</v>
      </c>
      <c r="P1426" s="116">
        <v>6750.6</v>
      </c>
      <c r="Q1426" s="116">
        <v>6538.95</v>
      </c>
      <c r="R1426">
        <v>177818</v>
      </c>
    </row>
    <row r="1427" spans="1:18" x14ac:dyDescent="0.25">
      <c r="A1427" s="170">
        <v>45670</v>
      </c>
      <c r="B1427" s="116">
        <v>6530</v>
      </c>
      <c r="C1427" s="116">
        <v>6249.55</v>
      </c>
      <c r="D1427" s="116">
        <v>6230.35</v>
      </c>
      <c r="E1427" s="116">
        <v>6477.8</v>
      </c>
      <c r="F1427" s="116">
        <v>6249.55</v>
      </c>
      <c r="G1427">
        <v>9202</v>
      </c>
      <c r="H1427" s="116"/>
      <c r="I1427" s="116"/>
      <c r="L1427" s="170">
        <v>45670</v>
      </c>
      <c r="M1427" s="116">
        <v>6251.8</v>
      </c>
      <c r="N1427" s="116">
        <v>6537.3</v>
      </c>
      <c r="O1427" s="116">
        <v>6228.15</v>
      </c>
      <c r="P1427" s="116">
        <v>6451.05</v>
      </c>
      <c r="Q1427" s="116">
        <v>6251.8</v>
      </c>
      <c r="R1427">
        <v>282470</v>
      </c>
    </row>
    <row r="1428" spans="1:18" x14ac:dyDescent="0.25">
      <c r="A1428" s="170">
        <v>45671</v>
      </c>
      <c r="B1428" s="116">
        <v>6500.95</v>
      </c>
      <c r="C1428" s="116">
        <v>6477</v>
      </c>
      <c r="D1428" s="116">
        <v>6185.8</v>
      </c>
      <c r="E1428" s="116">
        <v>6251.8</v>
      </c>
      <c r="F1428" s="116">
        <v>6477</v>
      </c>
      <c r="G1428">
        <v>9871</v>
      </c>
      <c r="H1428" s="116"/>
      <c r="I1428" s="116"/>
      <c r="L1428" s="170">
        <v>45671</v>
      </c>
      <c r="M1428" s="116">
        <v>6474.7</v>
      </c>
      <c r="N1428" s="116">
        <v>6508.35</v>
      </c>
      <c r="O1428" s="116">
        <v>6185.55</v>
      </c>
      <c r="P1428" s="116">
        <v>6259.9</v>
      </c>
      <c r="Q1428" s="116">
        <v>6474.7</v>
      </c>
      <c r="R1428">
        <v>566958</v>
      </c>
    </row>
    <row r="1429" spans="1:18" x14ac:dyDescent="0.25">
      <c r="A1429" s="170">
        <v>45672</v>
      </c>
      <c r="B1429" s="116">
        <v>6598.15</v>
      </c>
      <c r="C1429" s="116">
        <v>6455.15</v>
      </c>
      <c r="D1429" s="116">
        <v>6390.6</v>
      </c>
      <c r="E1429" s="116">
        <v>6559.95</v>
      </c>
      <c r="F1429" s="116">
        <v>6455.15</v>
      </c>
      <c r="G1429">
        <v>11482</v>
      </c>
      <c r="H1429" s="116"/>
      <c r="I1429" s="116"/>
      <c r="L1429" s="170">
        <v>45672</v>
      </c>
      <c r="M1429" s="116">
        <v>6450.8</v>
      </c>
      <c r="N1429" s="116">
        <v>6599</v>
      </c>
      <c r="O1429" s="116">
        <v>6390.15</v>
      </c>
      <c r="P1429" s="116">
        <v>6500</v>
      </c>
      <c r="Q1429" s="116">
        <v>6450.8</v>
      </c>
      <c r="R1429">
        <v>325741</v>
      </c>
    </row>
    <row r="1430" spans="1:18" x14ac:dyDescent="0.25">
      <c r="A1430" s="170">
        <v>45673</v>
      </c>
      <c r="B1430" s="116">
        <v>6707</v>
      </c>
      <c r="C1430" s="116">
        <v>6666.45</v>
      </c>
      <c r="D1430" s="116">
        <v>6522.05</v>
      </c>
      <c r="E1430" s="116">
        <v>6579.55</v>
      </c>
      <c r="F1430" s="116">
        <v>6666.45</v>
      </c>
      <c r="G1430">
        <v>10221</v>
      </c>
      <c r="H1430" s="116"/>
      <c r="I1430" s="116"/>
      <c r="L1430" s="170">
        <v>45673</v>
      </c>
      <c r="M1430" s="116">
        <v>6665.35</v>
      </c>
      <c r="N1430" s="116">
        <v>6710</v>
      </c>
      <c r="O1430" s="116">
        <v>6522.3</v>
      </c>
      <c r="P1430" s="116">
        <v>6522.3</v>
      </c>
      <c r="Q1430" s="116">
        <v>6665.35</v>
      </c>
      <c r="R1430">
        <v>213590</v>
      </c>
    </row>
    <row r="1431" spans="1:18" x14ac:dyDescent="0.25">
      <c r="A1431" s="170">
        <v>45674</v>
      </c>
      <c r="B1431" s="116">
        <v>6820</v>
      </c>
      <c r="C1431" s="116">
        <v>6781.1</v>
      </c>
      <c r="D1431" s="116">
        <v>6600</v>
      </c>
      <c r="E1431" s="116">
        <v>6639.95</v>
      </c>
      <c r="F1431" s="116">
        <v>6781.1</v>
      </c>
      <c r="G1431">
        <v>10730</v>
      </c>
      <c r="H1431" s="116"/>
      <c r="I1431" s="116"/>
      <c r="L1431" s="170">
        <v>45674</v>
      </c>
      <c r="M1431" s="116">
        <v>6779.7</v>
      </c>
      <c r="N1431" s="116">
        <v>6824</v>
      </c>
      <c r="O1431" s="116">
        <v>6592</v>
      </c>
      <c r="P1431" s="116">
        <v>6592</v>
      </c>
      <c r="Q1431" s="116">
        <v>6779.7</v>
      </c>
      <c r="R1431">
        <v>358371</v>
      </c>
    </row>
    <row r="1432" spans="1:18" x14ac:dyDescent="0.25">
      <c r="A1432" s="170">
        <v>45677</v>
      </c>
      <c r="B1432" s="116">
        <v>6824.55</v>
      </c>
      <c r="C1432" s="116">
        <v>6803.45</v>
      </c>
      <c r="D1432" s="116">
        <v>6699.8</v>
      </c>
      <c r="E1432" s="116">
        <v>6824.55</v>
      </c>
      <c r="F1432" s="116">
        <v>6803.45</v>
      </c>
      <c r="G1432">
        <v>7880</v>
      </c>
      <c r="H1432" s="116"/>
      <c r="I1432" s="116"/>
      <c r="L1432" s="170">
        <v>45677</v>
      </c>
      <c r="M1432" s="116">
        <v>6807.55</v>
      </c>
      <c r="N1432" s="116">
        <v>6825</v>
      </c>
      <c r="O1432" s="116">
        <v>6700</v>
      </c>
      <c r="P1432" s="116">
        <v>6790</v>
      </c>
      <c r="Q1432" s="116">
        <v>6807.55</v>
      </c>
      <c r="R1432">
        <v>138197</v>
      </c>
    </row>
    <row r="1433" spans="1:18" x14ac:dyDescent="0.25">
      <c r="A1433" s="170">
        <v>45678</v>
      </c>
      <c r="B1433" s="116">
        <v>6815</v>
      </c>
      <c r="C1433" s="116">
        <v>6562.85</v>
      </c>
      <c r="D1433" s="116">
        <v>6530</v>
      </c>
      <c r="E1433" s="116">
        <v>6804.95</v>
      </c>
      <c r="F1433" s="116">
        <v>6562.85</v>
      </c>
      <c r="G1433">
        <v>11478</v>
      </c>
      <c r="H1433" s="116"/>
      <c r="I1433" s="116"/>
      <c r="L1433" s="170">
        <v>45678</v>
      </c>
      <c r="M1433" s="116">
        <v>6559.65</v>
      </c>
      <c r="N1433" s="116">
        <v>6821.6</v>
      </c>
      <c r="O1433" s="116">
        <v>6526.35</v>
      </c>
      <c r="P1433" s="116">
        <v>6820</v>
      </c>
      <c r="Q1433" s="116">
        <v>6559.65</v>
      </c>
      <c r="R1433">
        <v>380639</v>
      </c>
    </row>
    <row r="1434" spans="1:18" x14ac:dyDescent="0.25">
      <c r="A1434" s="170">
        <v>45679</v>
      </c>
      <c r="B1434" s="116">
        <v>6608.7</v>
      </c>
      <c r="C1434" s="116">
        <v>6154.15</v>
      </c>
      <c r="D1434" s="116">
        <v>5986.25</v>
      </c>
      <c r="E1434" s="116">
        <v>6560.9</v>
      </c>
      <c r="F1434" s="116">
        <v>6154.15</v>
      </c>
      <c r="G1434">
        <v>66738</v>
      </c>
      <c r="H1434" s="116"/>
      <c r="I1434" s="116"/>
      <c r="L1434" s="170">
        <v>45679</v>
      </c>
      <c r="M1434" s="116">
        <v>6164.35</v>
      </c>
      <c r="N1434" s="116">
        <v>6605.95</v>
      </c>
      <c r="O1434" s="116">
        <v>5982</v>
      </c>
      <c r="P1434" s="116">
        <v>6597.9</v>
      </c>
      <c r="Q1434" s="116">
        <v>6164.35</v>
      </c>
      <c r="R1434">
        <v>1654348</v>
      </c>
    </row>
    <row r="1435" spans="1:18" x14ac:dyDescent="0.25">
      <c r="A1435" s="170">
        <v>45680</v>
      </c>
      <c r="B1435" s="116">
        <v>6461</v>
      </c>
      <c r="C1435" s="116">
        <v>6248.45</v>
      </c>
      <c r="D1435" s="116">
        <v>6150</v>
      </c>
      <c r="E1435" s="116">
        <v>6219.8</v>
      </c>
      <c r="F1435" s="116">
        <v>6248.45</v>
      </c>
      <c r="G1435">
        <v>33274</v>
      </c>
      <c r="H1435" s="116"/>
      <c r="I1435" s="116"/>
      <c r="L1435" s="170">
        <v>45680</v>
      </c>
      <c r="M1435" s="116">
        <v>6250.9</v>
      </c>
      <c r="N1435" s="116">
        <v>6464</v>
      </c>
      <c r="O1435" s="116">
        <v>6143.55</v>
      </c>
      <c r="P1435" s="116">
        <v>6179.95</v>
      </c>
      <c r="Q1435" s="116">
        <v>6250.9</v>
      </c>
      <c r="R1435">
        <v>1215099</v>
      </c>
    </row>
    <row r="1436" spans="1:18" x14ac:dyDescent="0.25">
      <c r="A1436" s="170">
        <v>45681</v>
      </c>
      <c r="B1436" s="116">
        <v>6405.85</v>
      </c>
      <c r="C1436" s="116">
        <v>5917.75</v>
      </c>
      <c r="D1436" s="116">
        <v>5891.75</v>
      </c>
      <c r="E1436" s="116">
        <v>6349.6</v>
      </c>
      <c r="F1436" s="116">
        <v>5917.75</v>
      </c>
      <c r="G1436">
        <v>51302</v>
      </c>
      <c r="H1436" s="116"/>
      <c r="I1436" s="116"/>
      <c r="L1436" s="170">
        <v>45681</v>
      </c>
      <c r="M1436" s="116">
        <v>5915.8</v>
      </c>
      <c r="N1436" s="116">
        <v>6407.85</v>
      </c>
      <c r="O1436" s="116">
        <v>5891.2</v>
      </c>
      <c r="P1436" s="116">
        <v>6293.9</v>
      </c>
      <c r="Q1436" s="116">
        <v>5915.8</v>
      </c>
      <c r="R1436">
        <v>1354910</v>
      </c>
    </row>
    <row r="1437" spans="1:18" x14ac:dyDescent="0.25">
      <c r="A1437" s="170">
        <v>45684</v>
      </c>
      <c r="B1437" s="116">
        <v>5914.8</v>
      </c>
      <c r="C1437" s="116">
        <v>5643.5</v>
      </c>
      <c r="D1437" s="116">
        <v>5590.7</v>
      </c>
      <c r="E1437" s="116">
        <v>5914.8</v>
      </c>
      <c r="F1437" s="116">
        <v>5643.5</v>
      </c>
      <c r="G1437">
        <v>43218</v>
      </c>
      <c r="H1437" s="116"/>
      <c r="I1437" s="116"/>
      <c r="L1437" s="170">
        <v>45684</v>
      </c>
      <c r="M1437" s="116">
        <v>5643.5</v>
      </c>
      <c r="N1437" s="116">
        <v>5879.15</v>
      </c>
      <c r="O1437" s="116">
        <v>5590.05</v>
      </c>
      <c r="P1437" s="116">
        <v>5879.15</v>
      </c>
      <c r="Q1437" s="116">
        <v>5643.5</v>
      </c>
      <c r="R1437">
        <v>835702</v>
      </c>
    </row>
    <row r="1438" spans="1:18" x14ac:dyDescent="0.25">
      <c r="A1438" s="170">
        <v>45685</v>
      </c>
      <c r="B1438" s="116">
        <v>5763.75</v>
      </c>
      <c r="C1438" s="116">
        <v>5672.95</v>
      </c>
      <c r="D1438" s="116">
        <v>5484.25</v>
      </c>
      <c r="E1438" s="116">
        <v>5603.6</v>
      </c>
      <c r="F1438" s="116">
        <v>5672.95</v>
      </c>
      <c r="G1438">
        <v>46666</v>
      </c>
      <c r="H1438" s="116"/>
      <c r="I1438" s="116"/>
      <c r="L1438" s="170">
        <v>45685</v>
      </c>
      <c r="M1438" s="116">
        <v>5674.65</v>
      </c>
      <c r="N1438" s="116">
        <v>5760</v>
      </c>
      <c r="O1438" s="116">
        <v>5485.95</v>
      </c>
      <c r="P1438" s="116">
        <v>5650.95</v>
      </c>
      <c r="Q1438" s="116">
        <v>5674.65</v>
      </c>
      <c r="R1438">
        <v>640961</v>
      </c>
    </row>
    <row r="1439" spans="1:18" x14ac:dyDescent="0.25">
      <c r="A1439" s="170">
        <v>45686</v>
      </c>
      <c r="B1439" s="116">
        <v>5904.95</v>
      </c>
      <c r="C1439" s="116">
        <v>5834.25</v>
      </c>
      <c r="D1439" s="116">
        <v>5685</v>
      </c>
      <c r="E1439" s="116">
        <v>5685</v>
      </c>
      <c r="F1439" s="116">
        <v>5834.25</v>
      </c>
      <c r="G1439">
        <v>13924</v>
      </c>
      <c r="H1439" s="116"/>
      <c r="I1439" s="116"/>
      <c r="L1439" s="170">
        <v>45686</v>
      </c>
      <c r="M1439" s="116">
        <v>5830.25</v>
      </c>
      <c r="N1439" s="116">
        <v>5906</v>
      </c>
      <c r="O1439" s="116">
        <v>5690.25</v>
      </c>
      <c r="P1439" s="116">
        <v>5705.5</v>
      </c>
      <c r="Q1439" s="116">
        <v>5830.25</v>
      </c>
      <c r="R1439">
        <v>430356</v>
      </c>
    </row>
    <row r="1440" spans="1:18" x14ac:dyDescent="0.25">
      <c r="A1440" s="170">
        <v>45687</v>
      </c>
      <c r="B1440" s="116">
        <v>5894.8</v>
      </c>
      <c r="C1440" s="116">
        <v>5788.65</v>
      </c>
      <c r="D1440" s="116">
        <v>5727.5</v>
      </c>
      <c r="E1440" s="116">
        <v>5894.8</v>
      </c>
      <c r="F1440" s="116">
        <v>5788.65</v>
      </c>
      <c r="G1440">
        <v>20459</v>
      </c>
      <c r="H1440" s="116"/>
      <c r="I1440" s="116"/>
      <c r="L1440" s="170">
        <v>45687</v>
      </c>
      <c r="M1440" s="116">
        <v>5788.45</v>
      </c>
      <c r="N1440" s="116">
        <v>5889.9</v>
      </c>
      <c r="O1440" s="116">
        <v>5729.3</v>
      </c>
      <c r="P1440" s="116">
        <v>5870</v>
      </c>
      <c r="Q1440" s="116">
        <v>5788.45</v>
      </c>
      <c r="R1440">
        <v>475573</v>
      </c>
    </row>
    <row r="1441" spans="1:18" x14ac:dyDescent="0.25">
      <c r="A1441" s="170">
        <v>45688</v>
      </c>
      <c r="B1441" s="116">
        <v>6054.9</v>
      </c>
      <c r="C1441" s="116">
        <v>6034.95</v>
      </c>
      <c r="D1441" s="116">
        <v>5721.7</v>
      </c>
      <c r="E1441" s="116">
        <v>5791.2</v>
      </c>
      <c r="F1441" s="116">
        <v>6034.95</v>
      </c>
      <c r="G1441">
        <v>33244</v>
      </c>
      <c r="H1441" s="116"/>
      <c r="I1441" s="116"/>
      <c r="L1441" s="170">
        <v>45688</v>
      </c>
      <c r="M1441" s="116">
        <v>6037.95</v>
      </c>
      <c r="N1441" s="116">
        <v>6053.6</v>
      </c>
      <c r="O1441" s="116">
        <v>5718.6</v>
      </c>
      <c r="P1441" s="116">
        <v>5809.95</v>
      </c>
      <c r="Q1441" s="116">
        <v>6037.95</v>
      </c>
      <c r="R1441">
        <v>680372</v>
      </c>
    </row>
    <row r="1442" spans="1:18" x14ac:dyDescent="0.25">
      <c r="A1442" s="170">
        <v>45689</v>
      </c>
      <c r="B1442" s="116">
        <v>6075</v>
      </c>
      <c r="C1442" s="116">
        <v>5847.65</v>
      </c>
      <c r="D1442" s="116">
        <v>5666.2</v>
      </c>
      <c r="E1442" s="116">
        <v>6050.15</v>
      </c>
      <c r="F1442" s="116">
        <v>5847.65</v>
      </c>
      <c r="G1442">
        <v>14003</v>
      </c>
      <c r="H1442" s="116"/>
      <c r="I1442" s="116"/>
      <c r="L1442" s="170">
        <v>45689</v>
      </c>
      <c r="M1442" s="116">
        <v>5845.7</v>
      </c>
      <c r="N1442" s="116">
        <v>6080.95</v>
      </c>
      <c r="O1442" s="116">
        <v>5670</v>
      </c>
      <c r="P1442" s="116">
        <v>6080.95</v>
      </c>
      <c r="Q1442" s="116">
        <v>5845.7</v>
      </c>
      <c r="R1442">
        <v>407366</v>
      </c>
    </row>
    <row r="1443" spans="1:18" x14ac:dyDescent="0.25">
      <c r="A1443" s="170">
        <v>45691</v>
      </c>
      <c r="B1443" s="116">
        <v>5918</v>
      </c>
      <c r="C1443" s="116">
        <v>5859.1</v>
      </c>
      <c r="D1443" s="116">
        <v>5747.55</v>
      </c>
      <c r="E1443" s="116">
        <v>5847.45</v>
      </c>
      <c r="F1443" s="116">
        <v>5859.1</v>
      </c>
      <c r="G1443">
        <v>23164</v>
      </c>
      <c r="H1443" s="116"/>
      <c r="I1443" s="116"/>
      <c r="L1443" s="170">
        <v>45691</v>
      </c>
      <c r="M1443" s="116">
        <v>5857.75</v>
      </c>
      <c r="N1443" s="116">
        <v>5919.8</v>
      </c>
      <c r="O1443" s="116">
        <v>5745.05</v>
      </c>
      <c r="P1443" s="116">
        <v>5834.45</v>
      </c>
      <c r="Q1443" s="116">
        <v>5857.75</v>
      </c>
      <c r="R1443">
        <v>405813</v>
      </c>
    </row>
    <row r="1444" spans="1:18" x14ac:dyDescent="0.25">
      <c r="A1444" s="170">
        <v>45692</v>
      </c>
      <c r="B1444" s="116">
        <v>5985.4</v>
      </c>
      <c r="C1444" s="116">
        <v>5966.65</v>
      </c>
      <c r="D1444" s="116">
        <v>5857.35</v>
      </c>
      <c r="E1444" s="116">
        <v>5876.3</v>
      </c>
      <c r="F1444" s="116">
        <v>5966.65</v>
      </c>
      <c r="G1444">
        <v>15405</v>
      </c>
      <c r="H1444" s="116"/>
      <c r="I1444" s="116"/>
      <c r="L1444" s="170">
        <v>45692</v>
      </c>
      <c r="M1444" s="116">
        <v>5963.9</v>
      </c>
      <c r="N1444" s="116">
        <v>5987</v>
      </c>
      <c r="O1444" s="116">
        <v>5860.05</v>
      </c>
      <c r="P1444" s="116">
        <v>5866.7</v>
      </c>
      <c r="Q1444" s="116">
        <v>5963.9</v>
      </c>
      <c r="R1444">
        <v>326464</v>
      </c>
    </row>
    <row r="1445" spans="1:18" x14ac:dyDescent="0.25">
      <c r="A1445" s="170">
        <v>45693</v>
      </c>
      <c r="B1445" s="116">
        <v>6092.45</v>
      </c>
      <c r="C1445" s="116">
        <v>6032.9</v>
      </c>
      <c r="D1445" s="116">
        <v>5965.55</v>
      </c>
      <c r="E1445" s="116">
        <v>6048.7</v>
      </c>
      <c r="F1445" s="116">
        <v>6032.9</v>
      </c>
      <c r="G1445">
        <v>14484</v>
      </c>
      <c r="H1445" s="116"/>
      <c r="I1445" s="116"/>
      <c r="L1445" s="170">
        <v>45693</v>
      </c>
      <c r="M1445" s="116">
        <v>6037.3</v>
      </c>
      <c r="N1445" s="116">
        <v>6092.25</v>
      </c>
      <c r="O1445" s="116">
        <v>5964.55</v>
      </c>
      <c r="P1445" s="116">
        <v>6039</v>
      </c>
      <c r="Q1445" s="116">
        <v>6037.3</v>
      </c>
      <c r="R1445">
        <v>341372</v>
      </c>
    </row>
    <row r="1446" spans="1:18" x14ac:dyDescent="0.25">
      <c r="A1446" s="170">
        <v>45694</v>
      </c>
      <c r="B1446" s="116">
        <v>6060.55</v>
      </c>
      <c r="C1446" s="116">
        <v>5860.15</v>
      </c>
      <c r="D1446" s="116">
        <v>5851.5</v>
      </c>
      <c r="E1446" s="116">
        <v>6051.9</v>
      </c>
      <c r="F1446" s="116">
        <v>5860.15</v>
      </c>
      <c r="G1446">
        <v>8329</v>
      </c>
      <c r="H1446" s="116"/>
      <c r="I1446" s="116"/>
      <c r="L1446" s="170">
        <v>45694</v>
      </c>
      <c r="M1446" s="116">
        <v>5859</v>
      </c>
      <c r="N1446" s="116">
        <v>6062.6</v>
      </c>
      <c r="O1446" s="116">
        <v>5850</v>
      </c>
      <c r="P1446" s="116">
        <v>6058.4</v>
      </c>
      <c r="Q1446" s="116">
        <v>5859</v>
      </c>
      <c r="R1446">
        <v>191057</v>
      </c>
    </row>
    <row r="1447" spans="1:18" x14ac:dyDescent="0.25">
      <c r="A1447" s="170">
        <v>45695</v>
      </c>
      <c r="B1447" s="116">
        <v>5948.2</v>
      </c>
      <c r="C1447" s="116">
        <v>5868.25</v>
      </c>
      <c r="D1447" s="116">
        <v>5833.1</v>
      </c>
      <c r="E1447" s="116">
        <v>5871.15</v>
      </c>
      <c r="F1447" s="116">
        <v>5868.25</v>
      </c>
      <c r="G1447">
        <v>9782</v>
      </c>
      <c r="H1447" s="116"/>
      <c r="I1447" s="116"/>
      <c r="L1447" s="170">
        <v>45695</v>
      </c>
      <c r="M1447" s="116">
        <v>5869.7</v>
      </c>
      <c r="N1447" s="116">
        <v>5950</v>
      </c>
      <c r="O1447" s="116">
        <v>5828.05</v>
      </c>
      <c r="P1447" s="116">
        <v>5889.9</v>
      </c>
      <c r="Q1447" s="116">
        <v>5869.7</v>
      </c>
      <c r="R1447">
        <v>158629</v>
      </c>
    </row>
    <row r="1448" spans="1:18" x14ac:dyDescent="0.25">
      <c r="A1448" s="170">
        <v>45698</v>
      </c>
      <c r="B1448" s="116">
        <v>5927.95</v>
      </c>
      <c r="C1448" s="116">
        <v>5651.3</v>
      </c>
      <c r="D1448" s="116">
        <v>5615.85</v>
      </c>
      <c r="E1448" s="116">
        <v>5927.95</v>
      </c>
      <c r="F1448" s="116">
        <v>5651.3</v>
      </c>
      <c r="G1448">
        <v>13010</v>
      </c>
      <c r="H1448" s="116"/>
      <c r="I1448" s="116"/>
      <c r="L1448" s="170">
        <v>45698</v>
      </c>
      <c r="M1448" s="116">
        <v>5647.2</v>
      </c>
      <c r="N1448" s="116">
        <v>5910.85</v>
      </c>
      <c r="O1448" s="116">
        <v>5616.95</v>
      </c>
      <c r="P1448" s="116">
        <v>5910.85</v>
      </c>
      <c r="Q1448" s="116">
        <v>5647.2</v>
      </c>
      <c r="R1448">
        <v>540742</v>
      </c>
    </row>
    <row r="1449" spans="1:18" x14ac:dyDescent="0.25">
      <c r="A1449" s="170">
        <v>45699</v>
      </c>
      <c r="B1449" s="116">
        <v>5673</v>
      </c>
      <c r="C1449" s="116">
        <v>5506.85</v>
      </c>
      <c r="D1449" s="116">
        <v>5391.25</v>
      </c>
      <c r="E1449" s="116">
        <v>5672.95</v>
      </c>
      <c r="F1449" s="116">
        <v>5506.85</v>
      </c>
      <c r="G1449">
        <v>30398</v>
      </c>
      <c r="H1449" s="116"/>
      <c r="I1449" s="116"/>
      <c r="L1449" s="170">
        <v>45699</v>
      </c>
      <c r="M1449" s="116">
        <v>5508.05</v>
      </c>
      <c r="N1449" s="116">
        <v>5667</v>
      </c>
      <c r="O1449" s="116">
        <v>5392.15</v>
      </c>
      <c r="P1449" s="116">
        <v>5655</v>
      </c>
      <c r="Q1449" s="116">
        <v>5508.05</v>
      </c>
      <c r="R1449">
        <v>515222</v>
      </c>
    </row>
    <row r="1450" spans="1:18" x14ac:dyDescent="0.25">
      <c r="A1450" s="170">
        <v>45700</v>
      </c>
      <c r="B1450" s="116">
        <v>5706.3</v>
      </c>
      <c r="C1450" s="116">
        <v>5641.05</v>
      </c>
      <c r="D1450" s="116">
        <v>5374</v>
      </c>
      <c r="E1450" s="116">
        <v>5510.95</v>
      </c>
      <c r="F1450" s="116">
        <v>5641.05</v>
      </c>
      <c r="G1450">
        <v>17988</v>
      </c>
      <c r="H1450" s="116"/>
      <c r="I1450" s="116"/>
      <c r="L1450" s="170">
        <v>45700</v>
      </c>
      <c r="M1450" s="116">
        <v>5641.3</v>
      </c>
      <c r="N1450" s="116">
        <v>5706</v>
      </c>
      <c r="O1450" s="116">
        <v>5374</v>
      </c>
      <c r="P1450" s="116">
        <v>5500.05</v>
      </c>
      <c r="Q1450" s="116">
        <v>5641.3</v>
      </c>
      <c r="R1450">
        <v>695730</v>
      </c>
    </row>
    <row r="1451" spans="1:18" x14ac:dyDescent="0.25">
      <c r="A1451" s="170">
        <v>45701</v>
      </c>
      <c r="B1451" s="116">
        <v>5703.95</v>
      </c>
      <c r="C1451" s="116">
        <v>5550.15</v>
      </c>
      <c r="D1451" s="116">
        <v>5533.5</v>
      </c>
      <c r="E1451" s="116">
        <v>5699.95</v>
      </c>
      <c r="F1451" s="116">
        <v>5550.15</v>
      </c>
      <c r="G1451">
        <v>4150</v>
      </c>
      <c r="H1451" s="116"/>
      <c r="I1451" s="116"/>
      <c r="L1451" s="170">
        <v>45701</v>
      </c>
      <c r="M1451" s="116">
        <v>5550.95</v>
      </c>
      <c r="N1451" s="116">
        <v>5704.75</v>
      </c>
      <c r="O1451" s="116">
        <v>5528.65</v>
      </c>
      <c r="P1451" s="116">
        <v>5670</v>
      </c>
      <c r="Q1451" s="116">
        <v>5550.95</v>
      </c>
      <c r="R1451">
        <v>191040</v>
      </c>
    </row>
    <row r="1452" spans="1:18" x14ac:dyDescent="0.25">
      <c r="A1452" s="170">
        <v>45702</v>
      </c>
      <c r="B1452" s="116">
        <v>5597.65</v>
      </c>
      <c r="C1452" s="116">
        <v>5417.05</v>
      </c>
      <c r="D1452" s="116">
        <v>5358</v>
      </c>
      <c r="E1452" s="116">
        <v>5580</v>
      </c>
      <c r="F1452" s="116">
        <v>5417.05</v>
      </c>
      <c r="G1452">
        <v>4436</v>
      </c>
      <c r="H1452" s="116"/>
      <c r="I1452" s="116"/>
      <c r="L1452" s="170">
        <v>45702</v>
      </c>
      <c r="M1452" s="116">
        <v>5416.25</v>
      </c>
      <c r="N1452" s="116">
        <v>5597.95</v>
      </c>
      <c r="O1452" s="116">
        <v>5354.05</v>
      </c>
      <c r="P1452" s="116">
        <v>5582.2</v>
      </c>
      <c r="Q1452" s="116">
        <v>5416.25</v>
      </c>
      <c r="R1452">
        <v>401884</v>
      </c>
    </row>
    <row r="1453" spans="1:18" x14ac:dyDescent="0.25">
      <c r="A1453" s="170">
        <v>45705</v>
      </c>
      <c r="B1453" s="116">
        <v>5433.9</v>
      </c>
      <c r="C1453" s="116">
        <v>5415.95</v>
      </c>
      <c r="D1453" s="116">
        <v>5270</v>
      </c>
      <c r="E1453" s="116">
        <v>5399.95</v>
      </c>
      <c r="F1453" s="116">
        <v>5415.95</v>
      </c>
      <c r="G1453">
        <v>15855</v>
      </c>
      <c r="H1453" s="116"/>
      <c r="I1453" s="116"/>
      <c r="L1453" s="170">
        <v>45705</v>
      </c>
      <c r="M1453" s="116">
        <v>5414.2</v>
      </c>
      <c r="N1453" s="116">
        <v>5431.2</v>
      </c>
      <c r="O1453" s="116">
        <v>5269.25</v>
      </c>
      <c r="P1453" s="116">
        <v>5379.45</v>
      </c>
      <c r="Q1453" s="116">
        <v>5414.2</v>
      </c>
      <c r="R1453">
        <v>333358</v>
      </c>
    </row>
    <row r="1454" spans="1:18" x14ac:dyDescent="0.25">
      <c r="A1454" s="170">
        <v>45706</v>
      </c>
      <c r="B1454" s="116">
        <v>5463.6</v>
      </c>
      <c r="C1454" s="116">
        <v>5436</v>
      </c>
      <c r="D1454" s="116">
        <v>5287.7</v>
      </c>
      <c r="E1454" s="116">
        <v>5414.3</v>
      </c>
      <c r="F1454" s="116">
        <v>5436</v>
      </c>
      <c r="G1454">
        <v>16178</v>
      </c>
      <c r="H1454" s="116"/>
      <c r="I1454" s="116"/>
      <c r="L1454" s="170">
        <v>45706</v>
      </c>
      <c r="M1454" s="116">
        <v>5436.9</v>
      </c>
      <c r="N1454" s="116">
        <v>5465</v>
      </c>
      <c r="O1454" s="116">
        <v>5290</v>
      </c>
      <c r="P1454" s="116">
        <v>5400</v>
      </c>
      <c r="Q1454" s="116">
        <v>5436.9</v>
      </c>
      <c r="R1454">
        <v>272045</v>
      </c>
    </row>
    <row r="1455" spans="1:18" x14ac:dyDescent="0.25">
      <c r="A1455" s="170">
        <v>45707</v>
      </c>
      <c r="B1455" s="116">
        <v>5622.85</v>
      </c>
      <c r="C1455" s="116">
        <v>5598.15</v>
      </c>
      <c r="D1455" s="116">
        <v>5352.75</v>
      </c>
      <c r="E1455" s="116">
        <v>5435.5</v>
      </c>
      <c r="F1455" s="116">
        <v>5598.15</v>
      </c>
      <c r="G1455">
        <v>8312</v>
      </c>
      <c r="H1455" s="116"/>
      <c r="I1455" s="116"/>
      <c r="L1455" s="170">
        <v>45707</v>
      </c>
      <c r="M1455" s="116">
        <v>5600.1</v>
      </c>
      <c r="N1455" s="116">
        <v>5624.35</v>
      </c>
      <c r="O1455" s="116">
        <v>5355.05</v>
      </c>
      <c r="P1455" s="116">
        <v>5420</v>
      </c>
      <c r="Q1455" s="116">
        <v>5600.1</v>
      </c>
      <c r="R1455">
        <v>348483</v>
      </c>
    </row>
    <row r="1456" spans="1:18" x14ac:dyDescent="0.25">
      <c r="A1456" s="170">
        <v>45708</v>
      </c>
      <c r="B1456" s="116">
        <v>5779.95</v>
      </c>
      <c r="C1456" s="116">
        <v>5752.15</v>
      </c>
      <c r="D1456" s="116">
        <v>5554.1</v>
      </c>
      <c r="E1456" s="116">
        <v>5597.8</v>
      </c>
      <c r="F1456" s="116">
        <v>5752.15</v>
      </c>
      <c r="G1456">
        <v>9155</v>
      </c>
      <c r="H1456" s="116"/>
      <c r="I1456" s="116"/>
      <c r="L1456" s="170">
        <v>45708</v>
      </c>
      <c r="M1456" s="116">
        <v>5756.25</v>
      </c>
      <c r="N1456" s="116">
        <v>5783.85</v>
      </c>
      <c r="O1456" s="116">
        <v>5550.4</v>
      </c>
      <c r="P1456" s="116">
        <v>5574</v>
      </c>
      <c r="Q1456" s="116">
        <v>5756.25</v>
      </c>
      <c r="R1456">
        <v>288846</v>
      </c>
    </row>
    <row r="1457" spans="1:18" x14ac:dyDescent="0.25">
      <c r="A1457" s="170">
        <v>45709</v>
      </c>
      <c r="B1457" s="116">
        <v>5871.6</v>
      </c>
      <c r="C1457" s="116">
        <v>5841.45</v>
      </c>
      <c r="D1457" s="116">
        <v>5755.95</v>
      </c>
      <c r="E1457" s="116">
        <v>5797.5</v>
      </c>
      <c r="F1457" s="116">
        <v>5841.45</v>
      </c>
      <c r="G1457">
        <v>7400</v>
      </c>
      <c r="H1457" s="116"/>
      <c r="I1457" s="116"/>
      <c r="L1457" s="170">
        <v>45709</v>
      </c>
      <c r="M1457" s="116">
        <v>5840.1</v>
      </c>
      <c r="N1457" s="116">
        <v>5869.15</v>
      </c>
      <c r="O1457" s="116">
        <v>5751</v>
      </c>
      <c r="P1457" s="116">
        <v>5756.25</v>
      </c>
      <c r="Q1457" s="116">
        <v>5840.1</v>
      </c>
      <c r="R1457">
        <v>603944</v>
      </c>
    </row>
    <row r="1458" spans="1:18" x14ac:dyDescent="0.25">
      <c r="A1458" s="170">
        <v>45712</v>
      </c>
      <c r="B1458" s="116">
        <v>5850</v>
      </c>
      <c r="C1458" s="116">
        <v>5836.55</v>
      </c>
      <c r="D1458" s="116">
        <v>5708</v>
      </c>
      <c r="E1458" s="116">
        <v>5752.2</v>
      </c>
      <c r="F1458" s="116">
        <v>5836.55</v>
      </c>
      <c r="G1458">
        <v>11792</v>
      </c>
      <c r="H1458" s="116"/>
      <c r="I1458" s="116"/>
      <c r="L1458" s="170">
        <v>45712</v>
      </c>
      <c r="M1458" s="116">
        <v>5841.3</v>
      </c>
      <c r="N1458" s="116">
        <v>5852</v>
      </c>
      <c r="O1458" s="116">
        <v>5714</v>
      </c>
      <c r="P1458" s="116">
        <v>5771</v>
      </c>
      <c r="Q1458" s="116">
        <v>5841.3</v>
      </c>
      <c r="R1458">
        <v>450544</v>
      </c>
    </row>
    <row r="1459" spans="1:18" x14ac:dyDescent="0.25">
      <c r="A1459" s="170">
        <v>45713</v>
      </c>
      <c r="B1459" s="116">
        <v>5859.9</v>
      </c>
      <c r="C1459" s="116">
        <v>5758.55</v>
      </c>
      <c r="D1459" s="116">
        <v>5729.2</v>
      </c>
      <c r="E1459" s="116">
        <v>5859.9</v>
      </c>
      <c r="F1459" s="116">
        <v>5758.55</v>
      </c>
      <c r="G1459">
        <v>4820</v>
      </c>
      <c r="H1459" s="116"/>
      <c r="I1459" s="116"/>
      <c r="L1459" s="170">
        <v>45713</v>
      </c>
      <c r="M1459" s="116">
        <v>5765.6</v>
      </c>
      <c r="N1459" s="116">
        <v>5837.05</v>
      </c>
      <c r="O1459" s="116">
        <v>5731</v>
      </c>
      <c r="P1459" s="116">
        <v>5823.25</v>
      </c>
      <c r="Q1459" s="116">
        <v>5765.6</v>
      </c>
      <c r="R1459">
        <v>141031</v>
      </c>
    </row>
    <row r="1460" spans="1:18" x14ac:dyDescent="0.25">
      <c r="A1460" s="170">
        <v>45715</v>
      </c>
      <c r="B1460" s="116">
        <v>5459.95</v>
      </c>
      <c r="C1460" s="116">
        <v>4673.8999999999996</v>
      </c>
      <c r="D1460" s="116">
        <v>4655.3999999999996</v>
      </c>
      <c r="E1460" s="116">
        <v>5459.95</v>
      </c>
      <c r="F1460" s="116">
        <v>4673.8999999999996</v>
      </c>
      <c r="G1460">
        <v>280450</v>
      </c>
      <c r="H1460" s="116"/>
      <c r="I1460" s="116"/>
      <c r="L1460" s="170">
        <v>45715</v>
      </c>
      <c r="M1460" s="116">
        <v>4679.55</v>
      </c>
      <c r="N1460" s="116">
        <v>5400</v>
      </c>
      <c r="O1460" s="116">
        <v>4656</v>
      </c>
      <c r="P1460" s="116">
        <v>5400</v>
      </c>
      <c r="Q1460" s="116">
        <v>4679.55</v>
      </c>
      <c r="R1460">
        <v>5050980</v>
      </c>
    </row>
    <row r="1461" spans="1:18" x14ac:dyDescent="0.25">
      <c r="A1461" s="170">
        <v>45716</v>
      </c>
      <c r="B1461" s="116">
        <v>4904.8999999999996</v>
      </c>
      <c r="C1461" s="116">
        <v>4710.6499999999996</v>
      </c>
      <c r="D1461" s="116">
        <v>4557.45</v>
      </c>
      <c r="E1461" s="116">
        <v>4654.7</v>
      </c>
      <c r="F1461" s="116">
        <v>4710.6499999999996</v>
      </c>
      <c r="G1461">
        <v>198381</v>
      </c>
      <c r="H1461" s="116"/>
      <c r="I1461" s="116"/>
      <c r="L1461" s="170">
        <v>45716</v>
      </c>
      <c r="M1461" s="116">
        <v>4713.3999999999996</v>
      </c>
      <c r="N1461" s="116">
        <v>4907</v>
      </c>
      <c r="O1461" s="116">
        <v>4555</v>
      </c>
      <c r="P1461" s="116">
        <v>4650</v>
      </c>
      <c r="Q1461" s="116">
        <v>4713.3999999999996</v>
      </c>
      <c r="R1461">
        <v>6042777</v>
      </c>
    </row>
    <row r="1462" spans="1:18" x14ac:dyDescent="0.25">
      <c r="A1462" s="170">
        <v>45719</v>
      </c>
      <c r="B1462" s="116">
        <v>4937.5</v>
      </c>
      <c r="C1462" s="116">
        <v>4868.8</v>
      </c>
      <c r="D1462" s="116">
        <v>4582.3</v>
      </c>
      <c r="E1462" s="116">
        <v>4849.95</v>
      </c>
      <c r="F1462" s="116">
        <v>4868.8</v>
      </c>
      <c r="G1462">
        <v>143611</v>
      </c>
      <c r="H1462" s="116"/>
      <c r="I1462" s="116"/>
      <c r="L1462" s="170">
        <v>45719</v>
      </c>
      <c r="M1462" s="116">
        <v>4870.8500000000004</v>
      </c>
      <c r="N1462" s="116">
        <v>4937.8</v>
      </c>
      <c r="O1462" s="116">
        <v>4581.05</v>
      </c>
      <c r="P1462" s="116">
        <v>4830.75</v>
      </c>
      <c r="Q1462" s="116">
        <v>4870.8500000000004</v>
      </c>
      <c r="R1462">
        <v>4415862</v>
      </c>
    </row>
    <row r="1463" spans="1:18" x14ac:dyDescent="0.25">
      <c r="A1463" s="170">
        <v>45720</v>
      </c>
      <c r="B1463" s="116">
        <v>4963.3500000000004</v>
      </c>
      <c r="C1463" s="116">
        <v>4905.8500000000004</v>
      </c>
      <c r="D1463" s="116">
        <v>4779.8</v>
      </c>
      <c r="E1463" s="116">
        <v>4858.95</v>
      </c>
      <c r="F1463" s="116">
        <v>4905.8500000000004</v>
      </c>
      <c r="G1463">
        <v>38158</v>
      </c>
      <c r="H1463" s="116"/>
      <c r="I1463" s="116"/>
      <c r="L1463" s="170">
        <v>45720</v>
      </c>
      <c r="M1463" s="116">
        <v>4905.1499999999996</v>
      </c>
      <c r="N1463" s="116">
        <v>4964</v>
      </c>
      <c r="O1463" s="116">
        <v>4795.8999999999996</v>
      </c>
      <c r="P1463" s="116">
        <v>4840</v>
      </c>
      <c r="Q1463" s="116">
        <v>4905.1499999999996</v>
      </c>
      <c r="R1463">
        <v>1108919</v>
      </c>
    </row>
    <row r="1464" spans="1:18" x14ac:dyDescent="0.25">
      <c r="A1464" s="170">
        <v>45721</v>
      </c>
      <c r="B1464" s="116">
        <v>5085</v>
      </c>
      <c r="C1464" s="116">
        <v>5071.7</v>
      </c>
      <c r="D1464" s="116">
        <v>4901.05</v>
      </c>
      <c r="E1464" s="116">
        <v>4904.95</v>
      </c>
      <c r="F1464" s="116">
        <v>5071.7</v>
      </c>
      <c r="G1464">
        <v>76595</v>
      </c>
      <c r="H1464" s="116"/>
      <c r="I1464" s="116"/>
      <c r="L1464" s="170">
        <v>45721</v>
      </c>
      <c r="M1464" s="116">
        <v>5071.3</v>
      </c>
      <c r="N1464" s="116">
        <v>5085</v>
      </c>
      <c r="O1464" s="116">
        <v>4900</v>
      </c>
      <c r="P1464" s="116">
        <v>4900</v>
      </c>
      <c r="Q1464" s="116">
        <v>5071.3</v>
      </c>
      <c r="R1464">
        <v>1164455</v>
      </c>
    </row>
    <row r="1465" spans="1:18" x14ac:dyDescent="0.25">
      <c r="A1465" s="170">
        <v>45722</v>
      </c>
      <c r="B1465" s="116">
        <v>5151.7</v>
      </c>
      <c r="C1465" s="116">
        <v>5071.3</v>
      </c>
      <c r="D1465" s="116">
        <v>5033.6499999999996</v>
      </c>
      <c r="E1465" s="116">
        <v>5150</v>
      </c>
      <c r="F1465" s="116">
        <v>5071.3</v>
      </c>
      <c r="G1465">
        <v>44294</v>
      </c>
      <c r="H1465" s="116"/>
      <c r="I1465" s="116"/>
      <c r="L1465" s="170">
        <v>45722</v>
      </c>
      <c r="M1465" s="116">
        <v>5076.6000000000004</v>
      </c>
      <c r="N1465" s="116">
        <v>5155</v>
      </c>
      <c r="O1465" s="116">
        <v>5035.55</v>
      </c>
      <c r="P1465" s="116">
        <v>5144.2</v>
      </c>
      <c r="Q1465" s="116">
        <v>5076.6000000000004</v>
      </c>
      <c r="R1465">
        <v>535365</v>
      </c>
    </row>
    <row r="1466" spans="1:18" x14ac:dyDescent="0.25">
      <c r="A1466" s="170">
        <v>45723</v>
      </c>
      <c r="B1466" s="116">
        <v>5107.75</v>
      </c>
      <c r="C1466" s="116">
        <v>5059.1499999999996</v>
      </c>
      <c r="D1466" s="116">
        <v>5002.3500000000004</v>
      </c>
      <c r="E1466" s="116">
        <v>5062</v>
      </c>
      <c r="F1466" s="116">
        <v>5059.1499999999996</v>
      </c>
      <c r="G1466">
        <v>14585</v>
      </c>
      <c r="H1466" s="116"/>
      <c r="I1466" s="116"/>
      <c r="L1466" s="170">
        <v>45723</v>
      </c>
      <c r="M1466" s="116">
        <v>5063.45</v>
      </c>
      <c r="N1466" s="116">
        <v>5105.8999999999996</v>
      </c>
      <c r="O1466" s="116">
        <v>4998.7</v>
      </c>
      <c r="P1466" s="116">
        <v>5075</v>
      </c>
      <c r="Q1466" s="116">
        <v>5063.45</v>
      </c>
      <c r="R1466">
        <v>370527</v>
      </c>
    </row>
    <row r="1467" spans="1:18" x14ac:dyDescent="0.25">
      <c r="A1467" s="170">
        <v>45726</v>
      </c>
      <c r="B1467" s="116">
        <v>5107.5</v>
      </c>
      <c r="C1467" s="116">
        <v>4942.3500000000004</v>
      </c>
      <c r="D1467" s="116">
        <v>4915</v>
      </c>
      <c r="E1467" s="116">
        <v>5070.05</v>
      </c>
      <c r="F1467" s="116">
        <v>4942.3500000000004</v>
      </c>
      <c r="G1467">
        <v>12635</v>
      </c>
      <c r="H1467" s="116"/>
      <c r="I1467" s="116"/>
      <c r="L1467" s="170">
        <v>45726</v>
      </c>
      <c r="M1467" s="116">
        <v>4940.45</v>
      </c>
      <c r="N1467" s="116">
        <v>5109.95</v>
      </c>
      <c r="O1467" s="116">
        <v>4912.55</v>
      </c>
      <c r="P1467" s="116">
        <v>5079</v>
      </c>
      <c r="Q1467" s="116">
        <v>4940.45</v>
      </c>
      <c r="R1467">
        <v>372497</v>
      </c>
    </row>
    <row r="1468" spans="1:18" x14ac:dyDescent="0.25">
      <c r="A1468" s="170">
        <v>45727</v>
      </c>
      <c r="B1468" s="116">
        <v>4932</v>
      </c>
      <c r="C1468" s="116">
        <v>4907.55</v>
      </c>
      <c r="D1468" s="116">
        <v>4805</v>
      </c>
      <c r="E1468" s="116">
        <v>4850.3500000000004</v>
      </c>
      <c r="F1468" s="116">
        <v>4907.55</v>
      </c>
      <c r="G1468">
        <v>33602</v>
      </c>
      <c r="H1468" s="116"/>
      <c r="I1468" s="116"/>
      <c r="L1468" s="170">
        <v>45727</v>
      </c>
      <c r="M1468" s="116">
        <v>4907.8500000000004</v>
      </c>
      <c r="N1468" s="116">
        <v>4935</v>
      </c>
      <c r="O1468" s="116">
        <v>4810</v>
      </c>
      <c r="P1468" s="116">
        <v>4870.3</v>
      </c>
      <c r="Q1468" s="116">
        <v>4907.8500000000004</v>
      </c>
      <c r="R1468">
        <v>302464</v>
      </c>
    </row>
    <row r="1469" spans="1:18" x14ac:dyDescent="0.25">
      <c r="A1469" s="170">
        <v>45728</v>
      </c>
      <c r="B1469" s="116">
        <v>5019.25</v>
      </c>
      <c r="C1469" s="116">
        <v>5010.6000000000004</v>
      </c>
      <c r="D1469" s="116">
        <v>4905</v>
      </c>
      <c r="E1469" s="116">
        <v>4920.3999999999996</v>
      </c>
      <c r="F1469" s="116">
        <v>5010.6000000000004</v>
      </c>
      <c r="G1469">
        <v>16258</v>
      </c>
      <c r="H1469" s="116"/>
      <c r="I1469" s="116"/>
      <c r="L1469" s="170">
        <v>45728</v>
      </c>
      <c r="M1469" s="116">
        <v>5008.75</v>
      </c>
      <c r="N1469" s="116">
        <v>5020</v>
      </c>
      <c r="O1469" s="116">
        <v>4900</v>
      </c>
      <c r="P1469" s="116">
        <v>4947.3</v>
      </c>
      <c r="Q1469" s="116">
        <v>5008.75</v>
      </c>
      <c r="R1469">
        <v>377661</v>
      </c>
    </row>
    <row r="1470" spans="1:18" x14ac:dyDescent="0.25">
      <c r="A1470" s="170">
        <v>45729</v>
      </c>
      <c r="B1470" s="116">
        <v>5105.75</v>
      </c>
      <c r="C1470" s="116">
        <v>5003.7</v>
      </c>
      <c r="D1470" s="116">
        <v>4957</v>
      </c>
      <c r="E1470" s="116">
        <v>5080.05</v>
      </c>
      <c r="F1470" s="116">
        <v>5003.7</v>
      </c>
      <c r="G1470">
        <v>28302</v>
      </c>
      <c r="H1470" s="116"/>
      <c r="I1470" s="116"/>
      <c r="L1470" s="170">
        <v>45729</v>
      </c>
      <c r="M1470" s="116">
        <v>5003.1000000000004</v>
      </c>
      <c r="N1470" s="116">
        <v>5114</v>
      </c>
      <c r="O1470" s="116">
        <v>4960</v>
      </c>
      <c r="P1470" s="116">
        <v>5100</v>
      </c>
      <c r="Q1470" s="116">
        <v>5003.1000000000004</v>
      </c>
      <c r="R1470">
        <v>449569</v>
      </c>
    </row>
    <row r="1471" spans="1:18" x14ac:dyDescent="0.25">
      <c r="A1471" s="170">
        <v>45733</v>
      </c>
      <c r="B1471" s="116">
        <v>5074</v>
      </c>
      <c r="C1471" s="116">
        <v>5016.1499999999996</v>
      </c>
      <c r="D1471" s="116">
        <v>4895</v>
      </c>
      <c r="E1471" s="116">
        <v>5003.7</v>
      </c>
      <c r="F1471" s="116">
        <v>5016.1499999999996</v>
      </c>
      <c r="G1471">
        <v>30429</v>
      </c>
      <c r="H1471" s="116"/>
      <c r="I1471" s="116"/>
      <c r="L1471" s="170">
        <v>45733</v>
      </c>
      <c r="M1471" s="116">
        <v>5019.6000000000004</v>
      </c>
      <c r="N1471" s="116">
        <v>5074.8500000000004</v>
      </c>
      <c r="O1471" s="116">
        <v>4894.2</v>
      </c>
      <c r="P1471" s="116">
        <v>5003.1000000000004</v>
      </c>
      <c r="Q1471" s="116">
        <v>5019.6000000000004</v>
      </c>
      <c r="R1471">
        <v>518771</v>
      </c>
    </row>
    <row r="1472" spans="1:18" x14ac:dyDescent="0.25">
      <c r="A1472" s="170">
        <v>45734</v>
      </c>
      <c r="B1472" s="116">
        <v>5250</v>
      </c>
      <c r="C1472" s="116">
        <v>5195.25</v>
      </c>
      <c r="D1472" s="116">
        <v>5027.75</v>
      </c>
      <c r="E1472" s="116">
        <v>5040</v>
      </c>
      <c r="F1472" s="116">
        <v>5195.25</v>
      </c>
      <c r="G1472">
        <v>21860</v>
      </c>
      <c r="H1472" s="116"/>
      <c r="I1472" s="116"/>
      <c r="L1472" s="170">
        <v>45734</v>
      </c>
      <c r="M1472" s="116">
        <v>5195.8</v>
      </c>
      <c r="N1472" s="116">
        <v>5254.25</v>
      </c>
      <c r="O1472" s="116">
        <v>5024</v>
      </c>
      <c r="P1472" s="116">
        <v>5042</v>
      </c>
      <c r="Q1472" s="116">
        <v>5195.8</v>
      </c>
      <c r="R1472">
        <v>594035</v>
      </c>
    </row>
    <row r="1473" spans="1:18" x14ac:dyDescent="0.25">
      <c r="A1473" s="170">
        <v>45735</v>
      </c>
      <c r="B1473" s="116">
        <v>5459.3</v>
      </c>
      <c r="C1473" s="116">
        <v>5441.75</v>
      </c>
      <c r="D1473" s="116">
        <v>5162.5</v>
      </c>
      <c r="E1473" s="116">
        <v>5206.05</v>
      </c>
      <c r="F1473" s="116">
        <v>5441.75</v>
      </c>
      <c r="G1473">
        <v>20684</v>
      </c>
      <c r="H1473" s="116"/>
      <c r="I1473" s="116"/>
      <c r="L1473" s="170">
        <v>45735</v>
      </c>
      <c r="M1473" s="116">
        <v>5438.4</v>
      </c>
      <c r="N1473" s="116">
        <v>5456.1</v>
      </c>
      <c r="O1473" s="116">
        <v>5165</v>
      </c>
      <c r="P1473" s="116">
        <v>5210</v>
      </c>
      <c r="Q1473" s="116">
        <v>5438.4</v>
      </c>
      <c r="R1473">
        <v>644101</v>
      </c>
    </row>
    <row r="1474" spans="1:18" x14ac:dyDescent="0.25">
      <c r="A1474" s="170">
        <v>45736</v>
      </c>
      <c r="B1474" s="116">
        <v>5227.05</v>
      </c>
      <c r="C1474" s="116">
        <v>5083.3500000000004</v>
      </c>
      <c r="D1474" s="116">
        <v>4912.75</v>
      </c>
      <c r="E1474" s="116">
        <v>5220.95</v>
      </c>
      <c r="F1474" s="116">
        <v>5083.3500000000004</v>
      </c>
      <c r="G1474">
        <v>190741</v>
      </c>
      <c r="H1474" s="116"/>
      <c r="I1474" s="116"/>
      <c r="L1474" s="170">
        <v>45736</v>
      </c>
      <c r="M1474" s="116">
        <v>5083.3999999999996</v>
      </c>
      <c r="N1474" s="116">
        <v>5242.05</v>
      </c>
      <c r="O1474" s="116">
        <v>4913.6499999999996</v>
      </c>
      <c r="P1474" s="116">
        <v>5225</v>
      </c>
      <c r="Q1474" s="116">
        <v>5083.3999999999996</v>
      </c>
      <c r="R1474">
        <v>4100652</v>
      </c>
    </row>
    <row r="1475" spans="1:18" x14ac:dyDescent="0.25">
      <c r="A1475" s="170">
        <v>45737</v>
      </c>
      <c r="B1475" s="116">
        <v>5138.25</v>
      </c>
      <c r="C1475" s="116">
        <v>4992.3</v>
      </c>
      <c r="D1475" s="116">
        <v>4980</v>
      </c>
      <c r="E1475" s="116">
        <v>5083.8999999999996</v>
      </c>
      <c r="F1475" s="116">
        <v>4992.3</v>
      </c>
      <c r="G1475">
        <v>51177</v>
      </c>
      <c r="H1475" s="116"/>
      <c r="I1475" s="116"/>
      <c r="L1475" s="170">
        <v>45737</v>
      </c>
      <c r="M1475" s="116">
        <v>4992.3</v>
      </c>
      <c r="N1475" s="116">
        <v>5139</v>
      </c>
      <c r="O1475" s="116">
        <v>4980</v>
      </c>
      <c r="P1475" s="116">
        <v>5100</v>
      </c>
      <c r="Q1475" s="116">
        <v>4992.3</v>
      </c>
      <c r="R1475">
        <v>1428921</v>
      </c>
    </row>
    <row r="1476" spans="1:18" x14ac:dyDescent="0.25">
      <c r="A1476" s="170">
        <v>45740</v>
      </c>
      <c r="B1476" s="116">
        <v>5073.5</v>
      </c>
      <c r="C1476" s="116">
        <v>5020.8500000000004</v>
      </c>
      <c r="D1476" s="116">
        <v>4977.3999999999996</v>
      </c>
      <c r="E1476" s="116">
        <v>5005.05</v>
      </c>
      <c r="F1476" s="116">
        <v>5020.8500000000004</v>
      </c>
      <c r="G1476">
        <v>54143</v>
      </c>
      <c r="H1476" s="116"/>
      <c r="I1476" s="116"/>
      <c r="L1476" s="170">
        <v>45740</v>
      </c>
      <c r="M1476" s="116">
        <v>5025.45</v>
      </c>
      <c r="N1476" s="116">
        <v>5061.7</v>
      </c>
      <c r="O1476" s="116">
        <v>4977.05</v>
      </c>
      <c r="P1476" s="116">
        <v>5020</v>
      </c>
      <c r="Q1476" s="116">
        <v>5025.45</v>
      </c>
      <c r="R1476">
        <v>1060661</v>
      </c>
    </row>
    <row r="1477" spans="1:18" x14ac:dyDescent="0.25">
      <c r="A1477" s="170">
        <v>45741</v>
      </c>
      <c r="B1477" s="116">
        <v>5198.95</v>
      </c>
      <c r="C1477" s="116">
        <v>5149.8500000000004</v>
      </c>
      <c r="D1477" s="116">
        <v>5068</v>
      </c>
      <c r="E1477" s="116">
        <v>5084.95</v>
      </c>
      <c r="F1477" s="116">
        <v>5149.8500000000004</v>
      </c>
      <c r="G1477">
        <v>46703</v>
      </c>
      <c r="H1477" s="116"/>
      <c r="I1477" s="116"/>
      <c r="L1477" s="170">
        <v>45741</v>
      </c>
      <c r="M1477" s="116">
        <v>5152.1499999999996</v>
      </c>
      <c r="N1477" s="116">
        <v>5198.8</v>
      </c>
      <c r="O1477" s="116">
        <v>5060</v>
      </c>
      <c r="P1477" s="116">
        <v>5069.8</v>
      </c>
      <c r="Q1477" s="116">
        <v>5152.1499999999996</v>
      </c>
      <c r="R1477">
        <v>1184080</v>
      </c>
    </row>
    <row r="1478" spans="1:18" x14ac:dyDescent="0.25">
      <c r="A1478" s="170">
        <v>45742</v>
      </c>
      <c r="B1478" s="116">
        <v>5220</v>
      </c>
      <c r="C1478" s="116">
        <v>5151.45</v>
      </c>
      <c r="D1478" s="116">
        <v>5113</v>
      </c>
      <c r="E1478" s="116">
        <v>5176.95</v>
      </c>
      <c r="F1478" s="116">
        <v>5151.45</v>
      </c>
      <c r="G1478">
        <v>21571</v>
      </c>
      <c r="H1478" s="116"/>
      <c r="I1478" s="116"/>
      <c r="L1478" s="170">
        <v>45742</v>
      </c>
      <c r="M1478" s="116">
        <v>5150.8500000000004</v>
      </c>
      <c r="N1478" s="116">
        <v>5221</v>
      </c>
      <c r="O1478" s="116">
        <v>5112.8999999999996</v>
      </c>
      <c r="P1478" s="116">
        <v>5168</v>
      </c>
      <c r="Q1478" s="116">
        <v>5150.8500000000004</v>
      </c>
      <c r="R1478">
        <v>475269</v>
      </c>
    </row>
    <row r="1479" spans="1:18" x14ac:dyDescent="0.25">
      <c r="A1479" s="170">
        <v>45743</v>
      </c>
      <c r="B1479" s="116">
        <v>5252.5</v>
      </c>
      <c r="C1479" s="116">
        <v>5208.6499999999996</v>
      </c>
      <c r="D1479" s="116">
        <v>5050</v>
      </c>
      <c r="E1479" s="116">
        <v>5149.95</v>
      </c>
      <c r="F1479" s="116">
        <v>5208.6499999999996</v>
      </c>
      <c r="G1479">
        <v>42574</v>
      </c>
      <c r="H1479" s="116"/>
      <c r="I1479" s="116"/>
      <c r="L1479" s="170">
        <v>45743</v>
      </c>
      <c r="M1479" s="116">
        <v>5216.55</v>
      </c>
      <c r="N1479" s="116">
        <v>5255</v>
      </c>
      <c r="O1479" s="116">
        <v>4990</v>
      </c>
      <c r="P1479" s="116">
        <v>5138.05</v>
      </c>
      <c r="Q1479" s="116">
        <v>5216.55</v>
      </c>
      <c r="R1479">
        <v>633018</v>
      </c>
    </row>
    <row r="1480" spans="1:18" x14ac:dyDescent="0.25">
      <c r="A1480" s="170">
        <v>45744</v>
      </c>
      <c r="B1480" s="116">
        <v>5252</v>
      </c>
      <c r="C1480" s="116">
        <v>5148.3500000000004</v>
      </c>
      <c r="D1480" s="116">
        <v>5115.05</v>
      </c>
      <c r="E1480" s="116">
        <v>5248</v>
      </c>
      <c r="F1480" s="116">
        <v>5148.3500000000004</v>
      </c>
      <c r="G1480">
        <v>16449</v>
      </c>
      <c r="H1480" s="116"/>
      <c r="I1480" s="116"/>
      <c r="L1480" s="170">
        <v>45744</v>
      </c>
      <c r="M1480" s="116">
        <v>5147.95</v>
      </c>
      <c r="N1480" s="116">
        <v>5258</v>
      </c>
      <c r="O1480" s="116">
        <v>5107.55</v>
      </c>
      <c r="P1480" s="116">
        <v>5235.6499999999996</v>
      </c>
      <c r="Q1480" s="116">
        <v>5147.95</v>
      </c>
      <c r="R1480">
        <v>449930</v>
      </c>
    </row>
    <row r="1481" spans="1:18" x14ac:dyDescent="0.25">
      <c r="A1481" s="170">
        <v>45748</v>
      </c>
      <c r="B1481" s="116">
        <v>5161</v>
      </c>
      <c r="C1481" s="116">
        <v>5100.3</v>
      </c>
      <c r="D1481" s="116">
        <v>5065</v>
      </c>
      <c r="E1481" s="116">
        <v>5068</v>
      </c>
      <c r="F1481" s="116">
        <v>5100.3</v>
      </c>
      <c r="G1481">
        <v>25325</v>
      </c>
      <c r="H1481" s="116"/>
      <c r="I1481" s="116"/>
      <c r="L1481" s="170">
        <v>45748</v>
      </c>
      <c r="M1481" s="116">
        <v>5102.6000000000004</v>
      </c>
      <c r="N1481" s="116">
        <v>5159.7</v>
      </c>
      <c r="O1481" s="116">
        <v>5062.45</v>
      </c>
      <c r="P1481" s="116">
        <v>5091</v>
      </c>
      <c r="Q1481" s="116">
        <v>5102.6000000000004</v>
      </c>
      <c r="R1481">
        <v>281666</v>
      </c>
    </row>
    <row r="1482" spans="1:18" x14ac:dyDescent="0.25">
      <c r="A1482" s="170">
        <v>45749</v>
      </c>
      <c r="B1482" s="116">
        <v>5303</v>
      </c>
      <c r="C1482" s="116">
        <v>5286.85</v>
      </c>
      <c r="D1482" s="116">
        <v>4985.5</v>
      </c>
      <c r="E1482" s="116">
        <v>5103.55</v>
      </c>
      <c r="F1482" s="116">
        <v>5286.85</v>
      </c>
      <c r="G1482">
        <v>28097</v>
      </c>
      <c r="H1482" s="116"/>
      <c r="I1482" s="116"/>
      <c r="L1482" s="170">
        <v>45749</v>
      </c>
      <c r="M1482" s="116">
        <v>5285.75</v>
      </c>
      <c r="N1482" s="116">
        <v>5305</v>
      </c>
      <c r="O1482" s="116">
        <v>4985</v>
      </c>
      <c r="P1482" s="116">
        <v>5112</v>
      </c>
      <c r="Q1482" s="116">
        <v>5285.75</v>
      </c>
      <c r="R1482">
        <v>661417</v>
      </c>
    </row>
    <row r="1483" spans="1:18" x14ac:dyDescent="0.25">
      <c r="A1483" s="170">
        <v>45750</v>
      </c>
      <c r="B1483" s="116">
        <v>5265.8</v>
      </c>
      <c r="C1483" s="116">
        <v>5204.3500000000004</v>
      </c>
      <c r="D1483" s="116">
        <v>5165</v>
      </c>
      <c r="E1483" s="116">
        <v>5180.7</v>
      </c>
      <c r="F1483" s="116">
        <v>5204.3500000000004</v>
      </c>
      <c r="G1483">
        <v>22853</v>
      </c>
      <c r="H1483" s="116"/>
      <c r="I1483" s="116"/>
      <c r="L1483" s="170">
        <v>45750</v>
      </c>
      <c r="M1483" s="116">
        <v>5203.75</v>
      </c>
      <c r="N1483" s="116">
        <v>5264.9</v>
      </c>
      <c r="O1483" s="116">
        <v>5164.6000000000004</v>
      </c>
      <c r="P1483" s="116">
        <v>5200</v>
      </c>
      <c r="Q1483" s="116">
        <v>5203.75</v>
      </c>
      <c r="R1483">
        <v>320013</v>
      </c>
    </row>
    <row r="1484" spans="1:18" x14ac:dyDescent="0.25">
      <c r="A1484" s="170">
        <v>45751</v>
      </c>
      <c r="B1484" s="116">
        <v>5200</v>
      </c>
      <c r="C1484" s="116">
        <v>5038.45</v>
      </c>
      <c r="D1484" s="116">
        <v>4980.3500000000004</v>
      </c>
      <c r="E1484" s="116">
        <v>5187.8999999999996</v>
      </c>
      <c r="F1484" s="116">
        <v>5038.45</v>
      </c>
      <c r="G1484">
        <v>27541</v>
      </c>
      <c r="H1484" s="116"/>
      <c r="I1484" s="116"/>
      <c r="L1484" s="170">
        <v>45751</v>
      </c>
      <c r="M1484" s="116">
        <v>5040.75</v>
      </c>
      <c r="N1484" s="116">
        <v>5203</v>
      </c>
      <c r="O1484" s="116">
        <v>4981</v>
      </c>
      <c r="P1484" s="116">
        <v>5203</v>
      </c>
      <c r="Q1484" s="116">
        <v>5040.75</v>
      </c>
      <c r="R1484">
        <v>421875</v>
      </c>
    </row>
    <row r="1485" spans="1:18" x14ac:dyDescent="0.25">
      <c r="A1485" s="170">
        <v>45754</v>
      </c>
      <c r="B1485" s="116">
        <v>4961.8</v>
      </c>
      <c r="C1485" s="116">
        <v>4931.3</v>
      </c>
      <c r="D1485" s="116">
        <v>4574.55</v>
      </c>
      <c r="E1485" s="116">
        <v>4850</v>
      </c>
      <c r="F1485" s="116">
        <v>4931.3</v>
      </c>
      <c r="G1485">
        <v>27291</v>
      </c>
      <c r="H1485" s="116"/>
      <c r="I1485" s="116"/>
      <c r="L1485" s="170">
        <v>45754</v>
      </c>
      <c r="M1485" s="116">
        <v>4934.6000000000004</v>
      </c>
      <c r="N1485" s="116">
        <v>4964</v>
      </c>
      <c r="O1485" s="116">
        <v>4567</v>
      </c>
      <c r="P1485" s="116">
        <v>4650</v>
      </c>
      <c r="Q1485" s="116">
        <v>4934.6000000000004</v>
      </c>
      <c r="R1485">
        <v>497046</v>
      </c>
    </row>
    <row r="1486" spans="1:18" x14ac:dyDescent="0.25">
      <c r="A1486" s="170">
        <v>45755</v>
      </c>
      <c r="B1486" s="116">
        <v>5100.2</v>
      </c>
      <c r="C1486" s="116">
        <v>4986.1499999999996</v>
      </c>
      <c r="D1486" s="116">
        <v>4927.2</v>
      </c>
      <c r="E1486" s="116">
        <v>4999.95</v>
      </c>
      <c r="F1486" s="116">
        <v>4986.1499999999996</v>
      </c>
      <c r="G1486">
        <v>19895</v>
      </c>
      <c r="H1486" s="116"/>
      <c r="I1486" s="116"/>
      <c r="L1486" s="170">
        <v>45755</v>
      </c>
      <c r="M1486" s="116">
        <v>4986.1499999999996</v>
      </c>
      <c r="N1486" s="116">
        <v>5100</v>
      </c>
      <c r="O1486" s="116">
        <v>4925</v>
      </c>
      <c r="P1486" s="116">
        <v>4990</v>
      </c>
      <c r="Q1486" s="116">
        <v>4986.1499999999996</v>
      </c>
      <c r="R1486">
        <v>283588</v>
      </c>
    </row>
    <row r="1487" spans="1:18" x14ac:dyDescent="0.25">
      <c r="A1487" s="170">
        <v>45756</v>
      </c>
      <c r="B1487" s="116">
        <v>5027.7</v>
      </c>
      <c r="C1487" s="116">
        <v>5005.75</v>
      </c>
      <c r="D1487" s="116">
        <v>4893.3500000000004</v>
      </c>
      <c r="E1487" s="116">
        <v>4980.8</v>
      </c>
      <c r="F1487" s="116">
        <v>5005.75</v>
      </c>
      <c r="G1487">
        <v>13092</v>
      </c>
      <c r="H1487" s="116"/>
      <c r="I1487" s="116"/>
      <c r="L1487" s="170">
        <v>45756</v>
      </c>
      <c r="M1487" s="116">
        <v>5005</v>
      </c>
      <c r="N1487" s="116">
        <v>5028.3</v>
      </c>
      <c r="O1487" s="116">
        <v>4890</v>
      </c>
      <c r="P1487" s="116">
        <v>4985.6000000000004</v>
      </c>
      <c r="Q1487" s="116">
        <v>5005</v>
      </c>
      <c r="R1487">
        <v>195312</v>
      </c>
    </row>
    <row r="1488" spans="1:18" x14ac:dyDescent="0.25">
      <c r="A1488" s="170">
        <v>45758</v>
      </c>
      <c r="B1488" s="116">
        <v>5176</v>
      </c>
      <c r="C1488" s="116">
        <v>5095.45</v>
      </c>
      <c r="D1488" s="116">
        <v>5042</v>
      </c>
      <c r="E1488" s="116">
        <v>5101.95</v>
      </c>
      <c r="F1488" s="116">
        <v>5095.45</v>
      </c>
      <c r="G1488">
        <v>32148</v>
      </c>
      <c r="H1488" s="116"/>
      <c r="I1488" s="116"/>
      <c r="L1488" s="170">
        <v>45758</v>
      </c>
      <c r="M1488" s="116">
        <v>5093.25</v>
      </c>
      <c r="N1488" s="116">
        <v>5178.7</v>
      </c>
      <c r="O1488" s="116">
        <v>5045</v>
      </c>
      <c r="P1488" s="116">
        <v>5090</v>
      </c>
      <c r="Q1488" s="116">
        <v>5093.25</v>
      </c>
      <c r="R1488">
        <v>338270</v>
      </c>
    </row>
    <row r="1489" spans="1:18" x14ac:dyDescent="0.25">
      <c r="A1489" s="170">
        <v>45762</v>
      </c>
      <c r="B1489" s="116">
        <v>5258</v>
      </c>
      <c r="C1489" s="116">
        <v>5248.95</v>
      </c>
      <c r="D1489" s="116">
        <v>5129.5</v>
      </c>
      <c r="E1489" s="116">
        <v>5171.05</v>
      </c>
      <c r="F1489" s="116">
        <v>5248.95</v>
      </c>
      <c r="G1489">
        <v>27364</v>
      </c>
      <c r="H1489" s="116"/>
      <c r="I1489" s="116"/>
      <c r="L1489" s="170">
        <v>45762</v>
      </c>
      <c r="M1489" s="116">
        <v>5249.5</v>
      </c>
      <c r="N1489" s="116">
        <v>5261.5</v>
      </c>
      <c r="O1489" s="116">
        <v>5124</v>
      </c>
      <c r="P1489" s="116">
        <v>5180</v>
      </c>
      <c r="Q1489" s="116">
        <v>5249.5</v>
      </c>
      <c r="R1489">
        <v>383428</v>
      </c>
    </row>
    <row r="1490" spans="1:18" x14ac:dyDescent="0.25">
      <c r="A1490" s="170">
        <v>45763</v>
      </c>
      <c r="B1490" s="116">
        <v>5335.2</v>
      </c>
      <c r="C1490" s="116">
        <v>5298.9</v>
      </c>
      <c r="D1490" s="116">
        <v>5227</v>
      </c>
      <c r="E1490" s="116">
        <v>5250.2</v>
      </c>
      <c r="F1490" s="116">
        <v>5298.9</v>
      </c>
      <c r="G1490">
        <v>10865</v>
      </c>
      <c r="H1490" s="116"/>
      <c r="I1490" s="116"/>
      <c r="L1490" s="170">
        <v>45763</v>
      </c>
      <c r="M1490" s="116">
        <v>5299.5</v>
      </c>
      <c r="N1490" s="116">
        <v>5335</v>
      </c>
      <c r="O1490" s="116">
        <v>5222.5</v>
      </c>
      <c r="P1490" s="116">
        <v>5258</v>
      </c>
      <c r="Q1490" s="116">
        <v>5299.5</v>
      </c>
      <c r="R1490">
        <v>301161</v>
      </c>
    </row>
    <row r="1491" spans="1:18" x14ac:dyDescent="0.25">
      <c r="A1491" s="170">
        <v>45764</v>
      </c>
      <c r="B1491" s="116">
        <v>5334</v>
      </c>
      <c r="C1491" s="116">
        <v>5293.1</v>
      </c>
      <c r="D1491" s="116">
        <v>5249.5</v>
      </c>
      <c r="E1491" s="116">
        <v>5292</v>
      </c>
      <c r="F1491" s="116">
        <v>5293.1</v>
      </c>
      <c r="G1491">
        <v>8894</v>
      </c>
      <c r="H1491" s="116"/>
      <c r="I1491" s="116"/>
      <c r="L1491" s="170">
        <v>45764</v>
      </c>
      <c r="M1491" s="116">
        <v>5293</v>
      </c>
      <c r="N1491" s="116">
        <v>5336.5</v>
      </c>
      <c r="O1491" s="116">
        <v>5245.5</v>
      </c>
      <c r="P1491" s="116">
        <v>5288</v>
      </c>
      <c r="Q1491" s="116">
        <v>5293</v>
      </c>
      <c r="R1491">
        <v>259527</v>
      </c>
    </row>
    <row r="1492" spans="1:18" x14ac:dyDescent="0.25">
      <c r="A1492" s="170">
        <v>45768</v>
      </c>
      <c r="B1492" s="116">
        <v>5435</v>
      </c>
      <c r="C1492" s="116">
        <v>5410.45</v>
      </c>
      <c r="D1492" s="116">
        <v>5284</v>
      </c>
      <c r="E1492" s="116">
        <v>5294.5</v>
      </c>
      <c r="F1492" s="116">
        <v>5410.45</v>
      </c>
      <c r="G1492">
        <v>18605</v>
      </c>
      <c r="H1492" s="116"/>
      <c r="I1492" s="116"/>
      <c r="L1492" s="170">
        <v>45768</v>
      </c>
      <c r="M1492" s="116">
        <v>5412.5</v>
      </c>
      <c r="N1492" s="116">
        <v>5438</v>
      </c>
      <c r="O1492" s="116">
        <v>5280</v>
      </c>
      <c r="P1492" s="116">
        <v>5301</v>
      </c>
      <c r="Q1492" s="116">
        <v>5412.5</v>
      </c>
      <c r="R1492">
        <v>224054</v>
      </c>
    </row>
    <row r="1493" spans="1:18" x14ac:dyDescent="0.25">
      <c r="A1493" s="170">
        <v>45769</v>
      </c>
      <c r="B1493" s="116">
        <v>5569.65</v>
      </c>
      <c r="C1493" s="116">
        <v>5511.85</v>
      </c>
      <c r="D1493" s="116">
        <v>5440</v>
      </c>
      <c r="E1493" s="116">
        <v>5469.55</v>
      </c>
      <c r="F1493" s="116">
        <v>5511.85</v>
      </c>
      <c r="G1493">
        <v>15276</v>
      </c>
      <c r="H1493" s="116"/>
      <c r="I1493" s="116"/>
      <c r="L1493" s="170">
        <v>45769</v>
      </c>
      <c r="M1493" s="116">
        <v>5506</v>
      </c>
      <c r="N1493" s="116">
        <v>5569</v>
      </c>
      <c r="O1493" s="116">
        <v>5436.5</v>
      </c>
      <c r="P1493" s="116">
        <v>5450.5</v>
      </c>
      <c r="Q1493" s="116">
        <v>5506</v>
      </c>
      <c r="R1493">
        <v>633870</v>
      </c>
    </row>
    <row r="1494" spans="1:18" x14ac:dyDescent="0.25">
      <c r="A1494" s="170">
        <v>45770</v>
      </c>
      <c r="B1494" s="116">
        <v>5620</v>
      </c>
      <c r="C1494" s="116">
        <v>5613.1</v>
      </c>
      <c r="D1494" s="116">
        <v>5460.5</v>
      </c>
      <c r="E1494" s="116">
        <v>5598.95</v>
      </c>
      <c r="F1494" s="116">
        <v>5613.1</v>
      </c>
      <c r="G1494">
        <v>28515</v>
      </c>
      <c r="H1494" s="116"/>
      <c r="I1494" s="116"/>
      <c r="L1494" s="170">
        <v>45770</v>
      </c>
      <c r="M1494" s="116">
        <v>5614.5</v>
      </c>
      <c r="N1494" s="116">
        <v>5625.5</v>
      </c>
      <c r="O1494" s="116">
        <v>5462</v>
      </c>
      <c r="P1494" s="116">
        <v>5585</v>
      </c>
      <c r="Q1494" s="116">
        <v>5614.5</v>
      </c>
      <c r="R1494">
        <v>374348</v>
      </c>
    </row>
    <row r="1495" spans="1:18" x14ac:dyDescent="0.25">
      <c r="A1495" s="170">
        <v>45771</v>
      </c>
      <c r="B1495" s="116">
        <v>5630</v>
      </c>
      <c r="C1495" s="116">
        <v>5516.9</v>
      </c>
      <c r="D1495" s="116">
        <v>5493.5</v>
      </c>
      <c r="E1495" s="116">
        <v>5629.8</v>
      </c>
      <c r="F1495" s="116">
        <v>5516.9</v>
      </c>
      <c r="G1495">
        <v>12179</v>
      </c>
      <c r="H1495" s="116"/>
      <c r="I1495" s="116"/>
      <c r="L1495" s="170">
        <v>45771</v>
      </c>
      <c r="M1495" s="116">
        <v>5512.5</v>
      </c>
      <c r="N1495" s="116">
        <v>5630</v>
      </c>
      <c r="O1495" s="116">
        <v>5490</v>
      </c>
      <c r="P1495" s="116">
        <v>5614.5</v>
      </c>
      <c r="Q1495" s="116">
        <v>5512.5</v>
      </c>
      <c r="R1495">
        <v>264678</v>
      </c>
    </row>
    <row r="1496" spans="1:18" x14ac:dyDescent="0.25">
      <c r="A1496" s="170">
        <v>45772</v>
      </c>
      <c r="B1496" s="116">
        <v>5586.9</v>
      </c>
      <c r="C1496" s="116">
        <v>5502.1</v>
      </c>
      <c r="D1496" s="116">
        <v>5382.75</v>
      </c>
      <c r="E1496" s="116">
        <v>5540</v>
      </c>
      <c r="F1496" s="116">
        <v>5502.1</v>
      </c>
      <c r="G1496">
        <v>30695</v>
      </c>
      <c r="H1496" s="116"/>
      <c r="I1496" s="116"/>
      <c r="L1496" s="170">
        <v>45772</v>
      </c>
      <c r="M1496" s="116">
        <v>5507</v>
      </c>
      <c r="N1496" s="116">
        <v>5585</v>
      </c>
      <c r="O1496" s="116">
        <v>5386</v>
      </c>
      <c r="P1496" s="116">
        <v>5540</v>
      </c>
      <c r="Q1496" s="116">
        <v>5507</v>
      </c>
      <c r="R1496">
        <v>669725</v>
      </c>
    </row>
    <row r="1497" spans="1:18" x14ac:dyDescent="0.25">
      <c r="A1497" s="170">
        <v>45775</v>
      </c>
      <c r="B1497" s="116">
        <v>5613</v>
      </c>
      <c r="C1497" s="116">
        <v>5596.45</v>
      </c>
      <c r="D1497" s="116">
        <v>5460.9</v>
      </c>
      <c r="E1497" s="116">
        <v>5497</v>
      </c>
      <c r="F1497" s="116">
        <v>5596.45</v>
      </c>
      <c r="G1497">
        <v>11580</v>
      </c>
      <c r="H1497" s="116"/>
      <c r="I1497" s="116"/>
      <c r="L1497" s="170">
        <v>45775</v>
      </c>
      <c r="M1497" s="116">
        <v>5598</v>
      </c>
      <c r="N1497" s="116">
        <v>5617.5</v>
      </c>
      <c r="O1497" s="116">
        <v>5455.5</v>
      </c>
      <c r="P1497" s="116">
        <v>5483.5</v>
      </c>
      <c r="Q1497" s="116">
        <v>5598</v>
      </c>
      <c r="R1497">
        <v>278907</v>
      </c>
    </row>
    <row r="1498" spans="1:18" x14ac:dyDescent="0.25">
      <c r="A1498" s="170">
        <v>45776</v>
      </c>
      <c r="B1498" s="116">
        <v>5691</v>
      </c>
      <c r="C1498" s="116">
        <v>5568.85</v>
      </c>
      <c r="D1498" s="116">
        <v>5551.25</v>
      </c>
      <c r="E1498" s="116">
        <v>5596.45</v>
      </c>
      <c r="F1498" s="116">
        <v>5568.85</v>
      </c>
      <c r="G1498">
        <v>7225</v>
      </c>
      <c r="H1498" s="116"/>
      <c r="I1498" s="116"/>
      <c r="L1498" s="170">
        <v>45776</v>
      </c>
      <c r="M1498" s="116">
        <v>5570.5</v>
      </c>
      <c r="N1498" s="116">
        <v>5694</v>
      </c>
      <c r="O1498" s="116">
        <v>5553.5</v>
      </c>
      <c r="P1498" s="116">
        <v>5598</v>
      </c>
      <c r="Q1498" s="116">
        <v>5570.5</v>
      </c>
      <c r="R1498">
        <v>264199</v>
      </c>
    </row>
    <row r="1499" spans="1:18" x14ac:dyDescent="0.25">
      <c r="A1499" s="170">
        <v>45777</v>
      </c>
      <c r="B1499" s="116">
        <v>5603</v>
      </c>
      <c r="C1499" s="116">
        <v>5523.15</v>
      </c>
      <c r="D1499" s="116">
        <v>5477.5</v>
      </c>
      <c r="E1499" s="116">
        <v>5540.3</v>
      </c>
      <c r="F1499" s="116">
        <v>5523.15</v>
      </c>
      <c r="G1499">
        <v>6300</v>
      </c>
      <c r="H1499" s="116"/>
      <c r="I1499" s="116"/>
      <c r="L1499" s="170">
        <v>45777</v>
      </c>
      <c r="M1499" s="116">
        <v>5520</v>
      </c>
      <c r="N1499" s="116">
        <v>5604</v>
      </c>
      <c r="O1499" s="116">
        <v>5464</v>
      </c>
      <c r="P1499" s="116">
        <v>5570.5</v>
      </c>
      <c r="Q1499" s="116">
        <v>5520</v>
      </c>
      <c r="R1499">
        <v>248922</v>
      </c>
    </row>
    <row r="1500" spans="1:18" x14ac:dyDescent="0.25">
      <c r="A1500" s="170">
        <v>45779</v>
      </c>
      <c r="B1500" s="116">
        <v>5580</v>
      </c>
      <c r="C1500" s="116">
        <v>5464.25</v>
      </c>
      <c r="D1500" s="116">
        <v>5450</v>
      </c>
      <c r="E1500" s="116">
        <v>5475.5</v>
      </c>
      <c r="F1500" s="116">
        <v>5464.25</v>
      </c>
      <c r="G1500">
        <v>25278</v>
      </c>
      <c r="H1500" s="116"/>
      <c r="I1500" s="116"/>
      <c r="L1500" s="170">
        <v>45779</v>
      </c>
      <c r="M1500" s="116">
        <v>5465</v>
      </c>
      <c r="N1500" s="116">
        <v>5584</v>
      </c>
      <c r="O1500" s="116">
        <v>5445.5</v>
      </c>
      <c r="P1500" s="116">
        <v>5499</v>
      </c>
      <c r="Q1500" s="116">
        <v>5465</v>
      </c>
      <c r="R1500">
        <v>188875</v>
      </c>
    </row>
    <row r="1501" spans="1:18" x14ac:dyDescent="0.25">
      <c r="A1501" s="170">
        <v>45782</v>
      </c>
      <c r="B1501" s="116">
        <v>5810</v>
      </c>
      <c r="C1501" s="116">
        <v>5798.9</v>
      </c>
      <c r="D1501" s="116">
        <v>5536.55</v>
      </c>
      <c r="E1501" s="116">
        <v>5536.55</v>
      </c>
      <c r="F1501" s="116">
        <v>5798.9</v>
      </c>
      <c r="G1501">
        <v>31109</v>
      </c>
      <c r="H1501" s="116"/>
      <c r="I1501" s="116"/>
      <c r="L1501" s="170">
        <v>45782</v>
      </c>
      <c r="M1501" s="116">
        <v>5795</v>
      </c>
      <c r="N1501" s="116">
        <v>5809</v>
      </c>
      <c r="O1501" s="116">
        <v>5535.5</v>
      </c>
      <c r="P1501" s="116">
        <v>5535.5</v>
      </c>
      <c r="Q1501" s="116">
        <v>5795</v>
      </c>
      <c r="R1501">
        <v>669348</v>
      </c>
    </row>
    <row r="1502" spans="1:18" x14ac:dyDescent="0.25">
      <c r="A1502" s="170">
        <v>45783</v>
      </c>
      <c r="B1502" s="116">
        <v>6078</v>
      </c>
      <c r="C1502" s="116">
        <v>5907.65</v>
      </c>
      <c r="D1502" s="116">
        <v>5727.45</v>
      </c>
      <c r="E1502" s="116">
        <v>5810</v>
      </c>
      <c r="F1502" s="116">
        <v>5907.65</v>
      </c>
      <c r="G1502">
        <v>201600</v>
      </c>
      <c r="H1502" s="116"/>
      <c r="I1502" s="116"/>
      <c r="L1502" s="170">
        <v>45783</v>
      </c>
      <c r="M1502" s="116">
        <v>5906</v>
      </c>
      <c r="N1502" s="116">
        <v>6077.5</v>
      </c>
      <c r="O1502" s="116">
        <v>5725</v>
      </c>
      <c r="P1502" s="116">
        <v>5829.5</v>
      </c>
      <c r="Q1502" s="116">
        <v>5906</v>
      </c>
      <c r="R1502">
        <v>2645488</v>
      </c>
    </row>
    <row r="1503" spans="1:18" x14ac:dyDescent="0.25">
      <c r="A1503" s="170">
        <v>45784</v>
      </c>
      <c r="B1503" s="116">
        <v>6057.55</v>
      </c>
      <c r="C1503" s="116">
        <v>5885.85</v>
      </c>
      <c r="D1503" s="116">
        <v>5824.55</v>
      </c>
      <c r="E1503" s="116">
        <v>5851.15</v>
      </c>
      <c r="F1503" s="116">
        <v>5885.85</v>
      </c>
      <c r="G1503">
        <v>71339</v>
      </c>
      <c r="H1503" s="116"/>
      <c r="I1503" s="116"/>
      <c r="L1503" s="170">
        <v>45784</v>
      </c>
      <c r="M1503" s="116">
        <v>5886.5</v>
      </c>
      <c r="N1503" s="116">
        <v>6058</v>
      </c>
      <c r="O1503" s="116">
        <v>5826</v>
      </c>
      <c r="P1503" s="116">
        <v>5899.5</v>
      </c>
      <c r="Q1503" s="116">
        <v>5886.5</v>
      </c>
      <c r="R1503">
        <v>807608</v>
      </c>
    </row>
    <row r="1504" spans="1:18" x14ac:dyDescent="0.25">
      <c r="A1504" s="170">
        <v>45785</v>
      </c>
      <c r="B1504" s="116">
        <v>5943.85</v>
      </c>
      <c r="C1504" s="116">
        <v>5765.55</v>
      </c>
      <c r="D1504" s="116">
        <v>5730</v>
      </c>
      <c r="E1504" s="116">
        <v>5940</v>
      </c>
      <c r="F1504" s="116">
        <v>5765.55</v>
      </c>
      <c r="G1504">
        <v>12443</v>
      </c>
      <c r="H1504" s="116"/>
      <c r="I1504" s="116"/>
      <c r="L1504" s="170">
        <v>45785</v>
      </c>
      <c r="M1504" s="116">
        <v>5765</v>
      </c>
      <c r="N1504" s="116">
        <v>5948</v>
      </c>
      <c r="O1504" s="116">
        <v>5725</v>
      </c>
      <c r="P1504" s="116">
        <v>5938</v>
      </c>
      <c r="Q1504" s="116">
        <v>5765</v>
      </c>
      <c r="R1504">
        <v>394295</v>
      </c>
    </row>
    <row r="1505" spans="1:18" x14ac:dyDescent="0.25">
      <c r="A1505" s="170">
        <v>45786</v>
      </c>
      <c r="B1505" s="116">
        <v>5790</v>
      </c>
      <c r="C1505" s="116">
        <v>5766.8</v>
      </c>
      <c r="D1505" s="116">
        <v>5535.3</v>
      </c>
      <c r="E1505" s="116">
        <v>5535.3</v>
      </c>
      <c r="F1505" s="116">
        <v>5766.8</v>
      </c>
      <c r="G1505">
        <v>31039</v>
      </c>
      <c r="H1505" s="116"/>
      <c r="I1505" s="116"/>
      <c r="L1505" s="170">
        <v>45786</v>
      </c>
      <c r="M1505" s="116">
        <v>5766.5</v>
      </c>
      <c r="N1505" s="116">
        <v>5788.5</v>
      </c>
      <c r="O1505" s="116">
        <v>5600</v>
      </c>
      <c r="P1505" s="116">
        <v>5600</v>
      </c>
      <c r="Q1505" s="116">
        <v>5766.5</v>
      </c>
      <c r="R1505">
        <v>356853</v>
      </c>
    </row>
    <row r="1506" spans="1:18" x14ac:dyDescent="0.25">
      <c r="A1506" s="170">
        <v>45789</v>
      </c>
      <c r="B1506" s="116">
        <v>6017.95</v>
      </c>
      <c r="C1506" s="116">
        <v>5985.7</v>
      </c>
      <c r="D1506" s="116">
        <v>5880.1</v>
      </c>
      <c r="E1506" s="116">
        <v>5912.8</v>
      </c>
      <c r="F1506" s="116">
        <v>5985.7</v>
      </c>
      <c r="G1506">
        <v>34452</v>
      </c>
      <c r="H1506" s="116"/>
      <c r="I1506" s="116"/>
      <c r="L1506" s="170">
        <v>45789</v>
      </c>
      <c r="M1506" s="116">
        <v>5992.5</v>
      </c>
      <c r="N1506" s="116">
        <v>6017.5</v>
      </c>
      <c r="O1506" s="116">
        <v>5881.5</v>
      </c>
      <c r="P1506" s="116">
        <v>5964.5</v>
      </c>
      <c r="Q1506" s="116">
        <v>5992.5</v>
      </c>
      <c r="R1506">
        <v>305557</v>
      </c>
    </row>
    <row r="1507" spans="1:18" x14ac:dyDescent="0.25">
      <c r="A1507" s="170">
        <v>45790</v>
      </c>
      <c r="B1507" s="116">
        <v>6053.75</v>
      </c>
      <c r="C1507" s="116">
        <v>6005.7</v>
      </c>
      <c r="D1507" s="116">
        <v>5953</v>
      </c>
      <c r="E1507" s="116">
        <v>5999.5</v>
      </c>
      <c r="F1507" s="116">
        <v>6005.7</v>
      </c>
      <c r="G1507">
        <v>9081</v>
      </c>
      <c r="H1507" s="116"/>
      <c r="I1507" s="116"/>
      <c r="L1507" s="170">
        <v>45790</v>
      </c>
      <c r="M1507" s="116">
        <v>6007.5</v>
      </c>
      <c r="N1507" s="116">
        <v>6054.5</v>
      </c>
      <c r="O1507" s="116">
        <v>5952.5</v>
      </c>
      <c r="P1507" s="116">
        <v>5992.5</v>
      </c>
      <c r="Q1507" s="116">
        <v>6007.5</v>
      </c>
      <c r="R1507">
        <v>222006</v>
      </c>
    </row>
    <row r="1508" spans="1:18" x14ac:dyDescent="0.25">
      <c r="A1508" s="170">
        <v>45791</v>
      </c>
      <c r="B1508" s="116">
        <v>6037.5</v>
      </c>
      <c r="C1508" s="116">
        <v>5970.55</v>
      </c>
      <c r="D1508" s="116">
        <v>5914</v>
      </c>
      <c r="E1508" s="116">
        <v>6010</v>
      </c>
      <c r="F1508" s="116">
        <v>5970.55</v>
      </c>
      <c r="G1508">
        <v>11593</v>
      </c>
      <c r="H1508" s="116"/>
      <c r="I1508" s="116"/>
      <c r="L1508" s="170">
        <v>45791</v>
      </c>
      <c r="M1508" s="116">
        <v>5981</v>
      </c>
      <c r="N1508" s="116">
        <v>6035</v>
      </c>
      <c r="O1508" s="116">
        <v>5911.5</v>
      </c>
      <c r="P1508" s="116">
        <v>6008</v>
      </c>
      <c r="Q1508" s="116">
        <v>5981</v>
      </c>
      <c r="R1508">
        <v>272460</v>
      </c>
    </row>
    <row r="1509" spans="1:18" x14ac:dyDescent="0.25">
      <c r="A1509" s="170">
        <v>45792</v>
      </c>
      <c r="B1509" s="116">
        <v>6068</v>
      </c>
      <c r="C1509" s="116">
        <v>6040.35</v>
      </c>
      <c r="D1509" s="116">
        <v>5990</v>
      </c>
      <c r="E1509" s="116">
        <v>6015</v>
      </c>
      <c r="F1509" s="116">
        <v>6040.35</v>
      </c>
      <c r="G1509">
        <v>8021</v>
      </c>
      <c r="H1509" s="116"/>
      <c r="I1509" s="116"/>
      <c r="L1509" s="170">
        <v>45792</v>
      </c>
      <c r="M1509" s="116">
        <v>6042</v>
      </c>
      <c r="N1509" s="116">
        <v>6070</v>
      </c>
      <c r="O1509" s="116">
        <v>5987</v>
      </c>
      <c r="P1509" s="116">
        <v>6009</v>
      </c>
      <c r="Q1509" s="116">
        <v>6042</v>
      </c>
      <c r="R1509">
        <v>252483</v>
      </c>
    </row>
    <row r="1510" spans="1:18" x14ac:dyDescent="0.25">
      <c r="A1510" s="170">
        <v>45793</v>
      </c>
      <c r="B1510" s="116">
        <v>6116</v>
      </c>
      <c r="C1510" s="116">
        <v>6093.6</v>
      </c>
      <c r="D1510" s="116">
        <v>6020</v>
      </c>
      <c r="E1510" s="116">
        <v>6089.8</v>
      </c>
      <c r="F1510" s="116">
        <v>6093.6</v>
      </c>
      <c r="G1510">
        <v>4667</v>
      </c>
      <c r="H1510" s="116"/>
      <c r="I1510" s="116"/>
      <c r="L1510" s="170">
        <v>45793</v>
      </c>
      <c r="M1510" s="116">
        <v>6094.5</v>
      </c>
      <c r="N1510" s="116">
        <v>6116</v>
      </c>
      <c r="O1510" s="116">
        <v>6016.5</v>
      </c>
      <c r="P1510" s="116">
        <v>6069</v>
      </c>
      <c r="Q1510" s="116">
        <v>6094.5</v>
      </c>
      <c r="R1510">
        <v>233003</v>
      </c>
    </row>
    <row r="1511" spans="1:18" x14ac:dyDescent="0.25">
      <c r="A1511" s="170">
        <v>45796</v>
      </c>
      <c r="B1511" s="116">
        <v>6165</v>
      </c>
      <c r="C1511" s="116">
        <v>6101.95</v>
      </c>
      <c r="D1511" s="116">
        <v>6069.7</v>
      </c>
      <c r="E1511" s="116">
        <v>6129.85</v>
      </c>
      <c r="F1511" s="116">
        <v>6101.95</v>
      </c>
      <c r="G1511">
        <v>6030</v>
      </c>
      <c r="H1511" s="116"/>
      <c r="I1511" s="116"/>
      <c r="L1511" s="170">
        <v>45796</v>
      </c>
      <c r="M1511" s="116">
        <v>6102.5</v>
      </c>
      <c r="N1511" s="116">
        <v>6167</v>
      </c>
      <c r="O1511" s="116">
        <v>6061.5</v>
      </c>
      <c r="P1511" s="116">
        <v>6100</v>
      </c>
      <c r="Q1511" s="116">
        <v>6102.5</v>
      </c>
      <c r="R1511">
        <v>186495</v>
      </c>
    </row>
    <row r="1512" spans="1:18" x14ac:dyDescent="0.25">
      <c r="A1512" s="170">
        <v>45797</v>
      </c>
      <c r="B1512" s="116">
        <v>6173.7</v>
      </c>
      <c r="C1512" s="116">
        <v>6016.05</v>
      </c>
      <c r="D1512" s="116">
        <v>5992.6</v>
      </c>
      <c r="E1512" s="116">
        <v>6173.7</v>
      </c>
      <c r="F1512" s="116">
        <v>6016.05</v>
      </c>
      <c r="G1512">
        <v>7844</v>
      </c>
      <c r="H1512" s="116"/>
      <c r="I1512" s="116"/>
      <c r="L1512" s="170">
        <v>45797</v>
      </c>
      <c r="M1512" s="116">
        <v>6013.5</v>
      </c>
      <c r="N1512" s="116">
        <v>6157</v>
      </c>
      <c r="O1512" s="116">
        <v>5992</v>
      </c>
      <c r="P1512" s="116">
        <v>6157</v>
      </c>
      <c r="Q1512" s="116">
        <v>6013.5</v>
      </c>
      <c r="R1512">
        <v>204127</v>
      </c>
    </row>
    <row r="1513" spans="1:18" x14ac:dyDescent="0.25">
      <c r="A1513" s="170">
        <v>45798</v>
      </c>
      <c r="B1513" s="116">
        <v>6073.4</v>
      </c>
      <c r="C1513" s="116">
        <v>6049.55</v>
      </c>
      <c r="D1513" s="116">
        <v>5982</v>
      </c>
      <c r="E1513" s="116">
        <v>6056</v>
      </c>
      <c r="F1513" s="116">
        <v>6049.55</v>
      </c>
      <c r="G1513">
        <v>9496</v>
      </c>
      <c r="H1513" s="116"/>
      <c r="I1513" s="116"/>
      <c r="L1513" s="170">
        <v>45798</v>
      </c>
      <c r="M1513" s="116">
        <v>6055</v>
      </c>
      <c r="N1513" s="116">
        <v>6075.5</v>
      </c>
      <c r="O1513" s="116">
        <v>5980.5</v>
      </c>
      <c r="P1513" s="116">
        <v>6029</v>
      </c>
      <c r="Q1513" s="116">
        <v>6055</v>
      </c>
      <c r="R1513">
        <v>124116</v>
      </c>
    </row>
    <row r="1514" spans="1:18" x14ac:dyDescent="0.25">
      <c r="A1514" s="170">
        <v>45799</v>
      </c>
      <c r="B1514" s="116">
        <v>6040</v>
      </c>
      <c r="C1514" s="116">
        <v>5946.45</v>
      </c>
      <c r="D1514" s="116">
        <v>5898</v>
      </c>
      <c r="E1514" s="116">
        <v>6016.4</v>
      </c>
      <c r="F1514" s="116">
        <v>5946.45</v>
      </c>
      <c r="G1514">
        <v>8547</v>
      </c>
      <c r="H1514" s="116"/>
      <c r="I1514" s="116"/>
      <c r="L1514" s="170">
        <v>45799</v>
      </c>
      <c r="M1514" s="116">
        <v>5948</v>
      </c>
      <c r="N1514" s="116">
        <v>6055</v>
      </c>
      <c r="O1514" s="116">
        <v>5892</v>
      </c>
      <c r="P1514" s="116">
        <v>6055</v>
      </c>
      <c r="Q1514" s="116">
        <v>5948</v>
      </c>
      <c r="R1514">
        <v>356912</v>
      </c>
    </row>
    <row r="1515" spans="1:18" x14ac:dyDescent="0.25">
      <c r="A1515" s="170">
        <v>45800</v>
      </c>
      <c r="B1515" s="116">
        <v>5991.5</v>
      </c>
      <c r="C1515" s="116">
        <v>5883.4</v>
      </c>
      <c r="D1515" s="116">
        <v>5870</v>
      </c>
      <c r="E1515" s="116">
        <v>5972.25</v>
      </c>
      <c r="F1515" s="116">
        <v>5883.4</v>
      </c>
      <c r="G1515">
        <v>3197</v>
      </c>
      <c r="H1515" s="116"/>
      <c r="I1515" s="116"/>
      <c r="L1515" s="170">
        <v>45800</v>
      </c>
      <c r="M1515" s="116">
        <v>5883.5</v>
      </c>
      <c r="N1515" s="116">
        <v>5990</v>
      </c>
      <c r="O1515" s="116">
        <v>5866</v>
      </c>
      <c r="P1515" s="116">
        <v>5980</v>
      </c>
      <c r="Q1515" s="116">
        <v>5883.5</v>
      </c>
      <c r="R1515">
        <v>323816</v>
      </c>
    </row>
    <row r="1516" spans="1:18" x14ac:dyDescent="0.25">
      <c r="A1516" s="170">
        <v>45803</v>
      </c>
      <c r="B1516" s="116">
        <v>5966.95</v>
      </c>
      <c r="C1516" s="116">
        <v>5951</v>
      </c>
      <c r="D1516" s="116">
        <v>5913.5</v>
      </c>
      <c r="E1516" s="116">
        <v>5925.05</v>
      </c>
      <c r="F1516" s="116">
        <v>5951</v>
      </c>
      <c r="G1516">
        <v>5892</v>
      </c>
      <c r="H1516" s="116"/>
      <c r="I1516" s="116"/>
      <c r="L1516" s="170">
        <v>45803</v>
      </c>
      <c r="M1516" s="116">
        <v>5949.5</v>
      </c>
      <c r="N1516" s="116">
        <v>5968</v>
      </c>
      <c r="O1516" s="116">
        <v>5908.5</v>
      </c>
      <c r="P1516" s="116">
        <v>5940</v>
      </c>
      <c r="Q1516" s="116">
        <v>5949.5</v>
      </c>
      <c r="R1516">
        <v>120578</v>
      </c>
    </row>
    <row r="1517" spans="1:18" x14ac:dyDescent="0.25">
      <c r="A1517" s="170">
        <v>45804</v>
      </c>
      <c r="B1517" s="116">
        <v>6020</v>
      </c>
      <c r="C1517" s="116">
        <v>5960.3</v>
      </c>
      <c r="D1517" s="116">
        <v>5910.35</v>
      </c>
      <c r="E1517" s="116">
        <v>5910.35</v>
      </c>
      <c r="F1517" s="116">
        <v>5960.3</v>
      </c>
      <c r="G1517">
        <v>20944</v>
      </c>
      <c r="H1517" s="116"/>
      <c r="I1517" s="116"/>
      <c r="L1517" s="170">
        <v>45804</v>
      </c>
      <c r="M1517" s="116">
        <v>5964</v>
      </c>
      <c r="N1517" s="116">
        <v>6023</v>
      </c>
      <c r="O1517" s="116">
        <v>5911</v>
      </c>
      <c r="P1517" s="116">
        <v>5930</v>
      </c>
      <c r="Q1517" s="116">
        <v>5964</v>
      </c>
      <c r="R1517">
        <v>219023</v>
      </c>
    </row>
    <row r="1518" spans="1:18" x14ac:dyDescent="0.25">
      <c r="A1518" s="170">
        <v>45805</v>
      </c>
      <c r="B1518" s="116">
        <v>6088.5</v>
      </c>
      <c r="C1518" s="116">
        <v>6055.75</v>
      </c>
      <c r="D1518" s="116">
        <v>5946.55</v>
      </c>
      <c r="E1518" s="116">
        <v>5995</v>
      </c>
      <c r="F1518" s="116">
        <v>6055.75</v>
      </c>
      <c r="G1518">
        <v>11057</v>
      </c>
      <c r="H1518" s="116"/>
      <c r="I1518" s="116"/>
      <c r="L1518" s="170">
        <v>45805</v>
      </c>
      <c r="M1518" s="116">
        <v>6057.5</v>
      </c>
      <c r="N1518" s="116">
        <v>6090</v>
      </c>
      <c r="O1518" s="116">
        <v>5943</v>
      </c>
      <c r="P1518" s="116">
        <v>5999</v>
      </c>
      <c r="Q1518" s="116">
        <v>6057.5</v>
      </c>
      <c r="R1518">
        <v>286060</v>
      </c>
    </row>
    <row r="1519" spans="1:18" x14ac:dyDescent="0.25">
      <c r="A1519" s="170">
        <v>45806</v>
      </c>
      <c r="B1519" s="116">
        <v>6098</v>
      </c>
      <c r="C1519" s="116">
        <v>5994.6</v>
      </c>
      <c r="D1519" s="116">
        <v>5971.25</v>
      </c>
      <c r="E1519" s="116">
        <v>6098</v>
      </c>
      <c r="F1519" s="116">
        <v>5994.6</v>
      </c>
      <c r="G1519">
        <v>10127</v>
      </c>
      <c r="H1519" s="116"/>
      <c r="I1519" s="116"/>
      <c r="L1519" s="170">
        <v>45806</v>
      </c>
      <c r="M1519" s="116">
        <v>6002.5</v>
      </c>
      <c r="N1519" s="116">
        <v>6099.5</v>
      </c>
      <c r="O1519" s="116">
        <v>5961.5</v>
      </c>
      <c r="P1519" s="116">
        <v>6090</v>
      </c>
      <c r="Q1519" s="116">
        <v>6002.5</v>
      </c>
      <c r="R1519">
        <v>215817</v>
      </c>
    </row>
    <row r="1520" spans="1:18" x14ac:dyDescent="0.25">
      <c r="A1520" s="170">
        <v>45807</v>
      </c>
      <c r="B1520" s="116">
        <v>6045.5</v>
      </c>
      <c r="C1520" s="116">
        <v>5991.8</v>
      </c>
      <c r="D1520" s="116">
        <v>5963.1</v>
      </c>
      <c r="E1520" s="116">
        <v>6039.4</v>
      </c>
      <c r="F1520" s="116">
        <v>5991.8</v>
      </c>
      <c r="G1520">
        <v>6739</v>
      </c>
      <c r="H1520" s="116"/>
      <c r="I1520" s="116"/>
      <c r="L1520" s="170">
        <v>45807</v>
      </c>
      <c r="M1520" s="116">
        <v>5991</v>
      </c>
      <c r="N1520" s="116">
        <v>6045</v>
      </c>
      <c r="O1520" s="116">
        <v>5958.5</v>
      </c>
      <c r="P1520" s="116">
        <v>6014</v>
      </c>
      <c r="Q1520" s="116">
        <v>5991</v>
      </c>
      <c r="R1520">
        <v>286739</v>
      </c>
    </row>
    <row r="1521" spans="1:18" x14ac:dyDescent="0.25">
      <c r="A1521" s="170">
        <v>45810</v>
      </c>
      <c r="B1521" s="116">
        <v>6010</v>
      </c>
      <c r="C1521" s="116">
        <v>5926</v>
      </c>
      <c r="D1521" s="116">
        <v>5911</v>
      </c>
      <c r="E1521" s="116">
        <v>5950.3</v>
      </c>
      <c r="F1521" s="116">
        <v>5926</v>
      </c>
      <c r="G1521">
        <v>10322</v>
      </c>
      <c r="H1521" s="116"/>
      <c r="I1521" s="116"/>
      <c r="L1521" s="170">
        <v>45810</v>
      </c>
      <c r="M1521" s="116">
        <v>5926.5</v>
      </c>
      <c r="N1521" s="116">
        <v>6012</v>
      </c>
      <c r="O1521" s="116">
        <v>5910</v>
      </c>
      <c r="P1521" s="116">
        <v>5982</v>
      </c>
      <c r="Q1521" s="116">
        <v>5926.5</v>
      </c>
      <c r="R1521">
        <v>170390</v>
      </c>
    </row>
    <row r="1522" spans="1:18" x14ac:dyDescent="0.25">
      <c r="A1522" s="170">
        <v>45811</v>
      </c>
      <c r="B1522" s="116">
        <v>5975.65</v>
      </c>
      <c r="C1522" s="116">
        <v>5871.7</v>
      </c>
      <c r="D1522" s="116">
        <v>5852.05</v>
      </c>
      <c r="E1522" s="116">
        <v>5975.65</v>
      </c>
      <c r="F1522" s="116">
        <v>5871.7</v>
      </c>
      <c r="G1522">
        <v>4236</v>
      </c>
      <c r="H1522" s="116"/>
      <c r="I1522" s="116"/>
      <c r="L1522" s="170">
        <v>45811</v>
      </c>
      <c r="M1522" s="116">
        <v>5871</v>
      </c>
      <c r="N1522" s="116">
        <v>5980</v>
      </c>
      <c r="O1522" s="116">
        <v>5852.5</v>
      </c>
      <c r="P1522" s="116">
        <v>5963</v>
      </c>
      <c r="Q1522" s="116">
        <v>5871</v>
      </c>
      <c r="R1522">
        <v>137818</v>
      </c>
    </row>
    <row r="1523" spans="1:18" x14ac:dyDescent="0.25">
      <c r="A1523" s="170">
        <v>45812</v>
      </c>
      <c r="B1523" s="116">
        <v>5916.65</v>
      </c>
      <c r="C1523" s="116">
        <v>5895.05</v>
      </c>
      <c r="D1523" s="116">
        <v>5829</v>
      </c>
      <c r="E1523" s="116">
        <v>5881.05</v>
      </c>
      <c r="F1523" s="116">
        <v>5895.05</v>
      </c>
      <c r="G1523">
        <v>5272</v>
      </c>
      <c r="H1523" s="116"/>
      <c r="I1523" s="116"/>
      <c r="L1523" s="170">
        <v>45812</v>
      </c>
      <c r="M1523" s="116">
        <v>5897</v>
      </c>
      <c r="N1523" s="116">
        <v>5909.5</v>
      </c>
      <c r="O1523" s="116">
        <v>5830</v>
      </c>
      <c r="P1523" s="116">
        <v>5900</v>
      </c>
      <c r="Q1523" s="116">
        <v>5897</v>
      </c>
      <c r="R1523">
        <v>150898</v>
      </c>
    </row>
    <row r="1524" spans="1:18" x14ac:dyDescent="0.25">
      <c r="A1524" s="170">
        <v>45813</v>
      </c>
      <c r="B1524" s="116">
        <v>6019.95</v>
      </c>
      <c r="C1524" s="116">
        <v>5979.1</v>
      </c>
      <c r="D1524" s="116">
        <v>5874.5</v>
      </c>
      <c r="E1524" s="116">
        <v>5897</v>
      </c>
      <c r="F1524" s="116">
        <v>5979.1</v>
      </c>
      <c r="G1524">
        <v>5885</v>
      </c>
      <c r="H1524" s="116"/>
      <c r="I1524" s="116"/>
      <c r="L1524" s="170">
        <v>45813</v>
      </c>
      <c r="M1524" s="116">
        <v>5980.5</v>
      </c>
      <c r="N1524" s="116">
        <v>6020</v>
      </c>
      <c r="O1524" s="116">
        <v>5872</v>
      </c>
      <c r="P1524" s="116">
        <v>5900</v>
      </c>
      <c r="Q1524" s="116">
        <v>5980.5</v>
      </c>
      <c r="R1524">
        <v>218509</v>
      </c>
    </row>
    <row r="1525" spans="1:18" x14ac:dyDescent="0.25">
      <c r="A1525" s="170">
        <v>45814</v>
      </c>
      <c r="B1525" s="116">
        <v>6119.7</v>
      </c>
      <c r="C1525" s="116">
        <v>6108.25</v>
      </c>
      <c r="D1525" s="116">
        <v>5960</v>
      </c>
      <c r="E1525" s="116">
        <v>5990.7</v>
      </c>
      <c r="F1525" s="116">
        <v>6108.25</v>
      </c>
      <c r="G1525">
        <v>9463</v>
      </c>
      <c r="H1525" s="116"/>
      <c r="I1525" s="116"/>
      <c r="L1525" s="170">
        <v>45814</v>
      </c>
      <c r="M1525" s="116">
        <v>6108.5</v>
      </c>
      <c r="N1525" s="116">
        <v>6119</v>
      </c>
      <c r="O1525" s="116">
        <v>5957.5</v>
      </c>
      <c r="P1525" s="116">
        <v>6000</v>
      </c>
      <c r="Q1525" s="116">
        <v>6108.5</v>
      </c>
      <c r="R1525">
        <v>319429</v>
      </c>
    </row>
    <row r="1526" spans="1:18" x14ac:dyDescent="0.25">
      <c r="A1526" s="170">
        <v>45817</v>
      </c>
      <c r="B1526" s="116">
        <v>6257.95</v>
      </c>
      <c r="C1526" s="116">
        <v>6143.45</v>
      </c>
      <c r="D1526" s="116">
        <v>6133.6</v>
      </c>
      <c r="E1526" s="116">
        <v>6150.4</v>
      </c>
      <c r="F1526" s="116">
        <v>6143.45</v>
      </c>
      <c r="G1526">
        <v>9088</v>
      </c>
      <c r="H1526" s="116"/>
      <c r="I1526" s="116"/>
      <c r="L1526" s="170">
        <v>45817</v>
      </c>
      <c r="M1526" s="116">
        <v>6144</v>
      </c>
      <c r="N1526" s="116">
        <v>6260</v>
      </c>
      <c r="O1526" s="116">
        <v>6134</v>
      </c>
      <c r="P1526" s="116">
        <v>6158</v>
      </c>
      <c r="Q1526" s="116">
        <v>6144</v>
      </c>
      <c r="R1526">
        <v>287704</v>
      </c>
    </row>
    <row r="1527" spans="1:18" x14ac:dyDescent="0.25">
      <c r="A1527" s="170">
        <v>45818</v>
      </c>
      <c r="B1527" s="116">
        <v>6175.8</v>
      </c>
      <c r="C1527" s="116">
        <v>6144.05</v>
      </c>
      <c r="D1527" s="116">
        <v>6105</v>
      </c>
      <c r="E1527" s="116">
        <v>6170.75</v>
      </c>
      <c r="F1527" s="116">
        <v>6144.05</v>
      </c>
      <c r="G1527">
        <v>4913</v>
      </c>
      <c r="H1527" s="116"/>
      <c r="I1527" s="116"/>
      <c r="L1527" s="170">
        <v>45818</v>
      </c>
      <c r="M1527" s="116">
        <v>6138</v>
      </c>
      <c r="N1527" s="116">
        <v>6190</v>
      </c>
      <c r="O1527" s="116">
        <v>6103</v>
      </c>
      <c r="P1527" s="116">
        <v>6190</v>
      </c>
      <c r="Q1527" s="116">
        <v>6138</v>
      </c>
      <c r="R1527">
        <v>142972</v>
      </c>
    </row>
    <row r="1528" spans="1:18" x14ac:dyDescent="0.25">
      <c r="A1528" s="170">
        <v>45819</v>
      </c>
      <c r="B1528" s="116">
        <v>6215.8</v>
      </c>
      <c r="C1528" s="116">
        <v>6166.8</v>
      </c>
      <c r="D1528" s="116">
        <v>6110.4</v>
      </c>
      <c r="E1528" s="116">
        <v>6110.4</v>
      </c>
      <c r="F1528" s="116">
        <v>6166.8</v>
      </c>
      <c r="G1528">
        <v>9304</v>
      </c>
      <c r="H1528" s="116"/>
      <c r="I1528" s="116"/>
      <c r="L1528" s="170">
        <v>45819</v>
      </c>
      <c r="M1528" s="116">
        <v>6166.5</v>
      </c>
      <c r="N1528" s="116">
        <v>6218.5</v>
      </c>
      <c r="O1528" s="116">
        <v>6120.5</v>
      </c>
      <c r="P1528" s="116">
        <v>6120.5</v>
      </c>
      <c r="Q1528" s="116">
        <v>6166.5</v>
      </c>
      <c r="R1528">
        <v>158096</v>
      </c>
    </row>
    <row r="1529" spans="1:18" x14ac:dyDescent="0.25">
      <c r="A1529" s="170">
        <v>45820</v>
      </c>
      <c r="B1529" s="116">
        <v>6168</v>
      </c>
      <c r="C1529" s="116">
        <v>6048.6</v>
      </c>
      <c r="D1529" s="116">
        <v>6013.85</v>
      </c>
      <c r="E1529" s="116">
        <v>6168</v>
      </c>
      <c r="F1529" s="116">
        <v>6048.6</v>
      </c>
      <c r="G1529">
        <v>11281</v>
      </c>
      <c r="H1529" s="116"/>
      <c r="I1529" s="116"/>
      <c r="L1529" s="170">
        <v>45820</v>
      </c>
      <c r="M1529" s="116">
        <v>6050</v>
      </c>
      <c r="N1529" s="116">
        <v>6167</v>
      </c>
      <c r="O1529" s="116">
        <v>6010</v>
      </c>
      <c r="P1529" s="116">
        <v>6167</v>
      </c>
      <c r="Q1529" s="116">
        <v>6050</v>
      </c>
      <c r="R1529">
        <v>244951</v>
      </c>
    </row>
    <row r="1530" spans="1:18" x14ac:dyDescent="0.25">
      <c r="A1530" s="170">
        <v>45821</v>
      </c>
      <c r="B1530" s="116">
        <v>6053.95</v>
      </c>
      <c r="C1530" s="116">
        <v>6034.6</v>
      </c>
      <c r="D1530" s="116">
        <v>5800</v>
      </c>
      <c r="E1530" s="116">
        <v>5849.95</v>
      </c>
      <c r="F1530" s="116">
        <v>6034.6</v>
      </c>
      <c r="G1530">
        <v>6073</v>
      </c>
      <c r="H1530" s="116"/>
      <c r="I1530" s="116"/>
      <c r="L1530" s="170">
        <v>45821</v>
      </c>
      <c r="M1530" s="116">
        <v>6030.5</v>
      </c>
      <c r="N1530" s="116">
        <v>6049.5</v>
      </c>
      <c r="O1530" s="116">
        <v>5760</v>
      </c>
      <c r="P1530" s="116">
        <v>5760</v>
      </c>
      <c r="Q1530" s="116">
        <v>6030.5</v>
      </c>
      <c r="R1530">
        <v>199145</v>
      </c>
    </row>
    <row r="1531" spans="1:18" x14ac:dyDescent="0.25">
      <c r="A1531" s="170">
        <v>45824</v>
      </c>
      <c r="B1531" s="116">
        <v>6130</v>
      </c>
      <c r="C1531" s="116">
        <v>6104</v>
      </c>
      <c r="D1531" s="116">
        <v>5971.2</v>
      </c>
      <c r="E1531" s="116">
        <v>6001.25</v>
      </c>
      <c r="F1531" s="116">
        <v>6104</v>
      </c>
      <c r="G1531">
        <v>10903</v>
      </c>
      <c r="H1531" s="116"/>
      <c r="I1531" s="116"/>
      <c r="L1531" s="170">
        <v>45824</v>
      </c>
      <c r="M1531" s="116">
        <v>6107</v>
      </c>
      <c r="N1531" s="116">
        <v>6133</v>
      </c>
      <c r="O1531" s="116">
        <v>5975</v>
      </c>
      <c r="P1531" s="116">
        <v>6005</v>
      </c>
      <c r="Q1531" s="116">
        <v>6107</v>
      </c>
      <c r="R1531">
        <v>192518</v>
      </c>
    </row>
    <row r="1532" spans="1:18" x14ac:dyDescent="0.25">
      <c r="A1532" s="170">
        <v>45825</v>
      </c>
      <c r="B1532" s="116">
        <v>6120</v>
      </c>
      <c r="C1532" s="116">
        <v>6041.45</v>
      </c>
      <c r="D1532" s="116">
        <v>5970.25</v>
      </c>
      <c r="E1532" s="116">
        <v>6120</v>
      </c>
      <c r="F1532" s="116">
        <v>6041.45</v>
      </c>
      <c r="G1532">
        <v>3606</v>
      </c>
      <c r="H1532" s="116"/>
      <c r="I1532" s="116"/>
      <c r="L1532" s="170">
        <v>45825</v>
      </c>
      <c r="M1532" s="116">
        <v>6041.5</v>
      </c>
      <c r="N1532" s="116">
        <v>6124.5</v>
      </c>
      <c r="O1532" s="116">
        <v>5970</v>
      </c>
      <c r="P1532" s="116">
        <v>6114</v>
      </c>
      <c r="Q1532" s="116">
        <v>6041.5</v>
      </c>
      <c r="R1532">
        <v>327846</v>
      </c>
    </row>
    <row r="1533" spans="1:18" x14ac:dyDescent="0.25">
      <c r="A1533" s="170">
        <v>45826</v>
      </c>
      <c r="B1533" s="116">
        <v>6249.85</v>
      </c>
      <c r="C1533" s="116">
        <v>5989.65</v>
      </c>
      <c r="D1533" s="116">
        <v>5977.35</v>
      </c>
      <c r="E1533" s="116">
        <v>6249.85</v>
      </c>
      <c r="F1533" s="116">
        <v>5989.65</v>
      </c>
      <c r="G1533">
        <v>20714</v>
      </c>
      <c r="H1533" s="116"/>
      <c r="I1533" s="116"/>
      <c r="L1533" s="170">
        <v>45826</v>
      </c>
      <c r="M1533" s="116">
        <v>5989</v>
      </c>
      <c r="N1533" s="116">
        <v>6229.5</v>
      </c>
      <c r="O1533" s="116">
        <v>5980</v>
      </c>
      <c r="P1533" s="116">
        <v>6200.5</v>
      </c>
      <c r="Q1533" s="116">
        <v>5989</v>
      </c>
      <c r="R1533">
        <v>646632</v>
      </c>
    </row>
    <row r="1534" spans="1:18" x14ac:dyDescent="0.25">
      <c r="A1534" s="170">
        <v>45827</v>
      </c>
      <c r="B1534" s="116">
        <v>6012.5</v>
      </c>
      <c r="C1534" s="116">
        <v>5820.5</v>
      </c>
      <c r="D1534" s="116">
        <v>5786</v>
      </c>
      <c r="E1534" s="116">
        <v>5989</v>
      </c>
      <c r="F1534" s="116">
        <v>5820.5</v>
      </c>
      <c r="G1534">
        <v>18321</v>
      </c>
      <c r="H1534" s="116"/>
      <c r="I1534" s="116"/>
      <c r="L1534" s="170">
        <v>45827</v>
      </c>
      <c r="M1534" s="116">
        <v>5822</v>
      </c>
      <c r="N1534" s="116">
        <v>6015</v>
      </c>
      <c r="O1534" s="116">
        <v>5787</v>
      </c>
      <c r="P1534" s="116">
        <v>5992</v>
      </c>
      <c r="Q1534" s="116">
        <v>5822</v>
      </c>
      <c r="R1534">
        <v>466216</v>
      </c>
    </row>
    <row r="1535" spans="1:18" x14ac:dyDescent="0.25">
      <c r="A1535" s="170">
        <v>45828</v>
      </c>
      <c r="B1535" s="116">
        <v>6015.05</v>
      </c>
      <c r="C1535" s="116">
        <v>6000.2</v>
      </c>
      <c r="D1535" s="116">
        <v>5805.5</v>
      </c>
      <c r="E1535" s="116">
        <v>5820</v>
      </c>
      <c r="F1535" s="116">
        <v>6000.2</v>
      </c>
      <c r="G1535">
        <v>8726</v>
      </c>
      <c r="H1535" s="116"/>
      <c r="I1535" s="116"/>
      <c r="L1535" s="170">
        <v>45828</v>
      </c>
      <c r="M1535" s="116">
        <v>6000.5</v>
      </c>
      <c r="N1535" s="116">
        <v>6015.5</v>
      </c>
      <c r="O1535" s="116">
        <v>5800</v>
      </c>
      <c r="P1535" s="116">
        <v>5825</v>
      </c>
      <c r="Q1535" s="116">
        <v>6000.5</v>
      </c>
      <c r="R1535">
        <v>659919</v>
      </c>
    </row>
    <row r="1536" spans="1:18" x14ac:dyDescent="0.25">
      <c r="A1536" s="170">
        <v>45831</v>
      </c>
      <c r="B1536" s="116">
        <v>6330.25</v>
      </c>
      <c r="C1536" s="116">
        <v>6291.05</v>
      </c>
      <c r="D1536" s="116">
        <v>5982.8</v>
      </c>
      <c r="E1536" s="116">
        <v>6000.2</v>
      </c>
      <c r="F1536" s="116">
        <v>6291.05</v>
      </c>
      <c r="G1536">
        <v>42821</v>
      </c>
      <c r="H1536" s="116"/>
      <c r="I1536" s="116"/>
      <c r="L1536" s="170">
        <v>45831</v>
      </c>
      <c r="M1536" s="116">
        <v>6289.5</v>
      </c>
      <c r="N1536" s="116">
        <v>6334</v>
      </c>
      <c r="O1536" s="116">
        <v>5975</v>
      </c>
      <c r="P1536" s="116">
        <v>6000.5</v>
      </c>
      <c r="Q1536" s="116">
        <v>6289.5</v>
      </c>
      <c r="R1536">
        <v>935253</v>
      </c>
    </row>
    <row r="1537" spans="1:18" x14ac:dyDescent="0.25">
      <c r="A1537" s="170">
        <v>45832</v>
      </c>
      <c r="B1537" s="116">
        <v>6425</v>
      </c>
      <c r="C1537" s="116">
        <v>6343.4</v>
      </c>
      <c r="D1537" s="116">
        <v>6256.95</v>
      </c>
      <c r="E1537" s="116">
        <v>6315</v>
      </c>
      <c r="F1537" s="116">
        <v>6343.4</v>
      </c>
      <c r="G1537">
        <v>30196</v>
      </c>
      <c r="H1537" s="116"/>
      <c r="I1537" s="116"/>
      <c r="L1537" s="170">
        <v>45832</v>
      </c>
      <c r="M1537" s="116">
        <v>6343.5</v>
      </c>
      <c r="N1537" s="116">
        <v>6426.5</v>
      </c>
      <c r="O1537" s="116">
        <v>6259</v>
      </c>
      <c r="P1537" s="116">
        <v>6309</v>
      </c>
      <c r="Q1537" s="116">
        <v>6343.5</v>
      </c>
      <c r="R1537">
        <v>608610</v>
      </c>
    </row>
    <row r="1538" spans="1:18" x14ac:dyDescent="0.25">
      <c r="A1538" s="170">
        <v>45833</v>
      </c>
      <c r="B1538" s="116">
        <v>6496</v>
      </c>
      <c r="C1538" s="116">
        <v>6440.7</v>
      </c>
      <c r="D1538" s="116">
        <v>6345.3</v>
      </c>
      <c r="E1538" s="116">
        <v>6345.3</v>
      </c>
      <c r="F1538" s="116">
        <v>6440.7</v>
      </c>
      <c r="G1538">
        <v>16278</v>
      </c>
      <c r="H1538" s="116"/>
      <c r="I1538" s="116"/>
      <c r="L1538" s="170">
        <v>45833</v>
      </c>
      <c r="M1538" s="116">
        <v>6441</v>
      </c>
      <c r="N1538" s="116">
        <v>6495</v>
      </c>
      <c r="O1538" s="116">
        <v>6346</v>
      </c>
      <c r="P1538" s="116">
        <v>6358.5</v>
      </c>
      <c r="Q1538" s="116">
        <v>6441</v>
      </c>
      <c r="R1538">
        <v>480549</v>
      </c>
    </row>
    <row r="1539" spans="1:18" x14ac:dyDescent="0.25">
      <c r="A1539" s="170">
        <v>45834</v>
      </c>
      <c r="B1539" s="116">
        <v>6498.6</v>
      </c>
      <c r="C1539" s="116">
        <v>6467.55</v>
      </c>
      <c r="D1539" s="116">
        <v>6389.5</v>
      </c>
      <c r="E1539" s="116">
        <v>6498.6</v>
      </c>
      <c r="F1539" s="116">
        <v>6467.55</v>
      </c>
      <c r="G1539">
        <v>7527</v>
      </c>
      <c r="H1539" s="116"/>
      <c r="I1539" s="116"/>
      <c r="L1539" s="170">
        <v>45834</v>
      </c>
      <c r="M1539" s="116">
        <v>6468.5</v>
      </c>
      <c r="N1539" s="116">
        <v>6496.5</v>
      </c>
      <c r="O1539" s="116">
        <v>6390</v>
      </c>
      <c r="P1539" s="116">
        <v>6450</v>
      </c>
      <c r="Q1539" s="116">
        <v>6468.5</v>
      </c>
      <c r="R1539">
        <v>294479</v>
      </c>
    </row>
    <row r="1540" spans="1:18" x14ac:dyDescent="0.25">
      <c r="A1540" s="170">
        <v>45835</v>
      </c>
      <c r="B1540" s="116">
        <v>6583.4</v>
      </c>
      <c r="C1540" s="116">
        <v>6498</v>
      </c>
      <c r="D1540" s="116">
        <v>6467.65</v>
      </c>
      <c r="E1540" s="116">
        <v>6467.65</v>
      </c>
      <c r="F1540" s="116">
        <v>6498</v>
      </c>
      <c r="G1540">
        <v>6939</v>
      </c>
      <c r="H1540" s="116"/>
      <c r="I1540" s="116"/>
      <c r="L1540" s="170">
        <v>45835</v>
      </c>
      <c r="M1540" s="116">
        <v>6486</v>
      </c>
      <c r="N1540" s="116">
        <v>6586</v>
      </c>
      <c r="O1540" s="116">
        <v>6470</v>
      </c>
      <c r="P1540" s="116">
        <v>6480</v>
      </c>
      <c r="Q1540" s="116">
        <v>6486</v>
      </c>
      <c r="R1540">
        <v>417426</v>
      </c>
    </row>
    <row r="1541" spans="1:18" x14ac:dyDescent="0.25">
      <c r="A1541" s="170">
        <v>45838</v>
      </c>
      <c r="B1541" s="116">
        <v>6562.05</v>
      </c>
      <c r="C1541" s="116">
        <v>6548.65</v>
      </c>
      <c r="D1541" s="116">
        <v>6472.1</v>
      </c>
      <c r="E1541" s="116">
        <v>6475.05</v>
      </c>
      <c r="F1541" s="116">
        <v>6548.65</v>
      </c>
      <c r="G1541">
        <v>5578</v>
      </c>
      <c r="H1541" s="116"/>
      <c r="I1541" s="116"/>
      <c r="L1541" s="170">
        <v>45838</v>
      </c>
      <c r="M1541" s="116">
        <v>6551</v>
      </c>
      <c r="N1541" s="116">
        <v>6565.5</v>
      </c>
      <c r="O1541" s="116">
        <v>6468.5</v>
      </c>
      <c r="P1541" s="116">
        <v>6486</v>
      </c>
      <c r="Q1541" s="116">
        <v>6551</v>
      </c>
      <c r="R1541">
        <v>180007</v>
      </c>
    </row>
    <row r="1542" spans="1:18" x14ac:dyDescent="0.25">
      <c r="A1542" s="170">
        <v>45839</v>
      </c>
      <c r="B1542" s="116">
        <v>6685</v>
      </c>
      <c r="C1542" s="116">
        <v>6664.65</v>
      </c>
      <c r="D1542" s="116">
        <v>6565</v>
      </c>
      <c r="E1542" s="116">
        <v>6593.75</v>
      </c>
      <c r="F1542" s="116">
        <v>6664.65</v>
      </c>
      <c r="G1542">
        <v>9026</v>
      </c>
      <c r="H1542" s="116"/>
      <c r="I1542" s="116"/>
      <c r="L1542" s="170">
        <v>45839</v>
      </c>
      <c r="M1542" s="116">
        <v>6664</v>
      </c>
      <c r="N1542" s="116">
        <v>6689</v>
      </c>
      <c r="O1542" s="116">
        <v>6560</v>
      </c>
      <c r="P1542" s="116">
        <v>6560.5</v>
      </c>
      <c r="Q1542" s="116">
        <v>6664</v>
      </c>
      <c r="R1542">
        <v>317256</v>
      </c>
    </row>
    <row r="1543" spans="1:18" x14ac:dyDescent="0.25">
      <c r="A1543" s="170">
        <v>45840</v>
      </c>
      <c r="B1543" s="116">
        <v>6780.75</v>
      </c>
      <c r="C1543" s="116">
        <v>6770.25</v>
      </c>
      <c r="D1543" s="116">
        <v>6638.85</v>
      </c>
      <c r="E1543" s="116">
        <v>6670</v>
      </c>
      <c r="F1543" s="116">
        <v>6770.25</v>
      </c>
      <c r="G1543">
        <v>21614</v>
      </c>
      <c r="H1543" s="116"/>
      <c r="I1543" s="116"/>
      <c r="L1543" s="170">
        <v>45840</v>
      </c>
      <c r="M1543" s="116">
        <v>6768</v>
      </c>
      <c r="N1543" s="116">
        <v>6778</v>
      </c>
      <c r="O1543" s="116">
        <v>6638</v>
      </c>
      <c r="P1543" s="116">
        <v>6680</v>
      </c>
      <c r="Q1543" s="116">
        <v>6768</v>
      </c>
      <c r="R1543">
        <v>407342</v>
      </c>
    </row>
    <row r="1544" spans="1:18" x14ac:dyDescent="0.25">
      <c r="A1544" s="170">
        <v>45841</v>
      </c>
      <c r="B1544" s="116">
        <v>6869.95</v>
      </c>
      <c r="C1544" s="116">
        <v>6807</v>
      </c>
      <c r="D1544" s="116">
        <v>6740.05</v>
      </c>
      <c r="E1544" s="116">
        <v>6770</v>
      </c>
      <c r="F1544" s="116">
        <v>6807</v>
      </c>
      <c r="G1544">
        <v>19289</v>
      </c>
      <c r="H1544" s="116"/>
      <c r="I1544" s="116"/>
      <c r="L1544" s="170">
        <v>45841</v>
      </c>
      <c r="M1544" s="116">
        <v>6807.5</v>
      </c>
      <c r="N1544" s="116">
        <v>6869.5</v>
      </c>
      <c r="O1544" s="116">
        <v>6743</v>
      </c>
      <c r="P1544" s="116">
        <v>6775</v>
      </c>
      <c r="Q1544" s="116">
        <v>6807.5</v>
      </c>
      <c r="R1544">
        <v>349404</v>
      </c>
    </row>
    <row r="1545" spans="1:18" x14ac:dyDescent="0.25">
      <c r="A1545" s="170">
        <v>45842</v>
      </c>
      <c r="B1545" s="116">
        <v>6873.9</v>
      </c>
      <c r="C1545" s="116">
        <v>6716.75</v>
      </c>
      <c r="D1545" s="116">
        <v>6666.65</v>
      </c>
      <c r="E1545" s="116">
        <v>6815.05</v>
      </c>
      <c r="F1545" s="116">
        <v>6716.75</v>
      </c>
      <c r="G1545">
        <v>7659</v>
      </c>
      <c r="H1545" s="116"/>
      <c r="I1545" s="116"/>
      <c r="L1545" s="170">
        <v>45842</v>
      </c>
      <c r="M1545" s="116">
        <v>6717.5</v>
      </c>
      <c r="N1545" s="116">
        <v>6871</v>
      </c>
      <c r="O1545" s="116">
        <v>6661.5</v>
      </c>
      <c r="P1545" s="116">
        <v>6828</v>
      </c>
      <c r="Q1545" s="116">
        <v>6717.5</v>
      </c>
      <c r="R1545">
        <v>457714</v>
      </c>
    </row>
    <row r="1546" spans="1:18" x14ac:dyDescent="0.25">
      <c r="A1546" s="170">
        <v>45845</v>
      </c>
      <c r="B1546" s="116">
        <v>6740.25</v>
      </c>
      <c r="C1546" s="116">
        <v>6697.85</v>
      </c>
      <c r="D1546" s="116">
        <v>6604.55</v>
      </c>
      <c r="E1546" s="116">
        <v>6719.6</v>
      </c>
      <c r="F1546" s="116">
        <v>6697.85</v>
      </c>
      <c r="G1546">
        <v>4244</v>
      </c>
      <c r="H1546" s="116"/>
      <c r="I1546" s="116"/>
      <c r="L1546" s="170">
        <v>45845</v>
      </c>
      <c r="M1546" s="116">
        <v>6700</v>
      </c>
      <c r="N1546" s="116">
        <v>6739.5</v>
      </c>
      <c r="O1546" s="116">
        <v>6605</v>
      </c>
      <c r="P1546" s="116">
        <v>6700</v>
      </c>
      <c r="Q1546" s="116">
        <v>6700</v>
      </c>
      <c r="R1546">
        <v>183853</v>
      </c>
    </row>
    <row r="1547" spans="1:18" x14ac:dyDescent="0.25">
      <c r="A1547" s="170">
        <v>45846</v>
      </c>
      <c r="B1547" s="116">
        <v>6765.65</v>
      </c>
      <c r="C1547" s="116">
        <v>6754.15</v>
      </c>
      <c r="D1547" s="116">
        <v>6621.65</v>
      </c>
      <c r="E1547" s="116">
        <v>6645.35</v>
      </c>
      <c r="F1547" s="116">
        <v>6754.15</v>
      </c>
      <c r="G1547">
        <v>3275</v>
      </c>
      <c r="H1547" s="116"/>
      <c r="I1547" s="116"/>
      <c r="L1547" s="170">
        <v>45846</v>
      </c>
      <c r="M1547" s="116">
        <v>6748.5</v>
      </c>
      <c r="N1547" s="116">
        <v>6760.5</v>
      </c>
      <c r="O1547" s="116">
        <v>6625</v>
      </c>
      <c r="P1547" s="116">
        <v>6670</v>
      </c>
      <c r="Q1547" s="116">
        <v>6748.5</v>
      </c>
      <c r="R1547">
        <v>159641</v>
      </c>
    </row>
    <row r="1548" spans="1:18" x14ac:dyDescent="0.25">
      <c r="A1548" s="170">
        <v>45847</v>
      </c>
      <c r="B1548" s="116">
        <v>6790.95</v>
      </c>
      <c r="C1548" s="116">
        <v>6713.45</v>
      </c>
      <c r="D1548" s="116">
        <v>6670.05</v>
      </c>
      <c r="E1548" s="116">
        <v>6705.2</v>
      </c>
      <c r="F1548" s="116">
        <v>6713.45</v>
      </c>
      <c r="G1548">
        <v>5587</v>
      </c>
      <c r="H1548" s="116"/>
      <c r="I1548" s="116"/>
      <c r="L1548" s="170">
        <v>45847</v>
      </c>
      <c r="M1548" s="116">
        <v>6716</v>
      </c>
      <c r="N1548" s="116">
        <v>6796</v>
      </c>
      <c r="O1548" s="116">
        <v>6670</v>
      </c>
      <c r="P1548" s="116">
        <v>6748.5</v>
      </c>
      <c r="Q1548" s="116">
        <v>6716</v>
      </c>
      <c r="R1548">
        <v>303920</v>
      </c>
    </row>
    <row r="1549" spans="1:18" x14ac:dyDescent="0.25">
      <c r="A1549" s="170">
        <v>45848</v>
      </c>
      <c r="B1549" s="116">
        <v>6803.5</v>
      </c>
      <c r="C1549" s="116">
        <v>6771.3</v>
      </c>
      <c r="D1549" s="116">
        <v>6695.1</v>
      </c>
      <c r="E1549" s="116">
        <v>6711</v>
      </c>
      <c r="F1549" s="116">
        <v>6771.3</v>
      </c>
      <c r="G1549">
        <v>5864</v>
      </c>
      <c r="H1549" s="116"/>
      <c r="I1549" s="116"/>
      <c r="L1549" s="170">
        <v>45848</v>
      </c>
      <c r="M1549" s="116">
        <v>6781</v>
      </c>
      <c r="N1549" s="116">
        <v>6809</v>
      </c>
      <c r="O1549" s="116">
        <v>6690.5</v>
      </c>
      <c r="P1549" s="116">
        <v>6740</v>
      </c>
      <c r="Q1549" s="116">
        <v>6781</v>
      </c>
      <c r="R1549">
        <v>249936</v>
      </c>
    </row>
    <row r="1550" spans="1:18" x14ac:dyDescent="0.25">
      <c r="A1550" s="170">
        <v>45849</v>
      </c>
      <c r="B1550" s="116">
        <v>6779.95</v>
      </c>
      <c r="C1550" s="116">
        <v>6712.05</v>
      </c>
      <c r="D1550" s="116">
        <v>6645.4</v>
      </c>
      <c r="E1550" s="116">
        <v>6758.6</v>
      </c>
      <c r="F1550" s="116">
        <v>6712.05</v>
      </c>
      <c r="G1550">
        <v>4327</v>
      </c>
      <c r="H1550" s="116"/>
      <c r="I1550" s="116"/>
      <c r="L1550" s="170">
        <v>45849</v>
      </c>
      <c r="M1550" s="116">
        <v>6705.5</v>
      </c>
      <c r="N1550" s="116">
        <v>6794</v>
      </c>
      <c r="O1550" s="116">
        <v>6645.5</v>
      </c>
      <c r="P1550" s="116">
        <v>6770.5</v>
      </c>
      <c r="Q1550" s="116">
        <v>6705.5</v>
      </c>
      <c r="R1550">
        <v>310579</v>
      </c>
    </row>
    <row r="1551" spans="1:18" x14ac:dyDescent="0.25">
      <c r="A1551" s="170">
        <v>45852</v>
      </c>
      <c r="B1551" s="116">
        <v>6878.75</v>
      </c>
      <c r="C1551" s="116">
        <v>6797.55</v>
      </c>
      <c r="D1551" s="116">
        <v>6721.9</v>
      </c>
      <c r="E1551" s="116">
        <v>6850</v>
      </c>
      <c r="F1551" s="116">
        <v>6797.55</v>
      </c>
      <c r="G1551">
        <v>14144</v>
      </c>
      <c r="H1551" s="116"/>
      <c r="I1551" s="116"/>
      <c r="L1551" s="170">
        <v>45852</v>
      </c>
      <c r="M1551" s="116">
        <v>6796.5</v>
      </c>
      <c r="N1551" s="116">
        <v>6880</v>
      </c>
      <c r="O1551" s="116">
        <v>6722.5</v>
      </c>
      <c r="P1551" s="116">
        <v>6782.5</v>
      </c>
      <c r="Q1551" s="116">
        <v>6796.5</v>
      </c>
      <c r="R1551">
        <v>407039</v>
      </c>
    </row>
    <row r="1552" spans="1:18" x14ac:dyDescent="0.25">
      <c r="A1552" s="170">
        <v>45853</v>
      </c>
      <c r="B1552" s="116">
        <v>6954</v>
      </c>
      <c r="C1552" s="116">
        <v>6946.35</v>
      </c>
      <c r="D1552" s="116">
        <v>6797.55</v>
      </c>
      <c r="E1552" s="116">
        <v>6797.55</v>
      </c>
      <c r="F1552" s="116">
        <v>6946.35</v>
      </c>
      <c r="G1552">
        <v>24117</v>
      </c>
      <c r="H1552" s="116"/>
      <c r="I1552" s="116"/>
      <c r="L1552" s="170">
        <v>45853</v>
      </c>
      <c r="M1552" s="116">
        <v>6944.5</v>
      </c>
      <c r="N1552" s="116">
        <v>6955.5</v>
      </c>
      <c r="O1552" s="116">
        <v>6800</v>
      </c>
      <c r="P1552" s="116">
        <v>6803.5</v>
      </c>
      <c r="Q1552" s="116">
        <v>6944.5</v>
      </c>
      <c r="R1552">
        <v>418898</v>
      </c>
    </row>
    <row r="1553" spans="1:18" x14ac:dyDescent="0.25">
      <c r="A1553" s="170">
        <v>45854</v>
      </c>
      <c r="B1553" s="116">
        <v>7010</v>
      </c>
      <c r="C1553" s="116">
        <v>6944.85</v>
      </c>
      <c r="D1553" s="116">
        <v>6888.35</v>
      </c>
      <c r="E1553" s="116">
        <v>6888.35</v>
      </c>
      <c r="F1553" s="116">
        <v>6944.85</v>
      </c>
      <c r="G1553">
        <v>13235</v>
      </c>
      <c r="H1553" s="116"/>
      <c r="I1553" s="116"/>
      <c r="L1553" s="170">
        <v>45854</v>
      </c>
      <c r="M1553" s="116">
        <v>6948</v>
      </c>
      <c r="N1553" s="116">
        <v>7009.5</v>
      </c>
      <c r="O1553" s="116">
        <v>6929</v>
      </c>
      <c r="P1553" s="116">
        <v>6930</v>
      </c>
      <c r="Q1553" s="116">
        <v>6948</v>
      </c>
      <c r="R1553">
        <v>289082</v>
      </c>
    </row>
    <row r="1554" spans="1:18" x14ac:dyDescent="0.25">
      <c r="A1554" s="170">
        <v>45855</v>
      </c>
      <c r="B1554" s="116">
        <v>6999.8</v>
      </c>
      <c r="C1554" s="116">
        <v>6884.7</v>
      </c>
      <c r="D1554" s="116">
        <v>6809.9</v>
      </c>
      <c r="E1554" s="116">
        <v>6999.8</v>
      </c>
      <c r="F1554" s="116">
        <v>6884.7</v>
      </c>
      <c r="G1554">
        <v>26452</v>
      </c>
      <c r="H1554" s="116"/>
      <c r="I1554" s="116"/>
      <c r="L1554" s="170">
        <v>45855</v>
      </c>
      <c r="M1554" s="116">
        <v>6886</v>
      </c>
      <c r="N1554" s="116">
        <v>6976.5</v>
      </c>
      <c r="O1554" s="116">
        <v>6815</v>
      </c>
      <c r="P1554" s="116">
        <v>6969</v>
      </c>
      <c r="Q1554" s="116">
        <v>6886</v>
      </c>
      <c r="R1554">
        <v>907510</v>
      </c>
    </row>
    <row r="1555" spans="1:18" x14ac:dyDescent="0.25">
      <c r="A1555" s="170">
        <v>45856</v>
      </c>
      <c r="B1555" s="116">
        <v>7080</v>
      </c>
      <c r="C1555" s="116">
        <v>6934.4</v>
      </c>
      <c r="D1555" s="116">
        <v>6900.5</v>
      </c>
      <c r="E1555" s="116">
        <v>6998</v>
      </c>
      <c r="F1555" s="116">
        <v>6934.4</v>
      </c>
      <c r="G1555">
        <v>42314</v>
      </c>
      <c r="H1555" s="116"/>
      <c r="I1555" s="116"/>
      <c r="L1555" s="170">
        <v>45856</v>
      </c>
      <c r="M1555" s="116">
        <v>6926</v>
      </c>
      <c r="N1555" s="116">
        <v>7080</v>
      </c>
      <c r="O1555" s="116">
        <v>6896</v>
      </c>
      <c r="P1555" s="116">
        <v>6992</v>
      </c>
      <c r="Q1555" s="116">
        <v>6926</v>
      </c>
      <c r="R1555">
        <v>1599277</v>
      </c>
    </row>
    <row r="1556" spans="1:18" x14ac:dyDescent="0.25">
      <c r="A1556" s="170">
        <v>45859</v>
      </c>
      <c r="B1556" s="116">
        <v>7060</v>
      </c>
      <c r="C1556" s="116">
        <v>7040.05</v>
      </c>
      <c r="D1556" s="116">
        <v>6822.7</v>
      </c>
      <c r="E1556" s="116">
        <v>6960</v>
      </c>
      <c r="F1556" s="116">
        <v>7040.05</v>
      </c>
      <c r="G1556">
        <v>30696</v>
      </c>
      <c r="H1556" s="116"/>
      <c r="I1556" s="116"/>
      <c r="L1556" s="170">
        <v>45859</v>
      </c>
      <c r="M1556" s="116">
        <v>7042</v>
      </c>
      <c r="N1556" s="116">
        <v>7061</v>
      </c>
      <c r="O1556" s="116">
        <v>6822.5</v>
      </c>
      <c r="P1556" s="116">
        <v>6955</v>
      </c>
      <c r="Q1556" s="116">
        <v>7042</v>
      </c>
      <c r="R1556">
        <v>356365</v>
      </c>
    </row>
    <row r="1557" spans="1:18" x14ac:dyDescent="0.25">
      <c r="A1557" s="170">
        <v>45860</v>
      </c>
      <c r="B1557" s="116">
        <v>7072.55</v>
      </c>
      <c r="C1557" s="116">
        <v>6962.75</v>
      </c>
      <c r="D1557" s="116">
        <v>6945.2</v>
      </c>
      <c r="E1557" s="116">
        <v>7045</v>
      </c>
      <c r="F1557" s="116">
        <v>6962.75</v>
      </c>
      <c r="G1557">
        <v>8397</v>
      </c>
      <c r="H1557" s="116"/>
      <c r="I1557" s="116"/>
      <c r="L1557" s="170">
        <v>45860</v>
      </c>
      <c r="M1557" s="116">
        <v>6960.5</v>
      </c>
      <c r="N1557" s="116">
        <v>7079.5</v>
      </c>
      <c r="O1557" s="116">
        <v>6945</v>
      </c>
      <c r="P1557" s="116">
        <v>7042</v>
      </c>
      <c r="Q1557" s="116">
        <v>6960.5</v>
      </c>
      <c r="R1557">
        <v>267070</v>
      </c>
    </row>
    <row r="1558" spans="1:18" x14ac:dyDescent="0.25">
      <c r="A1558" s="170">
        <v>45861</v>
      </c>
      <c r="B1558" s="116">
        <v>7043.35</v>
      </c>
      <c r="C1558" s="116">
        <v>6883.65</v>
      </c>
      <c r="D1558" s="116">
        <v>6851</v>
      </c>
      <c r="E1558" s="116">
        <v>7043.35</v>
      </c>
      <c r="F1558" s="116">
        <v>6883.65</v>
      </c>
      <c r="G1558">
        <v>11864</v>
      </c>
      <c r="H1558" s="116"/>
      <c r="I1558" s="116"/>
      <c r="L1558" s="170">
        <v>45861</v>
      </c>
      <c r="M1558" s="116">
        <v>6885</v>
      </c>
      <c r="N1558" s="116">
        <v>6995</v>
      </c>
      <c r="O1558" s="116">
        <v>6850</v>
      </c>
      <c r="P1558" s="116">
        <v>6994</v>
      </c>
      <c r="Q1558" s="116">
        <v>6885</v>
      </c>
      <c r="R1558">
        <v>297076</v>
      </c>
    </row>
    <row r="1559" spans="1:18" x14ac:dyDescent="0.25">
      <c r="A1559" s="170">
        <v>45862</v>
      </c>
      <c r="B1559" s="116">
        <v>6932.15</v>
      </c>
      <c r="C1559" s="116">
        <v>6837.3</v>
      </c>
      <c r="D1559" s="116">
        <v>6804.25</v>
      </c>
      <c r="E1559" s="116">
        <v>6884</v>
      </c>
      <c r="F1559" s="116">
        <v>6837.3</v>
      </c>
      <c r="G1559">
        <v>5830</v>
      </c>
      <c r="H1559" s="116"/>
      <c r="I1559" s="116"/>
      <c r="L1559" s="170">
        <v>45862</v>
      </c>
      <c r="M1559" s="116">
        <v>6841</v>
      </c>
      <c r="N1559" s="116">
        <v>6930</v>
      </c>
      <c r="O1559" s="116">
        <v>6803</v>
      </c>
      <c r="P1559" s="116">
        <v>6925</v>
      </c>
      <c r="Q1559" s="116">
        <v>6841</v>
      </c>
      <c r="R1559">
        <v>240792</v>
      </c>
    </row>
    <row r="1560" spans="1:18" x14ac:dyDescent="0.25">
      <c r="A1560" s="170">
        <v>45863</v>
      </c>
      <c r="B1560" s="116">
        <v>6883.1</v>
      </c>
      <c r="C1560" s="116">
        <v>6735.85</v>
      </c>
      <c r="D1560" s="116">
        <v>6713.55</v>
      </c>
      <c r="E1560" s="116">
        <v>6883.1</v>
      </c>
      <c r="F1560" s="116">
        <v>6735.85</v>
      </c>
      <c r="G1560">
        <v>5451</v>
      </c>
      <c r="H1560" s="116"/>
      <c r="I1560" s="116"/>
      <c r="L1560" s="170">
        <v>45863</v>
      </c>
      <c r="M1560" s="116">
        <v>6734.5</v>
      </c>
      <c r="N1560" s="116">
        <v>6840</v>
      </c>
      <c r="O1560" s="116">
        <v>6714.5</v>
      </c>
      <c r="P1560" s="116">
        <v>6840</v>
      </c>
      <c r="Q1560" s="116">
        <v>6734.5</v>
      </c>
      <c r="R1560">
        <v>183817</v>
      </c>
    </row>
    <row r="1561" spans="1:18" x14ac:dyDescent="0.25">
      <c r="A1561" s="170">
        <v>45866</v>
      </c>
      <c r="B1561" s="116">
        <v>6850</v>
      </c>
      <c r="C1561" s="116">
        <v>6837.85</v>
      </c>
      <c r="D1561" s="116">
        <v>6728.6</v>
      </c>
      <c r="E1561" s="116">
        <v>6728.6</v>
      </c>
      <c r="F1561" s="116">
        <v>6837.85</v>
      </c>
      <c r="G1561">
        <v>16231</v>
      </c>
      <c r="H1561" s="116"/>
      <c r="I1561" s="116"/>
      <c r="L1561" s="170">
        <v>45866</v>
      </c>
      <c r="M1561" s="116">
        <v>6837.5</v>
      </c>
      <c r="N1561" s="116">
        <v>6851</v>
      </c>
      <c r="O1561" s="116">
        <v>6725</v>
      </c>
      <c r="P1561" s="116">
        <v>6749.5</v>
      </c>
      <c r="Q1561" s="116">
        <v>6837.5</v>
      </c>
      <c r="R1561">
        <v>253763</v>
      </c>
    </row>
    <row r="1562" spans="1:18" x14ac:dyDescent="0.25">
      <c r="A1562" s="170">
        <v>45867</v>
      </c>
      <c r="B1562" s="116">
        <v>6975</v>
      </c>
      <c r="C1562" s="116">
        <v>6963.05</v>
      </c>
      <c r="D1562" s="116">
        <v>6793.1</v>
      </c>
      <c r="E1562" s="116">
        <v>6836.95</v>
      </c>
      <c r="F1562" s="116">
        <v>6963.05</v>
      </c>
      <c r="G1562">
        <v>14302</v>
      </c>
      <c r="H1562" s="116"/>
      <c r="I1562" s="116"/>
      <c r="L1562" s="170">
        <v>45867</v>
      </c>
      <c r="M1562" s="116">
        <v>6962.5</v>
      </c>
      <c r="N1562" s="116">
        <v>6977</v>
      </c>
      <c r="O1562" s="116">
        <v>6790</v>
      </c>
      <c r="P1562" s="116">
        <v>6833</v>
      </c>
      <c r="Q1562" s="116">
        <v>6962.5</v>
      </c>
      <c r="R1562">
        <v>258467</v>
      </c>
    </row>
    <row r="1563" spans="1:18" x14ac:dyDescent="0.25">
      <c r="A1563" s="170">
        <v>45868</v>
      </c>
      <c r="B1563" s="116">
        <v>6983.7</v>
      </c>
      <c r="C1563" s="116">
        <v>6928.95</v>
      </c>
      <c r="D1563" s="116">
        <v>6868.05</v>
      </c>
      <c r="E1563" s="116">
        <v>6980</v>
      </c>
      <c r="F1563" s="116">
        <v>6928.95</v>
      </c>
      <c r="G1563">
        <v>11241</v>
      </c>
      <c r="H1563" s="116"/>
      <c r="I1563" s="116"/>
      <c r="L1563" s="170">
        <v>45868</v>
      </c>
      <c r="M1563" s="116">
        <v>6931</v>
      </c>
      <c r="N1563" s="116">
        <v>6986</v>
      </c>
      <c r="O1563" s="116">
        <v>6871</v>
      </c>
      <c r="P1563" s="116">
        <v>6980</v>
      </c>
      <c r="Q1563" s="116">
        <v>6931</v>
      </c>
      <c r="R1563">
        <v>218429</v>
      </c>
    </row>
    <row r="1564" spans="1:18" x14ac:dyDescent="0.25">
      <c r="A1564" s="170">
        <v>45869</v>
      </c>
      <c r="B1564" s="116">
        <v>6880.7</v>
      </c>
      <c r="C1564" s="116">
        <v>6820.4</v>
      </c>
      <c r="D1564" s="116">
        <v>6712.2</v>
      </c>
      <c r="E1564" s="116">
        <v>6712.2</v>
      </c>
      <c r="F1564" s="116">
        <v>6820.4</v>
      </c>
      <c r="G1564">
        <v>24436</v>
      </c>
      <c r="H1564" s="116"/>
      <c r="I1564" s="116"/>
      <c r="L1564" s="170">
        <v>45869</v>
      </c>
      <c r="M1564" s="116">
        <v>6821</v>
      </c>
      <c r="N1564" s="116">
        <v>6885</v>
      </c>
      <c r="O1564" s="116">
        <v>6701</v>
      </c>
      <c r="P1564" s="116">
        <v>6848</v>
      </c>
      <c r="Q1564" s="116">
        <v>6821</v>
      </c>
      <c r="R1564">
        <v>677598</v>
      </c>
    </row>
    <row r="1565" spans="1:18" x14ac:dyDescent="0.25">
      <c r="A1565" s="170">
        <v>45870</v>
      </c>
      <c r="B1565" s="116">
        <v>6857.85</v>
      </c>
      <c r="C1565" s="116">
        <v>6698.9</v>
      </c>
      <c r="D1565" s="116">
        <v>6676.35</v>
      </c>
      <c r="E1565" s="116">
        <v>6771.75</v>
      </c>
      <c r="F1565" s="116">
        <v>6698.9</v>
      </c>
      <c r="G1565">
        <v>7168</v>
      </c>
      <c r="H1565" s="116"/>
      <c r="I1565" s="116"/>
      <c r="L1565" s="170">
        <v>45870</v>
      </c>
      <c r="M1565" s="116">
        <v>6698</v>
      </c>
      <c r="N1565" s="116">
        <v>6859.5</v>
      </c>
      <c r="O1565" s="116">
        <v>6680</v>
      </c>
      <c r="P1565" s="116">
        <v>6820.5</v>
      </c>
      <c r="Q1565" s="116">
        <v>6698</v>
      </c>
      <c r="R1565">
        <v>246544</v>
      </c>
    </row>
    <row r="1566" spans="1:18" x14ac:dyDescent="0.25">
      <c r="A1566" s="170">
        <v>45873</v>
      </c>
      <c r="B1566" s="116">
        <v>6936</v>
      </c>
      <c r="C1566" s="116">
        <v>6923.75</v>
      </c>
      <c r="D1566" s="116">
        <v>6666.15</v>
      </c>
      <c r="E1566" s="116">
        <v>6666.15</v>
      </c>
      <c r="F1566" s="116">
        <v>6923.75</v>
      </c>
      <c r="G1566">
        <v>16446</v>
      </c>
      <c r="H1566" s="116"/>
      <c r="I1566" s="116"/>
      <c r="L1566" s="170">
        <v>45873</v>
      </c>
      <c r="M1566" s="116">
        <v>6919.5</v>
      </c>
      <c r="N1566" s="116">
        <v>6938</v>
      </c>
      <c r="O1566" s="116">
        <v>6683</v>
      </c>
      <c r="P1566" s="116">
        <v>6744.5</v>
      </c>
      <c r="Q1566" s="116">
        <v>6919.5</v>
      </c>
      <c r="R1566">
        <v>367819</v>
      </c>
    </row>
    <row r="1567" spans="1:18" x14ac:dyDescent="0.25">
      <c r="A1567" s="170">
        <v>45874</v>
      </c>
      <c r="B1567" s="116">
        <v>6950</v>
      </c>
      <c r="C1567" s="116">
        <v>6925.95</v>
      </c>
      <c r="D1567" s="116">
        <v>6883</v>
      </c>
      <c r="E1567" s="116">
        <v>6919.75</v>
      </c>
      <c r="F1567" s="116">
        <v>6925.95</v>
      </c>
      <c r="G1567">
        <v>10468</v>
      </c>
      <c r="H1567" s="116"/>
      <c r="I1567" s="116"/>
      <c r="L1567" s="170">
        <v>45874</v>
      </c>
      <c r="M1567" s="116">
        <v>6925.5</v>
      </c>
      <c r="N1567" s="116">
        <v>6953.5</v>
      </c>
      <c r="O1567" s="116">
        <v>6884.5</v>
      </c>
      <c r="P1567" s="116">
        <v>6931.5</v>
      </c>
      <c r="Q1567" s="116">
        <v>6925.5</v>
      </c>
      <c r="R1567">
        <v>208115</v>
      </c>
    </row>
    <row r="1568" spans="1:18" x14ac:dyDescent="0.25">
      <c r="A1568" s="170">
        <v>45875</v>
      </c>
      <c r="B1568" s="116">
        <v>6927.5</v>
      </c>
      <c r="C1568" s="116">
        <v>6823.1</v>
      </c>
      <c r="D1568" s="116">
        <v>6680</v>
      </c>
      <c r="E1568" s="116">
        <v>6900.2</v>
      </c>
      <c r="F1568" s="116">
        <v>6823.1</v>
      </c>
      <c r="G1568">
        <v>19148</v>
      </c>
      <c r="H1568" s="116"/>
      <c r="I1568" s="116"/>
      <c r="L1568" s="170">
        <v>45875</v>
      </c>
      <c r="M1568" s="116">
        <v>6825</v>
      </c>
      <c r="N1568" s="116">
        <v>6950</v>
      </c>
      <c r="O1568" s="116">
        <v>6680</v>
      </c>
      <c r="P1568" s="116">
        <v>6950</v>
      </c>
      <c r="Q1568" s="116">
        <v>6825</v>
      </c>
      <c r="R1568">
        <v>444662</v>
      </c>
    </row>
    <row r="1569" spans="1:18" x14ac:dyDescent="0.25">
      <c r="A1569" s="170">
        <v>45876</v>
      </c>
      <c r="B1569" s="116">
        <v>6896</v>
      </c>
      <c r="C1569" s="116">
        <v>6872</v>
      </c>
      <c r="D1569" s="116">
        <v>6744.8</v>
      </c>
      <c r="E1569" s="116">
        <v>6822.9</v>
      </c>
      <c r="F1569" s="116">
        <v>6872</v>
      </c>
      <c r="G1569">
        <v>6672</v>
      </c>
      <c r="H1569" s="116"/>
      <c r="I1569" s="116"/>
      <c r="L1569" s="170">
        <v>45876</v>
      </c>
      <c r="M1569" s="116">
        <v>6881</v>
      </c>
      <c r="N1569" s="116">
        <v>6903.5</v>
      </c>
      <c r="O1569" s="116">
        <v>6746</v>
      </c>
      <c r="P1569" s="116">
        <v>6790</v>
      </c>
      <c r="Q1569" s="116">
        <v>6881</v>
      </c>
      <c r="R1569">
        <v>193378</v>
      </c>
    </row>
    <row r="1570" spans="1:18" x14ac:dyDescent="0.25">
      <c r="A1570" s="170">
        <v>45877</v>
      </c>
      <c r="B1570" s="116">
        <v>6900</v>
      </c>
      <c r="C1570" s="116">
        <v>6743.2</v>
      </c>
      <c r="D1570" s="116">
        <v>6719.65</v>
      </c>
      <c r="E1570" s="116">
        <v>6859.95</v>
      </c>
      <c r="F1570" s="116">
        <v>6743.2</v>
      </c>
      <c r="G1570">
        <v>6060</v>
      </c>
      <c r="H1570" s="116"/>
      <c r="I1570" s="116"/>
      <c r="L1570" s="170">
        <v>45877</v>
      </c>
      <c r="M1570" s="116">
        <v>6741</v>
      </c>
      <c r="N1570" s="116">
        <v>6905</v>
      </c>
      <c r="O1570" s="116">
        <v>6718.5</v>
      </c>
      <c r="P1570" s="116">
        <v>6852.5</v>
      </c>
      <c r="Q1570" s="116">
        <v>6741</v>
      </c>
      <c r="R1570">
        <v>148921</v>
      </c>
    </row>
    <row r="1571" spans="1:18" x14ac:dyDescent="0.25">
      <c r="A1571" s="170">
        <v>45880</v>
      </c>
      <c r="B1571" s="116">
        <v>6809.9</v>
      </c>
      <c r="C1571" s="116">
        <v>6753.85</v>
      </c>
      <c r="D1571" s="116">
        <v>6671.4</v>
      </c>
      <c r="E1571" s="116">
        <v>6743.35</v>
      </c>
      <c r="F1571" s="116">
        <v>6753.85</v>
      </c>
      <c r="G1571">
        <v>9240</v>
      </c>
      <c r="H1571" s="116"/>
      <c r="I1571" s="116"/>
      <c r="L1571" s="170">
        <v>45880</v>
      </c>
      <c r="M1571" s="116">
        <v>6757.5</v>
      </c>
      <c r="N1571" s="116">
        <v>6810</v>
      </c>
      <c r="O1571" s="116">
        <v>6675.5</v>
      </c>
      <c r="P1571" s="116">
        <v>6759.5</v>
      </c>
      <c r="Q1571" s="116">
        <v>6757.5</v>
      </c>
      <c r="R1571">
        <v>140792</v>
      </c>
    </row>
    <row r="1572" spans="1:18" x14ac:dyDescent="0.25">
      <c r="A1572" s="170">
        <v>45881</v>
      </c>
      <c r="B1572" s="116">
        <v>6824.25</v>
      </c>
      <c r="C1572" s="116">
        <v>6803.6</v>
      </c>
      <c r="D1572" s="116">
        <v>6622</v>
      </c>
      <c r="E1572" s="116">
        <v>6753.9</v>
      </c>
      <c r="F1572" s="116">
        <v>6803.6</v>
      </c>
      <c r="G1572">
        <v>10816</v>
      </c>
      <c r="H1572" s="116"/>
      <c r="I1572" s="116"/>
      <c r="L1572" s="170">
        <v>45881</v>
      </c>
      <c r="M1572" s="116">
        <v>6803.5</v>
      </c>
      <c r="N1572" s="116">
        <v>6823</v>
      </c>
      <c r="O1572" s="116">
        <v>6620</v>
      </c>
      <c r="P1572" s="116">
        <v>6764</v>
      </c>
      <c r="Q1572" s="116">
        <v>6803.5</v>
      </c>
      <c r="R1572">
        <v>522463</v>
      </c>
    </row>
    <row r="1573" spans="1:18" x14ac:dyDescent="0.25">
      <c r="A1573" s="170">
        <v>45882</v>
      </c>
      <c r="B1573" s="116">
        <v>6977.95</v>
      </c>
      <c r="C1573" s="116">
        <v>6963.4</v>
      </c>
      <c r="D1573" s="116">
        <v>6820.6</v>
      </c>
      <c r="E1573" s="116">
        <v>6820.6</v>
      </c>
      <c r="F1573" s="116">
        <v>6963.4</v>
      </c>
      <c r="G1573">
        <v>18111</v>
      </c>
      <c r="H1573" s="116"/>
      <c r="I1573" s="116"/>
      <c r="L1573" s="170">
        <v>45882</v>
      </c>
      <c r="M1573" s="116">
        <v>6966</v>
      </c>
      <c r="N1573" s="116">
        <v>6980.5</v>
      </c>
      <c r="O1573" s="116">
        <v>6820</v>
      </c>
      <c r="P1573" s="116">
        <v>6827</v>
      </c>
      <c r="Q1573" s="116">
        <v>6966</v>
      </c>
      <c r="R1573">
        <v>255672</v>
      </c>
    </row>
    <row r="1574" spans="1:18" x14ac:dyDescent="0.25">
      <c r="A1574" s="170">
        <v>45883</v>
      </c>
      <c r="B1574" s="116">
        <v>6999.95</v>
      </c>
      <c r="C1574" s="116">
        <v>6965.2</v>
      </c>
      <c r="D1574" s="116">
        <v>6909.55</v>
      </c>
      <c r="E1574" s="116">
        <v>6999.95</v>
      </c>
      <c r="F1574" s="116">
        <v>6965.2</v>
      </c>
      <c r="G1574">
        <v>2725</v>
      </c>
      <c r="H1574" s="116"/>
      <c r="I1574" s="116"/>
      <c r="L1574" s="170">
        <v>45883</v>
      </c>
      <c r="M1574" s="116">
        <v>6970</v>
      </c>
      <c r="N1574" s="116">
        <v>6983</v>
      </c>
      <c r="O1574" s="116">
        <v>6904.5</v>
      </c>
      <c r="P1574" s="116">
        <v>6975</v>
      </c>
      <c r="Q1574" s="116">
        <v>6970</v>
      </c>
      <c r="R1574">
        <v>143368</v>
      </c>
    </row>
    <row r="1575" spans="1:18" x14ac:dyDescent="0.25">
      <c r="A1575" s="170">
        <v>45887</v>
      </c>
      <c r="B1575" s="116">
        <v>7185</v>
      </c>
      <c r="C1575" s="116">
        <v>7083.5</v>
      </c>
      <c r="D1575" s="116">
        <v>7010.1</v>
      </c>
      <c r="E1575" s="116">
        <v>7010.1</v>
      </c>
      <c r="F1575" s="116">
        <v>7083.5</v>
      </c>
      <c r="G1575">
        <v>8015</v>
      </c>
      <c r="H1575" s="116"/>
      <c r="I1575" s="116"/>
      <c r="L1575" s="170">
        <v>45887</v>
      </c>
      <c r="M1575" s="116">
        <v>7087</v>
      </c>
      <c r="N1575" s="116">
        <v>7185</v>
      </c>
      <c r="O1575" s="116">
        <v>7009</v>
      </c>
      <c r="P1575" s="116">
        <v>7025</v>
      </c>
      <c r="Q1575" s="116">
        <v>7087</v>
      </c>
      <c r="R1575">
        <v>459379</v>
      </c>
    </row>
    <row r="1576" spans="1:18" x14ac:dyDescent="0.25">
      <c r="A1576" s="170">
        <v>45888</v>
      </c>
      <c r="B1576" s="116">
        <v>7131.85</v>
      </c>
      <c r="C1576" s="116">
        <v>7113</v>
      </c>
      <c r="D1576" s="116">
        <v>7028</v>
      </c>
      <c r="E1576" s="116">
        <v>7083.55</v>
      </c>
      <c r="F1576" s="116">
        <v>7113</v>
      </c>
      <c r="G1576">
        <v>5518</v>
      </c>
      <c r="H1576" s="116"/>
      <c r="I1576" s="116"/>
      <c r="L1576" s="170">
        <v>45888</v>
      </c>
      <c r="M1576" s="116">
        <v>7117</v>
      </c>
      <c r="N1576" s="116">
        <v>7135</v>
      </c>
      <c r="O1576" s="116">
        <v>7024</v>
      </c>
      <c r="P1576" s="116">
        <v>7094</v>
      </c>
      <c r="Q1576" s="116">
        <v>7117</v>
      </c>
      <c r="R1576">
        <v>187122</v>
      </c>
    </row>
    <row r="1577" spans="1:18" x14ac:dyDescent="0.25">
      <c r="A1577" s="170">
        <v>45889</v>
      </c>
      <c r="B1577" s="116">
        <v>7205</v>
      </c>
      <c r="C1577" s="116">
        <v>7154.3</v>
      </c>
      <c r="D1577" s="116">
        <v>7129</v>
      </c>
      <c r="E1577" s="116">
        <v>7143.75</v>
      </c>
      <c r="F1577" s="116">
        <v>7154.3</v>
      </c>
      <c r="G1577">
        <v>5954</v>
      </c>
      <c r="H1577" s="116"/>
      <c r="I1577" s="116"/>
      <c r="L1577" s="170">
        <v>45889</v>
      </c>
      <c r="M1577" s="116">
        <v>7158</v>
      </c>
      <c r="N1577" s="116">
        <v>7208</v>
      </c>
      <c r="O1577" s="116">
        <v>7120</v>
      </c>
      <c r="P1577" s="116">
        <v>7129</v>
      </c>
      <c r="Q1577" s="116">
        <v>7158</v>
      </c>
      <c r="R1577">
        <v>217222</v>
      </c>
    </row>
    <row r="1578" spans="1:18" x14ac:dyDescent="0.25">
      <c r="A1578" s="170">
        <v>45890</v>
      </c>
      <c r="B1578" s="116">
        <v>7179.05</v>
      </c>
      <c r="C1578" s="116">
        <v>7085.65</v>
      </c>
      <c r="D1578" s="116">
        <v>7068.05</v>
      </c>
      <c r="E1578" s="116">
        <v>7160</v>
      </c>
      <c r="F1578" s="116">
        <v>7085.65</v>
      </c>
      <c r="G1578">
        <v>4466</v>
      </c>
      <c r="H1578" s="116"/>
      <c r="I1578" s="116"/>
      <c r="L1578" s="170">
        <v>45890</v>
      </c>
      <c r="M1578" s="116">
        <v>7084.5</v>
      </c>
      <c r="N1578" s="116">
        <v>7177</v>
      </c>
      <c r="O1578" s="116">
        <v>7067</v>
      </c>
      <c r="P1578" s="116">
        <v>7158</v>
      </c>
      <c r="Q1578" s="116">
        <v>7084.5</v>
      </c>
      <c r="R1578">
        <v>139514</v>
      </c>
    </row>
    <row r="1579" spans="1:18" x14ac:dyDescent="0.25">
      <c r="A1579" s="170">
        <v>45891</v>
      </c>
      <c r="B1579" s="116">
        <v>7164.45</v>
      </c>
      <c r="C1579" s="116">
        <v>7103.1</v>
      </c>
      <c r="D1579" s="116">
        <v>7080</v>
      </c>
      <c r="E1579" s="116">
        <v>7153.95</v>
      </c>
      <c r="F1579" s="116">
        <v>7103.1</v>
      </c>
      <c r="G1579">
        <v>8781</v>
      </c>
      <c r="H1579" s="116"/>
      <c r="I1579" s="116"/>
      <c r="L1579" s="170">
        <v>45891</v>
      </c>
      <c r="M1579" s="116">
        <v>7100.5</v>
      </c>
      <c r="N1579" s="116">
        <v>7164</v>
      </c>
      <c r="O1579" s="116">
        <v>7059.5</v>
      </c>
      <c r="P1579" s="116">
        <v>7100</v>
      </c>
      <c r="Q1579" s="116">
        <v>7100.5</v>
      </c>
      <c r="R1579">
        <v>172189</v>
      </c>
    </row>
    <row r="1580" spans="1:18" x14ac:dyDescent="0.25">
      <c r="A1580" s="170">
        <v>45894</v>
      </c>
      <c r="B1580" s="116">
        <v>7152.25</v>
      </c>
      <c r="C1580" s="116">
        <v>7066.9</v>
      </c>
      <c r="D1580" s="116">
        <v>7053.2</v>
      </c>
      <c r="E1580" s="116">
        <v>7117.25</v>
      </c>
      <c r="F1580" s="116">
        <v>7066.9</v>
      </c>
      <c r="G1580">
        <v>8685</v>
      </c>
      <c r="H1580" s="116"/>
      <c r="I1580" s="116"/>
      <c r="L1580" s="170">
        <v>45894</v>
      </c>
      <c r="M1580" s="116">
        <v>7071.5</v>
      </c>
      <c r="N1580" s="116">
        <v>7155.5</v>
      </c>
      <c r="O1580" s="116">
        <v>7057.5</v>
      </c>
      <c r="P1580" s="116">
        <v>7148.5</v>
      </c>
      <c r="Q1580" s="116">
        <v>7071.5</v>
      </c>
      <c r="R1580">
        <v>116097</v>
      </c>
    </row>
    <row r="1581" spans="1:18" x14ac:dyDescent="0.25">
      <c r="A1581" s="170">
        <v>45895</v>
      </c>
      <c r="B1581" s="116">
        <v>7095</v>
      </c>
      <c r="C1581" s="116">
        <v>7063.45</v>
      </c>
      <c r="D1581" s="116">
        <v>6986.15</v>
      </c>
      <c r="E1581" s="116">
        <v>7071.85</v>
      </c>
      <c r="F1581" s="116">
        <v>7063.45</v>
      </c>
      <c r="G1581">
        <v>7038</v>
      </c>
      <c r="H1581" s="116"/>
      <c r="I1581" s="116"/>
      <c r="L1581" s="170">
        <v>45895</v>
      </c>
      <c r="M1581" s="116">
        <v>7064</v>
      </c>
      <c r="N1581" s="116">
        <v>7096</v>
      </c>
      <c r="O1581" s="116">
        <v>6985</v>
      </c>
      <c r="P1581" s="116">
        <v>7027.5</v>
      </c>
      <c r="Q1581" s="116">
        <v>7064</v>
      </c>
      <c r="R1581">
        <v>187129</v>
      </c>
    </row>
    <row r="1582" spans="1:18" x14ac:dyDescent="0.25">
      <c r="A1582" s="170">
        <v>45897</v>
      </c>
      <c r="B1582" s="116">
        <v>7174.65</v>
      </c>
      <c r="C1582" s="116">
        <v>7105.3</v>
      </c>
      <c r="D1582" s="116">
        <v>6987</v>
      </c>
      <c r="E1582" s="116">
        <v>7075.05</v>
      </c>
      <c r="F1582" s="116">
        <v>7105.3</v>
      </c>
      <c r="G1582">
        <v>8681</v>
      </c>
      <c r="H1582" s="116"/>
      <c r="I1582" s="116"/>
      <c r="L1582" s="170">
        <v>45897</v>
      </c>
      <c r="M1582" s="116">
        <v>7106.5</v>
      </c>
      <c r="N1582" s="116">
        <v>7170</v>
      </c>
      <c r="O1582" s="116">
        <v>6985</v>
      </c>
      <c r="P1582" s="116">
        <v>7099</v>
      </c>
      <c r="Q1582" s="116">
        <v>7106.5</v>
      </c>
      <c r="R1582">
        <v>275286</v>
      </c>
    </row>
    <row r="1583" spans="1:18" x14ac:dyDescent="0.25">
      <c r="A1583" s="170">
        <v>45898</v>
      </c>
      <c r="B1583" s="116">
        <v>7180.05</v>
      </c>
      <c r="C1583" s="116">
        <v>7085.1</v>
      </c>
      <c r="D1583" s="116">
        <v>7068.4</v>
      </c>
      <c r="E1583" s="116">
        <v>7159.8</v>
      </c>
      <c r="F1583" s="116">
        <v>7085.1</v>
      </c>
      <c r="G1583">
        <v>7187</v>
      </c>
      <c r="H1583" s="116"/>
      <c r="I1583" s="116"/>
      <c r="L1583" s="170">
        <v>45898</v>
      </c>
      <c r="M1583" s="116">
        <v>7091</v>
      </c>
      <c r="N1583" s="116">
        <v>7180</v>
      </c>
      <c r="O1583" s="116">
        <v>7070</v>
      </c>
      <c r="P1583" s="116">
        <v>7114.5</v>
      </c>
      <c r="Q1583" s="116">
        <v>7091</v>
      </c>
      <c r="R1583">
        <v>260270</v>
      </c>
    </row>
    <row r="1584" spans="1:18" x14ac:dyDescent="0.25">
      <c r="A1584" s="170">
        <v>45901</v>
      </c>
      <c r="B1584" s="116">
        <v>7159.95</v>
      </c>
      <c r="C1584" s="116">
        <v>7145.55</v>
      </c>
      <c r="D1584" s="116">
        <v>7066.6</v>
      </c>
      <c r="E1584" s="116">
        <v>7101.85</v>
      </c>
      <c r="F1584" s="116">
        <v>7145.55</v>
      </c>
      <c r="G1584">
        <v>6426</v>
      </c>
      <c r="H1584" s="116"/>
      <c r="I1584" s="116"/>
      <c r="L1584" s="170">
        <v>45901</v>
      </c>
      <c r="M1584" s="116">
        <v>7144.5</v>
      </c>
      <c r="N1584" s="116">
        <v>7159.5</v>
      </c>
      <c r="O1584" s="116">
        <v>7059</v>
      </c>
      <c r="P1584" s="116">
        <v>7126.5</v>
      </c>
      <c r="Q1584" s="116">
        <v>7144.5</v>
      </c>
      <c r="R1584">
        <v>150419</v>
      </c>
    </row>
    <row r="1585" spans="1:18" x14ac:dyDescent="0.25">
      <c r="A1585" s="170">
        <v>45902</v>
      </c>
      <c r="B1585" s="116">
        <v>7199</v>
      </c>
      <c r="C1585" s="116">
        <v>7179.35</v>
      </c>
      <c r="D1585" s="116">
        <v>7116.4</v>
      </c>
      <c r="E1585" s="116">
        <v>7150</v>
      </c>
      <c r="F1585" s="116">
        <v>7179.35</v>
      </c>
      <c r="G1585">
        <v>8731</v>
      </c>
      <c r="H1585" s="116"/>
      <c r="I1585" s="116"/>
      <c r="L1585" s="170">
        <v>45902</v>
      </c>
      <c r="M1585" s="116">
        <v>7178.5</v>
      </c>
      <c r="N1585" s="116">
        <v>7199</v>
      </c>
      <c r="O1585" s="116">
        <v>7113</v>
      </c>
      <c r="P1585" s="116">
        <v>7149</v>
      </c>
      <c r="Q1585" s="116">
        <v>7178.5</v>
      </c>
      <c r="R1585">
        <v>130949</v>
      </c>
    </row>
    <row r="1586" spans="1:18" x14ac:dyDescent="0.25">
      <c r="A1586" s="170">
        <v>45903</v>
      </c>
      <c r="B1586" s="116">
        <v>7244</v>
      </c>
      <c r="C1586" s="116">
        <v>7232.95</v>
      </c>
      <c r="D1586" s="116">
        <v>7150.05</v>
      </c>
      <c r="E1586" s="116">
        <v>7150.05</v>
      </c>
      <c r="F1586" s="116">
        <v>7232.95</v>
      </c>
      <c r="G1586">
        <v>11282</v>
      </c>
      <c r="H1586" s="116"/>
      <c r="I1586" s="116"/>
      <c r="L1586" s="170">
        <v>45903</v>
      </c>
      <c r="M1586" s="116">
        <v>7235</v>
      </c>
      <c r="N1586" s="116">
        <v>7245</v>
      </c>
      <c r="O1586" s="116">
        <v>7157.5</v>
      </c>
      <c r="P1586" s="116">
        <v>7175</v>
      </c>
      <c r="Q1586" s="116">
        <v>7235</v>
      </c>
      <c r="R1586">
        <v>265000</v>
      </c>
    </row>
    <row r="1587" spans="1:18" x14ac:dyDescent="0.25">
      <c r="A1587" s="170">
        <v>45904</v>
      </c>
      <c r="B1587" s="116">
        <v>7324.15</v>
      </c>
      <c r="C1587" s="116">
        <v>7257.25</v>
      </c>
      <c r="D1587" s="116">
        <v>7240</v>
      </c>
      <c r="E1587" s="116">
        <v>7289.95</v>
      </c>
      <c r="F1587" s="116">
        <v>7257.25</v>
      </c>
      <c r="G1587">
        <v>57750</v>
      </c>
      <c r="H1587" s="116"/>
      <c r="I1587" s="116"/>
      <c r="L1587" s="170">
        <v>45904</v>
      </c>
      <c r="M1587" s="116">
        <v>7257</v>
      </c>
      <c r="N1587" s="116">
        <v>7325</v>
      </c>
      <c r="O1587" s="116">
        <v>7236</v>
      </c>
      <c r="P1587" s="116">
        <v>7250</v>
      </c>
      <c r="Q1587" s="116">
        <v>7257</v>
      </c>
      <c r="R1587">
        <v>197453</v>
      </c>
    </row>
    <row r="1588" spans="1:18" x14ac:dyDescent="0.25">
      <c r="A1588" s="170">
        <v>45905</v>
      </c>
      <c r="B1588" s="116">
        <v>7315</v>
      </c>
      <c r="C1588" s="116">
        <v>7228.9</v>
      </c>
      <c r="D1588" s="116">
        <v>7218.45</v>
      </c>
      <c r="E1588" s="116">
        <v>7257.25</v>
      </c>
      <c r="F1588" s="116">
        <v>7228.9</v>
      </c>
      <c r="G1588">
        <v>7133</v>
      </c>
      <c r="H1588" s="116"/>
      <c r="I1588" s="116"/>
      <c r="L1588" s="170">
        <v>45905</v>
      </c>
      <c r="M1588" s="116">
        <v>7228</v>
      </c>
      <c r="N1588" s="116">
        <v>7315.5</v>
      </c>
      <c r="O1588" s="116">
        <v>7218.5</v>
      </c>
      <c r="P1588" s="116">
        <v>7288</v>
      </c>
      <c r="Q1588" s="116">
        <v>7228</v>
      </c>
      <c r="R1588">
        <v>143952</v>
      </c>
    </row>
    <row r="1589" spans="1:18" x14ac:dyDescent="0.25">
      <c r="A1589" s="170">
        <v>45908</v>
      </c>
      <c r="B1589" s="116">
        <v>7378.2</v>
      </c>
      <c r="C1589" s="116">
        <v>7331.2</v>
      </c>
      <c r="D1589" s="116">
        <v>7235.05</v>
      </c>
      <c r="E1589" s="116">
        <v>7249.95</v>
      </c>
      <c r="F1589" s="116">
        <v>7331.2</v>
      </c>
      <c r="G1589">
        <v>13585</v>
      </c>
      <c r="H1589" s="116"/>
      <c r="I1589" s="116"/>
      <c r="L1589" s="170">
        <v>45908</v>
      </c>
      <c r="M1589" s="116">
        <v>7324.5</v>
      </c>
      <c r="N1589" s="116">
        <v>7384.5</v>
      </c>
      <c r="O1589" s="116">
        <v>7230</v>
      </c>
      <c r="P1589" s="116">
        <v>7230</v>
      </c>
      <c r="Q1589" s="116">
        <v>7324.5</v>
      </c>
      <c r="R1589">
        <v>234488</v>
      </c>
    </row>
    <row r="1590" spans="1:18" x14ac:dyDescent="0.25">
      <c r="A1590" s="170">
        <v>45909</v>
      </c>
      <c r="B1590" s="116">
        <v>7342.95</v>
      </c>
      <c r="C1590" s="116">
        <v>7196.4</v>
      </c>
      <c r="D1590" s="116">
        <v>7175</v>
      </c>
      <c r="E1590" s="116">
        <v>7331.4</v>
      </c>
      <c r="F1590" s="116">
        <v>7196.4</v>
      </c>
      <c r="G1590">
        <v>8315</v>
      </c>
      <c r="H1590" s="116"/>
      <c r="I1590" s="116"/>
      <c r="L1590" s="170">
        <v>45909</v>
      </c>
      <c r="M1590" s="116">
        <v>7193</v>
      </c>
      <c r="N1590" s="116">
        <v>7371.5</v>
      </c>
      <c r="O1590" s="116">
        <v>7174.5</v>
      </c>
      <c r="P1590" s="116">
        <v>7360</v>
      </c>
      <c r="Q1590" s="116">
        <v>7193</v>
      </c>
      <c r="R1590">
        <v>160736</v>
      </c>
    </row>
    <row r="1591" spans="1:18" x14ac:dyDescent="0.25">
      <c r="A1591" s="170">
        <v>45910</v>
      </c>
      <c r="B1591" s="116">
        <v>7293.8</v>
      </c>
      <c r="C1591" s="116">
        <v>7209.65</v>
      </c>
      <c r="D1591" s="116">
        <v>7192.8</v>
      </c>
      <c r="E1591" s="116">
        <v>7293.8</v>
      </c>
      <c r="F1591" s="116">
        <v>7209.65</v>
      </c>
      <c r="G1591">
        <v>5226</v>
      </c>
      <c r="H1591" s="116"/>
      <c r="I1591" s="116"/>
      <c r="L1591" s="170">
        <v>45910</v>
      </c>
      <c r="M1591" s="116">
        <v>7209</v>
      </c>
      <c r="N1591" s="116">
        <v>7271</v>
      </c>
      <c r="O1591" s="116">
        <v>7196.5</v>
      </c>
      <c r="P1591" s="116">
        <v>7254</v>
      </c>
      <c r="Q1591" s="116">
        <v>7209</v>
      </c>
      <c r="R1591">
        <v>133081</v>
      </c>
    </row>
    <row r="1592" spans="1:18" x14ac:dyDescent="0.25">
      <c r="A1592" s="170">
        <v>45911</v>
      </c>
      <c r="B1592" s="116">
        <v>7284.6</v>
      </c>
      <c r="C1592" s="116">
        <v>7219.8</v>
      </c>
      <c r="D1592" s="116">
        <v>7150</v>
      </c>
      <c r="E1592" s="116">
        <v>7268.95</v>
      </c>
      <c r="F1592" s="116">
        <v>7219.8</v>
      </c>
      <c r="G1592">
        <v>6026</v>
      </c>
      <c r="H1592" s="116"/>
      <c r="I1592" s="116"/>
      <c r="L1592" s="170">
        <v>45911</v>
      </c>
      <c r="M1592" s="116">
        <v>7233.5</v>
      </c>
      <c r="N1592" s="116">
        <v>7284.5</v>
      </c>
      <c r="O1592" s="116">
        <v>7148.5</v>
      </c>
      <c r="P1592" s="116">
        <v>7240</v>
      </c>
      <c r="Q1592" s="116">
        <v>7233.5</v>
      </c>
      <c r="R1592">
        <v>178711</v>
      </c>
    </row>
    <row r="1593" spans="1:18" x14ac:dyDescent="0.25">
      <c r="A1593" s="170">
        <v>45912</v>
      </c>
      <c r="B1593" s="116">
        <v>7303.9</v>
      </c>
      <c r="C1593" s="116">
        <v>7251.8</v>
      </c>
      <c r="D1593" s="116">
        <v>7238.9</v>
      </c>
      <c r="E1593" s="116">
        <v>7269.85</v>
      </c>
      <c r="F1593" s="116">
        <v>7251.8</v>
      </c>
      <c r="G1593">
        <v>4697</v>
      </c>
      <c r="H1593" s="116"/>
      <c r="I1593" s="116"/>
      <c r="L1593" s="170">
        <v>45912</v>
      </c>
      <c r="M1593" s="116">
        <v>7254.5</v>
      </c>
      <c r="N1593" s="116">
        <v>7310</v>
      </c>
      <c r="O1593" s="116">
        <v>7235.5</v>
      </c>
      <c r="P1593" s="116">
        <v>7250.5</v>
      </c>
      <c r="Q1593" s="116">
        <v>7254.5</v>
      </c>
      <c r="R1593">
        <v>218090</v>
      </c>
    </row>
    <row r="1594" spans="1:18" x14ac:dyDescent="0.25">
      <c r="A1594" s="170">
        <v>45915</v>
      </c>
      <c r="B1594" s="116">
        <v>7279.15</v>
      </c>
      <c r="C1594" s="116">
        <v>7248</v>
      </c>
      <c r="D1594" s="116">
        <v>7131</v>
      </c>
      <c r="E1594" s="116">
        <v>7269.35</v>
      </c>
      <c r="F1594" s="116">
        <v>7248</v>
      </c>
      <c r="G1594">
        <v>3912</v>
      </c>
      <c r="H1594" s="116"/>
      <c r="I1594" s="116"/>
      <c r="L1594" s="170">
        <v>45915</v>
      </c>
      <c r="M1594" s="116">
        <v>7250</v>
      </c>
      <c r="N1594" s="116">
        <v>7280</v>
      </c>
      <c r="O1594" s="116">
        <v>7130</v>
      </c>
      <c r="P1594" s="116">
        <v>7260</v>
      </c>
      <c r="Q1594" s="116">
        <v>7250</v>
      </c>
      <c r="R1594">
        <v>161143</v>
      </c>
    </row>
    <row r="1595" spans="1:18" x14ac:dyDescent="0.25">
      <c r="A1595" s="170">
        <v>45916</v>
      </c>
      <c r="B1595" s="116">
        <v>7404.25</v>
      </c>
      <c r="C1595" s="116">
        <v>7397.45</v>
      </c>
      <c r="D1595" s="116">
        <v>7236.05</v>
      </c>
      <c r="E1595" s="116">
        <v>7250</v>
      </c>
      <c r="F1595" s="116">
        <v>7397.45</v>
      </c>
      <c r="G1595">
        <v>10242</v>
      </c>
      <c r="H1595" s="116"/>
      <c r="I1595" s="116"/>
      <c r="L1595" s="170">
        <v>45916</v>
      </c>
      <c r="M1595" s="116">
        <v>7395</v>
      </c>
      <c r="N1595" s="116">
        <v>7401</v>
      </c>
      <c r="O1595" s="116">
        <v>7241.5</v>
      </c>
      <c r="P1595" s="116">
        <v>7250.5</v>
      </c>
      <c r="Q1595" s="116">
        <v>7395</v>
      </c>
      <c r="R1595">
        <v>209209</v>
      </c>
    </row>
    <row r="1596" spans="1:18" x14ac:dyDescent="0.25">
      <c r="A1596" s="170">
        <v>45917</v>
      </c>
      <c r="B1596" s="116">
        <v>7469.45</v>
      </c>
      <c r="C1596" s="116">
        <v>7357.55</v>
      </c>
      <c r="D1596" s="116">
        <v>7306</v>
      </c>
      <c r="E1596" s="116">
        <v>7469.45</v>
      </c>
      <c r="F1596" s="116">
        <v>7357.55</v>
      </c>
      <c r="G1596">
        <v>12215</v>
      </c>
      <c r="H1596" s="116"/>
      <c r="I1596" s="116"/>
      <c r="L1596" s="170">
        <v>45917</v>
      </c>
      <c r="M1596" s="116">
        <v>7359</v>
      </c>
      <c r="N1596" s="116">
        <v>7439</v>
      </c>
      <c r="O1596" s="116">
        <v>7302</v>
      </c>
      <c r="P1596" s="116">
        <v>7439</v>
      </c>
      <c r="Q1596" s="116">
        <v>7359</v>
      </c>
      <c r="R1596">
        <v>269888</v>
      </c>
    </row>
    <row r="1597" spans="1:18" x14ac:dyDescent="0.25">
      <c r="A1597" s="170">
        <v>45918</v>
      </c>
      <c r="B1597" s="116">
        <v>7450</v>
      </c>
      <c r="C1597" s="116">
        <v>7443.8</v>
      </c>
      <c r="D1597" s="116">
        <v>7350</v>
      </c>
      <c r="E1597" s="116">
        <v>7360</v>
      </c>
      <c r="F1597" s="116">
        <v>7443.8</v>
      </c>
      <c r="G1597">
        <v>4746</v>
      </c>
      <c r="H1597" s="116"/>
      <c r="I1597" s="116"/>
      <c r="L1597" s="170">
        <v>45918</v>
      </c>
      <c r="M1597" s="116">
        <v>7440.5</v>
      </c>
      <c r="N1597" s="116">
        <v>7452</v>
      </c>
      <c r="O1597" s="116">
        <v>7350</v>
      </c>
      <c r="P1597" s="116">
        <v>7359.5</v>
      </c>
      <c r="Q1597" s="116">
        <v>7440.5</v>
      </c>
      <c r="R1597">
        <v>184784</v>
      </c>
    </row>
    <row r="1598" spans="1:18" x14ac:dyDescent="0.25">
      <c r="A1598" s="170">
        <v>45919</v>
      </c>
      <c r="B1598" s="116">
        <v>7569.35</v>
      </c>
      <c r="C1598" s="116">
        <v>7548</v>
      </c>
      <c r="D1598" s="116">
        <v>7440.4</v>
      </c>
      <c r="E1598" s="116">
        <v>7440.45</v>
      </c>
      <c r="F1598" s="116">
        <v>7548</v>
      </c>
      <c r="G1598">
        <v>16717</v>
      </c>
      <c r="H1598" s="116"/>
      <c r="I1598" s="116"/>
      <c r="L1598" s="170">
        <v>45919</v>
      </c>
      <c r="M1598" s="116">
        <v>7549</v>
      </c>
      <c r="N1598" s="116">
        <v>7568</v>
      </c>
      <c r="O1598" s="116">
        <v>7424</v>
      </c>
      <c r="P1598" s="116">
        <v>7440.5</v>
      </c>
      <c r="Q1598" s="116">
        <v>7549</v>
      </c>
      <c r="R1598">
        <v>370166</v>
      </c>
    </row>
    <row r="1599" spans="1:18" x14ac:dyDescent="0.25">
      <c r="A1599" s="170">
        <v>45922</v>
      </c>
      <c r="B1599" s="116">
        <v>7711.3</v>
      </c>
      <c r="C1599" s="116">
        <v>7659.9</v>
      </c>
      <c r="D1599" s="116">
        <v>7501</v>
      </c>
      <c r="E1599" s="116">
        <v>7647.8</v>
      </c>
      <c r="F1599" s="116">
        <v>7659.9</v>
      </c>
      <c r="G1599">
        <v>11163</v>
      </c>
      <c r="H1599" s="116"/>
      <c r="I1599" s="116"/>
      <c r="L1599" s="170">
        <v>45922</v>
      </c>
      <c r="M1599" s="116">
        <v>7657</v>
      </c>
      <c r="N1599" s="116">
        <v>7714</v>
      </c>
      <c r="O1599" s="116">
        <v>7505</v>
      </c>
      <c r="P1599" s="116">
        <v>7549</v>
      </c>
      <c r="Q1599" s="116">
        <v>7657</v>
      </c>
      <c r="R1599">
        <v>415876</v>
      </c>
    </row>
    <row r="1600" spans="1:18" x14ac:dyDescent="0.25">
      <c r="A1600" s="170">
        <v>45923</v>
      </c>
      <c r="B1600" s="116">
        <v>7676.85</v>
      </c>
      <c r="C1600" s="116">
        <v>7638.4</v>
      </c>
      <c r="D1600" s="116">
        <v>7562</v>
      </c>
      <c r="E1600" s="116">
        <v>7659.9</v>
      </c>
      <c r="F1600" s="116">
        <v>7638.4</v>
      </c>
      <c r="G1600">
        <v>10497</v>
      </c>
      <c r="H1600" s="116"/>
      <c r="I1600" s="116"/>
      <c r="L1600" s="170">
        <v>45923</v>
      </c>
      <c r="M1600" s="116">
        <v>7620</v>
      </c>
      <c r="N1600" s="116">
        <v>7697</v>
      </c>
      <c r="O1600" s="116">
        <v>7561.5</v>
      </c>
      <c r="P1600" s="116">
        <v>7650</v>
      </c>
      <c r="Q1600" s="116">
        <v>7620</v>
      </c>
      <c r="R1600">
        <v>317133</v>
      </c>
    </row>
    <row r="1601" spans="1:18" x14ac:dyDescent="0.25">
      <c r="A1601" s="170">
        <v>45924</v>
      </c>
      <c r="B1601" s="116">
        <v>7607.6</v>
      </c>
      <c r="C1601" s="116">
        <v>7533.2</v>
      </c>
      <c r="D1601" s="116">
        <v>7508.5</v>
      </c>
      <c r="E1601" s="116">
        <v>7598.95</v>
      </c>
      <c r="F1601" s="116">
        <v>7533.2</v>
      </c>
      <c r="G1601">
        <v>8064</v>
      </c>
      <c r="H1601" s="116"/>
      <c r="I1601" s="116"/>
      <c r="L1601" s="170">
        <v>45924</v>
      </c>
      <c r="M1601" s="116">
        <v>7532.5</v>
      </c>
      <c r="N1601" s="116">
        <v>7623.5</v>
      </c>
      <c r="O1601" s="116">
        <v>7505</v>
      </c>
      <c r="P1601" s="116">
        <v>7590</v>
      </c>
      <c r="Q1601" s="116">
        <v>7532.5</v>
      </c>
      <c r="R1601">
        <v>352940</v>
      </c>
    </row>
    <row r="1602" spans="1:18" x14ac:dyDescent="0.25">
      <c r="A1602" s="170">
        <v>45925</v>
      </c>
      <c r="B1602" s="116">
        <v>7599</v>
      </c>
      <c r="C1602" s="116">
        <v>7405.55</v>
      </c>
      <c r="D1602" s="116">
        <v>7378.95</v>
      </c>
      <c r="E1602" s="116">
        <v>7565</v>
      </c>
      <c r="F1602" s="116">
        <v>7405.55</v>
      </c>
      <c r="G1602">
        <v>28796</v>
      </c>
      <c r="H1602" s="116"/>
      <c r="I1602" s="116"/>
      <c r="L1602" s="170">
        <v>45925</v>
      </c>
      <c r="M1602" s="116">
        <v>7407.5</v>
      </c>
      <c r="N1602" s="116">
        <v>7600</v>
      </c>
      <c r="O1602" s="116">
        <v>7381.5</v>
      </c>
      <c r="P1602" s="116">
        <v>7580</v>
      </c>
      <c r="Q1602" s="116">
        <v>7407.5</v>
      </c>
      <c r="R1602">
        <v>464674</v>
      </c>
    </row>
    <row r="1603" spans="1:18" x14ac:dyDescent="0.25">
      <c r="A1603" s="170">
        <v>45926</v>
      </c>
      <c r="B1603" s="116">
        <v>7507</v>
      </c>
      <c r="C1603" s="116">
        <v>7313.3</v>
      </c>
      <c r="D1603" s="116">
        <v>7275.2</v>
      </c>
      <c r="E1603" s="116">
        <v>7380.4</v>
      </c>
      <c r="F1603" s="116">
        <v>7313.3</v>
      </c>
      <c r="G1603">
        <v>8021</v>
      </c>
      <c r="H1603" s="116"/>
      <c r="I1603" s="116"/>
      <c r="L1603" s="170">
        <v>45926</v>
      </c>
      <c r="M1603" s="116">
        <v>7322.5</v>
      </c>
      <c r="N1603" s="116">
        <v>7506</v>
      </c>
      <c r="O1603" s="116">
        <v>7272</v>
      </c>
      <c r="P1603" s="116">
        <v>7425</v>
      </c>
      <c r="Q1603" s="116">
        <v>7322.5</v>
      </c>
      <c r="R1603">
        <v>244407</v>
      </c>
    </row>
    <row r="1604" spans="1:18" x14ac:dyDescent="0.25">
      <c r="A1604" s="170">
        <v>45929</v>
      </c>
      <c r="B1604" s="116">
        <v>7369.15</v>
      </c>
      <c r="C1604" s="116">
        <v>7272.05</v>
      </c>
      <c r="D1604" s="116">
        <v>7259.4</v>
      </c>
      <c r="E1604" s="116">
        <v>7260.65</v>
      </c>
      <c r="F1604" s="116">
        <v>7272.05</v>
      </c>
      <c r="G1604">
        <v>6712</v>
      </c>
      <c r="H1604" s="116"/>
      <c r="I1604" s="116"/>
      <c r="L1604" s="170">
        <v>45929</v>
      </c>
      <c r="M1604" s="116">
        <v>7278</v>
      </c>
      <c r="N1604" s="116">
        <v>7369.5</v>
      </c>
      <c r="O1604" s="116">
        <v>7259.5</v>
      </c>
      <c r="P1604" s="116">
        <v>7325</v>
      </c>
      <c r="Q1604" s="116">
        <v>7278</v>
      </c>
      <c r="R1604">
        <v>248137</v>
      </c>
    </row>
    <row r="1605" spans="1:18" x14ac:dyDescent="0.25">
      <c r="A1605" s="170">
        <v>45930</v>
      </c>
      <c r="B1605" s="116">
        <v>7449.95</v>
      </c>
      <c r="C1605" s="116">
        <v>7287.45</v>
      </c>
      <c r="D1605" s="116">
        <v>7205.4</v>
      </c>
      <c r="E1605" s="116">
        <v>7449.95</v>
      </c>
      <c r="F1605" s="116">
        <v>7287.45</v>
      </c>
      <c r="G1605">
        <v>3622</v>
      </c>
      <c r="H1605" s="116"/>
      <c r="I1605" s="116"/>
      <c r="L1605" s="170">
        <v>45930</v>
      </c>
      <c r="M1605" s="116">
        <v>7286</v>
      </c>
      <c r="N1605" s="116">
        <v>7317</v>
      </c>
      <c r="O1605" s="116">
        <v>7205</v>
      </c>
      <c r="P1605" s="116">
        <v>7285</v>
      </c>
      <c r="Q1605" s="116">
        <v>7286</v>
      </c>
      <c r="R1605">
        <v>183924</v>
      </c>
    </row>
    <row r="1606" spans="1:18" x14ac:dyDescent="0.25">
      <c r="A1606" s="170">
        <v>45931</v>
      </c>
      <c r="B1606" s="116">
        <v>7366</v>
      </c>
      <c r="C1606" s="116">
        <v>7353.1</v>
      </c>
      <c r="D1606" s="116">
        <v>7276.2</v>
      </c>
      <c r="E1606" s="116">
        <v>7320</v>
      </c>
      <c r="F1606" s="116">
        <v>7353.1</v>
      </c>
      <c r="G1606">
        <v>6660</v>
      </c>
      <c r="H1606" s="116"/>
      <c r="I1606" s="116"/>
      <c r="L1606" s="170">
        <v>45931</v>
      </c>
      <c r="M1606" s="116">
        <v>7351</v>
      </c>
      <c r="N1606" s="116">
        <v>7373</v>
      </c>
      <c r="O1606" s="116">
        <v>7275</v>
      </c>
      <c r="P1606" s="116">
        <v>7334</v>
      </c>
      <c r="Q1606" s="116">
        <v>7351</v>
      </c>
      <c r="R1606">
        <v>112742</v>
      </c>
    </row>
    <row r="1607" spans="1:18" x14ac:dyDescent="0.25">
      <c r="A1607" s="170">
        <v>45933</v>
      </c>
      <c r="B1607" s="116">
        <v>7409.9</v>
      </c>
      <c r="C1607" s="116">
        <v>7395.8</v>
      </c>
      <c r="D1607" s="116">
        <v>7311.15</v>
      </c>
      <c r="E1607" s="116">
        <v>7353.6</v>
      </c>
      <c r="F1607" s="116">
        <v>7395.8</v>
      </c>
      <c r="G1607">
        <v>4627</v>
      </c>
      <c r="H1607" s="116"/>
      <c r="I1607" s="116"/>
      <c r="L1607" s="170">
        <v>45933</v>
      </c>
      <c r="M1607" s="116">
        <v>7393</v>
      </c>
      <c r="N1607" s="116">
        <v>7415</v>
      </c>
      <c r="O1607" s="116">
        <v>7309.5</v>
      </c>
      <c r="P1607" s="116">
        <v>7390</v>
      </c>
      <c r="Q1607" s="116">
        <v>7393</v>
      </c>
      <c r="R1607">
        <v>140544</v>
      </c>
    </row>
    <row r="1608" spans="1:18" x14ac:dyDescent="0.25">
      <c r="A1608" s="170">
        <v>45936</v>
      </c>
      <c r="B1608" s="116">
        <v>7640</v>
      </c>
      <c r="C1608" s="116">
        <v>7612</v>
      </c>
      <c r="D1608" s="116">
        <v>7395.75</v>
      </c>
      <c r="E1608" s="116">
        <v>7395.75</v>
      </c>
      <c r="F1608" s="116">
        <v>7612</v>
      </c>
      <c r="G1608">
        <v>13147</v>
      </c>
      <c r="H1608" s="116"/>
      <c r="I1608" s="116"/>
      <c r="L1608" s="170">
        <v>45936</v>
      </c>
      <c r="M1608" s="116">
        <v>7615.5</v>
      </c>
      <c r="N1608" s="116">
        <v>7644</v>
      </c>
      <c r="O1608" s="116">
        <v>7400.5</v>
      </c>
      <c r="P1608" s="116">
        <v>7407.5</v>
      </c>
      <c r="Q1608" s="116">
        <v>7615.5</v>
      </c>
      <c r="R1608">
        <v>213779</v>
      </c>
    </row>
    <row r="1609" spans="1:18" x14ac:dyDescent="0.25">
      <c r="A1609" s="170">
        <v>45937</v>
      </c>
      <c r="B1609" s="116">
        <v>7653.4</v>
      </c>
      <c r="C1609" s="116">
        <v>7589.9</v>
      </c>
      <c r="D1609" s="116">
        <v>7552.5</v>
      </c>
      <c r="E1609" s="116">
        <v>7653.4</v>
      </c>
      <c r="F1609" s="116">
        <v>7589.9</v>
      </c>
      <c r="G1609">
        <v>5307</v>
      </c>
      <c r="H1609" s="116"/>
      <c r="I1609" s="116"/>
      <c r="L1609" s="170">
        <v>45937</v>
      </c>
      <c r="M1609" s="116">
        <v>7595.5</v>
      </c>
      <c r="N1609" s="116">
        <v>7638.5</v>
      </c>
      <c r="O1609" s="116">
        <v>7555</v>
      </c>
      <c r="P1609" s="116">
        <v>7625</v>
      </c>
      <c r="Q1609" s="116">
        <v>7595.5</v>
      </c>
      <c r="R1609">
        <v>110181</v>
      </c>
    </row>
    <row r="1610" spans="1:18" x14ac:dyDescent="0.25">
      <c r="A1610" s="170">
        <v>45938</v>
      </c>
      <c r="B1610" s="116">
        <v>7670</v>
      </c>
      <c r="C1610" s="116">
        <v>7586.5</v>
      </c>
      <c r="D1610" s="116">
        <v>7524.2</v>
      </c>
      <c r="E1610" s="116">
        <v>7600</v>
      </c>
      <c r="F1610" s="116">
        <v>7586.5</v>
      </c>
      <c r="G1610">
        <v>5446</v>
      </c>
      <c r="H1610" s="116"/>
      <c r="I1610" s="116"/>
      <c r="L1610" s="170">
        <v>45938</v>
      </c>
      <c r="M1610" s="116">
        <v>7588</v>
      </c>
      <c r="N1610" s="116">
        <v>7675</v>
      </c>
      <c r="O1610" s="116">
        <v>7523.5</v>
      </c>
      <c r="P1610" s="116">
        <v>7600</v>
      </c>
      <c r="Q1610" s="116">
        <v>7588</v>
      </c>
      <c r="R1610">
        <v>150765</v>
      </c>
    </row>
    <row r="1611" spans="1:18" x14ac:dyDescent="0.25">
      <c r="A1611" s="170">
        <v>45939</v>
      </c>
      <c r="B1611" s="116">
        <v>7642.4</v>
      </c>
      <c r="C1611" s="116">
        <v>7629</v>
      </c>
      <c r="D1611" s="116">
        <v>7546.45</v>
      </c>
      <c r="E1611" s="116">
        <v>7586</v>
      </c>
      <c r="F1611" s="116">
        <v>7629</v>
      </c>
      <c r="G1611">
        <v>3911</v>
      </c>
      <c r="H1611" s="116"/>
      <c r="I1611" s="116"/>
      <c r="L1611" s="170">
        <v>45939</v>
      </c>
      <c r="M1611" s="116">
        <v>7631</v>
      </c>
      <c r="N1611" s="116">
        <v>7641</v>
      </c>
      <c r="O1611" s="116">
        <v>7546.5</v>
      </c>
      <c r="P1611" s="116">
        <v>7588</v>
      </c>
      <c r="Q1611" s="116">
        <v>7631</v>
      </c>
      <c r="R1611">
        <v>96611</v>
      </c>
    </row>
    <row r="1612" spans="1:18" x14ac:dyDescent="0.25">
      <c r="A1612" s="170">
        <v>45940</v>
      </c>
      <c r="B1612" s="116">
        <v>7788</v>
      </c>
      <c r="C1612" s="116">
        <v>7726.9</v>
      </c>
      <c r="D1612" s="116">
        <v>7629.95</v>
      </c>
      <c r="E1612" s="116">
        <v>7629.95</v>
      </c>
      <c r="F1612" s="116">
        <v>7726.9</v>
      </c>
      <c r="G1612">
        <v>9437</v>
      </c>
      <c r="H1612" s="116"/>
      <c r="I1612" s="116"/>
      <c r="L1612" s="170">
        <v>45940</v>
      </c>
      <c r="M1612" s="116">
        <v>7730</v>
      </c>
      <c r="N1612" s="116">
        <v>7794.5</v>
      </c>
      <c r="O1612" s="116">
        <v>7645</v>
      </c>
      <c r="P1612" s="116">
        <v>7645</v>
      </c>
      <c r="Q1612" s="116">
        <v>7730</v>
      </c>
      <c r="R1612">
        <v>236521</v>
      </c>
    </row>
    <row r="1613" spans="1:18" x14ac:dyDescent="0.25">
      <c r="A1613" s="170">
        <v>45943</v>
      </c>
      <c r="B1613" s="116">
        <v>7746.45</v>
      </c>
      <c r="C1613" s="116">
        <v>7683.15</v>
      </c>
      <c r="D1613" s="116">
        <v>7613.95</v>
      </c>
      <c r="E1613" s="116">
        <v>7724.2</v>
      </c>
      <c r="F1613" s="116">
        <v>7683.15</v>
      </c>
      <c r="G1613">
        <v>4957</v>
      </c>
      <c r="H1613" s="116"/>
      <c r="I1613" s="116"/>
      <c r="L1613" s="170">
        <v>45943</v>
      </c>
      <c r="M1613" s="116">
        <v>7685.5</v>
      </c>
      <c r="N1613" s="116">
        <v>7748</v>
      </c>
      <c r="O1613" s="116">
        <v>7608</v>
      </c>
      <c r="P1613" s="116">
        <v>7700</v>
      </c>
      <c r="Q1613" s="116">
        <v>7685.5</v>
      </c>
      <c r="R1613">
        <v>129001</v>
      </c>
    </row>
    <row r="1614" spans="1:18" x14ac:dyDescent="0.25">
      <c r="A1614" s="170">
        <v>45944</v>
      </c>
      <c r="B1614" s="116">
        <v>7758.7</v>
      </c>
      <c r="C1614" s="116">
        <v>7614.4</v>
      </c>
      <c r="D1614" s="116">
        <v>7568.1</v>
      </c>
      <c r="E1614" s="116">
        <v>7758.7</v>
      </c>
      <c r="F1614" s="116">
        <v>7614.4</v>
      </c>
      <c r="G1614">
        <v>3342</v>
      </c>
      <c r="H1614" s="116"/>
      <c r="I1614" s="116"/>
      <c r="L1614" s="170">
        <v>45944</v>
      </c>
      <c r="M1614" s="116">
        <v>7608</v>
      </c>
      <c r="N1614" s="116">
        <v>7724.5</v>
      </c>
      <c r="O1614" s="116">
        <v>7570.5</v>
      </c>
      <c r="P1614" s="116">
        <v>7700</v>
      </c>
      <c r="Q1614" s="116">
        <v>7608</v>
      </c>
      <c r="R1614">
        <v>163491</v>
      </c>
    </row>
    <row r="1615" spans="1:18" x14ac:dyDescent="0.25">
      <c r="A1615" s="170">
        <v>45945</v>
      </c>
      <c r="B1615" s="116">
        <v>7725</v>
      </c>
      <c r="C1615" s="116">
        <v>7657.8</v>
      </c>
      <c r="D1615" s="116">
        <v>7612.75</v>
      </c>
      <c r="E1615" s="116">
        <v>7614.4</v>
      </c>
      <c r="F1615" s="116">
        <v>7657.8</v>
      </c>
      <c r="G1615">
        <v>6530</v>
      </c>
      <c r="H1615" s="116"/>
      <c r="I1615" s="116"/>
      <c r="L1615" s="170">
        <v>45945</v>
      </c>
      <c r="M1615" s="116">
        <v>7658.5</v>
      </c>
      <c r="N1615" s="116">
        <v>7723.5</v>
      </c>
      <c r="O1615" s="116">
        <v>7593.5</v>
      </c>
      <c r="P1615" s="116">
        <v>7608</v>
      </c>
      <c r="Q1615" s="116">
        <v>7658.5</v>
      </c>
      <c r="R1615">
        <v>115511</v>
      </c>
    </row>
    <row r="1616" spans="1:18" x14ac:dyDescent="0.25">
      <c r="A1616" s="170">
        <v>45946</v>
      </c>
      <c r="B1616" s="116">
        <v>7794.7</v>
      </c>
      <c r="C1616" s="116">
        <v>7579.3</v>
      </c>
      <c r="D1616" s="116">
        <v>7473.05</v>
      </c>
      <c r="E1616" s="116">
        <v>7794.7</v>
      </c>
      <c r="F1616" s="116">
        <v>7579.3</v>
      </c>
      <c r="G1616">
        <v>6694</v>
      </c>
      <c r="H1616" s="116"/>
      <c r="I1616" s="116"/>
      <c r="L1616" s="170">
        <v>45946</v>
      </c>
      <c r="M1616" s="116">
        <v>7578</v>
      </c>
      <c r="N1616" s="116">
        <v>7705</v>
      </c>
      <c r="O1616" s="116">
        <v>7470</v>
      </c>
      <c r="P1616" s="116">
        <v>7700</v>
      </c>
      <c r="Q1616" s="116">
        <v>7578</v>
      </c>
      <c r="R1616">
        <v>186760</v>
      </c>
    </row>
    <row r="1617" spans="1:18" x14ac:dyDescent="0.25">
      <c r="A1617" s="170">
        <v>45947</v>
      </c>
      <c r="B1617" s="116">
        <v>7648.4</v>
      </c>
      <c r="C1617" s="116">
        <v>7432.65</v>
      </c>
      <c r="D1617" s="116">
        <v>7250</v>
      </c>
      <c r="E1617" s="116">
        <v>7648.4</v>
      </c>
      <c r="F1617" s="116">
        <v>7432.65</v>
      </c>
      <c r="G1617">
        <v>28577</v>
      </c>
      <c r="H1617" s="116"/>
      <c r="I1617" s="116"/>
      <c r="L1617" s="170">
        <v>45947</v>
      </c>
      <c r="M1617" s="116">
        <v>7439.5</v>
      </c>
      <c r="N1617" s="116">
        <v>7619.5</v>
      </c>
      <c r="O1617" s="116">
        <v>7239.5</v>
      </c>
      <c r="P1617" s="116">
        <v>7593</v>
      </c>
      <c r="Q1617" s="116">
        <v>7439.5</v>
      </c>
      <c r="R1617">
        <v>1113487</v>
      </c>
    </row>
    <row r="1618" spans="1:18" x14ac:dyDescent="0.25">
      <c r="A1618" s="170">
        <v>45950</v>
      </c>
      <c r="B1618" s="116">
        <v>7703.5</v>
      </c>
      <c r="C1618" s="116">
        <v>7672</v>
      </c>
      <c r="D1618" s="116">
        <v>7475.25</v>
      </c>
      <c r="E1618" s="116">
        <v>7475.25</v>
      </c>
      <c r="F1618" s="116">
        <v>7672</v>
      </c>
      <c r="G1618">
        <v>18487</v>
      </c>
      <c r="H1618" s="116"/>
      <c r="I1618" s="116"/>
      <c r="L1618" s="170">
        <v>45950</v>
      </c>
      <c r="M1618" s="116">
        <v>7673.5</v>
      </c>
      <c r="N1618" s="116">
        <v>7700</v>
      </c>
      <c r="O1618" s="116">
        <v>7511</v>
      </c>
      <c r="P1618" s="116">
        <v>7530</v>
      </c>
      <c r="Q1618" s="116">
        <v>7673.5</v>
      </c>
      <c r="R1618">
        <v>526263</v>
      </c>
    </row>
    <row r="1619" spans="1:18" x14ac:dyDescent="0.25">
      <c r="A1619" s="170">
        <v>45951</v>
      </c>
      <c r="B1619" s="116">
        <v>7691.95</v>
      </c>
      <c r="C1619" s="116">
        <v>7609.3</v>
      </c>
      <c r="D1619" s="116">
        <v>7578.65</v>
      </c>
      <c r="E1619" s="116">
        <v>7673.15</v>
      </c>
      <c r="F1619" s="116">
        <v>7609.3</v>
      </c>
      <c r="G1619">
        <v>2238</v>
      </c>
      <c r="H1619" s="116"/>
      <c r="I1619" s="116"/>
      <c r="L1619" s="170">
        <v>45951</v>
      </c>
      <c r="M1619" s="116">
        <v>7605</v>
      </c>
      <c r="N1619" s="116">
        <v>7697.5</v>
      </c>
      <c r="O1619" s="116">
        <v>7572.5</v>
      </c>
      <c r="P1619" s="116">
        <v>7694</v>
      </c>
      <c r="Q1619" s="116">
        <v>7605</v>
      </c>
      <c r="R1619">
        <v>65121</v>
      </c>
    </row>
    <row r="1620" spans="1:18" x14ac:dyDescent="0.25">
      <c r="A1620" s="170">
        <v>45953</v>
      </c>
      <c r="B1620" s="116">
        <v>7689.65</v>
      </c>
      <c r="C1620" s="116">
        <v>7514.75</v>
      </c>
      <c r="D1620" s="116">
        <v>7500</v>
      </c>
      <c r="E1620" s="116">
        <v>7610.6</v>
      </c>
      <c r="F1620" s="116">
        <v>7514.75</v>
      </c>
      <c r="G1620">
        <v>9644</v>
      </c>
      <c r="H1620" s="116"/>
      <c r="I1620" s="116"/>
      <c r="L1620" s="170">
        <v>45953</v>
      </c>
      <c r="M1620" s="116">
        <v>7518.5</v>
      </c>
      <c r="N1620" s="116">
        <v>7689.5</v>
      </c>
      <c r="O1620" s="116">
        <v>7500</v>
      </c>
      <c r="P1620" s="116">
        <v>7660</v>
      </c>
      <c r="Q1620" s="116">
        <v>7518.5</v>
      </c>
      <c r="R1620">
        <v>250081</v>
      </c>
    </row>
    <row r="1621" spans="1:18" x14ac:dyDescent="0.25">
      <c r="A1621" s="170">
        <v>45954</v>
      </c>
      <c r="B1621" s="116">
        <v>7603.7</v>
      </c>
      <c r="C1621" s="116">
        <v>7519.85</v>
      </c>
      <c r="D1621" s="116">
        <v>7470.05</v>
      </c>
      <c r="E1621" s="116">
        <v>7532.25</v>
      </c>
      <c r="F1621" s="116">
        <v>7519.85</v>
      </c>
      <c r="G1621">
        <v>5433</v>
      </c>
      <c r="H1621" s="116"/>
      <c r="I1621" s="116"/>
      <c r="L1621" s="170">
        <v>45954</v>
      </c>
      <c r="M1621" s="116">
        <v>7513</v>
      </c>
      <c r="N1621" s="116">
        <v>7605</v>
      </c>
      <c r="O1621" s="116">
        <v>7466.5</v>
      </c>
      <c r="P1621" s="116">
        <v>7550</v>
      </c>
      <c r="Q1621" s="116">
        <v>7513</v>
      </c>
      <c r="R1621">
        <v>202587</v>
      </c>
    </row>
    <row r="1622" spans="1:18" x14ac:dyDescent="0.25">
      <c r="A1622" s="170">
        <v>45957</v>
      </c>
      <c r="B1622" s="116">
        <v>7699</v>
      </c>
      <c r="C1622" s="116">
        <v>7667.95</v>
      </c>
      <c r="D1622" s="116">
        <v>7500</v>
      </c>
      <c r="E1622" s="116">
        <v>7500.65</v>
      </c>
      <c r="F1622" s="116">
        <v>7667.95</v>
      </c>
      <c r="G1622">
        <v>14808</v>
      </c>
      <c r="H1622" s="116"/>
      <c r="I1622" s="116"/>
      <c r="L1622" s="170">
        <v>45957</v>
      </c>
      <c r="M1622" s="116">
        <v>7666.5</v>
      </c>
      <c r="N1622" s="116">
        <v>7702</v>
      </c>
      <c r="O1622" s="116">
        <v>7483.5</v>
      </c>
      <c r="P1622" s="116">
        <v>7514.5</v>
      </c>
      <c r="Q1622" s="116">
        <v>7666.5</v>
      </c>
      <c r="R1622">
        <v>276608</v>
      </c>
    </row>
    <row r="1623" spans="1:18" x14ac:dyDescent="0.25">
      <c r="A1623" s="170">
        <v>45958</v>
      </c>
      <c r="B1623" s="116">
        <v>7720</v>
      </c>
      <c r="C1623" s="116">
        <v>7503.7</v>
      </c>
      <c r="D1623" s="116">
        <v>7481</v>
      </c>
      <c r="E1623" s="116">
        <v>7665.5</v>
      </c>
      <c r="F1623" s="116">
        <v>7503.7</v>
      </c>
      <c r="G1623">
        <v>14598</v>
      </c>
      <c r="H1623" s="116"/>
      <c r="I1623" s="116"/>
      <c r="L1623" s="170">
        <v>45958</v>
      </c>
      <c r="M1623" s="116">
        <v>7510</v>
      </c>
      <c r="N1623" s="116">
        <v>7719</v>
      </c>
      <c r="O1623" s="116">
        <v>7478</v>
      </c>
      <c r="P1623" s="116">
        <v>7667</v>
      </c>
      <c r="Q1623" s="116">
        <v>7510</v>
      </c>
      <c r="R1623">
        <v>761477</v>
      </c>
    </row>
    <row r="1624" spans="1:18" x14ac:dyDescent="0.25">
      <c r="A1624" s="170">
        <v>45959</v>
      </c>
      <c r="B1624" s="116">
        <v>7756</v>
      </c>
      <c r="C1624" s="116">
        <v>7733.1</v>
      </c>
      <c r="D1624" s="116">
        <v>7510.45</v>
      </c>
      <c r="E1624" s="116">
        <v>7510.45</v>
      </c>
      <c r="F1624" s="116">
        <v>7733.1</v>
      </c>
      <c r="G1624">
        <v>5364</v>
      </c>
      <c r="H1624" s="116"/>
      <c r="I1624" s="116"/>
      <c r="L1624" s="170">
        <v>45959</v>
      </c>
      <c r="M1624" s="116">
        <v>7735.5</v>
      </c>
      <c r="N1624" s="116">
        <v>7758</v>
      </c>
      <c r="O1624" s="116">
        <v>7514.5</v>
      </c>
      <c r="P1624" s="116">
        <v>7520</v>
      </c>
      <c r="Q1624" s="116">
        <v>7735.5</v>
      </c>
      <c r="R1624">
        <v>211944</v>
      </c>
    </row>
    <row r="1625" spans="1:18" x14ac:dyDescent="0.25">
      <c r="A1625" s="170">
        <v>45960</v>
      </c>
      <c r="B1625" s="116">
        <v>7867.85</v>
      </c>
      <c r="C1625" s="116">
        <v>7847.7</v>
      </c>
      <c r="D1625" s="116">
        <v>7703.6</v>
      </c>
      <c r="E1625" s="116">
        <v>7725.1</v>
      </c>
      <c r="F1625" s="116">
        <v>7847.7</v>
      </c>
      <c r="G1625">
        <v>9646</v>
      </c>
      <c r="H1625" s="116"/>
      <c r="I1625" s="116"/>
      <c r="L1625" s="170">
        <v>45960</v>
      </c>
      <c r="M1625" s="116">
        <v>7845</v>
      </c>
      <c r="N1625" s="116">
        <v>7868.5</v>
      </c>
      <c r="O1625" s="116">
        <v>7698</v>
      </c>
      <c r="P1625" s="116">
        <v>7735</v>
      </c>
      <c r="Q1625" s="116">
        <v>7845</v>
      </c>
      <c r="R1625">
        <v>345825</v>
      </c>
    </row>
    <row r="1626" spans="1:18" x14ac:dyDescent="0.25">
      <c r="A1626" s="170">
        <v>45961</v>
      </c>
      <c r="B1626" s="116">
        <v>7899.5</v>
      </c>
      <c r="C1626" s="116">
        <v>7704.95</v>
      </c>
      <c r="D1626" s="116">
        <v>7688.75</v>
      </c>
      <c r="E1626" s="116">
        <v>7850.65</v>
      </c>
      <c r="F1626" s="116">
        <v>7704.95</v>
      </c>
      <c r="G1626">
        <v>10268</v>
      </c>
      <c r="H1626" s="116"/>
      <c r="I1626" s="116"/>
      <c r="L1626" s="170">
        <v>45961</v>
      </c>
      <c r="M1626" s="116">
        <v>7704</v>
      </c>
      <c r="N1626" s="116">
        <v>7903</v>
      </c>
      <c r="O1626" s="116">
        <v>7684.5</v>
      </c>
      <c r="P1626" s="116">
        <v>7865</v>
      </c>
      <c r="Q1626" s="116">
        <v>7704</v>
      </c>
      <c r="R1626">
        <v>324713</v>
      </c>
    </row>
    <row r="1627" spans="1:18" x14ac:dyDescent="0.25">
      <c r="A1627" s="170">
        <v>45964</v>
      </c>
      <c r="B1627" s="116">
        <v>7770</v>
      </c>
      <c r="C1627" s="116">
        <v>7624.8</v>
      </c>
      <c r="D1627" s="116">
        <v>7585.7</v>
      </c>
      <c r="E1627" s="116">
        <v>7724.75</v>
      </c>
      <c r="F1627" s="116">
        <v>7624.8</v>
      </c>
      <c r="G1627">
        <v>10810</v>
      </c>
      <c r="H1627" s="116"/>
      <c r="I1627" s="116"/>
      <c r="L1627" s="170">
        <v>45964</v>
      </c>
      <c r="M1627" s="116">
        <v>7626.5</v>
      </c>
      <c r="N1627" s="116">
        <v>7775</v>
      </c>
      <c r="O1627" s="116">
        <v>7584.5</v>
      </c>
      <c r="P1627" s="116">
        <v>7704</v>
      </c>
      <c r="Q1627" s="116">
        <v>7626.5</v>
      </c>
      <c r="R1627">
        <v>240686</v>
      </c>
    </row>
    <row r="1628" spans="1:18" x14ac:dyDescent="0.25">
      <c r="A1628" s="170">
        <v>45965</v>
      </c>
      <c r="B1628" s="116">
        <v>7666.05</v>
      </c>
      <c r="C1628" s="116">
        <v>7563.75</v>
      </c>
      <c r="D1628" s="116">
        <v>7549.5</v>
      </c>
      <c r="E1628" s="116">
        <v>7616.5</v>
      </c>
      <c r="F1628" s="116">
        <v>7563.75</v>
      </c>
      <c r="G1628">
        <v>5535</v>
      </c>
      <c r="H1628" s="116"/>
      <c r="I1628" s="116"/>
      <c r="L1628" s="170">
        <v>45965</v>
      </c>
      <c r="M1628" s="116">
        <v>7560</v>
      </c>
      <c r="N1628" s="116">
        <v>7667.5</v>
      </c>
      <c r="O1628" s="116">
        <v>7548.5</v>
      </c>
      <c r="P1628" s="116">
        <v>7617</v>
      </c>
      <c r="Q1628" s="116">
        <v>7560</v>
      </c>
      <c r="R1628">
        <v>162179</v>
      </c>
    </row>
    <row r="1629" spans="1:18" x14ac:dyDescent="0.25">
      <c r="A1629" s="170">
        <v>45967</v>
      </c>
      <c r="B1629" s="116">
        <v>7670</v>
      </c>
      <c r="C1629" s="116">
        <v>7589.3</v>
      </c>
      <c r="D1629" s="116">
        <v>7575</v>
      </c>
      <c r="E1629" s="116">
        <v>7575</v>
      </c>
      <c r="F1629" s="116">
        <v>7589.3</v>
      </c>
      <c r="G1629">
        <v>8012</v>
      </c>
      <c r="H1629" s="116"/>
      <c r="I1629" s="116"/>
      <c r="L1629" s="170">
        <v>45967</v>
      </c>
      <c r="M1629" s="116">
        <v>7591.5</v>
      </c>
      <c r="N1629" s="116">
        <v>7670</v>
      </c>
      <c r="O1629" s="116">
        <v>7572.5</v>
      </c>
      <c r="P1629" s="116">
        <v>7585</v>
      </c>
      <c r="Q1629" s="116">
        <v>7591.5</v>
      </c>
      <c r="R1629">
        <v>201409</v>
      </c>
    </row>
    <row r="1630" spans="1:18" x14ac:dyDescent="0.25">
      <c r="A1630" s="170">
        <v>45968</v>
      </c>
      <c r="B1630" s="116">
        <v>7588.9</v>
      </c>
      <c r="C1630" s="116">
        <v>7543.05</v>
      </c>
      <c r="D1630" s="116">
        <v>7453.65</v>
      </c>
      <c r="E1630" s="116">
        <v>7579.5</v>
      </c>
      <c r="F1630" s="116">
        <v>7543.05</v>
      </c>
      <c r="G1630">
        <v>5292</v>
      </c>
      <c r="H1630" s="116"/>
      <c r="I1630" s="116"/>
      <c r="L1630" s="170">
        <v>45968</v>
      </c>
      <c r="M1630" s="116">
        <v>7542</v>
      </c>
      <c r="N1630" s="116">
        <v>7589.5</v>
      </c>
      <c r="O1630" s="116">
        <v>7451.5</v>
      </c>
      <c r="P1630" s="116">
        <v>7585</v>
      </c>
      <c r="Q1630" s="116">
        <v>7542</v>
      </c>
      <c r="R1630">
        <v>127993</v>
      </c>
    </row>
    <row r="1631" spans="1:18" x14ac:dyDescent="0.25">
      <c r="A1631" s="170">
        <v>45971</v>
      </c>
      <c r="B1631" s="116">
        <v>7663.9</v>
      </c>
      <c r="C1631" s="116">
        <v>7606.05</v>
      </c>
      <c r="D1631" s="116">
        <v>7500.65</v>
      </c>
      <c r="E1631" s="116">
        <v>7559.95</v>
      </c>
      <c r="F1631" s="116">
        <v>7606.05</v>
      </c>
      <c r="G1631">
        <v>7455</v>
      </c>
      <c r="H1631" s="116"/>
      <c r="I1631" s="116"/>
      <c r="L1631" s="170">
        <v>45971</v>
      </c>
      <c r="M1631" s="116">
        <v>7608</v>
      </c>
      <c r="N1631" s="116">
        <v>7662.5</v>
      </c>
      <c r="O1631" s="116">
        <v>7500.5</v>
      </c>
      <c r="P1631" s="116">
        <v>7560</v>
      </c>
      <c r="Q1631" s="116">
        <v>7608</v>
      </c>
      <c r="R1631">
        <v>112624</v>
      </c>
    </row>
    <row r="1632" spans="1:18" x14ac:dyDescent="0.25">
      <c r="A1632" s="170">
        <v>45972</v>
      </c>
      <c r="B1632" s="116">
        <v>7692.55</v>
      </c>
      <c r="C1632" s="116">
        <v>7661.65</v>
      </c>
      <c r="D1632" s="116">
        <v>7585.3</v>
      </c>
      <c r="E1632" s="116">
        <v>7608.15</v>
      </c>
      <c r="F1632" s="116">
        <v>7661.65</v>
      </c>
      <c r="G1632">
        <v>2241</v>
      </c>
      <c r="H1632" s="116"/>
      <c r="I1632" s="116"/>
      <c r="L1632" s="170">
        <v>45972</v>
      </c>
      <c r="M1632" s="116">
        <v>7659.5</v>
      </c>
      <c r="N1632" s="116">
        <v>7690</v>
      </c>
      <c r="O1632" s="116">
        <v>7549</v>
      </c>
      <c r="P1632" s="116">
        <v>7620</v>
      </c>
      <c r="Q1632" s="116">
        <v>7659.5</v>
      </c>
      <c r="R1632">
        <v>105930</v>
      </c>
    </row>
    <row r="1633" spans="1:18" x14ac:dyDescent="0.25">
      <c r="A1633" s="170">
        <v>45973</v>
      </c>
      <c r="B1633" s="116">
        <v>7741.8</v>
      </c>
      <c r="C1633" s="116">
        <v>7671.2</v>
      </c>
      <c r="D1633" s="116">
        <v>7640</v>
      </c>
      <c r="E1633" s="116">
        <v>7695.95</v>
      </c>
      <c r="F1633" s="116">
        <v>7671.2</v>
      </c>
      <c r="G1633">
        <v>6564</v>
      </c>
      <c r="H1633" s="116"/>
      <c r="I1633" s="116"/>
      <c r="L1633" s="170">
        <v>45973</v>
      </c>
      <c r="M1633" s="116">
        <v>7680</v>
      </c>
      <c r="N1633" s="116">
        <v>7745.5</v>
      </c>
      <c r="O1633" s="116">
        <v>7634.5</v>
      </c>
      <c r="P1633" s="116">
        <v>7688</v>
      </c>
      <c r="Q1633" s="116">
        <v>7680</v>
      </c>
      <c r="R1633">
        <v>129351</v>
      </c>
    </row>
    <row r="1634" spans="1:18" x14ac:dyDescent="0.25">
      <c r="A1634" s="170">
        <v>45974</v>
      </c>
      <c r="B1634" s="116">
        <v>7815.25</v>
      </c>
      <c r="C1634" s="116">
        <v>7723.15</v>
      </c>
      <c r="D1634" s="116">
        <v>7642.35</v>
      </c>
      <c r="E1634" s="116">
        <v>7709.9</v>
      </c>
      <c r="F1634" s="116">
        <v>7723.15</v>
      </c>
      <c r="G1634">
        <v>12315</v>
      </c>
      <c r="H1634" s="116"/>
      <c r="I1634" s="116"/>
      <c r="L1634" s="170">
        <v>45974</v>
      </c>
      <c r="M1634" s="116">
        <v>7721</v>
      </c>
      <c r="N1634" s="116">
        <v>7816</v>
      </c>
      <c r="O1634" s="116">
        <v>7637.5</v>
      </c>
      <c r="P1634" s="116">
        <v>7662.5</v>
      </c>
      <c r="Q1634" s="116">
        <v>7721</v>
      </c>
      <c r="R1634">
        <v>182942</v>
      </c>
    </row>
    <row r="1635" spans="1:18" x14ac:dyDescent="0.25">
      <c r="A1635" s="170">
        <v>45975</v>
      </c>
      <c r="B1635" s="116">
        <v>7746.05</v>
      </c>
      <c r="C1635" s="116">
        <v>7628.15</v>
      </c>
      <c r="D1635" s="116">
        <v>7604.4</v>
      </c>
      <c r="E1635" s="116">
        <v>7725</v>
      </c>
      <c r="F1635" s="116">
        <v>7628.15</v>
      </c>
      <c r="G1635">
        <v>6318</v>
      </c>
      <c r="H1635" s="116"/>
      <c r="I1635" s="116"/>
      <c r="L1635" s="170">
        <v>45975</v>
      </c>
      <c r="M1635" s="116">
        <v>7632</v>
      </c>
      <c r="N1635" s="116">
        <v>7747.5</v>
      </c>
      <c r="O1635" s="116">
        <v>7602.5</v>
      </c>
      <c r="P1635" s="116">
        <v>7740</v>
      </c>
      <c r="Q1635" s="116">
        <v>7632</v>
      </c>
      <c r="R1635">
        <v>127917</v>
      </c>
    </row>
    <row r="1636" spans="1:18" x14ac:dyDescent="0.25">
      <c r="A1636" s="170">
        <v>45978</v>
      </c>
      <c r="B1636" s="116">
        <v>7714.15</v>
      </c>
      <c r="C1636" s="116">
        <v>7682.65</v>
      </c>
      <c r="D1636" s="116">
        <v>7578.3</v>
      </c>
      <c r="E1636" s="116">
        <v>7628.15</v>
      </c>
      <c r="F1636" s="116">
        <v>7682.65</v>
      </c>
      <c r="G1636">
        <v>5318</v>
      </c>
      <c r="H1636" s="116"/>
      <c r="I1636" s="116"/>
      <c r="L1636" s="170">
        <v>45978</v>
      </c>
      <c r="M1636" s="116">
        <v>7683</v>
      </c>
      <c r="N1636" s="116">
        <v>7708.5</v>
      </c>
      <c r="O1636" s="116">
        <v>7580.5</v>
      </c>
      <c r="P1636" s="116">
        <v>7630</v>
      </c>
      <c r="Q1636" s="116">
        <v>7683</v>
      </c>
      <c r="R1636">
        <v>146747</v>
      </c>
    </row>
    <row r="1637" spans="1:18" x14ac:dyDescent="0.25">
      <c r="A1637" s="170">
        <v>45979</v>
      </c>
      <c r="B1637" s="116">
        <v>7723.45</v>
      </c>
      <c r="C1637" s="116">
        <v>7662.95</v>
      </c>
      <c r="D1637" s="116">
        <v>7653</v>
      </c>
      <c r="E1637" s="116">
        <v>7719.55</v>
      </c>
      <c r="F1637" s="116">
        <v>7662.95</v>
      </c>
      <c r="G1637">
        <v>2547</v>
      </c>
      <c r="H1637" s="116"/>
      <c r="I1637" s="116"/>
      <c r="L1637" s="170">
        <v>45979</v>
      </c>
      <c r="M1637" s="116">
        <v>7661</v>
      </c>
      <c r="N1637" s="116">
        <v>7730</v>
      </c>
      <c r="O1637" s="116">
        <v>7650</v>
      </c>
      <c r="P1637" s="116">
        <v>7679.5</v>
      </c>
      <c r="Q1637" s="116">
        <v>7661</v>
      </c>
      <c r="R1637">
        <v>255512</v>
      </c>
    </row>
    <row r="1638" spans="1:18" x14ac:dyDescent="0.25">
      <c r="A1638" s="170">
        <v>45980</v>
      </c>
      <c r="B1638" s="116">
        <v>7701.4</v>
      </c>
      <c r="C1638" s="116">
        <v>7685</v>
      </c>
      <c r="D1638" s="116">
        <v>7638.4</v>
      </c>
      <c r="E1638" s="116">
        <v>7640.95</v>
      </c>
      <c r="F1638" s="116">
        <v>7685</v>
      </c>
      <c r="G1638">
        <v>4229</v>
      </c>
      <c r="H1638" s="116"/>
      <c r="I1638" s="116"/>
      <c r="L1638" s="170">
        <v>45980</v>
      </c>
      <c r="M1638" s="116">
        <v>7688</v>
      </c>
      <c r="N1638" s="116">
        <v>7704</v>
      </c>
      <c r="O1638" s="116">
        <v>7641</v>
      </c>
      <c r="P1638" s="116">
        <v>7663</v>
      </c>
      <c r="Q1638" s="116">
        <v>7688</v>
      </c>
      <c r="R1638">
        <v>138316</v>
      </c>
    </row>
    <row r="1639" spans="1:18" x14ac:dyDescent="0.25">
      <c r="A1639" s="170">
        <v>45981</v>
      </c>
      <c r="B1639" s="116">
        <v>7740</v>
      </c>
      <c r="C1639" s="116">
        <v>7642.35</v>
      </c>
      <c r="D1639" s="116">
        <v>7632.95</v>
      </c>
      <c r="E1639" s="116">
        <v>7688.45</v>
      </c>
      <c r="F1639" s="116">
        <v>7642.35</v>
      </c>
      <c r="G1639">
        <v>5422</v>
      </c>
      <c r="H1639" s="116"/>
      <c r="I1639" s="116"/>
      <c r="L1639" s="170">
        <v>45981</v>
      </c>
      <c r="M1639" s="116">
        <v>7648.5</v>
      </c>
      <c r="N1639" s="116">
        <v>7740</v>
      </c>
      <c r="O1639" s="116">
        <v>7630.5</v>
      </c>
      <c r="P1639" s="116">
        <v>7700</v>
      </c>
      <c r="Q1639" s="116">
        <v>7648.5</v>
      </c>
      <c r="R1639">
        <v>220950</v>
      </c>
    </row>
    <row r="1640" spans="1:18" x14ac:dyDescent="0.25">
      <c r="A1640" s="170">
        <v>45982</v>
      </c>
      <c r="B1640" s="116">
        <v>7640.95</v>
      </c>
      <c r="C1640" s="116">
        <v>7520.95</v>
      </c>
      <c r="D1640" s="116">
        <v>7506</v>
      </c>
      <c r="E1640" s="116">
        <v>7614.6</v>
      </c>
      <c r="F1640" s="116">
        <v>7520.95</v>
      </c>
      <c r="G1640">
        <v>3680</v>
      </c>
      <c r="H1640" s="116"/>
      <c r="I1640" s="116"/>
      <c r="L1640" s="170">
        <v>45982</v>
      </c>
      <c r="M1640" s="116">
        <v>7521</v>
      </c>
      <c r="N1640" s="116">
        <v>7648</v>
      </c>
      <c r="O1640" s="116">
        <v>7506</v>
      </c>
      <c r="P1640" s="116">
        <v>7648</v>
      </c>
      <c r="Q1640" s="116">
        <v>7521</v>
      </c>
      <c r="R1640">
        <v>169885</v>
      </c>
    </row>
    <row r="1641" spans="1:18" x14ac:dyDescent="0.25">
      <c r="A1641" s="170">
        <v>45985</v>
      </c>
      <c r="B1641" s="116">
        <v>7599.45</v>
      </c>
      <c r="C1641" s="116">
        <v>7425.05</v>
      </c>
      <c r="D1641" s="116">
        <v>7391.3</v>
      </c>
      <c r="E1641" s="116">
        <v>7599.45</v>
      </c>
      <c r="F1641" s="116">
        <v>7425.05</v>
      </c>
      <c r="G1641">
        <v>3721</v>
      </c>
      <c r="H1641" s="116"/>
      <c r="I1641" s="116"/>
      <c r="L1641" s="170">
        <v>45985</v>
      </c>
      <c r="M1641" s="116">
        <v>7427</v>
      </c>
      <c r="N1641" s="116">
        <v>7550</v>
      </c>
      <c r="O1641" s="116">
        <v>7390.5</v>
      </c>
      <c r="P1641" s="116">
        <v>7550</v>
      </c>
      <c r="Q1641" s="116">
        <v>7427</v>
      </c>
      <c r="R1641">
        <v>305698</v>
      </c>
    </row>
    <row r="1642" spans="1:18" x14ac:dyDescent="0.25">
      <c r="A1642" s="170">
        <v>45986</v>
      </c>
      <c r="B1642" s="116">
        <v>7519.95</v>
      </c>
      <c r="C1642" s="116">
        <v>7438.65</v>
      </c>
      <c r="D1642" s="116">
        <v>7337.35</v>
      </c>
      <c r="E1642" s="116">
        <v>7337.35</v>
      </c>
      <c r="F1642" s="116">
        <v>7438.65</v>
      </c>
      <c r="G1642">
        <v>2938</v>
      </c>
      <c r="H1642" s="116"/>
      <c r="I1642" s="116"/>
      <c r="L1642" s="170">
        <v>45986</v>
      </c>
      <c r="M1642" s="116">
        <v>7439</v>
      </c>
      <c r="N1642" s="116">
        <v>7520</v>
      </c>
      <c r="O1642" s="116">
        <v>7384</v>
      </c>
      <c r="P1642" s="116">
        <v>7420</v>
      </c>
      <c r="Q1642" s="116">
        <v>7439</v>
      </c>
      <c r="R1642">
        <v>130117</v>
      </c>
    </row>
    <row r="1643" spans="1:18" x14ac:dyDescent="0.25">
      <c r="A1643" s="170">
        <v>45987</v>
      </c>
      <c r="B1643" s="116">
        <v>7570.7</v>
      </c>
      <c r="C1643" s="116">
        <v>7537.1</v>
      </c>
      <c r="D1643" s="116">
        <v>7427</v>
      </c>
      <c r="E1643" s="116">
        <v>7469.75</v>
      </c>
      <c r="F1643" s="116">
        <v>7537.1</v>
      </c>
      <c r="G1643">
        <v>3189</v>
      </c>
      <c r="H1643" s="116"/>
      <c r="I1643" s="116"/>
      <c r="L1643" s="170">
        <v>45987</v>
      </c>
      <c r="M1643" s="116">
        <v>7539</v>
      </c>
      <c r="N1643" s="116">
        <v>7568.5</v>
      </c>
      <c r="O1643" s="116">
        <v>7416</v>
      </c>
      <c r="P1643" s="116">
        <v>7429.5</v>
      </c>
      <c r="Q1643" s="116">
        <v>7539</v>
      </c>
      <c r="R1643">
        <v>132131</v>
      </c>
    </row>
    <row r="1644" spans="1:18" x14ac:dyDescent="0.25">
      <c r="A1644" s="170">
        <v>45988</v>
      </c>
      <c r="B1644" s="116">
        <v>7574.95</v>
      </c>
      <c r="C1644" s="116">
        <v>7480.4</v>
      </c>
      <c r="D1644" s="116">
        <v>7429.1</v>
      </c>
      <c r="E1644" s="116">
        <v>7574.95</v>
      </c>
      <c r="F1644" s="116">
        <v>7480.4</v>
      </c>
      <c r="G1644">
        <v>5208</v>
      </c>
      <c r="H1644" s="116"/>
      <c r="I1644" s="116"/>
      <c r="L1644" s="170">
        <v>45988</v>
      </c>
      <c r="M1644" s="116">
        <v>7479</v>
      </c>
      <c r="N1644" s="116">
        <v>7560</v>
      </c>
      <c r="O1644" s="116">
        <v>7425</v>
      </c>
      <c r="P1644" s="116">
        <v>7560</v>
      </c>
      <c r="Q1644" s="116">
        <v>7479</v>
      </c>
      <c r="R1644">
        <v>170964</v>
      </c>
    </row>
    <row r="1645" spans="1:18" x14ac:dyDescent="0.25">
      <c r="A1645" s="170">
        <v>45989</v>
      </c>
      <c r="B1645" s="116">
        <v>7518.4</v>
      </c>
      <c r="C1645" s="116">
        <v>7466.55</v>
      </c>
      <c r="D1645" s="116">
        <v>7451.8</v>
      </c>
      <c r="E1645" s="116">
        <v>7482</v>
      </c>
      <c r="F1645" s="116">
        <v>7466.55</v>
      </c>
      <c r="G1645">
        <v>6069</v>
      </c>
      <c r="H1645" s="116"/>
      <c r="I1645" s="116"/>
      <c r="L1645" s="170">
        <v>45989</v>
      </c>
      <c r="M1645" s="116">
        <v>7470</v>
      </c>
      <c r="N1645" s="116">
        <v>7520</v>
      </c>
      <c r="O1645" s="116">
        <v>7451.5</v>
      </c>
      <c r="P1645" s="116">
        <v>7489</v>
      </c>
      <c r="Q1645" s="116">
        <v>7470</v>
      </c>
      <c r="R1645">
        <v>223708</v>
      </c>
    </row>
    <row r="1646" spans="1:18" x14ac:dyDescent="0.25">
      <c r="A1646" s="170">
        <v>45992</v>
      </c>
      <c r="B1646" s="116">
        <v>7625.95</v>
      </c>
      <c r="C1646" s="116">
        <v>7401.6</v>
      </c>
      <c r="D1646" s="116">
        <v>7387.25</v>
      </c>
      <c r="E1646" s="116">
        <v>7625.95</v>
      </c>
      <c r="F1646" s="116">
        <v>7401.6</v>
      </c>
      <c r="G1646">
        <v>4260</v>
      </c>
      <c r="H1646" s="116"/>
      <c r="I1646" s="116"/>
      <c r="L1646" s="170">
        <v>45992</v>
      </c>
      <c r="M1646" s="116">
        <v>7401</v>
      </c>
      <c r="N1646" s="116">
        <v>7530</v>
      </c>
      <c r="O1646" s="116">
        <v>7382.5</v>
      </c>
      <c r="P1646" s="116">
        <v>7478</v>
      </c>
      <c r="Q1646" s="116">
        <v>7401</v>
      </c>
      <c r="R1646">
        <v>199441</v>
      </c>
    </row>
    <row r="1647" spans="1:18" x14ac:dyDescent="0.25">
      <c r="A1647" s="170">
        <v>45993</v>
      </c>
      <c r="B1647" s="116">
        <v>7464.5</v>
      </c>
      <c r="C1647" s="116">
        <v>7346.15</v>
      </c>
      <c r="D1647" s="116">
        <v>7279.7</v>
      </c>
      <c r="E1647" s="116">
        <v>7390.15</v>
      </c>
      <c r="F1647" s="116">
        <v>7346.15</v>
      </c>
      <c r="G1647">
        <v>20008</v>
      </c>
      <c r="H1647" s="116"/>
      <c r="I1647" s="116"/>
      <c r="L1647" s="170">
        <v>45993</v>
      </c>
      <c r="M1647" s="116">
        <v>7347</v>
      </c>
      <c r="N1647" s="116">
        <v>7462.5</v>
      </c>
      <c r="O1647" s="116">
        <v>7281</v>
      </c>
      <c r="P1647" s="116">
        <v>7409.5</v>
      </c>
      <c r="Q1647" s="116">
        <v>7347</v>
      </c>
      <c r="R1647">
        <v>185659</v>
      </c>
    </row>
    <row r="1648" spans="1:18" x14ac:dyDescent="0.25">
      <c r="A1648" s="170">
        <v>45994</v>
      </c>
      <c r="B1648" s="116">
        <v>7360.65</v>
      </c>
      <c r="C1648" s="116">
        <v>7228.1</v>
      </c>
      <c r="D1648" s="116">
        <v>7208.8</v>
      </c>
      <c r="E1648" s="116">
        <v>7342.1</v>
      </c>
      <c r="F1648" s="116">
        <v>7228.1</v>
      </c>
      <c r="G1648">
        <v>84438</v>
      </c>
      <c r="H1648" s="116"/>
      <c r="I1648" s="116"/>
      <c r="L1648" s="170">
        <v>45994</v>
      </c>
      <c r="M1648" s="116">
        <v>7227</v>
      </c>
      <c r="N1648" s="116">
        <v>7370</v>
      </c>
      <c r="O1648" s="116">
        <v>7206.5</v>
      </c>
      <c r="P1648" s="116">
        <v>7370</v>
      </c>
      <c r="Q1648" s="116">
        <v>7227</v>
      </c>
      <c r="R1648">
        <v>278984</v>
      </c>
    </row>
    <row r="1649" spans="1:18" x14ac:dyDescent="0.25">
      <c r="A1649" s="170">
        <v>45995</v>
      </c>
      <c r="B1649" s="116">
        <v>7380.9</v>
      </c>
      <c r="C1649" s="116">
        <v>7353.6</v>
      </c>
      <c r="D1649" s="116">
        <v>7233.55</v>
      </c>
      <c r="E1649" s="116">
        <v>7233.55</v>
      </c>
      <c r="F1649" s="116">
        <v>7353.6</v>
      </c>
      <c r="G1649">
        <v>10381</v>
      </c>
      <c r="H1649" s="116"/>
      <c r="I1649" s="116"/>
      <c r="L1649" s="170">
        <v>45995</v>
      </c>
      <c r="M1649" s="116">
        <v>7348.5</v>
      </c>
      <c r="N1649" s="116">
        <v>7382.5</v>
      </c>
      <c r="O1649" s="116">
        <v>7233</v>
      </c>
      <c r="P1649" s="116">
        <v>7250</v>
      </c>
      <c r="Q1649" s="116">
        <v>7348.5</v>
      </c>
      <c r="R1649">
        <v>179869</v>
      </c>
    </row>
    <row r="1650" spans="1:18" x14ac:dyDescent="0.25">
      <c r="A1650" s="170">
        <v>45996</v>
      </c>
      <c r="B1650" s="116">
        <v>7347.55</v>
      </c>
      <c r="C1650" s="116">
        <v>7257.35</v>
      </c>
      <c r="D1650" s="116">
        <v>7172</v>
      </c>
      <c r="E1650" s="116">
        <v>7347.55</v>
      </c>
      <c r="F1650" s="116">
        <v>7257.35</v>
      </c>
      <c r="G1650">
        <v>12928</v>
      </c>
      <c r="H1650" s="116"/>
      <c r="I1650" s="116"/>
      <c r="L1650" s="170">
        <v>45996</v>
      </c>
      <c r="M1650" s="116">
        <v>7257</v>
      </c>
      <c r="N1650" s="116">
        <v>7336</v>
      </c>
      <c r="O1650" s="116">
        <v>7171</v>
      </c>
      <c r="P1650" s="116">
        <v>7321</v>
      </c>
      <c r="Q1650" s="116">
        <v>7257</v>
      </c>
      <c r="R1650">
        <v>191949</v>
      </c>
    </row>
    <row r="1651" spans="1:18" x14ac:dyDescent="0.25">
      <c r="A1651" s="170">
        <v>45999</v>
      </c>
      <c r="B1651" s="116">
        <v>7257.35</v>
      </c>
      <c r="C1651" s="116">
        <v>7023.7</v>
      </c>
      <c r="D1651" s="116">
        <v>7010.5</v>
      </c>
      <c r="E1651" s="116">
        <v>7257.35</v>
      </c>
      <c r="F1651" s="116">
        <v>7023.7</v>
      </c>
      <c r="G1651">
        <v>11166</v>
      </c>
      <c r="H1651" s="116"/>
      <c r="I1651" s="116"/>
      <c r="L1651" s="170">
        <v>45999</v>
      </c>
      <c r="M1651" s="116">
        <v>7025</v>
      </c>
      <c r="N1651" s="116">
        <v>7265.5</v>
      </c>
      <c r="O1651" s="116">
        <v>7007.5</v>
      </c>
      <c r="P1651" s="116">
        <v>7257</v>
      </c>
      <c r="Q1651" s="116">
        <v>7025</v>
      </c>
      <c r="R1651">
        <v>217567</v>
      </c>
    </row>
    <row r="1652" spans="1:18" x14ac:dyDescent="0.25">
      <c r="A1652" s="170">
        <v>46000</v>
      </c>
      <c r="B1652" s="116">
        <v>7210.65</v>
      </c>
      <c r="C1652" s="116">
        <v>7195.3</v>
      </c>
      <c r="D1652" s="116">
        <v>6930.4</v>
      </c>
      <c r="E1652" s="116">
        <v>7000.05</v>
      </c>
      <c r="F1652" s="116">
        <v>7195.3</v>
      </c>
      <c r="G1652">
        <v>6296</v>
      </c>
      <c r="H1652" s="116"/>
      <c r="I1652" s="116"/>
      <c r="L1652" s="170">
        <v>46000</v>
      </c>
      <c r="M1652" s="116">
        <v>7194</v>
      </c>
      <c r="N1652" s="116">
        <v>7214.5</v>
      </c>
      <c r="O1652" s="116">
        <v>6932</v>
      </c>
      <c r="P1652" s="116">
        <v>7025</v>
      </c>
      <c r="Q1652" s="116">
        <v>7194</v>
      </c>
      <c r="R1652">
        <v>222653</v>
      </c>
    </row>
    <row r="1653" spans="1:18" x14ac:dyDescent="0.25">
      <c r="A1653" s="170">
        <v>46001</v>
      </c>
      <c r="B1653" s="116">
        <v>7267.9</v>
      </c>
      <c r="C1653" s="116">
        <v>7135.65</v>
      </c>
      <c r="D1653" s="116">
        <v>7107.15</v>
      </c>
      <c r="E1653" s="116">
        <v>7150.35</v>
      </c>
      <c r="F1653" s="116">
        <v>7135.65</v>
      </c>
      <c r="G1653">
        <v>7080</v>
      </c>
      <c r="H1653" s="116"/>
      <c r="I1653" s="116"/>
      <c r="L1653" s="170">
        <v>46001</v>
      </c>
      <c r="M1653" s="116">
        <v>7139</v>
      </c>
      <c r="N1653" s="116">
        <v>7268.5</v>
      </c>
      <c r="O1653" s="116">
        <v>7110</v>
      </c>
      <c r="P1653" s="116">
        <v>7219</v>
      </c>
      <c r="Q1653" s="116">
        <v>7139</v>
      </c>
      <c r="R1653">
        <v>126487</v>
      </c>
    </row>
    <row r="1654" spans="1:18" x14ac:dyDescent="0.25">
      <c r="A1654" s="170">
        <v>46002</v>
      </c>
      <c r="B1654" s="116">
        <v>7300</v>
      </c>
      <c r="C1654" s="116">
        <v>7217.3</v>
      </c>
      <c r="D1654" s="116">
        <v>7132.95</v>
      </c>
      <c r="E1654" s="116">
        <v>7132.95</v>
      </c>
      <c r="F1654" s="116">
        <v>7217.3</v>
      </c>
      <c r="G1654">
        <v>5153</v>
      </c>
      <c r="H1654" s="116"/>
      <c r="I1654" s="116"/>
      <c r="L1654" s="170">
        <v>46002</v>
      </c>
      <c r="M1654" s="116">
        <v>7218.5</v>
      </c>
      <c r="N1654" s="116">
        <v>7307</v>
      </c>
      <c r="O1654" s="116">
        <v>7120</v>
      </c>
      <c r="P1654" s="116">
        <v>7120</v>
      </c>
      <c r="Q1654" s="116">
        <v>7218.5</v>
      </c>
      <c r="R1654">
        <v>295740</v>
      </c>
    </row>
    <row r="1655" spans="1:18" x14ac:dyDescent="0.25">
      <c r="A1655" s="170">
        <v>46003</v>
      </c>
      <c r="B1655" s="116">
        <v>7297.2</v>
      </c>
      <c r="C1655" s="116">
        <v>7275.05</v>
      </c>
      <c r="D1655" s="116">
        <v>7193.1</v>
      </c>
      <c r="E1655" s="116">
        <v>7238.3</v>
      </c>
      <c r="F1655" s="116">
        <v>7275.05</v>
      </c>
      <c r="G1655">
        <v>3068</v>
      </c>
      <c r="H1655" s="116"/>
      <c r="I1655" s="116"/>
      <c r="L1655" s="170">
        <v>46003</v>
      </c>
      <c r="M1655" s="116">
        <v>7276.5</v>
      </c>
      <c r="N1655" s="116">
        <v>7298</v>
      </c>
      <c r="O1655" s="116">
        <v>7193.5</v>
      </c>
      <c r="P1655" s="116">
        <v>7230</v>
      </c>
      <c r="Q1655" s="116">
        <v>7276.5</v>
      </c>
      <c r="R1655">
        <v>158727</v>
      </c>
    </row>
    <row r="1656" spans="1:18" x14ac:dyDescent="0.25">
      <c r="A1656" s="170">
        <v>46006</v>
      </c>
      <c r="B1656" s="116">
        <v>7350</v>
      </c>
      <c r="C1656" s="116">
        <v>7336.35</v>
      </c>
      <c r="D1656" s="116">
        <v>7223.9</v>
      </c>
      <c r="E1656" s="116">
        <v>7269.95</v>
      </c>
      <c r="F1656" s="116">
        <v>7336.35</v>
      </c>
      <c r="G1656">
        <v>3104</v>
      </c>
      <c r="H1656" s="116"/>
      <c r="I1656" s="116"/>
      <c r="L1656" s="170">
        <v>46006</v>
      </c>
      <c r="M1656" s="116">
        <v>7339.5</v>
      </c>
      <c r="N1656" s="116">
        <v>7355</v>
      </c>
      <c r="O1656" s="116">
        <v>7223.5</v>
      </c>
      <c r="P1656" s="116">
        <v>7250.5</v>
      </c>
      <c r="Q1656" s="116">
        <v>7339.5</v>
      </c>
      <c r="R1656">
        <v>121874</v>
      </c>
    </row>
    <row r="1657" spans="1:18" x14ac:dyDescent="0.25">
      <c r="A1657" s="170">
        <v>46007</v>
      </c>
      <c r="B1657" s="116">
        <v>7400</v>
      </c>
      <c r="C1657" s="116">
        <v>7373.25</v>
      </c>
      <c r="D1657" s="116">
        <v>7266.1</v>
      </c>
      <c r="E1657" s="116">
        <v>7333.75</v>
      </c>
      <c r="F1657" s="116">
        <v>7373.25</v>
      </c>
      <c r="G1657">
        <v>3671</v>
      </c>
      <c r="H1657" s="116"/>
      <c r="I1657" s="116"/>
      <c r="L1657" s="170">
        <v>46007</v>
      </c>
      <c r="M1657" s="116">
        <v>7361.5</v>
      </c>
      <c r="N1657" s="116">
        <v>7402.5</v>
      </c>
      <c r="O1657" s="116">
        <v>7264.5</v>
      </c>
      <c r="P1657" s="116">
        <v>7323</v>
      </c>
      <c r="Q1657" s="116">
        <v>7361.5</v>
      </c>
      <c r="R1657">
        <v>267325</v>
      </c>
    </row>
    <row r="1658" spans="1:18" x14ac:dyDescent="0.25">
      <c r="A1658" s="170">
        <v>46008</v>
      </c>
      <c r="B1658" s="116">
        <v>7368.4</v>
      </c>
      <c r="C1658" s="116">
        <v>7078.8</v>
      </c>
      <c r="D1658" s="116">
        <v>7031.8</v>
      </c>
      <c r="E1658" s="116">
        <v>7368.4</v>
      </c>
      <c r="F1658" s="116">
        <v>7078.8</v>
      </c>
      <c r="G1658">
        <v>200534</v>
      </c>
      <c r="H1658" s="116"/>
      <c r="I1658" s="116"/>
      <c r="L1658" s="170">
        <v>46008</v>
      </c>
      <c r="M1658" s="116">
        <v>7079.5</v>
      </c>
      <c r="N1658" s="116">
        <v>7341</v>
      </c>
      <c r="O1658" s="116">
        <v>7031</v>
      </c>
      <c r="P1658" s="116">
        <v>7341</v>
      </c>
      <c r="Q1658" s="116">
        <v>7079.5</v>
      </c>
      <c r="R1658">
        <v>1779522</v>
      </c>
    </row>
    <row r="1659" spans="1:18" x14ac:dyDescent="0.25">
      <c r="A1659" s="170">
        <v>46009</v>
      </c>
      <c r="B1659" s="116">
        <v>7149.75</v>
      </c>
      <c r="C1659" s="116">
        <v>7097.95</v>
      </c>
      <c r="D1659" s="116">
        <v>7024.05</v>
      </c>
      <c r="E1659" s="116">
        <v>7078.8</v>
      </c>
      <c r="F1659" s="116">
        <v>7097.95</v>
      </c>
      <c r="G1659">
        <v>7904</v>
      </c>
      <c r="H1659" s="116"/>
      <c r="I1659" s="116"/>
      <c r="L1659" s="170">
        <v>46009</v>
      </c>
      <c r="M1659" s="116">
        <v>7099</v>
      </c>
      <c r="N1659" s="116">
        <v>7145</v>
      </c>
      <c r="O1659" s="116">
        <v>7022.5</v>
      </c>
      <c r="P1659" s="116">
        <v>7079.5</v>
      </c>
      <c r="Q1659" s="116">
        <v>7099</v>
      </c>
      <c r="R1659">
        <v>194054</v>
      </c>
    </row>
    <row r="1660" spans="1:18" x14ac:dyDescent="0.25">
      <c r="A1660" s="170">
        <v>46010</v>
      </c>
      <c r="B1660" s="116">
        <v>7456.9</v>
      </c>
      <c r="C1660" s="116">
        <v>7438.3</v>
      </c>
      <c r="D1660" s="116">
        <v>7133.45</v>
      </c>
      <c r="E1660" s="116">
        <v>7195.65</v>
      </c>
      <c r="F1660" s="116">
        <v>7438.3</v>
      </c>
      <c r="G1660">
        <v>66323</v>
      </c>
      <c r="H1660" s="116"/>
      <c r="I1660" s="116"/>
      <c r="L1660" s="170">
        <v>46010</v>
      </c>
      <c r="M1660" s="116">
        <v>7439</v>
      </c>
      <c r="N1660" s="116">
        <v>7455</v>
      </c>
      <c r="O1660" s="116">
        <v>7087</v>
      </c>
      <c r="P1660" s="116">
        <v>7090</v>
      </c>
      <c r="Q1660" s="116">
        <v>7439</v>
      </c>
      <c r="R1660">
        <v>630329</v>
      </c>
    </row>
    <row r="1661" spans="1:18" x14ac:dyDescent="0.25">
      <c r="A1661" s="170">
        <v>46013</v>
      </c>
      <c r="B1661" s="116">
        <v>7648.3</v>
      </c>
      <c r="C1661" s="116">
        <v>7600.25</v>
      </c>
      <c r="D1661" s="116">
        <v>7440.1</v>
      </c>
      <c r="E1661" s="116">
        <v>7440.1</v>
      </c>
      <c r="F1661" s="116">
        <v>7600.25</v>
      </c>
      <c r="G1661">
        <v>11509</v>
      </c>
      <c r="H1661" s="116"/>
      <c r="I1661" s="116"/>
      <c r="L1661" s="170">
        <v>46013</v>
      </c>
      <c r="M1661" s="116">
        <v>7603</v>
      </c>
      <c r="N1661" s="116">
        <v>7648</v>
      </c>
      <c r="O1661" s="116">
        <v>7450</v>
      </c>
      <c r="P1661" s="116">
        <v>7450</v>
      </c>
      <c r="Q1661" s="116">
        <v>7603</v>
      </c>
      <c r="R1661">
        <v>390893</v>
      </c>
    </row>
    <row r="1662" spans="1:18" x14ac:dyDescent="0.25">
      <c r="A1662" s="170">
        <v>46014</v>
      </c>
      <c r="B1662" s="116">
        <v>7675</v>
      </c>
      <c r="C1662" s="116">
        <v>7642</v>
      </c>
      <c r="D1662" s="116">
        <v>7583</v>
      </c>
      <c r="E1662" s="116">
        <v>7592.55</v>
      </c>
      <c r="F1662" s="116">
        <v>7642</v>
      </c>
      <c r="G1662">
        <v>2999</v>
      </c>
      <c r="H1662" s="116"/>
      <c r="I1662" s="116"/>
      <c r="L1662" s="170">
        <v>46014</v>
      </c>
      <c r="M1662" s="116">
        <v>7645</v>
      </c>
      <c r="N1662" s="116">
        <v>7680.5</v>
      </c>
      <c r="O1662" s="116">
        <v>7580</v>
      </c>
      <c r="P1662" s="116">
        <v>7605</v>
      </c>
      <c r="Q1662" s="116">
        <v>7645</v>
      </c>
      <c r="R1662">
        <v>256703</v>
      </c>
    </row>
    <row r="1663" spans="1:18" x14ac:dyDescent="0.25">
      <c r="A1663" s="170">
        <v>46015</v>
      </c>
      <c r="B1663" s="116">
        <v>7688.45</v>
      </c>
      <c r="C1663" s="116">
        <v>7628.4</v>
      </c>
      <c r="D1663" s="116">
        <v>7615.9</v>
      </c>
      <c r="E1663" s="116">
        <v>7688.45</v>
      </c>
      <c r="F1663" s="116">
        <v>7628.4</v>
      </c>
      <c r="G1663">
        <v>2118</v>
      </c>
      <c r="H1663" s="116"/>
      <c r="I1663" s="116"/>
      <c r="L1663" s="170">
        <v>46015</v>
      </c>
      <c r="M1663" s="116">
        <v>7630.5</v>
      </c>
      <c r="N1663" s="116">
        <v>7678</v>
      </c>
      <c r="O1663" s="116">
        <v>7611</v>
      </c>
      <c r="P1663" s="116">
        <v>7644.5</v>
      </c>
      <c r="Q1663" s="116">
        <v>7630.5</v>
      </c>
      <c r="R1663">
        <v>94994</v>
      </c>
    </row>
    <row r="1664" spans="1:18" x14ac:dyDescent="0.25">
      <c r="A1664" s="170">
        <v>46017</v>
      </c>
      <c r="B1664" s="116">
        <v>7670.15</v>
      </c>
      <c r="C1664" s="116">
        <v>7564.6</v>
      </c>
      <c r="D1664" s="116">
        <v>7540</v>
      </c>
      <c r="E1664" s="116">
        <v>7600.2</v>
      </c>
      <c r="F1664" s="116">
        <v>7564.6</v>
      </c>
      <c r="G1664">
        <v>5485</v>
      </c>
      <c r="H1664" s="116"/>
      <c r="I1664" s="116"/>
      <c r="L1664" s="170">
        <v>46017</v>
      </c>
      <c r="M1664" s="116">
        <v>7556.5</v>
      </c>
      <c r="N1664" s="116">
        <v>7672.5</v>
      </c>
      <c r="O1664" s="116">
        <v>7531.5</v>
      </c>
      <c r="P1664" s="116">
        <v>7610</v>
      </c>
      <c r="Q1664" s="116">
        <v>7556.5</v>
      </c>
      <c r="R1664">
        <v>134764</v>
      </c>
    </row>
    <row r="1665" spans="1:18" x14ac:dyDescent="0.25">
      <c r="A1665" s="170">
        <v>46020</v>
      </c>
      <c r="B1665" s="116">
        <v>7605</v>
      </c>
      <c r="C1665" s="116">
        <v>7493.6</v>
      </c>
      <c r="D1665" s="116">
        <v>7458.75</v>
      </c>
      <c r="E1665" s="116">
        <v>7516.55</v>
      </c>
      <c r="F1665" s="116">
        <v>7493.6</v>
      </c>
      <c r="G1665">
        <v>8057</v>
      </c>
      <c r="H1665" s="116"/>
      <c r="I1665" s="116"/>
      <c r="L1665" s="170">
        <v>46020</v>
      </c>
      <c r="M1665" s="116">
        <v>7493.5</v>
      </c>
      <c r="N1665" s="116">
        <v>7611.5</v>
      </c>
      <c r="O1665" s="116">
        <v>7462</v>
      </c>
      <c r="P1665" s="116">
        <v>7547.5</v>
      </c>
      <c r="Q1665" s="116">
        <v>7493.5</v>
      </c>
      <c r="R1665">
        <v>206255</v>
      </c>
    </row>
    <row r="1666" spans="1:18" x14ac:dyDescent="0.25">
      <c r="A1666" s="170">
        <v>46021</v>
      </c>
      <c r="B1666" s="116">
        <v>7593.15</v>
      </c>
      <c r="C1666" s="116">
        <v>7494.75</v>
      </c>
      <c r="D1666" s="116">
        <v>7450.9</v>
      </c>
      <c r="E1666" s="116">
        <v>7450.9</v>
      </c>
      <c r="F1666" s="116">
        <v>7494.75</v>
      </c>
      <c r="G1666">
        <v>7171</v>
      </c>
      <c r="H1666" s="116"/>
      <c r="I1666" s="116"/>
      <c r="L1666" s="170">
        <v>46021</v>
      </c>
      <c r="M1666" s="116">
        <v>7497</v>
      </c>
      <c r="N1666" s="116">
        <v>7596.5</v>
      </c>
      <c r="O1666" s="116">
        <v>7470</v>
      </c>
      <c r="P1666" s="116">
        <v>7475</v>
      </c>
      <c r="Q1666" s="116">
        <v>7497</v>
      </c>
      <c r="R1666">
        <v>370086</v>
      </c>
    </row>
    <row r="1667" spans="1:18" x14ac:dyDescent="0.25">
      <c r="A1667" s="170">
        <v>46022</v>
      </c>
      <c r="B1667" s="116">
        <v>7659.05</v>
      </c>
      <c r="C1667" s="116">
        <v>7627.6</v>
      </c>
      <c r="D1667" s="116">
        <v>7495</v>
      </c>
      <c r="E1667" s="116">
        <v>7495</v>
      </c>
      <c r="F1667" s="116">
        <v>7627.6</v>
      </c>
      <c r="G1667">
        <v>4960</v>
      </c>
      <c r="H1667" s="116"/>
      <c r="I1667" s="116"/>
      <c r="L1667" s="170">
        <v>46022</v>
      </c>
      <c r="M1667" s="116">
        <v>7619</v>
      </c>
      <c r="N1667" s="116">
        <v>7659.5</v>
      </c>
      <c r="O1667" s="116">
        <v>7498</v>
      </c>
      <c r="P1667" s="116">
        <v>7498</v>
      </c>
      <c r="Q1667" s="116">
        <v>7619</v>
      </c>
      <c r="R1667">
        <v>235002</v>
      </c>
    </row>
    <row r="1668" spans="1:18" x14ac:dyDescent="0.25">
      <c r="A1668" s="170">
        <v>46023</v>
      </c>
      <c r="B1668" s="116">
        <v>7690</v>
      </c>
      <c r="C1668" s="116">
        <v>7672.45</v>
      </c>
      <c r="D1668" s="116">
        <v>7520</v>
      </c>
      <c r="E1668" s="116">
        <v>7603.5</v>
      </c>
      <c r="F1668" s="116">
        <v>7672.45</v>
      </c>
      <c r="G1668">
        <v>7616</v>
      </c>
      <c r="H1668" s="116"/>
      <c r="I1668" s="116"/>
      <c r="L1668" s="170">
        <v>46023</v>
      </c>
      <c r="M1668" s="116">
        <v>7673</v>
      </c>
      <c r="N1668" s="116">
        <v>7695</v>
      </c>
      <c r="O1668" s="116">
        <v>7520</v>
      </c>
      <c r="P1668" s="116">
        <v>7615</v>
      </c>
      <c r="Q1668" s="116">
        <v>7673</v>
      </c>
      <c r="R1668">
        <v>139174</v>
      </c>
    </row>
    <row r="1669" spans="1:18" x14ac:dyDescent="0.25">
      <c r="A1669" s="170">
        <v>46024</v>
      </c>
      <c r="B1669" s="116">
        <v>7820</v>
      </c>
      <c r="C1669" s="116">
        <v>7798.8</v>
      </c>
      <c r="D1669" s="116">
        <v>7654.95</v>
      </c>
      <c r="E1669" s="116">
        <v>7654.95</v>
      </c>
      <c r="F1669" s="116">
        <v>7798.8</v>
      </c>
      <c r="G1669">
        <v>9975</v>
      </c>
      <c r="H1669" s="116"/>
      <c r="I1669" s="116"/>
      <c r="L1669" s="170">
        <v>46024</v>
      </c>
      <c r="M1669" s="116">
        <v>7798</v>
      </c>
      <c r="N1669" s="116">
        <v>7821</v>
      </c>
      <c r="O1669" s="116">
        <v>7664.5</v>
      </c>
      <c r="P1669" s="116">
        <v>7676.5</v>
      </c>
      <c r="Q1669" s="116">
        <v>7798</v>
      </c>
      <c r="R1669">
        <v>192881</v>
      </c>
    </row>
    <row r="1670" spans="1:18" x14ac:dyDescent="0.25">
      <c r="A1670" s="170">
        <v>46027</v>
      </c>
      <c r="B1670" s="116">
        <v>7824.95</v>
      </c>
      <c r="C1670" s="116">
        <v>7761.8</v>
      </c>
      <c r="D1670" s="116">
        <v>7588</v>
      </c>
      <c r="E1670" s="116">
        <v>7801.3</v>
      </c>
      <c r="F1670" s="116">
        <v>7761.8</v>
      </c>
      <c r="G1670">
        <v>25967</v>
      </c>
      <c r="H1670" s="116"/>
      <c r="I1670" s="116"/>
      <c r="L1670" s="170">
        <v>46027</v>
      </c>
      <c r="M1670" s="116">
        <v>7762</v>
      </c>
      <c r="N1670" s="116">
        <v>7840.5</v>
      </c>
      <c r="O1670" s="116">
        <v>7584.5</v>
      </c>
      <c r="P1670" s="116">
        <v>7840.5</v>
      </c>
      <c r="Q1670" s="116">
        <v>7762</v>
      </c>
      <c r="R1670">
        <v>1133200</v>
      </c>
    </row>
    <row r="1671" spans="1:18" x14ac:dyDescent="0.25">
      <c r="A1671" s="170">
        <v>46028</v>
      </c>
      <c r="B1671" s="116">
        <v>7866</v>
      </c>
      <c r="C1671" s="116">
        <v>7801.75</v>
      </c>
      <c r="D1671" s="116">
        <v>7703.05</v>
      </c>
      <c r="E1671" s="116">
        <v>7703.05</v>
      </c>
      <c r="F1671" s="116">
        <v>7801.75</v>
      </c>
      <c r="G1671">
        <v>7262</v>
      </c>
      <c r="H1671" s="116"/>
      <c r="I1671" s="116"/>
      <c r="L1671" s="170">
        <v>46028</v>
      </c>
      <c r="M1671" s="116">
        <v>7795.5</v>
      </c>
      <c r="N1671" s="116">
        <v>7868.5</v>
      </c>
      <c r="O1671" s="116">
        <v>7737</v>
      </c>
      <c r="P1671" s="116">
        <v>7752</v>
      </c>
      <c r="Q1671" s="116">
        <v>7795.5</v>
      </c>
      <c r="R1671">
        <v>365681</v>
      </c>
    </row>
    <row r="1672" spans="1:18" x14ac:dyDescent="0.25">
      <c r="A1672" s="170">
        <v>46029</v>
      </c>
      <c r="B1672" s="116">
        <v>7935</v>
      </c>
      <c r="C1672" s="116">
        <v>7894.8</v>
      </c>
      <c r="D1672" s="116">
        <v>7723.15</v>
      </c>
      <c r="E1672" s="116">
        <v>7723.15</v>
      </c>
      <c r="F1672" s="116">
        <v>7894.8</v>
      </c>
      <c r="G1672">
        <v>14011</v>
      </c>
      <c r="H1672" s="116"/>
      <c r="I1672" s="116"/>
      <c r="L1672" s="170">
        <v>46029</v>
      </c>
      <c r="M1672" s="116">
        <v>7897</v>
      </c>
      <c r="N1672" s="116">
        <v>7935</v>
      </c>
      <c r="O1672" s="116">
        <v>7764</v>
      </c>
      <c r="P1672" s="116">
        <v>7764</v>
      </c>
      <c r="Q1672" s="116">
        <v>7897</v>
      </c>
      <c r="R1672">
        <v>365640</v>
      </c>
    </row>
    <row r="1673" spans="1:18" x14ac:dyDescent="0.25">
      <c r="A1673" s="170">
        <v>46030</v>
      </c>
      <c r="B1673" s="116">
        <v>7947.35</v>
      </c>
      <c r="C1673" s="116">
        <v>7754.85</v>
      </c>
      <c r="D1673" s="116">
        <v>7726</v>
      </c>
      <c r="E1673" s="116">
        <v>7899</v>
      </c>
      <c r="F1673" s="116">
        <v>7754.85</v>
      </c>
      <c r="G1673">
        <v>9414</v>
      </c>
      <c r="H1673" s="116"/>
      <c r="I1673" s="116"/>
      <c r="L1673" s="170">
        <v>46030</v>
      </c>
      <c r="M1673" s="116">
        <v>7750.5</v>
      </c>
      <c r="N1673" s="116">
        <v>7948</v>
      </c>
      <c r="O1673" s="116">
        <v>7723</v>
      </c>
      <c r="P1673" s="116">
        <v>7871.5</v>
      </c>
      <c r="Q1673" s="116">
        <v>7750.5</v>
      </c>
      <c r="R1673">
        <v>327505</v>
      </c>
    </row>
    <row r="1674" spans="1:18" x14ac:dyDescent="0.25">
      <c r="A1674" s="170">
        <v>46031</v>
      </c>
      <c r="B1674" s="116">
        <v>7770.55</v>
      </c>
      <c r="C1674" s="116">
        <v>7686.2</v>
      </c>
      <c r="D1674" s="116">
        <v>7633</v>
      </c>
      <c r="E1674" s="116">
        <v>7661.5</v>
      </c>
      <c r="F1674" s="116">
        <v>7686.2</v>
      </c>
      <c r="G1674">
        <v>13611</v>
      </c>
      <c r="H1674" s="116"/>
      <c r="I1674" s="116"/>
      <c r="L1674" s="170">
        <v>46031</v>
      </c>
      <c r="M1674" s="116">
        <v>7685</v>
      </c>
      <c r="N1674" s="116">
        <v>7775.5</v>
      </c>
      <c r="O1674" s="116">
        <v>7629</v>
      </c>
      <c r="P1674" s="116">
        <v>7740</v>
      </c>
      <c r="Q1674" s="116">
        <v>7685</v>
      </c>
      <c r="R1674">
        <v>309566</v>
      </c>
    </row>
    <row r="1675" spans="1:18" x14ac:dyDescent="0.25">
      <c r="A1675" s="170">
        <v>46034</v>
      </c>
      <c r="B1675" s="116">
        <v>7690.45</v>
      </c>
      <c r="C1675" s="116">
        <v>7626.85</v>
      </c>
      <c r="D1675" s="116">
        <v>7577.05</v>
      </c>
      <c r="E1675" s="116">
        <v>7671.8</v>
      </c>
      <c r="F1675" s="116">
        <v>7626.85</v>
      </c>
      <c r="G1675">
        <v>9728</v>
      </c>
      <c r="H1675" s="116"/>
      <c r="I1675" s="116"/>
      <c r="L1675" s="170">
        <v>46034</v>
      </c>
      <c r="M1675" s="116">
        <v>7629</v>
      </c>
      <c r="N1675" s="116">
        <v>7710</v>
      </c>
      <c r="O1675" s="116">
        <v>7576.5</v>
      </c>
      <c r="P1675" s="116">
        <v>7700</v>
      </c>
      <c r="Q1675" s="116">
        <v>7629</v>
      </c>
      <c r="R1675">
        <v>265168</v>
      </c>
    </row>
    <row r="1676" spans="1:18" x14ac:dyDescent="0.25">
      <c r="A1676" s="170">
        <v>46035</v>
      </c>
      <c r="B1676" s="116">
        <v>7659.05</v>
      </c>
      <c r="C1676" s="116">
        <v>7569.55</v>
      </c>
      <c r="D1676" s="116">
        <v>7404.95</v>
      </c>
      <c r="E1676" s="116">
        <v>7600.25</v>
      </c>
      <c r="F1676" s="116">
        <v>7569.55</v>
      </c>
      <c r="G1676">
        <v>21247</v>
      </c>
      <c r="H1676" s="116"/>
      <c r="I1676" s="116"/>
      <c r="L1676" s="170">
        <v>46035</v>
      </c>
      <c r="M1676" s="116">
        <v>7555</v>
      </c>
      <c r="N1676" s="116">
        <v>7663.5</v>
      </c>
      <c r="O1676" s="116">
        <v>7402</v>
      </c>
      <c r="P1676" s="116">
        <v>7640</v>
      </c>
      <c r="Q1676" s="116">
        <v>7555</v>
      </c>
      <c r="R1676">
        <v>436635</v>
      </c>
    </row>
    <row r="1677" spans="1:18" x14ac:dyDescent="0.25">
      <c r="A1677" s="170">
        <v>46036</v>
      </c>
      <c r="B1677" s="116">
        <v>7533</v>
      </c>
      <c r="C1677" s="116">
        <v>7321.15</v>
      </c>
      <c r="D1677" s="116">
        <v>7305.05</v>
      </c>
      <c r="E1677" s="116">
        <v>7344</v>
      </c>
      <c r="F1677" s="116">
        <v>7321.15</v>
      </c>
      <c r="G1677">
        <v>850519</v>
      </c>
      <c r="H1677" s="116"/>
      <c r="I1677" s="116"/>
      <c r="L1677" s="170">
        <v>46036</v>
      </c>
      <c r="M1677" s="116">
        <v>7323.5</v>
      </c>
      <c r="N1677" s="116">
        <v>7538</v>
      </c>
      <c r="O1677" s="116">
        <v>7303.5</v>
      </c>
      <c r="P1677" s="116">
        <v>7328</v>
      </c>
      <c r="Q1677" s="116">
        <v>7323.5</v>
      </c>
      <c r="R1677">
        <v>1655893</v>
      </c>
    </row>
    <row r="1678" spans="1:18" x14ac:dyDescent="0.25">
      <c r="A1678" s="170">
        <v>46038</v>
      </c>
      <c r="B1678" s="116">
        <v>7356.6</v>
      </c>
      <c r="C1678" s="116">
        <v>7130.95</v>
      </c>
      <c r="D1678" s="116">
        <v>7023.75</v>
      </c>
      <c r="E1678" s="116">
        <v>7304</v>
      </c>
      <c r="F1678" s="116">
        <v>7130.95</v>
      </c>
      <c r="G1678">
        <v>20691</v>
      </c>
      <c r="H1678" s="116"/>
      <c r="I1678" s="116"/>
      <c r="L1678" s="170">
        <v>46038</v>
      </c>
      <c r="M1678" s="116">
        <v>7121.5</v>
      </c>
      <c r="N1678" s="116">
        <v>7359</v>
      </c>
      <c r="O1678" s="116">
        <v>7019.5</v>
      </c>
      <c r="P1678" s="116">
        <v>7301</v>
      </c>
      <c r="Q1678" s="116">
        <v>7121.5</v>
      </c>
      <c r="R1678">
        <v>819635</v>
      </c>
    </row>
    <row r="1679" spans="1:18" x14ac:dyDescent="0.25">
      <c r="A1679" s="170">
        <v>46041</v>
      </c>
      <c r="B1679" s="116">
        <v>7437</v>
      </c>
      <c r="C1679" s="116">
        <v>7419.1</v>
      </c>
      <c r="D1679" s="116">
        <v>7155.1</v>
      </c>
      <c r="E1679" s="116">
        <v>7155.1</v>
      </c>
      <c r="F1679" s="116">
        <v>7419.1</v>
      </c>
      <c r="G1679">
        <v>38187</v>
      </c>
      <c r="H1679" s="116"/>
      <c r="I1679" s="116"/>
      <c r="L1679" s="170">
        <v>46041</v>
      </c>
      <c r="M1679" s="116">
        <v>7418</v>
      </c>
      <c r="N1679" s="116">
        <v>7440.5</v>
      </c>
      <c r="O1679" s="116">
        <v>7157</v>
      </c>
      <c r="P1679" s="116">
        <v>7182.5</v>
      </c>
      <c r="Q1679" s="116">
        <v>7418</v>
      </c>
      <c r="R1679">
        <v>1189009</v>
      </c>
    </row>
    <row r="1680" spans="1:18" x14ac:dyDescent="0.25">
      <c r="A1680" s="170">
        <v>46042</v>
      </c>
      <c r="B1680" s="116">
        <v>7426.25</v>
      </c>
      <c r="C1680" s="116">
        <v>7073.8</v>
      </c>
      <c r="D1680" s="116">
        <v>7040</v>
      </c>
      <c r="E1680" s="116">
        <v>7415</v>
      </c>
      <c r="F1680" s="116">
        <v>7073.8</v>
      </c>
      <c r="G1680">
        <v>28307</v>
      </c>
      <c r="H1680" s="116"/>
      <c r="I1680" s="116"/>
      <c r="L1680" s="170">
        <v>46042</v>
      </c>
      <c r="M1680" s="116">
        <v>7074.5</v>
      </c>
      <c r="N1680" s="116">
        <v>7427.5</v>
      </c>
      <c r="O1680" s="116">
        <v>7050</v>
      </c>
      <c r="P1680" s="116">
        <v>7420</v>
      </c>
      <c r="Q1680" s="116">
        <v>7074.5</v>
      </c>
      <c r="R1680">
        <v>569182</v>
      </c>
    </row>
    <row r="1681" spans="1:18" x14ac:dyDescent="0.25">
      <c r="A1681" s="170">
        <v>46043</v>
      </c>
      <c r="B1681" s="116">
        <v>7044.15</v>
      </c>
      <c r="C1681" s="116">
        <v>6973.1</v>
      </c>
      <c r="D1681" s="116">
        <v>6808</v>
      </c>
      <c r="E1681" s="116">
        <v>7038.4</v>
      </c>
      <c r="F1681" s="116">
        <v>6973.1</v>
      </c>
      <c r="G1681">
        <v>31586</v>
      </c>
      <c r="H1681" s="116"/>
      <c r="I1681" s="116"/>
      <c r="L1681" s="170">
        <v>46043</v>
      </c>
      <c r="M1681" s="116">
        <v>6975</v>
      </c>
      <c r="N1681" s="116">
        <v>7044.5</v>
      </c>
      <c r="O1681" s="116">
        <v>6808</v>
      </c>
      <c r="P1681" s="116">
        <v>7000</v>
      </c>
      <c r="Q1681" s="116">
        <v>6975</v>
      </c>
      <c r="R1681">
        <v>773107</v>
      </c>
    </row>
    <row r="1682" spans="1:18" x14ac:dyDescent="0.25">
      <c r="A1682" s="170">
        <v>46044</v>
      </c>
      <c r="B1682" s="116">
        <v>7097.9</v>
      </c>
      <c r="C1682" s="116">
        <v>6997.4</v>
      </c>
      <c r="D1682" s="116">
        <v>6974.45</v>
      </c>
      <c r="E1682" s="116">
        <v>7050</v>
      </c>
      <c r="F1682" s="116">
        <v>6997.4</v>
      </c>
      <c r="G1682">
        <v>29763</v>
      </c>
      <c r="H1682" s="116"/>
      <c r="I1682" s="116"/>
      <c r="L1682" s="170">
        <v>46044</v>
      </c>
      <c r="M1682" s="116">
        <v>6999</v>
      </c>
      <c r="N1682" s="116">
        <v>7098</v>
      </c>
      <c r="O1682" s="116">
        <v>6980.5</v>
      </c>
      <c r="P1682" s="116">
        <v>7050</v>
      </c>
      <c r="Q1682" s="116">
        <v>6999</v>
      </c>
      <c r="R1682">
        <v>435717</v>
      </c>
    </row>
    <row r="1683" spans="1:18" x14ac:dyDescent="0.25">
      <c r="A1683" s="170">
        <v>46045</v>
      </c>
      <c r="B1683" s="116">
        <v>7061.75</v>
      </c>
      <c r="C1683" s="116">
        <v>6719</v>
      </c>
      <c r="D1683" s="116">
        <v>6708</v>
      </c>
      <c r="E1683" s="116">
        <v>6901.05</v>
      </c>
      <c r="F1683" s="116">
        <v>6719</v>
      </c>
      <c r="G1683">
        <v>15080</v>
      </c>
      <c r="H1683" s="116"/>
      <c r="I1683" s="116"/>
      <c r="L1683" s="170">
        <v>46045</v>
      </c>
      <c r="M1683" s="116">
        <v>6722</v>
      </c>
      <c r="N1683" s="116">
        <v>7050</v>
      </c>
      <c r="O1683" s="116">
        <v>6705.5</v>
      </c>
      <c r="P1683" s="116">
        <v>7050</v>
      </c>
      <c r="Q1683" s="116">
        <v>6722</v>
      </c>
      <c r="R1683">
        <v>368113</v>
      </c>
    </row>
    <row r="1684" spans="1:18" x14ac:dyDescent="0.25">
      <c r="A1684" s="170">
        <v>46049</v>
      </c>
      <c r="B1684" s="116">
        <v>6818</v>
      </c>
      <c r="C1684" s="116">
        <v>6766.7</v>
      </c>
      <c r="D1684" s="116">
        <v>6660.5</v>
      </c>
      <c r="E1684" s="116">
        <v>6767.8</v>
      </c>
      <c r="F1684" s="116">
        <v>6766.7</v>
      </c>
      <c r="G1684">
        <v>10451</v>
      </c>
      <c r="H1684" s="116"/>
      <c r="I1684" s="116"/>
      <c r="L1684" s="170">
        <v>46049</v>
      </c>
      <c r="M1684" s="116">
        <v>6766</v>
      </c>
      <c r="N1684" s="116">
        <v>6810</v>
      </c>
      <c r="O1684" s="116">
        <v>6663</v>
      </c>
      <c r="P1684" s="116">
        <v>6805.5</v>
      </c>
      <c r="Q1684" s="116">
        <v>6766</v>
      </c>
      <c r="R1684">
        <v>479067</v>
      </c>
    </row>
    <row r="1685" spans="1:18" x14ac:dyDescent="0.25">
      <c r="A1685" s="170">
        <v>46050</v>
      </c>
      <c r="B1685" s="116">
        <v>6937.05</v>
      </c>
      <c r="C1685" s="116">
        <v>6924</v>
      </c>
      <c r="D1685" s="116">
        <v>6805.05</v>
      </c>
      <c r="E1685" s="116">
        <v>6849.45</v>
      </c>
      <c r="F1685" s="116">
        <v>6924</v>
      </c>
      <c r="G1685">
        <v>24109</v>
      </c>
      <c r="H1685" s="116"/>
      <c r="I1685" s="116"/>
      <c r="L1685" s="170">
        <v>46050</v>
      </c>
      <c r="M1685" s="116">
        <v>6928</v>
      </c>
      <c r="N1685" s="116">
        <v>6938.5</v>
      </c>
      <c r="O1685" s="116">
        <v>6802.5</v>
      </c>
      <c r="P1685" s="116">
        <v>6829</v>
      </c>
      <c r="Q1685" s="116">
        <v>6928</v>
      </c>
      <c r="R1685">
        <v>351390</v>
      </c>
    </row>
    <row r="1686" spans="1:18" x14ac:dyDescent="0.25">
      <c r="A1686" s="170">
        <v>46051</v>
      </c>
      <c r="B1686" s="116">
        <v>7032.05</v>
      </c>
      <c r="C1686" s="116">
        <v>7013.15</v>
      </c>
      <c r="D1686" s="116">
        <v>6848.45</v>
      </c>
      <c r="E1686" s="116">
        <v>6900</v>
      </c>
      <c r="F1686" s="116">
        <v>7013.15</v>
      </c>
      <c r="G1686">
        <v>5451</v>
      </c>
      <c r="H1686" s="116"/>
      <c r="I1686" s="116"/>
      <c r="L1686" s="170">
        <v>46051</v>
      </c>
      <c r="M1686" s="116">
        <v>7017.5</v>
      </c>
      <c r="N1686" s="116">
        <v>7034</v>
      </c>
      <c r="O1686" s="116">
        <v>6850</v>
      </c>
      <c r="P1686" s="116">
        <v>6900</v>
      </c>
      <c r="Q1686" s="116">
        <v>7017.5</v>
      </c>
      <c r="R1686">
        <v>339387</v>
      </c>
    </row>
    <row r="1687" spans="1:18" x14ac:dyDescent="0.25">
      <c r="A1687" s="170">
        <v>46052</v>
      </c>
      <c r="B1687" s="116">
        <v>7032</v>
      </c>
      <c r="C1687" s="116">
        <v>7012.6</v>
      </c>
      <c r="D1687" s="116">
        <v>6918</v>
      </c>
      <c r="E1687" s="116">
        <v>7030.15</v>
      </c>
      <c r="F1687" s="116">
        <v>7012.6</v>
      </c>
      <c r="G1687">
        <v>7537</v>
      </c>
      <c r="H1687" s="116"/>
      <c r="I1687" s="116"/>
      <c r="L1687" s="170">
        <v>46052</v>
      </c>
      <c r="M1687" s="116">
        <v>7013.5</v>
      </c>
      <c r="N1687" s="116">
        <v>7037.5</v>
      </c>
      <c r="O1687" s="116">
        <v>6915</v>
      </c>
      <c r="P1687" s="116">
        <v>7029.5</v>
      </c>
      <c r="Q1687" s="116">
        <v>7013.5</v>
      </c>
      <c r="R1687">
        <v>396287</v>
      </c>
    </row>
    <row r="1688" spans="1:18" x14ac:dyDescent="0.25">
      <c r="A1688" s="170">
        <v>46054</v>
      </c>
      <c r="B1688" s="116">
        <v>7026.2</v>
      </c>
      <c r="C1688" s="116">
        <v>6841.05</v>
      </c>
      <c r="D1688" s="116">
        <v>6726.8</v>
      </c>
      <c r="E1688" s="116">
        <v>7014.6</v>
      </c>
      <c r="F1688" s="116">
        <v>6841.05</v>
      </c>
      <c r="G1688">
        <v>6480</v>
      </c>
      <c r="H1688" s="116"/>
      <c r="I1688" s="116"/>
      <c r="L1688" s="170">
        <v>46054</v>
      </c>
      <c r="M1688" s="116">
        <v>6819</v>
      </c>
      <c r="N1688" s="116">
        <v>7050</v>
      </c>
      <c r="O1688" s="116">
        <v>6733</v>
      </c>
      <c r="P1688" s="116">
        <v>7050</v>
      </c>
      <c r="Q1688" s="116">
        <v>6819</v>
      </c>
      <c r="R1688">
        <v>127051</v>
      </c>
    </row>
    <row r="1689" spans="1:18" x14ac:dyDescent="0.25">
      <c r="A1689" s="170">
        <v>46055</v>
      </c>
      <c r="B1689" s="116">
        <v>7069.9</v>
      </c>
      <c r="C1689" s="116">
        <v>7033.95</v>
      </c>
      <c r="D1689" s="116">
        <v>6804.3</v>
      </c>
      <c r="E1689" s="116">
        <v>6840.8</v>
      </c>
      <c r="F1689" s="116">
        <v>7033.95</v>
      </c>
      <c r="G1689">
        <v>65695</v>
      </c>
      <c r="H1689" s="116"/>
      <c r="I1689" s="116"/>
      <c r="L1689" s="170">
        <v>46055</v>
      </c>
      <c r="M1689" s="116">
        <v>7036.5</v>
      </c>
      <c r="N1689" s="116">
        <v>7070</v>
      </c>
      <c r="O1689" s="116">
        <v>6800</v>
      </c>
      <c r="P1689" s="116">
        <v>6800.5</v>
      </c>
      <c r="Q1689" s="116">
        <v>7036.5</v>
      </c>
      <c r="R1689">
        <v>292881</v>
      </c>
    </row>
    <row r="1690" spans="1:18" x14ac:dyDescent="0.25">
      <c r="A1690" s="170">
        <v>46056</v>
      </c>
      <c r="B1690" s="116">
        <v>7697.7</v>
      </c>
      <c r="C1690" s="116">
        <v>7506.75</v>
      </c>
      <c r="D1690" s="116">
        <v>7268.35</v>
      </c>
      <c r="E1690" s="116">
        <v>7268.35</v>
      </c>
      <c r="F1690" s="116">
        <v>7506.75</v>
      </c>
      <c r="G1690">
        <v>19387</v>
      </c>
      <c r="H1690" s="116"/>
      <c r="I1690" s="116"/>
      <c r="L1690" s="170">
        <v>46056</v>
      </c>
      <c r="M1690" s="116">
        <v>7505</v>
      </c>
      <c r="N1690" s="116">
        <v>7699.5</v>
      </c>
      <c r="O1690" s="116">
        <v>7360</v>
      </c>
      <c r="P1690" s="116">
        <v>7400</v>
      </c>
      <c r="Q1690" s="116">
        <v>7505</v>
      </c>
      <c r="R1690">
        <v>916405</v>
      </c>
    </row>
    <row r="1691" spans="1:18" x14ac:dyDescent="0.25">
      <c r="A1691" s="170">
        <v>46057</v>
      </c>
      <c r="B1691" s="116">
        <v>7665.1</v>
      </c>
      <c r="C1691" s="116">
        <v>7628.35</v>
      </c>
      <c r="D1691" s="116">
        <v>7394.45</v>
      </c>
      <c r="E1691" s="116">
        <v>7506.75</v>
      </c>
      <c r="F1691" s="116">
        <v>7628.35</v>
      </c>
      <c r="G1691">
        <v>20169</v>
      </c>
      <c r="H1691" s="116"/>
      <c r="I1691" s="116"/>
      <c r="L1691" s="170">
        <v>46057</v>
      </c>
      <c r="M1691" s="116">
        <v>7630</v>
      </c>
      <c r="N1691" s="116">
        <v>7666</v>
      </c>
      <c r="O1691" s="116">
        <v>7420</v>
      </c>
      <c r="P1691" s="116">
        <v>7504</v>
      </c>
      <c r="Q1691" s="116">
        <v>7630</v>
      </c>
      <c r="R1691">
        <v>354745</v>
      </c>
    </row>
    <row r="1692" spans="1:18" x14ac:dyDescent="0.25">
      <c r="A1692" s="170">
        <v>46058</v>
      </c>
      <c r="B1692" s="116">
        <v>7663.2</v>
      </c>
      <c r="C1692" s="116">
        <v>7537.7</v>
      </c>
      <c r="D1692" s="116">
        <v>7506</v>
      </c>
      <c r="E1692" s="116">
        <v>7663.2</v>
      </c>
      <c r="F1692" s="116">
        <v>7537.7</v>
      </c>
      <c r="G1692">
        <v>4086</v>
      </c>
      <c r="H1692" s="116"/>
      <c r="I1692" s="116"/>
      <c r="L1692" s="170">
        <v>46058</v>
      </c>
      <c r="M1692" s="116">
        <v>7536.5</v>
      </c>
      <c r="N1692" s="116">
        <v>7613</v>
      </c>
      <c r="O1692" s="116">
        <v>7503</v>
      </c>
      <c r="P1692" s="116">
        <v>7600</v>
      </c>
      <c r="Q1692" s="116">
        <v>7536.5</v>
      </c>
      <c r="R1692">
        <v>194719</v>
      </c>
    </row>
    <row r="1693" spans="1:18" x14ac:dyDescent="0.25">
      <c r="A1693" s="170">
        <v>46059</v>
      </c>
      <c r="B1693" s="116">
        <v>7640</v>
      </c>
      <c r="C1693" s="116">
        <v>7629.7</v>
      </c>
      <c r="D1693" s="116">
        <v>7500.6</v>
      </c>
      <c r="E1693" s="116">
        <v>7500.6</v>
      </c>
      <c r="F1693" s="116">
        <v>7629.7</v>
      </c>
      <c r="G1693">
        <v>12062</v>
      </c>
      <c r="H1693" s="116"/>
      <c r="I1693" s="116"/>
      <c r="L1693" s="170">
        <v>46059</v>
      </c>
      <c r="M1693" s="116">
        <v>7623.5</v>
      </c>
      <c r="N1693" s="116">
        <v>7643.5</v>
      </c>
      <c r="O1693" s="116">
        <v>7524</v>
      </c>
      <c r="P1693" s="116">
        <v>7536.5</v>
      </c>
      <c r="Q1693" s="116">
        <v>7623.5</v>
      </c>
      <c r="R1693">
        <v>142827</v>
      </c>
    </row>
    <row r="1694" spans="1:18" x14ac:dyDescent="0.25">
      <c r="A1694" s="170">
        <v>46062</v>
      </c>
      <c r="B1694" s="116">
        <v>7842.65</v>
      </c>
      <c r="C1694" s="116">
        <v>7784.5</v>
      </c>
      <c r="D1694" s="116">
        <v>7658.15</v>
      </c>
      <c r="E1694" s="116">
        <v>7698.9</v>
      </c>
      <c r="F1694" s="116">
        <v>7784.5</v>
      </c>
      <c r="G1694">
        <v>16587</v>
      </c>
      <c r="H1694" s="116"/>
      <c r="I1694" s="116"/>
      <c r="L1694" s="170">
        <v>46062</v>
      </c>
      <c r="M1694" s="116">
        <v>7788</v>
      </c>
      <c r="N1694" s="116">
        <v>7844.5</v>
      </c>
      <c r="O1694" s="116">
        <v>7645.5</v>
      </c>
      <c r="P1694" s="116">
        <v>7679</v>
      </c>
      <c r="Q1694" s="116">
        <v>7788</v>
      </c>
      <c r="R1694">
        <v>262430</v>
      </c>
    </row>
    <row r="1695" spans="1:18" x14ac:dyDescent="0.25">
      <c r="A1695" s="170">
        <v>46063</v>
      </c>
      <c r="B1695" s="116">
        <v>7799.95</v>
      </c>
      <c r="C1695" s="116">
        <v>7738.85</v>
      </c>
      <c r="D1695" s="116">
        <v>7706.6</v>
      </c>
      <c r="E1695" s="116">
        <v>7799.95</v>
      </c>
      <c r="F1695" s="116">
        <v>7738.85</v>
      </c>
      <c r="G1695">
        <v>4543</v>
      </c>
      <c r="H1695" s="116"/>
      <c r="I1695" s="116"/>
      <c r="L1695" s="170">
        <v>46063</v>
      </c>
      <c r="M1695" s="116">
        <v>7742.5</v>
      </c>
      <c r="N1695" s="116">
        <v>7794</v>
      </c>
      <c r="O1695" s="116">
        <v>7706</v>
      </c>
      <c r="P1695" s="116">
        <v>7790</v>
      </c>
      <c r="Q1695" s="116">
        <v>7742.5</v>
      </c>
      <c r="R1695">
        <v>131347</v>
      </c>
    </row>
    <row r="1696" spans="1:18" x14ac:dyDescent="0.25">
      <c r="A1696" s="170">
        <v>46064</v>
      </c>
      <c r="B1696" s="116">
        <v>7820</v>
      </c>
      <c r="C1696" s="116">
        <v>7816.1</v>
      </c>
      <c r="D1696" s="116">
        <v>7755.45</v>
      </c>
      <c r="E1696" s="116">
        <v>7765.6</v>
      </c>
      <c r="F1696" s="116">
        <v>7816.1</v>
      </c>
      <c r="G1696">
        <v>3810</v>
      </c>
      <c r="H1696" s="116"/>
      <c r="I1696" s="116"/>
      <c r="L1696" s="170">
        <v>46064</v>
      </c>
      <c r="M1696" s="116">
        <v>7814</v>
      </c>
      <c r="N1696" s="116">
        <v>7825</v>
      </c>
      <c r="O1696" s="116">
        <v>7756</v>
      </c>
      <c r="P1696" s="116">
        <v>7789.5</v>
      </c>
      <c r="Q1696" s="116">
        <v>7814</v>
      </c>
      <c r="R1696">
        <v>119349</v>
      </c>
    </row>
    <row r="1697" spans="1:18" x14ac:dyDescent="0.25">
      <c r="A1697" s="170">
        <v>46065</v>
      </c>
      <c r="B1697" s="116">
        <v>7800</v>
      </c>
      <c r="C1697" s="116">
        <v>7765.65</v>
      </c>
      <c r="D1697" s="116">
        <v>7725.4</v>
      </c>
      <c r="E1697" s="116">
        <v>7800</v>
      </c>
      <c r="F1697" s="116">
        <v>7765.65</v>
      </c>
      <c r="G1697">
        <v>10466</v>
      </c>
      <c r="H1697" s="116"/>
      <c r="I1697" s="116"/>
      <c r="L1697" s="170">
        <v>46065</v>
      </c>
      <c r="M1697" s="116">
        <v>7768</v>
      </c>
      <c r="N1697" s="116">
        <v>7799</v>
      </c>
      <c r="O1697" s="116">
        <v>7730</v>
      </c>
      <c r="P1697" s="116">
        <v>7781</v>
      </c>
      <c r="Q1697" s="116">
        <v>7768</v>
      </c>
      <c r="R1697">
        <v>145735</v>
      </c>
    </row>
    <row r="1698" spans="1:18" x14ac:dyDescent="0.25">
      <c r="A1698" s="170">
        <v>46066</v>
      </c>
      <c r="B1698" s="116">
        <v>7767.95</v>
      </c>
      <c r="C1698" s="116">
        <v>7592.25</v>
      </c>
      <c r="D1698" s="116">
        <v>7570</v>
      </c>
      <c r="E1698" s="116">
        <v>7767.95</v>
      </c>
      <c r="F1698" s="116">
        <v>7592.25</v>
      </c>
      <c r="G1698">
        <v>4260</v>
      </c>
      <c r="H1698" s="116"/>
      <c r="I1698" s="116"/>
      <c r="L1698" s="170">
        <v>46066</v>
      </c>
      <c r="M1698" s="116">
        <v>7587.5</v>
      </c>
      <c r="N1698" s="116">
        <v>7764</v>
      </c>
      <c r="O1698" s="116">
        <v>7565</v>
      </c>
      <c r="P1698" s="116">
        <v>7760.5</v>
      </c>
      <c r="Q1698" s="116">
        <v>7587.5</v>
      </c>
      <c r="R1698">
        <v>160046</v>
      </c>
    </row>
    <row r="1699" spans="1:18" x14ac:dyDescent="0.25">
      <c r="A1699" s="170">
        <v>46069</v>
      </c>
      <c r="B1699" s="116">
        <v>7670.65</v>
      </c>
      <c r="C1699" s="116">
        <v>7635.15</v>
      </c>
      <c r="D1699" s="116">
        <v>7539.1</v>
      </c>
      <c r="E1699" s="116">
        <v>7590</v>
      </c>
      <c r="F1699" s="116">
        <v>7635.15</v>
      </c>
      <c r="G1699">
        <v>6464</v>
      </c>
      <c r="H1699" s="116"/>
      <c r="I1699" s="116"/>
      <c r="L1699" s="170">
        <v>46069</v>
      </c>
      <c r="M1699" s="116">
        <v>7636</v>
      </c>
      <c r="N1699" s="116">
        <v>7674</v>
      </c>
      <c r="O1699" s="116">
        <v>7536</v>
      </c>
      <c r="P1699" s="116">
        <v>7617.5</v>
      </c>
      <c r="Q1699" s="116">
        <v>7636</v>
      </c>
      <c r="R1699">
        <v>107865</v>
      </c>
    </row>
    <row r="1700" spans="1:18" x14ac:dyDescent="0.25">
      <c r="A1700" s="170">
        <v>46070</v>
      </c>
      <c r="B1700" s="116">
        <v>7750.5</v>
      </c>
      <c r="C1700" s="116">
        <v>7741.95</v>
      </c>
      <c r="D1700" s="116">
        <v>7613.5</v>
      </c>
      <c r="E1700" s="116">
        <v>7699.7</v>
      </c>
      <c r="F1700" s="116">
        <v>7741.95</v>
      </c>
      <c r="G1700">
        <v>3702</v>
      </c>
      <c r="H1700" s="116"/>
      <c r="I1700" s="116"/>
      <c r="L1700" s="170">
        <v>46070</v>
      </c>
      <c r="M1700" s="116">
        <v>7742</v>
      </c>
      <c r="N1700" s="116">
        <v>7754.5</v>
      </c>
      <c r="O1700" s="116">
        <v>7616</v>
      </c>
      <c r="P1700" s="116">
        <v>7650</v>
      </c>
      <c r="Q1700" s="116">
        <v>7742</v>
      </c>
      <c r="R1700">
        <v>90445</v>
      </c>
    </row>
    <row r="1701" spans="1:18" x14ac:dyDescent="0.25">
      <c r="A1701" s="170">
        <v>46071</v>
      </c>
      <c r="B1701" s="116">
        <v>7838</v>
      </c>
      <c r="C1701" s="116">
        <v>7826.1</v>
      </c>
      <c r="D1701" s="116">
        <v>7741.25</v>
      </c>
      <c r="E1701" s="116">
        <v>7798.45</v>
      </c>
      <c r="F1701" s="116">
        <v>7826.1</v>
      </c>
      <c r="G1701">
        <v>5908</v>
      </c>
      <c r="H1701" s="116"/>
      <c r="I1701" s="116"/>
      <c r="L1701" s="170">
        <v>46071</v>
      </c>
      <c r="M1701" s="116">
        <v>7830</v>
      </c>
      <c r="N1701" s="116">
        <v>7838.5</v>
      </c>
      <c r="O1701" s="116">
        <v>7753.5</v>
      </c>
      <c r="P1701" s="116">
        <v>7777</v>
      </c>
      <c r="Q1701" s="116">
        <v>7830</v>
      </c>
      <c r="R1701">
        <v>162110</v>
      </c>
    </row>
    <row r="1702" spans="1:18" x14ac:dyDescent="0.25">
      <c r="A1702" s="170">
        <v>46072</v>
      </c>
      <c r="B1702" s="116">
        <v>7898</v>
      </c>
      <c r="C1702" s="116">
        <v>7773.45</v>
      </c>
      <c r="D1702" s="116">
        <v>7727</v>
      </c>
      <c r="E1702" s="116">
        <v>7810.45</v>
      </c>
      <c r="F1702" s="116">
        <v>7773.45</v>
      </c>
      <c r="G1702">
        <v>4855</v>
      </c>
      <c r="H1702" s="116"/>
      <c r="I1702" s="116"/>
      <c r="L1702" s="170">
        <v>46072</v>
      </c>
      <c r="M1702" s="116">
        <v>7778</v>
      </c>
      <c r="N1702" s="116">
        <v>7898.5</v>
      </c>
      <c r="O1702" s="116">
        <v>7720</v>
      </c>
      <c r="P1702" s="116">
        <v>7830</v>
      </c>
      <c r="Q1702" s="116">
        <v>7778</v>
      </c>
      <c r="R1702">
        <v>264268</v>
      </c>
    </row>
    <row r="1703" spans="1:18" x14ac:dyDescent="0.25">
      <c r="A1703" s="170">
        <v>46073</v>
      </c>
      <c r="B1703" s="116">
        <v>7931.1</v>
      </c>
      <c r="C1703" s="116">
        <v>7855.8</v>
      </c>
      <c r="D1703" s="116">
        <v>7712</v>
      </c>
      <c r="E1703" s="116">
        <v>7780</v>
      </c>
      <c r="F1703" s="116">
        <v>7855.8</v>
      </c>
      <c r="G1703">
        <v>266882</v>
      </c>
      <c r="H1703" s="116"/>
      <c r="I1703" s="116"/>
      <c r="L1703" s="170">
        <v>46073</v>
      </c>
      <c r="M1703" s="116">
        <v>7869</v>
      </c>
      <c r="N1703" s="116">
        <v>7932</v>
      </c>
      <c r="O1703" s="116">
        <v>7710</v>
      </c>
      <c r="P1703" s="116">
        <v>7780</v>
      </c>
      <c r="Q1703" s="116">
        <v>7869</v>
      </c>
      <c r="R1703">
        <v>393536</v>
      </c>
    </row>
    <row r="1704" spans="1:18" x14ac:dyDescent="0.25">
      <c r="A1704" s="170">
        <v>46076</v>
      </c>
      <c r="B1704" s="116">
        <v>8002.65</v>
      </c>
      <c r="C1704" s="116">
        <v>7972.2</v>
      </c>
      <c r="D1704" s="116">
        <v>7846</v>
      </c>
      <c r="E1704" s="116">
        <v>7940</v>
      </c>
      <c r="F1704" s="116">
        <v>7972.2</v>
      </c>
      <c r="G1704">
        <v>6826</v>
      </c>
      <c r="H1704" s="116"/>
      <c r="I1704" s="116"/>
      <c r="L1704" s="170">
        <v>46076</v>
      </c>
      <c r="M1704" s="116">
        <v>7974</v>
      </c>
      <c r="N1704" s="116">
        <v>8005</v>
      </c>
      <c r="O1704" s="116">
        <v>7830</v>
      </c>
      <c r="P1704" s="116">
        <v>7939</v>
      </c>
      <c r="Q1704" s="116">
        <v>7974</v>
      </c>
      <c r="R1704">
        <v>328097</v>
      </c>
    </row>
    <row r="1705" spans="1:18" x14ac:dyDescent="0.25">
      <c r="A1705" s="170">
        <v>46077</v>
      </c>
      <c r="B1705" s="116">
        <v>8145.9</v>
      </c>
      <c r="C1705" s="116">
        <v>8118.4</v>
      </c>
      <c r="D1705" s="116">
        <v>7926.15</v>
      </c>
      <c r="E1705" s="116">
        <v>7927.7</v>
      </c>
      <c r="F1705" s="116">
        <v>8118.4</v>
      </c>
      <c r="G1705">
        <v>19716</v>
      </c>
      <c r="H1705" s="116"/>
      <c r="I1705" s="116"/>
      <c r="L1705" s="170">
        <v>46077</v>
      </c>
      <c r="M1705" s="116">
        <v>8120.5</v>
      </c>
      <c r="N1705" s="116">
        <v>8147.5</v>
      </c>
      <c r="O1705" s="116">
        <v>7911</v>
      </c>
      <c r="P1705" s="116">
        <v>7969</v>
      </c>
      <c r="Q1705" s="116">
        <v>8120.5</v>
      </c>
      <c r="R1705">
        <v>858763</v>
      </c>
    </row>
    <row r="1706" spans="1:18" x14ac:dyDescent="0.25">
      <c r="A1706" s="170">
        <v>46078</v>
      </c>
      <c r="B1706" s="116">
        <v>8404</v>
      </c>
      <c r="C1706" s="116">
        <v>8350.5499999999993</v>
      </c>
      <c r="D1706" s="116">
        <v>8120</v>
      </c>
      <c r="E1706" s="116">
        <v>8134</v>
      </c>
      <c r="F1706" s="116">
        <v>8350.5499999999993</v>
      </c>
      <c r="G1706">
        <v>26942</v>
      </c>
      <c r="H1706" s="116"/>
      <c r="I1706" s="116"/>
      <c r="L1706" s="170">
        <v>46078</v>
      </c>
      <c r="M1706" s="116">
        <v>8348.5</v>
      </c>
      <c r="N1706" s="116">
        <v>8407.5</v>
      </c>
      <c r="O1706" s="116">
        <v>8119.5</v>
      </c>
      <c r="P1706" s="116">
        <v>8120.5</v>
      </c>
      <c r="Q1706" s="116">
        <v>8348.5</v>
      </c>
      <c r="R1706">
        <v>886874</v>
      </c>
    </row>
    <row r="1707" spans="1:18" x14ac:dyDescent="0.25">
      <c r="A1707" s="170">
        <v>46079</v>
      </c>
      <c r="B1707" s="116">
        <v>8526.9500000000007</v>
      </c>
      <c r="C1707" s="116">
        <v>8504</v>
      </c>
      <c r="D1707" s="116">
        <v>8342</v>
      </c>
      <c r="E1707" s="116">
        <v>8348.5</v>
      </c>
      <c r="F1707" s="116">
        <v>8504</v>
      </c>
      <c r="G1707">
        <v>28468</v>
      </c>
      <c r="H1707" s="116"/>
      <c r="I1707" s="116"/>
      <c r="L1707" s="170">
        <v>46079</v>
      </c>
      <c r="M1707" s="116">
        <v>8506</v>
      </c>
      <c r="N1707" s="116">
        <v>8539.5</v>
      </c>
      <c r="O1707" s="116">
        <v>8345</v>
      </c>
      <c r="P1707" s="116">
        <v>8348.5</v>
      </c>
      <c r="Q1707" s="116">
        <v>8506</v>
      </c>
      <c r="R1707">
        <v>629664</v>
      </c>
    </row>
    <row r="1708" spans="1:18" x14ac:dyDescent="0.25">
      <c r="A1708" s="170">
        <v>46080</v>
      </c>
      <c r="B1708" s="116">
        <v>8724.35</v>
      </c>
      <c r="C1708" s="116">
        <v>8610.15</v>
      </c>
      <c r="D1708" s="116">
        <v>8467.5499999999993</v>
      </c>
      <c r="E1708" s="116">
        <v>8533.5</v>
      </c>
      <c r="F1708" s="116">
        <v>8610.15</v>
      </c>
      <c r="G1708">
        <v>15510</v>
      </c>
      <c r="H1708" s="116"/>
      <c r="I1708" s="116"/>
      <c r="L1708" s="170">
        <v>46080</v>
      </c>
      <c r="M1708" s="116">
        <v>8610.5</v>
      </c>
      <c r="N1708" s="116">
        <v>8722</v>
      </c>
      <c r="O1708" s="116">
        <v>8469.5</v>
      </c>
      <c r="P1708" s="116">
        <v>8502</v>
      </c>
      <c r="Q1708" s="116">
        <v>8610.5</v>
      </c>
      <c r="R1708">
        <v>926904</v>
      </c>
    </row>
    <row r="1709" spans="1:18" x14ac:dyDescent="0.25">
      <c r="A1709" s="170">
        <v>46083</v>
      </c>
      <c r="B1709" s="116">
        <v>8695.75</v>
      </c>
      <c r="C1709" s="116">
        <v>8548.4</v>
      </c>
      <c r="D1709" s="116">
        <v>8226.7000000000007</v>
      </c>
      <c r="E1709" s="116">
        <v>8226.7000000000007</v>
      </c>
      <c r="F1709" s="116">
        <v>8548.4</v>
      </c>
      <c r="G1709">
        <v>28581</v>
      </c>
      <c r="H1709" s="116"/>
      <c r="I1709" s="116"/>
      <c r="L1709" s="170">
        <v>46083</v>
      </c>
      <c r="M1709" s="116">
        <v>8548.5</v>
      </c>
      <c r="N1709" s="116">
        <v>8696.5</v>
      </c>
      <c r="O1709" s="116">
        <v>8400</v>
      </c>
      <c r="P1709" s="116">
        <v>8400</v>
      </c>
      <c r="Q1709" s="116">
        <v>8548.5</v>
      </c>
      <c r="R1709">
        <v>653618</v>
      </c>
    </row>
    <row r="1710" spans="1:18" x14ac:dyDescent="0.25">
      <c r="A1710" s="170">
        <v>46085</v>
      </c>
      <c r="B1710" s="116">
        <v>8482.75</v>
      </c>
      <c r="C1710" s="116">
        <v>8283.9500000000007</v>
      </c>
      <c r="D1710" s="116">
        <v>8268.85</v>
      </c>
      <c r="E1710" s="116">
        <v>8440.6</v>
      </c>
      <c r="F1710" s="116">
        <v>8283.9500000000007</v>
      </c>
      <c r="G1710">
        <v>13511</v>
      </c>
      <c r="H1710" s="116"/>
      <c r="I1710" s="116"/>
      <c r="L1710" s="170">
        <v>46085</v>
      </c>
      <c r="M1710" s="116">
        <v>8284</v>
      </c>
      <c r="N1710" s="116">
        <v>8475</v>
      </c>
      <c r="O1710" s="116">
        <v>8266.5</v>
      </c>
      <c r="P1710" s="116">
        <v>8420</v>
      </c>
      <c r="Q1710" s="116">
        <v>8284</v>
      </c>
      <c r="R1710">
        <v>485905</v>
      </c>
    </row>
    <row r="1711" spans="1:18" x14ac:dyDescent="0.25">
      <c r="A1711" s="170">
        <v>46086</v>
      </c>
      <c r="B1711" s="116">
        <v>8588.25</v>
      </c>
      <c r="C1711" s="116">
        <v>8566.4500000000007</v>
      </c>
      <c r="D1711" s="116">
        <v>8274</v>
      </c>
      <c r="E1711" s="116">
        <v>8284.9</v>
      </c>
      <c r="F1711" s="116">
        <v>8566.4500000000007</v>
      </c>
      <c r="G1711">
        <v>12701</v>
      </c>
      <c r="H1711" s="116"/>
      <c r="I1711" s="116"/>
      <c r="L1711" s="170">
        <v>46086</v>
      </c>
      <c r="M1711" s="116">
        <v>8564</v>
      </c>
      <c r="N1711" s="116">
        <v>8586</v>
      </c>
      <c r="O1711" s="116">
        <v>8272</v>
      </c>
      <c r="P1711" s="116">
        <v>8331</v>
      </c>
      <c r="Q1711" s="116">
        <v>8564</v>
      </c>
      <c r="R1711">
        <v>504469</v>
      </c>
    </row>
    <row r="1712" spans="1:18" x14ac:dyDescent="0.25">
      <c r="A1712" s="170">
        <v>46087</v>
      </c>
      <c r="B1712" s="116">
        <v>8628.9</v>
      </c>
      <c r="C1712" s="116">
        <v>8551.85</v>
      </c>
      <c r="D1712" s="116">
        <v>8472</v>
      </c>
      <c r="E1712" s="116">
        <v>8500.15</v>
      </c>
      <c r="F1712" s="116">
        <v>8551.85</v>
      </c>
      <c r="G1712">
        <v>20577</v>
      </c>
      <c r="H1712" s="116"/>
      <c r="I1712" s="116"/>
      <c r="L1712" s="170">
        <v>46087</v>
      </c>
      <c r="M1712" s="116">
        <v>8552</v>
      </c>
      <c r="N1712" s="116">
        <v>8630</v>
      </c>
      <c r="O1712" s="116">
        <v>8480</v>
      </c>
      <c r="P1712" s="116">
        <v>8562</v>
      </c>
      <c r="Q1712" s="116">
        <v>8552</v>
      </c>
      <c r="R1712">
        <v>287941</v>
      </c>
    </row>
    <row r="1713" spans="1:18" x14ac:dyDescent="0.25">
      <c r="A1713" s="170">
        <v>46090</v>
      </c>
      <c r="B1713" s="116">
        <v>8499.65</v>
      </c>
      <c r="C1713" s="116">
        <v>8229.35</v>
      </c>
      <c r="D1713" s="116">
        <v>8176.15</v>
      </c>
      <c r="E1713" s="116">
        <v>8499.65</v>
      </c>
      <c r="F1713" s="116">
        <v>8229.35</v>
      </c>
      <c r="G1713">
        <v>29242</v>
      </c>
      <c r="H1713" s="116"/>
      <c r="I1713" s="116"/>
      <c r="L1713" s="170">
        <v>46090</v>
      </c>
      <c r="M1713" s="116">
        <v>8228.5</v>
      </c>
      <c r="N1713" s="116">
        <v>8455</v>
      </c>
      <c r="O1713" s="116">
        <v>8180</v>
      </c>
      <c r="P1713" s="116">
        <v>8450</v>
      </c>
      <c r="Q1713" s="116">
        <v>8228.5</v>
      </c>
      <c r="R1713">
        <v>498043</v>
      </c>
    </row>
    <row r="1714" spans="1:18" x14ac:dyDescent="0.25">
      <c r="A1714" s="170">
        <v>46091</v>
      </c>
      <c r="B1714" s="116">
        <v>8389.7000000000007</v>
      </c>
      <c r="C1714" s="116">
        <v>7723.1</v>
      </c>
      <c r="D1714" s="116">
        <v>7686</v>
      </c>
      <c r="E1714" s="116">
        <v>8389.7000000000007</v>
      </c>
      <c r="F1714" s="116">
        <v>7723.1</v>
      </c>
      <c r="G1714">
        <v>75206</v>
      </c>
      <c r="H1714" s="116"/>
      <c r="I1714" s="116"/>
      <c r="L1714" s="170">
        <v>46091</v>
      </c>
      <c r="M1714" s="116">
        <v>7723</v>
      </c>
      <c r="N1714" s="116">
        <v>8363</v>
      </c>
      <c r="O1714" s="116">
        <v>7684</v>
      </c>
      <c r="P1714" s="116">
        <v>8363</v>
      </c>
      <c r="Q1714" s="116">
        <v>7723</v>
      </c>
      <c r="R1714">
        <v>1056999</v>
      </c>
    </row>
    <row r="1715" spans="1:18" x14ac:dyDescent="0.25">
      <c r="A1715" s="170">
        <v>46092</v>
      </c>
      <c r="B1715" s="116">
        <v>7722.05</v>
      </c>
      <c r="C1715" s="116">
        <v>7431.85</v>
      </c>
      <c r="D1715" s="116">
        <v>7385</v>
      </c>
      <c r="E1715" s="116">
        <v>7722.05</v>
      </c>
      <c r="F1715" s="116">
        <v>7431.85</v>
      </c>
      <c r="G1715">
        <v>58182</v>
      </c>
      <c r="H1715" s="116"/>
      <c r="I1715" s="116"/>
      <c r="L1715" s="170">
        <v>46092</v>
      </c>
      <c r="M1715" s="116">
        <v>7429.5</v>
      </c>
      <c r="N1715" s="116">
        <v>7707.5</v>
      </c>
      <c r="O1715" s="116">
        <v>7383</v>
      </c>
      <c r="P1715" s="116">
        <v>7690</v>
      </c>
      <c r="Q1715" s="116">
        <v>7429.5</v>
      </c>
      <c r="R1715">
        <v>1095711</v>
      </c>
    </row>
    <row r="1716" spans="1:18" x14ac:dyDescent="0.25">
      <c r="A1716" s="170">
        <v>46093</v>
      </c>
      <c r="B1716" s="116">
        <v>7533</v>
      </c>
      <c r="C1716" s="116">
        <v>7446.65</v>
      </c>
      <c r="D1716" s="116">
        <v>7281.55</v>
      </c>
      <c r="E1716" s="116">
        <v>7380.05</v>
      </c>
      <c r="F1716" s="116">
        <v>7446.65</v>
      </c>
      <c r="G1716">
        <v>31589</v>
      </c>
      <c r="H1716" s="116"/>
      <c r="I1716" s="116"/>
      <c r="L1716" s="170">
        <v>46093</v>
      </c>
      <c r="M1716" s="116">
        <v>7455</v>
      </c>
      <c r="N1716" s="116">
        <v>7538</v>
      </c>
      <c r="O1716" s="116">
        <v>7282</v>
      </c>
      <c r="P1716" s="116">
        <v>7400</v>
      </c>
      <c r="Q1716" s="116">
        <v>7455</v>
      </c>
      <c r="R1716">
        <v>498945</v>
      </c>
    </row>
    <row r="1717" spans="1:18" x14ac:dyDescent="0.25">
      <c r="A1717" s="170">
        <v>46094</v>
      </c>
      <c r="B1717" s="116">
        <v>7449.25</v>
      </c>
      <c r="C1717" s="116">
        <v>7203.25</v>
      </c>
      <c r="D1717" s="116">
        <v>7122</v>
      </c>
      <c r="E1717" s="116">
        <v>7449.25</v>
      </c>
      <c r="F1717" s="116">
        <v>7203.25</v>
      </c>
      <c r="G1717">
        <v>91683</v>
      </c>
      <c r="H1717" s="116"/>
      <c r="I1717" s="116"/>
      <c r="L1717" s="170">
        <v>46094</v>
      </c>
      <c r="M1717" s="116">
        <v>7193.5</v>
      </c>
      <c r="N1717" s="116">
        <v>7429.5</v>
      </c>
      <c r="O1717" s="116">
        <v>7118</v>
      </c>
      <c r="P1717" s="116">
        <v>7429.5</v>
      </c>
      <c r="Q1717" s="116">
        <v>7193.5</v>
      </c>
      <c r="R1717">
        <v>629203</v>
      </c>
    </row>
    <row r="1718" spans="1:18" x14ac:dyDescent="0.25">
      <c r="A1718" s="170">
        <v>46097</v>
      </c>
      <c r="B1718" s="116">
        <v>7222.45</v>
      </c>
      <c r="C1718" s="116">
        <v>7128.6</v>
      </c>
      <c r="D1718" s="116">
        <v>7007.5</v>
      </c>
      <c r="E1718" s="116">
        <v>7202</v>
      </c>
      <c r="F1718" s="116">
        <v>7128.6</v>
      </c>
      <c r="G1718">
        <v>30338</v>
      </c>
      <c r="H1718" s="116"/>
      <c r="I1718" s="116"/>
      <c r="L1718" s="170">
        <v>46097</v>
      </c>
      <c r="M1718" s="116">
        <v>7127</v>
      </c>
      <c r="N1718" s="116">
        <v>7224.5</v>
      </c>
      <c r="O1718" s="116">
        <v>7008</v>
      </c>
      <c r="P1718" s="116">
        <v>7203</v>
      </c>
      <c r="Q1718" s="116">
        <v>7127</v>
      </c>
      <c r="R1718">
        <v>459070</v>
      </c>
    </row>
    <row r="1719" spans="1:18" x14ac:dyDescent="0.25">
      <c r="A1719" s="170">
        <v>46098</v>
      </c>
      <c r="B1719" s="116">
        <v>7193</v>
      </c>
      <c r="C1719" s="116">
        <v>7169.25</v>
      </c>
      <c r="D1719" s="116">
        <v>7050</v>
      </c>
      <c r="E1719" s="116">
        <v>7136.25</v>
      </c>
      <c r="F1719" s="116">
        <v>7169.25</v>
      </c>
      <c r="G1719">
        <v>35587</v>
      </c>
      <c r="H1719" s="116"/>
      <c r="I1719" s="116"/>
      <c r="L1719" s="170">
        <v>46098</v>
      </c>
      <c r="M1719" s="116">
        <v>7166.5</v>
      </c>
      <c r="N1719" s="116">
        <v>7194.5</v>
      </c>
      <c r="O1719" s="116">
        <v>7050</v>
      </c>
      <c r="P1719" s="116">
        <v>7150</v>
      </c>
      <c r="Q1719" s="116">
        <v>7166.5</v>
      </c>
      <c r="R1719">
        <v>353172</v>
      </c>
    </row>
    <row r="1720" spans="1:18" x14ac:dyDescent="0.25">
      <c r="A1720" s="170">
        <v>46099</v>
      </c>
      <c r="B1720" s="116">
        <v>7404</v>
      </c>
      <c r="C1720" s="116">
        <v>7373.75</v>
      </c>
      <c r="D1720" s="116">
        <v>7170.1</v>
      </c>
      <c r="E1720" s="116">
        <v>7170.1</v>
      </c>
      <c r="F1720" s="116">
        <v>7373.75</v>
      </c>
      <c r="G1720">
        <v>44832</v>
      </c>
      <c r="H1720" s="116"/>
      <c r="I1720" s="116"/>
      <c r="L1720" s="170">
        <v>46099</v>
      </c>
      <c r="M1720" s="116">
        <v>7374.5</v>
      </c>
      <c r="N1720" s="116">
        <v>7409</v>
      </c>
      <c r="O1720" s="116">
        <v>7176.5</v>
      </c>
      <c r="P1720" s="116">
        <v>7200</v>
      </c>
      <c r="Q1720" s="116">
        <v>7374.5</v>
      </c>
      <c r="R1720">
        <v>683932</v>
      </c>
    </row>
    <row r="1721" spans="1:18" x14ac:dyDescent="0.25">
      <c r="A1721" s="170">
        <v>46100</v>
      </c>
      <c r="B1721" s="116">
        <v>7311.65</v>
      </c>
      <c r="C1721" s="116">
        <v>7169.1</v>
      </c>
      <c r="D1721" s="116">
        <v>7105</v>
      </c>
      <c r="E1721" s="116">
        <v>7311.65</v>
      </c>
      <c r="F1721" s="116">
        <v>7169.1</v>
      </c>
      <c r="G1721">
        <v>19931</v>
      </c>
      <c r="H1721" s="116"/>
      <c r="I1721" s="116"/>
      <c r="L1721" s="170">
        <v>46100</v>
      </c>
      <c r="M1721" s="116">
        <v>7180</v>
      </c>
      <c r="N1721" s="116">
        <v>7288</v>
      </c>
      <c r="O1721" s="116">
        <v>7101.5</v>
      </c>
      <c r="P1721" s="116">
        <v>7277</v>
      </c>
      <c r="Q1721" s="116">
        <v>7180</v>
      </c>
      <c r="R1721">
        <v>642482</v>
      </c>
    </row>
    <row r="1722" spans="1:18" x14ac:dyDescent="0.25">
      <c r="A1722" s="170">
        <v>46101</v>
      </c>
      <c r="B1722" s="116">
        <v>7350.6</v>
      </c>
      <c r="C1722" s="116">
        <v>7170.85</v>
      </c>
      <c r="D1722" s="116">
        <v>7130</v>
      </c>
      <c r="E1722" s="116">
        <v>7278.25</v>
      </c>
      <c r="F1722" s="116">
        <v>7170.85</v>
      </c>
      <c r="G1722">
        <v>11925</v>
      </c>
      <c r="H1722" s="116"/>
      <c r="I1722" s="116"/>
      <c r="L1722" s="170">
        <v>46101</v>
      </c>
      <c r="M1722" s="116">
        <v>7171</v>
      </c>
      <c r="N1722" s="116">
        <v>7346.5</v>
      </c>
      <c r="O1722" s="116">
        <v>7126</v>
      </c>
      <c r="P1722" s="116">
        <v>7205</v>
      </c>
      <c r="Q1722" s="116">
        <v>7171</v>
      </c>
      <c r="R1722">
        <v>450944</v>
      </c>
    </row>
    <row r="1723" spans="1:18" x14ac:dyDescent="0.25">
      <c r="A1723" s="170">
        <v>46104</v>
      </c>
      <c r="B1723" s="116">
        <v>7129.85</v>
      </c>
      <c r="C1723" s="116">
        <v>6792.25</v>
      </c>
      <c r="D1723" s="116">
        <v>6745.6</v>
      </c>
      <c r="E1723" s="116">
        <v>7129.85</v>
      </c>
      <c r="F1723" s="116">
        <v>6792.25</v>
      </c>
      <c r="G1723">
        <v>23227</v>
      </c>
      <c r="H1723" s="116"/>
      <c r="I1723" s="116"/>
      <c r="L1723" s="170">
        <v>46104</v>
      </c>
      <c r="M1723" s="116">
        <v>6795</v>
      </c>
      <c r="N1723" s="116">
        <v>7100</v>
      </c>
      <c r="O1723" s="116">
        <v>6750</v>
      </c>
      <c r="P1723" s="116">
        <v>7100</v>
      </c>
      <c r="Q1723" s="116">
        <v>6795</v>
      </c>
      <c r="R1723">
        <v>652615</v>
      </c>
    </row>
    <row r="1724" spans="1:18" x14ac:dyDescent="0.25">
      <c r="A1724" s="170">
        <v>46105</v>
      </c>
      <c r="B1724" s="116">
        <v>7140.3</v>
      </c>
      <c r="C1724" s="116">
        <v>7060.8</v>
      </c>
      <c r="D1724" s="116">
        <v>6776.55</v>
      </c>
      <c r="E1724" s="116">
        <v>7026.55</v>
      </c>
      <c r="F1724" s="116">
        <v>7060.8</v>
      </c>
      <c r="G1724">
        <v>43884</v>
      </c>
      <c r="H1724" s="116"/>
      <c r="I1724" s="116"/>
      <c r="L1724" s="170">
        <v>46105</v>
      </c>
      <c r="M1724" s="116">
        <v>7064.5</v>
      </c>
      <c r="N1724" s="116">
        <v>7141</v>
      </c>
      <c r="O1724" s="116">
        <v>6774.5</v>
      </c>
      <c r="P1724" s="116">
        <v>7001.5</v>
      </c>
      <c r="Q1724" s="116">
        <v>7064.5</v>
      </c>
      <c r="R1724">
        <v>902790</v>
      </c>
    </row>
    <row r="1725" spans="1:18" x14ac:dyDescent="0.25">
      <c r="A1725" s="170">
        <v>46106</v>
      </c>
      <c r="B1725" s="116">
        <v>7272</v>
      </c>
      <c r="C1725" s="116">
        <v>7147.2</v>
      </c>
      <c r="D1725" s="116">
        <v>7100.2</v>
      </c>
      <c r="E1725" s="116">
        <v>7100.2</v>
      </c>
      <c r="F1725" s="116">
        <v>7147.2</v>
      </c>
      <c r="G1725">
        <v>22163</v>
      </c>
      <c r="H1725" s="116"/>
      <c r="I1725" s="116"/>
      <c r="L1725" s="170">
        <v>46106</v>
      </c>
      <c r="M1725" s="116">
        <v>7145</v>
      </c>
      <c r="N1725" s="116">
        <v>7271</v>
      </c>
      <c r="O1725" s="116">
        <v>7104</v>
      </c>
      <c r="P1725" s="116">
        <v>7120</v>
      </c>
      <c r="Q1725" s="116">
        <v>7145</v>
      </c>
      <c r="R1725">
        <v>491517</v>
      </c>
    </row>
    <row r="1726" spans="1:18" x14ac:dyDescent="0.25">
      <c r="A1726" s="170">
        <v>46108</v>
      </c>
      <c r="B1726" s="116">
        <v>7113.55</v>
      </c>
      <c r="C1726" s="116">
        <v>7065.15</v>
      </c>
      <c r="D1726" s="116">
        <v>6933.5</v>
      </c>
      <c r="E1726" s="116">
        <v>7000.8</v>
      </c>
      <c r="F1726" s="116">
        <v>7065.15</v>
      </c>
      <c r="G1726">
        <v>34151</v>
      </c>
      <c r="H1726" s="116"/>
      <c r="I1726" s="116"/>
      <c r="L1726" s="170">
        <v>46108</v>
      </c>
      <c r="M1726" s="116">
        <v>7067</v>
      </c>
      <c r="N1726" s="116">
        <v>7109.5</v>
      </c>
      <c r="O1726" s="116">
        <v>6935</v>
      </c>
      <c r="P1726" s="116">
        <v>7046</v>
      </c>
      <c r="Q1726" s="116">
        <v>7067</v>
      </c>
      <c r="R1726">
        <v>580456</v>
      </c>
    </row>
    <row r="1727" spans="1:18" x14ac:dyDescent="0.25">
      <c r="A1727" s="170">
        <v>46111</v>
      </c>
      <c r="B1727" s="116">
        <v>7015</v>
      </c>
      <c r="C1727" s="116">
        <v>6841.05</v>
      </c>
      <c r="D1727" s="116">
        <v>6805</v>
      </c>
      <c r="E1727" s="116">
        <v>6999.75</v>
      </c>
      <c r="F1727" s="116">
        <v>6841.05</v>
      </c>
      <c r="G1727">
        <v>14225</v>
      </c>
      <c r="H1727" s="116"/>
      <c r="I1727" s="116"/>
      <c r="L1727" s="170">
        <v>46111</v>
      </c>
      <c r="M1727" s="116">
        <v>6843.5</v>
      </c>
      <c r="N1727" s="116">
        <v>7017.5</v>
      </c>
      <c r="O1727" s="116">
        <v>6800</v>
      </c>
      <c r="P1727" s="116">
        <v>6941.5</v>
      </c>
      <c r="Q1727" s="116">
        <v>6843.5</v>
      </c>
      <c r="R1727">
        <v>550269</v>
      </c>
    </row>
    <row r="1728" spans="1:18" x14ac:dyDescent="0.25">
      <c r="A1728" s="170">
        <v>46113</v>
      </c>
      <c r="B1728" s="116">
        <v>7349.55</v>
      </c>
      <c r="C1728" s="116">
        <v>6929.9</v>
      </c>
      <c r="D1728" s="116">
        <v>6882</v>
      </c>
      <c r="E1728" s="116">
        <v>7349.55</v>
      </c>
      <c r="F1728" s="116">
        <v>6929.9</v>
      </c>
      <c r="G1728">
        <v>15779</v>
      </c>
      <c r="H1728" s="116"/>
      <c r="I1728" s="116"/>
      <c r="L1728" s="170">
        <v>46113</v>
      </c>
      <c r="M1728" s="116">
        <v>6925</v>
      </c>
      <c r="N1728" s="116">
        <v>7188</v>
      </c>
      <c r="O1728" s="116">
        <v>6882</v>
      </c>
      <c r="P1728" s="116">
        <v>7148.5</v>
      </c>
      <c r="Q1728" s="116">
        <v>6925</v>
      </c>
      <c r="R1728">
        <v>424350</v>
      </c>
    </row>
    <row r="1729" spans="1:18" x14ac:dyDescent="0.25">
      <c r="A1729" s="170">
        <v>46114</v>
      </c>
      <c r="B1729" s="116">
        <v>6906</v>
      </c>
      <c r="C1729" s="116">
        <v>6871.85</v>
      </c>
      <c r="D1729" s="116">
        <v>6700</v>
      </c>
      <c r="E1729" s="116">
        <v>6855.1</v>
      </c>
      <c r="F1729" s="116">
        <v>6871.85</v>
      </c>
      <c r="G1729">
        <v>24123</v>
      </c>
      <c r="H1729" s="116"/>
      <c r="I1729" s="116"/>
      <c r="L1729" s="170">
        <v>46114</v>
      </c>
      <c r="M1729" s="116">
        <v>6878</v>
      </c>
      <c r="N1729" s="116">
        <v>6906</v>
      </c>
      <c r="O1729" s="116">
        <v>6690.5</v>
      </c>
      <c r="P1729" s="116">
        <v>6860</v>
      </c>
      <c r="Q1729" s="116">
        <v>6878</v>
      </c>
      <c r="R1729">
        <v>387042</v>
      </c>
    </row>
    <row r="1730" spans="1:18" x14ac:dyDescent="0.25">
      <c r="A1730" s="170">
        <v>46118</v>
      </c>
      <c r="B1730" s="116">
        <v>7070</v>
      </c>
      <c r="C1730" s="116">
        <v>7045.25</v>
      </c>
      <c r="D1730" s="116">
        <v>6819.1</v>
      </c>
      <c r="E1730" s="116">
        <v>6948.8</v>
      </c>
      <c r="F1730" s="116">
        <v>7045.25</v>
      </c>
      <c r="G1730">
        <v>14775</v>
      </c>
      <c r="H1730" s="116"/>
      <c r="I1730" s="116"/>
      <c r="L1730" s="170">
        <v>46118</v>
      </c>
      <c r="M1730" s="116">
        <v>7047</v>
      </c>
      <c r="N1730" s="116">
        <v>7075</v>
      </c>
      <c r="O1730" s="116">
        <v>6817</v>
      </c>
      <c r="P1730" s="116">
        <v>6925</v>
      </c>
      <c r="Q1730" s="116">
        <v>7047</v>
      </c>
      <c r="R1730">
        <v>345105</v>
      </c>
    </row>
    <row r="1731" spans="1:18" x14ac:dyDescent="0.25">
      <c r="A1731" s="170">
        <v>46119</v>
      </c>
      <c r="B1731" s="116">
        <v>7241.25</v>
      </c>
      <c r="C1731" s="116">
        <v>7229.95</v>
      </c>
      <c r="D1731" s="116">
        <v>6947</v>
      </c>
      <c r="E1731" s="116">
        <v>7069.25</v>
      </c>
      <c r="F1731" s="116">
        <v>7229.95</v>
      </c>
      <c r="G1731">
        <v>13487</v>
      </c>
      <c r="H1731" s="116"/>
      <c r="I1731" s="116"/>
      <c r="L1731" s="170">
        <v>46119</v>
      </c>
      <c r="M1731" s="116">
        <v>7227</v>
      </c>
      <c r="N1731" s="116">
        <v>7239.5</v>
      </c>
      <c r="O1731" s="116">
        <v>6942.5</v>
      </c>
      <c r="P1731" s="116">
        <v>7035.5</v>
      </c>
      <c r="Q1731" s="116">
        <v>7227</v>
      </c>
      <c r="R1731">
        <v>344147</v>
      </c>
    </row>
    <row r="1732" spans="1:18" x14ac:dyDescent="0.25">
      <c r="A1732" s="170">
        <v>46120</v>
      </c>
      <c r="B1732" s="116">
        <v>7643.95</v>
      </c>
      <c r="C1732" s="116">
        <v>7601.15</v>
      </c>
      <c r="D1732" s="116">
        <v>7447</v>
      </c>
      <c r="E1732" s="116">
        <v>7485.85</v>
      </c>
      <c r="F1732" s="116">
        <v>7601.15</v>
      </c>
      <c r="G1732">
        <v>44502</v>
      </c>
      <c r="H1732" s="116"/>
      <c r="I1732" s="116"/>
      <c r="L1732" s="170">
        <v>46120</v>
      </c>
      <c r="M1732" s="116">
        <v>7600.5</v>
      </c>
      <c r="N1732" s="116">
        <v>7648.5</v>
      </c>
      <c r="O1732" s="116">
        <v>7442</v>
      </c>
      <c r="P1732" s="116">
        <v>7450</v>
      </c>
      <c r="Q1732" s="116">
        <v>7600.5</v>
      </c>
      <c r="R1732">
        <v>713512</v>
      </c>
    </row>
    <row r="1733" spans="1:18" x14ac:dyDescent="0.25">
      <c r="A1733" s="170">
        <v>46121</v>
      </c>
      <c r="B1733" s="116">
        <v>7658.9</v>
      </c>
      <c r="C1733" s="116">
        <v>7605.2</v>
      </c>
      <c r="D1733" s="116">
        <v>7518.15</v>
      </c>
      <c r="E1733" s="116">
        <v>7575.3</v>
      </c>
      <c r="F1733" s="116">
        <v>7605.2</v>
      </c>
      <c r="G1733">
        <v>21028</v>
      </c>
      <c r="H1733" s="116"/>
      <c r="I1733" s="116"/>
      <c r="L1733" s="170">
        <v>46121</v>
      </c>
      <c r="M1733" s="116">
        <v>7607</v>
      </c>
      <c r="N1733" s="116">
        <v>7663.5</v>
      </c>
      <c r="O1733" s="116">
        <v>7515.5</v>
      </c>
      <c r="P1733" s="116">
        <v>7599</v>
      </c>
      <c r="Q1733" s="116">
        <v>7607</v>
      </c>
      <c r="R1733">
        <v>419514</v>
      </c>
    </row>
    <row r="1734" spans="1:18" x14ac:dyDescent="0.25">
      <c r="A1734" s="170">
        <v>46122</v>
      </c>
      <c r="B1734" s="116">
        <v>7800</v>
      </c>
      <c r="C1734" s="116">
        <v>7724.75</v>
      </c>
      <c r="D1734" s="116">
        <v>7638</v>
      </c>
      <c r="E1734" s="116">
        <v>7647.8</v>
      </c>
      <c r="F1734" s="116">
        <v>7724.75</v>
      </c>
      <c r="G1734">
        <v>18916</v>
      </c>
      <c r="H1734" s="116"/>
      <c r="I1734" s="116"/>
      <c r="L1734" s="170">
        <v>46122</v>
      </c>
      <c r="M1734" s="116">
        <v>7728</v>
      </c>
      <c r="N1734" s="116">
        <v>7804</v>
      </c>
      <c r="O1734" s="116">
        <v>7632.5</v>
      </c>
      <c r="P1734" s="116">
        <v>7632.5</v>
      </c>
      <c r="Q1734" s="116">
        <v>7728</v>
      </c>
      <c r="R1734">
        <v>490409</v>
      </c>
    </row>
    <row r="1735" spans="1:18" x14ac:dyDescent="0.25">
      <c r="A1735" s="170">
        <v>46125</v>
      </c>
      <c r="B1735" s="116">
        <v>7600.95</v>
      </c>
      <c r="C1735" s="116">
        <v>7546.95</v>
      </c>
      <c r="D1735" s="116">
        <v>7438.5</v>
      </c>
      <c r="E1735" s="116">
        <v>7500.05</v>
      </c>
      <c r="F1735" s="116">
        <v>7546.95</v>
      </c>
      <c r="G1735">
        <v>17404</v>
      </c>
      <c r="H1735" s="116"/>
      <c r="I1735" s="116"/>
      <c r="L1735" s="170">
        <v>46125</v>
      </c>
      <c r="M1735" s="116">
        <v>7548</v>
      </c>
      <c r="N1735" s="116">
        <v>7604</v>
      </c>
      <c r="O1735" s="116">
        <v>7435.5</v>
      </c>
      <c r="P1735" s="116">
        <v>7511.5</v>
      </c>
      <c r="Q1735" s="116">
        <v>7548</v>
      </c>
      <c r="R1735">
        <v>493179</v>
      </c>
    </row>
    <row r="1736" spans="1:18" x14ac:dyDescent="0.25">
      <c r="A1736" s="170">
        <v>46127</v>
      </c>
      <c r="B1736" s="116">
        <v>7850</v>
      </c>
      <c r="C1736" s="116">
        <v>7788.55</v>
      </c>
      <c r="D1736" s="116">
        <v>7690</v>
      </c>
      <c r="E1736" s="116">
        <v>7697.8</v>
      </c>
      <c r="F1736" s="116">
        <v>7788.55</v>
      </c>
      <c r="G1736">
        <v>15568</v>
      </c>
      <c r="H1736" s="116"/>
      <c r="I1736" s="116"/>
      <c r="L1736" s="170">
        <v>46127</v>
      </c>
      <c r="M1736" s="116">
        <v>7791</v>
      </c>
      <c r="N1736" s="116">
        <v>7855</v>
      </c>
      <c r="O1736" s="116">
        <v>7675</v>
      </c>
      <c r="P1736" s="116">
        <v>7675</v>
      </c>
      <c r="Q1736" s="116">
        <v>7791</v>
      </c>
      <c r="R1736">
        <v>494604</v>
      </c>
    </row>
    <row r="1737" spans="1:18" x14ac:dyDescent="0.25">
      <c r="A1737" s="170">
        <v>46128</v>
      </c>
      <c r="B1737" s="116">
        <v>7970.65</v>
      </c>
      <c r="C1737" s="116">
        <v>7900.45</v>
      </c>
      <c r="D1737" s="116">
        <v>7775</v>
      </c>
      <c r="E1737" s="116">
        <v>7970.65</v>
      </c>
      <c r="F1737" s="116">
        <v>7900.45</v>
      </c>
      <c r="G1737">
        <v>13823</v>
      </c>
      <c r="H1737" s="116"/>
      <c r="I1737" s="116"/>
      <c r="L1737" s="170">
        <v>46128</v>
      </c>
      <c r="M1737" s="116">
        <v>7903.5</v>
      </c>
      <c r="N1737" s="116">
        <v>7930</v>
      </c>
      <c r="O1737" s="116">
        <v>7772.5</v>
      </c>
      <c r="P1737" s="116">
        <v>7845</v>
      </c>
      <c r="Q1737" s="116">
        <v>7903.5</v>
      </c>
      <c r="R1737">
        <v>272451</v>
      </c>
    </row>
    <row r="1738" spans="1:18" x14ac:dyDescent="0.25">
      <c r="A1738" s="170">
        <v>46129</v>
      </c>
      <c r="B1738" s="116">
        <v>8225</v>
      </c>
      <c r="C1738" s="116">
        <v>8184.95</v>
      </c>
      <c r="D1738" s="116">
        <v>7905.85</v>
      </c>
      <c r="E1738" s="116">
        <v>7969.85</v>
      </c>
      <c r="F1738" s="116">
        <v>8184.95</v>
      </c>
      <c r="G1738">
        <v>25029</v>
      </c>
      <c r="H1738" s="116"/>
      <c r="I1738" s="116"/>
      <c r="L1738" s="170">
        <v>46129</v>
      </c>
      <c r="M1738" s="116">
        <v>8182.5</v>
      </c>
      <c r="N1738" s="116">
        <v>8224.5</v>
      </c>
      <c r="O1738" s="116">
        <v>7910</v>
      </c>
      <c r="P1738" s="116">
        <v>7950</v>
      </c>
      <c r="Q1738" s="116">
        <v>8182.5</v>
      </c>
      <c r="R1738">
        <v>683294</v>
      </c>
    </row>
    <row r="1739" spans="1:18" x14ac:dyDescent="0.25">
      <c r="A1739" s="170">
        <v>46132</v>
      </c>
      <c r="B1739" s="116">
        <v>8285</v>
      </c>
      <c r="C1739" s="116">
        <v>8194.5</v>
      </c>
      <c r="D1739" s="116">
        <v>8043.1</v>
      </c>
      <c r="E1739" s="116">
        <v>8142.1</v>
      </c>
      <c r="F1739" s="116">
        <v>8194.5</v>
      </c>
      <c r="G1739">
        <v>17137</v>
      </c>
      <c r="H1739" s="116"/>
      <c r="I1739" s="116"/>
      <c r="L1739" s="170">
        <v>46132</v>
      </c>
      <c r="M1739" s="116">
        <v>8198.5</v>
      </c>
      <c r="N1739" s="116">
        <v>8285</v>
      </c>
      <c r="O1739" s="116">
        <v>8049</v>
      </c>
      <c r="P1739" s="116">
        <v>8182.5</v>
      </c>
      <c r="Q1739" s="116">
        <v>8198.5</v>
      </c>
      <c r="R1739">
        <v>403635</v>
      </c>
    </row>
    <row r="1740" spans="1:18" x14ac:dyDescent="0.25">
      <c r="A1740" s="170">
        <v>46133</v>
      </c>
      <c r="B1740" s="116">
        <v>8306.0499999999993</v>
      </c>
      <c r="C1740" s="116">
        <v>7951.4</v>
      </c>
      <c r="D1740" s="116">
        <v>7926.6</v>
      </c>
      <c r="E1740" s="116">
        <v>8234.9500000000007</v>
      </c>
      <c r="F1740" s="116">
        <v>7951.4</v>
      </c>
      <c r="G1740">
        <v>17489</v>
      </c>
      <c r="H1740" s="116"/>
      <c r="I1740" s="116"/>
      <c r="L1740" s="170">
        <v>46133</v>
      </c>
      <c r="M1740" s="116">
        <v>7955.5</v>
      </c>
      <c r="N1740" s="116">
        <v>8305</v>
      </c>
      <c r="O1740" s="116">
        <v>7925.5</v>
      </c>
      <c r="P1740" s="116">
        <v>8200</v>
      </c>
      <c r="Q1740" s="116">
        <v>7955.5</v>
      </c>
      <c r="R1740">
        <v>443095</v>
      </c>
    </row>
    <row r="1741" spans="1:18" x14ac:dyDescent="0.25">
      <c r="A1741" s="170">
        <v>46134</v>
      </c>
      <c r="B1741" s="116">
        <v>8101</v>
      </c>
      <c r="C1741" s="116">
        <v>8037.7</v>
      </c>
      <c r="D1741" s="116">
        <v>7896.25</v>
      </c>
      <c r="E1741" s="116">
        <v>7989.95</v>
      </c>
      <c r="F1741" s="116">
        <v>8037.7</v>
      </c>
      <c r="G1741">
        <v>21427</v>
      </c>
      <c r="H1741" s="116"/>
      <c r="I1741" s="116"/>
      <c r="L1741" s="170">
        <v>46134</v>
      </c>
      <c r="M1741" s="116">
        <v>8038</v>
      </c>
      <c r="N1741" s="116">
        <v>8103</v>
      </c>
      <c r="O1741" s="116">
        <v>7897</v>
      </c>
      <c r="P1741" s="116">
        <v>7945</v>
      </c>
      <c r="Q1741" s="116">
        <v>8038</v>
      </c>
      <c r="R1741">
        <v>468978</v>
      </c>
    </row>
    <row r="1742" spans="1:18" x14ac:dyDescent="0.25">
      <c r="A1742" s="170">
        <v>46135</v>
      </c>
      <c r="B1742" s="116">
        <v>8127.9</v>
      </c>
      <c r="C1742" s="116">
        <v>7959.1</v>
      </c>
      <c r="D1742" s="116">
        <v>7947.35</v>
      </c>
      <c r="E1742" s="116">
        <v>7999.95</v>
      </c>
      <c r="F1742" s="116">
        <v>7959.1</v>
      </c>
      <c r="G1742">
        <v>11240</v>
      </c>
      <c r="H1742" s="116"/>
      <c r="I1742" s="116"/>
      <c r="L1742" s="170">
        <v>46135</v>
      </c>
      <c r="M1742" s="116">
        <v>7963.5</v>
      </c>
      <c r="N1742" s="116">
        <v>8125</v>
      </c>
      <c r="O1742" s="116">
        <v>7950</v>
      </c>
      <c r="P1742" s="116">
        <v>8000</v>
      </c>
      <c r="Q1742" s="116">
        <v>7963.5</v>
      </c>
      <c r="R1742">
        <v>482518</v>
      </c>
    </row>
    <row r="1743" spans="1:18" x14ac:dyDescent="0.25">
      <c r="A1743" s="170">
        <v>46136</v>
      </c>
      <c r="B1743" s="116">
        <v>8088</v>
      </c>
      <c r="C1743" s="116">
        <v>8041.3</v>
      </c>
      <c r="D1743" s="116">
        <v>7900</v>
      </c>
      <c r="E1743" s="116">
        <v>7966.1</v>
      </c>
      <c r="F1743" s="116">
        <v>8041.3</v>
      </c>
      <c r="G1743">
        <v>21616</v>
      </c>
      <c r="H1743" s="116"/>
      <c r="I1743" s="116"/>
      <c r="L1743" s="170">
        <v>46136</v>
      </c>
      <c r="M1743" s="116">
        <v>8033</v>
      </c>
      <c r="N1743" s="116">
        <v>8088</v>
      </c>
      <c r="O1743" s="116">
        <v>7901</v>
      </c>
      <c r="P1743" s="116">
        <v>8000</v>
      </c>
      <c r="Q1743" s="116">
        <v>8033</v>
      </c>
      <c r="R1743">
        <v>616686</v>
      </c>
    </row>
    <row r="1744" spans="1:18" x14ac:dyDescent="0.25">
      <c r="A1744" s="170">
        <v>46139</v>
      </c>
      <c r="B1744" s="116">
        <v>8147.95</v>
      </c>
      <c r="C1744" s="116">
        <v>8069.1</v>
      </c>
      <c r="D1744" s="116">
        <v>8020</v>
      </c>
      <c r="E1744" s="116">
        <v>8088</v>
      </c>
      <c r="F1744" s="116">
        <v>8069.1</v>
      </c>
      <c r="G1744">
        <v>16675</v>
      </c>
      <c r="H1744" s="116"/>
      <c r="I1744" s="116"/>
      <c r="L1744" s="170">
        <v>46139</v>
      </c>
      <c r="M1744" s="116">
        <v>8065.5</v>
      </c>
      <c r="N1744" s="116">
        <v>8147</v>
      </c>
      <c r="O1744" s="116">
        <v>8020</v>
      </c>
      <c r="P1744" s="116">
        <v>8087.5</v>
      </c>
      <c r="Q1744" s="116">
        <v>8065.5</v>
      </c>
      <c r="R1744">
        <v>291146</v>
      </c>
    </row>
    <row r="1745" spans="1:18" x14ac:dyDescent="0.25">
      <c r="A1745" s="170">
        <v>46140</v>
      </c>
      <c r="B1745" s="116">
        <v>8280</v>
      </c>
      <c r="C1745" s="116">
        <v>8259</v>
      </c>
      <c r="D1745" s="116">
        <v>8030</v>
      </c>
      <c r="E1745" s="116">
        <v>8030</v>
      </c>
      <c r="F1745" s="116">
        <v>8259</v>
      </c>
      <c r="G1745">
        <v>22726</v>
      </c>
      <c r="H1745" s="116"/>
      <c r="I1745" s="116"/>
      <c r="L1745" s="170">
        <v>46140</v>
      </c>
      <c r="M1745" s="116">
        <v>8254</v>
      </c>
      <c r="N1745" s="116">
        <v>8290</v>
      </c>
      <c r="O1745" s="116">
        <v>8040</v>
      </c>
      <c r="P1745" s="116">
        <v>8040</v>
      </c>
      <c r="Q1745" s="116">
        <v>8254</v>
      </c>
      <c r="R1745">
        <v>363780</v>
      </c>
    </row>
    <row r="1746" spans="1:18" x14ac:dyDescent="0.25">
      <c r="A1746" s="170">
        <v>46141</v>
      </c>
      <c r="B1746" s="116">
        <v>8339.9500000000007</v>
      </c>
      <c r="C1746" s="116">
        <v>8144.45</v>
      </c>
      <c r="D1746" s="116">
        <v>8120</v>
      </c>
      <c r="E1746" s="116">
        <v>8280.2000000000007</v>
      </c>
      <c r="F1746" s="116">
        <v>8144.45</v>
      </c>
      <c r="G1746">
        <v>18380</v>
      </c>
      <c r="H1746" s="116"/>
      <c r="I1746" s="116"/>
      <c r="L1746" s="170">
        <v>46141</v>
      </c>
      <c r="M1746" s="116">
        <v>8148.5</v>
      </c>
      <c r="N1746" s="116">
        <v>8338.5</v>
      </c>
      <c r="O1746" s="116">
        <v>8119</v>
      </c>
      <c r="P1746" s="116">
        <v>8300</v>
      </c>
      <c r="Q1746" s="116">
        <v>8148.5</v>
      </c>
      <c r="R1746">
        <v>263510</v>
      </c>
    </row>
    <row r="1747" spans="1:18" x14ac:dyDescent="0.25">
      <c r="A1747" s="170">
        <v>46142</v>
      </c>
      <c r="B1747" s="116">
        <v>8160</v>
      </c>
      <c r="C1747" s="116">
        <v>8110.9</v>
      </c>
      <c r="D1747" s="116">
        <v>7967.85</v>
      </c>
      <c r="E1747" s="116">
        <v>8144</v>
      </c>
      <c r="F1747" s="116">
        <v>8110.9</v>
      </c>
      <c r="G1747">
        <v>7974</v>
      </c>
      <c r="H1747" s="116"/>
      <c r="I1747" s="116"/>
      <c r="L1747" s="170">
        <v>46142</v>
      </c>
      <c r="M1747" s="116">
        <v>8110.5</v>
      </c>
      <c r="N1747" s="116">
        <v>8163.5</v>
      </c>
      <c r="O1747" s="116">
        <v>7970.5</v>
      </c>
      <c r="P1747" s="116">
        <v>8132.5</v>
      </c>
      <c r="Q1747" s="116">
        <v>8110.5</v>
      </c>
      <c r="R1747">
        <v>415486</v>
      </c>
    </row>
    <row r="1748" spans="1:18" x14ac:dyDescent="0.25">
      <c r="A1748" s="170">
        <v>46146</v>
      </c>
      <c r="B1748" s="116">
        <v>8362.5</v>
      </c>
      <c r="C1748" s="116">
        <v>8344.15</v>
      </c>
      <c r="D1748" s="116">
        <v>8063.55</v>
      </c>
      <c r="E1748" s="116">
        <v>8111</v>
      </c>
      <c r="F1748" s="116">
        <v>8344.15</v>
      </c>
      <c r="G1748">
        <v>26583</v>
      </c>
      <c r="H1748" s="116"/>
      <c r="I1748" s="116"/>
      <c r="L1748" s="170">
        <v>46146</v>
      </c>
      <c r="M1748" s="116">
        <v>8344.5</v>
      </c>
      <c r="N1748" s="116">
        <v>8363</v>
      </c>
      <c r="O1748" s="116">
        <v>8062.5</v>
      </c>
      <c r="P1748" s="116">
        <v>8110.5</v>
      </c>
      <c r="Q1748" s="116">
        <v>8344.5</v>
      </c>
      <c r="R1748">
        <v>435059</v>
      </c>
    </row>
    <row r="1749" spans="1:18" x14ac:dyDescent="0.25">
      <c r="A1749" s="170">
        <v>46147</v>
      </c>
      <c r="B1749" s="116">
        <v>8375</v>
      </c>
      <c r="C1749" s="116">
        <v>8339.25</v>
      </c>
      <c r="D1749" s="116">
        <v>8164.65</v>
      </c>
      <c r="E1749" s="116">
        <v>8339</v>
      </c>
      <c r="F1749" s="116">
        <v>8339.25</v>
      </c>
      <c r="G1749">
        <v>15871</v>
      </c>
      <c r="H1749" s="116"/>
      <c r="I1749" s="116"/>
      <c r="L1749" s="170">
        <v>46147</v>
      </c>
      <c r="M1749" s="116">
        <v>8337</v>
      </c>
      <c r="N1749" s="116">
        <v>8374</v>
      </c>
      <c r="O1749" s="116">
        <v>8154</v>
      </c>
      <c r="P1749" s="116">
        <v>8347.5</v>
      </c>
      <c r="Q1749" s="116">
        <v>8337</v>
      </c>
      <c r="R1749">
        <v>462166</v>
      </c>
    </row>
    <row r="1750" spans="1:18" x14ac:dyDescent="0.25">
      <c r="A1750" s="170">
        <v>46148</v>
      </c>
      <c r="B1750" s="116">
        <v>8528</v>
      </c>
      <c r="C1750" s="116">
        <v>8417.75</v>
      </c>
      <c r="D1750" s="116">
        <v>8359.2999999999993</v>
      </c>
      <c r="E1750" s="116">
        <v>8380.15</v>
      </c>
      <c r="F1750" s="116">
        <v>8417.75</v>
      </c>
      <c r="G1750">
        <v>37192</v>
      </c>
      <c r="H1750" s="116"/>
      <c r="I1750" s="116"/>
      <c r="L1750" s="170">
        <v>46148</v>
      </c>
      <c r="M1750" s="116">
        <v>8415.5</v>
      </c>
      <c r="N1750" s="116">
        <v>8525</v>
      </c>
      <c r="O1750" s="116">
        <v>8355.5</v>
      </c>
      <c r="P1750" s="116">
        <v>8400</v>
      </c>
      <c r="Q1750" s="116">
        <v>8415.5</v>
      </c>
      <c r="R1750">
        <v>1084637</v>
      </c>
    </row>
    <row r="1751" spans="1:18" x14ac:dyDescent="0.25">
      <c r="A1751" s="170">
        <v>46149</v>
      </c>
      <c r="B1751" s="116">
        <v>9040</v>
      </c>
      <c r="C1751" s="116">
        <v>9003.0499999999993</v>
      </c>
      <c r="D1751" s="116">
        <v>8451</v>
      </c>
      <c r="E1751" s="116">
        <v>8466.25</v>
      </c>
      <c r="F1751" s="116">
        <v>9003.0499999999993</v>
      </c>
      <c r="G1751">
        <v>157990</v>
      </c>
      <c r="H1751" s="116"/>
      <c r="I1751" s="116"/>
      <c r="L1751" s="170">
        <v>46149</v>
      </c>
      <c r="M1751" s="116">
        <v>9003</v>
      </c>
      <c r="N1751" s="116">
        <v>9050</v>
      </c>
      <c r="O1751" s="116">
        <v>8450</v>
      </c>
      <c r="P1751" s="116">
        <v>8499</v>
      </c>
      <c r="Q1751" s="116">
        <v>9003</v>
      </c>
      <c r="R1751">
        <v>1837111</v>
      </c>
    </row>
    <row r="1752" spans="1:18" x14ac:dyDescent="0.25">
      <c r="A1752" s="170">
        <v>46150</v>
      </c>
      <c r="B1752" s="116">
        <v>9158.9</v>
      </c>
      <c r="C1752" s="116">
        <v>9079.0499999999993</v>
      </c>
      <c r="D1752" s="116">
        <v>8963.0499999999993</v>
      </c>
      <c r="E1752" s="116">
        <v>9013.15</v>
      </c>
      <c r="F1752" s="116">
        <v>9079.0499999999993</v>
      </c>
      <c r="G1752">
        <v>37244</v>
      </c>
      <c r="H1752" s="116"/>
      <c r="I1752" s="116"/>
      <c r="L1752" s="170">
        <v>46150</v>
      </c>
      <c r="M1752" s="116">
        <v>9083</v>
      </c>
      <c r="N1752" s="116">
        <v>9159</v>
      </c>
      <c r="O1752" s="116">
        <v>8952.5</v>
      </c>
      <c r="P1752" s="116">
        <v>9030</v>
      </c>
      <c r="Q1752" s="116">
        <v>9083</v>
      </c>
      <c r="R1752">
        <v>613457</v>
      </c>
    </row>
    <row r="1753" spans="1:18" x14ac:dyDescent="0.25">
      <c r="A1753" s="170">
        <v>46153</v>
      </c>
      <c r="B1753" s="116">
        <v>9133.5</v>
      </c>
      <c r="C1753" s="116">
        <v>9064.1</v>
      </c>
      <c r="D1753" s="116">
        <v>8968.75</v>
      </c>
      <c r="E1753" s="116">
        <v>9025</v>
      </c>
      <c r="F1753" s="116">
        <v>9064.1</v>
      </c>
      <c r="G1753">
        <v>9903</v>
      </c>
      <c r="H1753" s="116"/>
      <c r="I1753" s="116"/>
      <c r="L1753" s="170">
        <v>46153</v>
      </c>
      <c r="M1753" s="116">
        <v>9065.5</v>
      </c>
      <c r="N1753" s="116">
        <v>9136</v>
      </c>
      <c r="O1753" s="116">
        <v>8963</v>
      </c>
      <c r="P1753" s="116">
        <v>9004.5</v>
      </c>
      <c r="Q1753" s="116">
        <v>9065.5</v>
      </c>
      <c r="R1753">
        <v>261216</v>
      </c>
    </row>
    <row r="1754" spans="1:18" x14ac:dyDescent="0.25">
      <c r="A1754" s="170">
        <v>46154</v>
      </c>
      <c r="B1754" s="116">
        <v>9264.1</v>
      </c>
      <c r="C1754" s="116">
        <v>9023.85</v>
      </c>
      <c r="D1754" s="116">
        <v>8996.5499999999993</v>
      </c>
      <c r="E1754" s="116">
        <v>9099</v>
      </c>
      <c r="F1754" s="116">
        <v>9023.85</v>
      </c>
      <c r="G1754">
        <v>17647</v>
      </c>
      <c r="H1754" s="116"/>
      <c r="I1754" s="116"/>
      <c r="L1754" s="170">
        <v>46154</v>
      </c>
      <c r="M1754" s="116">
        <v>9021.5</v>
      </c>
      <c r="N1754" s="116">
        <v>9220</v>
      </c>
      <c r="O1754" s="116">
        <v>8979</v>
      </c>
      <c r="P1754" s="116">
        <v>9115</v>
      </c>
      <c r="Q1754" s="116">
        <v>9021.5</v>
      </c>
      <c r="R1754">
        <v>617924</v>
      </c>
    </row>
    <row r="1755" spans="1:18" x14ac:dyDescent="0.25">
      <c r="A1755" s="170">
        <v>46155</v>
      </c>
      <c r="B1755" s="116">
        <v>9074.4500000000007</v>
      </c>
      <c r="C1755" s="116">
        <v>8886.75</v>
      </c>
      <c r="D1755" s="116">
        <v>8862.2000000000007</v>
      </c>
      <c r="E1755" s="116">
        <v>8951.9</v>
      </c>
      <c r="F1755" s="116">
        <v>8886.75</v>
      </c>
      <c r="G1755">
        <v>33758</v>
      </c>
      <c r="H1755" s="116"/>
      <c r="I1755" s="116"/>
      <c r="L1755" s="170">
        <v>46155</v>
      </c>
      <c r="M1755" s="116">
        <v>8887.5</v>
      </c>
      <c r="N1755" s="116">
        <v>9072.5</v>
      </c>
      <c r="O1755" s="116">
        <v>8865</v>
      </c>
      <c r="P1755" s="116">
        <v>8991</v>
      </c>
      <c r="Q1755" s="116">
        <v>8887.5</v>
      </c>
      <c r="R1755">
        <v>423358</v>
      </c>
    </row>
    <row r="1756" spans="1:18" x14ac:dyDescent="0.25">
      <c r="A1756" s="170">
        <v>46156</v>
      </c>
      <c r="B1756" s="116">
        <v>9240</v>
      </c>
      <c r="C1756" s="116">
        <v>9216.25</v>
      </c>
      <c r="D1756" s="116">
        <v>8936.65</v>
      </c>
      <c r="E1756" s="116">
        <v>8976.35</v>
      </c>
      <c r="F1756" s="116">
        <v>9216.25</v>
      </c>
      <c r="G1756">
        <v>16476</v>
      </c>
      <c r="H1756" s="116"/>
      <c r="I1756" s="116"/>
      <c r="L1756" s="170">
        <v>46156</v>
      </c>
      <c r="M1756" s="116">
        <v>9217.5</v>
      </c>
      <c r="N1756" s="116">
        <v>9239</v>
      </c>
      <c r="O1756" s="116">
        <v>8925.5</v>
      </c>
      <c r="P1756" s="116">
        <v>8948</v>
      </c>
      <c r="Q1756" s="116">
        <v>9217.5</v>
      </c>
      <c r="R1756">
        <v>360127</v>
      </c>
    </row>
    <row r="1757" spans="1:18" x14ac:dyDescent="0.25">
      <c r="A1757" s="170">
        <v>46157</v>
      </c>
      <c r="B1757" s="116">
        <v>9299.75</v>
      </c>
      <c r="C1757" s="116">
        <v>9153.4</v>
      </c>
      <c r="D1757" s="116">
        <v>9102.4500000000007</v>
      </c>
      <c r="E1757" s="116">
        <v>9299.75</v>
      </c>
      <c r="F1757" s="116">
        <v>9153.4</v>
      </c>
      <c r="G1757">
        <v>10045</v>
      </c>
      <c r="H1757" s="116"/>
      <c r="I1757" s="116"/>
      <c r="L1757" s="170">
        <v>46157</v>
      </c>
      <c r="M1757" s="116">
        <v>9152.5</v>
      </c>
      <c r="N1757" s="116">
        <v>9267.5</v>
      </c>
      <c r="O1757" s="116">
        <v>9100</v>
      </c>
      <c r="P1757" s="116">
        <v>9262.5</v>
      </c>
      <c r="Q1757" s="116">
        <v>9152.5</v>
      </c>
      <c r="R1757">
        <v>202982</v>
      </c>
    </row>
    <row r="1758" spans="1:18" x14ac:dyDescent="0.25">
      <c r="A1758" s="170">
        <v>46160</v>
      </c>
      <c r="B1758" s="116">
        <v>9171</v>
      </c>
      <c r="C1758" s="116">
        <v>9150.0499999999993</v>
      </c>
      <c r="D1758" s="116">
        <v>8942</v>
      </c>
      <c r="E1758" s="116">
        <v>9015.5</v>
      </c>
      <c r="F1758" s="116">
        <v>9150.0499999999993</v>
      </c>
      <c r="G1758">
        <v>19565</v>
      </c>
      <c r="H1758" s="116"/>
      <c r="I1758" s="116"/>
      <c r="L1758" s="170">
        <v>46160</v>
      </c>
      <c r="M1758" s="116">
        <v>9151</v>
      </c>
      <c r="N1758" s="116">
        <v>9170</v>
      </c>
      <c r="O1758" s="116">
        <v>8943.5</v>
      </c>
      <c r="P1758" s="116">
        <v>9100</v>
      </c>
      <c r="Q1758" s="116">
        <v>9151</v>
      </c>
      <c r="R1758">
        <v>295160</v>
      </c>
    </row>
    <row r="1759" spans="1:18" x14ac:dyDescent="0.25">
      <c r="A1759" s="170">
        <v>46161</v>
      </c>
      <c r="B1759" s="116">
        <v>9292</v>
      </c>
      <c r="C1759" s="116">
        <v>9161.35</v>
      </c>
      <c r="D1759" s="116">
        <v>9092.4</v>
      </c>
      <c r="E1759" s="116">
        <v>9160.15</v>
      </c>
      <c r="F1759" s="116">
        <v>9161.35</v>
      </c>
      <c r="G1759">
        <v>13213</v>
      </c>
      <c r="H1759" s="116"/>
      <c r="I1759" s="116"/>
      <c r="L1759" s="170">
        <v>46161</v>
      </c>
      <c r="M1759" s="116">
        <v>9162.5</v>
      </c>
      <c r="N1759" s="116">
        <v>9293.5</v>
      </c>
      <c r="O1759" s="116">
        <v>9090</v>
      </c>
      <c r="P1759" s="116">
        <v>9171</v>
      </c>
      <c r="Q1759" s="116">
        <v>9162.5</v>
      </c>
      <c r="R1759">
        <v>337327</v>
      </c>
    </row>
    <row r="1760" spans="1:18" x14ac:dyDescent="0.25">
      <c r="A1760" s="170">
        <v>46162</v>
      </c>
      <c r="B1760" s="116">
        <v>9239.25</v>
      </c>
      <c r="C1760" s="116">
        <v>9198.9500000000007</v>
      </c>
      <c r="D1760" s="116">
        <v>9016.4</v>
      </c>
      <c r="E1760" s="116">
        <v>9153.1</v>
      </c>
      <c r="F1760" s="116">
        <v>9198.9500000000007</v>
      </c>
      <c r="G1760">
        <v>6144</v>
      </c>
      <c r="H1760" s="116"/>
      <c r="I1760" s="116"/>
      <c r="L1760" s="170">
        <v>46162</v>
      </c>
      <c r="M1760" s="116">
        <v>9199</v>
      </c>
      <c r="N1760" s="116">
        <v>9238</v>
      </c>
      <c r="O1760" s="116">
        <v>9016.5</v>
      </c>
      <c r="P1760" s="116">
        <v>9068</v>
      </c>
      <c r="Q1760" s="116">
        <v>9199</v>
      </c>
      <c r="R1760">
        <v>320359</v>
      </c>
    </row>
    <row r="1761" spans="1:18" x14ac:dyDescent="0.25">
      <c r="A1761" s="170">
        <v>46163</v>
      </c>
      <c r="B1761" s="116">
        <v>9308.25</v>
      </c>
      <c r="C1761" s="116">
        <v>9193.7999999999993</v>
      </c>
      <c r="D1761" s="116">
        <v>9172.9500000000007</v>
      </c>
      <c r="E1761" s="116">
        <v>9299.85</v>
      </c>
      <c r="F1761" s="116">
        <v>9193.7999999999993</v>
      </c>
      <c r="G1761">
        <v>13447</v>
      </c>
      <c r="H1761" s="116"/>
      <c r="I1761" s="116"/>
      <c r="L1761" s="170">
        <v>46163</v>
      </c>
      <c r="M1761" s="116">
        <v>9193.5</v>
      </c>
      <c r="N1761" s="116">
        <v>9309.5</v>
      </c>
      <c r="O1761" s="116">
        <v>9176</v>
      </c>
      <c r="P1761" s="116">
        <v>9235</v>
      </c>
      <c r="Q1761" s="116">
        <v>9193.5</v>
      </c>
      <c r="R1761">
        <v>231631</v>
      </c>
    </row>
    <row r="1762" spans="1:18" x14ac:dyDescent="0.25">
      <c r="A1762" s="170">
        <v>46164</v>
      </c>
      <c r="B1762" s="116">
        <v>9314.9</v>
      </c>
      <c r="C1762" s="116">
        <v>9260.5</v>
      </c>
      <c r="D1762" s="116">
        <v>9195</v>
      </c>
      <c r="E1762" s="116">
        <v>9205.2000000000007</v>
      </c>
      <c r="F1762" s="116">
        <v>9260.5</v>
      </c>
      <c r="G1762">
        <v>13813</v>
      </c>
      <c r="H1762" s="116"/>
      <c r="I1762" s="116"/>
      <c r="L1762" s="170">
        <v>46164</v>
      </c>
      <c r="M1762" s="116">
        <v>9263.5</v>
      </c>
      <c r="N1762" s="116">
        <v>9316.5</v>
      </c>
      <c r="O1762" s="116">
        <v>9194</v>
      </c>
      <c r="P1762" s="116">
        <v>9227.5</v>
      </c>
      <c r="Q1762" s="116">
        <v>9263.5</v>
      </c>
      <c r="R1762">
        <v>177024</v>
      </c>
    </row>
    <row r="1763" spans="1:18" x14ac:dyDescent="0.25">
      <c r="A1763" s="170">
        <v>46167</v>
      </c>
      <c r="B1763" s="116">
        <v>9425</v>
      </c>
      <c r="C1763" s="116">
        <v>9397.0499999999993</v>
      </c>
      <c r="D1763" s="116">
        <v>9296.4500000000007</v>
      </c>
      <c r="E1763" s="116">
        <v>9321</v>
      </c>
      <c r="F1763" s="116">
        <v>9397.0499999999993</v>
      </c>
      <c r="G1763">
        <v>8629</v>
      </c>
      <c r="H1763" s="116"/>
      <c r="I1763" s="116"/>
      <c r="L1763" s="170">
        <v>46167</v>
      </c>
      <c r="M1763" s="116">
        <v>9398.5</v>
      </c>
      <c r="N1763" s="116">
        <v>9424</v>
      </c>
      <c r="O1763" s="116">
        <v>9296</v>
      </c>
      <c r="P1763" s="116">
        <v>9320</v>
      </c>
      <c r="Q1763" s="116">
        <v>9398.5</v>
      </c>
      <c r="R1763">
        <v>252126</v>
      </c>
    </row>
    <row r="1764" spans="1:18" x14ac:dyDescent="0.25">
      <c r="A1764" s="170">
        <v>46168</v>
      </c>
      <c r="B1764" s="116">
        <v>9657.0499999999993</v>
      </c>
      <c r="C1764" s="116">
        <v>9612.1</v>
      </c>
      <c r="D1764" s="116">
        <v>9358.4500000000007</v>
      </c>
      <c r="E1764" s="116">
        <v>9381</v>
      </c>
      <c r="F1764" s="116">
        <v>9612.1</v>
      </c>
      <c r="G1764">
        <v>16718</v>
      </c>
      <c r="H1764" s="116"/>
      <c r="I1764" s="116"/>
      <c r="L1764" s="170">
        <v>46168</v>
      </c>
      <c r="M1764" s="116">
        <v>9613.5</v>
      </c>
      <c r="N1764" s="116">
        <v>9669.5</v>
      </c>
      <c r="O1764" s="116">
        <v>9358</v>
      </c>
      <c r="P1764" s="116">
        <v>9369.5</v>
      </c>
      <c r="Q1764" s="116">
        <v>9613.5</v>
      </c>
      <c r="R1764">
        <v>424144</v>
      </c>
    </row>
    <row r="1765" spans="1:18" x14ac:dyDescent="0.25">
      <c r="A1765" s="170">
        <v>46169</v>
      </c>
      <c r="B1765" s="116">
        <v>9695</v>
      </c>
      <c r="C1765" s="116">
        <v>9658</v>
      </c>
      <c r="D1765" s="116">
        <v>9561.35</v>
      </c>
      <c r="E1765" s="116">
        <v>9623.9500000000007</v>
      </c>
      <c r="F1765" s="116">
        <v>9658</v>
      </c>
      <c r="G1765">
        <v>10848</v>
      </c>
      <c r="H1765" s="116"/>
      <c r="I1765" s="116"/>
      <c r="L1765" s="170">
        <v>46169</v>
      </c>
      <c r="M1765" s="116">
        <v>9664</v>
      </c>
      <c r="N1765" s="116">
        <v>9696</v>
      </c>
      <c r="O1765" s="116">
        <v>9561</v>
      </c>
      <c r="P1765" s="116">
        <v>9613.5</v>
      </c>
      <c r="Q1765" s="116">
        <v>9664</v>
      </c>
      <c r="R1765">
        <v>219320</v>
      </c>
    </row>
    <row r="1766" spans="1:18" x14ac:dyDescent="0.25">
      <c r="A1766" s="170">
        <v>46171</v>
      </c>
      <c r="B1766" s="116">
        <v>9741.7000000000007</v>
      </c>
      <c r="C1766" s="116">
        <v>9486.9</v>
      </c>
      <c r="D1766" s="116">
        <v>9430</v>
      </c>
      <c r="E1766" s="116">
        <v>9741.35</v>
      </c>
      <c r="F1766" s="116">
        <v>9486.9</v>
      </c>
      <c r="G1766">
        <v>8292</v>
      </c>
      <c r="H1766" s="116"/>
      <c r="I1766" s="116"/>
      <c r="L1766" s="170">
        <v>46171</v>
      </c>
      <c r="M1766" s="116">
        <v>9477.5</v>
      </c>
      <c r="N1766" s="116">
        <v>9747</v>
      </c>
      <c r="O1766" s="116">
        <v>9426</v>
      </c>
      <c r="P1766" s="116">
        <v>9700</v>
      </c>
      <c r="Q1766" s="116">
        <v>9477.5</v>
      </c>
      <c r="R1766">
        <v>496089</v>
      </c>
    </row>
    <row r="1767" spans="1:18" x14ac:dyDescent="0.25">
      <c r="A1767" s="170">
        <v>46174</v>
      </c>
      <c r="B1767" s="116">
        <v>9600</v>
      </c>
      <c r="C1767" s="116">
        <v>9480.1</v>
      </c>
      <c r="D1767" s="116">
        <v>9381</v>
      </c>
      <c r="E1767" s="116">
        <v>9480.35</v>
      </c>
      <c r="F1767" s="116">
        <v>9480.1</v>
      </c>
      <c r="G1767">
        <v>16619</v>
      </c>
      <c r="H1767" s="116"/>
      <c r="I1767" s="116"/>
      <c r="L1767" s="170">
        <v>46174</v>
      </c>
      <c r="M1767" s="116">
        <v>9480.5</v>
      </c>
      <c r="N1767" s="116">
        <v>9599</v>
      </c>
      <c r="O1767" s="116">
        <v>9383</v>
      </c>
      <c r="P1767" s="116">
        <v>9501</v>
      </c>
      <c r="Q1767" s="116">
        <v>9480.5</v>
      </c>
      <c r="R1767">
        <v>216109</v>
      </c>
    </row>
    <row r="1768" spans="1:18" x14ac:dyDescent="0.25">
      <c r="A1768" s="170">
        <v>46175</v>
      </c>
      <c r="B1768" s="116">
        <v>9555.15</v>
      </c>
      <c r="C1768" s="116">
        <v>9532.35</v>
      </c>
      <c r="D1768" s="116">
        <v>9321.4500000000007</v>
      </c>
      <c r="E1768" s="116">
        <v>9523.1</v>
      </c>
      <c r="F1768" s="116">
        <v>9532.35</v>
      </c>
      <c r="G1768">
        <v>7387</v>
      </c>
      <c r="H1768" s="116"/>
      <c r="I1768" s="116"/>
      <c r="L1768" s="170">
        <v>46175</v>
      </c>
      <c r="M1768" s="116">
        <v>9531.5</v>
      </c>
      <c r="N1768" s="116">
        <v>9555.5</v>
      </c>
      <c r="O1768" s="116">
        <v>9320.5</v>
      </c>
      <c r="P1768" s="116">
        <v>9420</v>
      </c>
      <c r="Q1768" s="116">
        <v>9531.5</v>
      </c>
      <c r="R1768">
        <v>256995</v>
      </c>
    </row>
    <row r="1769" spans="1:18" x14ac:dyDescent="0.25">
      <c r="A1769" s="170">
        <v>46176</v>
      </c>
      <c r="B1769" s="116">
        <v>9635</v>
      </c>
      <c r="C1769" s="116">
        <v>9568.2999999999993</v>
      </c>
      <c r="D1769" s="116">
        <v>9466.2000000000007</v>
      </c>
      <c r="E1769" s="116">
        <v>9466.2000000000007</v>
      </c>
      <c r="F1769" s="116">
        <v>9568.2999999999993</v>
      </c>
      <c r="G1769">
        <v>12523</v>
      </c>
      <c r="H1769" s="116"/>
      <c r="I1769" s="116"/>
      <c r="L1769" s="170">
        <v>46176</v>
      </c>
      <c r="M1769" s="116">
        <v>9571.5</v>
      </c>
      <c r="N1769" s="116">
        <v>9640</v>
      </c>
      <c r="O1769" s="116">
        <v>9479.5</v>
      </c>
      <c r="P1769" s="116">
        <v>9525</v>
      </c>
      <c r="Q1769" s="116">
        <v>9571.5</v>
      </c>
      <c r="R1769">
        <v>162922</v>
      </c>
    </row>
    <row r="1770" spans="1:18" x14ac:dyDescent="0.25">
      <c r="A1770" s="170">
        <v>46177</v>
      </c>
      <c r="B1770" s="116">
        <v>9774.5499999999993</v>
      </c>
      <c r="C1770" s="116">
        <v>9718.5499999999993</v>
      </c>
      <c r="D1770" s="116">
        <v>9547.2000000000007</v>
      </c>
      <c r="E1770" s="116">
        <v>9627.6</v>
      </c>
      <c r="F1770" s="116">
        <v>9718.5499999999993</v>
      </c>
      <c r="G1770">
        <v>9161</v>
      </c>
      <c r="H1770" s="116"/>
      <c r="I1770" s="116"/>
      <c r="L1770" s="170">
        <v>46177</v>
      </c>
      <c r="M1770" s="116">
        <v>9717.5</v>
      </c>
      <c r="N1770" s="116">
        <v>9774.5</v>
      </c>
      <c r="O1770" s="116">
        <v>9532.5</v>
      </c>
      <c r="P1770" s="116">
        <v>9565</v>
      </c>
      <c r="Q1770" s="116">
        <v>9717.5</v>
      </c>
      <c r="R1770">
        <v>259390</v>
      </c>
    </row>
    <row r="1771" spans="1:18" x14ac:dyDescent="0.25">
      <c r="A1771" s="170">
        <v>46178</v>
      </c>
      <c r="B1771" s="116">
        <v>9830</v>
      </c>
      <c r="C1771" s="116">
        <v>9696.35</v>
      </c>
      <c r="D1771" s="116">
        <v>9647.6</v>
      </c>
      <c r="E1771" s="116">
        <v>9729.75</v>
      </c>
      <c r="F1771" s="116">
        <v>9696.35</v>
      </c>
      <c r="G1771">
        <v>15266</v>
      </c>
      <c r="H1771" s="116"/>
      <c r="I1771" s="116"/>
      <c r="L1771" s="170">
        <v>46178</v>
      </c>
      <c r="M1771" s="116">
        <v>9699</v>
      </c>
      <c r="N1771" s="116">
        <v>9833</v>
      </c>
      <c r="O1771" s="116">
        <v>9656</v>
      </c>
      <c r="P1771" s="116">
        <v>9755</v>
      </c>
      <c r="Q1771" s="116">
        <v>9699</v>
      </c>
      <c r="R1771">
        <v>256030</v>
      </c>
    </row>
    <row r="1772" spans="1:18" x14ac:dyDescent="0.25">
      <c r="A1772" s="170">
        <v>46181</v>
      </c>
      <c r="B1772" s="116">
        <v>9696.9</v>
      </c>
      <c r="C1772" s="116">
        <v>9511.2000000000007</v>
      </c>
      <c r="D1772" s="116">
        <v>9435.5</v>
      </c>
      <c r="E1772" s="116">
        <v>9669.25</v>
      </c>
      <c r="F1772" s="116">
        <v>9511.2000000000007</v>
      </c>
      <c r="G1772">
        <v>8926</v>
      </c>
      <c r="H1772" s="116"/>
      <c r="I1772" s="116"/>
      <c r="L1772" s="170">
        <v>46181</v>
      </c>
      <c r="M1772" s="116">
        <v>9495</v>
      </c>
      <c r="N1772" s="116">
        <v>9699</v>
      </c>
      <c r="O1772" s="116">
        <v>9432.5</v>
      </c>
      <c r="P1772" s="116">
        <v>9590.5</v>
      </c>
      <c r="Q1772" s="116">
        <v>9495</v>
      </c>
      <c r="R1772">
        <v>199100</v>
      </c>
    </row>
    <row r="1773" spans="1:18" x14ac:dyDescent="0.25">
      <c r="A1773" s="170">
        <v>46182</v>
      </c>
      <c r="B1773" s="116">
        <v>9695</v>
      </c>
      <c r="C1773" s="116">
        <v>9618.0499999999993</v>
      </c>
      <c r="D1773" s="116">
        <v>9428.25</v>
      </c>
      <c r="E1773" s="116">
        <v>9500</v>
      </c>
      <c r="F1773" s="116">
        <v>9618.0499999999993</v>
      </c>
      <c r="G1773">
        <v>12482</v>
      </c>
      <c r="H1773" s="116"/>
      <c r="I1773" s="116"/>
      <c r="L1773" s="170">
        <v>46182</v>
      </c>
      <c r="M1773" s="116">
        <v>9615.5</v>
      </c>
      <c r="N1773" s="116">
        <v>9698</v>
      </c>
      <c r="O1773" s="116">
        <v>9423.5</v>
      </c>
      <c r="P1773" s="116">
        <v>9502</v>
      </c>
      <c r="Q1773" s="116">
        <v>9615.5</v>
      </c>
      <c r="R1773">
        <v>232863</v>
      </c>
    </row>
    <row r="1774" spans="1:18" x14ac:dyDescent="0.25">
      <c r="A1774" s="170">
        <v>46183</v>
      </c>
      <c r="B1774" s="116">
        <v>9680</v>
      </c>
      <c r="C1774" s="116">
        <v>9523.5</v>
      </c>
      <c r="D1774" s="116">
        <v>9477.25</v>
      </c>
      <c r="E1774" s="116">
        <v>9618.0499999999993</v>
      </c>
      <c r="F1774" s="116">
        <v>9523.5</v>
      </c>
      <c r="G1774">
        <v>11096</v>
      </c>
      <c r="H1774" s="116"/>
      <c r="I1774" s="116"/>
      <c r="L1774" s="170">
        <v>46183</v>
      </c>
      <c r="M1774" s="116">
        <v>9523.5</v>
      </c>
      <c r="N1774" s="116">
        <v>9684.5</v>
      </c>
      <c r="O1774" s="116">
        <v>9478.5</v>
      </c>
      <c r="P1774" s="116">
        <v>9621</v>
      </c>
      <c r="Q1774" s="116">
        <v>9523.5</v>
      </c>
      <c r="R1774">
        <v>391667</v>
      </c>
    </row>
    <row r="1775" spans="1:18" x14ac:dyDescent="0.25">
      <c r="A1775" s="170">
        <v>46184</v>
      </c>
      <c r="B1775" s="116">
        <v>9525</v>
      </c>
      <c r="C1775" s="116">
        <v>9369.9</v>
      </c>
      <c r="D1775" s="116">
        <v>9351.9500000000007</v>
      </c>
      <c r="E1775" s="116">
        <v>9495</v>
      </c>
      <c r="F1775" s="116">
        <v>9369.9</v>
      </c>
      <c r="G1775">
        <v>15085</v>
      </c>
      <c r="H1775" s="116"/>
      <c r="I1775" s="116"/>
      <c r="L1775" s="170">
        <v>46184</v>
      </c>
      <c r="M1775" s="116">
        <v>9372</v>
      </c>
      <c r="N1775" s="116">
        <v>9525</v>
      </c>
      <c r="O1775" s="116">
        <v>9352.5</v>
      </c>
      <c r="P1775" s="116">
        <v>9480</v>
      </c>
      <c r="Q1775" s="116">
        <v>9372</v>
      </c>
      <c r="R1775">
        <v>187312</v>
      </c>
    </row>
    <row r="1776" spans="1:18" x14ac:dyDescent="0.25">
      <c r="A1776" s="170">
        <v>46185</v>
      </c>
      <c r="B1776" s="116">
        <v>9575</v>
      </c>
      <c r="C1776" s="116">
        <v>9552.65</v>
      </c>
      <c r="D1776" s="116">
        <v>9385</v>
      </c>
      <c r="E1776" s="116">
        <v>9490</v>
      </c>
      <c r="F1776" s="116">
        <v>9552.65</v>
      </c>
      <c r="G1776">
        <v>8297</v>
      </c>
      <c r="H1776" s="116"/>
      <c r="I1776" s="116"/>
      <c r="L1776" s="170">
        <v>46185</v>
      </c>
      <c r="M1776" s="116">
        <v>9554</v>
      </c>
      <c r="N1776" s="116">
        <v>9576</v>
      </c>
      <c r="O1776" s="116">
        <v>9383</v>
      </c>
      <c r="P1776" s="116">
        <v>9480</v>
      </c>
      <c r="Q1776" s="116">
        <v>9554</v>
      </c>
      <c r="R1776">
        <v>162406</v>
      </c>
    </row>
    <row r="1777" spans="1:18" x14ac:dyDescent="0.25">
      <c r="A1777" s="170">
        <v>46188</v>
      </c>
      <c r="B1777" s="116">
        <v>9733.9</v>
      </c>
      <c r="C1777" s="116">
        <v>9557.2000000000007</v>
      </c>
      <c r="D1777" s="116">
        <v>9540</v>
      </c>
      <c r="E1777" s="116">
        <v>9733.9</v>
      </c>
      <c r="F1777" s="116">
        <v>9557.2000000000007</v>
      </c>
      <c r="G1777">
        <v>11803</v>
      </c>
      <c r="H1777" s="116"/>
      <c r="I1777" s="116"/>
      <c r="L1777" s="170">
        <v>46188</v>
      </c>
      <c r="M1777" s="116">
        <v>9556</v>
      </c>
      <c r="N1777" s="116">
        <v>9681</v>
      </c>
      <c r="O1777" s="116">
        <v>9540</v>
      </c>
      <c r="P1777" s="116">
        <v>9679.5</v>
      </c>
      <c r="Q1777" s="116">
        <v>9556</v>
      </c>
      <c r="R1777">
        <v>197986</v>
      </c>
    </row>
    <row r="1778" spans="1:18" x14ac:dyDescent="0.25">
      <c r="A1778" s="170">
        <v>46189</v>
      </c>
      <c r="B1778" s="116">
        <v>9664</v>
      </c>
      <c r="C1778" s="116">
        <v>9589.4500000000007</v>
      </c>
      <c r="D1778" s="116">
        <v>9480</v>
      </c>
      <c r="E1778" s="116">
        <v>9571.4500000000007</v>
      </c>
      <c r="F1778" s="116">
        <v>9589.4500000000007</v>
      </c>
      <c r="G1778">
        <v>10709</v>
      </c>
      <c r="H1778" s="116"/>
      <c r="I1778" s="116"/>
      <c r="L1778" s="170">
        <v>46189</v>
      </c>
      <c r="M1778" s="116">
        <v>9591.5</v>
      </c>
      <c r="N1778" s="116">
        <v>9671</v>
      </c>
      <c r="O1778" s="116">
        <v>9475</v>
      </c>
      <c r="P1778" s="116">
        <v>9600</v>
      </c>
      <c r="Q1778" s="116">
        <v>9591.5</v>
      </c>
      <c r="R1778">
        <v>339718</v>
      </c>
    </row>
    <row r="1779" spans="1:18" x14ac:dyDescent="0.25">
      <c r="A1779" s="170">
        <v>46190</v>
      </c>
      <c r="B1779" s="116">
        <v>9993.6</v>
      </c>
      <c r="C1779" s="116">
        <v>9927.85</v>
      </c>
      <c r="D1779" s="116">
        <v>9612.0499999999993</v>
      </c>
      <c r="E1779" s="116">
        <v>9622</v>
      </c>
      <c r="F1779" s="116">
        <v>9927.85</v>
      </c>
      <c r="G1779">
        <v>17372</v>
      </c>
      <c r="H1779" s="116"/>
      <c r="I1779" s="116"/>
      <c r="L1779" s="170">
        <v>46190</v>
      </c>
      <c r="M1779" s="116">
        <v>9926.5</v>
      </c>
      <c r="N1779" s="116">
        <v>9987.5</v>
      </c>
      <c r="O1779" s="116">
        <v>9600</v>
      </c>
      <c r="P1779" s="116">
        <v>9600</v>
      </c>
      <c r="Q1779" s="116">
        <v>9926.5</v>
      </c>
      <c r="R1779">
        <v>591839</v>
      </c>
    </row>
    <row r="1780" spans="1:18" x14ac:dyDescent="0.25">
      <c r="A1780" s="170"/>
      <c r="B1780" s="116"/>
      <c r="C1780" s="116"/>
      <c r="D1780" s="116"/>
      <c r="E1780" s="116"/>
      <c r="F1780" s="116"/>
      <c r="H1780" s="116"/>
      <c r="I1780" s="116"/>
      <c r="L1780" s="170"/>
    </row>
    <row r="1781" spans="1:18" x14ac:dyDescent="0.25">
      <c r="A1781" s="170"/>
      <c r="B1781" s="116"/>
      <c r="C1781" s="116"/>
      <c r="D1781" s="116"/>
      <c r="E1781" s="116"/>
      <c r="F1781" s="116"/>
      <c r="H1781" s="116"/>
      <c r="I1781" s="116"/>
      <c r="L1781" s="170"/>
    </row>
    <row r="1782" spans="1:18" x14ac:dyDescent="0.25">
      <c r="A1782" s="170"/>
      <c r="B1782" s="116"/>
      <c r="C1782" s="116"/>
      <c r="D1782" s="116"/>
      <c r="E1782" s="116"/>
      <c r="F1782" s="116"/>
      <c r="H1782" s="116"/>
      <c r="I1782" s="116"/>
      <c r="L1782" s="170"/>
    </row>
    <row r="1783" spans="1:18" x14ac:dyDescent="0.25">
      <c r="A1783" s="170"/>
      <c r="B1783" s="116"/>
      <c r="C1783" s="116"/>
      <c r="D1783" s="116"/>
      <c r="E1783" s="116"/>
      <c r="F1783" s="116"/>
      <c r="H1783" s="116"/>
      <c r="I1783" s="116"/>
      <c r="L1783" s="170"/>
    </row>
    <row r="1784" spans="1:18" x14ac:dyDescent="0.25">
      <c r="A1784" s="170"/>
      <c r="B1784" s="116"/>
      <c r="C1784" s="116"/>
      <c r="D1784" s="116"/>
      <c r="E1784" s="116"/>
      <c r="F1784" s="116"/>
      <c r="H1784" s="116"/>
      <c r="I1784" s="116"/>
      <c r="L1784" s="170"/>
    </row>
    <row r="1785" spans="1:18" x14ac:dyDescent="0.25">
      <c r="A1785" s="170"/>
      <c r="B1785" s="116"/>
      <c r="C1785" s="116"/>
      <c r="D1785" s="116"/>
      <c r="E1785" s="116"/>
      <c r="F1785" s="116"/>
      <c r="H1785" s="116"/>
      <c r="I1785" s="116"/>
      <c r="L1785" s="170"/>
    </row>
    <row r="1786" spans="1:18" x14ac:dyDescent="0.25">
      <c r="A1786" s="170"/>
      <c r="B1786" s="116"/>
      <c r="C1786" s="116"/>
      <c r="D1786" s="116"/>
      <c r="E1786" s="116"/>
      <c r="F1786" s="116"/>
      <c r="H1786" s="116"/>
      <c r="I1786" s="116"/>
      <c r="L1786" s="170"/>
    </row>
    <row r="1787" spans="1:18" x14ac:dyDescent="0.25">
      <c r="A1787" s="170"/>
      <c r="B1787" s="116"/>
      <c r="C1787" s="116"/>
      <c r="D1787" s="116"/>
      <c r="E1787" s="116"/>
      <c r="F1787" s="116"/>
      <c r="H1787" s="116"/>
      <c r="I1787" s="116"/>
      <c r="L1787" s="170"/>
    </row>
    <row r="1788" spans="1:18" x14ac:dyDescent="0.25">
      <c r="A1788" s="170"/>
      <c r="B1788" s="116"/>
      <c r="C1788" s="116"/>
      <c r="D1788" s="116"/>
      <c r="E1788" s="116"/>
      <c r="F1788" s="116"/>
      <c r="H1788" s="116"/>
      <c r="I1788" s="116"/>
      <c r="L1788" s="170"/>
    </row>
    <row r="1789" spans="1:18" x14ac:dyDescent="0.25">
      <c r="A1789" s="170"/>
      <c r="B1789" s="116"/>
      <c r="C1789" s="116"/>
      <c r="D1789" s="116"/>
      <c r="E1789" s="116"/>
      <c r="F1789" s="116"/>
      <c r="H1789" s="116"/>
      <c r="I1789" s="116"/>
      <c r="L1789" s="170"/>
    </row>
    <row r="1790" spans="1:18" x14ac:dyDescent="0.25">
      <c r="A1790" s="170"/>
      <c r="B1790" s="116"/>
      <c r="C1790" s="116"/>
      <c r="D1790" s="116"/>
      <c r="E1790" s="116"/>
      <c r="F1790" s="116"/>
      <c r="H1790" s="116"/>
      <c r="I1790" s="116"/>
      <c r="L1790" s="170"/>
    </row>
    <row r="1791" spans="1:18" x14ac:dyDescent="0.25">
      <c r="A1791" s="170"/>
      <c r="B1791" s="116"/>
      <c r="C1791" s="116"/>
      <c r="D1791" s="116"/>
      <c r="E1791" s="116"/>
      <c r="F1791" s="116"/>
      <c r="H1791" s="116"/>
      <c r="I1791" s="116"/>
      <c r="L1791" s="170"/>
    </row>
    <row r="1792" spans="1:18" x14ac:dyDescent="0.25">
      <c r="A1792" s="170"/>
      <c r="B1792" s="116"/>
      <c r="C1792" s="116"/>
      <c r="D1792" s="116"/>
      <c r="E1792" s="116"/>
      <c r="F1792" s="116"/>
      <c r="H1792" s="116"/>
      <c r="I1792" s="116"/>
      <c r="L1792" s="170"/>
    </row>
    <row r="1793" spans="1:12" x14ac:dyDescent="0.25">
      <c r="A1793" s="170"/>
      <c r="B1793" s="116"/>
      <c r="C1793" s="116"/>
      <c r="D1793" s="116"/>
      <c r="E1793" s="116"/>
      <c r="F1793" s="116"/>
      <c r="H1793" s="116"/>
      <c r="I1793" s="116"/>
      <c r="L1793" s="170"/>
    </row>
    <row r="1794" spans="1:12" x14ac:dyDescent="0.25">
      <c r="A1794" s="170"/>
      <c r="B1794" s="116"/>
      <c r="C1794" s="116"/>
      <c r="D1794" s="116"/>
      <c r="E1794" s="116"/>
      <c r="F1794" s="116"/>
      <c r="H1794" s="116"/>
      <c r="I1794" s="116"/>
      <c r="L1794" s="170"/>
    </row>
    <row r="1795" spans="1:12" x14ac:dyDescent="0.25">
      <c r="A1795" s="170"/>
      <c r="B1795" s="116"/>
      <c r="C1795" s="116"/>
      <c r="D1795" s="116"/>
      <c r="E1795" s="116"/>
      <c r="F1795" s="116"/>
      <c r="H1795" s="116"/>
      <c r="I1795" s="116"/>
      <c r="L1795" s="170"/>
    </row>
    <row r="1796" spans="1:12" x14ac:dyDescent="0.25">
      <c r="A1796" s="170"/>
      <c r="B1796" s="116"/>
      <c r="C1796" s="116"/>
      <c r="D1796" s="116"/>
      <c r="E1796" s="116"/>
      <c r="F1796" s="116"/>
      <c r="H1796" s="116"/>
      <c r="I1796" s="116"/>
      <c r="L1796" s="170"/>
    </row>
    <row r="1797" spans="1:12" x14ac:dyDescent="0.25">
      <c r="A1797" s="170"/>
      <c r="B1797" s="116"/>
      <c r="C1797" s="116"/>
      <c r="D1797" s="116"/>
      <c r="E1797" s="116"/>
      <c r="F1797" s="116"/>
      <c r="H1797" s="116"/>
      <c r="I1797" s="116"/>
      <c r="L1797" s="170"/>
    </row>
    <row r="1798" spans="1:12" x14ac:dyDescent="0.25">
      <c r="A1798" s="170"/>
      <c r="B1798" s="116"/>
      <c r="C1798" s="116"/>
      <c r="D1798" s="116"/>
      <c r="E1798" s="116"/>
      <c r="F1798" s="116"/>
      <c r="H1798" s="116"/>
      <c r="I1798" s="116"/>
      <c r="L1798" s="170"/>
    </row>
    <row r="1799" spans="1:12" x14ac:dyDescent="0.25">
      <c r="A1799" s="170"/>
      <c r="B1799" s="116"/>
      <c r="C1799" s="116"/>
      <c r="D1799" s="116"/>
      <c r="E1799" s="116"/>
      <c r="F1799" s="116"/>
      <c r="H1799" s="116"/>
      <c r="I1799" s="116"/>
      <c r="L1799" s="170"/>
    </row>
    <row r="1800" spans="1:12" x14ac:dyDescent="0.25">
      <c r="A1800" s="170"/>
      <c r="B1800" s="116"/>
      <c r="C1800" s="116"/>
      <c r="D1800" s="116"/>
      <c r="E1800" s="116"/>
      <c r="F1800" s="116"/>
      <c r="H1800" s="116"/>
      <c r="I1800" s="116"/>
      <c r="L1800" s="170"/>
    </row>
    <row r="1801" spans="1:12" x14ac:dyDescent="0.25">
      <c r="A1801" s="170"/>
      <c r="B1801" s="116"/>
      <c r="C1801" s="116"/>
      <c r="D1801" s="116"/>
      <c r="E1801" s="116"/>
      <c r="F1801" s="116"/>
      <c r="H1801" s="116"/>
      <c r="I1801" s="116"/>
      <c r="L1801" s="170"/>
    </row>
    <row r="1802" spans="1:12" x14ac:dyDescent="0.25">
      <c r="A1802" s="170"/>
      <c r="B1802" s="116"/>
      <c r="C1802" s="116"/>
      <c r="D1802" s="116"/>
      <c r="E1802" s="116"/>
      <c r="F1802" s="116"/>
      <c r="H1802" s="116"/>
      <c r="I1802" s="116"/>
      <c r="L1802" s="170"/>
    </row>
    <row r="1803" spans="1:12" x14ac:dyDescent="0.25">
      <c r="A1803" s="170"/>
      <c r="B1803" s="116"/>
      <c r="C1803" s="116"/>
      <c r="D1803" s="116"/>
      <c r="E1803" s="116"/>
      <c r="F1803" s="116"/>
      <c r="H1803" s="116"/>
      <c r="I1803" s="116"/>
      <c r="L1803" s="170"/>
    </row>
    <row r="1804" spans="1:12" x14ac:dyDescent="0.25">
      <c r="A1804" s="170"/>
      <c r="B1804" s="116"/>
      <c r="C1804" s="116"/>
      <c r="D1804" s="116"/>
      <c r="E1804" s="116"/>
      <c r="F1804" s="116"/>
      <c r="H1804" s="116"/>
      <c r="I1804" s="116"/>
      <c r="L1804" s="170"/>
    </row>
    <row r="1805" spans="1:12" x14ac:dyDescent="0.25">
      <c r="A1805" s="170"/>
      <c r="B1805" s="116"/>
      <c r="C1805" s="116"/>
      <c r="D1805" s="116"/>
      <c r="E1805" s="116"/>
      <c r="F1805" s="116"/>
      <c r="H1805" s="116"/>
      <c r="I1805" s="116"/>
      <c r="L1805" s="170"/>
    </row>
    <row r="1806" spans="1:12" x14ac:dyDescent="0.25">
      <c r="A1806" s="170"/>
      <c r="B1806" s="116"/>
      <c r="C1806" s="116"/>
      <c r="D1806" s="116"/>
      <c r="E1806" s="116"/>
      <c r="F1806" s="116"/>
      <c r="H1806" s="116"/>
      <c r="I1806" s="116"/>
      <c r="L1806" s="170"/>
    </row>
    <row r="1807" spans="1:12" x14ac:dyDescent="0.25">
      <c r="A1807" s="170"/>
      <c r="B1807" s="116"/>
      <c r="C1807" s="116"/>
      <c r="D1807" s="116"/>
      <c r="E1807" s="116"/>
      <c r="F1807" s="116"/>
      <c r="H1807" s="116"/>
      <c r="I1807" s="116"/>
      <c r="L1807" s="170"/>
    </row>
    <row r="1808" spans="1:12" x14ac:dyDescent="0.25">
      <c r="A1808" s="170"/>
      <c r="B1808" s="116"/>
      <c r="C1808" s="116"/>
      <c r="D1808" s="116"/>
      <c r="E1808" s="116"/>
      <c r="F1808" s="116"/>
      <c r="H1808" s="116"/>
      <c r="I1808" s="116"/>
      <c r="L1808" s="170"/>
    </row>
    <row r="1809" spans="1:12" x14ac:dyDescent="0.25">
      <c r="A1809" s="170"/>
      <c r="B1809" s="116"/>
      <c r="C1809" s="116"/>
      <c r="D1809" s="116"/>
      <c r="E1809" s="116"/>
      <c r="F1809" s="116"/>
      <c r="H1809" s="116"/>
      <c r="I1809" s="116"/>
      <c r="L1809" s="170"/>
    </row>
    <row r="1810" spans="1:12" x14ac:dyDescent="0.25">
      <c r="A1810" s="170"/>
      <c r="B1810" s="116"/>
      <c r="C1810" s="116"/>
      <c r="D1810" s="116"/>
      <c r="E1810" s="116"/>
      <c r="F1810" s="116"/>
      <c r="H1810" s="116"/>
      <c r="I1810" s="116"/>
      <c r="L1810" s="170"/>
    </row>
    <row r="1811" spans="1:12" x14ac:dyDescent="0.25">
      <c r="A1811" s="170"/>
      <c r="B1811" s="116"/>
      <c r="C1811" s="116"/>
      <c r="D1811" s="116"/>
      <c r="E1811" s="116"/>
      <c r="F1811" s="116"/>
      <c r="H1811" s="116"/>
      <c r="I1811" s="116"/>
      <c r="L1811" s="170"/>
    </row>
    <row r="1812" spans="1:12" x14ac:dyDescent="0.25">
      <c r="A1812" s="170"/>
      <c r="B1812" s="116"/>
      <c r="C1812" s="116"/>
      <c r="D1812" s="116"/>
      <c r="E1812" s="116"/>
      <c r="F1812" s="116"/>
      <c r="H1812" s="116"/>
      <c r="I1812" s="116"/>
      <c r="L1812" s="170"/>
    </row>
    <row r="1813" spans="1:12" x14ac:dyDescent="0.25">
      <c r="A1813" s="170"/>
      <c r="B1813" s="116"/>
      <c r="C1813" s="116"/>
      <c r="D1813" s="116"/>
      <c r="E1813" s="116"/>
      <c r="F1813" s="116"/>
      <c r="H1813" s="116"/>
      <c r="I1813" s="116"/>
      <c r="L1813" s="170"/>
    </row>
    <row r="1814" spans="1:12" x14ac:dyDescent="0.25">
      <c r="A1814" s="170"/>
      <c r="B1814" s="116"/>
      <c r="C1814" s="116"/>
      <c r="D1814" s="116"/>
      <c r="E1814" s="116"/>
      <c r="F1814" s="116"/>
      <c r="H1814" s="116"/>
      <c r="I1814" s="116"/>
      <c r="L1814" s="170"/>
    </row>
    <row r="1815" spans="1:12" x14ac:dyDescent="0.25">
      <c r="A1815" s="170"/>
      <c r="B1815" s="116"/>
      <c r="C1815" s="116"/>
      <c r="D1815" s="116"/>
      <c r="E1815" s="116"/>
      <c r="F1815" s="116"/>
      <c r="H1815" s="116"/>
      <c r="I1815" s="116"/>
      <c r="L1815" s="170"/>
    </row>
    <row r="1816" spans="1:12" x14ac:dyDescent="0.25">
      <c r="A1816" s="170"/>
      <c r="B1816" s="116"/>
      <c r="C1816" s="116"/>
      <c r="D1816" s="116"/>
      <c r="E1816" s="116"/>
      <c r="F1816" s="116"/>
      <c r="H1816" s="116"/>
      <c r="I1816" s="116"/>
      <c r="L1816" s="170"/>
    </row>
    <row r="1817" spans="1:12" x14ac:dyDescent="0.25">
      <c r="A1817" s="170"/>
      <c r="B1817" s="116"/>
      <c r="C1817" s="116"/>
      <c r="D1817" s="116"/>
      <c r="E1817" s="116"/>
      <c r="F1817" s="116"/>
      <c r="H1817" s="116"/>
      <c r="I1817" s="116"/>
      <c r="L1817" s="170"/>
    </row>
    <row r="1818" spans="1:12" x14ac:dyDescent="0.25">
      <c r="A1818" s="170"/>
      <c r="B1818" s="116"/>
      <c r="C1818" s="116"/>
      <c r="D1818" s="116"/>
      <c r="E1818" s="116"/>
      <c r="F1818" s="116"/>
      <c r="H1818" s="116"/>
      <c r="I1818" s="116"/>
      <c r="L1818" s="170"/>
    </row>
    <row r="1819" spans="1:12" x14ac:dyDescent="0.25">
      <c r="A1819" s="170"/>
      <c r="B1819" s="116"/>
      <c r="C1819" s="116"/>
      <c r="D1819" s="116"/>
      <c r="E1819" s="116"/>
      <c r="F1819" s="116"/>
      <c r="H1819" s="116"/>
      <c r="I1819" s="116"/>
      <c r="L1819" s="170"/>
    </row>
    <row r="1820" spans="1:12" x14ac:dyDescent="0.25">
      <c r="A1820" s="170"/>
      <c r="B1820" s="116"/>
      <c r="C1820" s="116"/>
      <c r="D1820" s="116"/>
      <c r="E1820" s="116"/>
      <c r="F1820" s="116"/>
      <c r="H1820" s="116"/>
      <c r="I1820" s="116"/>
      <c r="L1820" s="170"/>
    </row>
    <row r="1821" spans="1:12" x14ac:dyDescent="0.25">
      <c r="A1821" s="170"/>
      <c r="B1821" s="116"/>
      <c r="C1821" s="116"/>
      <c r="D1821" s="116"/>
      <c r="E1821" s="116"/>
      <c r="F1821" s="116"/>
      <c r="H1821" s="116"/>
      <c r="I1821" s="116"/>
      <c r="L1821" s="170"/>
    </row>
    <row r="1822" spans="1:12" x14ac:dyDescent="0.25">
      <c r="A1822" s="170"/>
      <c r="B1822" s="116"/>
      <c r="C1822" s="116"/>
      <c r="D1822" s="116"/>
      <c r="E1822" s="116"/>
      <c r="F1822" s="116"/>
      <c r="H1822" s="116"/>
      <c r="I1822" s="116"/>
      <c r="L1822" s="170"/>
    </row>
    <row r="1823" spans="1:12" x14ac:dyDescent="0.25">
      <c r="A1823" s="170"/>
      <c r="B1823" s="116"/>
      <c r="C1823" s="116"/>
      <c r="D1823" s="116"/>
      <c r="E1823" s="116"/>
      <c r="F1823" s="116"/>
      <c r="H1823" s="116"/>
      <c r="I1823" s="116"/>
      <c r="L1823" s="170"/>
    </row>
    <row r="1824" spans="1:12" x14ac:dyDescent="0.25">
      <c r="A1824" s="170"/>
      <c r="B1824" s="116"/>
      <c r="C1824" s="116"/>
      <c r="D1824" s="116"/>
      <c r="E1824" s="116"/>
      <c r="F1824" s="116"/>
      <c r="H1824" s="116"/>
      <c r="I1824" s="116"/>
      <c r="L1824" s="170"/>
    </row>
    <row r="1825" spans="1:12" x14ac:dyDescent="0.25">
      <c r="A1825" s="170"/>
      <c r="B1825" s="116"/>
      <c r="C1825" s="116"/>
      <c r="D1825" s="116"/>
      <c r="E1825" s="116"/>
      <c r="F1825" s="116"/>
      <c r="H1825" s="116"/>
      <c r="I1825" s="116"/>
      <c r="L1825" s="170"/>
    </row>
    <row r="1826" spans="1:12" x14ac:dyDescent="0.25">
      <c r="A1826" s="170"/>
      <c r="B1826" s="116"/>
      <c r="C1826" s="116"/>
      <c r="D1826" s="116"/>
      <c r="E1826" s="116"/>
      <c r="F1826" s="116"/>
      <c r="H1826" s="116"/>
      <c r="I1826" s="116"/>
      <c r="L1826" s="170"/>
    </row>
    <row r="1827" spans="1:12" x14ac:dyDescent="0.25">
      <c r="A1827" s="170"/>
      <c r="B1827" s="116"/>
      <c r="C1827" s="116"/>
      <c r="D1827" s="116"/>
      <c r="E1827" s="116"/>
      <c r="F1827" s="116"/>
      <c r="H1827" s="116"/>
      <c r="I1827" s="116"/>
      <c r="L1827" s="170"/>
    </row>
    <row r="1828" spans="1:12" x14ac:dyDescent="0.25">
      <c r="A1828" s="170"/>
      <c r="B1828" s="116"/>
      <c r="C1828" s="116"/>
      <c r="D1828" s="116"/>
      <c r="E1828" s="116"/>
      <c r="F1828" s="116"/>
      <c r="H1828" s="116"/>
      <c r="I1828" s="116"/>
      <c r="L1828" s="170"/>
    </row>
    <row r="1829" spans="1:12" x14ac:dyDescent="0.25">
      <c r="A1829" s="170"/>
      <c r="B1829" s="116"/>
      <c r="C1829" s="116"/>
      <c r="D1829" s="116"/>
      <c r="E1829" s="116"/>
      <c r="F1829" s="116"/>
      <c r="H1829" s="116"/>
      <c r="I1829" s="116"/>
      <c r="L1829" s="170"/>
    </row>
    <row r="1830" spans="1:12" x14ac:dyDescent="0.25">
      <c r="A1830" s="170"/>
      <c r="B1830" s="116"/>
      <c r="C1830" s="116"/>
      <c r="D1830" s="116"/>
      <c r="E1830" s="116"/>
      <c r="F1830" s="116"/>
      <c r="H1830" s="116"/>
      <c r="I1830" s="116"/>
      <c r="L1830" s="170"/>
    </row>
    <row r="1831" spans="1:12" x14ac:dyDescent="0.25">
      <c r="A1831" s="170"/>
      <c r="B1831" s="116"/>
      <c r="C1831" s="116"/>
      <c r="D1831" s="116"/>
      <c r="E1831" s="116"/>
      <c r="F1831" s="116"/>
      <c r="H1831" s="116"/>
      <c r="I1831" s="116"/>
      <c r="L1831" s="170"/>
    </row>
    <row r="1832" spans="1:12" x14ac:dyDescent="0.25">
      <c r="A1832" s="170"/>
      <c r="B1832" s="116"/>
      <c r="C1832" s="116"/>
      <c r="D1832" s="116"/>
      <c r="E1832" s="116"/>
      <c r="F1832" s="116"/>
      <c r="H1832" s="116"/>
      <c r="I1832" s="116"/>
      <c r="L1832" s="170"/>
    </row>
    <row r="1833" spans="1:12" x14ac:dyDescent="0.25">
      <c r="A1833" s="170"/>
      <c r="B1833" s="116"/>
      <c r="C1833" s="116"/>
      <c r="D1833" s="116"/>
      <c r="E1833" s="116"/>
      <c r="F1833" s="116"/>
      <c r="H1833" s="116"/>
      <c r="I1833" s="116"/>
      <c r="L1833" s="170"/>
    </row>
    <row r="1834" spans="1:12" x14ac:dyDescent="0.25">
      <c r="A1834" s="170"/>
      <c r="B1834" s="116"/>
      <c r="C1834" s="116"/>
      <c r="D1834" s="116"/>
      <c r="E1834" s="116"/>
      <c r="F1834" s="116"/>
      <c r="H1834" s="116"/>
      <c r="I1834" s="116"/>
      <c r="L1834" s="170"/>
    </row>
    <row r="1835" spans="1:12" x14ac:dyDescent="0.25">
      <c r="A1835" s="170"/>
      <c r="B1835" s="116"/>
      <c r="C1835" s="116"/>
      <c r="D1835" s="116"/>
      <c r="E1835" s="116"/>
      <c r="F1835" s="116"/>
      <c r="H1835" s="116"/>
      <c r="I1835" s="116"/>
      <c r="L1835" s="170"/>
    </row>
    <row r="1836" spans="1:12" x14ac:dyDescent="0.25">
      <c r="A1836" s="170"/>
      <c r="B1836" s="116"/>
      <c r="C1836" s="116"/>
      <c r="D1836" s="116"/>
      <c r="E1836" s="116"/>
      <c r="F1836" s="116"/>
      <c r="H1836" s="116"/>
      <c r="I1836" s="116"/>
      <c r="L1836" s="170"/>
    </row>
    <row r="1837" spans="1:12" x14ac:dyDescent="0.25">
      <c r="A1837" s="170"/>
      <c r="B1837" s="116"/>
      <c r="C1837" s="116"/>
      <c r="D1837" s="116"/>
      <c r="E1837" s="116"/>
      <c r="F1837" s="116"/>
      <c r="H1837" s="116"/>
      <c r="I1837" s="116"/>
      <c r="L1837" s="170"/>
    </row>
    <row r="1838" spans="1:12" x14ac:dyDescent="0.25">
      <c r="A1838" s="170"/>
      <c r="B1838" s="116"/>
      <c r="C1838" s="116"/>
      <c r="D1838" s="116"/>
      <c r="E1838" s="116"/>
      <c r="F1838" s="116"/>
      <c r="H1838" s="116"/>
      <c r="I1838" s="116"/>
      <c r="L1838" s="170"/>
    </row>
    <row r="1839" spans="1:12" x14ac:dyDescent="0.25">
      <c r="A1839" s="170"/>
      <c r="B1839" s="116"/>
      <c r="C1839" s="116"/>
      <c r="D1839" s="116"/>
      <c r="E1839" s="116"/>
      <c r="F1839" s="116"/>
      <c r="H1839" s="116"/>
      <c r="I1839" s="116"/>
      <c r="L1839" s="170"/>
    </row>
    <row r="1840" spans="1:12" x14ac:dyDescent="0.25">
      <c r="A1840" s="170"/>
      <c r="B1840" s="116"/>
      <c r="C1840" s="116"/>
      <c r="D1840" s="116"/>
      <c r="E1840" s="116"/>
      <c r="F1840" s="116"/>
      <c r="H1840" s="116"/>
      <c r="I1840" s="116"/>
      <c r="L1840" s="170"/>
    </row>
    <row r="1841" spans="1:12" x14ac:dyDescent="0.25">
      <c r="A1841" s="170"/>
      <c r="B1841" s="116"/>
      <c r="C1841" s="116"/>
      <c r="D1841" s="116"/>
      <c r="E1841" s="116"/>
      <c r="F1841" s="116"/>
      <c r="H1841" s="116"/>
      <c r="I1841" s="116"/>
      <c r="L1841" s="170"/>
    </row>
    <row r="1842" spans="1:12" x14ac:dyDescent="0.25">
      <c r="A1842" s="170"/>
      <c r="B1842" s="116"/>
      <c r="C1842" s="116"/>
      <c r="D1842" s="116"/>
      <c r="E1842" s="116"/>
      <c r="F1842" s="116"/>
      <c r="H1842" s="116"/>
      <c r="I1842" s="116"/>
      <c r="L1842" s="170"/>
    </row>
    <row r="1843" spans="1:12" x14ac:dyDescent="0.25">
      <c r="A1843" s="170"/>
      <c r="B1843" s="116"/>
      <c r="C1843" s="116"/>
      <c r="D1843" s="116"/>
      <c r="E1843" s="116"/>
      <c r="F1843" s="116"/>
      <c r="H1843" s="116"/>
      <c r="I1843" s="116"/>
      <c r="L1843" s="170"/>
    </row>
    <row r="1844" spans="1:12" x14ac:dyDescent="0.25">
      <c r="A1844" s="170"/>
      <c r="B1844" s="116"/>
      <c r="C1844" s="116"/>
      <c r="D1844" s="116"/>
      <c r="E1844" s="116"/>
      <c r="F1844" s="116"/>
      <c r="H1844" s="116"/>
      <c r="I1844" s="116"/>
      <c r="L1844" s="170"/>
    </row>
    <row r="1845" spans="1:12" x14ac:dyDescent="0.25">
      <c r="A1845" s="170"/>
      <c r="B1845" s="116"/>
      <c r="C1845" s="116"/>
      <c r="D1845" s="116"/>
      <c r="E1845" s="116"/>
      <c r="F1845" s="116"/>
      <c r="H1845" s="116"/>
      <c r="I1845" s="116"/>
      <c r="L1845" s="170"/>
    </row>
    <row r="1846" spans="1:12" x14ac:dyDescent="0.25">
      <c r="A1846" s="170"/>
      <c r="B1846" s="116"/>
      <c r="C1846" s="116"/>
      <c r="D1846" s="116"/>
      <c r="E1846" s="116"/>
      <c r="F1846" s="116"/>
      <c r="H1846" s="116"/>
      <c r="I1846" s="116"/>
      <c r="L1846" s="170"/>
    </row>
    <row r="1847" spans="1:12" x14ac:dyDescent="0.25">
      <c r="A1847" s="170"/>
      <c r="B1847" s="116"/>
      <c r="C1847" s="116"/>
      <c r="D1847" s="116"/>
      <c r="E1847" s="116"/>
      <c r="F1847" s="116"/>
      <c r="H1847" s="116"/>
      <c r="I1847" s="116"/>
      <c r="L1847" s="170"/>
    </row>
    <row r="1848" spans="1:12" x14ac:dyDescent="0.25">
      <c r="A1848" s="170"/>
      <c r="B1848" s="116"/>
      <c r="C1848" s="116"/>
      <c r="D1848" s="116"/>
      <c r="E1848" s="116"/>
      <c r="F1848" s="116"/>
      <c r="H1848" s="116"/>
      <c r="I1848" s="116"/>
      <c r="L1848" s="170"/>
    </row>
    <row r="1849" spans="1:12" x14ac:dyDescent="0.25">
      <c r="A1849" s="170"/>
      <c r="B1849" s="116"/>
      <c r="C1849" s="116"/>
      <c r="D1849" s="116"/>
      <c r="E1849" s="116"/>
      <c r="F1849" s="116"/>
      <c r="H1849" s="116"/>
      <c r="I1849" s="116"/>
      <c r="L1849" s="170"/>
    </row>
    <row r="1850" spans="1:12" x14ac:dyDescent="0.25">
      <c r="A1850" s="170"/>
      <c r="B1850" s="116"/>
      <c r="C1850" s="116"/>
      <c r="D1850" s="116"/>
      <c r="E1850" s="116"/>
      <c r="F1850" s="116"/>
      <c r="H1850" s="116"/>
      <c r="I1850" s="116"/>
      <c r="L1850" s="170"/>
    </row>
    <row r="1851" spans="1:12" x14ac:dyDescent="0.25">
      <c r="A1851" s="170"/>
      <c r="B1851" s="116"/>
      <c r="C1851" s="116"/>
      <c r="D1851" s="116"/>
      <c r="E1851" s="116"/>
      <c r="F1851" s="116"/>
      <c r="H1851" s="116"/>
      <c r="I1851" s="116"/>
      <c r="L1851" s="170"/>
    </row>
    <row r="1852" spans="1:12" x14ac:dyDescent="0.25">
      <c r="A1852" s="170"/>
      <c r="B1852" s="116"/>
      <c r="C1852" s="116"/>
      <c r="D1852" s="116"/>
      <c r="E1852" s="116"/>
      <c r="F1852" s="116"/>
      <c r="H1852" s="116"/>
      <c r="I1852" s="116"/>
      <c r="L1852" s="170"/>
    </row>
    <row r="1853" spans="1:12" x14ac:dyDescent="0.25">
      <c r="A1853" s="170"/>
      <c r="B1853" s="116"/>
      <c r="C1853" s="116"/>
      <c r="D1853" s="116"/>
      <c r="E1853" s="116"/>
      <c r="F1853" s="116"/>
      <c r="H1853" s="116"/>
      <c r="I1853" s="116"/>
      <c r="L1853" s="170"/>
    </row>
    <row r="1854" spans="1:12" x14ac:dyDescent="0.25">
      <c r="A1854" s="170"/>
      <c r="B1854" s="116"/>
      <c r="C1854" s="116"/>
      <c r="D1854" s="116"/>
      <c r="E1854" s="116"/>
      <c r="F1854" s="116"/>
      <c r="H1854" s="116"/>
      <c r="I1854" s="116"/>
      <c r="L1854" s="170"/>
    </row>
    <row r="1855" spans="1:12" x14ac:dyDescent="0.25">
      <c r="A1855" s="170"/>
      <c r="B1855" s="116"/>
      <c r="C1855" s="116"/>
      <c r="D1855" s="116"/>
      <c r="E1855" s="116"/>
      <c r="F1855" s="116"/>
      <c r="H1855" s="116"/>
      <c r="I1855" s="116"/>
      <c r="L1855" s="170"/>
    </row>
    <row r="1856" spans="1:12" x14ac:dyDescent="0.25">
      <c r="A1856" s="170"/>
      <c r="B1856" s="116"/>
      <c r="C1856" s="116"/>
      <c r="D1856" s="116"/>
      <c r="E1856" s="116"/>
      <c r="F1856" s="116"/>
      <c r="H1856" s="116"/>
      <c r="I1856" s="116"/>
      <c r="L1856" s="170"/>
    </row>
    <row r="1857" spans="1:12" x14ac:dyDescent="0.25">
      <c r="A1857" s="170"/>
      <c r="B1857" s="116"/>
      <c r="C1857" s="116"/>
      <c r="D1857" s="116"/>
      <c r="E1857" s="116"/>
      <c r="F1857" s="116"/>
      <c r="H1857" s="116"/>
      <c r="I1857" s="116"/>
      <c r="L1857" s="170"/>
    </row>
    <row r="1858" spans="1:12" x14ac:dyDescent="0.25">
      <c r="A1858" s="170"/>
      <c r="B1858" s="116"/>
      <c r="C1858" s="116"/>
      <c r="D1858" s="116"/>
      <c r="E1858" s="116"/>
      <c r="F1858" s="116"/>
      <c r="H1858" s="116"/>
      <c r="I1858" s="116"/>
      <c r="L1858" s="170"/>
    </row>
    <row r="1859" spans="1:12" x14ac:dyDescent="0.25">
      <c r="A1859" s="170"/>
      <c r="B1859" s="116"/>
      <c r="C1859" s="116"/>
      <c r="D1859" s="116"/>
      <c r="E1859" s="116"/>
      <c r="F1859" s="116"/>
      <c r="H1859" s="116"/>
      <c r="I1859" s="116"/>
      <c r="L1859" s="170"/>
    </row>
    <row r="1860" spans="1:12" x14ac:dyDescent="0.25">
      <c r="A1860" s="170"/>
      <c r="B1860" s="116"/>
      <c r="C1860" s="116"/>
      <c r="D1860" s="116"/>
      <c r="E1860" s="116"/>
      <c r="F1860" s="116"/>
      <c r="H1860" s="116"/>
      <c r="I1860" s="116"/>
      <c r="L1860" s="170"/>
    </row>
    <row r="1861" spans="1:12" x14ac:dyDescent="0.25">
      <c r="A1861" s="170"/>
      <c r="B1861" s="116"/>
      <c r="C1861" s="116"/>
      <c r="D1861" s="116"/>
      <c r="E1861" s="116"/>
      <c r="F1861" s="116"/>
      <c r="H1861" s="116"/>
      <c r="I1861" s="116"/>
      <c r="L1861" s="170"/>
    </row>
    <row r="1862" spans="1:12" x14ac:dyDescent="0.25">
      <c r="A1862" s="170"/>
      <c r="B1862" s="116"/>
      <c r="C1862" s="116"/>
      <c r="D1862" s="116"/>
      <c r="E1862" s="116"/>
      <c r="F1862" s="116"/>
      <c r="H1862" s="116"/>
      <c r="I1862" s="116"/>
      <c r="L1862" s="170"/>
    </row>
    <row r="1863" spans="1:12" x14ac:dyDescent="0.25">
      <c r="A1863" s="170"/>
      <c r="B1863" s="116"/>
      <c r="C1863" s="116"/>
      <c r="D1863" s="116"/>
      <c r="E1863" s="116"/>
      <c r="F1863" s="116"/>
      <c r="H1863" s="116"/>
      <c r="I1863" s="116"/>
      <c r="L1863" s="170"/>
    </row>
    <row r="1864" spans="1:12" x14ac:dyDescent="0.25">
      <c r="A1864" s="170"/>
      <c r="B1864" s="116"/>
      <c r="C1864" s="116"/>
      <c r="D1864" s="116"/>
      <c r="E1864" s="116"/>
      <c r="F1864" s="116"/>
      <c r="H1864" s="116"/>
      <c r="I1864" s="116"/>
      <c r="L1864" s="170"/>
    </row>
    <row r="1865" spans="1:12" x14ac:dyDescent="0.25">
      <c r="A1865" s="170"/>
      <c r="B1865" s="116"/>
      <c r="C1865" s="116"/>
      <c r="D1865" s="116"/>
      <c r="E1865" s="116"/>
      <c r="F1865" s="116"/>
      <c r="H1865" s="116"/>
      <c r="I1865" s="116"/>
      <c r="L1865" s="170"/>
    </row>
    <row r="1866" spans="1:12" x14ac:dyDescent="0.25">
      <c r="A1866" s="170"/>
      <c r="B1866" s="116"/>
      <c r="C1866" s="116"/>
      <c r="D1866" s="116"/>
      <c r="E1866" s="116"/>
      <c r="F1866" s="116"/>
      <c r="H1866" s="116"/>
      <c r="I1866" s="116"/>
      <c r="L1866" s="170"/>
    </row>
    <row r="1867" spans="1:12" x14ac:dyDescent="0.25">
      <c r="A1867" s="170"/>
      <c r="B1867" s="116"/>
      <c r="C1867" s="116"/>
      <c r="D1867" s="116"/>
      <c r="E1867" s="116"/>
      <c r="F1867" s="116"/>
      <c r="H1867" s="116"/>
      <c r="I1867" s="116"/>
      <c r="L1867" s="170"/>
    </row>
    <row r="1868" spans="1:12" x14ac:dyDescent="0.25">
      <c r="A1868" s="170"/>
      <c r="B1868" s="116"/>
      <c r="C1868" s="116"/>
      <c r="D1868" s="116"/>
      <c r="E1868" s="116"/>
      <c r="F1868" s="116"/>
      <c r="H1868" s="116"/>
      <c r="I1868" s="116"/>
      <c r="L1868" s="170"/>
    </row>
    <row r="1869" spans="1:12" x14ac:dyDescent="0.25">
      <c r="A1869" s="170"/>
      <c r="B1869" s="116"/>
      <c r="C1869" s="116"/>
      <c r="D1869" s="116"/>
      <c r="E1869" s="116"/>
      <c r="F1869" s="116"/>
      <c r="H1869" s="116"/>
      <c r="I1869" s="116"/>
      <c r="L1869" s="170"/>
    </row>
    <row r="1870" spans="1:12" x14ac:dyDescent="0.25">
      <c r="A1870" s="170"/>
      <c r="B1870" s="116"/>
      <c r="C1870" s="116"/>
      <c r="D1870" s="116"/>
      <c r="E1870" s="116"/>
      <c r="F1870" s="116"/>
      <c r="H1870" s="116"/>
      <c r="I1870" s="116"/>
      <c r="L1870" s="170"/>
    </row>
    <row r="1871" spans="1:12" x14ac:dyDescent="0.25">
      <c r="A1871" s="170"/>
      <c r="B1871" s="116"/>
      <c r="C1871" s="116"/>
      <c r="D1871" s="116"/>
      <c r="E1871" s="116"/>
      <c r="F1871" s="116"/>
      <c r="H1871" s="116"/>
      <c r="I1871" s="116"/>
      <c r="L1871" s="170"/>
    </row>
    <row r="1872" spans="1:12" x14ac:dyDescent="0.25">
      <c r="A1872" s="170"/>
      <c r="B1872" s="116"/>
      <c r="C1872" s="116"/>
      <c r="D1872" s="116"/>
      <c r="E1872" s="116"/>
      <c r="F1872" s="116"/>
      <c r="H1872" s="116"/>
      <c r="I1872" s="116"/>
      <c r="L1872" s="170"/>
    </row>
    <row r="1873" spans="1:12" x14ac:dyDescent="0.25">
      <c r="A1873" s="170"/>
      <c r="B1873" s="116"/>
      <c r="C1873" s="116"/>
      <c r="D1873" s="116"/>
      <c r="E1873" s="116"/>
      <c r="F1873" s="116"/>
      <c r="H1873" s="116"/>
      <c r="I1873" s="116"/>
      <c r="L1873" s="170"/>
    </row>
    <row r="1874" spans="1:12" x14ac:dyDescent="0.25">
      <c r="A1874" s="170"/>
      <c r="B1874" s="116"/>
      <c r="C1874" s="116"/>
      <c r="D1874" s="116"/>
      <c r="E1874" s="116"/>
      <c r="F1874" s="116"/>
      <c r="H1874" s="116"/>
      <c r="I1874" s="116"/>
      <c r="L1874" s="170"/>
    </row>
    <row r="1875" spans="1:12" x14ac:dyDescent="0.25">
      <c r="A1875" s="170"/>
      <c r="B1875" s="116"/>
      <c r="C1875" s="116"/>
      <c r="D1875" s="116"/>
      <c r="E1875" s="116"/>
      <c r="F1875" s="116"/>
      <c r="H1875" s="116"/>
      <c r="I1875" s="116"/>
      <c r="L1875" s="170"/>
    </row>
    <row r="1876" spans="1:12" x14ac:dyDescent="0.25">
      <c r="A1876" s="170"/>
      <c r="B1876" s="116"/>
      <c r="C1876" s="116"/>
      <c r="D1876" s="116"/>
      <c r="E1876" s="116"/>
      <c r="F1876" s="116"/>
      <c r="H1876" s="116"/>
      <c r="I1876" s="116"/>
      <c r="L1876" s="170"/>
    </row>
    <row r="1877" spans="1:12" x14ac:dyDescent="0.25">
      <c r="A1877" s="170"/>
      <c r="B1877" s="116"/>
      <c r="C1877" s="116"/>
      <c r="D1877" s="116"/>
      <c r="E1877" s="116"/>
      <c r="F1877" s="116"/>
      <c r="H1877" s="116"/>
      <c r="I1877" s="116"/>
      <c r="L1877" s="170"/>
    </row>
    <row r="1878" spans="1:12" x14ac:dyDescent="0.25">
      <c r="A1878" s="170"/>
      <c r="B1878" s="116"/>
      <c r="C1878" s="116"/>
      <c r="D1878" s="116"/>
      <c r="E1878" s="116"/>
      <c r="F1878" s="116"/>
      <c r="H1878" s="116"/>
      <c r="I1878" s="116"/>
      <c r="L1878" s="170"/>
    </row>
    <row r="1879" spans="1:12" x14ac:dyDescent="0.25">
      <c r="A1879" s="170"/>
      <c r="B1879" s="116"/>
      <c r="C1879" s="116"/>
      <c r="D1879" s="116"/>
      <c r="E1879" s="116"/>
      <c r="F1879" s="116"/>
      <c r="H1879" s="116"/>
      <c r="I1879" s="116"/>
      <c r="L1879" s="170"/>
    </row>
    <row r="1880" spans="1:12" x14ac:dyDescent="0.25">
      <c r="A1880" s="170"/>
      <c r="B1880" s="116"/>
      <c r="C1880" s="116"/>
      <c r="D1880" s="116"/>
      <c r="E1880" s="116"/>
      <c r="F1880" s="116"/>
      <c r="H1880" s="116"/>
      <c r="I1880" s="116"/>
      <c r="L1880" s="170"/>
    </row>
    <row r="1881" spans="1:12" x14ac:dyDescent="0.25">
      <c r="A1881" s="170"/>
      <c r="B1881" s="116"/>
      <c r="C1881" s="116"/>
      <c r="D1881" s="116"/>
      <c r="E1881" s="116"/>
      <c r="F1881" s="116"/>
      <c r="H1881" s="116"/>
      <c r="I1881" s="116"/>
      <c r="L1881" s="170"/>
    </row>
    <row r="1882" spans="1:12" x14ac:dyDescent="0.25">
      <c r="A1882" s="170"/>
      <c r="B1882" s="116"/>
      <c r="C1882" s="116"/>
      <c r="D1882" s="116"/>
      <c r="E1882" s="116"/>
      <c r="F1882" s="116"/>
      <c r="H1882" s="116"/>
      <c r="I1882" s="116"/>
      <c r="L1882" s="170"/>
    </row>
    <row r="1883" spans="1:12" x14ac:dyDescent="0.25">
      <c r="A1883" s="170"/>
      <c r="B1883" s="116"/>
      <c r="C1883" s="116"/>
      <c r="D1883" s="116"/>
      <c r="E1883" s="116"/>
      <c r="F1883" s="116"/>
      <c r="H1883" s="116"/>
      <c r="I1883" s="116"/>
      <c r="L1883" s="170"/>
    </row>
    <row r="1884" spans="1:12" x14ac:dyDescent="0.25">
      <c r="A1884" s="170"/>
      <c r="B1884" s="116"/>
      <c r="C1884" s="116"/>
      <c r="D1884" s="116"/>
      <c r="E1884" s="116"/>
      <c r="F1884" s="116"/>
      <c r="H1884" s="116"/>
      <c r="I1884" s="116"/>
      <c r="L1884" s="170"/>
    </row>
    <row r="1885" spans="1:12" x14ac:dyDescent="0.25">
      <c r="A1885" s="170"/>
      <c r="B1885" s="116"/>
      <c r="C1885" s="116"/>
      <c r="D1885" s="116"/>
      <c r="E1885" s="116"/>
      <c r="F1885" s="116"/>
      <c r="H1885" s="116"/>
      <c r="I1885" s="116"/>
      <c r="L1885" s="170"/>
    </row>
    <row r="1886" spans="1:12" x14ac:dyDescent="0.25">
      <c r="A1886" s="170"/>
      <c r="B1886" s="116"/>
      <c r="C1886" s="116"/>
      <c r="D1886" s="116"/>
      <c r="E1886" s="116"/>
      <c r="F1886" s="116"/>
      <c r="H1886" s="116"/>
      <c r="I1886" s="116"/>
      <c r="L1886" s="170"/>
    </row>
    <row r="1887" spans="1:12" x14ac:dyDescent="0.25">
      <c r="A1887" s="170"/>
      <c r="B1887" s="116"/>
      <c r="C1887" s="116"/>
      <c r="D1887" s="116"/>
      <c r="E1887" s="116"/>
      <c r="F1887" s="116"/>
      <c r="H1887" s="116"/>
      <c r="I1887" s="116"/>
      <c r="L1887" s="170"/>
    </row>
    <row r="1888" spans="1:12" x14ac:dyDescent="0.25">
      <c r="A1888" s="170"/>
      <c r="B1888" s="116"/>
      <c r="C1888" s="116"/>
      <c r="D1888" s="116"/>
      <c r="E1888" s="116"/>
      <c r="F1888" s="116"/>
      <c r="H1888" s="116"/>
      <c r="I1888" s="116"/>
      <c r="L1888" s="170"/>
    </row>
    <row r="1889" spans="1:12" x14ac:dyDescent="0.25">
      <c r="A1889" s="170"/>
      <c r="B1889" s="116"/>
      <c r="C1889" s="116"/>
      <c r="D1889" s="116"/>
      <c r="E1889" s="116"/>
      <c r="F1889" s="116"/>
      <c r="H1889" s="116"/>
      <c r="I1889" s="116"/>
      <c r="L1889" s="170"/>
    </row>
    <row r="1890" spans="1:12" x14ac:dyDescent="0.25">
      <c r="A1890" s="170"/>
      <c r="B1890" s="116"/>
      <c r="C1890" s="116"/>
      <c r="D1890" s="116"/>
      <c r="E1890" s="116"/>
      <c r="F1890" s="116"/>
      <c r="H1890" s="116"/>
      <c r="I1890" s="116"/>
      <c r="L1890" s="170"/>
    </row>
    <row r="1891" spans="1:12" x14ac:dyDescent="0.25">
      <c r="A1891" s="170"/>
      <c r="B1891" s="116"/>
      <c r="C1891" s="116"/>
      <c r="D1891" s="116"/>
      <c r="E1891" s="116"/>
      <c r="F1891" s="116"/>
      <c r="H1891" s="116"/>
      <c r="I1891" s="116"/>
      <c r="L1891" s="170"/>
    </row>
    <row r="1892" spans="1:12" x14ac:dyDescent="0.25">
      <c r="A1892" s="170"/>
      <c r="B1892" s="116"/>
      <c r="C1892" s="116"/>
      <c r="D1892" s="116"/>
      <c r="E1892" s="116"/>
      <c r="F1892" s="116"/>
      <c r="H1892" s="116"/>
      <c r="I1892" s="116"/>
      <c r="L1892" s="170"/>
    </row>
    <row r="1893" spans="1:12" x14ac:dyDescent="0.25">
      <c r="A1893" s="170"/>
      <c r="B1893" s="116"/>
      <c r="C1893" s="116"/>
      <c r="D1893" s="116"/>
      <c r="E1893" s="116"/>
      <c r="F1893" s="116"/>
      <c r="H1893" s="116"/>
      <c r="I1893" s="116"/>
      <c r="L1893" s="170"/>
    </row>
    <row r="1894" spans="1:12" x14ac:dyDescent="0.25">
      <c r="A1894" s="170"/>
      <c r="B1894" s="116"/>
      <c r="C1894" s="116"/>
      <c r="D1894" s="116"/>
      <c r="E1894" s="116"/>
      <c r="F1894" s="116"/>
      <c r="H1894" s="116"/>
      <c r="I1894" s="116"/>
      <c r="L1894" s="170"/>
    </row>
    <row r="1895" spans="1:12" x14ac:dyDescent="0.25">
      <c r="A1895" s="170"/>
      <c r="B1895" s="116"/>
      <c r="C1895" s="116"/>
      <c r="D1895" s="116"/>
      <c r="E1895" s="116"/>
      <c r="F1895" s="116"/>
      <c r="H1895" s="116"/>
      <c r="I1895" s="116"/>
      <c r="L1895" s="170"/>
    </row>
    <row r="1896" spans="1:12" x14ac:dyDescent="0.25">
      <c r="A1896" s="170"/>
      <c r="B1896" s="116"/>
      <c r="C1896" s="116"/>
      <c r="D1896" s="116"/>
      <c r="E1896" s="116"/>
      <c r="F1896" s="116"/>
      <c r="H1896" s="116"/>
      <c r="I1896" s="116"/>
      <c r="L1896" s="170"/>
    </row>
    <row r="1897" spans="1:12" x14ac:dyDescent="0.25">
      <c r="A1897" s="170"/>
      <c r="B1897" s="116"/>
      <c r="C1897" s="116"/>
      <c r="D1897" s="116"/>
      <c r="E1897" s="116"/>
      <c r="F1897" s="116"/>
      <c r="H1897" s="116"/>
      <c r="I1897" s="116"/>
      <c r="L1897" s="170"/>
    </row>
    <row r="1898" spans="1:12" x14ac:dyDescent="0.25">
      <c r="A1898" s="170"/>
      <c r="B1898" s="116"/>
      <c r="C1898" s="116"/>
      <c r="D1898" s="116"/>
      <c r="E1898" s="116"/>
      <c r="F1898" s="116"/>
      <c r="H1898" s="116"/>
      <c r="I1898" s="116"/>
      <c r="L1898" s="170"/>
    </row>
    <row r="1899" spans="1:12" x14ac:dyDescent="0.25">
      <c r="A1899" s="170"/>
      <c r="B1899" s="116"/>
      <c r="C1899" s="116"/>
      <c r="D1899" s="116"/>
      <c r="E1899" s="116"/>
      <c r="F1899" s="116"/>
      <c r="H1899" s="116"/>
      <c r="I1899" s="116"/>
      <c r="L1899" s="170"/>
    </row>
    <row r="1900" spans="1:12" x14ac:dyDescent="0.25">
      <c r="A1900" s="170"/>
      <c r="B1900" s="116"/>
      <c r="C1900" s="116"/>
      <c r="D1900" s="116"/>
      <c r="E1900" s="116"/>
      <c r="F1900" s="116"/>
      <c r="H1900" s="116"/>
      <c r="I1900" s="116"/>
      <c r="L1900" s="170"/>
    </row>
    <row r="1901" spans="1:12" x14ac:dyDescent="0.25">
      <c r="A1901" s="170"/>
      <c r="B1901" s="116"/>
      <c r="C1901" s="116"/>
      <c r="D1901" s="116"/>
      <c r="E1901" s="116"/>
      <c r="F1901" s="116"/>
      <c r="H1901" s="116"/>
      <c r="I1901" s="116"/>
      <c r="L1901" s="170"/>
    </row>
    <row r="1902" spans="1:12" x14ac:dyDescent="0.25">
      <c r="A1902" s="170"/>
      <c r="B1902" s="116"/>
      <c r="C1902" s="116"/>
      <c r="D1902" s="116"/>
      <c r="E1902" s="116"/>
      <c r="F1902" s="116"/>
      <c r="H1902" s="116"/>
      <c r="I1902" s="116"/>
      <c r="L1902" s="170"/>
    </row>
    <row r="1903" spans="1:12" x14ac:dyDescent="0.25">
      <c r="A1903" s="170"/>
      <c r="B1903" s="116"/>
      <c r="C1903" s="116"/>
      <c r="D1903" s="116"/>
      <c r="E1903" s="116"/>
      <c r="F1903" s="116"/>
      <c r="H1903" s="116"/>
      <c r="I1903" s="116"/>
      <c r="L1903" s="170"/>
    </row>
    <row r="1904" spans="1:12" x14ac:dyDescent="0.25">
      <c r="A1904" s="170"/>
      <c r="B1904" s="116"/>
      <c r="C1904" s="116"/>
      <c r="D1904" s="116"/>
      <c r="E1904" s="116"/>
      <c r="F1904" s="116"/>
      <c r="H1904" s="116"/>
      <c r="I1904" s="116"/>
      <c r="L1904" s="170"/>
    </row>
    <row r="1905" spans="1:12" x14ac:dyDescent="0.25">
      <c r="A1905" s="170"/>
      <c r="B1905" s="116"/>
      <c r="C1905" s="116"/>
      <c r="D1905" s="116"/>
      <c r="E1905" s="116"/>
      <c r="F1905" s="116"/>
      <c r="H1905" s="116"/>
      <c r="I1905" s="116"/>
      <c r="L1905" s="170"/>
    </row>
    <row r="1906" spans="1:12" x14ac:dyDescent="0.25">
      <c r="A1906" s="170"/>
      <c r="B1906" s="116"/>
      <c r="C1906" s="116"/>
      <c r="D1906" s="116"/>
      <c r="E1906" s="116"/>
      <c r="F1906" s="116"/>
      <c r="H1906" s="116"/>
      <c r="I1906" s="116"/>
      <c r="L1906" s="170"/>
    </row>
    <row r="1907" spans="1:12" x14ac:dyDescent="0.25">
      <c r="A1907" s="170"/>
      <c r="B1907" s="116"/>
      <c r="C1907" s="116"/>
      <c r="D1907" s="116"/>
      <c r="E1907" s="116"/>
      <c r="F1907" s="116"/>
      <c r="H1907" s="116"/>
      <c r="I1907" s="116"/>
      <c r="L1907" s="170"/>
    </row>
    <row r="1908" spans="1:12" x14ac:dyDescent="0.25">
      <c r="A1908" s="170"/>
      <c r="B1908" s="116"/>
      <c r="C1908" s="116"/>
      <c r="D1908" s="116"/>
      <c r="E1908" s="116"/>
      <c r="F1908" s="116"/>
      <c r="H1908" s="116"/>
      <c r="I1908" s="116"/>
      <c r="L1908" s="170"/>
    </row>
    <row r="1909" spans="1:12" x14ac:dyDescent="0.25">
      <c r="A1909" s="170"/>
      <c r="B1909" s="116"/>
      <c r="C1909" s="116"/>
      <c r="D1909" s="116"/>
      <c r="E1909" s="116"/>
      <c r="F1909" s="116"/>
      <c r="H1909" s="116"/>
      <c r="I1909" s="116"/>
      <c r="L1909" s="170"/>
    </row>
    <row r="1910" spans="1:12" x14ac:dyDescent="0.25">
      <c r="A1910" s="170"/>
      <c r="B1910" s="116"/>
      <c r="C1910" s="116"/>
      <c r="D1910" s="116"/>
      <c r="E1910" s="116"/>
      <c r="F1910" s="116"/>
      <c r="H1910" s="116"/>
      <c r="I1910" s="116"/>
      <c r="L1910" s="170"/>
    </row>
    <row r="1911" spans="1:12" x14ac:dyDescent="0.25">
      <c r="A1911" s="170"/>
      <c r="B1911" s="116"/>
      <c r="C1911" s="116"/>
      <c r="D1911" s="116"/>
      <c r="E1911" s="116"/>
      <c r="F1911" s="116"/>
      <c r="H1911" s="116"/>
      <c r="I1911" s="116"/>
      <c r="L1911" s="170"/>
    </row>
    <row r="1912" spans="1:12" x14ac:dyDescent="0.25">
      <c r="A1912" s="170"/>
      <c r="B1912" s="116"/>
      <c r="C1912" s="116"/>
      <c r="D1912" s="116"/>
      <c r="E1912" s="116"/>
      <c r="F1912" s="116"/>
      <c r="H1912" s="116"/>
      <c r="I1912" s="116"/>
      <c r="L1912" s="170"/>
    </row>
    <row r="1913" spans="1:12" x14ac:dyDescent="0.25">
      <c r="A1913" s="170"/>
      <c r="B1913" s="116"/>
      <c r="C1913" s="116"/>
      <c r="D1913" s="116"/>
      <c r="E1913" s="116"/>
      <c r="F1913" s="116"/>
      <c r="H1913" s="116"/>
      <c r="I1913" s="116"/>
      <c r="L1913" s="170"/>
    </row>
    <row r="1914" spans="1:12" x14ac:dyDescent="0.25">
      <c r="A1914" s="170"/>
      <c r="B1914" s="116"/>
      <c r="C1914" s="116"/>
      <c r="D1914" s="116"/>
      <c r="E1914" s="116"/>
      <c r="F1914" s="116"/>
      <c r="H1914" s="116"/>
      <c r="I1914" s="116"/>
      <c r="L1914" s="170"/>
    </row>
    <row r="1915" spans="1:12" x14ac:dyDescent="0.25">
      <c r="A1915" s="170"/>
      <c r="B1915" s="116"/>
      <c r="C1915" s="116"/>
      <c r="D1915" s="116"/>
      <c r="E1915" s="116"/>
      <c r="F1915" s="116"/>
      <c r="H1915" s="116"/>
      <c r="I1915" s="116"/>
      <c r="L1915" s="170"/>
    </row>
    <row r="1916" spans="1:12" x14ac:dyDescent="0.25">
      <c r="A1916" s="170"/>
      <c r="B1916" s="116"/>
      <c r="C1916" s="116"/>
      <c r="D1916" s="116"/>
      <c r="E1916" s="116"/>
      <c r="F1916" s="116"/>
      <c r="H1916" s="116"/>
      <c r="I1916" s="116"/>
      <c r="L1916" s="170"/>
    </row>
    <row r="1917" spans="1:12" x14ac:dyDescent="0.25">
      <c r="A1917" s="170"/>
      <c r="B1917" s="116"/>
      <c r="C1917" s="116"/>
      <c r="D1917" s="116"/>
      <c r="E1917" s="116"/>
      <c r="F1917" s="116"/>
      <c r="H1917" s="116"/>
      <c r="I1917" s="116"/>
      <c r="L1917" s="170"/>
    </row>
    <row r="1918" spans="1:12" x14ac:dyDescent="0.25">
      <c r="A1918" s="170"/>
      <c r="B1918" s="116"/>
      <c r="C1918" s="116"/>
      <c r="D1918" s="116"/>
      <c r="E1918" s="116"/>
      <c r="F1918" s="116"/>
      <c r="H1918" s="116"/>
      <c r="I1918" s="116"/>
      <c r="L1918" s="170"/>
    </row>
    <row r="1919" spans="1:12" x14ac:dyDescent="0.25">
      <c r="A1919" s="170"/>
      <c r="B1919" s="116"/>
      <c r="C1919" s="116"/>
      <c r="D1919" s="116"/>
      <c r="E1919" s="116"/>
      <c r="F1919" s="116"/>
      <c r="H1919" s="116"/>
      <c r="I1919" s="116"/>
      <c r="L1919" s="170"/>
    </row>
    <row r="1920" spans="1:12" x14ac:dyDescent="0.25">
      <c r="A1920" s="170"/>
      <c r="B1920" s="116"/>
      <c r="C1920" s="116"/>
      <c r="D1920" s="116"/>
      <c r="E1920" s="116"/>
      <c r="F1920" s="116"/>
      <c r="H1920" s="116"/>
      <c r="I1920" s="116"/>
      <c r="L1920" s="170"/>
    </row>
    <row r="1921" spans="1:18" x14ac:dyDescent="0.25">
      <c r="A1921" s="170"/>
      <c r="B1921" s="116"/>
      <c r="C1921" s="116"/>
      <c r="D1921" s="116"/>
      <c r="E1921" s="116"/>
      <c r="F1921" s="116"/>
      <c r="H1921" s="116"/>
      <c r="I1921" s="116"/>
      <c r="L1921" s="170"/>
    </row>
    <row r="1922" spans="1:18" x14ac:dyDescent="0.25">
      <c r="A1922" s="170"/>
      <c r="B1922" s="116"/>
      <c r="C1922" s="116"/>
      <c r="D1922" s="116"/>
      <c r="E1922" s="116"/>
      <c r="F1922" s="116"/>
      <c r="H1922" s="116"/>
      <c r="I1922" s="116"/>
      <c r="L1922" s="170"/>
    </row>
    <row r="1923" spans="1:18" x14ac:dyDescent="0.25">
      <c r="A1923" s="170"/>
      <c r="B1923" s="116"/>
      <c r="C1923" s="116"/>
      <c r="D1923" s="116"/>
      <c r="E1923" s="116"/>
      <c r="F1923" s="116"/>
      <c r="H1923" s="116"/>
      <c r="I1923" s="116"/>
      <c r="L1923" s="170"/>
    </row>
    <row r="1924" spans="1:18" x14ac:dyDescent="0.25">
      <c r="A1924" s="170"/>
      <c r="B1924" s="116"/>
      <c r="C1924" s="116"/>
      <c r="D1924" s="116"/>
      <c r="E1924" s="116"/>
      <c r="F1924" s="116"/>
      <c r="H1924" s="116"/>
      <c r="I1924" s="116"/>
      <c r="L1924" s="170"/>
    </row>
    <row r="1925" spans="1:18" x14ac:dyDescent="0.25">
      <c r="A1925" s="170"/>
      <c r="B1925" s="116"/>
      <c r="C1925" s="116"/>
      <c r="D1925" s="116"/>
      <c r="E1925" s="116"/>
      <c r="F1925" s="116"/>
      <c r="H1925" s="116"/>
      <c r="I1925" s="116"/>
      <c r="L1925" s="170"/>
    </row>
    <row r="1926" spans="1:18" x14ac:dyDescent="0.25">
      <c r="A1926" s="170"/>
      <c r="B1926" s="116"/>
      <c r="C1926" s="116"/>
      <c r="D1926" s="116"/>
      <c r="E1926" s="116"/>
      <c r="F1926" s="116"/>
      <c r="H1926" s="116"/>
      <c r="I1926" s="116"/>
      <c r="L1926" s="170"/>
    </row>
    <row r="1927" spans="1:18" x14ac:dyDescent="0.25">
      <c r="A1927" s="170"/>
      <c r="B1927" s="116"/>
      <c r="C1927" s="116"/>
      <c r="D1927" s="116"/>
      <c r="E1927" s="116"/>
      <c r="F1927" s="116"/>
      <c r="H1927" s="116"/>
      <c r="I1927" s="116"/>
      <c r="L1927" s="170"/>
    </row>
    <row r="1928" spans="1:18" x14ac:dyDescent="0.25">
      <c r="A1928" s="170"/>
      <c r="B1928" s="116"/>
      <c r="C1928" s="116"/>
      <c r="D1928" s="116"/>
      <c r="E1928" s="116"/>
      <c r="F1928" s="116"/>
      <c r="H1928" s="116"/>
      <c r="I1928" s="116"/>
      <c r="L1928" s="170"/>
    </row>
    <row r="1929" spans="1:18" x14ac:dyDescent="0.25">
      <c r="A1929" s="170"/>
      <c r="B1929" s="116"/>
      <c r="C1929" s="116"/>
      <c r="D1929" s="116"/>
      <c r="E1929" s="116"/>
      <c r="F1929" s="116"/>
      <c r="H1929" s="116"/>
      <c r="I1929" s="116"/>
      <c r="L1929" s="170"/>
    </row>
    <row r="1930" spans="1:18" x14ac:dyDescent="0.25">
      <c r="A1930" s="170">
        <v>44846</v>
      </c>
      <c r="B1930" s="116">
        <v>1435</v>
      </c>
      <c r="C1930" s="116">
        <v>1432.6</v>
      </c>
      <c r="D1930" s="116">
        <v>1402</v>
      </c>
      <c r="E1930" s="116">
        <v>1402.05</v>
      </c>
      <c r="F1930" s="116">
        <v>1432.6</v>
      </c>
      <c r="G1930">
        <v>7560</v>
      </c>
      <c r="H1930" s="116"/>
      <c r="I1930" s="116"/>
      <c r="L1930" s="170">
        <v>44846</v>
      </c>
      <c r="M1930" s="116">
        <v>1432.15</v>
      </c>
      <c r="N1930" s="116">
        <v>1435</v>
      </c>
      <c r="O1930" s="116">
        <v>1400.15</v>
      </c>
      <c r="P1930" s="116">
        <v>1417</v>
      </c>
      <c r="Q1930" s="116">
        <v>1432.15</v>
      </c>
      <c r="R1930">
        <v>162480</v>
      </c>
    </row>
    <row r="1931" spans="1:18" x14ac:dyDescent="0.25">
      <c r="A1931" s="170">
        <v>44847</v>
      </c>
      <c r="B1931" s="116">
        <v>1480</v>
      </c>
      <c r="C1931" s="116">
        <v>1453.55</v>
      </c>
      <c r="D1931" s="116">
        <v>1424.95</v>
      </c>
      <c r="E1931" s="116">
        <v>1431</v>
      </c>
      <c r="F1931" s="116">
        <v>1453.55</v>
      </c>
      <c r="G1931">
        <v>11170</v>
      </c>
      <c r="H1931" s="116"/>
      <c r="I1931" s="116"/>
      <c r="L1931" s="170">
        <v>44847</v>
      </c>
      <c r="M1931" s="116">
        <v>1453.1</v>
      </c>
      <c r="N1931" s="116">
        <v>1481.95</v>
      </c>
      <c r="O1931" s="116">
        <v>1422.25</v>
      </c>
      <c r="P1931" s="116">
        <v>1432.15</v>
      </c>
      <c r="Q1931" s="116">
        <v>1453.1</v>
      </c>
      <c r="R1931">
        <v>498594</v>
      </c>
    </row>
    <row r="1932" spans="1:18" x14ac:dyDescent="0.25">
      <c r="A1932" s="170">
        <v>44848</v>
      </c>
      <c r="B1932" s="116">
        <v>1480</v>
      </c>
      <c r="C1932" s="116">
        <v>1438.65</v>
      </c>
      <c r="D1932" s="116">
        <v>1426.2</v>
      </c>
      <c r="E1932" s="116">
        <v>1461.7</v>
      </c>
      <c r="F1932" s="116">
        <v>1438.65</v>
      </c>
      <c r="G1932">
        <v>9347</v>
      </c>
      <c r="H1932" s="116"/>
      <c r="I1932" s="116"/>
      <c r="L1932" s="170">
        <v>44848</v>
      </c>
      <c r="M1932" s="116">
        <v>1432.9</v>
      </c>
      <c r="N1932" s="116">
        <v>1487</v>
      </c>
      <c r="O1932" s="116">
        <v>1425.05</v>
      </c>
      <c r="P1932" s="116">
        <v>1487</v>
      </c>
      <c r="Q1932" s="116">
        <v>1432.9</v>
      </c>
      <c r="R1932">
        <v>170873</v>
      </c>
    </row>
    <row r="1933" spans="1:18" x14ac:dyDescent="0.25">
      <c r="A1933" s="170">
        <v>44851</v>
      </c>
      <c r="B1933" s="116">
        <v>1462</v>
      </c>
      <c r="C1933" s="116">
        <v>1455.2</v>
      </c>
      <c r="D1933" s="116">
        <v>1425.05</v>
      </c>
      <c r="E1933" s="116">
        <v>1425.05</v>
      </c>
      <c r="F1933" s="116">
        <v>1455.2</v>
      </c>
      <c r="G1933">
        <v>178041</v>
      </c>
      <c r="H1933" s="116"/>
      <c r="I1933" s="116"/>
      <c r="L1933" s="170">
        <v>44851</v>
      </c>
      <c r="M1933" s="116">
        <v>1452.2</v>
      </c>
      <c r="N1933" s="116">
        <v>1465</v>
      </c>
      <c r="O1933" s="116">
        <v>1426.05</v>
      </c>
      <c r="P1933" s="116">
        <v>1432.9</v>
      </c>
      <c r="Q1933" s="116">
        <v>1452.2</v>
      </c>
      <c r="R1933">
        <v>113471</v>
      </c>
    </row>
    <row r="1934" spans="1:18" x14ac:dyDescent="0.25">
      <c r="A1934" s="170">
        <v>44852</v>
      </c>
      <c r="B1934" s="116">
        <v>1505</v>
      </c>
      <c r="C1934" s="116">
        <v>1493.55</v>
      </c>
      <c r="D1934" s="116">
        <v>1458.05</v>
      </c>
      <c r="E1934" s="116">
        <v>1469.95</v>
      </c>
      <c r="F1934" s="116">
        <v>1493.55</v>
      </c>
      <c r="G1934">
        <v>17220</v>
      </c>
      <c r="H1934" s="116"/>
      <c r="I1934" s="116"/>
      <c r="L1934" s="170">
        <v>44852</v>
      </c>
      <c r="M1934" s="116">
        <v>1494.05</v>
      </c>
      <c r="N1934" s="116">
        <v>1506</v>
      </c>
      <c r="O1934" s="116">
        <v>1458</v>
      </c>
      <c r="P1934" s="116">
        <v>1458</v>
      </c>
      <c r="Q1934" s="116">
        <v>1494.05</v>
      </c>
      <c r="R1934">
        <v>210437</v>
      </c>
    </row>
    <row r="1935" spans="1:18" x14ac:dyDescent="0.25">
      <c r="A1935" s="170">
        <v>44853</v>
      </c>
      <c r="B1935" s="116">
        <v>1542</v>
      </c>
      <c r="C1935" s="116">
        <v>1525.6</v>
      </c>
      <c r="D1935" s="116">
        <v>1485.95</v>
      </c>
      <c r="E1935" s="116">
        <v>1510</v>
      </c>
      <c r="F1935" s="116">
        <v>1525.6</v>
      </c>
      <c r="G1935">
        <v>12971</v>
      </c>
      <c r="H1935" s="116"/>
      <c r="I1935" s="116"/>
      <c r="L1935" s="170">
        <v>44853</v>
      </c>
      <c r="M1935" s="116">
        <v>1526.5</v>
      </c>
      <c r="N1935" s="116">
        <v>1544</v>
      </c>
      <c r="O1935" s="116">
        <v>1471.8</v>
      </c>
      <c r="P1935" s="116">
        <v>1510</v>
      </c>
      <c r="Q1935" s="116">
        <v>1526.5</v>
      </c>
      <c r="R1935">
        <v>223523</v>
      </c>
    </row>
    <row r="1936" spans="1:18" x14ac:dyDescent="0.25">
      <c r="A1936" s="170">
        <v>44854</v>
      </c>
      <c r="B1936" s="116">
        <v>1538.55</v>
      </c>
      <c r="C1936" s="116">
        <v>1496.35</v>
      </c>
      <c r="D1936" s="116">
        <v>1485</v>
      </c>
      <c r="E1936" s="116">
        <v>1518.15</v>
      </c>
      <c r="F1936" s="116">
        <v>1496.35</v>
      </c>
      <c r="G1936">
        <v>4849</v>
      </c>
      <c r="H1936" s="116"/>
      <c r="I1936" s="116"/>
      <c r="L1936" s="170">
        <v>44854</v>
      </c>
      <c r="M1936" s="116">
        <v>1496.4</v>
      </c>
      <c r="N1936" s="116">
        <v>1539.15</v>
      </c>
      <c r="O1936" s="116">
        <v>1485</v>
      </c>
      <c r="P1936" s="116">
        <v>1512.6</v>
      </c>
      <c r="Q1936" s="116">
        <v>1496.4</v>
      </c>
      <c r="R1936">
        <v>89493</v>
      </c>
    </row>
    <row r="1937" spans="1:18" x14ac:dyDescent="0.25">
      <c r="A1937" s="170">
        <v>44855</v>
      </c>
      <c r="B1937" s="116">
        <v>1538.95</v>
      </c>
      <c r="C1937" s="116">
        <v>1534.55</v>
      </c>
      <c r="D1937" s="116">
        <v>1490.65</v>
      </c>
      <c r="E1937" s="116">
        <v>1495</v>
      </c>
      <c r="F1937" s="116">
        <v>1534.55</v>
      </c>
      <c r="G1937">
        <v>8434</v>
      </c>
      <c r="H1937" s="116"/>
      <c r="I1937" s="116"/>
      <c r="L1937" s="170">
        <v>44855</v>
      </c>
      <c r="M1937" s="116">
        <v>1534.5</v>
      </c>
      <c r="N1937" s="116">
        <v>1539.9</v>
      </c>
      <c r="O1937" s="116">
        <v>1490</v>
      </c>
      <c r="P1937" s="116">
        <v>1494.95</v>
      </c>
      <c r="Q1937" s="116">
        <v>1534.5</v>
      </c>
      <c r="R1937">
        <v>261242</v>
      </c>
    </row>
    <row r="1938" spans="1:18" x14ac:dyDescent="0.25">
      <c r="A1938" s="170">
        <v>44858</v>
      </c>
      <c r="B1938" s="116">
        <v>1566</v>
      </c>
      <c r="C1938" s="116">
        <v>1531.6</v>
      </c>
      <c r="D1938" s="116">
        <v>1522.8</v>
      </c>
      <c r="E1938" s="116">
        <v>1551.1</v>
      </c>
      <c r="F1938" s="116">
        <v>1531.6</v>
      </c>
      <c r="G1938">
        <v>6107</v>
      </c>
      <c r="H1938" s="116"/>
      <c r="I1938" s="116"/>
      <c r="L1938" s="170">
        <v>44858</v>
      </c>
      <c r="M1938" s="116">
        <v>1532.45</v>
      </c>
      <c r="N1938" s="116">
        <v>1570</v>
      </c>
      <c r="O1938" s="116">
        <v>1521</v>
      </c>
      <c r="P1938" s="116">
        <v>1570</v>
      </c>
      <c r="Q1938" s="116">
        <v>1532.45</v>
      </c>
      <c r="R1938">
        <v>30189</v>
      </c>
    </row>
    <row r="1939" spans="1:18" x14ac:dyDescent="0.25">
      <c r="A1939" s="170">
        <v>44859</v>
      </c>
      <c r="B1939" s="116">
        <v>1654.05</v>
      </c>
      <c r="C1939" s="116">
        <v>1633</v>
      </c>
      <c r="D1939" s="116">
        <v>1536.55</v>
      </c>
      <c r="E1939" s="116">
        <v>1551.3</v>
      </c>
      <c r="F1939" s="116">
        <v>1633</v>
      </c>
      <c r="G1939">
        <v>149274</v>
      </c>
      <c r="H1939" s="116"/>
      <c r="I1939" s="116"/>
      <c r="L1939" s="170">
        <v>44859</v>
      </c>
      <c r="M1939" s="116">
        <v>1630.35</v>
      </c>
      <c r="N1939" s="116">
        <v>1654.6</v>
      </c>
      <c r="O1939" s="116">
        <v>1530</v>
      </c>
      <c r="P1939" s="116">
        <v>1532.4</v>
      </c>
      <c r="Q1939" s="116">
        <v>1630.35</v>
      </c>
      <c r="R1939">
        <v>851589</v>
      </c>
    </row>
    <row r="1940" spans="1:18" x14ac:dyDescent="0.25">
      <c r="A1940" s="170">
        <v>44861</v>
      </c>
      <c r="B1940" s="116">
        <v>1662.45</v>
      </c>
      <c r="C1940" s="116">
        <v>1639.3</v>
      </c>
      <c r="D1940" s="116">
        <v>1614</v>
      </c>
      <c r="E1940" s="116">
        <v>1650</v>
      </c>
      <c r="F1940" s="116">
        <v>1639.3</v>
      </c>
      <c r="G1940">
        <v>17820</v>
      </c>
      <c r="H1940" s="116"/>
      <c r="I1940" s="116"/>
      <c r="L1940" s="170">
        <v>44861</v>
      </c>
      <c r="M1940" s="116">
        <v>1641.25</v>
      </c>
      <c r="N1940" s="116">
        <v>1661.95</v>
      </c>
      <c r="O1940" s="116">
        <v>1614.7</v>
      </c>
      <c r="P1940" s="116">
        <v>1650.55</v>
      </c>
      <c r="Q1940" s="116">
        <v>1641.25</v>
      </c>
      <c r="R1940">
        <v>307241</v>
      </c>
    </row>
    <row r="1941" spans="1:18" x14ac:dyDescent="0.25">
      <c r="A1941" s="170">
        <v>44862</v>
      </c>
      <c r="B1941" s="116">
        <v>1636.7</v>
      </c>
      <c r="C1941" s="116">
        <v>1596.35</v>
      </c>
      <c r="D1941" s="116">
        <v>1580.5</v>
      </c>
      <c r="E1941" s="116">
        <v>1636.7</v>
      </c>
      <c r="F1941" s="116">
        <v>1596.35</v>
      </c>
      <c r="G1941">
        <v>9170</v>
      </c>
      <c r="H1941" s="116"/>
      <c r="I1941" s="116"/>
      <c r="L1941" s="170">
        <v>44862</v>
      </c>
      <c r="M1941" s="116">
        <v>1596.7</v>
      </c>
      <c r="N1941" s="116">
        <v>1635.9</v>
      </c>
      <c r="O1941" s="116">
        <v>1580.1</v>
      </c>
      <c r="P1941" s="116">
        <v>1635</v>
      </c>
      <c r="Q1941" s="116">
        <v>1596.7</v>
      </c>
      <c r="R1941">
        <v>238467</v>
      </c>
    </row>
    <row r="1942" spans="1:18" x14ac:dyDescent="0.25">
      <c r="A1942" s="170">
        <v>44865</v>
      </c>
      <c r="B1942" s="116">
        <v>1647</v>
      </c>
      <c r="C1942" s="116">
        <v>1607.35</v>
      </c>
      <c r="D1942" s="116">
        <v>1590</v>
      </c>
      <c r="E1942" s="116">
        <v>1594</v>
      </c>
      <c r="F1942" s="116">
        <v>1607.35</v>
      </c>
      <c r="G1942">
        <v>7699</v>
      </c>
      <c r="H1942" s="116"/>
      <c r="I1942" s="116"/>
      <c r="L1942" s="170">
        <v>44865</v>
      </c>
      <c r="M1942" s="116">
        <v>1615.2</v>
      </c>
      <c r="N1942" s="116">
        <v>1648.5</v>
      </c>
      <c r="O1942" s="116">
        <v>1589</v>
      </c>
      <c r="P1942" s="116">
        <v>1602</v>
      </c>
      <c r="Q1942" s="116">
        <v>1615.2</v>
      </c>
      <c r="R1942">
        <v>323844</v>
      </c>
    </row>
    <row r="1943" spans="1:18" x14ac:dyDescent="0.25">
      <c r="A1943" s="170">
        <v>44866</v>
      </c>
      <c r="B1943" s="116">
        <v>1634.25</v>
      </c>
      <c r="C1943" s="116">
        <v>1600.95</v>
      </c>
      <c r="D1943" s="116">
        <v>1593.6</v>
      </c>
      <c r="E1943" s="116">
        <v>1593.6</v>
      </c>
      <c r="F1943" s="116">
        <v>1600.95</v>
      </c>
      <c r="G1943">
        <v>7133</v>
      </c>
      <c r="H1943" s="116"/>
      <c r="I1943" s="116"/>
      <c r="L1943" s="170">
        <v>44866</v>
      </c>
      <c r="M1943" s="116">
        <v>1600.65</v>
      </c>
      <c r="N1943" s="116">
        <v>1634.95</v>
      </c>
      <c r="O1943" s="116">
        <v>1597</v>
      </c>
      <c r="P1943" s="116">
        <v>1613</v>
      </c>
      <c r="Q1943" s="116">
        <v>1600.65</v>
      </c>
      <c r="R1943">
        <v>206229</v>
      </c>
    </row>
    <row r="1944" spans="1:18" x14ac:dyDescent="0.25">
      <c r="A1944" s="170">
        <v>44867</v>
      </c>
      <c r="B1944" s="116">
        <v>1648</v>
      </c>
      <c r="C1944" s="116">
        <v>1600.7</v>
      </c>
      <c r="D1944" s="116">
        <v>1587.2</v>
      </c>
      <c r="E1944" s="116">
        <v>1629.3</v>
      </c>
      <c r="F1944" s="116">
        <v>1600.7</v>
      </c>
      <c r="G1944">
        <v>136019</v>
      </c>
      <c r="H1944" s="116"/>
      <c r="I1944" s="116"/>
      <c r="L1944" s="170">
        <v>44867</v>
      </c>
      <c r="M1944" s="116">
        <v>1600.3</v>
      </c>
      <c r="N1944" s="116">
        <v>1648</v>
      </c>
      <c r="O1944" s="116">
        <v>1584.85</v>
      </c>
      <c r="P1944" s="116">
        <v>1608.7</v>
      </c>
      <c r="Q1944" s="116">
        <v>1600.3</v>
      </c>
      <c r="R1944">
        <v>407777</v>
      </c>
    </row>
    <row r="1945" spans="1:18" x14ac:dyDescent="0.25">
      <c r="A1945" s="170">
        <v>44868</v>
      </c>
      <c r="B1945" s="116">
        <v>1609.25</v>
      </c>
      <c r="C1945" s="116">
        <v>1596.65</v>
      </c>
      <c r="D1945" s="116">
        <v>1587.6</v>
      </c>
      <c r="E1945" s="116">
        <v>1602.75</v>
      </c>
      <c r="F1945" s="116">
        <v>1596.65</v>
      </c>
      <c r="G1945">
        <v>25137</v>
      </c>
      <c r="H1945" s="116"/>
      <c r="I1945" s="116"/>
      <c r="L1945" s="170">
        <v>44868</v>
      </c>
      <c r="M1945" s="116">
        <v>1598.65</v>
      </c>
      <c r="N1945" s="116">
        <v>1608.95</v>
      </c>
      <c r="O1945" s="116">
        <v>1587.3</v>
      </c>
      <c r="P1945" s="116">
        <v>1607.9</v>
      </c>
      <c r="Q1945" s="116">
        <v>1598.65</v>
      </c>
      <c r="R1945">
        <v>193742</v>
      </c>
    </row>
    <row r="1946" spans="1:18" x14ac:dyDescent="0.25">
      <c r="A1946" s="170">
        <v>44869</v>
      </c>
      <c r="B1946" s="116">
        <v>1599.45</v>
      </c>
      <c r="C1946" s="116">
        <v>1565.65</v>
      </c>
      <c r="D1946" s="116">
        <v>1515.85</v>
      </c>
      <c r="E1946" s="116">
        <v>1581.35</v>
      </c>
      <c r="F1946" s="116">
        <v>1565.65</v>
      </c>
      <c r="G1946">
        <v>15215</v>
      </c>
      <c r="H1946" s="116"/>
      <c r="I1946" s="116"/>
      <c r="L1946" s="170">
        <v>44869</v>
      </c>
      <c r="M1946" s="116">
        <v>1563.35</v>
      </c>
      <c r="N1946" s="116">
        <v>1603</v>
      </c>
      <c r="O1946" s="116">
        <v>1514.55</v>
      </c>
      <c r="P1946" s="116">
        <v>1595</v>
      </c>
      <c r="Q1946" s="116">
        <v>1563.35</v>
      </c>
      <c r="R1946">
        <v>518952</v>
      </c>
    </row>
    <row r="1947" spans="1:18" x14ac:dyDescent="0.25">
      <c r="A1947" s="170">
        <v>44872</v>
      </c>
      <c r="B1947" s="116">
        <v>1595</v>
      </c>
      <c r="C1947" s="116">
        <v>1564.2</v>
      </c>
      <c r="D1947" s="116">
        <v>1558.3</v>
      </c>
      <c r="E1947" s="116">
        <v>1562.2</v>
      </c>
      <c r="F1947" s="116">
        <v>1564.2</v>
      </c>
      <c r="G1947">
        <v>15427</v>
      </c>
      <c r="H1947" s="116"/>
      <c r="I1947" s="116"/>
      <c r="L1947" s="170">
        <v>44872</v>
      </c>
      <c r="M1947" s="116">
        <v>1564.2</v>
      </c>
      <c r="N1947" s="116">
        <v>1596</v>
      </c>
      <c r="O1947" s="116">
        <v>1558</v>
      </c>
      <c r="P1947" s="116">
        <v>1571.8</v>
      </c>
      <c r="Q1947" s="116">
        <v>1564.2</v>
      </c>
      <c r="R1947">
        <v>176515</v>
      </c>
    </row>
    <row r="1948" spans="1:18" x14ac:dyDescent="0.25">
      <c r="A1948" s="170">
        <v>44874</v>
      </c>
      <c r="B1948" s="116">
        <v>1604.2</v>
      </c>
      <c r="C1948" s="116">
        <v>1593.6</v>
      </c>
      <c r="D1948" s="116">
        <v>1554.1</v>
      </c>
      <c r="E1948" s="116">
        <v>1565.15</v>
      </c>
      <c r="F1948" s="116">
        <v>1593.6</v>
      </c>
      <c r="G1948">
        <v>18418</v>
      </c>
      <c r="H1948" s="116"/>
      <c r="I1948" s="116"/>
      <c r="L1948" s="170">
        <v>44874</v>
      </c>
      <c r="M1948" s="116">
        <v>1593.75</v>
      </c>
      <c r="N1948" s="116">
        <v>1605</v>
      </c>
      <c r="O1948" s="116">
        <v>1554.1</v>
      </c>
      <c r="P1948" s="116">
        <v>1574</v>
      </c>
      <c r="Q1948" s="116">
        <v>1593.75</v>
      </c>
      <c r="R1948">
        <v>216269</v>
      </c>
    </row>
    <row r="1949" spans="1:18" x14ac:dyDescent="0.25">
      <c r="A1949" s="170">
        <v>44875</v>
      </c>
      <c r="B1949" s="116">
        <v>1598.8</v>
      </c>
      <c r="C1949" s="116">
        <v>1573.7</v>
      </c>
      <c r="D1949" s="116">
        <v>1570</v>
      </c>
      <c r="E1949" s="116">
        <v>1580.05</v>
      </c>
      <c r="F1949" s="116">
        <v>1573.7</v>
      </c>
      <c r="G1949">
        <v>3537</v>
      </c>
      <c r="H1949" s="116"/>
      <c r="I1949" s="116"/>
      <c r="L1949" s="170">
        <v>44875</v>
      </c>
      <c r="M1949" s="116">
        <v>1574.95</v>
      </c>
      <c r="N1949" s="116">
        <v>1600</v>
      </c>
      <c r="O1949" s="116">
        <v>1565</v>
      </c>
      <c r="P1949" s="116">
        <v>1593</v>
      </c>
      <c r="Q1949" s="116">
        <v>1574.95</v>
      </c>
      <c r="R1949">
        <v>111079</v>
      </c>
    </row>
    <row r="1950" spans="1:18" x14ac:dyDescent="0.25">
      <c r="A1950" s="170">
        <v>44876</v>
      </c>
      <c r="B1950" s="116">
        <v>1622</v>
      </c>
      <c r="C1950" s="116">
        <v>1600.4</v>
      </c>
      <c r="D1950" s="116">
        <v>1570.05</v>
      </c>
      <c r="E1950" s="116">
        <v>1570.05</v>
      </c>
      <c r="F1950" s="116">
        <v>1600.4</v>
      </c>
      <c r="G1950">
        <v>7453</v>
      </c>
      <c r="H1950" s="116"/>
      <c r="I1950" s="116"/>
      <c r="L1950" s="170">
        <v>44876</v>
      </c>
      <c r="M1950" s="116">
        <v>1599.95</v>
      </c>
      <c r="N1950" s="116">
        <v>1624</v>
      </c>
      <c r="O1950" s="116">
        <v>1583.05</v>
      </c>
      <c r="P1950" s="116">
        <v>1583.05</v>
      </c>
      <c r="Q1950" s="116">
        <v>1599.95</v>
      </c>
      <c r="R1950">
        <v>203112</v>
      </c>
    </row>
    <row r="1951" spans="1:18" x14ac:dyDescent="0.25">
      <c r="A1951" s="170">
        <v>44879</v>
      </c>
      <c r="B1951" s="116">
        <v>1629.95</v>
      </c>
      <c r="C1951" s="116">
        <v>1615.8</v>
      </c>
      <c r="D1951" s="116">
        <v>1590.45</v>
      </c>
      <c r="E1951" s="116">
        <v>1629.95</v>
      </c>
      <c r="F1951" s="116">
        <v>1615.8</v>
      </c>
      <c r="G1951">
        <v>9452</v>
      </c>
      <c r="H1951" s="116"/>
      <c r="I1951" s="116"/>
      <c r="L1951" s="170">
        <v>44879</v>
      </c>
      <c r="M1951" s="116">
        <v>1615.65</v>
      </c>
      <c r="N1951" s="116">
        <v>1620</v>
      </c>
      <c r="O1951" s="116">
        <v>1591.05</v>
      </c>
      <c r="P1951" s="116">
        <v>1607.95</v>
      </c>
      <c r="Q1951" s="116">
        <v>1615.65</v>
      </c>
      <c r="R1951">
        <v>78841</v>
      </c>
    </row>
    <row r="1952" spans="1:18" x14ac:dyDescent="0.25">
      <c r="A1952" s="170">
        <v>44880</v>
      </c>
      <c r="B1952" s="116">
        <v>1627.95</v>
      </c>
      <c r="C1952" s="116">
        <v>1610.15</v>
      </c>
      <c r="D1952" s="116">
        <v>1600</v>
      </c>
      <c r="E1952" s="116">
        <v>1610.05</v>
      </c>
      <c r="F1952" s="116">
        <v>1610.15</v>
      </c>
      <c r="G1952">
        <v>8567</v>
      </c>
      <c r="H1952" s="116"/>
      <c r="I1952" s="116"/>
      <c r="L1952" s="170">
        <v>44880</v>
      </c>
      <c r="M1952" s="116">
        <v>1611.6</v>
      </c>
      <c r="N1952" s="116">
        <v>1629</v>
      </c>
      <c r="O1952" s="116">
        <v>1599.05</v>
      </c>
      <c r="P1952" s="116">
        <v>1614</v>
      </c>
      <c r="Q1952" s="116">
        <v>1611.6</v>
      </c>
      <c r="R1952">
        <v>73068</v>
      </c>
    </row>
    <row r="1953" spans="1:18" x14ac:dyDescent="0.25">
      <c r="A1953" s="170">
        <v>44881</v>
      </c>
      <c r="B1953" s="116">
        <v>1624.95</v>
      </c>
      <c r="C1953" s="116">
        <v>1573.15</v>
      </c>
      <c r="D1953" s="116">
        <v>1558.6</v>
      </c>
      <c r="E1953" s="116">
        <v>1624.95</v>
      </c>
      <c r="F1953" s="116">
        <v>1573.15</v>
      </c>
      <c r="G1953">
        <v>4710</v>
      </c>
      <c r="H1953" s="116"/>
      <c r="I1953" s="116"/>
      <c r="L1953" s="170">
        <v>44881</v>
      </c>
      <c r="M1953" s="116">
        <v>1573.2</v>
      </c>
      <c r="N1953" s="116">
        <v>1618.8</v>
      </c>
      <c r="O1953" s="116">
        <v>1557.05</v>
      </c>
      <c r="P1953" s="116">
        <v>1618.8</v>
      </c>
      <c r="Q1953" s="116">
        <v>1573.2</v>
      </c>
      <c r="R1953">
        <v>111733</v>
      </c>
    </row>
    <row r="1954" spans="1:18" x14ac:dyDescent="0.25">
      <c r="A1954" s="170">
        <v>44882</v>
      </c>
      <c r="B1954" s="116">
        <v>1638.95</v>
      </c>
      <c r="C1954" s="116">
        <v>1619.8</v>
      </c>
      <c r="D1954" s="116">
        <v>1578</v>
      </c>
      <c r="E1954" s="116">
        <v>1587</v>
      </c>
      <c r="F1954" s="116">
        <v>1619.8</v>
      </c>
      <c r="G1954">
        <v>4767</v>
      </c>
      <c r="H1954" s="116"/>
      <c r="I1954" s="116"/>
      <c r="L1954" s="170">
        <v>44882</v>
      </c>
      <c r="M1954" s="116">
        <v>1625.35</v>
      </c>
      <c r="N1954" s="116">
        <v>1648</v>
      </c>
      <c r="O1954" s="116">
        <v>1573</v>
      </c>
      <c r="P1954" s="116">
        <v>1573</v>
      </c>
      <c r="Q1954" s="116">
        <v>1625.35</v>
      </c>
      <c r="R1954">
        <v>160404</v>
      </c>
    </row>
    <row r="1955" spans="1:18" x14ac:dyDescent="0.25">
      <c r="A1955" s="170">
        <v>44883</v>
      </c>
      <c r="B1955" s="116">
        <v>1656</v>
      </c>
      <c r="C1955" s="116">
        <v>1607.35</v>
      </c>
      <c r="D1955" s="116">
        <v>1597</v>
      </c>
      <c r="E1955" s="116">
        <v>1624.5</v>
      </c>
      <c r="F1955" s="116">
        <v>1607.35</v>
      </c>
      <c r="G1955">
        <v>68535</v>
      </c>
      <c r="H1955" s="116"/>
      <c r="I1955" s="116"/>
      <c r="L1955" s="170">
        <v>44883</v>
      </c>
      <c r="M1955" s="116">
        <v>1610.55</v>
      </c>
      <c r="N1955" s="116">
        <v>1656</v>
      </c>
      <c r="O1955" s="116">
        <v>1595.05</v>
      </c>
      <c r="P1955" s="116">
        <v>1628.25</v>
      </c>
      <c r="Q1955" s="116">
        <v>1610.55</v>
      </c>
      <c r="R1955">
        <v>460908</v>
      </c>
    </row>
    <row r="1956" spans="1:18" x14ac:dyDescent="0.25">
      <c r="A1956" s="170">
        <v>44886</v>
      </c>
      <c r="B1956" s="116">
        <v>1629</v>
      </c>
      <c r="C1956" s="116">
        <v>1603.4</v>
      </c>
      <c r="D1956" s="116">
        <v>1591.6</v>
      </c>
      <c r="E1956" s="116">
        <v>1598.05</v>
      </c>
      <c r="F1956" s="116">
        <v>1603.4</v>
      </c>
      <c r="G1956">
        <v>3047</v>
      </c>
      <c r="H1956" s="116"/>
      <c r="I1956" s="116"/>
      <c r="L1956" s="170">
        <v>44886</v>
      </c>
      <c r="M1956" s="116">
        <v>1606.3</v>
      </c>
      <c r="N1956" s="116">
        <v>1630</v>
      </c>
      <c r="O1956" s="116">
        <v>1592.2</v>
      </c>
      <c r="P1956" s="116">
        <v>1607</v>
      </c>
      <c r="Q1956" s="116">
        <v>1606.3</v>
      </c>
      <c r="R1956">
        <v>112203</v>
      </c>
    </row>
    <row r="1957" spans="1:18" x14ac:dyDescent="0.25">
      <c r="A1957" s="170">
        <v>44887</v>
      </c>
      <c r="B1957" s="116">
        <v>1627.95</v>
      </c>
      <c r="C1957" s="116">
        <v>1600.9</v>
      </c>
      <c r="D1957" s="116">
        <v>1581.4</v>
      </c>
      <c r="E1957" s="116">
        <v>1610</v>
      </c>
      <c r="F1957" s="116">
        <v>1600.9</v>
      </c>
      <c r="G1957">
        <v>80081</v>
      </c>
      <c r="H1957" s="116"/>
      <c r="I1957" s="116"/>
      <c r="L1957" s="170">
        <v>44887</v>
      </c>
      <c r="M1957" s="116">
        <v>1599.05</v>
      </c>
      <c r="N1957" s="116">
        <v>1629.9</v>
      </c>
      <c r="O1957" s="116">
        <v>1579.5</v>
      </c>
      <c r="P1957" s="116">
        <v>1604.9</v>
      </c>
      <c r="Q1957" s="116">
        <v>1599.05</v>
      </c>
      <c r="R1957">
        <v>266761</v>
      </c>
    </row>
    <row r="1958" spans="1:18" x14ac:dyDescent="0.25">
      <c r="A1958" s="170">
        <v>44888</v>
      </c>
      <c r="B1958" s="116">
        <v>1630</v>
      </c>
      <c r="C1958" s="116">
        <v>1561.85</v>
      </c>
      <c r="D1958" s="116">
        <v>1524.1</v>
      </c>
      <c r="E1958" s="116">
        <v>1604.95</v>
      </c>
      <c r="F1958" s="116">
        <v>1561.85</v>
      </c>
      <c r="G1958">
        <v>18583</v>
      </c>
      <c r="H1958" s="116"/>
      <c r="I1958" s="116"/>
      <c r="L1958" s="170">
        <v>44888</v>
      </c>
      <c r="M1958" s="116">
        <v>1571.35</v>
      </c>
      <c r="N1958" s="116">
        <v>1637.95</v>
      </c>
      <c r="O1958" s="116">
        <v>1550.05</v>
      </c>
      <c r="P1958" s="116">
        <v>1599.2</v>
      </c>
      <c r="Q1958" s="116">
        <v>1571.35</v>
      </c>
      <c r="R1958">
        <v>115541</v>
      </c>
    </row>
    <row r="1959" spans="1:18" x14ac:dyDescent="0.25">
      <c r="A1959" s="170">
        <v>44889</v>
      </c>
      <c r="B1959" s="116">
        <v>1590</v>
      </c>
      <c r="C1959" s="116">
        <v>1581.15</v>
      </c>
      <c r="D1959" s="116">
        <v>1561.4</v>
      </c>
      <c r="E1959" s="116">
        <v>1561.85</v>
      </c>
      <c r="F1959" s="116">
        <v>1581.15</v>
      </c>
      <c r="G1959">
        <v>2066</v>
      </c>
      <c r="H1959" s="116"/>
      <c r="I1959" s="116"/>
      <c r="L1959" s="170">
        <v>44889</v>
      </c>
      <c r="M1959" s="116">
        <v>1580</v>
      </c>
      <c r="N1959" s="116">
        <v>1590</v>
      </c>
      <c r="O1959" s="116">
        <v>1560.05</v>
      </c>
      <c r="P1959" s="116">
        <v>1565</v>
      </c>
      <c r="Q1959" s="116">
        <v>1580</v>
      </c>
      <c r="R1959">
        <v>117204</v>
      </c>
    </row>
    <row r="1960" spans="1:18" x14ac:dyDescent="0.25">
      <c r="A1960" s="170">
        <v>44890</v>
      </c>
      <c r="B1960" s="116">
        <v>1594.55</v>
      </c>
      <c r="C1960" s="116">
        <v>1573.9</v>
      </c>
      <c r="D1960" s="116">
        <v>1563.05</v>
      </c>
      <c r="E1960" s="116">
        <v>1571.05</v>
      </c>
      <c r="F1960" s="116">
        <v>1573.9</v>
      </c>
      <c r="G1960">
        <v>5668</v>
      </c>
      <c r="H1960" s="116"/>
      <c r="I1960" s="116"/>
      <c r="L1960" s="170">
        <v>44890</v>
      </c>
      <c r="M1960" s="116">
        <v>1572.7</v>
      </c>
      <c r="N1960" s="116">
        <v>1595.85</v>
      </c>
      <c r="O1960" s="116">
        <v>1562</v>
      </c>
      <c r="P1960" s="116">
        <v>1587</v>
      </c>
      <c r="Q1960" s="116">
        <v>1572.7</v>
      </c>
      <c r="R1960">
        <v>30425</v>
      </c>
    </row>
    <row r="1961" spans="1:18" x14ac:dyDescent="0.25">
      <c r="A1961" s="170">
        <v>44893</v>
      </c>
      <c r="B1961" s="116">
        <v>1600</v>
      </c>
      <c r="C1961" s="116">
        <v>1596.5</v>
      </c>
      <c r="D1961" s="116">
        <v>1559.45</v>
      </c>
      <c r="E1961" s="116">
        <v>1572</v>
      </c>
      <c r="F1961" s="116">
        <v>1596.5</v>
      </c>
      <c r="G1961">
        <v>10585</v>
      </c>
      <c r="H1961" s="116"/>
      <c r="I1961" s="116"/>
      <c r="L1961" s="170">
        <v>44893</v>
      </c>
      <c r="M1961" s="116">
        <v>1593.3</v>
      </c>
      <c r="N1961" s="116">
        <v>1601</v>
      </c>
      <c r="O1961" s="116">
        <v>1560</v>
      </c>
      <c r="P1961" s="116">
        <v>1570</v>
      </c>
      <c r="Q1961" s="116">
        <v>1593.3</v>
      </c>
      <c r="R1961">
        <v>87831</v>
      </c>
    </row>
    <row r="1962" spans="1:18" x14ac:dyDescent="0.25">
      <c r="A1962" s="170">
        <v>44894</v>
      </c>
      <c r="B1962" s="116">
        <v>1610</v>
      </c>
      <c r="C1962" s="116">
        <v>1586.5</v>
      </c>
      <c r="D1962" s="116">
        <v>1580.7</v>
      </c>
      <c r="E1962" s="116">
        <v>1590</v>
      </c>
      <c r="F1962" s="116">
        <v>1586.5</v>
      </c>
      <c r="G1962">
        <v>8021</v>
      </c>
      <c r="H1962" s="116"/>
      <c r="I1962" s="116"/>
      <c r="L1962" s="170">
        <v>44894</v>
      </c>
      <c r="M1962" s="116">
        <v>1588.9</v>
      </c>
      <c r="N1962" s="116">
        <v>1611.9</v>
      </c>
      <c r="O1962" s="116">
        <v>1581.2</v>
      </c>
      <c r="P1962" s="116">
        <v>1593.3</v>
      </c>
      <c r="Q1962" s="116">
        <v>1588.9</v>
      </c>
      <c r="R1962">
        <v>71684</v>
      </c>
    </row>
    <row r="1963" spans="1:18" x14ac:dyDescent="0.25">
      <c r="A1963" s="170">
        <v>44895</v>
      </c>
      <c r="B1963" s="116">
        <v>1594.8</v>
      </c>
      <c r="C1963" s="116">
        <v>1524.95</v>
      </c>
      <c r="D1963" s="116">
        <v>1504.15</v>
      </c>
      <c r="E1963" s="116">
        <v>1585</v>
      </c>
      <c r="F1963" s="116">
        <v>1524.95</v>
      </c>
      <c r="G1963">
        <v>7915</v>
      </c>
      <c r="H1963" s="116"/>
      <c r="I1963" s="116"/>
      <c r="L1963" s="170">
        <v>44895</v>
      </c>
      <c r="M1963" s="116">
        <v>1527.3</v>
      </c>
      <c r="N1963" s="116">
        <v>1595.75</v>
      </c>
      <c r="O1963" s="116">
        <v>1503</v>
      </c>
      <c r="P1963" s="116">
        <v>1590.6</v>
      </c>
      <c r="Q1963" s="116">
        <v>1527.3</v>
      </c>
      <c r="R1963">
        <v>378096</v>
      </c>
    </row>
    <row r="1964" spans="1:18" x14ac:dyDescent="0.25">
      <c r="A1964" s="170">
        <v>44896</v>
      </c>
      <c r="B1964" s="116">
        <v>1600</v>
      </c>
      <c r="C1964" s="116">
        <v>1586.2</v>
      </c>
      <c r="D1964" s="116">
        <v>1527.3</v>
      </c>
      <c r="E1964" s="116">
        <v>1527.3</v>
      </c>
      <c r="F1964" s="116">
        <v>1586.2</v>
      </c>
      <c r="G1964">
        <v>9588</v>
      </c>
      <c r="H1964" s="116"/>
      <c r="I1964" s="116"/>
      <c r="L1964" s="170">
        <v>44896</v>
      </c>
      <c r="M1964" s="116">
        <v>1586.3</v>
      </c>
      <c r="N1964" s="116">
        <v>1600</v>
      </c>
      <c r="O1964" s="116">
        <v>1528.7</v>
      </c>
      <c r="P1964" s="116">
        <v>1528.7</v>
      </c>
      <c r="Q1964" s="116">
        <v>1586.3</v>
      </c>
      <c r="R1964">
        <v>344610</v>
      </c>
    </row>
    <row r="1965" spans="1:18" x14ac:dyDescent="0.25">
      <c r="A1965" s="170">
        <v>44897</v>
      </c>
      <c r="B1965" s="116">
        <v>1622.6</v>
      </c>
      <c r="C1965" s="116">
        <v>1616.2</v>
      </c>
      <c r="D1965" s="116">
        <v>1580.05</v>
      </c>
      <c r="E1965" s="116">
        <v>1580.05</v>
      </c>
      <c r="F1965" s="116">
        <v>1616.2</v>
      </c>
      <c r="G1965">
        <v>2985</v>
      </c>
      <c r="H1965" s="116"/>
      <c r="I1965" s="116"/>
      <c r="L1965" s="170">
        <v>44897</v>
      </c>
      <c r="M1965" s="116">
        <v>1616.35</v>
      </c>
      <c r="N1965" s="116">
        <v>1624</v>
      </c>
      <c r="O1965" s="116">
        <v>1580.7</v>
      </c>
      <c r="P1965" s="116">
        <v>1585</v>
      </c>
      <c r="Q1965" s="116">
        <v>1616.35</v>
      </c>
      <c r="R1965">
        <v>193392</v>
      </c>
    </row>
    <row r="1966" spans="1:18" x14ac:dyDescent="0.25">
      <c r="A1966" s="170">
        <v>44900</v>
      </c>
      <c r="B1966" s="116">
        <v>1644.25</v>
      </c>
      <c r="C1966" s="116">
        <v>1615.75</v>
      </c>
      <c r="D1966" s="116">
        <v>1600.95</v>
      </c>
      <c r="E1966" s="116">
        <v>1618.3</v>
      </c>
      <c r="F1966" s="116">
        <v>1615.75</v>
      </c>
      <c r="G1966">
        <v>5915</v>
      </c>
      <c r="H1966" s="116"/>
      <c r="I1966" s="116"/>
      <c r="L1966" s="170">
        <v>44900</v>
      </c>
      <c r="M1966" s="116">
        <v>1610.65</v>
      </c>
      <c r="N1966" s="116">
        <v>1644</v>
      </c>
      <c r="O1966" s="116">
        <v>1601.2</v>
      </c>
      <c r="P1966" s="116">
        <v>1624.4</v>
      </c>
      <c r="Q1966" s="116">
        <v>1610.65</v>
      </c>
      <c r="R1966">
        <v>234630</v>
      </c>
    </row>
    <row r="1967" spans="1:18" x14ac:dyDescent="0.25">
      <c r="A1967" s="170">
        <v>44901</v>
      </c>
      <c r="B1967" s="116">
        <v>1616</v>
      </c>
      <c r="C1967" s="116">
        <v>1578.45</v>
      </c>
      <c r="D1967" s="116">
        <v>1569</v>
      </c>
      <c r="E1967" s="116">
        <v>1616</v>
      </c>
      <c r="F1967" s="116">
        <v>1578.45</v>
      </c>
      <c r="G1967">
        <v>12006</v>
      </c>
      <c r="H1967" s="116"/>
      <c r="I1967" s="116"/>
      <c r="L1967" s="170">
        <v>44901</v>
      </c>
      <c r="M1967" s="116">
        <v>1575.15</v>
      </c>
      <c r="N1967" s="116">
        <v>1616.25</v>
      </c>
      <c r="O1967" s="116">
        <v>1568</v>
      </c>
      <c r="P1967" s="116">
        <v>1610</v>
      </c>
      <c r="Q1967" s="116">
        <v>1575.15</v>
      </c>
      <c r="R1967">
        <v>180421</v>
      </c>
    </row>
    <row r="1968" spans="1:18" x14ac:dyDescent="0.25">
      <c r="A1968" s="170">
        <v>44902</v>
      </c>
      <c r="B1968" s="116">
        <v>1600</v>
      </c>
      <c r="C1968" s="116">
        <v>1599.25</v>
      </c>
      <c r="D1968" s="116">
        <v>1566.5</v>
      </c>
      <c r="E1968" s="116">
        <v>1588.9</v>
      </c>
      <c r="F1968" s="116">
        <v>1599.25</v>
      </c>
      <c r="G1968">
        <v>118506</v>
      </c>
      <c r="H1968" s="116"/>
      <c r="I1968" s="116"/>
      <c r="L1968" s="170">
        <v>44902</v>
      </c>
      <c r="M1968" s="116">
        <v>1578.3</v>
      </c>
      <c r="N1968" s="116">
        <v>1588.3</v>
      </c>
      <c r="O1968" s="116">
        <v>1565</v>
      </c>
      <c r="P1968" s="116">
        <v>1575.05</v>
      </c>
      <c r="Q1968" s="116">
        <v>1578.3</v>
      </c>
      <c r="R1968">
        <v>91250</v>
      </c>
    </row>
    <row r="1969" spans="1:18" x14ac:dyDescent="0.25">
      <c r="A1969" s="170">
        <v>44903</v>
      </c>
      <c r="B1969" s="116">
        <v>1584.05</v>
      </c>
      <c r="C1969" s="116">
        <v>1565.7</v>
      </c>
      <c r="D1969" s="116">
        <v>1553.3</v>
      </c>
      <c r="E1969" s="116">
        <v>1580.1</v>
      </c>
      <c r="F1969" s="116">
        <v>1565.7</v>
      </c>
      <c r="G1969">
        <v>7612</v>
      </c>
      <c r="H1969" s="116"/>
      <c r="I1969" s="116"/>
      <c r="L1969" s="170">
        <v>44903</v>
      </c>
      <c r="M1969" s="116">
        <v>1565.75</v>
      </c>
      <c r="N1969" s="116">
        <v>1586.2</v>
      </c>
      <c r="O1969" s="116">
        <v>1552.5</v>
      </c>
      <c r="P1969" s="116">
        <v>1586.2</v>
      </c>
      <c r="Q1969" s="116">
        <v>1565.75</v>
      </c>
      <c r="R1969">
        <v>95695</v>
      </c>
    </row>
    <row r="1970" spans="1:18" x14ac:dyDescent="0.25">
      <c r="A1970" s="170">
        <v>44904</v>
      </c>
      <c r="B1970" s="116">
        <v>1647.6</v>
      </c>
      <c r="C1970" s="116">
        <v>1615.55</v>
      </c>
      <c r="D1970" s="116">
        <v>1569.45</v>
      </c>
      <c r="E1970" s="116">
        <v>1570.85</v>
      </c>
      <c r="F1970" s="116">
        <v>1615.55</v>
      </c>
      <c r="G1970">
        <v>3435</v>
      </c>
      <c r="H1970" s="116"/>
      <c r="I1970" s="116"/>
      <c r="L1970" s="170">
        <v>44904</v>
      </c>
      <c r="M1970" s="116">
        <v>1614.75</v>
      </c>
      <c r="N1970" s="116">
        <v>1645.95</v>
      </c>
      <c r="O1970" s="116">
        <v>1567</v>
      </c>
      <c r="P1970" s="116">
        <v>1567.95</v>
      </c>
      <c r="Q1970" s="116">
        <v>1614.75</v>
      </c>
      <c r="R1970">
        <v>107304</v>
      </c>
    </row>
    <row r="1971" spans="1:18" x14ac:dyDescent="0.25">
      <c r="A1971" s="170">
        <v>44907</v>
      </c>
      <c r="B1971" s="116">
        <v>1620</v>
      </c>
      <c r="C1971" s="116">
        <v>1569.05</v>
      </c>
      <c r="D1971" s="116">
        <v>1561</v>
      </c>
      <c r="E1971" s="116">
        <v>1620</v>
      </c>
      <c r="F1971" s="116">
        <v>1569.05</v>
      </c>
      <c r="G1971">
        <v>10861</v>
      </c>
      <c r="H1971" s="116"/>
      <c r="I1971" s="116"/>
      <c r="L1971" s="170">
        <v>44907</v>
      </c>
      <c r="M1971" s="116">
        <v>1568.3</v>
      </c>
      <c r="N1971" s="116">
        <v>1621</v>
      </c>
      <c r="O1971" s="116">
        <v>1560</v>
      </c>
      <c r="P1971" s="116">
        <v>1621</v>
      </c>
      <c r="Q1971" s="116">
        <v>1568.3</v>
      </c>
      <c r="R1971">
        <v>260089</v>
      </c>
    </row>
    <row r="1972" spans="1:18" x14ac:dyDescent="0.25">
      <c r="A1972" s="170">
        <v>44908</v>
      </c>
      <c r="B1972" s="116">
        <v>1574.95</v>
      </c>
      <c r="C1972" s="116">
        <v>1523.25</v>
      </c>
      <c r="D1972" s="116">
        <v>1511.5</v>
      </c>
      <c r="E1972" s="116">
        <v>1565.7</v>
      </c>
      <c r="F1972" s="116">
        <v>1523.25</v>
      </c>
      <c r="G1972">
        <v>16290</v>
      </c>
      <c r="H1972" s="116"/>
      <c r="I1972" s="116"/>
      <c r="L1972" s="170">
        <v>44908</v>
      </c>
      <c r="M1972" s="116">
        <v>1525.35</v>
      </c>
      <c r="N1972" s="116">
        <v>1573.95</v>
      </c>
      <c r="O1972" s="116">
        <v>1520</v>
      </c>
      <c r="P1972" s="116">
        <v>1573.95</v>
      </c>
      <c r="Q1972" s="116">
        <v>1525.35</v>
      </c>
      <c r="R1972">
        <v>297320</v>
      </c>
    </row>
    <row r="1973" spans="1:18" x14ac:dyDescent="0.25">
      <c r="A1973" s="170">
        <v>44909</v>
      </c>
      <c r="B1973" s="116">
        <v>1544.35</v>
      </c>
      <c r="C1973" s="116">
        <v>1524.65</v>
      </c>
      <c r="D1973" s="116">
        <v>1489.3</v>
      </c>
      <c r="E1973" s="116">
        <v>1518</v>
      </c>
      <c r="F1973" s="116">
        <v>1524.65</v>
      </c>
      <c r="G1973">
        <v>8155</v>
      </c>
      <c r="H1973" s="116"/>
      <c r="I1973" s="116"/>
      <c r="L1973" s="170">
        <v>44909</v>
      </c>
      <c r="M1973" s="116">
        <v>1524.85</v>
      </c>
      <c r="N1973" s="116">
        <v>1544.95</v>
      </c>
      <c r="O1973" s="116">
        <v>1488</v>
      </c>
      <c r="P1973" s="116">
        <v>1526.5</v>
      </c>
      <c r="Q1973" s="116">
        <v>1524.85</v>
      </c>
      <c r="R1973">
        <v>347400</v>
      </c>
    </row>
    <row r="1974" spans="1:18" x14ac:dyDescent="0.25">
      <c r="A1974" s="170">
        <v>44910</v>
      </c>
      <c r="B1974" s="116">
        <v>1548.3</v>
      </c>
      <c r="C1974" s="116">
        <v>1513.05</v>
      </c>
      <c r="D1974" s="116">
        <v>1500</v>
      </c>
      <c r="E1974" s="116">
        <v>1528.05</v>
      </c>
      <c r="F1974" s="116">
        <v>1513.05</v>
      </c>
      <c r="G1974">
        <v>4775</v>
      </c>
      <c r="H1974" s="116"/>
      <c r="I1974" s="116"/>
      <c r="L1974" s="170">
        <v>44910</v>
      </c>
      <c r="M1974" s="116">
        <v>1512.15</v>
      </c>
      <c r="N1974" s="116">
        <v>1548</v>
      </c>
      <c r="O1974" s="116">
        <v>1501.2</v>
      </c>
      <c r="P1974" s="116">
        <v>1533</v>
      </c>
      <c r="Q1974" s="116">
        <v>1512.15</v>
      </c>
      <c r="R1974">
        <v>129628</v>
      </c>
    </row>
    <row r="1975" spans="1:18" x14ac:dyDescent="0.25">
      <c r="A1975" s="170">
        <v>44911</v>
      </c>
      <c r="B1975" s="116">
        <v>1545</v>
      </c>
      <c r="C1975" s="116">
        <v>1528.45</v>
      </c>
      <c r="D1975" s="116">
        <v>1500.05</v>
      </c>
      <c r="E1975" s="116">
        <v>1500.05</v>
      </c>
      <c r="F1975" s="116">
        <v>1528.45</v>
      </c>
      <c r="G1975">
        <v>10411</v>
      </c>
      <c r="H1975" s="116"/>
      <c r="I1975" s="116"/>
      <c r="L1975" s="170">
        <v>44911</v>
      </c>
      <c r="M1975" s="116">
        <v>1529.9</v>
      </c>
      <c r="N1975" s="116">
        <v>1546</v>
      </c>
      <c r="O1975" s="116">
        <v>1505.9</v>
      </c>
      <c r="P1975" s="116">
        <v>1514</v>
      </c>
      <c r="Q1975" s="116">
        <v>1529.9</v>
      </c>
      <c r="R1975">
        <v>258752</v>
      </c>
    </row>
    <row r="1976" spans="1:18" x14ac:dyDescent="0.25">
      <c r="A1976" s="170">
        <v>44914</v>
      </c>
      <c r="B1976" s="116">
        <v>1560.5</v>
      </c>
      <c r="C1976" s="116">
        <v>1537.65</v>
      </c>
      <c r="D1976" s="116">
        <v>1520.45</v>
      </c>
      <c r="E1976" s="116">
        <v>1560.5</v>
      </c>
      <c r="F1976" s="116">
        <v>1537.65</v>
      </c>
      <c r="G1976">
        <v>2909</v>
      </c>
      <c r="H1976" s="116"/>
      <c r="I1976" s="116"/>
      <c r="L1976" s="170">
        <v>44914</v>
      </c>
      <c r="M1976" s="116">
        <v>1537.15</v>
      </c>
      <c r="N1976" s="116">
        <v>1544</v>
      </c>
      <c r="O1976" s="116">
        <v>1520.05</v>
      </c>
      <c r="P1976" s="116">
        <v>1529.9</v>
      </c>
      <c r="Q1976" s="116">
        <v>1537.15</v>
      </c>
      <c r="R1976">
        <v>145130</v>
      </c>
    </row>
    <row r="1977" spans="1:18" x14ac:dyDescent="0.25">
      <c r="A1977" s="170">
        <v>44915</v>
      </c>
      <c r="B1977" s="116">
        <v>1546.95</v>
      </c>
      <c r="C1977" s="116">
        <v>1508.4</v>
      </c>
      <c r="D1977" s="116">
        <v>1502.55</v>
      </c>
      <c r="E1977" s="116">
        <v>1546.95</v>
      </c>
      <c r="F1977" s="116">
        <v>1508.4</v>
      </c>
      <c r="G1977">
        <v>7349</v>
      </c>
      <c r="H1977" s="116"/>
      <c r="I1977" s="116"/>
      <c r="L1977" s="170">
        <v>44915</v>
      </c>
      <c r="M1977" s="116">
        <v>1508.7</v>
      </c>
      <c r="N1977" s="116">
        <v>1544.7</v>
      </c>
      <c r="O1977" s="116">
        <v>1500.3</v>
      </c>
      <c r="P1977" s="116">
        <v>1540</v>
      </c>
      <c r="Q1977" s="116">
        <v>1508.7</v>
      </c>
      <c r="R1977">
        <v>360828</v>
      </c>
    </row>
    <row r="1978" spans="1:18" x14ac:dyDescent="0.25">
      <c r="A1978" s="170">
        <v>44916</v>
      </c>
      <c r="B1978" s="116">
        <v>1523.2</v>
      </c>
      <c r="C1978" s="116">
        <v>1477.3</v>
      </c>
      <c r="D1978" s="116">
        <v>1468</v>
      </c>
      <c r="E1978" s="116">
        <v>1500.15</v>
      </c>
      <c r="F1978" s="116">
        <v>1477.3</v>
      </c>
      <c r="G1978">
        <v>4522</v>
      </c>
      <c r="H1978" s="116"/>
      <c r="I1978" s="116"/>
      <c r="L1978" s="170">
        <v>44916</v>
      </c>
      <c r="M1978" s="116">
        <v>1477.2</v>
      </c>
      <c r="N1978" s="116">
        <v>1524.4</v>
      </c>
      <c r="O1978" s="116">
        <v>1465.5</v>
      </c>
      <c r="P1978" s="116">
        <v>1515</v>
      </c>
      <c r="Q1978" s="116">
        <v>1477.2</v>
      </c>
      <c r="R1978">
        <v>98678</v>
      </c>
    </row>
    <row r="1979" spans="1:18" x14ac:dyDescent="0.25">
      <c r="A1979" s="170">
        <v>44917</v>
      </c>
      <c r="B1979" s="116">
        <v>1502.2</v>
      </c>
      <c r="C1979" s="116">
        <v>1459.5</v>
      </c>
      <c r="D1979" s="116">
        <v>1439.15</v>
      </c>
      <c r="E1979" s="116">
        <v>1470.05</v>
      </c>
      <c r="F1979" s="116">
        <v>1459.5</v>
      </c>
      <c r="G1979">
        <v>21616</v>
      </c>
      <c r="H1979" s="116"/>
      <c r="I1979" s="116"/>
      <c r="L1979" s="170">
        <v>44917</v>
      </c>
      <c r="M1979" s="116">
        <v>1462.55</v>
      </c>
      <c r="N1979" s="116">
        <v>1502.5</v>
      </c>
      <c r="O1979" s="116">
        <v>1443.05</v>
      </c>
      <c r="P1979" s="116">
        <v>1475.5</v>
      </c>
      <c r="Q1979" s="116">
        <v>1462.55</v>
      </c>
      <c r="R1979">
        <v>257157</v>
      </c>
    </row>
    <row r="1980" spans="1:18" x14ac:dyDescent="0.25">
      <c r="A1980" s="170">
        <v>44918</v>
      </c>
      <c r="B1980" s="116">
        <v>1448.15</v>
      </c>
      <c r="C1980" s="116">
        <v>1407.85</v>
      </c>
      <c r="D1980" s="116">
        <v>1353.25</v>
      </c>
      <c r="E1980" s="116">
        <v>1433.3</v>
      </c>
      <c r="F1980" s="116">
        <v>1407.85</v>
      </c>
      <c r="G1980">
        <v>10294</v>
      </c>
      <c r="H1980" s="116"/>
      <c r="I1980" s="116"/>
      <c r="L1980" s="170">
        <v>44918</v>
      </c>
      <c r="M1980" s="116">
        <v>1409</v>
      </c>
      <c r="N1980" s="116">
        <v>1449</v>
      </c>
      <c r="O1980" s="116">
        <v>1352.95</v>
      </c>
      <c r="P1980" s="116">
        <v>1449</v>
      </c>
      <c r="Q1980" s="116">
        <v>1409</v>
      </c>
      <c r="R1980">
        <v>279056</v>
      </c>
    </row>
    <row r="1981" spans="1:18" x14ac:dyDescent="0.25">
      <c r="A1981" s="170">
        <v>44921</v>
      </c>
      <c r="B1981" s="116">
        <v>1499.6</v>
      </c>
      <c r="C1981" s="116">
        <v>1491.45</v>
      </c>
      <c r="D1981" s="116">
        <v>1350.85</v>
      </c>
      <c r="E1981" s="116">
        <v>1350.85</v>
      </c>
      <c r="F1981" s="116">
        <v>1491.45</v>
      </c>
      <c r="G1981">
        <v>7877</v>
      </c>
      <c r="H1981" s="116"/>
      <c r="I1981" s="116"/>
      <c r="L1981" s="170">
        <v>44921</v>
      </c>
      <c r="M1981" s="116">
        <v>1493.1</v>
      </c>
      <c r="N1981" s="116">
        <v>1501</v>
      </c>
      <c r="O1981" s="116">
        <v>1385.25</v>
      </c>
      <c r="P1981" s="116">
        <v>1410</v>
      </c>
      <c r="Q1981" s="116">
        <v>1493.1</v>
      </c>
      <c r="R1981">
        <v>183410</v>
      </c>
    </row>
    <row r="1982" spans="1:18" x14ac:dyDescent="0.25">
      <c r="A1982" s="170">
        <v>44922</v>
      </c>
      <c r="B1982" s="116">
        <v>1529.9</v>
      </c>
      <c r="C1982" s="116">
        <v>1499.5</v>
      </c>
      <c r="D1982" s="116">
        <v>1479.7</v>
      </c>
      <c r="E1982" s="116">
        <v>1529.9</v>
      </c>
      <c r="F1982" s="116">
        <v>1499.5</v>
      </c>
      <c r="G1982">
        <v>5954</v>
      </c>
      <c r="H1982" s="116"/>
      <c r="I1982" s="116"/>
      <c r="L1982" s="170">
        <v>44922</v>
      </c>
      <c r="M1982" s="116">
        <v>1498.15</v>
      </c>
      <c r="N1982" s="116">
        <v>1525.15</v>
      </c>
      <c r="O1982" s="116">
        <v>1474.2</v>
      </c>
      <c r="P1982" s="116">
        <v>1500</v>
      </c>
      <c r="Q1982" s="116">
        <v>1498.15</v>
      </c>
      <c r="R1982">
        <v>108102</v>
      </c>
    </row>
    <row r="1983" spans="1:18" x14ac:dyDescent="0.25">
      <c r="A1983" s="170">
        <v>44923</v>
      </c>
      <c r="B1983" s="116">
        <v>1500</v>
      </c>
      <c r="C1983" s="116">
        <v>1466.55</v>
      </c>
      <c r="D1983" s="116">
        <v>1452.05</v>
      </c>
      <c r="E1983" s="116">
        <v>1500</v>
      </c>
      <c r="F1983" s="116">
        <v>1466.55</v>
      </c>
      <c r="G1983">
        <v>8700</v>
      </c>
      <c r="H1983" s="116"/>
      <c r="I1983" s="116"/>
      <c r="L1983" s="170">
        <v>44923</v>
      </c>
      <c r="M1983" s="116">
        <v>1466.25</v>
      </c>
      <c r="N1983" s="116">
        <v>1495.9</v>
      </c>
      <c r="O1983" s="116">
        <v>1450</v>
      </c>
      <c r="P1983" s="116">
        <v>1487</v>
      </c>
      <c r="Q1983" s="116">
        <v>1466.25</v>
      </c>
      <c r="R1983">
        <v>120738</v>
      </c>
    </row>
    <row r="1984" spans="1:18" x14ac:dyDescent="0.25">
      <c r="A1984" s="170">
        <v>44924</v>
      </c>
      <c r="B1984" s="116">
        <v>1463.8</v>
      </c>
      <c r="C1984" s="116">
        <v>1449.45</v>
      </c>
      <c r="D1984" s="116">
        <v>1430</v>
      </c>
      <c r="E1984" s="116">
        <v>1463.8</v>
      </c>
      <c r="F1984" s="116">
        <v>1449.45</v>
      </c>
      <c r="G1984">
        <v>81677</v>
      </c>
      <c r="H1984" s="116"/>
      <c r="I1984" s="116"/>
      <c r="L1984" s="170">
        <v>44924</v>
      </c>
      <c r="M1984" s="116">
        <v>1448.85</v>
      </c>
      <c r="N1984" s="116">
        <v>1463.3</v>
      </c>
      <c r="O1984" s="116">
        <v>1436.95</v>
      </c>
      <c r="P1984" s="116">
        <v>1460.4</v>
      </c>
      <c r="Q1984" s="116">
        <v>1448.85</v>
      </c>
      <c r="R1984">
        <v>633951</v>
      </c>
    </row>
    <row r="1985" spans="1:18" x14ac:dyDescent="0.25">
      <c r="A1985" s="170">
        <v>44925</v>
      </c>
      <c r="B1985" s="116">
        <v>1499.75</v>
      </c>
      <c r="C1985" s="116">
        <v>1465.65</v>
      </c>
      <c r="D1985" s="116">
        <v>1453.05</v>
      </c>
      <c r="E1985" s="116">
        <v>1453.05</v>
      </c>
      <c r="F1985" s="116">
        <v>1465.65</v>
      </c>
      <c r="G1985">
        <v>7500</v>
      </c>
      <c r="H1985" s="116"/>
      <c r="I1985" s="116"/>
      <c r="L1985" s="170">
        <v>44925</v>
      </c>
      <c r="M1985" s="116">
        <v>1464.7</v>
      </c>
      <c r="N1985" s="116">
        <v>1499.95</v>
      </c>
      <c r="O1985" s="116">
        <v>1451.15</v>
      </c>
      <c r="P1985" s="116">
        <v>1455.9</v>
      </c>
      <c r="Q1985" s="116">
        <v>1464.7</v>
      </c>
      <c r="R1985">
        <v>76950</v>
      </c>
    </row>
    <row r="1986" spans="1:18" x14ac:dyDescent="0.25">
      <c r="A1986" s="170">
        <v>44928</v>
      </c>
      <c r="B1986" s="116">
        <v>1508</v>
      </c>
      <c r="C1986" s="116">
        <v>1480.8</v>
      </c>
      <c r="D1986" s="116">
        <v>1465.65</v>
      </c>
      <c r="E1986" s="116">
        <v>1465.65</v>
      </c>
      <c r="F1986" s="116">
        <v>1480.8</v>
      </c>
      <c r="G1986">
        <v>12320</v>
      </c>
      <c r="H1986" s="116"/>
      <c r="I1986" s="116"/>
      <c r="L1986" s="170">
        <v>44928</v>
      </c>
      <c r="M1986" s="116">
        <v>1480.75</v>
      </c>
      <c r="N1986" s="116">
        <v>1510</v>
      </c>
      <c r="O1986" s="116">
        <v>1465</v>
      </c>
      <c r="P1986" s="116">
        <v>1470.45</v>
      </c>
      <c r="Q1986" s="116">
        <v>1480.75</v>
      </c>
      <c r="R1986">
        <v>440094</v>
      </c>
    </row>
    <row r="1987" spans="1:18" x14ac:dyDescent="0.25">
      <c r="A1987" s="170">
        <v>44929</v>
      </c>
      <c r="B1987" s="116">
        <v>1523.55</v>
      </c>
      <c r="C1987" s="116">
        <v>1515.3</v>
      </c>
      <c r="D1987" s="116">
        <v>1466.4</v>
      </c>
      <c r="E1987" s="116">
        <v>1477.1</v>
      </c>
      <c r="F1987" s="116">
        <v>1515.3</v>
      </c>
      <c r="G1987">
        <v>6361</v>
      </c>
      <c r="H1987" s="116"/>
      <c r="I1987" s="116"/>
      <c r="L1987" s="170">
        <v>44929</v>
      </c>
      <c r="M1987" s="116">
        <v>1515.4</v>
      </c>
      <c r="N1987" s="116">
        <v>1525</v>
      </c>
      <c r="O1987" s="116">
        <v>1466.35</v>
      </c>
      <c r="P1987" s="116">
        <v>1488</v>
      </c>
      <c r="Q1987" s="116">
        <v>1515.4</v>
      </c>
      <c r="R1987">
        <v>115418</v>
      </c>
    </row>
    <row r="1988" spans="1:18" x14ac:dyDescent="0.25">
      <c r="A1988" s="170">
        <v>44930</v>
      </c>
      <c r="B1988" s="116">
        <v>1527.5</v>
      </c>
      <c r="C1988" s="116">
        <v>1511.7</v>
      </c>
      <c r="D1988" s="116">
        <v>1502</v>
      </c>
      <c r="E1988" s="116">
        <v>1524.95</v>
      </c>
      <c r="F1988" s="116">
        <v>1511.7</v>
      </c>
      <c r="G1988">
        <v>2307</v>
      </c>
      <c r="H1988" s="116"/>
      <c r="I1988" s="116"/>
      <c r="L1988" s="170">
        <v>44930</v>
      </c>
      <c r="M1988" s="116">
        <v>1516.9</v>
      </c>
      <c r="N1988" s="116">
        <v>1529.8</v>
      </c>
      <c r="O1988" s="116">
        <v>1501.1</v>
      </c>
      <c r="P1988" s="116">
        <v>1515.55</v>
      </c>
      <c r="Q1988" s="116">
        <v>1516.9</v>
      </c>
      <c r="R1988">
        <v>99376</v>
      </c>
    </row>
    <row r="1989" spans="1:18" x14ac:dyDescent="0.25">
      <c r="A1989" s="170">
        <v>44931</v>
      </c>
      <c r="B1989" s="116">
        <v>1524.9</v>
      </c>
      <c r="C1989" s="116">
        <v>1519.5</v>
      </c>
      <c r="D1989" s="116">
        <v>1493.4</v>
      </c>
      <c r="E1989" s="116">
        <v>1510.05</v>
      </c>
      <c r="F1989" s="116">
        <v>1519.5</v>
      </c>
      <c r="G1989">
        <v>2337</v>
      </c>
      <c r="H1989" s="116"/>
      <c r="I1989" s="116"/>
      <c r="L1989" s="170">
        <v>44931</v>
      </c>
      <c r="M1989" s="116">
        <v>1519.05</v>
      </c>
      <c r="N1989" s="116">
        <v>1526</v>
      </c>
      <c r="O1989" s="116">
        <v>1493</v>
      </c>
      <c r="P1989" s="116">
        <v>1516.9</v>
      </c>
      <c r="Q1989" s="116">
        <v>1519.05</v>
      </c>
      <c r="R1989">
        <v>261215</v>
      </c>
    </row>
    <row r="1990" spans="1:18" x14ac:dyDescent="0.25">
      <c r="A1990" s="170">
        <v>44932</v>
      </c>
      <c r="B1990" s="116">
        <v>1518.9</v>
      </c>
      <c r="C1990" s="116">
        <v>1485.35</v>
      </c>
      <c r="D1990" s="116">
        <v>1470</v>
      </c>
      <c r="E1990" s="116">
        <v>1510.05</v>
      </c>
      <c r="F1990" s="116">
        <v>1485.35</v>
      </c>
      <c r="G1990">
        <v>10895</v>
      </c>
      <c r="H1990" s="116"/>
      <c r="I1990" s="116"/>
      <c r="L1990" s="170">
        <v>44932</v>
      </c>
      <c r="M1990" s="116">
        <v>1489.9</v>
      </c>
      <c r="N1990" s="116">
        <v>1519.95</v>
      </c>
      <c r="O1990" s="116">
        <v>1470</v>
      </c>
      <c r="P1990" s="116">
        <v>1519.05</v>
      </c>
      <c r="Q1990" s="116">
        <v>1489.9</v>
      </c>
      <c r="R1990">
        <v>90755</v>
      </c>
    </row>
    <row r="1991" spans="1:18" x14ac:dyDescent="0.25">
      <c r="A1991" s="170">
        <v>44935</v>
      </c>
      <c r="B1991" s="116">
        <v>1502.2</v>
      </c>
      <c r="C1991" s="116">
        <v>1489.4</v>
      </c>
      <c r="D1991" s="116">
        <v>1458.85</v>
      </c>
      <c r="E1991" s="116">
        <v>1500.25</v>
      </c>
      <c r="F1991" s="116">
        <v>1489.4</v>
      </c>
      <c r="G1991">
        <v>2120</v>
      </c>
      <c r="H1991" s="116"/>
      <c r="I1991" s="116"/>
      <c r="L1991" s="170">
        <v>44935</v>
      </c>
      <c r="M1991" s="116">
        <v>1489.95</v>
      </c>
      <c r="N1991" s="116">
        <v>1507</v>
      </c>
      <c r="O1991" s="116">
        <v>1458</v>
      </c>
      <c r="P1991" s="116">
        <v>1497.35</v>
      </c>
      <c r="Q1991" s="116">
        <v>1489.95</v>
      </c>
      <c r="R1991">
        <v>64639</v>
      </c>
    </row>
    <row r="1992" spans="1:18" x14ac:dyDescent="0.25">
      <c r="A1992" s="170">
        <v>44936</v>
      </c>
      <c r="B1992" s="116">
        <v>1487</v>
      </c>
      <c r="C1992" s="116">
        <v>1463.25</v>
      </c>
      <c r="D1992" s="116">
        <v>1440</v>
      </c>
      <c r="E1992" s="116">
        <v>1487</v>
      </c>
      <c r="F1992" s="116">
        <v>1463.25</v>
      </c>
      <c r="G1992">
        <v>2184</v>
      </c>
      <c r="H1992" s="116"/>
      <c r="I1992" s="116"/>
      <c r="L1992" s="170">
        <v>44936</v>
      </c>
      <c r="M1992" s="116">
        <v>1462</v>
      </c>
      <c r="N1992" s="116">
        <v>1489.95</v>
      </c>
      <c r="O1992" s="116">
        <v>1438</v>
      </c>
      <c r="P1992" s="116">
        <v>1489.95</v>
      </c>
      <c r="Q1992" s="116">
        <v>1462</v>
      </c>
      <c r="R1992">
        <v>129373</v>
      </c>
    </row>
    <row r="1993" spans="1:18" x14ac:dyDescent="0.25">
      <c r="A1993" s="170">
        <v>44937</v>
      </c>
      <c r="B1993" s="116">
        <v>1460.5</v>
      </c>
      <c r="C1993" s="116">
        <v>1428.35</v>
      </c>
      <c r="D1993" s="116">
        <v>1412</v>
      </c>
      <c r="E1993" s="116">
        <v>1450.05</v>
      </c>
      <c r="F1993" s="116">
        <v>1428.35</v>
      </c>
      <c r="G1993">
        <v>8019</v>
      </c>
      <c r="H1993" s="116"/>
      <c r="I1993" s="116"/>
      <c r="L1993" s="170">
        <v>44937</v>
      </c>
      <c r="M1993" s="116">
        <v>1426.35</v>
      </c>
      <c r="N1993" s="116">
        <v>1469.3</v>
      </c>
      <c r="O1993" s="116">
        <v>1411.1</v>
      </c>
      <c r="P1993" s="116">
        <v>1469.25</v>
      </c>
      <c r="Q1993" s="116">
        <v>1426.35</v>
      </c>
      <c r="R1993">
        <v>293841</v>
      </c>
    </row>
    <row r="1994" spans="1:18" x14ac:dyDescent="0.25">
      <c r="A1994" s="170">
        <v>44938</v>
      </c>
      <c r="B1994" s="116">
        <v>1445.95</v>
      </c>
      <c r="C1994" s="116">
        <v>1435.2</v>
      </c>
      <c r="D1994" s="116">
        <v>1420.05</v>
      </c>
      <c r="E1994" s="116">
        <v>1420.05</v>
      </c>
      <c r="F1994" s="116">
        <v>1435.2</v>
      </c>
      <c r="G1994">
        <v>3619</v>
      </c>
      <c r="H1994" s="116"/>
      <c r="I1994" s="116"/>
      <c r="L1994" s="170">
        <v>44938</v>
      </c>
      <c r="M1994" s="116">
        <v>1436.75</v>
      </c>
      <c r="N1994" s="116">
        <v>1446</v>
      </c>
      <c r="O1994" s="116">
        <v>1422.15</v>
      </c>
      <c r="P1994" s="116">
        <v>1426.75</v>
      </c>
      <c r="Q1994" s="116">
        <v>1436.75</v>
      </c>
      <c r="R1994">
        <v>127395</v>
      </c>
    </row>
    <row r="1995" spans="1:18" x14ac:dyDescent="0.25">
      <c r="A1995" s="170">
        <v>44939</v>
      </c>
      <c r="B1995" s="116">
        <v>1453.35</v>
      </c>
      <c r="C1995" s="116">
        <v>1436.05</v>
      </c>
      <c r="D1995" s="116">
        <v>1428.9</v>
      </c>
      <c r="E1995" s="116">
        <v>1435</v>
      </c>
      <c r="F1995" s="116">
        <v>1436.05</v>
      </c>
      <c r="G1995">
        <v>1409</v>
      </c>
      <c r="H1995" s="116"/>
      <c r="I1995" s="116"/>
      <c r="L1995" s="170">
        <v>44939</v>
      </c>
      <c r="M1995" s="116">
        <v>1435.7</v>
      </c>
      <c r="N1995" s="116">
        <v>1454.55</v>
      </c>
      <c r="O1995" s="116">
        <v>1428.75</v>
      </c>
      <c r="P1995" s="116">
        <v>1443.95</v>
      </c>
      <c r="Q1995" s="116">
        <v>1435.7</v>
      </c>
      <c r="R1995">
        <v>43741</v>
      </c>
    </row>
    <row r="1996" spans="1:18" x14ac:dyDescent="0.25">
      <c r="A1996" s="170">
        <v>44942</v>
      </c>
      <c r="B1996" s="116">
        <v>1446.15</v>
      </c>
      <c r="C1996" s="116">
        <v>1431.9</v>
      </c>
      <c r="D1996" s="116">
        <v>1413.1</v>
      </c>
      <c r="E1996" s="116">
        <v>1413.1</v>
      </c>
      <c r="F1996" s="116">
        <v>1431.9</v>
      </c>
      <c r="G1996">
        <v>3181</v>
      </c>
      <c r="H1996" s="116"/>
      <c r="I1996" s="116"/>
      <c r="L1996" s="170">
        <v>44942</v>
      </c>
      <c r="M1996" s="116">
        <v>1433</v>
      </c>
      <c r="N1996" s="116">
        <v>1447.75</v>
      </c>
      <c r="O1996" s="116">
        <v>1425</v>
      </c>
      <c r="P1996" s="116">
        <v>1435.7</v>
      </c>
      <c r="Q1996" s="116">
        <v>1433</v>
      </c>
      <c r="R1996">
        <v>37011</v>
      </c>
    </row>
    <row r="1997" spans="1:18" x14ac:dyDescent="0.25">
      <c r="A1997" s="170">
        <v>44943</v>
      </c>
      <c r="B1997" s="116">
        <v>1460</v>
      </c>
      <c r="C1997" s="116">
        <v>1453.45</v>
      </c>
      <c r="D1997" s="116">
        <v>1420.05</v>
      </c>
      <c r="E1997" s="116">
        <v>1420.05</v>
      </c>
      <c r="F1997" s="116">
        <v>1453.45</v>
      </c>
      <c r="G1997">
        <v>1558</v>
      </c>
      <c r="H1997" s="116"/>
      <c r="I1997" s="116"/>
      <c r="L1997" s="170">
        <v>44943</v>
      </c>
      <c r="M1997" s="116">
        <v>1448.7</v>
      </c>
      <c r="N1997" s="116">
        <v>1462</v>
      </c>
      <c r="O1997" s="116">
        <v>1421.4</v>
      </c>
      <c r="P1997" s="116">
        <v>1432</v>
      </c>
      <c r="Q1997" s="116">
        <v>1448.7</v>
      </c>
      <c r="R1997">
        <v>158052</v>
      </c>
    </row>
    <row r="1998" spans="1:18" x14ac:dyDescent="0.25">
      <c r="A1998" s="170">
        <v>44944</v>
      </c>
      <c r="B1998" s="116">
        <v>1483.6</v>
      </c>
      <c r="C1998" s="116">
        <v>1467.15</v>
      </c>
      <c r="D1998" s="116">
        <v>1453.8</v>
      </c>
      <c r="E1998" s="116">
        <v>1477.95</v>
      </c>
      <c r="F1998" s="116">
        <v>1467.15</v>
      </c>
      <c r="G1998">
        <v>4436</v>
      </c>
      <c r="H1998" s="116"/>
      <c r="I1998" s="116"/>
      <c r="L1998" s="170">
        <v>44944</v>
      </c>
      <c r="M1998" s="116">
        <v>1466.85</v>
      </c>
      <c r="N1998" s="116">
        <v>1484.15</v>
      </c>
      <c r="O1998" s="116">
        <v>1452</v>
      </c>
      <c r="P1998" s="116">
        <v>1465</v>
      </c>
      <c r="Q1998" s="116">
        <v>1466.85</v>
      </c>
      <c r="R1998">
        <v>151142</v>
      </c>
    </row>
    <row r="1999" spans="1:18" x14ac:dyDescent="0.25">
      <c r="A1999" s="170">
        <v>44945</v>
      </c>
      <c r="B1999" s="116">
        <v>1555</v>
      </c>
      <c r="C1999" s="116">
        <v>1537.95</v>
      </c>
      <c r="D1999" s="116">
        <v>1470.5</v>
      </c>
      <c r="E1999" s="116">
        <v>1474.8</v>
      </c>
      <c r="F1999" s="116">
        <v>1537.95</v>
      </c>
      <c r="G1999">
        <v>20724</v>
      </c>
      <c r="H1999" s="116"/>
      <c r="I1999" s="116"/>
      <c r="L1999" s="170">
        <v>44945</v>
      </c>
      <c r="M1999" s="116">
        <v>1539.75</v>
      </c>
      <c r="N1999" s="116">
        <v>1556.65</v>
      </c>
      <c r="O1999" s="116">
        <v>1466</v>
      </c>
      <c r="P1999" s="116">
        <v>1468.7</v>
      </c>
      <c r="Q1999" s="116">
        <v>1539.75</v>
      </c>
      <c r="R1999">
        <v>456510</v>
      </c>
    </row>
    <row r="2000" spans="1:18" x14ac:dyDescent="0.25">
      <c r="A2000" s="170">
        <v>44946</v>
      </c>
      <c r="B2000" s="116">
        <v>1563.75</v>
      </c>
      <c r="C2000" s="116">
        <v>1516.75</v>
      </c>
      <c r="D2000" s="116">
        <v>1501.3</v>
      </c>
      <c r="E2000" s="116">
        <v>1563.75</v>
      </c>
      <c r="F2000" s="116">
        <v>1516.75</v>
      </c>
      <c r="G2000">
        <v>4817</v>
      </c>
      <c r="H2000" s="116"/>
      <c r="I2000" s="116"/>
      <c r="L2000" s="170">
        <v>44946</v>
      </c>
      <c r="M2000" s="116">
        <v>1517.15</v>
      </c>
      <c r="N2000" s="116">
        <v>1563.95</v>
      </c>
      <c r="O2000" s="116">
        <v>1501.45</v>
      </c>
      <c r="P2000" s="116">
        <v>1558</v>
      </c>
      <c r="Q2000" s="116">
        <v>1517.15</v>
      </c>
      <c r="R2000">
        <v>182891</v>
      </c>
    </row>
    <row r="2001" spans="1:18" x14ac:dyDescent="0.25">
      <c r="A2001" s="170">
        <v>44949</v>
      </c>
      <c r="B2001" s="116">
        <v>1540</v>
      </c>
      <c r="C2001" s="116">
        <v>1533.25</v>
      </c>
      <c r="D2001" s="116">
        <v>1514.55</v>
      </c>
      <c r="E2001" s="116">
        <v>1520</v>
      </c>
      <c r="F2001" s="116">
        <v>1533.25</v>
      </c>
      <c r="G2001">
        <v>2497</v>
      </c>
      <c r="H2001" s="116"/>
      <c r="I2001" s="116"/>
      <c r="L2001" s="170">
        <v>44949</v>
      </c>
      <c r="M2001" s="116">
        <v>1531.05</v>
      </c>
      <c r="N2001" s="116">
        <v>1541</v>
      </c>
      <c r="O2001" s="116">
        <v>1513.25</v>
      </c>
      <c r="P2001" s="116">
        <v>1517.25</v>
      </c>
      <c r="Q2001" s="116">
        <v>1531.05</v>
      </c>
      <c r="R2001">
        <v>65678</v>
      </c>
    </row>
    <row r="2002" spans="1:18" x14ac:dyDescent="0.25">
      <c r="A2002" s="170">
        <v>44950</v>
      </c>
      <c r="B2002" s="116">
        <v>1564.65</v>
      </c>
      <c r="C2002" s="116">
        <v>1518.3</v>
      </c>
      <c r="D2002" s="116">
        <v>1503.4</v>
      </c>
      <c r="E2002" s="116">
        <v>1545</v>
      </c>
      <c r="F2002" s="116">
        <v>1518.3</v>
      </c>
      <c r="G2002">
        <v>18801</v>
      </c>
      <c r="H2002" s="116"/>
      <c r="I2002" s="116"/>
      <c r="L2002" s="170">
        <v>44950</v>
      </c>
      <c r="M2002" s="116">
        <v>1514.1</v>
      </c>
      <c r="N2002" s="116">
        <v>1569.95</v>
      </c>
      <c r="O2002" s="116">
        <v>1503</v>
      </c>
      <c r="P2002" s="116">
        <v>1550</v>
      </c>
      <c r="Q2002" s="116">
        <v>1514.1</v>
      </c>
      <c r="R2002">
        <v>285093</v>
      </c>
    </row>
    <row r="2003" spans="1:18" x14ac:dyDescent="0.25">
      <c r="A2003" s="170">
        <v>44951</v>
      </c>
      <c r="B2003" s="116">
        <v>1554.45</v>
      </c>
      <c r="C2003" s="116">
        <v>1549.65</v>
      </c>
      <c r="D2003" s="116">
        <v>1505</v>
      </c>
      <c r="E2003" s="116">
        <v>1505</v>
      </c>
      <c r="F2003" s="116">
        <v>1549.65</v>
      </c>
      <c r="G2003">
        <v>14151</v>
      </c>
      <c r="H2003" s="116"/>
      <c r="I2003" s="116"/>
      <c r="L2003" s="170">
        <v>44951</v>
      </c>
      <c r="M2003" s="116">
        <v>1550.55</v>
      </c>
      <c r="N2003" s="116">
        <v>1554.85</v>
      </c>
      <c r="O2003" s="116">
        <v>1508</v>
      </c>
      <c r="P2003" s="116">
        <v>1508</v>
      </c>
      <c r="Q2003" s="116">
        <v>1550.55</v>
      </c>
      <c r="R2003">
        <v>247475</v>
      </c>
    </row>
    <row r="2004" spans="1:18" x14ac:dyDescent="0.25">
      <c r="A2004" s="170">
        <v>44953</v>
      </c>
      <c r="B2004" s="116">
        <v>1584.55</v>
      </c>
      <c r="C2004" s="116">
        <v>1571.7</v>
      </c>
      <c r="D2004" s="116">
        <v>1536.05</v>
      </c>
      <c r="E2004" s="116">
        <v>1536.05</v>
      </c>
      <c r="F2004" s="116">
        <v>1571.7</v>
      </c>
      <c r="G2004">
        <v>7417</v>
      </c>
      <c r="H2004" s="116"/>
      <c r="I2004" s="116"/>
      <c r="L2004" s="170">
        <v>44953</v>
      </c>
      <c r="M2004" s="116">
        <v>1573.2</v>
      </c>
      <c r="N2004" s="116">
        <v>1585</v>
      </c>
      <c r="O2004" s="116">
        <v>1542</v>
      </c>
      <c r="P2004" s="116">
        <v>1558</v>
      </c>
      <c r="Q2004" s="116">
        <v>1573.2</v>
      </c>
      <c r="R2004">
        <v>332045</v>
      </c>
    </row>
    <row r="2005" spans="1:18" x14ac:dyDescent="0.25">
      <c r="A2005" s="170">
        <v>44956</v>
      </c>
      <c r="B2005" s="116">
        <v>1620.75</v>
      </c>
      <c r="C2005" s="116">
        <v>1609.25</v>
      </c>
      <c r="D2005" s="116">
        <v>1562.8</v>
      </c>
      <c r="E2005" s="116">
        <v>1571.7</v>
      </c>
      <c r="F2005" s="116">
        <v>1609.25</v>
      </c>
      <c r="G2005">
        <v>9545</v>
      </c>
      <c r="H2005" s="116"/>
      <c r="I2005" s="116"/>
      <c r="L2005" s="170">
        <v>44956</v>
      </c>
      <c r="M2005" s="116">
        <v>1608.55</v>
      </c>
      <c r="N2005" s="116">
        <v>1620.35</v>
      </c>
      <c r="O2005" s="116">
        <v>1560.8</v>
      </c>
      <c r="P2005" s="116">
        <v>1573</v>
      </c>
      <c r="Q2005" s="116">
        <v>1608.55</v>
      </c>
      <c r="R2005">
        <v>278805</v>
      </c>
    </row>
    <row r="2006" spans="1:18" x14ac:dyDescent="0.25">
      <c r="A2006" s="170">
        <v>44957</v>
      </c>
      <c r="B2006" s="116">
        <v>1652</v>
      </c>
      <c r="C2006" s="116">
        <v>1616.95</v>
      </c>
      <c r="D2006" s="116">
        <v>1591.25</v>
      </c>
      <c r="E2006" s="116">
        <v>1611.05</v>
      </c>
      <c r="F2006" s="116">
        <v>1616.95</v>
      </c>
      <c r="G2006">
        <v>25935</v>
      </c>
      <c r="H2006" s="116"/>
      <c r="I2006" s="116"/>
      <c r="L2006" s="170">
        <v>44957</v>
      </c>
      <c r="M2006" s="116">
        <v>1615.65</v>
      </c>
      <c r="N2006" s="116">
        <v>1653.5</v>
      </c>
      <c r="O2006" s="116">
        <v>1590</v>
      </c>
      <c r="P2006" s="116">
        <v>1620</v>
      </c>
      <c r="Q2006" s="116">
        <v>1615.65</v>
      </c>
      <c r="R2006">
        <v>337973</v>
      </c>
    </row>
    <row r="2007" spans="1:18" x14ac:dyDescent="0.25">
      <c r="A2007" s="170">
        <v>44958</v>
      </c>
      <c r="B2007" s="116">
        <v>1695</v>
      </c>
      <c r="C2007" s="116">
        <v>1660.9</v>
      </c>
      <c r="D2007" s="116">
        <v>1629.4</v>
      </c>
      <c r="E2007" s="116">
        <v>1629.4</v>
      </c>
      <c r="F2007" s="116">
        <v>1660.9</v>
      </c>
      <c r="G2007">
        <v>28213</v>
      </c>
      <c r="H2007" s="116"/>
      <c r="I2007" s="116"/>
      <c r="L2007" s="170">
        <v>44958</v>
      </c>
      <c r="M2007" s="116">
        <v>1660.9</v>
      </c>
      <c r="N2007" s="116">
        <v>1696</v>
      </c>
      <c r="O2007" s="116">
        <v>1621.15</v>
      </c>
      <c r="P2007" s="116">
        <v>1640</v>
      </c>
      <c r="Q2007" s="116">
        <v>1660.9</v>
      </c>
      <c r="R2007">
        <v>357478</v>
      </c>
    </row>
    <row r="2008" spans="1:18" x14ac:dyDescent="0.25">
      <c r="A2008" s="170">
        <v>44959</v>
      </c>
      <c r="B2008" s="116">
        <v>1730</v>
      </c>
      <c r="C2008" s="116">
        <v>1676.75</v>
      </c>
      <c r="D2008" s="116">
        <v>1650.1</v>
      </c>
      <c r="E2008" s="116">
        <v>1661.95</v>
      </c>
      <c r="F2008" s="116">
        <v>1676.75</v>
      </c>
      <c r="G2008">
        <v>5572</v>
      </c>
      <c r="H2008" s="116"/>
      <c r="I2008" s="116"/>
      <c r="L2008" s="170">
        <v>44959</v>
      </c>
      <c r="M2008" s="116">
        <v>1668.7</v>
      </c>
      <c r="N2008" s="116">
        <v>1730.95</v>
      </c>
      <c r="O2008" s="116">
        <v>1652.05</v>
      </c>
      <c r="P2008" s="116">
        <v>1657.85</v>
      </c>
      <c r="Q2008" s="116">
        <v>1668.7</v>
      </c>
      <c r="R2008">
        <v>282330</v>
      </c>
    </row>
    <row r="2009" spans="1:18" x14ac:dyDescent="0.25">
      <c r="A2009" s="170">
        <v>44960</v>
      </c>
      <c r="B2009" s="116">
        <v>1698.35</v>
      </c>
      <c r="C2009" s="116">
        <v>1679.05</v>
      </c>
      <c r="D2009" s="116">
        <v>1654.15</v>
      </c>
      <c r="E2009" s="116">
        <v>1676.85</v>
      </c>
      <c r="F2009" s="116">
        <v>1679.05</v>
      </c>
      <c r="G2009">
        <v>10149</v>
      </c>
      <c r="H2009" s="116"/>
      <c r="I2009" s="116"/>
      <c r="L2009" s="170">
        <v>44960</v>
      </c>
      <c r="M2009" s="116">
        <v>1677.9</v>
      </c>
      <c r="N2009" s="116">
        <v>1698</v>
      </c>
      <c r="O2009" s="116">
        <v>1655.05</v>
      </c>
      <c r="P2009" s="116">
        <v>1682.9</v>
      </c>
      <c r="Q2009" s="116">
        <v>1677.9</v>
      </c>
      <c r="R2009">
        <v>169881</v>
      </c>
    </row>
    <row r="2010" spans="1:18" x14ac:dyDescent="0.25">
      <c r="A2010" s="170">
        <v>44963</v>
      </c>
      <c r="B2010" s="116">
        <v>1733.2</v>
      </c>
      <c r="C2010" s="116">
        <v>1718.4</v>
      </c>
      <c r="D2010" s="116">
        <v>1693.7</v>
      </c>
      <c r="E2010" s="116">
        <v>1733.2</v>
      </c>
      <c r="F2010" s="116">
        <v>1718.4</v>
      </c>
      <c r="G2010">
        <v>11955</v>
      </c>
      <c r="H2010" s="116"/>
      <c r="I2010" s="116"/>
      <c r="L2010" s="170">
        <v>44963</v>
      </c>
      <c r="M2010" s="116">
        <v>1713.4</v>
      </c>
      <c r="N2010" s="116">
        <v>1726</v>
      </c>
      <c r="O2010" s="116">
        <v>1695.35</v>
      </c>
      <c r="P2010" s="116">
        <v>1708</v>
      </c>
      <c r="Q2010" s="116">
        <v>1713.4</v>
      </c>
      <c r="R2010">
        <v>252684</v>
      </c>
    </row>
    <row r="2011" spans="1:18" x14ac:dyDescent="0.25">
      <c r="A2011" s="170">
        <v>44964</v>
      </c>
      <c r="B2011" s="116">
        <v>1727.65</v>
      </c>
      <c r="C2011" s="116">
        <v>1709.75</v>
      </c>
      <c r="D2011" s="116">
        <v>1691.7</v>
      </c>
      <c r="E2011" s="116">
        <v>1720.05</v>
      </c>
      <c r="F2011" s="116">
        <v>1709.75</v>
      </c>
      <c r="G2011">
        <v>12504</v>
      </c>
      <c r="H2011" s="116"/>
      <c r="I2011" s="116"/>
      <c r="L2011" s="170">
        <v>44964</v>
      </c>
      <c r="M2011" s="116">
        <v>1707.25</v>
      </c>
      <c r="N2011" s="116">
        <v>1728.95</v>
      </c>
      <c r="O2011" s="116">
        <v>1700</v>
      </c>
      <c r="P2011" s="116">
        <v>1724.75</v>
      </c>
      <c r="Q2011" s="116">
        <v>1707.25</v>
      </c>
      <c r="R2011">
        <v>117805</v>
      </c>
    </row>
    <row r="2012" spans="1:18" x14ac:dyDescent="0.25">
      <c r="A2012" s="170">
        <v>44965</v>
      </c>
      <c r="B2012" s="116">
        <v>1709.2</v>
      </c>
      <c r="C2012" s="116">
        <v>1654.95</v>
      </c>
      <c r="D2012" s="116">
        <v>1643.75</v>
      </c>
      <c r="E2012" s="116">
        <v>1700</v>
      </c>
      <c r="F2012" s="116">
        <v>1654.95</v>
      </c>
      <c r="G2012">
        <v>11065</v>
      </c>
      <c r="H2012" s="116"/>
      <c r="I2012" s="116"/>
      <c r="L2012" s="170">
        <v>44965</v>
      </c>
      <c r="M2012" s="116">
        <v>1652.8</v>
      </c>
      <c r="N2012" s="116">
        <v>1708.8</v>
      </c>
      <c r="O2012" s="116">
        <v>1642.3</v>
      </c>
      <c r="P2012" s="116">
        <v>1707.25</v>
      </c>
      <c r="Q2012" s="116">
        <v>1652.8</v>
      </c>
      <c r="R2012">
        <v>127115</v>
      </c>
    </row>
    <row r="2013" spans="1:18" x14ac:dyDescent="0.25">
      <c r="A2013" s="170">
        <v>44966</v>
      </c>
      <c r="B2013" s="116">
        <v>1667.95</v>
      </c>
      <c r="C2013" s="116">
        <v>1638.65</v>
      </c>
      <c r="D2013" s="116">
        <v>1630</v>
      </c>
      <c r="E2013" s="116">
        <v>1654.95</v>
      </c>
      <c r="F2013" s="116">
        <v>1638.65</v>
      </c>
      <c r="G2013">
        <v>8739</v>
      </c>
      <c r="H2013" s="116"/>
      <c r="I2013" s="116"/>
      <c r="L2013" s="170">
        <v>44966</v>
      </c>
      <c r="M2013" s="116">
        <v>1639.75</v>
      </c>
      <c r="N2013" s="116">
        <v>1668.95</v>
      </c>
      <c r="O2013" s="116">
        <v>1630</v>
      </c>
      <c r="P2013" s="116">
        <v>1650</v>
      </c>
      <c r="Q2013" s="116">
        <v>1639.75</v>
      </c>
      <c r="R2013">
        <v>209045</v>
      </c>
    </row>
    <row r="2014" spans="1:18" x14ac:dyDescent="0.25">
      <c r="A2014" s="170">
        <v>44967</v>
      </c>
      <c r="B2014" s="116">
        <v>1688.6</v>
      </c>
      <c r="C2014" s="116">
        <v>1674.95</v>
      </c>
      <c r="D2014" s="116">
        <v>1620.05</v>
      </c>
      <c r="E2014" s="116">
        <v>1620.05</v>
      </c>
      <c r="F2014" s="116">
        <v>1674.95</v>
      </c>
      <c r="G2014">
        <v>2654</v>
      </c>
      <c r="H2014" s="116"/>
      <c r="I2014" s="116"/>
      <c r="L2014" s="170">
        <v>44967</v>
      </c>
      <c r="M2014" s="116">
        <v>1676.65</v>
      </c>
      <c r="N2014" s="116">
        <v>1690</v>
      </c>
      <c r="O2014" s="116">
        <v>1630</v>
      </c>
      <c r="P2014" s="116">
        <v>1638.9</v>
      </c>
      <c r="Q2014" s="116">
        <v>1676.65</v>
      </c>
      <c r="R2014">
        <v>112926</v>
      </c>
    </row>
    <row r="2015" spans="1:18" x14ac:dyDescent="0.25">
      <c r="A2015" s="170">
        <v>44970</v>
      </c>
      <c r="B2015" s="116">
        <v>1692</v>
      </c>
      <c r="C2015" s="116">
        <v>1631.55</v>
      </c>
      <c r="D2015" s="116">
        <v>1613</v>
      </c>
      <c r="E2015" s="116">
        <v>1692</v>
      </c>
      <c r="F2015" s="116">
        <v>1631.55</v>
      </c>
      <c r="G2015">
        <v>5203</v>
      </c>
      <c r="H2015" s="116"/>
      <c r="I2015" s="116"/>
      <c r="L2015" s="170">
        <v>44970</v>
      </c>
      <c r="M2015" s="116">
        <v>1629.85</v>
      </c>
      <c r="N2015" s="116">
        <v>1689.95</v>
      </c>
      <c r="O2015" s="116">
        <v>1612</v>
      </c>
      <c r="P2015" s="116">
        <v>1685.05</v>
      </c>
      <c r="Q2015" s="116">
        <v>1629.85</v>
      </c>
      <c r="R2015">
        <v>82352</v>
      </c>
    </row>
    <row r="2016" spans="1:18" x14ac:dyDescent="0.25">
      <c r="A2016" s="170">
        <v>44971</v>
      </c>
      <c r="B2016" s="116">
        <v>1640.6</v>
      </c>
      <c r="C2016" s="116">
        <v>1605.45</v>
      </c>
      <c r="D2016" s="116">
        <v>1602.15</v>
      </c>
      <c r="E2016" s="116">
        <v>1625.05</v>
      </c>
      <c r="F2016" s="116">
        <v>1605.45</v>
      </c>
      <c r="G2016">
        <v>6599</v>
      </c>
      <c r="H2016" s="116"/>
      <c r="I2016" s="116"/>
      <c r="L2016" s="170">
        <v>44971</v>
      </c>
      <c r="M2016" s="116">
        <v>1605.75</v>
      </c>
      <c r="N2016" s="116">
        <v>1642.05</v>
      </c>
      <c r="O2016" s="116">
        <v>1600.2</v>
      </c>
      <c r="P2016" s="116">
        <v>1633</v>
      </c>
      <c r="Q2016" s="116">
        <v>1605.75</v>
      </c>
      <c r="R2016">
        <v>50555</v>
      </c>
    </row>
    <row r="2017" spans="1:18" x14ac:dyDescent="0.25">
      <c r="A2017" s="170">
        <v>44972</v>
      </c>
      <c r="B2017" s="116">
        <v>1625</v>
      </c>
      <c r="C2017" s="116">
        <v>1609.25</v>
      </c>
      <c r="D2017" s="116">
        <v>1558.25</v>
      </c>
      <c r="E2017" s="116">
        <v>1572.65</v>
      </c>
      <c r="F2017" s="116">
        <v>1609.25</v>
      </c>
      <c r="G2017">
        <v>7815</v>
      </c>
      <c r="H2017" s="116"/>
      <c r="I2017" s="116"/>
      <c r="L2017" s="170">
        <v>44972</v>
      </c>
      <c r="M2017" s="116">
        <v>1612.55</v>
      </c>
      <c r="N2017" s="116">
        <v>1631</v>
      </c>
      <c r="O2017" s="116">
        <v>1558</v>
      </c>
      <c r="P2017" s="116">
        <v>1581.85</v>
      </c>
      <c r="Q2017" s="116">
        <v>1612.55</v>
      </c>
      <c r="R2017">
        <v>220188</v>
      </c>
    </row>
    <row r="2018" spans="1:18" x14ac:dyDescent="0.25">
      <c r="A2018" s="170">
        <v>44973</v>
      </c>
      <c r="B2018" s="116">
        <v>1684</v>
      </c>
      <c r="C2018" s="116">
        <v>1678.05</v>
      </c>
      <c r="D2018" s="116">
        <v>1618</v>
      </c>
      <c r="E2018" s="116">
        <v>1621</v>
      </c>
      <c r="F2018" s="116">
        <v>1678.05</v>
      </c>
      <c r="G2018">
        <v>7165</v>
      </c>
      <c r="H2018" s="116"/>
      <c r="I2018" s="116"/>
      <c r="L2018" s="170">
        <v>44973</v>
      </c>
      <c r="M2018" s="116">
        <v>1677.7</v>
      </c>
      <c r="N2018" s="116">
        <v>1685</v>
      </c>
      <c r="O2018" s="116">
        <v>1613</v>
      </c>
      <c r="P2018" s="116">
        <v>1619</v>
      </c>
      <c r="Q2018" s="116">
        <v>1677.7</v>
      </c>
      <c r="R2018">
        <v>117120</v>
      </c>
    </row>
    <row r="2019" spans="1:18" x14ac:dyDescent="0.25">
      <c r="A2019" s="170">
        <v>44974</v>
      </c>
      <c r="B2019" s="116">
        <v>1718.85</v>
      </c>
      <c r="C2019" s="116">
        <v>1698</v>
      </c>
      <c r="D2019" s="116">
        <v>1664.3</v>
      </c>
      <c r="E2019" s="116">
        <v>1678.05</v>
      </c>
      <c r="F2019" s="116">
        <v>1698</v>
      </c>
      <c r="G2019">
        <v>16274</v>
      </c>
      <c r="H2019" s="116"/>
      <c r="I2019" s="116"/>
      <c r="L2019" s="170">
        <v>44974</v>
      </c>
      <c r="M2019" s="116">
        <v>1699.95</v>
      </c>
      <c r="N2019" s="116">
        <v>1717.95</v>
      </c>
      <c r="O2019" s="116">
        <v>1665.05</v>
      </c>
      <c r="P2019" s="116">
        <v>1676.8</v>
      </c>
      <c r="Q2019" s="116">
        <v>1699.95</v>
      </c>
      <c r="R2019">
        <v>178331</v>
      </c>
    </row>
    <row r="2020" spans="1:18" x14ac:dyDescent="0.25">
      <c r="A2020" s="170">
        <v>44977</v>
      </c>
      <c r="B2020" s="116">
        <v>1725.7</v>
      </c>
      <c r="C2020" s="116">
        <v>1706.1</v>
      </c>
      <c r="D2020" s="116">
        <v>1666</v>
      </c>
      <c r="E2020" s="116">
        <v>1714.95</v>
      </c>
      <c r="F2020" s="116">
        <v>1706.1</v>
      </c>
      <c r="G2020">
        <v>4499</v>
      </c>
      <c r="H2020" s="116"/>
      <c r="I2020" s="116"/>
      <c r="L2020" s="170">
        <v>44977</v>
      </c>
      <c r="M2020" s="116">
        <v>1701.9</v>
      </c>
      <c r="N2020" s="116">
        <v>1725</v>
      </c>
      <c r="O2020" s="116">
        <v>1663.55</v>
      </c>
      <c r="P2020" s="116">
        <v>1705</v>
      </c>
      <c r="Q2020" s="116">
        <v>1701.9</v>
      </c>
      <c r="R2020">
        <v>134760</v>
      </c>
    </row>
    <row r="2021" spans="1:18" x14ac:dyDescent="0.25">
      <c r="A2021" s="170">
        <v>44978</v>
      </c>
      <c r="B2021" s="116">
        <v>1708.8</v>
      </c>
      <c r="C2021" s="116">
        <v>1667.05</v>
      </c>
      <c r="D2021" s="116">
        <v>1660</v>
      </c>
      <c r="E2021" s="116">
        <v>1699</v>
      </c>
      <c r="F2021" s="116">
        <v>1667.05</v>
      </c>
      <c r="G2021">
        <v>7163</v>
      </c>
      <c r="H2021" s="116"/>
      <c r="I2021" s="116"/>
      <c r="L2021" s="170">
        <v>44978</v>
      </c>
      <c r="M2021" s="116">
        <v>1668.8</v>
      </c>
      <c r="N2021" s="116">
        <v>1708.95</v>
      </c>
      <c r="O2021" s="116">
        <v>1664</v>
      </c>
      <c r="P2021" s="116">
        <v>1701.85</v>
      </c>
      <c r="Q2021" s="116">
        <v>1668.8</v>
      </c>
      <c r="R2021">
        <v>68177</v>
      </c>
    </row>
    <row r="2022" spans="1:18" x14ac:dyDescent="0.25">
      <c r="A2022" s="170">
        <v>44979</v>
      </c>
      <c r="B2022" s="116">
        <v>1674.7</v>
      </c>
      <c r="C2022" s="116">
        <v>1652.75</v>
      </c>
      <c r="D2022" s="116">
        <v>1648.6</v>
      </c>
      <c r="E2022" s="116">
        <v>1661.05</v>
      </c>
      <c r="F2022" s="116">
        <v>1652.75</v>
      </c>
      <c r="G2022">
        <v>4530</v>
      </c>
      <c r="H2022" s="116"/>
      <c r="I2022" s="116"/>
      <c r="L2022" s="170">
        <v>44979</v>
      </c>
      <c r="M2022" s="116">
        <v>1654.35</v>
      </c>
      <c r="N2022" s="116">
        <v>1677.15</v>
      </c>
      <c r="O2022" s="116">
        <v>1648</v>
      </c>
      <c r="P2022" s="116">
        <v>1672.35</v>
      </c>
      <c r="Q2022" s="116">
        <v>1654.35</v>
      </c>
      <c r="R2022">
        <v>86941</v>
      </c>
    </row>
    <row r="2023" spans="1:18" x14ac:dyDescent="0.25">
      <c r="A2023" s="170">
        <v>44980</v>
      </c>
      <c r="B2023" s="116">
        <v>1674.7</v>
      </c>
      <c r="C2023" s="116">
        <v>1653.25</v>
      </c>
      <c r="D2023" s="116">
        <v>1627.7</v>
      </c>
      <c r="E2023" s="116">
        <v>1650.15</v>
      </c>
      <c r="F2023" s="116">
        <v>1653.25</v>
      </c>
      <c r="G2023">
        <v>4317</v>
      </c>
      <c r="H2023" s="116"/>
      <c r="I2023" s="116"/>
      <c r="L2023" s="170">
        <v>44980</v>
      </c>
      <c r="M2023" s="116">
        <v>1649.25</v>
      </c>
      <c r="N2023" s="116">
        <v>1677.95</v>
      </c>
      <c r="O2023" s="116">
        <v>1626.15</v>
      </c>
      <c r="P2023" s="116">
        <v>1662.65</v>
      </c>
      <c r="Q2023" s="116">
        <v>1649.25</v>
      </c>
      <c r="R2023">
        <v>90795</v>
      </c>
    </row>
    <row r="2024" spans="1:18" x14ac:dyDescent="0.25">
      <c r="A2024" s="170">
        <v>44981</v>
      </c>
      <c r="B2024" s="116">
        <v>1676.5</v>
      </c>
      <c r="C2024" s="116">
        <v>1659.35</v>
      </c>
      <c r="D2024" s="116">
        <v>1649.15</v>
      </c>
      <c r="E2024" s="116">
        <v>1649.15</v>
      </c>
      <c r="F2024" s="116">
        <v>1659.35</v>
      </c>
      <c r="G2024">
        <v>5225</v>
      </c>
      <c r="H2024" s="116"/>
      <c r="I2024" s="116"/>
      <c r="L2024" s="170">
        <v>44981</v>
      </c>
      <c r="M2024" s="116">
        <v>1657.8</v>
      </c>
      <c r="N2024" s="116">
        <v>1677</v>
      </c>
      <c r="O2024" s="116">
        <v>1648.3</v>
      </c>
      <c r="P2024" s="116">
        <v>1657.15</v>
      </c>
      <c r="Q2024" s="116">
        <v>1657.8</v>
      </c>
      <c r="R2024">
        <v>118865</v>
      </c>
    </row>
    <row r="2025" spans="1:18" x14ac:dyDescent="0.25">
      <c r="A2025" s="170">
        <v>44984</v>
      </c>
      <c r="B2025" s="116">
        <v>1655.5</v>
      </c>
      <c r="C2025" s="116">
        <v>1630.1</v>
      </c>
      <c r="D2025" s="116">
        <v>1604.5</v>
      </c>
      <c r="E2025" s="116">
        <v>1620.05</v>
      </c>
      <c r="F2025" s="116">
        <v>1630.1</v>
      </c>
      <c r="G2025">
        <v>13414</v>
      </c>
      <c r="H2025" s="116"/>
      <c r="I2025" s="116"/>
      <c r="L2025" s="170">
        <v>44984</v>
      </c>
      <c r="M2025" s="116">
        <v>1629.75</v>
      </c>
      <c r="N2025" s="116">
        <v>1653.95</v>
      </c>
      <c r="O2025" s="116">
        <v>1602.55</v>
      </c>
      <c r="P2025" s="116">
        <v>1633</v>
      </c>
      <c r="Q2025" s="116">
        <v>1629.75</v>
      </c>
      <c r="R2025">
        <v>275238</v>
      </c>
    </row>
    <row r="2026" spans="1:18" x14ac:dyDescent="0.25">
      <c r="A2026" s="170">
        <v>44985</v>
      </c>
      <c r="B2026" s="116">
        <v>1650</v>
      </c>
      <c r="C2026" s="116">
        <v>1625.4</v>
      </c>
      <c r="D2026" s="116">
        <v>1606</v>
      </c>
      <c r="E2026" s="116">
        <v>1618.1</v>
      </c>
      <c r="F2026" s="116">
        <v>1625.4</v>
      </c>
      <c r="G2026">
        <v>5110</v>
      </c>
      <c r="H2026" s="116"/>
      <c r="I2026" s="116"/>
      <c r="L2026" s="170">
        <v>44985</v>
      </c>
      <c r="M2026" s="116">
        <v>1625.25</v>
      </c>
      <c r="N2026" s="116">
        <v>1649.95</v>
      </c>
      <c r="O2026" s="116">
        <v>1607.1</v>
      </c>
      <c r="P2026" s="116">
        <v>1637.9</v>
      </c>
      <c r="Q2026" s="116">
        <v>1625.25</v>
      </c>
      <c r="R2026">
        <v>69568</v>
      </c>
    </row>
    <row r="2027" spans="1:18" x14ac:dyDescent="0.25">
      <c r="A2027" s="170">
        <v>44986</v>
      </c>
      <c r="B2027" s="116">
        <v>1696.4</v>
      </c>
      <c r="C2027" s="116">
        <v>1681.55</v>
      </c>
      <c r="D2027" s="116">
        <v>1622.25</v>
      </c>
      <c r="E2027" s="116">
        <v>1625.4</v>
      </c>
      <c r="F2027" s="116">
        <v>1681.55</v>
      </c>
      <c r="G2027">
        <v>13776</v>
      </c>
      <c r="H2027" s="116"/>
      <c r="I2027" s="116"/>
      <c r="L2027" s="170">
        <v>44986</v>
      </c>
      <c r="M2027" s="116">
        <v>1672.35</v>
      </c>
      <c r="N2027" s="116">
        <v>1684.8</v>
      </c>
      <c r="O2027" s="116">
        <v>1625.25</v>
      </c>
      <c r="P2027" s="116">
        <v>1625.25</v>
      </c>
      <c r="Q2027" s="116">
        <v>1672.35</v>
      </c>
      <c r="R2027">
        <v>338616</v>
      </c>
    </row>
    <row r="2028" spans="1:18" x14ac:dyDescent="0.25">
      <c r="A2028" s="170">
        <v>44987</v>
      </c>
      <c r="B2028" s="116">
        <v>1658.85</v>
      </c>
      <c r="C2028" s="116">
        <v>1624.4</v>
      </c>
      <c r="D2028" s="116">
        <v>1620</v>
      </c>
      <c r="E2028" s="116">
        <v>1646</v>
      </c>
      <c r="F2028" s="116">
        <v>1624.4</v>
      </c>
      <c r="G2028">
        <v>16248</v>
      </c>
      <c r="H2028" s="116"/>
      <c r="I2028" s="116"/>
      <c r="L2028" s="170">
        <v>44987</v>
      </c>
      <c r="M2028" s="116">
        <v>1625.3</v>
      </c>
      <c r="N2028" s="116">
        <v>1659.85</v>
      </c>
      <c r="O2028" s="116">
        <v>1618</v>
      </c>
      <c r="P2028" s="116">
        <v>1650</v>
      </c>
      <c r="Q2028" s="116">
        <v>1625.3</v>
      </c>
      <c r="R2028">
        <v>134739</v>
      </c>
    </row>
    <row r="2029" spans="1:18" x14ac:dyDescent="0.25">
      <c r="A2029" s="170">
        <v>44988</v>
      </c>
      <c r="B2029" s="116">
        <v>1691.7</v>
      </c>
      <c r="C2029" s="116">
        <v>1686.85</v>
      </c>
      <c r="D2029" s="116">
        <v>1623.6</v>
      </c>
      <c r="E2029" s="116">
        <v>1624.45</v>
      </c>
      <c r="F2029" s="116">
        <v>1686.85</v>
      </c>
      <c r="G2029">
        <v>6474</v>
      </c>
      <c r="H2029" s="116"/>
      <c r="I2029" s="116"/>
      <c r="L2029" s="170">
        <v>44988</v>
      </c>
      <c r="M2029" s="116">
        <v>1684.7</v>
      </c>
      <c r="N2029" s="116">
        <v>1694.85</v>
      </c>
      <c r="O2029" s="116">
        <v>1622.25</v>
      </c>
      <c r="P2029" s="116">
        <v>1627.95</v>
      </c>
      <c r="Q2029" s="116">
        <v>1684.7</v>
      </c>
      <c r="R2029">
        <v>175273</v>
      </c>
    </row>
    <row r="2030" spans="1:18" x14ac:dyDescent="0.25">
      <c r="A2030" s="170">
        <v>44991</v>
      </c>
      <c r="B2030" s="116">
        <v>1736</v>
      </c>
      <c r="C2030" s="116">
        <v>1719</v>
      </c>
      <c r="D2030" s="116">
        <v>1694.85</v>
      </c>
      <c r="E2030" s="116">
        <v>1700.1</v>
      </c>
      <c r="F2030" s="116">
        <v>1719</v>
      </c>
      <c r="G2030">
        <v>24073</v>
      </c>
      <c r="H2030" s="116"/>
      <c r="I2030" s="116"/>
      <c r="L2030" s="170">
        <v>44991</v>
      </c>
      <c r="M2030" s="116">
        <v>1718.15</v>
      </c>
      <c r="N2030" s="116">
        <v>1738</v>
      </c>
      <c r="O2030" s="116">
        <v>1690</v>
      </c>
      <c r="P2030" s="116">
        <v>1704</v>
      </c>
      <c r="Q2030" s="116">
        <v>1718.15</v>
      </c>
      <c r="R2030">
        <v>204449</v>
      </c>
    </row>
    <row r="2031" spans="1:18" x14ac:dyDescent="0.25">
      <c r="A2031" s="170">
        <v>44993</v>
      </c>
      <c r="B2031" s="116">
        <v>1738.3</v>
      </c>
      <c r="C2031" s="116">
        <v>1707.55</v>
      </c>
      <c r="D2031" s="116">
        <v>1695.8</v>
      </c>
      <c r="E2031" s="116">
        <v>1718</v>
      </c>
      <c r="F2031" s="116">
        <v>1707.55</v>
      </c>
      <c r="G2031">
        <v>9599</v>
      </c>
      <c r="H2031" s="116"/>
      <c r="I2031" s="116"/>
      <c r="L2031" s="170">
        <v>44993</v>
      </c>
      <c r="M2031" s="116">
        <v>1709.5</v>
      </c>
      <c r="N2031" s="116">
        <v>1740</v>
      </c>
      <c r="O2031" s="116">
        <v>1697.15</v>
      </c>
      <c r="P2031" s="116">
        <v>1710.05</v>
      </c>
      <c r="Q2031" s="116">
        <v>1709.5</v>
      </c>
      <c r="R2031">
        <v>166029</v>
      </c>
    </row>
    <row r="2032" spans="1:18" x14ac:dyDescent="0.25">
      <c r="A2032" s="170">
        <v>44994</v>
      </c>
      <c r="B2032" s="116">
        <v>1713.95</v>
      </c>
      <c r="C2032" s="116">
        <v>1672.4</v>
      </c>
      <c r="D2032" s="116">
        <v>1665</v>
      </c>
      <c r="E2032" s="116">
        <v>1713.95</v>
      </c>
      <c r="F2032" s="116">
        <v>1672.4</v>
      </c>
      <c r="G2032">
        <v>3135</v>
      </c>
      <c r="H2032" s="116"/>
      <c r="I2032" s="116"/>
      <c r="L2032" s="170">
        <v>44994</v>
      </c>
      <c r="M2032" s="116">
        <v>1671.65</v>
      </c>
      <c r="N2032" s="116">
        <v>1712.9</v>
      </c>
      <c r="O2032" s="116">
        <v>1664</v>
      </c>
      <c r="P2032" s="116">
        <v>1710</v>
      </c>
      <c r="Q2032" s="116">
        <v>1671.65</v>
      </c>
      <c r="R2032">
        <v>80285</v>
      </c>
    </row>
    <row r="2033" spans="1:18" x14ac:dyDescent="0.25">
      <c r="A2033" s="170">
        <v>44995</v>
      </c>
      <c r="B2033" s="116">
        <v>1661.2</v>
      </c>
      <c r="C2033" s="116">
        <v>1645.1</v>
      </c>
      <c r="D2033" s="116">
        <v>1625.85</v>
      </c>
      <c r="E2033" s="116">
        <v>1655</v>
      </c>
      <c r="F2033" s="116">
        <v>1645.1</v>
      </c>
      <c r="G2033">
        <v>17253</v>
      </c>
      <c r="H2033" s="116"/>
      <c r="I2033" s="116"/>
      <c r="L2033" s="170">
        <v>44995</v>
      </c>
      <c r="M2033" s="116">
        <v>1646.9</v>
      </c>
      <c r="N2033" s="116">
        <v>1664.85</v>
      </c>
      <c r="O2033" s="116">
        <v>1626.45</v>
      </c>
      <c r="P2033" s="116">
        <v>1664.1</v>
      </c>
      <c r="Q2033" s="116">
        <v>1646.9</v>
      </c>
      <c r="R2033">
        <v>88218</v>
      </c>
    </row>
    <row r="2034" spans="1:18" x14ac:dyDescent="0.25">
      <c r="A2034" s="170">
        <v>44998</v>
      </c>
      <c r="B2034" s="116">
        <v>1630.15</v>
      </c>
      <c r="C2034" s="116">
        <v>1582.3</v>
      </c>
      <c r="D2034" s="116">
        <v>1553.55</v>
      </c>
      <c r="E2034" s="116">
        <v>1580</v>
      </c>
      <c r="F2034" s="116">
        <v>1582.3</v>
      </c>
      <c r="G2034">
        <v>23503</v>
      </c>
      <c r="H2034" s="116"/>
      <c r="I2034" s="116"/>
      <c r="L2034" s="170">
        <v>44998</v>
      </c>
      <c r="M2034" s="116">
        <v>1580.2</v>
      </c>
      <c r="N2034" s="116">
        <v>1634</v>
      </c>
      <c r="O2034" s="116">
        <v>1554.05</v>
      </c>
      <c r="P2034" s="116">
        <v>1600.2</v>
      </c>
      <c r="Q2034" s="116">
        <v>1580.2</v>
      </c>
      <c r="R2034">
        <v>454437</v>
      </c>
    </row>
    <row r="2035" spans="1:18" x14ac:dyDescent="0.25">
      <c r="A2035" s="170">
        <v>44999</v>
      </c>
      <c r="B2035" s="116">
        <v>1617.7</v>
      </c>
      <c r="C2035" s="116">
        <v>1598.3</v>
      </c>
      <c r="D2035" s="116">
        <v>1561.05</v>
      </c>
      <c r="E2035" s="116">
        <v>1561.05</v>
      </c>
      <c r="F2035" s="116">
        <v>1598.3</v>
      </c>
      <c r="G2035">
        <v>15907</v>
      </c>
      <c r="H2035" s="116"/>
      <c r="I2035" s="116"/>
      <c r="L2035" s="170">
        <v>44999</v>
      </c>
      <c r="M2035" s="116">
        <v>1595.45</v>
      </c>
      <c r="N2035" s="116">
        <v>1609.1</v>
      </c>
      <c r="O2035" s="116">
        <v>1561.25</v>
      </c>
      <c r="P2035" s="116">
        <v>1581.25</v>
      </c>
      <c r="Q2035" s="116">
        <v>1595.45</v>
      </c>
      <c r="R2035">
        <v>99081</v>
      </c>
    </row>
    <row r="2036" spans="1:18" x14ac:dyDescent="0.25">
      <c r="A2036" s="170">
        <v>45000</v>
      </c>
      <c r="B2036" s="116">
        <v>1623.15</v>
      </c>
      <c r="C2036" s="116">
        <v>1594.55</v>
      </c>
      <c r="D2036" s="116">
        <v>1588.7</v>
      </c>
      <c r="E2036" s="116">
        <v>1596</v>
      </c>
      <c r="F2036" s="116">
        <v>1594.55</v>
      </c>
      <c r="G2036">
        <v>10326</v>
      </c>
      <c r="H2036" s="116"/>
      <c r="I2036" s="116"/>
      <c r="L2036" s="170">
        <v>45000</v>
      </c>
      <c r="M2036" s="116">
        <v>1599.1</v>
      </c>
      <c r="N2036" s="116">
        <v>1623.6</v>
      </c>
      <c r="O2036" s="116">
        <v>1589</v>
      </c>
      <c r="P2036" s="116">
        <v>1609.7</v>
      </c>
      <c r="Q2036" s="116">
        <v>1599.1</v>
      </c>
      <c r="R2036">
        <v>83380</v>
      </c>
    </row>
    <row r="2037" spans="1:18" x14ac:dyDescent="0.25">
      <c r="A2037" s="170">
        <v>45001</v>
      </c>
      <c r="B2037" s="116">
        <v>1615.1</v>
      </c>
      <c r="C2037" s="116">
        <v>1597.65</v>
      </c>
      <c r="D2037" s="116">
        <v>1593.3</v>
      </c>
      <c r="E2037" s="116">
        <v>1598</v>
      </c>
      <c r="F2037" s="116">
        <v>1597.65</v>
      </c>
      <c r="G2037">
        <v>1965</v>
      </c>
      <c r="H2037" s="116"/>
      <c r="I2037" s="116"/>
      <c r="L2037" s="170">
        <v>45001</v>
      </c>
      <c r="M2037" s="116">
        <v>1598.65</v>
      </c>
      <c r="N2037" s="116">
        <v>1616</v>
      </c>
      <c r="O2037" s="116">
        <v>1591.05</v>
      </c>
      <c r="P2037" s="116">
        <v>1599.8</v>
      </c>
      <c r="Q2037" s="116">
        <v>1598.65</v>
      </c>
      <c r="R2037">
        <v>109251</v>
      </c>
    </row>
    <row r="2038" spans="1:18" x14ac:dyDescent="0.25">
      <c r="A2038" s="170">
        <v>45002</v>
      </c>
      <c r="B2038" s="116">
        <v>1623.25</v>
      </c>
      <c r="C2038" s="116">
        <v>1620.95</v>
      </c>
      <c r="D2038" s="116">
        <v>1599.05</v>
      </c>
      <c r="E2038" s="116">
        <v>1599.05</v>
      </c>
      <c r="F2038" s="116">
        <v>1620.95</v>
      </c>
      <c r="G2038">
        <v>1970</v>
      </c>
      <c r="H2038" s="116"/>
      <c r="I2038" s="116"/>
      <c r="L2038" s="170">
        <v>45002</v>
      </c>
      <c r="M2038" s="116">
        <v>1619.95</v>
      </c>
      <c r="N2038" s="116">
        <v>1623.25</v>
      </c>
      <c r="O2038" s="116">
        <v>1603</v>
      </c>
      <c r="P2038" s="116">
        <v>1617.4</v>
      </c>
      <c r="Q2038" s="116">
        <v>1619.95</v>
      </c>
      <c r="R2038">
        <v>73572</v>
      </c>
    </row>
    <row r="2039" spans="1:18" x14ac:dyDescent="0.25">
      <c r="A2039" s="170">
        <v>45005</v>
      </c>
      <c r="B2039" s="116">
        <v>1608.1</v>
      </c>
      <c r="C2039" s="116">
        <v>1596.25</v>
      </c>
      <c r="D2039" s="116">
        <v>1571.8</v>
      </c>
      <c r="E2039" s="116">
        <v>1581.1</v>
      </c>
      <c r="F2039" s="116">
        <v>1596.25</v>
      </c>
      <c r="G2039">
        <v>12646</v>
      </c>
      <c r="H2039" s="116"/>
      <c r="I2039" s="116"/>
      <c r="L2039" s="170">
        <v>45005</v>
      </c>
      <c r="M2039" s="116">
        <v>1596.35</v>
      </c>
      <c r="N2039" s="116">
        <v>1608.45</v>
      </c>
      <c r="O2039" s="116">
        <v>1557.05</v>
      </c>
      <c r="P2039" s="116">
        <v>1599.85</v>
      </c>
      <c r="Q2039" s="116">
        <v>1596.35</v>
      </c>
      <c r="R2039">
        <v>93270</v>
      </c>
    </row>
    <row r="2040" spans="1:18" x14ac:dyDescent="0.25">
      <c r="A2040" s="170">
        <v>45006</v>
      </c>
      <c r="B2040" s="116">
        <v>1629</v>
      </c>
      <c r="C2040" s="116">
        <v>1611.25</v>
      </c>
      <c r="D2040" s="116">
        <v>1592.6</v>
      </c>
      <c r="E2040" s="116">
        <v>1601.45</v>
      </c>
      <c r="F2040" s="116">
        <v>1611.25</v>
      </c>
      <c r="G2040">
        <v>4061</v>
      </c>
      <c r="H2040" s="116"/>
      <c r="I2040" s="116"/>
      <c r="L2040" s="170">
        <v>45006</v>
      </c>
      <c r="M2040" s="116">
        <v>1614.9</v>
      </c>
      <c r="N2040" s="116">
        <v>1629.7</v>
      </c>
      <c r="O2040" s="116">
        <v>1591.25</v>
      </c>
      <c r="P2040" s="116">
        <v>1596.35</v>
      </c>
      <c r="Q2040" s="116">
        <v>1614.9</v>
      </c>
      <c r="R2040">
        <v>78279</v>
      </c>
    </row>
    <row r="2041" spans="1:18" x14ac:dyDescent="0.25">
      <c r="A2041" s="170">
        <v>45007</v>
      </c>
      <c r="B2041" s="116">
        <v>1650.8</v>
      </c>
      <c r="C2041" s="116">
        <v>1641.15</v>
      </c>
      <c r="D2041" s="116">
        <v>1612.75</v>
      </c>
      <c r="E2041" s="116">
        <v>1629.95</v>
      </c>
      <c r="F2041" s="116">
        <v>1641.15</v>
      </c>
      <c r="G2041">
        <v>3550</v>
      </c>
      <c r="H2041" s="116"/>
      <c r="I2041" s="116"/>
      <c r="L2041" s="170">
        <v>45007</v>
      </c>
      <c r="M2041" s="116">
        <v>1641.2</v>
      </c>
      <c r="N2041" s="116">
        <v>1652.3</v>
      </c>
      <c r="O2041" s="116">
        <v>1611.5</v>
      </c>
      <c r="P2041" s="116">
        <v>1615</v>
      </c>
      <c r="Q2041" s="116">
        <v>1641.2</v>
      </c>
      <c r="R2041">
        <v>75408</v>
      </c>
    </row>
    <row r="2042" spans="1:18" x14ac:dyDescent="0.25">
      <c r="A2042" s="170">
        <v>45008</v>
      </c>
      <c r="B2042" s="116">
        <v>1657.3</v>
      </c>
      <c r="C2042" s="116">
        <v>1651.9</v>
      </c>
      <c r="D2042" s="116">
        <v>1630.7</v>
      </c>
      <c r="E2042" s="116">
        <v>1631.2</v>
      </c>
      <c r="F2042" s="116">
        <v>1651.9</v>
      </c>
      <c r="G2042">
        <v>1814</v>
      </c>
      <c r="H2042" s="116"/>
      <c r="I2042" s="116"/>
      <c r="L2042" s="170">
        <v>45008</v>
      </c>
      <c r="M2042" s="116">
        <v>1652.15</v>
      </c>
      <c r="N2042" s="116">
        <v>1657.9</v>
      </c>
      <c r="O2042" s="116">
        <v>1630.05</v>
      </c>
      <c r="P2042" s="116">
        <v>1640</v>
      </c>
      <c r="Q2042" s="116">
        <v>1652.15</v>
      </c>
      <c r="R2042">
        <v>72027</v>
      </c>
    </row>
    <row r="2043" spans="1:18" x14ac:dyDescent="0.25">
      <c r="A2043" s="170">
        <v>45009</v>
      </c>
      <c r="B2043" s="116">
        <v>1685.2</v>
      </c>
      <c r="C2043" s="116">
        <v>1663.95</v>
      </c>
      <c r="D2043" s="116">
        <v>1654.5</v>
      </c>
      <c r="E2043" s="116">
        <v>1685.2</v>
      </c>
      <c r="F2043" s="116">
        <v>1663.95</v>
      </c>
      <c r="G2043">
        <v>2618</v>
      </c>
      <c r="H2043" s="116"/>
      <c r="I2043" s="116"/>
      <c r="L2043" s="170">
        <v>45009</v>
      </c>
      <c r="M2043" s="116">
        <v>1662.3</v>
      </c>
      <c r="N2043" s="116">
        <v>1681.9</v>
      </c>
      <c r="O2043" s="116">
        <v>1652.15</v>
      </c>
      <c r="P2043" s="116">
        <v>1652.15</v>
      </c>
      <c r="Q2043" s="116">
        <v>1662.3</v>
      </c>
      <c r="R2043">
        <v>123028</v>
      </c>
    </row>
    <row r="2044" spans="1:18" x14ac:dyDescent="0.25">
      <c r="A2044" s="170">
        <v>45012</v>
      </c>
      <c r="B2044" s="116">
        <v>1679</v>
      </c>
      <c r="C2044" s="116">
        <v>1674.75</v>
      </c>
      <c r="D2044" s="116">
        <v>1626.1</v>
      </c>
      <c r="E2044" s="116">
        <v>1662.05</v>
      </c>
      <c r="F2044" s="116">
        <v>1674.75</v>
      </c>
      <c r="G2044">
        <v>10068</v>
      </c>
      <c r="H2044" s="116"/>
      <c r="I2044" s="116"/>
      <c r="L2044" s="170">
        <v>45012</v>
      </c>
      <c r="M2044" s="116">
        <v>1675.4</v>
      </c>
      <c r="N2044" s="116">
        <v>1679.95</v>
      </c>
      <c r="O2044" s="116">
        <v>1626.15</v>
      </c>
      <c r="P2044" s="116">
        <v>1669.9</v>
      </c>
      <c r="Q2044" s="116">
        <v>1675.4</v>
      </c>
      <c r="R2044">
        <v>76450</v>
      </c>
    </row>
    <row r="2045" spans="1:18" x14ac:dyDescent="0.25">
      <c r="A2045" s="170">
        <v>45013</v>
      </c>
      <c r="B2045" s="116">
        <v>1692</v>
      </c>
      <c r="C2045" s="116">
        <v>1657.8</v>
      </c>
      <c r="D2045" s="116">
        <v>1649.2</v>
      </c>
      <c r="E2045" s="116">
        <v>1675.05</v>
      </c>
      <c r="F2045" s="116">
        <v>1657.8</v>
      </c>
      <c r="G2045">
        <v>2333</v>
      </c>
      <c r="H2045" s="116"/>
      <c r="I2045" s="116"/>
      <c r="L2045" s="170">
        <v>45013</v>
      </c>
      <c r="M2045" s="116">
        <v>1661.55</v>
      </c>
      <c r="N2045" s="116">
        <v>1692.3</v>
      </c>
      <c r="O2045" s="116">
        <v>1648</v>
      </c>
      <c r="P2045" s="116">
        <v>1680.95</v>
      </c>
      <c r="Q2045" s="116">
        <v>1661.55</v>
      </c>
      <c r="R2045">
        <v>69701</v>
      </c>
    </row>
    <row r="2046" spans="1:18" x14ac:dyDescent="0.25">
      <c r="A2046" s="170">
        <v>45014</v>
      </c>
      <c r="B2046" s="116">
        <v>1727.25</v>
      </c>
      <c r="C2046" s="116">
        <v>1701.65</v>
      </c>
      <c r="D2046" s="116">
        <v>1663.35</v>
      </c>
      <c r="E2046" s="116">
        <v>1663.35</v>
      </c>
      <c r="F2046" s="116">
        <v>1701.65</v>
      </c>
      <c r="G2046">
        <v>65517</v>
      </c>
      <c r="H2046" s="116"/>
      <c r="I2046" s="116"/>
      <c r="L2046" s="170">
        <v>45014</v>
      </c>
      <c r="M2046" s="116">
        <v>1701.6</v>
      </c>
      <c r="N2046" s="116">
        <v>1729</v>
      </c>
      <c r="O2046" s="116">
        <v>1661.1</v>
      </c>
      <c r="P2046" s="116">
        <v>1662</v>
      </c>
      <c r="Q2046" s="116">
        <v>1701.6</v>
      </c>
      <c r="R2046">
        <v>359298</v>
      </c>
    </row>
    <row r="2047" spans="1:18" x14ac:dyDescent="0.25">
      <c r="A2047" s="170">
        <v>45016</v>
      </c>
      <c r="B2047" s="116">
        <v>1743.7</v>
      </c>
      <c r="C2047" s="116">
        <v>1699.5</v>
      </c>
      <c r="D2047" s="116">
        <v>1657.85</v>
      </c>
      <c r="E2047" s="116">
        <v>1702.05</v>
      </c>
      <c r="F2047" s="116">
        <v>1699.5</v>
      </c>
      <c r="G2047">
        <v>20999</v>
      </c>
      <c r="H2047" s="116"/>
      <c r="I2047" s="116"/>
      <c r="L2047" s="170">
        <v>45016</v>
      </c>
      <c r="M2047" s="116">
        <v>1698.65</v>
      </c>
      <c r="N2047" s="116">
        <v>1744</v>
      </c>
      <c r="O2047" s="116">
        <v>1670</v>
      </c>
      <c r="P2047" s="116">
        <v>1713.95</v>
      </c>
      <c r="Q2047" s="116">
        <v>1698.65</v>
      </c>
      <c r="R2047">
        <v>361340</v>
      </c>
    </row>
    <row r="2048" spans="1:18" x14ac:dyDescent="0.25">
      <c r="A2048" s="170">
        <v>45019</v>
      </c>
      <c r="B2048" s="116">
        <v>1714.9</v>
      </c>
      <c r="C2048" s="116">
        <v>1696.15</v>
      </c>
      <c r="D2048" s="116">
        <v>1684.8</v>
      </c>
      <c r="E2048" s="116">
        <v>1702</v>
      </c>
      <c r="F2048" s="116">
        <v>1696.15</v>
      </c>
      <c r="G2048">
        <v>6547</v>
      </c>
      <c r="H2048" s="116"/>
      <c r="I2048" s="116"/>
      <c r="L2048" s="170">
        <v>45019</v>
      </c>
      <c r="M2048" s="116">
        <v>1696.7</v>
      </c>
      <c r="N2048" s="116">
        <v>1719.2</v>
      </c>
      <c r="O2048" s="116">
        <v>1685</v>
      </c>
      <c r="P2048" s="116">
        <v>1704.95</v>
      </c>
      <c r="Q2048" s="116">
        <v>1696.7</v>
      </c>
      <c r="R2048">
        <v>59470</v>
      </c>
    </row>
    <row r="2049" spans="1:18" x14ac:dyDescent="0.25">
      <c r="A2049" s="170">
        <v>45021</v>
      </c>
      <c r="B2049" s="116">
        <v>1820</v>
      </c>
      <c r="C2049" s="116">
        <v>1745.65</v>
      </c>
      <c r="D2049" s="116">
        <v>1706.8</v>
      </c>
      <c r="E2049" s="116">
        <v>1706.8</v>
      </c>
      <c r="F2049" s="116">
        <v>1745.65</v>
      </c>
      <c r="G2049">
        <v>16282</v>
      </c>
      <c r="H2049" s="116"/>
      <c r="I2049" s="116"/>
      <c r="L2049" s="170">
        <v>45021</v>
      </c>
      <c r="M2049" s="116">
        <v>1744.35</v>
      </c>
      <c r="N2049" s="116">
        <v>1820</v>
      </c>
      <c r="O2049" s="116">
        <v>1708.6</v>
      </c>
      <c r="P2049" s="116">
        <v>1727.95</v>
      </c>
      <c r="Q2049" s="116">
        <v>1744.35</v>
      </c>
      <c r="R2049">
        <v>720665</v>
      </c>
    </row>
    <row r="2050" spans="1:18" x14ac:dyDescent="0.25">
      <c r="A2050" s="170">
        <v>45022</v>
      </c>
      <c r="B2050" s="116">
        <v>1798.9</v>
      </c>
      <c r="C2050" s="116">
        <v>1763.75</v>
      </c>
      <c r="D2050" s="116">
        <v>1714.95</v>
      </c>
      <c r="E2050" s="116">
        <v>1763</v>
      </c>
      <c r="F2050" s="116">
        <v>1763.75</v>
      </c>
      <c r="G2050">
        <v>15771</v>
      </c>
      <c r="H2050" s="116"/>
      <c r="I2050" s="116"/>
      <c r="L2050" s="170">
        <v>45022</v>
      </c>
      <c r="M2050" s="116">
        <v>1762.85</v>
      </c>
      <c r="N2050" s="116">
        <v>1798.1</v>
      </c>
      <c r="O2050" s="116">
        <v>1716.05</v>
      </c>
      <c r="P2050" s="116">
        <v>1750</v>
      </c>
      <c r="Q2050" s="116">
        <v>1762.85</v>
      </c>
      <c r="R2050">
        <v>277338</v>
      </c>
    </row>
    <row r="2051" spans="1:18" x14ac:dyDescent="0.25">
      <c r="A2051" s="170">
        <v>45026</v>
      </c>
      <c r="B2051" s="116">
        <v>1773.95</v>
      </c>
      <c r="C2051" s="116">
        <v>1709.45</v>
      </c>
      <c r="D2051" s="116">
        <v>1701.6</v>
      </c>
      <c r="E2051" s="116">
        <v>1770</v>
      </c>
      <c r="F2051" s="116">
        <v>1709.45</v>
      </c>
      <c r="G2051">
        <v>12634</v>
      </c>
      <c r="H2051" s="116"/>
      <c r="I2051" s="116"/>
      <c r="L2051" s="170">
        <v>45026</v>
      </c>
      <c r="M2051" s="116">
        <v>1709.95</v>
      </c>
      <c r="N2051" s="116">
        <v>1777.95</v>
      </c>
      <c r="O2051" s="116">
        <v>1702.6</v>
      </c>
      <c r="P2051" s="116">
        <v>1777.95</v>
      </c>
      <c r="Q2051" s="116">
        <v>1709.95</v>
      </c>
      <c r="R2051">
        <v>157893</v>
      </c>
    </row>
    <row r="2052" spans="1:18" x14ac:dyDescent="0.25">
      <c r="A2052" s="170">
        <v>45027</v>
      </c>
      <c r="B2052" s="116">
        <v>1769</v>
      </c>
      <c r="C2052" s="116">
        <v>1751.6</v>
      </c>
      <c r="D2052" s="116">
        <v>1710.1</v>
      </c>
      <c r="E2052" s="116">
        <v>1758.9</v>
      </c>
      <c r="F2052" s="116">
        <v>1751.6</v>
      </c>
      <c r="G2052">
        <v>7217</v>
      </c>
      <c r="H2052" s="116"/>
      <c r="I2052" s="116"/>
      <c r="L2052" s="170">
        <v>45027</v>
      </c>
      <c r="M2052" s="116">
        <v>1751.9</v>
      </c>
      <c r="N2052" s="116">
        <v>1769.85</v>
      </c>
      <c r="O2052" s="116">
        <v>1715.15</v>
      </c>
      <c r="P2052" s="116">
        <v>1719.9</v>
      </c>
      <c r="Q2052" s="116">
        <v>1751.9</v>
      </c>
      <c r="R2052">
        <v>391364</v>
      </c>
    </row>
    <row r="2053" spans="1:18" x14ac:dyDescent="0.25">
      <c r="A2053" s="170">
        <v>45028</v>
      </c>
      <c r="B2053" s="116">
        <v>1764.45</v>
      </c>
      <c r="C2053" s="116">
        <v>1752.3</v>
      </c>
      <c r="D2053" s="116">
        <v>1742.2</v>
      </c>
      <c r="E2053" s="116">
        <v>1751</v>
      </c>
      <c r="F2053" s="116">
        <v>1752.3</v>
      </c>
      <c r="G2053">
        <v>2133</v>
      </c>
      <c r="H2053" s="116"/>
      <c r="I2053" s="116"/>
      <c r="L2053" s="170">
        <v>45028</v>
      </c>
      <c r="M2053" s="116">
        <v>1753.15</v>
      </c>
      <c r="N2053" s="116">
        <v>1766.9</v>
      </c>
      <c r="O2053" s="116">
        <v>1742</v>
      </c>
      <c r="P2053" s="116">
        <v>1752</v>
      </c>
      <c r="Q2053" s="116">
        <v>1753.15</v>
      </c>
      <c r="R2053">
        <v>53868</v>
      </c>
    </row>
    <row r="2054" spans="1:18" x14ac:dyDescent="0.25">
      <c r="A2054" s="170">
        <v>45029</v>
      </c>
      <c r="B2054" s="116">
        <v>1775.35</v>
      </c>
      <c r="C2054" s="116">
        <v>1745.7</v>
      </c>
      <c r="D2054" s="116">
        <v>1733.5</v>
      </c>
      <c r="E2054" s="116">
        <v>1750.35</v>
      </c>
      <c r="F2054" s="116">
        <v>1745.7</v>
      </c>
      <c r="G2054">
        <v>4250</v>
      </c>
      <c r="H2054" s="116"/>
      <c r="I2054" s="116"/>
      <c r="L2054" s="170">
        <v>45029</v>
      </c>
      <c r="M2054" s="116">
        <v>1753.95</v>
      </c>
      <c r="N2054" s="116">
        <v>1779.1</v>
      </c>
      <c r="O2054" s="116">
        <v>1745.85</v>
      </c>
      <c r="P2054" s="116">
        <v>1755</v>
      </c>
      <c r="Q2054" s="116">
        <v>1753.95</v>
      </c>
      <c r="R2054">
        <v>70383</v>
      </c>
    </row>
    <row r="2055" spans="1:18" x14ac:dyDescent="0.25">
      <c r="A2055" s="170">
        <v>45033</v>
      </c>
      <c r="B2055" s="116">
        <v>1783.75</v>
      </c>
      <c r="C2055" s="116">
        <v>1776.75</v>
      </c>
      <c r="D2055" s="116">
        <v>1742.55</v>
      </c>
      <c r="E2055" s="116">
        <v>1751.2</v>
      </c>
      <c r="F2055" s="116">
        <v>1776.75</v>
      </c>
      <c r="G2055">
        <v>4192</v>
      </c>
      <c r="H2055" s="116"/>
      <c r="I2055" s="116"/>
      <c r="L2055" s="170">
        <v>45033</v>
      </c>
      <c r="M2055" s="116">
        <v>1779.65</v>
      </c>
      <c r="N2055" s="116">
        <v>1787.05</v>
      </c>
      <c r="O2055" s="116">
        <v>1742.1</v>
      </c>
      <c r="P2055" s="116">
        <v>1770</v>
      </c>
      <c r="Q2055" s="116">
        <v>1779.65</v>
      </c>
      <c r="R2055">
        <v>108128</v>
      </c>
    </row>
    <row r="2056" spans="1:18" x14ac:dyDescent="0.25">
      <c r="A2056" s="170">
        <v>45034</v>
      </c>
      <c r="B2056" s="116">
        <v>1791.95</v>
      </c>
      <c r="C2056" s="116">
        <v>1778.8</v>
      </c>
      <c r="D2056" s="116">
        <v>1744.1</v>
      </c>
      <c r="E2056" s="116">
        <v>1744.1</v>
      </c>
      <c r="F2056" s="116">
        <v>1778.8</v>
      </c>
      <c r="G2056">
        <v>4738</v>
      </c>
      <c r="H2056" s="116"/>
      <c r="I2056" s="116"/>
      <c r="L2056" s="170">
        <v>45034</v>
      </c>
      <c r="M2056" s="116">
        <v>1779.75</v>
      </c>
      <c r="N2056" s="116">
        <v>1792.55</v>
      </c>
      <c r="O2056" s="116">
        <v>1768.1</v>
      </c>
      <c r="P2056" s="116">
        <v>1790</v>
      </c>
      <c r="Q2056" s="116">
        <v>1779.75</v>
      </c>
      <c r="R2056">
        <v>79674</v>
      </c>
    </row>
    <row r="2057" spans="1:18" x14ac:dyDescent="0.25">
      <c r="A2057" s="170">
        <v>45035</v>
      </c>
      <c r="B2057" s="116">
        <v>1777.55</v>
      </c>
      <c r="C2057" s="116">
        <v>1750.55</v>
      </c>
      <c r="D2057" s="116">
        <v>1715.55</v>
      </c>
      <c r="E2057" s="116">
        <v>1715.55</v>
      </c>
      <c r="F2057" s="116">
        <v>1750.55</v>
      </c>
      <c r="G2057">
        <v>3273</v>
      </c>
      <c r="H2057" s="116"/>
      <c r="I2057" s="116"/>
      <c r="L2057" s="170">
        <v>45035</v>
      </c>
      <c r="M2057" s="116">
        <v>1751.55</v>
      </c>
      <c r="N2057" s="116">
        <v>1775.25</v>
      </c>
      <c r="O2057" s="116">
        <v>1745.1</v>
      </c>
      <c r="P2057" s="116">
        <v>1775.1</v>
      </c>
      <c r="Q2057" s="116">
        <v>1751.55</v>
      </c>
      <c r="R2057">
        <v>110504</v>
      </c>
    </row>
    <row r="2058" spans="1:18" x14ac:dyDescent="0.25">
      <c r="A2058" s="170">
        <v>45036</v>
      </c>
      <c r="B2058" s="116">
        <v>1760.4</v>
      </c>
      <c r="C2058" s="116">
        <v>1739.7</v>
      </c>
      <c r="D2058" s="116">
        <v>1715.55</v>
      </c>
      <c r="E2058" s="116">
        <v>1750.3</v>
      </c>
      <c r="F2058" s="116">
        <v>1739.7</v>
      </c>
      <c r="G2058">
        <v>3237</v>
      </c>
      <c r="H2058" s="116"/>
      <c r="I2058" s="116"/>
      <c r="L2058" s="170">
        <v>45036</v>
      </c>
      <c r="M2058" s="116">
        <v>1738</v>
      </c>
      <c r="N2058" s="116">
        <v>1763.25</v>
      </c>
      <c r="O2058" s="116">
        <v>1715.2</v>
      </c>
      <c r="P2058" s="116">
        <v>1763.25</v>
      </c>
      <c r="Q2058" s="116">
        <v>1738</v>
      </c>
      <c r="R2058">
        <v>182620</v>
      </c>
    </row>
    <row r="2059" spans="1:18" x14ac:dyDescent="0.25">
      <c r="A2059" s="170">
        <v>45037</v>
      </c>
      <c r="B2059" s="116">
        <v>1763</v>
      </c>
      <c r="C2059" s="116">
        <v>1745.45</v>
      </c>
      <c r="D2059" s="116">
        <v>1715.4</v>
      </c>
      <c r="E2059" s="116">
        <v>1715.4</v>
      </c>
      <c r="F2059" s="116">
        <v>1745.45</v>
      </c>
      <c r="G2059">
        <v>4102</v>
      </c>
      <c r="H2059" s="116"/>
      <c r="I2059" s="116"/>
      <c r="L2059" s="170">
        <v>45037</v>
      </c>
      <c r="M2059" s="116">
        <v>1749.15</v>
      </c>
      <c r="N2059" s="116">
        <v>1764.2</v>
      </c>
      <c r="O2059" s="116">
        <v>1739.35</v>
      </c>
      <c r="P2059" s="116">
        <v>1759</v>
      </c>
      <c r="Q2059" s="116">
        <v>1749.15</v>
      </c>
      <c r="R2059">
        <v>66898</v>
      </c>
    </row>
    <row r="2060" spans="1:18" x14ac:dyDescent="0.25">
      <c r="A2060" s="170">
        <v>45040</v>
      </c>
      <c r="B2060" s="116">
        <v>1794</v>
      </c>
      <c r="C2060" s="116">
        <v>1790.85</v>
      </c>
      <c r="D2060" s="116">
        <v>1748.45</v>
      </c>
      <c r="E2060" s="116">
        <v>1757</v>
      </c>
      <c r="F2060" s="116">
        <v>1790.85</v>
      </c>
      <c r="G2060">
        <v>3212</v>
      </c>
      <c r="H2060" s="116"/>
      <c r="I2060" s="116"/>
      <c r="L2060" s="170">
        <v>45040</v>
      </c>
      <c r="M2060" s="116">
        <v>1790.1</v>
      </c>
      <c r="N2060" s="116">
        <v>1795</v>
      </c>
      <c r="O2060" s="116">
        <v>1748.5</v>
      </c>
      <c r="P2060" s="116">
        <v>1761</v>
      </c>
      <c r="Q2060" s="116">
        <v>1790.1</v>
      </c>
      <c r="R2060">
        <v>193396</v>
      </c>
    </row>
    <row r="2061" spans="1:18" x14ac:dyDescent="0.25">
      <c r="A2061" s="170">
        <v>45041</v>
      </c>
      <c r="B2061" s="116">
        <v>1800</v>
      </c>
      <c r="C2061" s="116">
        <v>1787.7</v>
      </c>
      <c r="D2061" s="116">
        <v>1775.15</v>
      </c>
      <c r="E2061" s="116">
        <v>1790.05</v>
      </c>
      <c r="F2061" s="116">
        <v>1787.7</v>
      </c>
      <c r="G2061">
        <v>6800</v>
      </c>
      <c r="H2061" s="116"/>
      <c r="I2061" s="116"/>
      <c r="L2061" s="170">
        <v>45041</v>
      </c>
      <c r="M2061" s="116">
        <v>1789.5</v>
      </c>
      <c r="N2061" s="116">
        <v>1800</v>
      </c>
      <c r="O2061" s="116">
        <v>1775.4</v>
      </c>
      <c r="P2061" s="116">
        <v>1799</v>
      </c>
      <c r="Q2061" s="116">
        <v>1789.5</v>
      </c>
      <c r="R2061">
        <v>194735</v>
      </c>
    </row>
    <row r="2062" spans="1:18" x14ac:dyDescent="0.25">
      <c r="A2062" s="170">
        <v>45042</v>
      </c>
      <c r="B2062" s="116">
        <v>1900</v>
      </c>
      <c r="C2062" s="116">
        <v>1894.4</v>
      </c>
      <c r="D2062" s="116">
        <v>1775</v>
      </c>
      <c r="E2062" s="116">
        <v>1785</v>
      </c>
      <c r="F2062" s="116">
        <v>1894.4</v>
      </c>
      <c r="G2062">
        <v>25674</v>
      </c>
      <c r="H2062" s="116"/>
      <c r="I2062" s="116"/>
      <c r="L2062" s="170">
        <v>45042</v>
      </c>
      <c r="M2062" s="116">
        <v>1890.65</v>
      </c>
      <c r="N2062" s="116">
        <v>1900</v>
      </c>
      <c r="O2062" s="116">
        <v>1773.2</v>
      </c>
      <c r="P2062" s="116">
        <v>1785</v>
      </c>
      <c r="Q2062" s="116">
        <v>1890.65</v>
      </c>
      <c r="R2062">
        <v>1097431</v>
      </c>
    </row>
    <row r="2063" spans="1:18" x14ac:dyDescent="0.25">
      <c r="A2063" s="170">
        <v>45043</v>
      </c>
      <c r="B2063" s="116">
        <v>1901.5</v>
      </c>
      <c r="C2063" s="116">
        <v>1898.2</v>
      </c>
      <c r="D2063" s="116">
        <v>1860.65</v>
      </c>
      <c r="E2063" s="116">
        <v>1890</v>
      </c>
      <c r="F2063" s="116">
        <v>1898.2</v>
      </c>
      <c r="G2063">
        <v>19171</v>
      </c>
      <c r="H2063" s="116"/>
      <c r="I2063" s="116"/>
      <c r="L2063" s="170">
        <v>45043</v>
      </c>
      <c r="M2063" s="116">
        <v>1898.35</v>
      </c>
      <c r="N2063" s="116">
        <v>1901</v>
      </c>
      <c r="O2063" s="116">
        <v>1865</v>
      </c>
      <c r="P2063" s="116">
        <v>1890</v>
      </c>
      <c r="Q2063" s="116">
        <v>1898.35</v>
      </c>
      <c r="R2063">
        <v>165034</v>
      </c>
    </row>
    <row r="2064" spans="1:18" x14ac:dyDescent="0.25">
      <c r="A2064" s="170">
        <v>45044</v>
      </c>
      <c r="B2064" s="116">
        <v>1921</v>
      </c>
      <c r="C2064" s="116">
        <v>1897.15</v>
      </c>
      <c r="D2064" s="116">
        <v>1880.8</v>
      </c>
      <c r="E2064" s="116">
        <v>1880.8</v>
      </c>
      <c r="F2064" s="116">
        <v>1897.15</v>
      </c>
      <c r="G2064">
        <v>9125</v>
      </c>
      <c r="H2064" s="116"/>
      <c r="I2064" s="116"/>
      <c r="L2064" s="170">
        <v>45044</v>
      </c>
      <c r="M2064" s="116">
        <v>1895.05</v>
      </c>
      <c r="N2064" s="116">
        <v>1922.55</v>
      </c>
      <c r="O2064" s="116">
        <v>1883.05</v>
      </c>
      <c r="P2064" s="116">
        <v>1900.45</v>
      </c>
      <c r="Q2064" s="116">
        <v>1895.05</v>
      </c>
      <c r="R2064">
        <v>275394</v>
      </c>
    </row>
    <row r="2065" spans="1:18" x14ac:dyDescent="0.25">
      <c r="A2065" s="170">
        <v>45048</v>
      </c>
      <c r="B2065" s="116">
        <v>1931.4</v>
      </c>
      <c r="C2065" s="116">
        <v>1882.6</v>
      </c>
      <c r="D2065" s="116">
        <v>1865</v>
      </c>
      <c r="E2065" s="116">
        <v>1916.05</v>
      </c>
      <c r="F2065" s="116">
        <v>1882.6</v>
      </c>
      <c r="G2065">
        <v>17780</v>
      </c>
      <c r="H2065" s="116"/>
      <c r="I2065" s="116"/>
      <c r="L2065" s="170">
        <v>45048</v>
      </c>
      <c r="M2065" s="116">
        <v>1883.5</v>
      </c>
      <c r="N2065" s="116">
        <v>1940</v>
      </c>
      <c r="O2065" s="116">
        <v>1860</v>
      </c>
      <c r="P2065" s="116">
        <v>1924</v>
      </c>
      <c r="Q2065" s="116">
        <v>1883.5</v>
      </c>
      <c r="R2065">
        <v>222312</v>
      </c>
    </row>
    <row r="2066" spans="1:18" x14ac:dyDescent="0.25">
      <c r="A2066" s="170">
        <v>45049</v>
      </c>
      <c r="B2066" s="116">
        <v>1940.05</v>
      </c>
      <c r="C2066" s="116">
        <v>1839.4</v>
      </c>
      <c r="D2066" s="116">
        <v>1827.05</v>
      </c>
      <c r="E2066" s="116">
        <v>1940.05</v>
      </c>
      <c r="F2066" s="116">
        <v>1839.4</v>
      </c>
      <c r="G2066">
        <v>11073</v>
      </c>
      <c r="H2066" s="116"/>
      <c r="I2066" s="116"/>
      <c r="L2066" s="170">
        <v>45049</v>
      </c>
      <c r="M2066" s="116">
        <v>1836.15</v>
      </c>
      <c r="N2066" s="116">
        <v>1935</v>
      </c>
      <c r="O2066" s="116">
        <v>1825.5</v>
      </c>
      <c r="P2066" s="116">
        <v>1935</v>
      </c>
      <c r="Q2066" s="116">
        <v>1836.15</v>
      </c>
      <c r="R2066">
        <v>434582</v>
      </c>
    </row>
    <row r="2067" spans="1:18" x14ac:dyDescent="0.25">
      <c r="A2067" s="170">
        <v>45050</v>
      </c>
      <c r="B2067" s="116">
        <v>1925.4</v>
      </c>
      <c r="C2067" s="116">
        <v>1909.85</v>
      </c>
      <c r="D2067" s="116">
        <v>1801.1</v>
      </c>
      <c r="E2067" s="116">
        <v>1801.1</v>
      </c>
      <c r="F2067" s="116">
        <v>1909.85</v>
      </c>
      <c r="G2067">
        <v>24540</v>
      </c>
      <c r="H2067" s="116"/>
      <c r="I2067" s="116"/>
      <c r="L2067" s="170">
        <v>45050</v>
      </c>
      <c r="M2067" s="116">
        <v>1911.35</v>
      </c>
      <c r="N2067" s="116">
        <v>1931.6</v>
      </c>
      <c r="O2067" s="116">
        <v>1817.5</v>
      </c>
      <c r="P2067" s="116">
        <v>1836.15</v>
      </c>
      <c r="Q2067" s="116">
        <v>1911.35</v>
      </c>
      <c r="R2067">
        <v>277814</v>
      </c>
    </row>
    <row r="2068" spans="1:18" x14ac:dyDescent="0.25">
      <c r="A2068" s="170">
        <v>45051</v>
      </c>
      <c r="B2068" s="116">
        <v>1998</v>
      </c>
      <c r="C2068" s="116">
        <v>1942.65</v>
      </c>
      <c r="D2068" s="116">
        <v>1912.8</v>
      </c>
      <c r="E2068" s="116">
        <v>1928.95</v>
      </c>
      <c r="F2068" s="116">
        <v>1942.65</v>
      </c>
      <c r="G2068">
        <v>10442</v>
      </c>
      <c r="H2068" s="116"/>
      <c r="I2068" s="116"/>
      <c r="L2068" s="170">
        <v>45051</v>
      </c>
      <c r="M2068" s="116">
        <v>1936.4</v>
      </c>
      <c r="N2068" s="116">
        <v>1999</v>
      </c>
      <c r="O2068" s="116">
        <v>1910.85</v>
      </c>
      <c r="P2068" s="116">
        <v>1913.05</v>
      </c>
      <c r="Q2068" s="116">
        <v>1936.4</v>
      </c>
      <c r="R2068">
        <v>540972</v>
      </c>
    </row>
    <row r="2069" spans="1:18" x14ac:dyDescent="0.25">
      <c r="A2069" s="170">
        <v>45054</v>
      </c>
      <c r="B2069" s="116">
        <v>2008.45</v>
      </c>
      <c r="C2069" s="116">
        <v>1984.3</v>
      </c>
      <c r="D2069" s="116">
        <v>1929.55</v>
      </c>
      <c r="E2069" s="116">
        <v>1957.65</v>
      </c>
      <c r="F2069" s="116">
        <v>1984.3</v>
      </c>
      <c r="G2069">
        <v>30908</v>
      </c>
      <c r="H2069" s="116"/>
      <c r="I2069" s="116"/>
      <c r="L2069" s="170">
        <v>45054</v>
      </c>
      <c r="M2069" s="116">
        <v>1986.9</v>
      </c>
      <c r="N2069" s="116">
        <v>2009</v>
      </c>
      <c r="O2069" s="116">
        <v>1931</v>
      </c>
      <c r="P2069" s="116">
        <v>1953</v>
      </c>
      <c r="Q2069" s="116">
        <v>1986.9</v>
      </c>
      <c r="R2069">
        <v>447623</v>
      </c>
    </row>
    <row r="2070" spans="1:18" x14ac:dyDescent="0.25">
      <c r="A2070" s="170">
        <v>45055</v>
      </c>
      <c r="B2070" s="116">
        <v>2094.65</v>
      </c>
      <c r="C2070" s="116">
        <v>2071.6999999999998</v>
      </c>
      <c r="D2070" s="116">
        <v>1998.45</v>
      </c>
      <c r="E2070" s="116">
        <v>2000</v>
      </c>
      <c r="F2070" s="116">
        <v>2071.6999999999998</v>
      </c>
      <c r="G2070">
        <v>8990</v>
      </c>
      <c r="H2070" s="116"/>
      <c r="I2070" s="116"/>
      <c r="L2070" s="170">
        <v>45055</v>
      </c>
      <c r="M2070" s="116">
        <v>2069.9499999999998</v>
      </c>
      <c r="N2070" s="116">
        <v>2095</v>
      </c>
      <c r="O2070" s="116">
        <v>1992.35</v>
      </c>
      <c r="P2070" s="116">
        <v>2004.1</v>
      </c>
      <c r="Q2070" s="116">
        <v>2069.9499999999998</v>
      </c>
      <c r="R2070">
        <v>381103</v>
      </c>
    </row>
    <row r="2071" spans="1:18" x14ac:dyDescent="0.25">
      <c r="A2071" s="170">
        <v>45056</v>
      </c>
      <c r="B2071" s="116">
        <v>2081.5500000000002</v>
      </c>
      <c r="C2071" s="116">
        <v>1974.9</v>
      </c>
      <c r="D2071" s="116">
        <v>1926.15</v>
      </c>
      <c r="E2071" s="116">
        <v>2071.6999999999998</v>
      </c>
      <c r="F2071" s="116">
        <v>1974.9</v>
      </c>
      <c r="G2071">
        <v>21414</v>
      </c>
      <c r="H2071" s="116"/>
      <c r="I2071" s="116"/>
      <c r="L2071" s="170">
        <v>45056</v>
      </c>
      <c r="M2071" s="116">
        <v>1979.2</v>
      </c>
      <c r="N2071" s="116">
        <v>2090</v>
      </c>
      <c r="O2071" s="116">
        <v>1925</v>
      </c>
      <c r="P2071" s="116">
        <v>2075.0500000000002</v>
      </c>
      <c r="Q2071" s="116">
        <v>1979.2</v>
      </c>
      <c r="R2071">
        <v>281618</v>
      </c>
    </row>
    <row r="2072" spans="1:18" x14ac:dyDescent="0.25">
      <c r="A2072" s="170">
        <v>45057</v>
      </c>
      <c r="B2072" s="116">
        <v>2095</v>
      </c>
      <c r="C2072" s="116">
        <v>2075.9</v>
      </c>
      <c r="D2072" s="116">
        <v>1966.1</v>
      </c>
      <c r="E2072" s="116">
        <v>2004.95</v>
      </c>
      <c r="F2072" s="116">
        <v>2075.9</v>
      </c>
      <c r="G2072">
        <v>8710</v>
      </c>
      <c r="H2072" s="116"/>
      <c r="I2072" s="116"/>
      <c r="L2072" s="170">
        <v>45057</v>
      </c>
      <c r="M2072" s="116">
        <v>2074.5500000000002</v>
      </c>
      <c r="N2072" s="116">
        <v>2097</v>
      </c>
      <c r="O2072" s="116">
        <v>1965.5</v>
      </c>
      <c r="P2072" s="116">
        <v>1997.65</v>
      </c>
      <c r="Q2072" s="116">
        <v>2074.5500000000002</v>
      </c>
      <c r="R2072">
        <v>276335</v>
      </c>
    </row>
    <row r="2073" spans="1:18" x14ac:dyDescent="0.25">
      <c r="A2073" s="170">
        <v>45058</v>
      </c>
      <c r="B2073" s="116">
        <v>2080</v>
      </c>
      <c r="C2073" s="116">
        <v>2034.85</v>
      </c>
      <c r="D2073" s="116">
        <v>2030.05</v>
      </c>
      <c r="E2073" s="116">
        <v>2080</v>
      </c>
      <c r="F2073" s="116">
        <v>2034.85</v>
      </c>
      <c r="G2073">
        <v>8892</v>
      </c>
      <c r="H2073" s="116"/>
      <c r="I2073" s="116"/>
      <c r="L2073" s="170">
        <v>45058</v>
      </c>
      <c r="M2073" s="116">
        <v>2034</v>
      </c>
      <c r="N2073" s="116">
        <v>2080</v>
      </c>
      <c r="O2073" s="116">
        <v>2025.05</v>
      </c>
      <c r="P2073" s="116">
        <v>2080</v>
      </c>
      <c r="Q2073" s="116">
        <v>2034</v>
      </c>
      <c r="R2073">
        <v>219143</v>
      </c>
    </row>
    <row r="2074" spans="1:18" x14ac:dyDescent="0.25">
      <c r="A2074" s="170">
        <v>45061</v>
      </c>
      <c r="B2074" s="116">
        <v>2045</v>
      </c>
      <c r="C2074" s="116">
        <v>2006.05</v>
      </c>
      <c r="D2074" s="116">
        <v>1996</v>
      </c>
      <c r="E2074" s="116">
        <v>2011.05</v>
      </c>
      <c r="F2074" s="116">
        <v>2006.05</v>
      </c>
      <c r="G2074">
        <v>11883</v>
      </c>
      <c r="H2074" s="116"/>
      <c r="I2074" s="116"/>
      <c r="L2074" s="170">
        <v>45061</v>
      </c>
      <c r="M2074" s="116">
        <v>2003.15</v>
      </c>
      <c r="N2074" s="116">
        <v>2047.45</v>
      </c>
      <c r="O2074" s="116">
        <v>1994.55</v>
      </c>
      <c r="P2074" s="116">
        <v>2045</v>
      </c>
      <c r="Q2074" s="116">
        <v>2003.15</v>
      </c>
      <c r="R2074">
        <v>115021</v>
      </c>
    </row>
    <row r="2075" spans="1:18" x14ac:dyDescent="0.25">
      <c r="A2075" s="170">
        <v>45062</v>
      </c>
      <c r="B2075" s="116">
        <v>2060</v>
      </c>
      <c r="C2075" s="116">
        <v>2006.8</v>
      </c>
      <c r="D2075" s="116">
        <v>1992.5</v>
      </c>
      <c r="E2075" s="116">
        <v>2006.1</v>
      </c>
      <c r="F2075" s="116">
        <v>2006.8</v>
      </c>
      <c r="G2075">
        <v>12214</v>
      </c>
      <c r="H2075" s="116"/>
      <c r="I2075" s="116"/>
      <c r="L2075" s="170">
        <v>45062</v>
      </c>
      <c r="M2075" s="116">
        <v>2005.4</v>
      </c>
      <c r="N2075" s="116">
        <v>2060.3000000000002</v>
      </c>
      <c r="O2075" s="116">
        <v>1993.2</v>
      </c>
      <c r="P2075" s="116">
        <v>2022</v>
      </c>
      <c r="Q2075" s="116">
        <v>2005.4</v>
      </c>
      <c r="R2075">
        <v>238651</v>
      </c>
    </row>
    <row r="2076" spans="1:18" x14ac:dyDescent="0.25">
      <c r="A2076" s="170">
        <v>45063</v>
      </c>
      <c r="B2076" s="116">
        <v>2037.95</v>
      </c>
      <c r="C2076" s="116">
        <v>1971.95</v>
      </c>
      <c r="D2076" s="116">
        <v>1966.2</v>
      </c>
      <c r="E2076" s="116">
        <v>2037.95</v>
      </c>
      <c r="F2076" s="116">
        <v>1971.95</v>
      </c>
      <c r="G2076">
        <v>9315</v>
      </c>
      <c r="H2076" s="116"/>
      <c r="I2076" s="116"/>
      <c r="L2076" s="170">
        <v>45063</v>
      </c>
      <c r="M2076" s="116">
        <v>1971.8</v>
      </c>
      <c r="N2076" s="116">
        <v>2012.95</v>
      </c>
      <c r="O2076" s="116">
        <v>1965.1</v>
      </c>
      <c r="P2076" s="116">
        <v>2007.9</v>
      </c>
      <c r="Q2076" s="116">
        <v>1971.8</v>
      </c>
      <c r="R2076">
        <v>105380</v>
      </c>
    </row>
    <row r="2077" spans="1:18" x14ac:dyDescent="0.25">
      <c r="A2077" s="170">
        <v>45064</v>
      </c>
      <c r="B2077" s="116">
        <v>1978</v>
      </c>
      <c r="C2077" s="116">
        <v>1923.25</v>
      </c>
      <c r="D2077" s="116">
        <v>1912.9</v>
      </c>
      <c r="E2077" s="116">
        <v>1975.2</v>
      </c>
      <c r="F2077" s="116">
        <v>1923.25</v>
      </c>
      <c r="G2077">
        <v>15589</v>
      </c>
      <c r="H2077" s="116"/>
      <c r="I2077" s="116"/>
      <c r="L2077" s="170">
        <v>45064</v>
      </c>
      <c r="M2077" s="116">
        <v>1920.8</v>
      </c>
      <c r="N2077" s="116">
        <v>1988.95</v>
      </c>
      <c r="O2077" s="116">
        <v>1912</v>
      </c>
      <c r="P2077" s="116">
        <v>1975.2</v>
      </c>
      <c r="Q2077" s="116">
        <v>1920.8</v>
      </c>
      <c r="R2077">
        <v>296751</v>
      </c>
    </row>
    <row r="2078" spans="1:18" x14ac:dyDescent="0.25">
      <c r="A2078" s="170">
        <v>45065</v>
      </c>
      <c r="B2078" s="116">
        <v>2034.95</v>
      </c>
      <c r="C2078" s="116">
        <v>2025.8</v>
      </c>
      <c r="D2078" s="116">
        <v>1926.05</v>
      </c>
      <c r="E2078" s="116">
        <v>1926.05</v>
      </c>
      <c r="F2078" s="116">
        <v>2025.8</v>
      </c>
      <c r="G2078">
        <v>42546</v>
      </c>
      <c r="H2078" s="116"/>
      <c r="I2078" s="116"/>
      <c r="L2078" s="170">
        <v>45065</v>
      </c>
      <c r="M2078" s="116">
        <v>2024.95</v>
      </c>
      <c r="N2078" s="116">
        <v>2035</v>
      </c>
      <c r="O2078" s="116">
        <v>1930.05</v>
      </c>
      <c r="P2078" s="116">
        <v>1934.95</v>
      </c>
      <c r="Q2078" s="116">
        <v>2024.95</v>
      </c>
      <c r="R2078">
        <v>856971</v>
      </c>
    </row>
    <row r="2079" spans="1:18" x14ac:dyDescent="0.25">
      <c r="A2079" s="170">
        <v>45068</v>
      </c>
      <c r="B2079" s="116">
        <v>2047.95</v>
      </c>
      <c r="C2079" s="116">
        <v>2001.45</v>
      </c>
      <c r="D2079" s="116">
        <v>1980.4</v>
      </c>
      <c r="E2079" s="116">
        <v>2047.95</v>
      </c>
      <c r="F2079" s="116">
        <v>2001.45</v>
      </c>
      <c r="G2079">
        <v>10883</v>
      </c>
      <c r="H2079" s="116"/>
      <c r="I2079" s="116"/>
      <c r="L2079" s="170">
        <v>45068</v>
      </c>
      <c r="M2079" s="116">
        <v>2000.7</v>
      </c>
      <c r="N2079" s="116">
        <v>2036.8</v>
      </c>
      <c r="O2079" s="116">
        <v>1980</v>
      </c>
      <c r="P2079" s="116">
        <v>2036.8</v>
      </c>
      <c r="Q2079" s="116">
        <v>2000.7</v>
      </c>
      <c r="R2079">
        <v>94315</v>
      </c>
    </row>
    <row r="2080" spans="1:18" x14ac:dyDescent="0.25">
      <c r="A2080" s="170">
        <v>45069</v>
      </c>
      <c r="B2080" s="116">
        <v>2045</v>
      </c>
      <c r="C2080" s="116">
        <v>1992.95</v>
      </c>
      <c r="D2080" s="116">
        <v>1983.05</v>
      </c>
      <c r="E2080" s="116">
        <v>2007.35</v>
      </c>
      <c r="F2080" s="116">
        <v>1992.95</v>
      </c>
      <c r="G2080">
        <v>10203</v>
      </c>
      <c r="H2080" s="116"/>
      <c r="I2080" s="116"/>
      <c r="L2080" s="170">
        <v>45069</v>
      </c>
      <c r="M2080" s="116">
        <v>1994.3</v>
      </c>
      <c r="N2080" s="116">
        <v>2046</v>
      </c>
      <c r="O2080" s="116">
        <v>1982.3</v>
      </c>
      <c r="P2080" s="116">
        <v>2015.25</v>
      </c>
      <c r="Q2080" s="116">
        <v>1994.3</v>
      </c>
      <c r="R2080">
        <v>129360</v>
      </c>
    </row>
    <row r="2081" spans="1:18" x14ac:dyDescent="0.25">
      <c r="A2081" s="170">
        <v>45070</v>
      </c>
      <c r="B2081" s="116">
        <v>2039.45</v>
      </c>
      <c r="C2081" s="116">
        <v>1959.45</v>
      </c>
      <c r="D2081" s="116">
        <v>1950.25</v>
      </c>
      <c r="E2081" s="116">
        <v>2039.45</v>
      </c>
      <c r="F2081" s="116">
        <v>1959.45</v>
      </c>
      <c r="G2081">
        <v>6001</v>
      </c>
      <c r="H2081" s="116"/>
      <c r="I2081" s="116"/>
      <c r="L2081" s="170">
        <v>45070</v>
      </c>
      <c r="M2081" s="116">
        <v>1959.95</v>
      </c>
      <c r="N2081" s="116">
        <v>2026</v>
      </c>
      <c r="O2081" s="116">
        <v>1950</v>
      </c>
      <c r="P2081" s="116">
        <v>1999.8</v>
      </c>
      <c r="Q2081" s="116">
        <v>1959.95</v>
      </c>
      <c r="R2081">
        <v>146761</v>
      </c>
    </row>
    <row r="2082" spans="1:18" x14ac:dyDescent="0.25">
      <c r="A2082" s="170">
        <v>45071</v>
      </c>
      <c r="B2082" s="116">
        <v>2008.25</v>
      </c>
      <c r="C2082" s="116">
        <v>1992.55</v>
      </c>
      <c r="D2082" s="116">
        <v>1948.85</v>
      </c>
      <c r="E2082" s="116">
        <v>1959</v>
      </c>
      <c r="F2082" s="116">
        <v>1992.55</v>
      </c>
      <c r="G2082">
        <v>5314</v>
      </c>
      <c r="H2082" s="116"/>
      <c r="I2082" s="116"/>
      <c r="L2082" s="170">
        <v>45071</v>
      </c>
      <c r="M2082" s="116">
        <v>1988.6</v>
      </c>
      <c r="N2082" s="116">
        <v>2009</v>
      </c>
      <c r="O2082" s="116">
        <v>1950.05</v>
      </c>
      <c r="P2082" s="116">
        <v>1968.8</v>
      </c>
      <c r="Q2082" s="116">
        <v>1988.6</v>
      </c>
      <c r="R2082">
        <v>139853</v>
      </c>
    </row>
    <row r="2083" spans="1:18" x14ac:dyDescent="0.25">
      <c r="A2083" s="170">
        <v>45072</v>
      </c>
      <c r="B2083" s="116">
        <v>2014.85</v>
      </c>
      <c r="C2083" s="116">
        <v>2002.7</v>
      </c>
      <c r="D2083" s="116">
        <v>1971.3</v>
      </c>
      <c r="E2083" s="116">
        <v>1999.9</v>
      </c>
      <c r="F2083" s="116">
        <v>2002.7</v>
      </c>
      <c r="G2083">
        <v>11220</v>
      </c>
      <c r="H2083" s="116"/>
      <c r="I2083" s="116"/>
      <c r="L2083" s="170">
        <v>45072</v>
      </c>
      <c r="M2083" s="116">
        <v>2001.75</v>
      </c>
      <c r="N2083" s="116">
        <v>2015</v>
      </c>
      <c r="O2083" s="116">
        <v>1980</v>
      </c>
      <c r="P2083" s="116">
        <v>1996.9</v>
      </c>
      <c r="Q2083" s="116">
        <v>2001.75</v>
      </c>
      <c r="R2083">
        <v>99750</v>
      </c>
    </row>
    <row r="2084" spans="1:18" x14ac:dyDescent="0.25">
      <c r="A2084" s="170">
        <v>45075</v>
      </c>
      <c r="B2084" s="116">
        <v>2028.4</v>
      </c>
      <c r="C2084" s="116">
        <v>1991.45</v>
      </c>
      <c r="D2084" s="116">
        <v>1985</v>
      </c>
      <c r="E2084" s="116">
        <v>2017.95</v>
      </c>
      <c r="F2084" s="116">
        <v>1991.45</v>
      </c>
      <c r="G2084">
        <v>12345</v>
      </c>
      <c r="H2084" s="116"/>
      <c r="I2084" s="116"/>
      <c r="L2084" s="170">
        <v>45075</v>
      </c>
      <c r="M2084" s="116">
        <v>1993.1</v>
      </c>
      <c r="N2084" s="116">
        <v>2028.45</v>
      </c>
      <c r="O2084" s="116">
        <v>1984.2</v>
      </c>
      <c r="P2084" s="116">
        <v>2000</v>
      </c>
      <c r="Q2084" s="116">
        <v>1993.1</v>
      </c>
      <c r="R2084">
        <v>183379</v>
      </c>
    </row>
    <row r="2085" spans="1:18" x14ac:dyDescent="0.25">
      <c r="A2085" s="170">
        <v>45076</v>
      </c>
      <c r="B2085" s="116">
        <v>2018.35</v>
      </c>
      <c r="C2085" s="116">
        <v>1997.1</v>
      </c>
      <c r="D2085" s="116">
        <v>1982.05</v>
      </c>
      <c r="E2085" s="116">
        <v>1982.05</v>
      </c>
      <c r="F2085" s="116">
        <v>1997.1</v>
      </c>
      <c r="G2085">
        <v>1924</v>
      </c>
      <c r="H2085" s="116"/>
      <c r="I2085" s="116"/>
      <c r="L2085" s="170">
        <v>45076</v>
      </c>
      <c r="M2085" s="116">
        <v>1997.25</v>
      </c>
      <c r="N2085" s="116">
        <v>2020</v>
      </c>
      <c r="O2085" s="116">
        <v>1989.85</v>
      </c>
      <c r="P2085" s="116">
        <v>1993.1</v>
      </c>
      <c r="Q2085" s="116">
        <v>1997.25</v>
      </c>
      <c r="R2085">
        <v>74776</v>
      </c>
    </row>
    <row r="2086" spans="1:18" x14ac:dyDescent="0.25">
      <c r="A2086" s="170">
        <v>45077</v>
      </c>
      <c r="B2086" s="116">
        <v>2030</v>
      </c>
      <c r="C2086" s="116">
        <v>1997.1</v>
      </c>
      <c r="D2086" s="116">
        <v>1988.8</v>
      </c>
      <c r="E2086" s="116">
        <v>2003.4</v>
      </c>
      <c r="F2086" s="116">
        <v>1997.1</v>
      </c>
      <c r="G2086">
        <v>3426</v>
      </c>
      <c r="H2086" s="116"/>
      <c r="I2086" s="116"/>
      <c r="L2086" s="170">
        <v>45077</v>
      </c>
      <c r="M2086" s="116">
        <v>1997.15</v>
      </c>
      <c r="N2086" s="116">
        <v>2030</v>
      </c>
      <c r="O2086" s="116">
        <v>1987</v>
      </c>
      <c r="P2086" s="116">
        <v>2004</v>
      </c>
      <c r="Q2086" s="116">
        <v>1997.15</v>
      </c>
      <c r="R2086">
        <v>156500</v>
      </c>
    </row>
    <row r="2087" spans="1:18" x14ac:dyDescent="0.25">
      <c r="A2087" s="170">
        <v>45078</v>
      </c>
      <c r="B2087" s="116">
        <v>2068.75</v>
      </c>
      <c r="C2087" s="116">
        <v>2057</v>
      </c>
      <c r="D2087" s="116">
        <v>1990.05</v>
      </c>
      <c r="E2087" s="116">
        <v>1990.05</v>
      </c>
      <c r="F2087" s="116">
        <v>2057</v>
      </c>
      <c r="G2087">
        <v>5061</v>
      </c>
      <c r="H2087" s="116"/>
      <c r="I2087" s="116"/>
      <c r="L2087" s="170">
        <v>45078</v>
      </c>
      <c r="M2087" s="116">
        <v>2058</v>
      </c>
      <c r="N2087" s="116">
        <v>2068</v>
      </c>
      <c r="O2087" s="116">
        <v>1997</v>
      </c>
      <c r="P2087" s="116">
        <v>1997.15</v>
      </c>
      <c r="Q2087" s="116">
        <v>2058</v>
      </c>
      <c r="R2087">
        <v>306978</v>
      </c>
    </row>
    <row r="2088" spans="1:18" x14ac:dyDescent="0.25">
      <c r="A2088" s="170">
        <v>45079</v>
      </c>
      <c r="B2088" s="116">
        <v>2121</v>
      </c>
      <c r="C2088" s="116">
        <v>2094.4</v>
      </c>
      <c r="D2088" s="116">
        <v>2037.15</v>
      </c>
      <c r="E2088" s="116">
        <v>2037.15</v>
      </c>
      <c r="F2088" s="116">
        <v>2094.4</v>
      </c>
      <c r="G2088">
        <v>57440</v>
      </c>
      <c r="H2088" s="116"/>
      <c r="I2088" s="116"/>
      <c r="L2088" s="170">
        <v>45079</v>
      </c>
      <c r="M2088" s="116">
        <v>2094.3000000000002</v>
      </c>
      <c r="N2088" s="116">
        <v>2122.4</v>
      </c>
      <c r="O2088" s="116">
        <v>2050.25</v>
      </c>
      <c r="P2088" s="116">
        <v>2068.9</v>
      </c>
      <c r="Q2088" s="116">
        <v>2094.3000000000002</v>
      </c>
      <c r="R2088">
        <v>301987</v>
      </c>
    </row>
    <row r="2089" spans="1:18" x14ac:dyDescent="0.25">
      <c r="A2089" s="170">
        <v>45082</v>
      </c>
      <c r="B2089" s="116">
        <v>2145</v>
      </c>
      <c r="C2089" s="116">
        <v>2112.1999999999998</v>
      </c>
      <c r="D2089" s="116">
        <v>2095.0500000000002</v>
      </c>
      <c r="E2089" s="116">
        <v>2110</v>
      </c>
      <c r="F2089" s="116">
        <v>2112.1999999999998</v>
      </c>
      <c r="G2089">
        <v>11820</v>
      </c>
      <c r="H2089" s="116"/>
      <c r="I2089" s="116"/>
      <c r="L2089" s="170">
        <v>45082</v>
      </c>
      <c r="M2089" s="116">
        <v>2115.0500000000002</v>
      </c>
      <c r="N2089" s="116">
        <v>2144.6999999999998</v>
      </c>
      <c r="O2089" s="116">
        <v>2095.25</v>
      </c>
      <c r="P2089" s="116">
        <v>2114</v>
      </c>
      <c r="Q2089" s="116">
        <v>2115.0500000000002</v>
      </c>
      <c r="R2089">
        <v>153265</v>
      </c>
    </row>
    <row r="2090" spans="1:18" x14ac:dyDescent="0.25">
      <c r="A2090" s="170">
        <v>45083</v>
      </c>
      <c r="B2090" s="116">
        <v>2145.5500000000002</v>
      </c>
      <c r="C2090" s="116">
        <v>2092.1999999999998</v>
      </c>
      <c r="D2090" s="116">
        <v>2085.6</v>
      </c>
      <c r="E2090" s="116">
        <v>2116.0500000000002</v>
      </c>
      <c r="F2090" s="116">
        <v>2092.1999999999998</v>
      </c>
      <c r="G2090">
        <v>5261</v>
      </c>
      <c r="H2090" s="116"/>
      <c r="I2090" s="116"/>
      <c r="L2090" s="170">
        <v>45083</v>
      </c>
      <c r="M2090" s="116">
        <v>2091.9</v>
      </c>
      <c r="N2090" s="116">
        <v>2144.6999999999998</v>
      </c>
      <c r="O2090" s="116">
        <v>2085</v>
      </c>
      <c r="P2090" s="116">
        <v>2125</v>
      </c>
      <c r="Q2090" s="116">
        <v>2091.9</v>
      </c>
      <c r="R2090">
        <v>316724</v>
      </c>
    </row>
    <row r="2091" spans="1:18" x14ac:dyDescent="0.25">
      <c r="A2091" s="170">
        <v>45084</v>
      </c>
      <c r="B2091" s="116">
        <v>2177</v>
      </c>
      <c r="C2091" s="116">
        <v>2163.0500000000002</v>
      </c>
      <c r="D2091" s="116">
        <v>2055.0500000000002</v>
      </c>
      <c r="E2091" s="116">
        <v>2055.0500000000002</v>
      </c>
      <c r="F2091" s="116">
        <v>2163.0500000000002</v>
      </c>
      <c r="G2091">
        <v>15655</v>
      </c>
      <c r="H2091" s="116"/>
      <c r="I2091" s="116"/>
      <c r="L2091" s="170">
        <v>45084</v>
      </c>
      <c r="M2091" s="116">
        <v>2166.0500000000002</v>
      </c>
      <c r="N2091" s="116">
        <v>2179</v>
      </c>
      <c r="O2091" s="116">
        <v>2092.5</v>
      </c>
      <c r="P2091" s="116">
        <v>2092.5500000000002</v>
      </c>
      <c r="Q2091" s="116">
        <v>2166.0500000000002</v>
      </c>
      <c r="R2091">
        <v>269961</v>
      </c>
    </row>
    <row r="2092" spans="1:18" x14ac:dyDescent="0.25">
      <c r="A2092" s="170">
        <v>45085</v>
      </c>
      <c r="B2092" s="116">
        <v>2178.9499999999998</v>
      </c>
      <c r="C2092" s="116">
        <v>2132.1999999999998</v>
      </c>
      <c r="D2092" s="116">
        <v>2122.5</v>
      </c>
      <c r="E2092" s="116">
        <v>2167.0500000000002</v>
      </c>
      <c r="F2092" s="116">
        <v>2132.1999999999998</v>
      </c>
      <c r="G2092">
        <v>3479</v>
      </c>
      <c r="H2092" s="116"/>
      <c r="I2092" s="116"/>
      <c r="L2092" s="170">
        <v>45085</v>
      </c>
      <c r="M2092" s="116">
        <v>2131.5</v>
      </c>
      <c r="N2092" s="116">
        <v>2183.4499999999998</v>
      </c>
      <c r="O2092" s="116">
        <v>2120.0500000000002</v>
      </c>
      <c r="P2092" s="116">
        <v>2177</v>
      </c>
      <c r="Q2092" s="116">
        <v>2131.5</v>
      </c>
      <c r="R2092">
        <v>106095</v>
      </c>
    </row>
    <row r="2093" spans="1:18" x14ac:dyDescent="0.25">
      <c r="A2093" s="170">
        <v>45086</v>
      </c>
      <c r="B2093" s="116">
        <v>2145.0500000000002</v>
      </c>
      <c r="C2093" s="116">
        <v>2104.4499999999998</v>
      </c>
      <c r="D2093" s="116">
        <v>2087.65</v>
      </c>
      <c r="E2093" s="116">
        <v>2138.9499999999998</v>
      </c>
      <c r="F2093" s="116">
        <v>2104.4499999999998</v>
      </c>
      <c r="G2093">
        <v>8421</v>
      </c>
      <c r="H2093" s="116"/>
      <c r="I2093" s="116"/>
      <c r="L2093" s="170">
        <v>45086</v>
      </c>
      <c r="M2093" s="116">
        <v>2103.5500000000002</v>
      </c>
      <c r="N2093" s="116">
        <v>2161</v>
      </c>
      <c r="O2093" s="116">
        <v>2088</v>
      </c>
      <c r="P2093" s="116">
        <v>2135.1</v>
      </c>
      <c r="Q2093" s="116">
        <v>2103.5500000000002</v>
      </c>
      <c r="R2093">
        <v>103735</v>
      </c>
    </row>
    <row r="2094" spans="1:18" x14ac:dyDescent="0.25">
      <c r="A2094" s="170">
        <v>45089</v>
      </c>
      <c r="B2094" s="116">
        <v>2122.4499999999998</v>
      </c>
      <c r="C2094" s="116">
        <v>2067.85</v>
      </c>
      <c r="D2094" s="116">
        <v>2050.5500000000002</v>
      </c>
      <c r="E2094" s="116">
        <v>2106.0500000000002</v>
      </c>
      <c r="F2094" s="116">
        <v>2067.85</v>
      </c>
      <c r="G2094">
        <v>16730</v>
      </c>
      <c r="H2094" s="116"/>
      <c r="I2094" s="116"/>
      <c r="L2094" s="170">
        <v>45089</v>
      </c>
      <c r="M2094" s="116">
        <v>2069.9499999999998</v>
      </c>
      <c r="N2094" s="116">
        <v>2125.15</v>
      </c>
      <c r="O2094" s="116">
        <v>2051.1999999999998</v>
      </c>
      <c r="P2094" s="116">
        <v>2120.65</v>
      </c>
      <c r="Q2094" s="116">
        <v>2069.9499999999998</v>
      </c>
      <c r="R2094">
        <v>174327</v>
      </c>
    </row>
    <row r="2095" spans="1:18" x14ac:dyDescent="0.25">
      <c r="A2095" s="170">
        <v>45090</v>
      </c>
      <c r="B2095" s="116">
        <v>2115.6</v>
      </c>
      <c r="C2095" s="116">
        <v>2104.6999999999998</v>
      </c>
      <c r="D2095" s="116">
        <v>2048.6999999999998</v>
      </c>
      <c r="E2095" s="116">
        <v>2099.9499999999998</v>
      </c>
      <c r="F2095" s="116">
        <v>2104.6999999999998</v>
      </c>
      <c r="G2095">
        <v>4562</v>
      </c>
      <c r="H2095" s="116"/>
      <c r="I2095" s="116"/>
      <c r="L2095" s="170">
        <v>45090</v>
      </c>
      <c r="M2095" s="116">
        <v>2104.5500000000002</v>
      </c>
      <c r="N2095" s="116">
        <v>2114</v>
      </c>
      <c r="O2095" s="116">
        <v>2048.3000000000002</v>
      </c>
      <c r="P2095" s="116">
        <v>2085</v>
      </c>
      <c r="Q2095" s="116">
        <v>2104.5500000000002</v>
      </c>
      <c r="R2095">
        <v>137294</v>
      </c>
    </row>
    <row r="2096" spans="1:18" x14ac:dyDescent="0.25">
      <c r="A2096" s="170">
        <v>45091</v>
      </c>
      <c r="B2096" s="116">
        <v>2234.3000000000002</v>
      </c>
      <c r="C2096" s="116">
        <v>2204.4499999999998</v>
      </c>
      <c r="D2096" s="116">
        <v>2113.9</v>
      </c>
      <c r="E2096" s="116">
        <v>2116.0500000000002</v>
      </c>
      <c r="F2096" s="116">
        <v>2204.4499999999998</v>
      </c>
      <c r="G2096">
        <v>46534</v>
      </c>
      <c r="H2096" s="116"/>
      <c r="I2096" s="116"/>
      <c r="L2096" s="170">
        <v>45091</v>
      </c>
      <c r="M2096" s="116">
        <v>2205.6999999999998</v>
      </c>
      <c r="N2096" s="116">
        <v>2233.15</v>
      </c>
      <c r="O2096" s="116">
        <v>2115</v>
      </c>
      <c r="P2096" s="116">
        <v>2121.35</v>
      </c>
      <c r="Q2096" s="116">
        <v>2205.6999999999998</v>
      </c>
      <c r="R2096">
        <v>911788</v>
      </c>
    </row>
    <row r="2097" spans="1:18" x14ac:dyDescent="0.25">
      <c r="A2097" s="170">
        <v>45092</v>
      </c>
      <c r="B2097" s="116">
        <v>2372.9499999999998</v>
      </c>
      <c r="C2097" s="116">
        <v>2310.6</v>
      </c>
      <c r="D2097" s="116">
        <v>2181.6</v>
      </c>
      <c r="E2097" s="116">
        <v>2206.0500000000002</v>
      </c>
      <c r="F2097" s="116">
        <v>2310.6</v>
      </c>
      <c r="G2097">
        <v>13630</v>
      </c>
      <c r="H2097" s="116"/>
      <c r="I2097" s="116"/>
      <c r="L2097" s="170">
        <v>45092</v>
      </c>
      <c r="M2097" s="116">
        <v>2312.5500000000002</v>
      </c>
      <c r="N2097" s="116">
        <v>2375</v>
      </c>
      <c r="O2097" s="116">
        <v>2182.0500000000002</v>
      </c>
      <c r="P2097" s="116">
        <v>2219</v>
      </c>
      <c r="Q2097" s="116">
        <v>2312.5500000000002</v>
      </c>
      <c r="R2097">
        <v>398499</v>
      </c>
    </row>
    <row r="2098" spans="1:18" x14ac:dyDescent="0.25">
      <c r="A2098" s="170">
        <v>45093</v>
      </c>
      <c r="B2098" s="116">
        <v>2310.4499999999998</v>
      </c>
      <c r="C2098" s="116">
        <v>2243.65</v>
      </c>
      <c r="D2098" s="116">
        <v>2239.1999999999998</v>
      </c>
      <c r="E2098" s="116">
        <v>2310.4499999999998</v>
      </c>
      <c r="F2098" s="116">
        <v>2243.65</v>
      </c>
      <c r="G2098">
        <v>5932</v>
      </c>
      <c r="H2098" s="116"/>
      <c r="I2098" s="116"/>
      <c r="L2098" s="170">
        <v>45093</v>
      </c>
      <c r="M2098" s="116">
        <v>2242.9</v>
      </c>
      <c r="N2098" s="116">
        <v>2311.9499999999998</v>
      </c>
      <c r="O2098" s="116">
        <v>2238.85</v>
      </c>
      <c r="P2098" s="116">
        <v>2300</v>
      </c>
      <c r="Q2098" s="116">
        <v>2242.9</v>
      </c>
      <c r="R2098">
        <v>239670</v>
      </c>
    </row>
    <row r="2099" spans="1:18" x14ac:dyDescent="0.25">
      <c r="A2099" s="170">
        <v>45096</v>
      </c>
      <c r="B2099" s="116">
        <v>2252.6999999999998</v>
      </c>
      <c r="C2099" s="116">
        <v>2239.15</v>
      </c>
      <c r="D2099" s="116">
        <v>2201</v>
      </c>
      <c r="E2099" s="116">
        <v>2250.0500000000002</v>
      </c>
      <c r="F2099" s="116">
        <v>2239.15</v>
      </c>
      <c r="G2099">
        <v>16240</v>
      </c>
      <c r="H2099" s="116"/>
      <c r="I2099" s="116"/>
      <c r="L2099" s="170">
        <v>45096</v>
      </c>
      <c r="M2099" s="116">
        <v>2238.8000000000002</v>
      </c>
      <c r="N2099" s="116">
        <v>2261.5</v>
      </c>
      <c r="O2099" s="116">
        <v>2201.0500000000002</v>
      </c>
      <c r="P2099" s="116">
        <v>2261.4</v>
      </c>
      <c r="Q2099" s="116">
        <v>2238.8000000000002</v>
      </c>
      <c r="R2099">
        <v>168537</v>
      </c>
    </row>
    <row r="2100" spans="1:18" x14ac:dyDescent="0.25">
      <c r="A2100" s="170">
        <v>45097</v>
      </c>
      <c r="B2100" s="116">
        <v>2254</v>
      </c>
      <c r="C2100" s="116">
        <v>2234.5500000000002</v>
      </c>
      <c r="D2100" s="116">
        <v>2213.4499999999998</v>
      </c>
      <c r="E2100" s="116">
        <v>2236.65</v>
      </c>
      <c r="F2100" s="116">
        <v>2234.5500000000002</v>
      </c>
      <c r="G2100">
        <v>6988</v>
      </c>
      <c r="H2100" s="116"/>
      <c r="I2100" s="116"/>
      <c r="L2100" s="170">
        <v>45097</v>
      </c>
      <c r="M2100" s="116">
        <v>2234.3000000000002</v>
      </c>
      <c r="N2100" s="116">
        <v>2258.8000000000002</v>
      </c>
      <c r="O2100" s="116">
        <v>2216</v>
      </c>
      <c r="P2100" s="116">
        <v>2258.8000000000002</v>
      </c>
      <c r="Q2100" s="116">
        <v>2234.3000000000002</v>
      </c>
      <c r="R2100">
        <v>95112</v>
      </c>
    </row>
    <row r="2101" spans="1:18" x14ac:dyDescent="0.25">
      <c r="A2101" s="170">
        <v>45098</v>
      </c>
      <c r="B2101" s="116">
        <v>2268</v>
      </c>
      <c r="C2101" s="116">
        <v>2244.4</v>
      </c>
      <c r="D2101" s="116">
        <v>2225</v>
      </c>
      <c r="E2101" s="116">
        <v>2225.0500000000002</v>
      </c>
      <c r="F2101" s="116">
        <v>2244.4</v>
      </c>
      <c r="G2101">
        <v>10078</v>
      </c>
      <c r="H2101" s="116"/>
      <c r="I2101" s="116"/>
      <c r="L2101" s="170">
        <v>45098</v>
      </c>
      <c r="M2101" s="116">
        <v>2240.5</v>
      </c>
      <c r="N2101" s="116">
        <v>2260</v>
      </c>
      <c r="O2101" s="116">
        <v>2222.1</v>
      </c>
      <c r="P2101" s="116">
        <v>2244</v>
      </c>
      <c r="Q2101" s="116">
        <v>2240.5</v>
      </c>
      <c r="R2101">
        <v>133110</v>
      </c>
    </row>
    <row r="2102" spans="1:18" x14ac:dyDescent="0.25">
      <c r="A2102" s="170">
        <v>45099</v>
      </c>
      <c r="B2102" s="116">
        <v>2390</v>
      </c>
      <c r="C2102" s="116">
        <v>2351.5</v>
      </c>
      <c r="D2102" s="116">
        <v>2242</v>
      </c>
      <c r="E2102" s="116">
        <v>2242</v>
      </c>
      <c r="F2102" s="116">
        <v>2351.5</v>
      </c>
      <c r="G2102">
        <v>61118</v>
      </c>
      <c r="H2102" s="116"/>
      <c r="I2102" s="116"/>
      <c r="L2102" s="170">
        <v>45099</v>
      </c>
      <c r="M2102" s="116">
        <v>2353.6</v>
      </c>
      <c r="N2102" s="116">
        <v>2392</v>
      </c>
      <c r="O2102" s="116">
        <v>2242.6</v>
      </c>
      <c r="P2102" s="116">
        <v>2242.6</v>
      </c>
      <c r="Q2102" s="116">
        <v>2353.6</v>
      </c>
      <c r="R2102">
        <v>1188034</v>
      </c>
    </row>
    <row r="2103" spans="1:18" x14ac:dyDescent="0.25">
      <c r="A2103" s="170">
        <v>45100</v>
      </c>
      <c r="B2103" s="116">
        <v>2372.9499999999998</v>
      </c>
      <c r="C2103" s="116">
        <v>2339.8000000000002</v>
      </c>
      <c r="D2103" s="116">
        <v>2321</v>
      </c>
      <c r="E2103" s="116">
        <v>2372.9499999999998</v>
      </c>
      <c r="F2103" s="116">
        <v>2339.8000000000002</v>
      </c>
      <c r="G2103">
        <v>8943</v>
      </c>
      <c r="H2103" s="116"/>
      <c r="I2103" s="116"/>
      <c r="L2103" s="170">
        <v>45100</v>
      </c>
      <c r="M2103" s="116">
        <v>2343.25</v>
      </c>
      <c r="N2103" s="116">
        <v>2370</v>
      </c>
      <c r="O2103" s="116">
        <v>2320.0500000000002</v>
      </c>
      <c r="P2103" s="116">
        <v>2366.85</v>
      </c>
      <c r="Q2103" s="116">
        <v>2343.25</v>
      </c>
      <c r="R2103">
        <v>300328</v>
      </c>
    </row>
    <row r="2104" spans="1:18" x14ac:dyDescent="0.25">
      <c r="A2104" s="170">
        <v>45103</v>
      </c>
      <c r="B2104" s="116">
        <v>2357.9499999999998</v>
      </c>
      <c r="C2104" s="116">
        <v>2351.6</v>
      </c>
      <c r="D2104" s="116">
        <v>2317</v>
      </c>
      <c r="E2104" s="116">
        <v>2340</v>
      </c>
      <c r="F2104" s="116">
        <v>2351.6</v>
      </c>
      <c r="G2104">
        <v>3324</v>
      </c>
      <c r="H2104" s="116"/>
      <c r="I2104" s="116"/>
      <c r="L2104" s="170">
        <v>45103</v>
      </c>
      <c r="M2104" s="116">
        <v>2349.25</v>
      </c>
      <c r="N2104" s="116">
        <v>2358.5500000000002</v>
      </c>
      <c r="O2104" s="116">
        <v>2315</v>
      </c>
      <c r="P2104" s="116">
        <v>2358.5500000000002</v>
      </c>
      <c r="Q2104" s="116">
        <v>2349.25</v>
      </c>
      <c r="R2104">
        <v>133192</v>
      </c>
    </row>
    <row r="2105" spans="1:18" x14ac:dyDescent="0.25">
      <c r="A2105" s="170">
        <v>45104</v>
      </c>
      <c r="B2105" s="116">
        <v>2361</v>
      </c>
      <c r="C2105" s="116">
        <v>2342.6</v>
      </c>
      <c r="D2105" s="116">
        <v>2329.85</v>
      </c>
      <c r="E2105" s="116">
        <v>2355.9499999999998</v>
      </c>
      <c r="F2105" s="116">
        <v>2342.6</v>
      </c>
      <c r="G2105">
        <v>6777</v>
      </c>
      <c r="H2105" s="116"/>
      <c r="I2105" s="116"/>
      <c r="L2105" s="170">
        <v>45104</v>
      </c>
      <c r="M2105" s="116">
        <v>2345.5500000000002</v>
      </c>
      <c r="N2105" s="116">
        <v>2362</v>
      </c>
      <c r="O2105" s="116">
        <v>2329</v>
      </c>
      <c r="P2105" s="116">
        <v>2349.25</v>
      </c>
      <c r="Q2105" s="116">
        <v>2345.5500000000002</v>
      </c>
      <c r="R2105">
        <v>110812</v>
      </c>
    </row>
    <row r="2106" spans="1:18" x14ac:dyDescent="0.25">
      <c r="A2106" s="170">
        <v>45105</v>
      </c>
      <c r="B2106" s="116">
        <v>2379.9499999999998</v>
      </c>
      <c r="C2106" s="116">
        <v>2319.8000000000002</v>
      </c>
      <c r="D2106" s="116">
        <v>2298.3000000000002</v>
      </c>
      <c r="E2106" s="116">
        <v>2379.9499999999998</v>
      </c>
      <c r="F2106" s="116">
        <v>2319.8000000000002</v>
      </c>
      <c r="G2106">
        <v>4488</v>
      </c>
      <c r="H2106" s="116"/>
      <c r="I2106" s="116"/>
      <c r="L2106" s="170">
        <v>45105</v>
      </c>
      <c r="M2106" s="116">
        <v>2318.8000000000002</v>
      </c>
      <c r="N2106" s="116">
        <v>2364</v>
      </c>
      <c r="O2106" s="116">
        <v>2295.0500000000002</v>
      </c>
      <c r="P2106" s="116">
        <v>2364</v>
      </c>
      <c r="Q2106" s="116">
        <v>2318.8000000000002</v>
      </c>
      <c r="R2106">
        <v>94901</v>
      </c>
    </row>
    <row r="2107" spans="1:18" x14ac:dyDescent="0.25">
      <c r="A2107" s="170">
        <v>45107</v>
      </c>
      <c r="B2107" s="116">
        <v>2335.0500000000002</v>
      </c>
      <c r="C2107" s="116">
        <v>2316.9499999999998</v>
      </c>
      <c r="D2107" s="116">
        <v>2287.6999999999998</v>
      </c>
      <c r="E2107" s="116">
        <v>2326.0500000000002</v>
      </c>
      <c r="F2107" s="116">
        <v>2316.9499999999998</v>
      </c>
      <c r="G2107">
        <v>11453</v>
      </c>
      <c r="H2107" s="116"/>
      <c r="I2107" s="116"/>
      <c r="L2107" s="170">
        <v>45107</v>
      </c>
      <c r="M2107" s="116">
        <v>2315.6</v>
      </c>
      <c r="N2107" s="116">
        <v>2334.85</v>
      </c>
      <c r="O2107" s="116">
        <v>2285</v>
      </c>
      <c r="P2107" s="116">
        <v>2333.9499999999998</v>
      </c>
      <c r="Q2107" s="116">
        <v>2315.6</v>
      </c>
      <c r="R2107">
        <v>90608</v>
      </c>
    </row>
    <row r="2108" spans="1:18" x14ac:dyDescent="0.25">
      <c r="A2108" s="170">
        <v>45110</v>
      </c>
      <c r="B2108" s="116">
        <v>2333.65</v>
      </c>
      <c r="C2108" s="116">
        <v>2295.75</v>
      </c>
      <c r="D2108" s="116">
        <v>2289.9499999999998</v>
      </c>
      <c r="E2108" s="116">
        <v>2317.0500000000002</v>
      </c>
      <c r="F2108" s="116">
        <v>2295.75</v>
      </c>
      <c r="G2108">
        <v>7501</v>
      </c>
      <c r="H2108" s="116"/>
      <c r="I2108" s="116"/>
      <c r="L2108" s="170">
        <v>45110</v>
      </c>
      <c r="M2108" s="116">
        <v>2293.4</v>
      </c>
      <c r="N2108" s="116">
        <v>2334.75</v>
      </c>
      <c r="O2108" s="116">
        <v>2276.5</v>
      </c>
      <c r="P2108" s="116">
        <v>2323.9499999999998</v>
      </c>
      <c r="Q2108" s="116">
        <v>2293.4</v>
      </c>
      <c r="R2108">
        <v>86057</v>
      </c>
    </row>
    <row r="2109" spans="1:18" x14ac:dyDescent="0.25">
      <c r="A2109" s="170">
        <v>45111</v>
      </c>
      <c r="B2109" s="116">
        <v>2357.9</v>
      </c>
      <c r="C2109" s="116">
        <v>2327.5500000000002</v>
      </c>
      <c r="D2109" s="116">
        <v>2297.6</v>
      </c>
      <c r="E2109" s="116">
        <v>2297.6</v>
      </c>
      <c r="F2109" s="116">
        <v>2327.5500000000002</v>
      </c>
      <c r="G2109">
        <v>11959</v>
      </c>
      <c r="H2109" s="116"/>
      <c r="I2109" s="116"/>
      <c r="L2109" s="170">
        <v>45111</v>
      </c>
      <c r="M2109" s="116">
        <v>2329.4499999999998</v>
      </c>
      <c r="N2109" s="116">
        <v>2359</v>
      </c>
      <c r="O2109" s="116">
        <v>2303.4</v>
      </c>
      <c r="P2109" s="116">
        <v>2303.9499999999998</v>
      </c>
      <c r="Q2109" s="116">
        <v>2329.4499999999998</v>
      </c>
      <c r="R2109">
        <v>156280</v>
      </c>
    </row>
    <row r="2110" spans="1:18" x14ac:dyDescent="0.25">
      <c r="A2110" s="170">
        <v>45112</v>
      </c>
      <c r="B2110" s="116">
        <v>2342.5500000000002</v>
      </c>
      <c r="C2110" s="116">
        <v>2328.5500000000002</v>
      </c>
      <c r="D2110" s="116">
        <v>2313.0500000000002</v>
      </c>
      <c r="E2110" s="116">
        <v>2313.0500000000002</v>
      </c>
      <c r="F2110" s="116">
        <v>2328.5500000000002</v>
      </c>
      <c r="G2110">
        <v>1909</v>
      </c>
      <c r="H2110" s="116"/>
      <c r="I2110" s="116"/>
      <c r="L2110" s="170">
        <v>45112</v>
      </c>
      <c r="M2110" s="116">
        <v>2328.85</v>
      </c>
      <c r="N2110" s="116">
        <v>2347.9499999999998</v>
      </c>
      <c r="O2110" s="116">
        <v>2325.0500000000002</v>
      </c>
      <c r="P2110" s="116">
        <v>2347.9499999999998</v>
      </c>
      <c r="Q2110" s="116">
        <v>2328.85</v>
      </c>
      <c r="R2110">
        <v>97318</v>
      </c>
    </row>
    <row r="2111" spans="1:18" x14ac:dyDescent="0.25">
      <c r="A2111" s="170">
        <v>45113</v>
      </c>
      <c r="B2111" s="116">
        <v>2350</v>
      </c>
      <c r="C2111" s="116">
        <v>2311.6999999999998</v>
      </c>
      <c r="D2111" s="116">
        <v>2294.1999999999998</v>
      </c>
      <c r="E2111" s="116">
        <v>2340</v>
      </c>
      <c r="F2111" s="116">
        <v>2311.6999999999998</v>
      </c>
      <c r="G2111">
        <v>4298</v>
      </c>
      <c r="H2111" s="116"/>
      <c r="I2111" s="116"/>
      <c r="L2111" s="170">
        <v>45113</v>
      </c>
      <c r="M2111" s="116">
        <v>2311.6</v>
      </c>
      <c r="N2111" s="116">
        <v>2352.5</v>
      </c>
      <c r="O2111" s="116">
        <v>2292.15</v>
      </c>
      <c r="P2111" s="116">
        <v>2337.9499999999998</v>
      </c>
      <c r="Q2111" s="116">
        <v>2311.6</v>
      </c>
      <c r="R2111">
        <v>137876</v>
      </c>
    </row>
    <row r="2112" spans="1:18" x14ac:dyDescent="0.25">
      <c r="A2112" s="170">
        <v>45114</v>
      </c>
      <c r="B2112" s="116">
        <v>2332</v>
      </c>
      <c r="C2112" s="116">
        <v>2307.4</v>
      </c>
      <c r="D2112" s="116">
        <v>2290.0500000000002</v>
      </c>
      <c r="E2112" s="116">
        <v>2290.0500000000002</v>
      </c>
      <c r="F2112" s="116">
        <v>2307.4</v>
      </c>
      <c r="G2112">
        <v>10576</v>
      </c>
      <c r="H2112" s="116"/>
      <c r="I2112" s="116"/>
      <c r="L2112" s="170">
        <v>45114</v>
      </c>
      <c r="M2112" s="116">
        <v>2308.75</v>
      </c>
      <c r="N2112" s="116">
        <v>2334.9499999999998</v>
      </c>
      <c r="O2112" s="116">
        <v>2292.0500000000002</v>
      </c>
      <c r="P2112" s="116">
        <v>2305</v>
      </c>
      <c r="Q2112" s="116">
        <v>2308.75</v>
      </c>
      <c r="R2112">
        <v>56078</v>
      </c>
    </row>
    <row r="2113" spans="1:18" x14ac:dyDescent="0.25">
      <c r="A2113" s="170">
        <v>45117</v>
      </c>
      <c r="B2113" s="116">
        <v>2339.0500000000002</v>
      </c>
      <c r="C2113" s="116">
        <v>2300.5</v>
      </c>
      <c r="D2113" s="116">
        <v>2293.5</v>
      </c>
      <c r="E2113" s="116">
        <v>2337.1999999999998</v>
      </c>
      <c r="F2113" s="116">
        <v>2300.5</v>
      </c>
      <c r="G2113">
        <v>3069</v>
      </c>
      <c r="H2113" s="116"/>
      <c r="I2113" s="116"/>
      <c r="L2113" s="170">
        <v>45117</v>
      </c>
      <c r="M2113" s="116">
        <v>2299.5500000000002</v>
      </c>
      <c r="N2113" s="116">
        <v>2340</v>
      </c>
      <c r="O2113" s="116">
        <v>2290.0500000000002</v>
      </c>
      <c r="P2113" s="116">
        <v>2325</v>
      </c>
      <c r="Q2113" s="116">
        <v>2299.5500000000002</v>
      </c>
      <c r="R2113">
        <v>75541</v>
      </c>
    </row>
    <row r="2114" spans="1:18" x14ac:dyDescent="0.25">
      <c r="A2114" s="170">
        <v>45118</v>
      </c>
      <c r="B2114" s="116">
        <v>2394.85</v>
      </c>
      <c r="C2114" s="116">
        <v>2363.4499999999998</v>
      </c>
      <c r="D2114" s="116">
        <v>2293.5</v>
      </c>
      <c r="E2114" s="116">
        <v>2300.5</v>
      </c>
      <c r="F2114" s="116">
        <v>2363.4499999999998</v>
      </c>
      <c r="G2114">
        <v>117464</v>
      </c>
      <c r="H2114" s="116"/>
      <c r="I2114" s="116"/>
      <c r="L2114" s="170">
        <v>45118</v>
      </c>
      <c r="M2114" s="116">
        <v>2364.5</v>
      </c>
      <c r="N2114" s="116">
        <v>2385</v>
      </c>
      <c r="O2114" s="116">
        <v>2292.5500000000002</v>
      </c>
      <c r="P2114" s="116">
        <v>2300.4</v>
      </c>
      <c r="Q2114" s="116">
        <v>2364.5</v>
      </c>
      <c r="R2114">
        <v>128198</v>
      </c>
    </row>
    <row r="2115" spans="1:18" x14ac:dyDescent="0.25">
      <c r="A2115" s="170">
        <v>45119</v>
      </c>
      <c r="B2115" s="116">
        <v>2433.85</v>
      </c>
      <c r="C2115" s="116">
        <v>2422.3000000000002</v>
      </c>
      <c r="D2115" s="116">
        <v>2345.1</v>
      </c>
      <c r="E2115" s="116">
        <v>2365.0500000000002</v>
      </c>
      <c r="F2115" s="116">
        <v>2422.3000000000002</v>
      </c>
      <c r="G2115">
        <v>5923</v>
      </c>
      <c r="H2115" s="116"/>
      <c r="I2115" s="116"/>
      <c r="L2115" s="170">
        <v>45119</v>
      </c>
      <c r="M2115" s="116">
        <v>2420.9499999999998</v>
      </c>
      <c r="N2115" s="116">
        <v>2433.6999999999998</v>
      </c>
      <c r="O2115" s="116">
        <v>2342.65</v>
      </c>
      <c r="P2115" s="116">
        <v>2377.85</v>
      </c>
      <c r="Q2115" s="116">
        <v>2420.9499999999998</v>
      </c>
      <c r="R2115">
        <v>228569</v>
      </c>
    </row>
    <row r="2116" spans="1:18" x14ac:dyDescent="0.25">
      <c r="A2116" s="170">
        <v>45120</v>
      </c>
      <c r="B2116" s="116">
        <v>2460</v>
      </c>
      <c r="C2116" s="116">
        <v>2431.35</v>
      </c>
      <c r="D2116" s="116">
        <v>2418.1</v>
      </c>
      <c r="E2116" s="116">
        <v>2425.9</v>
      </c>
      <c r="F2116" s="116">
        <v>2431.35</v>
      </c>
      <c r="G2116">
        <v>11523</v>
      </c>
      <c r="H2116" s="116"/>
      <c r="I2116" s="116"/>
      <c r="L2116" s="170">
        <v>45120</v>
      </c>
      <c r="M2116" s="116">
        <v>2433.65</v>
      </c>
      <c r="N2116" s="116">
        <v>2462.9499999999998</v>
      </c>
      <c r="O2116" s="116">
        <v>2418.25</v>
      </c>
      <c r="P2116" s="116">
        <v>2444.8000000000002</v>
      </c>
      <c r="Q2116" s="116">
        <v>2433.65</v>
      </c>
      <c r="R2116">
        <v>130802</v>
      </c>
    </row>
    <row r="2117" spans="1:18" x14ac:dyDescent="0.25">
      <c r="A2117" s="170">
        <v>45121</v>
      </c>
      <c r="B2117" s="116">
        <v>2464.6999999999998</v>
      </c>
      <c r="C2117" s="116">
        <v>2447.5</v>
      </c>
      <c r="D2117" s="116">
        <v>2430.85</v>
      </c>
      <c r="E2117" s="116">
        <v>2433.25</v>
      </c>
      <c r="F2117" s="116">
        <v>2447.5</v>
      </c>
      <c r="G2117">
        <v>4862</v>
      </c>
      <c r="H2117" s="116"/>
      <c r="I2117" s="116"/>
      <c r="L2117" s="170">
        <v>45121</v>
      </c>
      <c r="M2117" s="116">
        <v>2446.4499999999998</v>
      </c>
      <c r="N2117" s="116">
        <v>2464.9</v>
      </c>
      <c r="O2117" s="116">
        <v>2427.65</v>
      </c>
      <c r="P2117" s="116">
        <v>2445.85</v>
      </c>
      <c r="Q2117" s="116">
        <v>2446.4499999999998</v>
      </c>
      <c r="R2117">
        <v>93974</v>
      </c>
    </row>
    <row r="2118" spans="1:18" x14ac:dyDescent="0.25">
      <c r="A2118" s="170">
        <v>45124</v>
      </c>
      <c r="B2118" s="116">
        <v>2457.5</v>
      </c>
      <c r="C2118" s="116">
        <v>2422.6999999999998</v>
      </c>
      <c r="D2118" s="116">
        <v>2411</v>
      </c>
      <c r="E2118" s="116">
        <v>2450</v>
      </c>
      <c r="F2118" s="116">
        <v>2422.6999999999998</v>
      </c>
      <c r="G2118">
        <v>9170</v>
      </c>
      <c r="H2118" s="116"/>
      <c r="I2118" s="116"/>
      <c r="L2118" s="170">
        <v>45124</v>
      </c>
      <c r="M2118" s="116">
        <v>2422.0500000000002</v>
      </c>
      <c r="N2118" s="116">
        <v>2459</v>
      </c>
      <c r="O2118" s="116">
        <v>2410.4499999999998</v>
      </c>
      <c r="P2118" s="116">
        <v>2450</v>
      </c>
      <c r="Q2118" s="116">
        <v>2422.0500000000002</v>
      </c>
      <c r="R2118">
        <v>77156</v>
      </c>
    </row>
    <row r="2119" spans="1:18" x14ac:dyDescent="0.25">
      <c r="A2119" s="170">
        <v>45125</v>
      </c>
      <c r="B2119" s="116">
        <v>2472.6999999999998</v>
      </c>
      <c r="C2119" s="116">
        <v>2440.85</v>
      </c>
      <c r="D2119" s="116">
        <v>2365.0500000000002</v>
      </c>
      <c r="E2119" s="116">
        <v>2449.9499999999998</v>
      </c>
      <c r="F2119" s="116">
        <v>2440.85</v>
      </c>
      <c r="G2119">
        <v>13800</v>
      </c>
      <c r="H2119" s="116"/>
      <c r="I2119" s="116"/>
      <c r="L2119" s="170">
        <v>45125</v>
      </c>
      <c r="M2119" s="116">
        <v>2439.4499999999998</v>
      </c>
      <c r="N2119" s="116">
        <v>2474.6999999999998</v>
      </c>
      <c r="O2119" s="116">
        <v>2365.4</v>
      </c>
      <c r="P2119" s="116">
        <v>2440.25</v>
      </c>
      <c r="Q2119" s="116">
        <v>2439.4499999999998</v>
      </c>
      <c r="R2119">
        <v>404636</v>
      </c>
    </row>
    <row r="2120" spans="1:18" x14ac:dyDescent="0.25">
      <c r="A2120" s="170">
        <v>45126</v>
      </c>
      <c r="B2120" s="116">
        <v>2812.2</v>
      </c>
      <c r="C2120" s="116">
        <v>2561.1999999999998</v>
      </c>
      <c r="D2120" s="116">
        <v>2410.0500000000002</v>
      </c>
      <c r="E2120" s="116">
        <v>2410.0500000000002</v>
      </c>
      <c r="F2120" s="116">
        <v>2561.1999999999998</v>
      </c>
      <c r="G2120">
        <v>92878</v>
      </c>
      <c r="H2120" s="116"/>
      <c r="I2120" s="116"/>
      <c r="L2120" s="170">
        <v>45126</v>
      </c>
      <c r="M2120" s="116">
        <v>2563.1</v>
      </c>
      <c r="N2120" s="116">
        <v>2815.15</v>
      </c>
      <c r="O2120" s="116">
        <v>2441.1999999999998</v>
      </c>
      <c r="P2120" s="116">
        <v>2449.4499999999998</v>
      </c>
      <c r="Q2120" s="116">
        <v>2563.1</v>
      </c>
      <c r="R2120">
        <v>2730713</v>
      </c>
    </row>
    <row r="2121" spans="1:18" x14ac:dyDescent="0.25">
      <c r="A2121" s="170">
        <v>45127</v>
      </c>
      <c r="B2121" s="116">
        <v>2620.6999999999998</v>
      </c>
      <c r="C2121" s="116">
        <v>2568.9</v>
      </c>
      <c r="D2121" s="116">
        <v>2550</v>
      </c>
      <c r="E2121" s="116">
        <v>2569.8000000000002</v>
      </c>
      <c r="F2121" s="116">
        <v>2568.9</v>
      </c>
      <c r="G2121">
        <v>14469</v>
      </c>
      <c r="H2121" s="116"/>
      <c r="I2121" s="116"/>
      <c r="L2121" s="170">
        <v>45127</v>
      </c>
      <c r="M2121" s="116">
        <v>2570.75</v>
      </c>
      <c r="N2121" s="116">
        <v>2624</v>
      </c>
      <c r="O2121" s="116">
        <v>2544.9</v>
      </c>
      <c r="P2121" s="116">
        <v>2591.9499999999998</v>
      </c>
      <c r="Q2121" s="116">
        <v>2570.75</v>
      </c>
      <c r="R2121">
        <v>440085</v>
      </c>
    </row>
    <row r="2122" spans="1:18" x14ac:dyDescent="0.25">
      <c r="A2122" s="170">
        <v>45128</v>
      </c>
      <c r="B2122" s="116">
        <v>2635.45</v>
      </c>
      <c r="C2122" s="116">
        <v>2568.6999999999998</v>
      </c>
      <c r="D2122" s="116">
        <v>2551.0500000000002</v>
      </c>
      <c r="E2122" s="116">
        <v>2551.0500000000002</v>
      </c>
      <c r="F2122" s="116">
        <v>2568.6999999999998</v>
      </c>
      <c r="G2122">
        <v>6961</v>
      </c>
      <c r="H2122" s="116"/>
      <c r="I2122" s="116"/>
      <c r="L2122" s="170">
        <v>45128</v>
      </c>
      <c r="M2122" s="116">
        <v>2568.75</v>
      </c>
      <c r="N2122" s="116">
        <v>2640</v>
      </c>
      <c r="O2122" s="116">
        <v>2550</v>
      </c>
      <c r="P2122" s="116">
        <v>2569.9499999999998</v>
      </c>
      <c r="Q2122" s="116">
        <v>2568.75</v>
      </c>
      <c r="R2122">
        <v>425969</v>
      </c>
    </row>
    <row r="2123" spans="1:18" x14ac:dyDescent="0.25">
      <c r="A2123" s="170">
        <v>45131</v>
      </c>
      <c r="B2123" s="116">
        <v>2655</v>
      </c>
      <c r="C2123" s="116">
        <v>2622.3</v>
      </c>
      <c r="D2123" s="116">
        <v>2566.9499999999998</v>
      </c>
      <c r="E2123" s="116">
        <v>2569.0500000000002</v>
      </c>
      <c r="F2123" s="116">
        <v>2622.3</v>
      </c>
      <c r="G2123">
        <v>6370</v>
      </c>
      <c r="H2123" s="116"/>
      <c r="I2123" s="116"/>
      <c r="L2123" s="170">
        <v>45131</v>
      </c>
      <c r="M2123" s="116">
        <v>2623</v>
      </c>
      <c r="N2123" s="116">
        <v>2654.5</v>
      </c>
      <c r="O2123" s="116">
        <v>2563.65</v>
      </c>
      <c r="P2123" s="116">
        <v>2582.9</v>
      </c>
      <c r="Q2123" s="116">
        <v>2623</v>
      </c>
      <c r="R2123">
        <v>221077</v>
      </c>
    </row>
    <row r="2124" spans="1:18" x14ac:dyDescent="0.25">
      <c r="A2124" s="170">
        <v>45132</v>
      </c>
      <c r="B2124" s="116">
        <v>2669.8</v>
      </c>
      <c r="C2124" s="116">
        <v>2590.35</v>
      </c>
      <c r="D2124" s="116">
        <v>2570</v>
      </c>
      <c r="E2124" s="116">
        <v>2669.8</v>
      </c>
      <c r="F2124" s="116">
        <v>2590.35</v>
      </c>
      <c r="G2124">
        <v>2912</v>
      </c>
      <c r="H2124" s="116"/>
      <c r="I2124" s="116"/>
      <c r="L2124" s="170">
        <v>45132</v>
      </c>
      <c r="M2124" s="116">
        <v>2587.8000000000002</v>
      </c>
      <c r="N2124" s="116">
        <v>2644</v>
      </c>
      <c r="O2124" s="116">
        <v>2566.1999999999998</v>
      </c>
      <c r="P2124" s="116">
        <v>2636.15</v>
      </c>
      <c r="Q2124" s="116">
        <v>2587.8000000000002</v>
      </c>
      <c r="R2124">
        <v>136068</v>
      </c>
    </row>
    <row r="2125" spans="1:18" x14ac:dyDescent="0.25">
      <c r="A2125" s="170">
        <v>45133</v>
      </c>
      <c r="B2125" s="116">
        <v>2619.9499999999998</v>
      </c>
      <c r="C2125" s="116">
        <v>2478.1</v>
      </c>
      <c r="D2125" s="116">
        <v>2405.0500000000002</v>
      </c>
      <c r="E2125" s="116">
        <v>2619.9499999999998</v>
      </c>
      <c r="F2125" s="116">
        <v>2478.1</v>
      </c>
      <c r="G2125">
        <v>34417</v>
      </c>
      <c r="H2125" s="116"/>
      <c r="I2125" s="116"/>
      <c r="L2125" s="170">
        <v>45133</v>
      </c>
      <c r="M2125" s="116">
        <v>2477.5500000000002</v>
      </c>
      <c r="N2125" s="116">
        <v>2606</v>
      </c>
      <c r="O2125" s="116">
        <v>2406.25</v>
      </c>
      <c r="P2125" s="116">
        <v>2606</v>
      </c>
      <c r="Q2125" s="116">
        <v>2477.5500000000002</v>
      </c>
      <c r="R2125">
        <v>415893</v>
      </c>
    </row>
    <row r="2126" spans="1:18" x14ac:dyDescent="0.25">
      <c r="A2126" s="170">
        <v>45134</v>
      </c>
      <c r="B2126" s="116">
        <v>2515</v>
      </c>
      <c r="C2126" s="116">
        <v>2495.9</v>
      </c>
      <c r="D2126" s="116">
        <v>2451</v>
      </c>
      <c r="E2126" s="116">
        <v>2499.5</v>
      </c>
      <c r="F2126" s="116">
        <v>2495.9</v>
      </c>
      <c r="G2126">
        <v>10647</v>
      </c>
      <c r="H2126" s="116"/>
      <c r="I2126" s="116"/>
      <c r="L2126" s="170">
        <v>45134</v>
      </c>
      <c r="M2126" s="116">
        <v>2497.5</v>
      </c>
      <c r="N2126" s="116">
        <v>2518.85</v>
      </c>
      <c r="O2126" s="116">
        <v>2451</v>
      </c>
      <c r="P2126" s="116">
        <v>2499.3000000000002</v>
      </c>
      <c r="Q2126" s="116">
        <v>2497.5</v>
      </c>
      <c r="R2126">
        <v>193278</v>
      </c>
    </row>
    <row r="2127" spans="1:18" x14ac:dyDescent="0.25">
      <c r="A2127" s="170">
        <v>45135</v>
      </c>
      <c r="B2127" s="116">
        <v>2519.9499999999998</v>
      </c>
      <c r="C2127" s="116">
        <v>2437.6999999999998</v>
      </c>
      <c r="D2127" s="116">
        <v>2428.3000000000002</v>
      </c>
      <c r="E2127" s="116">
        <v>2519.9499999999998</v>
      </c>
      <c r="F2127" s="116">
        <v>2437.6999999999998</v>
      </c>
      <c r="G2127">
        <v>4410</v>
      </c>
      <c r="H2127" s="116"/>
      <c r="I2127" s="116"/>
      <c r="L2127" s="170">
        <v>45135</v>
      </c>
      <c r="M2127" s="116">
        <v>2437.6</v>
      </c>
      <c r="N2127" s="116">
        <v>2506.8000000000002</v>
      </c>
      <c r="O2127" s="116">
        <v>2430</v>
      </c>
      <c r="P2127" s="116">
        <v>2496.9499999999998</v>
      </c>
      <c r="Q2127" s="116">
        <v>2437.6</v>
      </c>
      <c r="R2127">
        <v>164773</v>
      </c>
    </row>
    <row r="2128" spans="1:18" x14ac:dyDescent="0.25">
      <c r="A2128" s="170">
        <v>45138</v>
      </c>
      <c r="B2128" s="116">
        <v>2489.35</v>
      </c>
      <c r="C2128" s="116">
        <v>2429.65</v>
      </c>
      <c r="D2128" s="116">
        <v>2405.1999999999998</v>
      </c>
      <c r="E2128" s="116">
        <v>2450.0500000000002</v>
      </c>
      <c r="F2128" s="116">
        <v>2429.65</v>
      </c>
      <c r="G2128">
        <v>21028</v>
      </c>
      <c r="H2128" s="116"/>
      <c r="I2128" s="116"/>
      <c r="L2128" s="170">
        <v>45138</v>
      </c>
      <c r="M2128" s="116">
        <v>2429.5500000000002</v>
      </c>
      <c r="N2128" s="116">
        <v>2487.9</v>
      </c>
      <c r="O2128" s="116">
        <v>2405.5</v>
      </c>
      <c r="P2128" s="116">
        <v>2460</v>
      </c>
      <c r="Q2128" s="116">
        <v>2429.5500000000002</v>
      </c>
      <c r="R2128">
        <v>279900</v>
      </c>
    </row>
    <row r="2129" spans="1:18" x14ac:dyDescent="0.25">
      <c r="A2129" s="170">
        <v>45139</v>
      </c>
      <c r="B2129" s="116">
        <v>2405.9</v>
      </c>
      <c r="C2129" s="116">
        <v>2270.4</v>
      </c>
      <c r="D2129" s="116">
        <v>2225.5</v>
      </c>
      <c r="E2129" s="116">
        <v>2309.9499999999998</v>
      </c>
      <c r="F2129" s="116">
        <v>2270.4</v>
      </c>
      <c r="G2129">
        <v>140654</v>
      </c>
      <c r="H2129" s="116"/>
      <c r="I2129" s="116"/>
      <c r="L2129" s="170">
        <v>45139</v>
      </c>
      <c r="M2129" s="116">
        <v>2270.35</v>
      </c>
      <c r="N2129" s="116">
        <v>2406.25</v>
      </c>
      <c r="O2129" s="116">
        <v>2225.1</v>
      </c>
      <c r="P2129" s="116">
        <v>2300</v>
      </c>
      <c r="Q2129" s="116">
        <v>2270.35</v>
      </c>
      <c r="R2129">
        <v>2364777</v>
      </c>
    </row>
    <row r="2130" spans="1:18" x14ac:dyDescent="0.25">
      <c r="A2130" s="170">
        <v>45140</v>
      </c>
      <c r="B2130" s="116">
        <v>2409.65</v>
      </c>
      <c r="C2130" s="116">
        <v>2362.4499999999998</v>
      </c>
      <c r="D2130" s="116">
        <v>2278.1</v>
      </c>
      <c r="E2130" s="116">
        <v>2285.1</v>
      </c>
      <c r="F2130" s="116">
        <v>2362.4499999999998</v>
      </c>
      <c r="G2130">
        <v>91308</v>
      </c>
      <c r="H2130" s="116"/>
      <c r="I2130" s="116"/>
      <c r="L2130" s="170">
        <v>45140</v>
      </c>
      <c r="M2130" s="116">
        <v>2372.75</v>
      </c>
      <c r="N2130" s="116">
        <v>2411.9</v>
      </c>
      <c r="O2130" s="116">
        <v>2275.0500000000002</v>
      </c>
      <c r="P2130" s="116">
        <v>2275.0500000000002</v>
      </c>
      <c r="Q2130" s="116">
        <v>2372.75</v>
      </c>
      <c r="R2130">
        <v>1136598</v>
      </c>
    </row>
    <row r="2131" spans="1:18" x14ac:dyDescent="0.25">
      <c r="A2131" s="170">
        <v>45141</v>
      </c>
      <c r="B2131" s="116">
        <v>2400</v>
      </c>
      <c r="C2131" s="116">
        <v>2337.5</v>
      </c>
      <c r="D2131" s="116">
        <v>2286.35</v>
      </c>
      <c r="E2131" s="116">
        <v>2342.5</v>
      </c>
      <c r="F2131" s="116">
        <v>2337.5</v>
      </c>
      <c r="G2131">
        <v>11961</v>
      </c>
      <c r="H2131" s="116"/>
      <c r="I2131" s="116"/>
      <c r="L2131" s="170">
        <v>45141</v>
      </c>
      <c r="M2131" s="116">
        <v>2337.6999999999998</v>
      </c>
      <c r="N2131" s="116">
        <v>2402.6999999999998</v>
      </c>
      <c r="O2131" s="116">
        <v>2314.25</v>
      </c>
      <c r="P2131" s="116">
        <v>2356</v>
      </c>
      <c r="Q2131" s="116">
        <v>2337.6999999999998</v>
      </c>
      <c r="R2131">
        <v>275212</v>
      </c>
    </row>
    <row r="2132" spans="1:18" x14ac:dyDescent="0.25">
      <c r="A2132" s="170">
        <v>45142</v>
      </c>
      <c r="B2132" s="116">
        <v>2444.5500000000002</v>
      </c>
      <c r="C2132" s="116">
        <v>2426.65</v>
      </c>
      <c r="D2132" s="116">
        <v>2320</v>
      </c>
      <c r="E2132" s="116">
        <v>2320</v>
      </c>
      <c r="F2132" s="116">
        <v>2426.65</v>
      </c>
      <c r="G2132">
        <v>9244</v>
      </c>
      <c r="H2132" s="116"/>
      <c r="I2132" s="116"/>
      <c r="L2132" s="170">
        <v>45142</v>
      </c>
      <c r="M2132" s="116">
        <v>2425.0500000000002</v>
      </c>
      <c r="N2132" s="116">
        <v>2444.5</v>
      </c>
      <c r="O2132" s="116">
        <v>2337</v>
      </c>
      <c r="P2132" s="116">
        <v>2340</v>
      </c>
      <c r="Q2132" s="116">
        <v>2425.0500000000002</v>
      </c>
      <c r="R2132">
        <v>462360</v>
      </c>
    </row>
    <row r="2133" spans="1:18" x14ac:dyDescent="0.25">
      <c r="A2133" s="170">
        <v>45145</v>
      </c>
      <c r="B2133" s="116">
        <v>2460</v>
      </c>
      <c r="C2133" s="116">
        <v>2375</v>
      </c>
      <c r="D2133" s="116">
        <v>2365</v>
      </c>
      <c r="E2133" s="116">
        <v>2431.0500000000002</v>
      </c>
      <c r="F2133" s="116">
        <v>2375</v>
      </c>
      <c r="G2133">
        <v>17166</v>
      </c>
      <c r="H2133" s="116"/>
      <c r="I2133" s="116"/>
      <c r="L2133" s="170">
        <v>45145</v>
      </c>
      <c r="M2133" s="116">
        <v>2374.35</v>
      </c>
      <c r="N2133" s="116">
        <v>2462.35</v>
      </c>
      <c r="O2133" s="116">
        <v>2362</v>
      </c>
      <c r="P2133" s="116">
        <v>2455.4</v>
      </c>
      <c r="Q2133" s="116">
        <v>2374.35</v>
      </c>
      <c r="R2133">
        <v>216418</v>
      </c>
    </row>
    <row r="2134" spans="1:18" x14ac:dyDescent="0.25">
      <c r="A2134" s="170">
        <v>45146</v>
      </c>
      <c r="B2134" s="116">
        <v>2474.6999999999998</v>
      </c>
      <c r="C2134" s="116">
        <v>2420.75</v>
      </c>
      <c r="D2134" s="116">
        <v>2390.0500000000002</v>
      </c>
      <c r="E2134" s="116">
        <v>2436.9</v>
      </c>
      <c r="F2134" s="116">
        <v>2420.75</v>
      </c>
      <c r="G2134">
        <v>24817</v>
      </c>
      <c r="H2134" s="116"/>
      <c r="I2134" s="116"/>
      <c r="L2134" s="170">
        <v>45146</v>
      </c>
      <c r="M2134" s="116">
        <v>2421.4499999999998</v>
      </c>
      <c r="N2134" s="116">
        <v>2473.9</v>
      </c>
      <c r="O2134" s="116">
        <v>2403.1</v>
      </c>
      <c r="P2134" s="116">
        <v>2428</v>
      </c>
      <c r="Q2134" s="116">
        <v>2421.4499999999998</v>
      </c>
      <c r="R2134">
        <v>392503</v>
      </c>
    </row>
    <row r="2135" spans="1:18" x14ac:dyDescent="0.25">
      <c r="A2135" s="170">
        <v>45147</v>
      </c>
      <c r="B2135" s="116">
        <v>2429</v>
      </c>
      <c r="C2135" s="116">
        <v>2412.85</v>
      </c>
      <c r="D2135" s="116">
        <v>2400</v>
      </c>
      <c r="E2135" s="116">
        <v>2420.8000000000002</v>
      </c>
      <c r="F2135" s="116">
        <v>2412.85</v>
      </c>
      <c r="G2135">
        <v>2940</v>
      </c>
      <c r="H2135" s="116"/>
      <c r="I2135" s="116"/>
      <c r="L2135" s="170">
        <v>45147</v>
      </c>
      <c r="M2135" s="116">
        <v>2412.8000000000002</v>
      </c>
      <c r="N2135" s="116">
        <v>2441.9</v>
      </c>
      <c r="O2135" s="116">
        <v>2400</v>
      </c>
      <c r="P2135" s="116">
        <v>2425</v>
      </c>
      <c r="Q2135" s="116">
        <v>2412.8000000000002</v>
      </c>
      <c r="R2135">
        <v>119973</v>
      </c>
    </row>
    <row r="2136" spans="1:18" x14ac:dyDescent="0.25">
      <c r="A2136" s="170">
        <v>45148</v>
      </c>
      <c r="B2136" s="116">
        <v>2436</v>
      </c>
      <c r="C2136" s="116">
        <v>2368.35</v>
      </c>
      <c r="D2136" s="116">
        <v>2355.1</v>
      </c>
      <c r="E2136" s="116">
        <v>2391.0500000000002</v>
      </c>
      <c r="F2136" s="116">
        <v>2368.35</v>
      </c>
      <c r="G2136">
        <v>14108</v>
      </c>
      <c r="H2136" s="116"/>
      <c r="I2136" s="116"/>
      <c r="L2136" s="170">
        <v>45148</v>
      </c>
      <c r="M2136" s="116">
        <v>2366.0500000000002</v>
      </c>
      <c r="N2136" s="116">
        <v>2439.5</v>
      </c>
      <c r="O2136" s="116">
        <v>2350.1999999999998</v>
      </c>
      <c r="P2136" s="116">
        <v>2419.5</v>
      </c>
      <c r="Q2136" s="116">
        <v>2366.0500000000002</v>
      </c>
      <c r="R2136">
        <v>122585</v>
      </c>
    </row>
    <row r="2137" spans="1:18" x14ac:dyDescent="0.25">
      <c r="A2137" s="170">
        <v>45149</v>
      </c>
      <c r="B2137" s="116">
        <v>2381.5500000000002</v>
      </c>
      <c r="C2137" s="116">
        <v>2330.35</v>
      </c>
      <c r="D2137" s="116">
        <v>2323</v>
      </c>
      <c r="E2137" s="116">
        <v>2360</v>
      </c>
      <c r="F2137" s="116">
        <v>2330.35</v>
      </c>
      <c r="G2137">
        <v>10679</v>
      </c>
      <c r="H2137" s="116"/>
      <c r="I2137" s="116"/>
      <c r="L2137" s="170">
        <v>45149</v>
      </c>
      <c r="M2137" s="116">
        <v>2328.6999999999998</v>
      </c>
      <c r="N2137" s="116">
        <v>2381.9499999999998</v>
      </c>
      <c r="O2137" s="116">
        <v>2321</v>
      </c>
      <c r="P2137" s="116">
        <v>2377.8000000000002</v>
      </c>
      <c r="Q2137" s="116">
        <v>2328.6999999999998</v>
      </c>
      <c r="R2137">
        <v>129798</v>
      </c>
    </row>
    <row r="2138" spans="1:18" x14ac:dyDescent="0.25">
      <c r="A2138" s="170">
        <v>45152</v>
      </c>
      <c r="B2138" s="116">
        <v>2329.9499999999998</v>
      </c>
      <c r="C2138" s="116">
        <v>2278.8000000000002</v>
      </c>
      <c r="D2138" s="116">
        <v>2270</v>
      </c>
      <c r="E2138" s="116">
        <v>2300.0500000000002</v>
      </c>
      <c r="F2138" s="116">
        <v>2278.8000000000002</v>
      </c>
      <c r="G2138">
        <v>18027</v>
      </c>
      <c r="H2138" s="116"/>
      <c r="I2138" s="116"/>
      <c r="L2138" s="170">
        <v>45152</v>
      </c>
      <c r="M2138" s="116">
        <v>2278.9499999999998</v>
      </c>
      <c r="N2138" s="116">
        <v>2328.6999999999998</v>
      </c>
      <c r="O2138" s="116">
        <v>2268.65</v>
      </c>
      <c r="P2138" s="116">
        <v>2325</v>
      </c>
      <c r="Q2138" s="116">
        <v>2278.9499999999998</v>
      </c>
      <c r="R2138">
        <v>151844</v>
      </c>
    </row>
    <row r="2139" spans="1:18" x14ac:dyDescent="0.25">
      <c r="A2139" s="170">
        <v>45154</v>
      </c>
      <c r="B2139" s="116">
        <v>2367.8000000000002</v>
      </c>
      <c r="C2139" s="116">
        <v>2349.9</v>
      </c>
      <c r="D2139" s="116">
        <v>2225</v>
      </c>
      <c r="E2139" s="116">
        <v>2324.4</v>
      </c>
      <c r="F2139" s="116">
        <v>2349.9</v>
      </c>
      <c r="G2139">
        <v>6337</v>
      </c>
      <c r="H2139" s="116"/>
      <c r="I2139" s="116"/>
      <c r="L2139" s="170">
        <v>45154</v>
      </c>
      <c r="M2139" s="116">
        <v>2345.65</v>
      </c>
      <c r="N2139" s="116">
        <v>2366.8000000000002</v>
      </c>
      <c r="O2139" s="116">
        <v>2223</v>
      </c>
      <c r="P2139" s="116">
        <v>2280.15</v>
      </c>
      <c r="Q2139" s="116">
        <v>2345.65</v>
      </c>
      <c r="R2139">
        <v>212987</v>
      </c>
    </row>
    <row r="2140" spans="1:18" x14ac:dyDescent="0.25">
      <c r="A2140" s="170">
        <v>45155</v>
      </c>
      <c r="B2140" s="116">
        <v>2453.8000000000002</v>
      </c>
      <c r="C2140" s="116">
        <v>2415.8000000000002</v>
      </c>
      <c r="D2140" s="116">
        <v>2346.8000000000002</v>
      </c>
      <c r="E2140" s="116">
        <v>2350</v>
      </c>
      <c r="F2140" s="116">
        <v>2415.8000000000002</v>
      </c>
      <c r="G2140">
        <v>31780</v>
      </c>
      <c r="H2140" s="116"/>
      <c r="I2140" s="116"/>
      <c r="L2140" s="170">
        <v>45155</v>
      </c>
      <c r="M2140" s="116">
        <v>2415.3000000000002</v>
      </c>
      <c r="N2140" s="116">
        <v>2454.15</v>
      </c>
      <c r="O2140" s="116">
        <v>2350</v>
      </c>
      <c r="P2140" s="116">
        <v>2356.9</v>
      </c>
      <c r="Q2140" s="116">
        <v>2415.3000000000002</v>
      </c>
      <c r="R2140">
        <v>361173</v>
      </c>
    </row>
    <row r="2141" spans="1:18" x14ac:dyDescent="0.25">
      <c r="A2141" s="170">
        <v>45156</v>
      </c>
      <c r="B2141" s="116">
        <v>2485.1999999999998</v>
      </c>
      <c r="C2141" s="116">
        <v>2454.35</v>
      </c>
      <c r="D2141" s="116">
        <v>2427.1999999999998</v>
      </c>
      <c r="E2141" s="116">
        <v>2439.9499999999998</v>
      </c>
      <c r="F2141" s="116">
        <v>2454.35</v>
      </c>
      <c r="G2141">
        <v>30221</v>
      </c>
      <c r="H2141" s="116"/>
      <c r="I2141" s="116"/>
      <c r="L2141" s="170">
        <v>45156</v>
      </c>
      <c r="M2141" s="116">
        <v>2454.75</v>
      </c>
      <c r="N2141" s="116">
        <v>2485.9499999999998</v>
      </c>
      <c r="O2141" s="116">
        <v>2422</v>
      </c>
      <c r="P2141" s="116">
        <v>2428.9499999999998</v>
      </c>
      <c r="Q2141" s="116">
        <v>2454.75</v>
      </c>
      <c r="R2141">
        <v>573159</v>
      </c>
    </row>
    <row r="2142" spans="1:18" x14ac:dyDescent="0.25">
      <c r="A2142" s="170">
        <v>45159</v>
      </c>
      <c r="B2142" s="116">
        <v>2528</v>
      </c>
      <c r="C2142" s="116">
        <v>2521.85</v>
      </c>
      <c r="D2142" s="116">
        <v>2484.9499999999998</v>
      </c>
      <c r="E2142" s="116">
        <v>2494.9499999999998</v>
      </c>
      <c r="F2142" s="116">
        <v>2521.85</v>
      </c>
      <c r="G2142">
        <v>12081</v>
      </c>
      <c r="H2142" s="116"/>
      <c r="I2142" s="116"/>
      <c r="L2142" s="170">
        <v>45159</v>
      </c>
      <c r="M2142" s="116">
        <v>2522.9</v>
      </c>
      <c r="N2142" s="116">
        <v>2529</v>
      </c>
      <c r="O2142" s="116">
        <v>2474.6</v>
      </c>
      <c r="P2142" s="116">
        <v>2485.15</v>
      </c>
      <c r="Q2142" s="116">
        <v>2522.9</v>
      </c>
      <c r="R2142">
        <v>441391</v>
      </c>
    </row>
    <row r="2143" spans="1:18" x14ac:dyDescent="0.25">
      <c r="A2143" s="170">
        <v>45160</v>
      </c>
      <c r="B2143" s="116">
        <v>2563.4</v>
      </c>
      <c r="C2143" s="116">
        <v>2544.85</v>
      </c>
      <c r="D2143" s="116">
        <v>2534.9499999999998</v>
      </c>
      <c r="E2143" s="116">
        <v>2550</v>
      </c>
      <c r="F2143" s="116">
        <v>2544.85</v>
      </c>
      <c r="G2143">
        <v>3374</v>
      </c>
      <c r="H2143" s="116"/>
      <c r="I2143" s="116"/>
      <c r="L2143" s="170">
        <v>45160</v>
      </c>
      <c r="M2143" s="116">
        <v>2545.5500000000002</v>
      </c>
      <c r="N2143" s="116">
        <v>2562</v>
      </c>
      <c r="O2143" s="116">
        <v>2533.4499999999998</v>
      </c>
      <c r="P2143" s="116">
        <v>2550</v>
      </c>
      <c r="Q2143" s="116">
        <v>2545.5500000000002</v>
      </c>
      <c r="R2143">
        <v>157055</v>
      </c>
    </row>
    <row r="2144" spans="1:18" x14ac:dyDescent="0.25">
      <c r="A2144" s="170">
        <v>45161</v>
      </c>
      <c r="B2144" s="116">
        <v>2592</v>
      </c>
      <c r="C2144" s="116">
        <v>2576.8000000000002</v>
      </c>
      <c r="D2144" s="116">
        <v>2510.0500000000002</v>
      </c>
      <c r="E2144" s="116">
        <v>2510.0500000000002</v>
      </c>
      <c r="F2144" s="116">
        <v>2576.8000000000002</v>
      </c>
      <c r="G2144">
        <v>2983</v>
      </c>
      <c r="H2144" s="116"/>
      <c r="I2144" s="116"/>
      <c r="L2144" s="170">
        <v>45161</v>
      </c>
      <c r="M2144" s="116">
        <v>2580</v>
      </c>
      <c r="N2144" s="116">
        <v>2593.4499999999998</v>
      </c>
      <c r="O2144" s="116">
        <v>2526.0500000000002</v>
      </c>
      <c r="P2144" s="116">
        <v>2545</v>
      </c>
      <c r="Q2144" s="116">
        <v>2580</v>
      </c>
      <c r="R2144">
        <v>147239</v>
      </c>
    </row>
    <row r="2145" spans="1:18" x14ac:dyDescent="0.25">
      <c r="A2145" s="170">
        <v>45162</v>
      </c>
      <c r="B2145" s="116">
        <v>2626</v>
      </c>
      <c r="C2145" s="116">
        <v>2618.4499999999998</v>
      </c>
      <c r="D2145" s="116">
        <v>2585</v>
      </c>
      <c r="E2145" s="116">
        <v>2585</v>
      </c>
      <c r="F2145" s="116">
        <v>2618.4499999999998</v>
      </c>
      <c r="G2145">
        <v>3471</v>
      </c>
      <c r="H2145" s="116"/>
      <c r="I2145" s="116"/>
      <c r="L2145" s="170">
        <v>45162</v>
      </c>
      <c r="M2145" s="116">
        <v>2618.25</v>
      </c>
      <c r="N2145" s="116">
        <v>2627</v>
      </c>
      <c r="O2145" s="116">
        <v>2590</v>
      </c>
      <c r="P2145" s="116">
        <v>2598.8000000000002</v>
      </c>
      <c r="Q2145" s="116">
        <v>2618.25</v>
      </c>
      <c r="R2145">
        <v>290762</v>
      </c>
    </row>
    <row r="2146" spans="1:18" x14ac:dyDescent="0.25">
      <c r="A2146" s="170">
        <v>45163</v>
      </c>
      <c r="B2146" s="116">
        <v>2624.6</v>
      </c>
      <c r="C2146" s="116">
        <v>2616.35</v>
      </c>
      <c r="D2146" s="116">
        <v>2555.6</v>
      </c>
      <c r="E2146" s="116">
        <v>2618</v>
      </c>
      <c r="F2146" s="116">
        <v>2616.35</v>
      </c>
      <c r="G2146">
        <v>13942</v>
      </c>
      <c r="H2146" s="116"/>
      <c r="I2146" s="116"/>
      <c r="L2146" s="170">
        <v>45163</v>
      </c>
      <c r="M2146" s="116">
        <v>2614.6</v>
      </c>
      <c r="N2146" s="116">
        <v>2630</v>
      </c>
      <c r="O2146" s="116">
        <v>2556.1</v>
      </c>
      <c r="P2146" s="116">
        <v>2600</v>
      </c>
      <c r="Q2146" s="116">
        <v>2614.6</v>
      </c>
      <c r="R2146">
        <v>196170</v>
      </c>
    </row>
    <row r="2147" spans="1:18" x14ac:dyDescent="0.25">
      <c r="A2147" s="170">
        <v>45166</v>
      </c>
      <c r="B2147" s="116">
        <v>2638.95</v>
      </c>
      <c r="C2147" s="116">
        <v>2608.5500000000002</v>
      </c>
      <c r="D2147" s="116">
        <v>2595.6</v>
      </c>
      <c r="E2147" s="116">
        <v>2638.95</v>
      </c>
      <c r="F2147" s="116">
        <v>2608.5500000000002</v>
      </c>
      <c r="G2147">
        <v>8233</v>
      </c>
      <c r="H2147" s="116"/>
      <c r="I2147" s="116"/>
      <c r="L2147" s="170">
        <v>45166</v>
      </c>
      <c r="M2147" s="116">
        <v>2607.4499999999998</v>
      </c>
      <c r="N2147" s="116">
        <v>2638.5</v>
      </c>
      <c r="O2147" s="116">
        <v>2595.0500000000002</v>
      </c>
      <c r="P2147" s="116">
        <v>2626</v>
      </c>
      <c r="Q2147" s="116">
        <v>2607.4499999999998</v>
      </c>
      <c r="R2147">
        <v>266512</v>
      </c>
    </row>
    <row r="2148" spans="1:18" x14ac:dyDescent="0.25">
      <c r="A2148" s="170">
        <v>45167</v>
      </c>
      <c r="B2148" s="116">
        <v>2629.1</v>
      </c>
      <c r="C2148" s="116">
        <v>2620.6999999999998</v>
      </c>
      <c r="D2148" s="116">
        <v>2574.0500000000002</v>
      </c>
      <c r="E2148" s="116">
        <v>2574.0500000000002</v>
      </c>
      <c r="F2148" s="116">
        <v>2620.6999999999998</v>
      </c>
      <c r="G2148">
        <v>7297</v>
      </c>
      <c r="H2148" s="116"/>
      <c r="I2148" s="116"/>
      <c r="L2148" s="170">
        <v>45167</v>
      </c>
      <c r="M2148" s="116">
        <v>2618.9499999999998</v>
      </c>
      <c r="N2148" s="116">
        <v>2628</v>
      </c>
      <c r="O2148" s="116">
        <v>2585</v>
      </c>
      <c r="P2148" s="116">
        <v>2608.4</v>
      </c>
      <c r="Q2148" s="116">
        <v>2618.9499999999998</v>
      </c>
      <c r="R2148">
        <v>99043</v>
      </c>
    </row>
    <row r="2149" spans="1:18" x14ac:dyDescent="0.25">
      <c r="A2149" s="170">
        <v>45168</v>
      </c>
      <c r="B2149" s="116">
        <v>2715.3</v>
      </c>
      <c r="C2149" s="116">
        <v>2684.95</v>
      </c>
      <c r="D2149" s="116">
        <v>2628.2</v>
      </c>
      <c r="E2149" s="116">
        <v>2639.95</v>
      </c>
      <c r="F2149" s="116">
        <v>2684.95</v>
      </c>
      <c r="G2149">
        <v>17366</v>
      </c>
      <c r="H2149" s="116"/>
      <c r="I2149" s="116"/>
      <c r="L2149" s="170">
        <v>45168</v>
      </c>
      <c r="M2149" s="116">
        <v>2684.15</v>
      </c>
      <c r="N2149" s="116">
        <v>2717.85</v>
      </c>
      <c r="O2149" s="116">
        <v>2631.2</v>
      </c>
      <c r="P2149" s="116">
        <v>2635</v>
      </c>
      <c r="Q2149" s="116">
        <v>2684.15</v>
      </c>
      <c r="R2149">
        <v>451237</v>
      </c>
    </row>
    <row r="2150" spans="1:18" x14ac:dyDescent="0.25">
      <c r="A2150" s="170">
        <v>45169</v>
      </c>
      <c r="B2150" s="116">
        <v>2719</v>
      </c>
      <c r="C2150" s="116">
        <v>2706.9</v>
      </c>
      <c r="D2150" s="116">
        <v>2668.2</v>
      </c>
      <c r="E2150" s="116">
        <v>2700</v>
      </c>
      <c r="F2150" s="116">
        <v>2706.9</v>
      </c>
      <c r="G2150">
        <v>13291</v>
      </c>
      <c r="H2150" s="116"/>
      <c r="I2150" s="116"/>
      <c r="L2150" s="170">
        <v>45169</v>
      </c>
      <c r="M2150" s="116">
        <v>2707.5</v>
      </c>
      <c r="N2150" s="116">
        <v>2719.9</v>
      </c>
      <c r="O2150" s="116">
        <v>2666.3</v>
      </c>
      <c r="P2150" s="116">
        <v>2699.95</v>
      </c>
      <c r="Q2150" s="116">
        <v>2707.5</v>
      </c>
      <c r="R2150">
        <v>239004</v>
      </c>
    </row>
    <row r="2151" spans="1:18" x14ac:dyDescent="0.25">
      <c r="A2151" s="170">
        <v>45170</v>
      </c>
      <c r="B2151" s="116">
        <v>2723.25</v>
      </c>
      <c r="C2151" s="116">
        <v>2682.25</v>
      </c>
      <c r="D2151" s="116">
        <v>2662.1</v>
      </c>
      <c r="E2151" s="116">
        <v>2723.2</v>
      </c>
      <c r="F2151" s="116">
        <v>2682.25</v>
      </c>
      <c r="G2151">
        <v>3592</v>
      </c>
      <c r="H2151" s="116"/>
      <c r="I2151" s="116"/>
      <c r="L2151" s="170">
        <v>45170</v>
      </c>
      <c r="M2151" s="116">
        <v>2681.4</v>
      </c>
      <c r="N2151" s="116">
        <v>2724.95</v>
      </c>
      <c r="O2151" s="116">
        <v>2662.25</v>
      </c>
      <c r="P2151" s="116">
        <v>2712.55</v>
      </c>
      <c r="Q2151" s="116">
        <v>2681.4</v>
      </c>
      <c r="R2151">
        <v>187873</v>
      </c>
    </row>
    <row r="2152" spans="1:18" x14ac:dyDescent="0.25">
      <c r="A2152" s="170">
        <v>45173</v>
      </c>
      <c r="B2152" s="116">
        <v>2682.25</v>
      </c>
      <c r="C2152" s="116">
        <v>2602.6999999999998</v>
      </c>
      <c r="D2152" s="116">
        <v>2593.1</v>
      </c>
      <c r="E2152" s="116">
        <v>2681.4</v>
      </c>
      <c r="F2152" s="116">
        <v>2602.6999999999998</v>
      </c>
      <c r="G2152">
        <v>21939</v>
      </c>
      <c r="H2152" s="116"/>
      <c r="I2152" s="116"/>
      <c r="L2152" s="170">
        <v>45173</v>
      </c>
      <c r="M2152" s="116">
        <v>2603.9</v>
      </c>
      <c r="N2152" s="116">
        <v>2689.85</v>
      </c>
      <c r="O2152" s="116">
        <v>2595</v>
      </c>
      <c r="P2152" s="116">
        <v>2681.3</v>
      </c>
      <c r="Q2152" s="116">
        <v>2603.9</v>
      </c>
      <c r="R2152">
        <v>201320</v>
      </c>
    </row>
    <row r="2153" spans="1:18" x14ac:dyDescent="0.25">
      <c r="A2153" s="170">
        <v>45174</v>
      </c>
      <c r="B2153" s="116">
        <v>2656.15</v>
      </c>
      <c r="C2153" s="116">
        <v>2628.35</v>
      </c>
      <c r="D2153" s="116">
        <v>2586.8000000000002</v>
      </c>
      <c r="E2153" s="116">
        <v>2650</v>
      </c>
      <c r="F2153" s="116">
        <v>2628.35</v>
      </c>
      <c r="G2153">
        <v>4706</v>
      </c>
      <c r="H2153" s="116"/>
      <c r="I2153" s="116"/>
      <c r="L2153" s="170">
        <v>45174</v>
      </c>
      <c r="M2153" s="116">
        <v>2627.4</v>
      </c>
      <c r="N2153" s="116">
        <v>2657.8</v>
      </c>
      <c r="O2153" s="116">
        <v>2586.0500000000002</v>
      </c>
      <c r="P2153" s="116">
        <v>2638</v>
      </c>
      <c r="Q2153" s="116">
        <v>2627.4</v>
      </c>
      <c r="R2153">
        <v>200772</v>
      </c>
    </row>
    <row r="2154" spans="1:18" x14ac:dyDescent="0.25">
      <c r="A2154" s="170">
        <v>45175</v>
      </c>
      <c r="B2154" s="116">
        <v>2635.25</v>
      </c>
      <c r="C2154" s="116">
        <v>2569.25</v>
      </c>
      <c r="D2154" s="116">
        <v>2560.9499999999998</v>
      </c>
      <c r="E2154" s="116">
        <v>2633.1</v>
      </c>
      <c r="F2154" s="116">
        <v>2569.25</v>
      </c>
      <c r="G2154">
        <v>13969</v>
      </c>
      <c r="H2154" s="116"/>
      <c r="I2154" s="116"/>
      <c r="L2154" s="170">
        <v>45175</v>
      </c>
      <c r="M2154" s="116">
        <v>2567.15</v>
      </c>
      <c r="N2154" s="116">
        <v>2640.85</v>
      </c>
      <c r="O2154" s="116">
        <v>2560.1999999999998</v>
      </c>
      <c r="P2154" s="116">
        <v>2640.55</v>
      </c>
      <c r="Q2154" s="116">
        <v>2567.15</v>
      </c>
      <c r="R2154">
        <v>203543</v>
      </c>
    </row>
    <row r="2155" spans="1:18" x14ac:dyDescent="0.25">
      <c r="A2155" s="170">
        <v>45176</v>
      </c>
      <c r="B2155" s="116">
        <v>2586.25</v>
      </c>
      <c r="C2155" s="116">
        <v>2547.5</v>
      </c>
      <c r="D2155" s="116">
        <v>2539.35</v>
      </c>
      <c r="E2155" s="116">
        <v>2583.0500000000002</v>
      </c>
      <c r="F2155" s="116">
        <v>2547.5</v>
      </c>
      <c r="G2155">
        <v>10366</v>
      </c>
      <c r="H2155" s="116"/>
      <c r="I2155" s="116"/>
      <c r="L2155" s="170">
        <v>45176</v>
      </c>
      <c r="M2155" s="116">
        <v>2547.8000000000002</v>
      </c>
      <c r="N2155" s="116">
        <v>2588.85</v>
      </c>
      <c r="O2155" s="116">
        <v>2539.9499999999998</v>
      </c>
      <c r="P2155" s="116">
        <v>2588.85</v>
      </c>
      <c r="Q2155" s="116">
        <v>2547.8000000000002</v>
      </c>
      <c r="R2155">
        <v>207312</v>
      </c>
    </row>
    <row r="2156" spans="1:18" x14ac:dyDescent="0.25">
      <c r="A2156" s="170">
        <v>45177</v>
      </c>
      <c r="B2156" s="116">
        <v>2573.75</v>
      </c>
      <c r="C2156" s="116">
        <v>2517.6</v>
      </c>
      <c r="D2156" s="116">
        <v>2480</v>
      </c>
      <c r="E2156" s="116">
        <v>2573.75</v>
      </c>
      <c r="F2156" s="116">
        <v>2517.6</v>
      </c>
      <c r="G2156">
        <v>7207</v>
      </c>
      <c r="H2156" s="116"/>
      <c r="I2156" s="116"/>
      <c r="L2156" s="170">
        <v>45177</v>
      </c>
      <c r="M2156" s="116">
        <v>2518.4499999999998</v>
      </c>
      <c r="N2156" s="116">
        <v>2568.9</v>
      </c>
      <c r="O2156" s="116">
        <v>2476.35</v>
      </c>
      <c r="P2156" s="116">
        <v>2564.8000000000002</v>
      </c>
      <c r="Q2156" s="116">
        <v>2518.4499999999998</v>
      </c>
      <c r="R2156">
        <v>345522</v>
      </c>
    </row>
    <row r="2157" spans="1:18" x14ac:dyDescent="0.25">
      <c r="A2157" s="170">
        <v>45180</v>
      </c>
      <c r="B2157" s="116">
        <v>2601</v>
      </c>
      <c r="C2157" s="116">
        <v>2591.4499999999998</v>
      </c>
      <c r="D2157" s="116">
        <v>2517.6</v>
      </c>
      <c r="E2157" s="116">
        <v>2517.6</v>
      </c>
      <c r="F2157" s="116">
        <v>2591.4499999999998</v>
      </c>
      <c r="G2157">
        <v>7503</v>
      </c>
      <c r="H2157" s="116"/>
      <c r="I2157" s="116"/>
      <c r="L2157" s="170">
        <v>45180</v>
      </c>
      <c r="M2157" s="116">
        <v>2593.0500000000002</v>
      </c>
      <c r="N2157" s="116">
        <v>2599.85</v>
      </c>
      <c r="O2157" s="116">
        <v>2530.0500000000002</v>
      </c>
      <c r="P2157" s="116">
        <v>2545.3000000000002</v>
      </c>
      <c r="Q2157" s="116">
        <v>2593.0500000000002</v>
      </c>
      <c r="R2157">
        <v>312594</v>
      </c>
    </row>
    <row r="2158" spans="1:18" x14ac:dyDescent="0.25">
      <c r="A2158" s="170">
        <v>45181</v>
      </c>
      <c r="B2158" s="116">
        <v>2641</v>
      </c>
      <c r="C2158" s="116">
        <v>2560.65</v>
      </c>
      <c r="D2158" s="116">
        <v>2503.5500000000002</v>
      </c>
      <c r="E2158" s="116">
        <v>2593</v>
      </c>
      <c r="F2158" s="116">
        <v>2560.65</v>
      </c>
      <c r="G2158">
        <v>11379</v>
      </c>
      <c r="H2158" s="116"/>
      <c r="I2158" s="116"/>
      <c r="L2158" s="170">
        <v>45181</v>
      </c>
      <c r="M2158" s="116">
        <v>2563.85</v>
      </c>
      <c r="N2158" s="116">
        <v>2643.3</v>
      </c>
      <c r="O2158" s="116">
        <v>2503.5500000000002</v>
      </c>
      <c r="P2158" s="116">
        <v>2613.9499999999998</v>
      </c>
      <c r="Q2158" s="116">
        <v>2563.85</v>
      </c>
      <c r="R2158">
        <v>483036</v>
      </c>
    </row>
    <row r="2159" spans="1:18" x14ac:dyDescent="0.25">
      <c r="A2159" s="170">
        <v>45182</v>
      </c>
      <c r="B2159" s="116">
        <v>2605</v>
      </c>
      <c r="C2159" s="116">
        <v>2574.4</v>
      </c>
      <c r="D2159" s="116">
        <v>2486</v>
      </c>
      <c r="E2159" s="116">
        <v>2514.75</v>
      </c>
      <c r="F2159" s="116">
        <v>2574.4</v>
      </c>
      <c r="G2159">
        <v>4709</v>
      </c>
      <c r="H2159" s="116"/>
      <c r="I2159" s="116"/>
      <c r="L2159" s="170">
        <v>45182</v>
      </c>
      <c r="M2159" s="116">
        <v>2576.1</v>
      </c>
      <c r="N2159" s="116">
        <v>2604.9499999999998</v>
      </c>
      <c r="O2159" s="116">
        <v>2485.1</v>
      </c>
      <c r="P2159" s="116">
        <v>2565</v>
      </c>
      <c r="Q2159" s="116">
        <v>2576.1</v>
      </c>
      <c r="R2159">
        <v>242626</v>
      </c>
    </row>
    <row r="2160" spans="1:18" x14ac:dyDescent="0.25">
      <c r="A2160" s="170">
        <v>45183</v>
      </c>
      <c r="B2160" s="116">
        <v>2644.95</v>
      </c>
      <c r="C2160" s="116">
        <v>2626.7</v>
      </c>
      <c r="D2160" s="116">
        <v>2575.0500000000002</v>
      </c>
      <c r="E2160" s="116">
        <v>2597.85</v>
      </c>
      <c r="F2160" s="116">
        <v>2626.7</v>
      </c>
      <c r="G2160">
        <v>4836</v>
      </c>
      <c r="H2160" s="116"/>
      <c r="I2160" s="116"/>
      <c r="L2160" s="170">
        <v>45183</v>
      </c>
      <c r="M2160" s="116">
        <v>2630.3</v>
      </c>
      <c r="N2160" s="116">
        <v>2646.7</v>
      </c>
      <c r="O2160" s="116">
        <v>2578.1</v>
      </c>
      <c r="P2160" s="116">
        <v>2593.9</v>
      </c>
      <c r="Q2160" s="116">
        <v>2630.3</v>
      </c>
      <c r="R2160">
        <v>197236</v>
      </c>
    </row>
    <row r="2161" spans="1:18" x14ac:dyDescent="0.25">
      <c r="A2161" s="170">
        <v>45184</v>
      </c>
      <c r="B2161" s="116">
        <v>2672.9</v>
      </c>
      <c r="C2161" s="116">
        <v>2656.05</v>
      </c>
      <c r="D2161" s="116">
        <v>2598.6</v>
      </c>
      <c r="E2161" s="116">
        <v>2646</v>
      </c>
      <c r="F2161" s="116">
        <v>2656.05</v>
      </c>
      <c r="G2161">
        <v>5133</v>
      </c>
      <c r="H2161" s="116"/>
      <c r="I2161" s="116"/>
      <c r="L2161" s="170">
        <v>45184</v>
      </c>
      <c r="M2161" s="116">
        <v>2651.65</v>
      </c>
      <c r="N2161" s="116">
        <v>2672</v>
      </c>
      <c r="O2161" s="116">
        <v>2595.1999999999998</v>
      </c>
      <c r="P2161" s="116">
        <v>2643.5</v>
      </c>
      <c r="Q2161" s="116">
        <v>2651.65</v>
      </c>
      <c r="R2161">
        <v>338057</v>
      </c>
    </row>
    <row r="2162" spans="1:18" x14ac:dyDescent="0.25">
      <c r="A2162" s="170">
        <v>45187</v>
      </c>
      <c r="B2162" s="116">
        <v>2671.95</v>
      </c>
      <c r="C2162" s="116">
        <v>2626.75</v>
      </c>
      <c r="D2162" s="116">
        <v>2609.4499999999998</v>
      </c>
      <c r="E2162" s="116">
        <v>2670</v>
      </c>
      <c r="F2162" s="116">
        <v>2626.75</v>
      </c>
      <c r="G2162">
        <v>23618</v>
      </c>
      <c r="H2162" s="116"/>
      <c r="I2162" s="116"/>
      <c r="L2162" s="170">
        <v>45187</v>
      </c>
      <c r="M2162" s="116">
        <v>2627.05</v>
      </c>
      <c r="N2162" s="116">
        <v>2682.75</v>
      </c>
      <c r="O2162" s="116">
        <v>2605.5</v>
      </c>
      <c r="P2162" s="116">
        <v>2682.75</v>
      </c>
      <c r="Q2162" s="116">
        <v>2627.05</v>
      </c>
      <c r="R2162">
        <v>276325</v>
      </c>
    </row>
    <row r="2163" spans="1:18" x14ac:dyDescent="0.25">
      <c r="A2163" s="170">
        <v>45189</v>
      </c>
      <c r="B2163" s="116">
        <v>2630.95</v>
      </c>
      <c r="C2163" s="116">
        <v>2606.1</v>
      </c>
      <c r="D2163" s="116">
        <v>2585</v>
      </c>
      <c r="E2163" s="116">
        <v>2606.8000000000002</v>
      </c>
      <c r="F2163" s="116">
        <v>2606.1</v>
      </c>
      <c r="G2163">
        <v>4793</v>
      </c>
      <c r="H2163" s="116"/>
      <c r="I2163" s="116"/>
      <c r="L2163" s="170">
        <v>45189</v>
      </c>
      <c r="M2163" s="116">
        <v>2597.9</v>
      </c>
      <c r="N2163" s="116">
        <v>2633.25</v>
      </c>
      <c r="O2163" s="116">
        <v>2581.35</v>
      </c>
      <c r="P2163" s="116">
        <v>2627</v>
      </c>
      <c r="Q2163" s="116">
        <v>2597.9</v>
      </c>
      <c r="R2163">
        <v>150192</v>
      </c>
    </row>
    <row r="2164" spans="1:18" x14ac:dyDescent="0.25">
      <c r="A2164" s="170">
        <v>45190</v>
      </c>
      <c r="B2164" s="116">
        <v>2600.0500000000002</v>
      </c>
      <c r="C2164" s="116">
        <v>2573.1999999999998</v>
      </c>
      <c r="D2164" s="116">
        <v>2560</v>
      </c>
      <c r="E2164" s="116">
        <v>2600.0500000000002</v>
      </c>
      <c r="F2164" s="116">
        <v>2573.1999999999998</v>
      </c>
      <c r="G2164">
        <v>7797</v>
      </c>
      <c r="H2164" s="116"/>
      <c r="I2164" s="116"/>
      <c r="L2164" s="170">
        <v>45190</v>
      </c>
      <c r="M2164" s="116">
        <v>2573.6</v>
      </c>
      <c r="N2164" s="116">
        <v>2597.9</v>
      </c>
      <c r="O2164" s="116">
        <v>2560</v>
      </c>
      <c r="P2164" s="116">
        <v>2597.9</v>
      </c>
      <c r="Q2164" s="116">
        <v>2573.6</v>
      </c>
      <c r="R2164">
        <v>106617</v>
      </c>
    </row>
    <row r="2165" spans="1:18" x14ac:dyDescent="0.25">
      <c r="A2165" s="170">
        <v>45191</v>
      </c>
      <c r="B2165" s="116">
        <v>2573.1999999999998</v>
      </c>
      <c r="C2165" s="116">
        <v>2481.1999999999998</v>
      </c>
      <c r="D2165" s="116">
        <v>2438.9</v>
      </c>
      <c r="E2165" s="116">
        <v>2573.1999999999998</v>
      </c>
      <c r="F2165" s="116">
        <v>2481.1999999999998</v>
      </c>
      <c r="G2165">
        <v>13018</v>
      </c>
      <c r="H2165" s="116"/>
      <c r="I2165" s="116"/>
      <c r="L2165" s="170">
        <v>45191</v>
      </c>
      <c r="M2165" s="116">
        <v>2479.6999999999998</v>
      </c>
      <c r="N2165" s="116">
        <v>2570</v>
      </c>
      <c r="O2165" s="116">
        <v>2431.3000000000002</v>
      </c>
      <c r="P2165" s="116">
        <v>2564</v>
      </c>
      <c r="Q2165" s="116">
        <v>2479.6999999999998</v>
      </c>
      <c r="R2165">
        <v>404893</v>
      </c>
    </row>
    <row r="2166" spans="1:18" x14ac:dyDescent="0.25">
      <c r="A2166" s="170">
        <v>45194</v>
      </c>
      <c r="B2166" s="116">
        <v>2462.0500000000002</v>
      </c>
      <c r="C2166" s="116">
        <v>2415.1999999999998</v>
      </c>
      <c r="D2166" s="116">
        <v>2364</v>
      </c>
      <c r="E2166" s="116">
        <v>2446.9</v>
      </c>
      <c r="F2166" s="116">
        <v>2415.1999999999998</v>
      </c>
      <c r="G2166">
        <v>31933</v>
      </c>
      <c r="H2166" s="116"/>
      <c r="I2166" s="116"/>
      <c r="L2166" s="170">
        <v>45194</v>
      </c>
      <c r="M2166" s="116">
        <v>2415.35</v>
      </c>
      <c r="N2166" s="116">
        <v>2479.6999999999998</v>
      </c>
      <c r="O2166" s="116">
        <v>2363</v>
      </c>
      <c r="P2166" s="116">
        <v>2431</v>
      </c>
      <c r="Q2166" s="116">
        <v>2415.35</v>
      </c>
      <c r="R2166">
        <v>372051</v>
      </c>
    </row>
    <row r="2167" spans="1:18" x14ac:dyDescent="0.25">
      <c r="A2167" s="170">
        <v>45195</v>
      </c>
      <c r="B2167" s="116">
        <v>2558</v>
      </c>
      <c r="C2167" s="116">
        <v>2507.1999999999998</v>
      </c>
      <c r="D2167" s="116">
        <v>2434.35</v>
      </c>
      <c r="E2167" s="116">
        <v>2435</v>
      </c>
      <c r="F2167" s="116">
        <v>2507.1999999999998</v>
      </c>
      <c r="G2167">
        <v>19914</v>
      </c>
      <c r="H2167" s="116"/>
      <c r="I2167" s="116"/>
      <c r="L2167" s="170">
        <v>45195</v>
      </c>
      <c r="M2167" s="116">
        <v>2508.9499999999998</v>
      </c>
      <c r="N2167" s="116">
        <v>2557</v>
      </c>
      <c r="O2167" s="116">
        <v>2435.75</v>
      </c>
      <c r="P2167" s="116">
        <v>2436.15</v>
      </c>
      <c r="Q2167" s="116">
        <v>2508.9499999999998</v>
      </c>
      <c r="R2167">
        <v>491368</v>
      </c>
    </row>
    <row r="2168" spans="1:18" x14ac:dyDescent="0.25">
      <c r="A2168" s="170">
        <v>45196</v>
      </c>
      <c r="B2168" s="116">
        <v>2635.55</v>
      </c>
      <c r="C2168" s="116">
        <v>2622.85</v>
      </c>
      <c r="D2168" s="116">
        <v>2507.1999999999998</v>
      </c>
      <c r="E2168" s="116">
        <v>2548.75</v>
      </c>
      <c r="F2168" s="116">
        <v>2622.85</v>
      </c>
      <c r="G2168">
        <v>10459</v>
      </c>
      <c r="H2168" s="116"/>
      <c r="I2168" s="116"/>
      <c r="L2168" s="170">
        <v>45196</v>
      </c>
      <c r="M2168" s="116">
        <v>2617.15</v>
      </c>
      <c r="N2168" s="116">
        <v>2626.05</v>
      </c>
      <c r="O2168" s="116">
        <v>2505</v>
      </c>
      <c r="P2168" s="116">
        <v>2525</v>
      </c>
      <c r="Q2168" s="116">
        <v>2617.15</v>
      </c>
      <c r="R2168">
        <v>423911</v>
      </c>
    </row>
    <row r="2169" spans="1:18" x14ac:dyDescent="0.25">
      <c r="A2169" s="170">
        <v>45197</v>
      </c>
      <c r="B2169" s="116">
        <v>2669.95</v>
      </c>
      <c r="C2169" s="116">
        <v>2658.25</v>
      </c>
      <c r="D2169" s="116">
        <v>2600</v>
      </c>
      <c r="E2169" s="116">
        <v>2669.95</v>
      </c>
      <c r="F2169" s="116">
        <v>2658.25</v>
      </c>
      <c r="G2169">
        <v>24689</v>
      </c>
      <c r="H2169" s="116"/>
      <c r="I2169" s="116"/>
      <c r="L2169" s="170">
        <v>45197</v>
      </c>
      <c r="M2169" s="116">
        <v>2658.8</v>
      </c>
      <c r="N2169" s="116">
        <v>2671</v>
      </c>
      <c r="O2169" s="116">
        <v>2600</v>
      </c>
      <c r="P2169" s="116">
        <v>2617.15</v>
      </c>
      <c r="Q2169" s="116">
        <v>2658.8</v>
      </c>
      <c r="R2169">
        <v>321974</v>
      </c>
    </row>
    <row r="2170" spans="1:18" x14ac:dyDescent="0.25">
      <c r="A2170" s="170">
        <v>45198</v>
      </c>
      <c r="B2170" s="116">
        <v>2665</v>
      </c>
      <c r="C2170" s="116">
        <v>2651.35</v>
      </c>
      <c r="D2170" s="116">
        <v>2614.75</v>
      </c>
      <c r="E2170" s="116">
        <v>2615.0500000000002</v>
      </c>
      <c r="F2170" s="116">
        <v>2651.35</v>
      </c>
      <c r="G2170">
        <v>4364</v>
      </c>
      <c r="H2170" s="116"/>
      <c r="I2170" s="116"/>
      <c r="L2170" s="170">
        <v>45198</v>
      </c>
      <c r="M2170" s="116">
        <v>2653.2</v>
      </c>
      <c r="N2170" s="116">
        <v>2669.95</v>
      </c>
      <c r="O2170" s="116">
        <v>2616</v>
      </c>
      <c r="P2170" s="116">
        <v>2665</v>
      </c>
      <c r="Q2170" s="116">
        <v>2653.2</v>
      </c>
      <c r="R2170">
        <v>275756</v>
      </c>
    </row>
    <row r="2171" spans="1:18" x14ac:dyDescent="0.25">
      <c r="A2171" s="170">
        <v>45202</v>
      </c>
      <c r="B2171" s="116">
        <v>2724</v>
      </c>
      <c r="C2171" s="116">
        <v>2700.85</v>
      </c>
      <c r="D2171" s="116">
        <v>2575</v>
      </c>
      <c r="E2171" s="116">
        <v>2640.05</v>
      </c>
      <c r="F2171" s="116">
        <v>2700.85</v>
      </c>
      <c r="G2171">
        <v>8189</v>
      </c>
      <c r="H2171" s="116"/>
      <c r="I2171" s="116"/>
      <c r="L2171" s="170">
        <v>45202</v>
      </c>
      <c r="M2171" s="116">
        <v>2700.6</v>
      </c>
      <c r="N2171" s="116">
        <v>2725</v>
      </c>
      <c r="O2171" s="116">
        <v>2575</v>
      </c>
      <c r="P2171" s="116">
        <v>2659.9</v>
      </c>
      <c r="Q2171" s="116">
        <v>2700.6</v>
      </c>
      <c r="R2171">
        <v>392069</v>
      </c>
    </row>
    <row r="2172" spans="1:18" x14ac:dyDescent="0.25">
      <c r="A2172" s="170">
        <v>45203</v>
      </c>
      <c r="B2172" s="116">
        <v>2713.25</v>
      </c>
      <c r="C2172" s="116">
        <v>2655.55</v>
      </c>
      <c r="D2172" s="116">
        <v>2640.05</v>
      </c>
      <c r="E2172" s="116">
        <v>2701</v>
      </c>
      <c r="F2172" s="116">
        <v>2655.55</v>
      </c>
      <c r="G2172">
        <v>10483</v>
      </c>
      <c r="H2172" s="116"/>
      <c r="I2172" s="116"/>
      <c r="L2172" s="170">
        <v>45203</v>
      </c>
      <c r="M2172" s="116">
        <v>2655.25</v>
      </c>
      <c r="N2172" s="116">
        <v>2710</v>
      </c>
      <c r="O2172" s="116">
        <v>2640</v>
      </c>
      <c r="P2172" s="116">
        <v>2709</v>
      </c>
      <c r="Q2172" s="116">
        <v>2655.25</v>
      </c>
      <c r="R2172">
        <v>346847</v>
      </c>
    </row>
    <row r="2173" spans="1:18" x14ac:dyDescent="0.25">
      <c r="A2173" s="170">
        <v>45204</v>
      </c>
      <c r="B2173" s="116">
        <v>2734.4</v>
      </c>
      <c r="C2173" s="116">
        <v>2699</v>
      </c>
      <c r="D2173" s="116">
        <v>2620.85</v>
      </c>
      <c r="E2173" s="116">
        <v>2660.05</v>
      </c>
      <c r="F2173" s="116">
        <v>2699</v>
      </c>
      <c r="G2173">
        <v>15108</v>
      </c>
      <c r="H2173" s="116"/>
      <c r="I2173" s="116"/>
      <c r="L2173" s="170">
        <v>45204</v>
      </c>
      <c r="M2173" s="116">
        <v>2698</v>
      </c>
      <c r="N2173" s="116">
        <v>2735</v>
      </c>
      <c r="O2173" s="116">
        <v>2624</v>
      </c>
      <c r="P2173" s="116">
        <v>2679.9</v>
      </c>
      <c r="Q2173" s="116">
        <v>2698</v>
      </c>
      <c r="R2173">
        <v>520925</v>
      </c>
    </row>
    <row r="2174" spans="1:18" x14ac:dyDescent="0.25">
      <c r="A2174" s="170">
        <v>45205</v>
      </c>
      <c r="B2174" s="116">
        <v>2739.2</v>
      </c>
      <c r="C2174" s="116">
        <v>2724.05</v>
      </c>
      <c r="D2174" s="116">
        <v>2685.05</v>
      </c>
      <c r="E2174" s="116">
        <v>2685.05</v>
      </c>
      <c r="F2174" s="116">
        <v>2724.05</v>
      </c>
      <c r="G2174">
        <v>13208</v>
      </c>
      <c r="H2174" s="116"/>
      <c r="I2174" s="116"/>
      <c r="L2174" s="170">
        <v>45205</v>
      </c>
      <c r="M2174" s="116">
        <v>2725.8</v>
      </c>
      <c r="N2174" s="116">
        <v>2740</v>
      </c>
      <c r="O2174" s="116">
        <v>2698</v>
      </c>
      <c r="P2174" s="116">
        <v>2700</v>
      </c>
      <c r="Q2174" s="116">
        <v>2725.8</v>
      </c>
      <c r="R2174">
        <v>205213</v>
      </c>
    </row>
    <row r="2175" spans="1:18" x14ac:dyDescent="0.25">
      <c r="A2175" s="170">
        <v>45208</v>
      </c>
      <c r="B2175" s="116">
        <v>2710</v>
      </c>
      <c r="C2175" s="116">
        <v>2676.25</v>
      </c>
      <c r="D2175" s="116">
        <v>2620.0500000000002</v>
      </c>
      <c r="E2175" s="116">
        <v>2620.0500000000002</v>
      </c>
      <c r="F2175" s="116">
        <v>2676.25</v>
      </c>
      <c r="G2175">
        <v>6253</v>
      </c>
      <c r="H2175" s="116"/>
      <c r="I2175" s="116"/>
      <c r="L2175" s="170">
        <v>45208</v>
      </c>
      <c r="M2175" s="116">
        <v>2672.7</v>
      </c>
      <c r="N2175" s="116">
        <v>2709.8</v>
      </c>
      <c r="O2175" s="116">
        <v>2644.95</v>
      </c>
      <c r="P2175" s="116">
        <v>2657.95</v>
      </c>
      <c r="Q2175" s="116">
        <v>2672.7</v>
      </c>
      <c r="R2175">
        <v>173841</v>
      </c>
    </row>
    <row r="2176" spans="1:18" x14ac:dyDescent="0.25">
      <c r="A2176" s="170">
        <v>45209</v>
      </c>
      <c r="B2176" s="116">
        <v>2719.45</v>
      </c>
      <c r="C2176" s="116">
        <v>2684.65</v>
      </c>
      <c r="D2176" s="116">
        <v>2661.95</v>
      </c>
      <c r="E2176" s="116">
        <v>2687.15</v>
      </c>
      <c r="F2176" s="116">
        <v>2684.65</v>
      </c>
      <c r="G2176">
        <v>8512</v>
      </c>
      <c r="H2176" s="116"/>
      <c r="I2176" s="116"/>
      <c r="L2176" s="170">
        <v>45209</v>
      </c>
      <c r="M2176" s="116">
        <v>2684</v>
      </c>
      <c r="N2176" s="116">
        <v>2718.65</v>
      </c>
      <c r="O2176" s="116">
        <v>2665</v>
      </c>
      <c r="P2176" s="116">
        <v>2697.95</v>
      </c>
      <c r="Q2176" s="116">
        <v>2684</v>
      </c>
      <c r="R2176">
        <v>182368</v>
      </c>
    </row>
    <row r="2177" spans="1:18" x14ac:dyDescent="0.25">
      <c r="A2177" s="170">
        <v>45210</v>
      </c>
      <c r="B2177" s="116">
        <v>2699.75</v>
      </c>
      <c r="C2177" s="116">
        <v>2671.5</v>
      </c>
      <c r="D2177" s="116">
        <v>2650.95</v>
      </c>
      <c r="E2177" s="116">
        <v>2689</v>
      </c>
      <c r="F2177" s="116">
        <v>2671.5</v>
      </c>
      <c r="G2177">
        <v>9806</v>
      </c>
      <c r="H2177" s="116"/>
      <c r="I2177" s="116"/>
      <c r="L2177" s="170">
        <v>45210</v>
      </c>
      <c r="M2177" s="116">
        <v>2670.5</v>
      </c>
      <c r="N2177" s="116">
        <v>2701.45</v>
      </c>
      <c r="O2177" s="116">
        <v>2650.95</v>
      </c>
      <c r="P2177" s="116">
        <v>2697</v>
      </c>
      <c r="Q2177" s="116">
        <v>2670.5</v>
      </c>
      <c r="R2177">
        <v>314798</v>
      </c>
    </row>
    <row r="2178" spans="1:18" x14ac:dyDescent="0.25">
      <c r="A2178" s="170">
        <v>45211</v>
      </c>
      <c r="B2178" s="116">
        <v>2704.35</v>
      </c>
      <c r="C2178" s="116">
        <v>2697.95</v>
      </c>
      <c r="D2178" s="116">
        <v>2674.05</v>
      </c>
      <c r="E2178" s="116">
        <v>2695.95</v>
      </c>
      <c r="F2178" s="116">
        <v>2697.95</v>
      </c>
      <c r="G2178">
        <v>5711</v>
      </c>
      <c r="H2178" s="116"/>
      <c r="I2178" s="116"/>
      <c r="L2178" s="170">
        <v>45211</v>
      </c>
      <c r="M2178" s="116">
        <v>2698.55</v>
      </c>
      <c r="N2178" s="116">
        <v>2705.9</v>
      </c>
      <c r="O2178" s="116">
        <v>2675.05</v>
      </c>
      <c r="P2178" s="116">
        <v>2684</v>
      </c>
      <c r="Q2178" s="116">
        <v>2698.55</v>
      </c>
      <c r="R2178">
        <v>198401</v>
      </c>
    </row>
    <row r="2179" spans="1:18" x14ac:dyDescent="0.25">
      <c r="A2179" s="170">
        <v>45212</v>
      </c>
      <c r="B2179" s="116">
        <v>2763.4</v>
      </c>
      <c r="C2179" s="116">
        <v>2715</v>
      </c>
      <c r="D2179" s="116">
        <v>2670.05</v>
      </c>
      <c r="E2179" s="116">
        <v>2670.05</v>
      </c>
      <c r="F2179" s="116">
        <v>2715</v>
      </c>
      <c r="G2179">
        <v>6670</v>
      </c>
      <c r="H2179" s="116"/>
      <c r="I2179" s="116"/>
      <c r="L2179" s="170">
        <v>45212</v>
      </c>
      <c r="M2179" s="116">
        <v>2713.6</v>
      </c>
      <c r="N2179" s="116">
        <v>2765.95</v>
      </c>
      <c r="O2179" s="116">
        <v>2691</v>
      </c>
      <c r="P2179" s="116">
        <v>2691</v>
      </c>
      <c r="Q2179" s="116">
        <v>2713.6</v>
      </c>
      <c r="R2179">
        <v>168334</v>
      </c>
    </row>
    <row r="2180" spans="1:18" x14ac:dyDescent="0.25">
      <c r="A2180" s="170">
        <v>45215</v>
      </c>
      <c r="B2180" s="116">
        <v>2755</v>
      </c>
      <c r="C2180" s="116">
        <v>2673.3</v>
      </c>
      <c r="D2180" s="116">
        <v>2639.4</v>
      </c>
      <c r="E2180" s="116">
        <v>2742.95</v>
      </c>
      <c r="F2180" s="116">
        <v>2673.3</v>
      </c>
      <c r="G2180">
        <v>12326</v>
      </c>
      <c r="H2180" s="116"/>
      <c r="I2180" s="116"/>
      <c r="L2180" s="170">
        <v>45215</v>
      </c>
      <c r="M2180" s="116">
        <v>2684.45</v>
      </c>
      <c r="N2180" s="116">
        <v>2755.5</v>
      </c>
      <c r="O2180" s="116">
        <v>2665.7</v>
      </c>
      <c r="P2180" s="116">
        <v>2742</v>
      </c>
      <c r="Q2180" s="116">
        <v>2684.45</v>
      </c>
      <c r="R2180">
        <v>121084</v>
      </c>
    </row>
    <row r="2181" spans="1:18" x14ac:dyDescent="0.25">
      <c r="A2181" s="170">
        <v>45216</v>
      </c>
      <c r="B2181" s="116">
        <v>2725.55</v>
      </c>
      <c r="C2181" s="116">
        <v>2685.95</v>
      </c>
      <c r="D2181" s="116">
        <v>2671.4</v>
      </c>
      <c r="E2181" s="116">
        <v>2717.55</v>
      </c>
      <c r="F2181" s="116">
        <v>2685.95</v>
      </c>
      <c r="G2181">
        <v>4342</v>
      </c>
      <c r="H2181" s="116"/>
      <c r="I2181" s="116"/>
      <c r="L2181" s="170">
        <v>45216</v>
      </c>
      <c r="M2181" s="116">
        <v>2685.65</v>
      </c>
      <c r="N2181" s="116">
        <v>2730</v>
      </c>
      <c r="O2181" s="116">
        <v>2670</v>
      </c>
      <c r="P2181" s="116">
        <v>2709.9</v>
      </c>
      <c r="Q2181" s="116">
        <v>2685.65</v>
      </c>
      <c r="R2181">
        <v>170963</v>
      </c>
    </row>
    <row r="2182" spans="1:18" x14ac:dyDescent="0.25">
      <c r="A2182" s="170">
        <v>45217</v>
      </c>
      <c r="B2182" s="116">
        <v>2744.85</v>
      </c>
      <c r="C2182" s="116">
        <v>2722.95</v>
      </c>
      <c r="D2182" s="116">
        <v>2699.9</v>
      </c>
      <c r="E2182" s="116">
        <v>2719.4</v>
      </c>
      <c r="F2182" s="116">
        <v>2722.95</v>
      </c>
      <c r="G2182">
        <v>12611</v>
      </c>
      <c r="H2182" s="116"/>
      <c r="I2182" s="116"/>
      <c r="L2182" s="170">
        <v>45217</v>
      </c>
      <c r="M2182" s="116">
        <v>2722.45</v>
      </c>
      <c r="N2182" s="116">
        <v>2744.5</v>
      </c>
      <c r="O2182" s="116">
        <v>2692.25</v>
      </c>
      <c r="P2182" s="116">
        <v>2706.7</v>
      </c>
      <c r="Q2182" s="116">
        <v>2722.45</v>
      </c>
      <c r="R2182">
        <v>194343</v>
      </c>
    </row>
    <row r="2183" spans="1:18" x14ac:dyDescent="0.25">
      <c r="A2183" s="170">
        <v>45218</v>
      </c>
      <c r="B2183" s="116">
        <v>2710</v>
      </c>
      <c r="C2183" s="116">
        <v>2662.65</v>
      </c>
      <c r="D2183" s="116">
        <v>2653.6</v>
      </c>
      <c r="E2183" s="116">
        <v>2706.05</v>
      </c>
      <c r="F2183" s="116">
        <v>2662.65</v>
      </c>
      <c r="G2183">
        <v>6341</v>
      </c>
      <c r="H2183" s="116"/>
      <c r="I2183" s="116"/>
      <c r="L2183" s="170">
        <v>45218</v>
      </c>
      <c r="M2183" s="116">
        <v>2665.05</v>
      </c>
      <c r="N2183" s="116">
        <v>2720</v>
      </c>
      <c r="O2183" s="116">
        <v>2655.05</v>
      </c>
      <c r="P2183" s="116">
        <v>2715</v>
      </c>
      <c r="Q2183" s="116">
        <v>2665.05</v>
      </c>
      <c r="R2183">
        <v>147301</v>
      </c>
    </row>
    <row r="2184" spans="1:18" x14ac:dyDescent="0.25">
      <c r="A2184" s="170">
        <v>45219</v>
      </c>
      <c r="B2184" s="116">
        <v>2690.05</v>
      </c>
      <c r="C2184" s="116">
        <v>2628.8</v>
      </c>
      <c r="D2184" s="116">
        <v>2623.2</v>
      </c>
      <c r="E2184" s="116">
        <v>2654.65</v>
      </c>
      <c r="F2184" s="116">
        <v>2628.8</v>
      </c>
      <c r="G2184">
        <v>2043</v>
      </c>
      <c r="H2184" s="116"/>
      <c r="I2184" s="116"/>
      <c r="L2184" s="170">
        <v>45219</v>
      </c>
      <c r="M2184" s="116">
        <v>2629.2</v>
      </c>
      <c r="N2184" s="116">
        <v>2690</v>
      </c>
      <c r="O2184" s="116">
        <v>2621.25</v>
      </c>
      <c r="P2184" s="116">
        <v>2665.05</v>
      </c>
      <c r="Q2184" s="116">
        <v>2629.2</v>
      </c>
      <c r="R2184">
        <v>86450</v>
      </c>
    </row>
    <row r="2185" spans="1:18" x14ac:dyDescent="0.25">
      <c r="A2185" s="170">
        <v>45222</v>
      </c>
      <c r="B2185" s="116">
        <v>2629.65</v>
      </c>
      <c r="C2185" s="116">
        <v>2544.1</v>
      </c>
      <c r="D2185" s="116">
        <v>2529</v>
      </c>
      <c r="E2185" s="116">
        <v>2610.0500000000002</v>
      </c>
      <c r="F2185" s="116">
        <v>2544.1</v>
      </c>
      <c r="G2185">
        <v>3864</v>
      </c>
      <c r="H2185" s="116"/>
      <c r="I2185" s="116"/>
      <c r="L2185" s="170">
        <v>45222</v>
      </c>
      <c r="M2185" s="116">
        <v>2545.9</v>
      </c>
      <c r="N2185" s="116">
        <v>2629.2</v>
      </c>
      <c r="O2185" s="116">
        <v>2526.5</v>
      </c>
      <c r="P2185" s="116">
        <v>2629.2</v>
      </c>
      <c r="Q2185" s="116">
        <v>2545.9</v>
      </c>
      <c r="R2185">
        <v>273059</v>
      </c>
    </row>
    <row r="2186" spans="1:18" x14ac:dyDescent="0.25">
      <c r="A2186" s="170">
        <v>45224</v>
      </c>
      <c r="B2186" s="116">
        <v>2548.6</v>
      </c>
      <c r="C2186" s="116">
        <v>2455.6</v>
      </c>
      <c r="D2186" s="116">
        <v>2317</v>
      </c>
      <c r="E2186" s="116">
        <v>2548.5500000000002</v>
      </c>
      <c r="F2186" s="116">
        <v>2455.6</v>
      </c>
      <c r="G2186">
        <v>16714</v>
      </c>
      <c r="H2186" s="116"/>
      <c r="I2186" s="116"/>
      <c r="L2186" s="170">
        <v>45224</v>
      </c>
      <c r="M2186" s="116">
        <v>2450.1</v>
      </c>
      <c r="N2186" s="116">
        <v>2558.65</v>
      </c>
      <c r="O2186" s="116">
        <v>2356.6</v>
      </c>
      <c r="P2186" s="116">
        <v>2545.9</v>
      </c>
      <c r="Q2186" s="116">
        <v>2450.1</v>
      </c>
      <c r="R2186">
        <v>433461</v>
      </c>
    </row>
    <row r="2187" spans="1:18" x14ac:dyDescent="0.25">
      <c r="A2187" s="170">
        <v>45225</v>
      </c>
      <c r="B2187" s="116">
        <v>2523.85</v>
      </c>
      <c r="C2187" s="116">
        <v>2484.6</v>
      </c>
      <c r="D2187" s="116">
        <v>2356.1</v>
      </c>
      <c r="E2187" s="116">
        <v>2435</v>
      </c>
      <c r="F2187" s="116">
        <v>2484.6</v>
      </c>
      <c r="G2187">
        <v>23819</v>
      </c>
      <c r="H2187" s="116"/>
      <c r="I2187" s="116"/>
      <c r="L2187" s="170">
        <v>45225</v>
      </c>
      <c r="M2187" s="116">
        <v>2494.25</v>
      </c>
      <c r="N2187" s="116">
        <v>2524.85</v>
      </c>
      <c r="O2187" s="116">
        <v>2361.15</v>
      </c>
      <c r="P2187" s="116">
        <v>2450.1</v>
      </c>
      <c r="Q2187" s="116">
        <v>2494.25</v>
      </c>
      <c r="R2187">
        <v>290303</v>
      </c>
    </row>
    <row r="2188" spans="1:18" x14ac:dyDescent="0.25">
      <c r="A2188" s="170">
        <v>45226</v>
      </c>
      <c r="B2188" s="116">
        <v>2552.9</v>
      </c>
      <c r="C2188" s="116">
        <v>2511.25</v>
      </c>
      <c r="D2188" s="116">
        <v>2495</v>
      </c>
      <c r="E2188" s="116">
        <v>2552.9</v>
      </c>
      <c r="F2188" s="116">
        <v>2511.25</v>
      </c>
      <c r="G2188">
        <v>4460</v>
      </c>
      <c r="H2188" s="116"/>
      <c r="I2188" s="116"/>
      <c r="L2188" s="170">
        <v>45226</v>
      </c>
      <c r="M2188" s="116">
        <v>2510.3000000000002</v>
      </c>
      <c r="N2188" s="116">
        <v>2552</v>
      </c>
      <c r="O2188" s="116">
        <v>2494</v>
      </c>
      <c r="P2188" s="116">
        <v>2538.4499999999998</v>
      </c>
      <c r="Q2188" s="116">
        <v>2510.3000000000002</v>
      </c>
      <c r="R2188">
        <v>151416</v>
      </c>
    </row>
    <row r="2189" spans="1:18" x14ac:dyDescent="0.25">
      <c r="A2189" s="170">
        <v>45229</v>
      </c>
      <c r="B2189" s="116">
        <v>2513.8000000000002</v>
      </c>
      <c r="C2189" s="116">
        <v>2476.6999999999998</v>
      </c>
      <c r="D2189" s="116">
        <v>2410</v>
      </c>
      <c r="E2189" s="116">
        <v>2513.8000000000002</v>
      </c>
      <c r="F2189" s="116">
        <v>2476.6999999999998</v>
      </c>
      <c r="G2189">
        <v>33464</v>
      </c>
      <c r="H2189" s="116"/>
      <c r="I2189" s="116"/>
      <c r="L2189" s="170">
        <v>45229</v>
      </c>
      <c r="M2189" s="116">
        <v>2472.25</v>
      </c>
      <c r="N2189" s="116">
        <v>2519.9</v>
      </c>
      <c r="O2189" s="116">
        <v>2408.35</v>
      </c>
      <c r="P2189" s="116">
        <v>2519.9</v>
      </c>
      <c r="Q2189" s="116">
        <v>2472.25</v>
      </c>
      <c r="R2189">
        <v>296043</v>
      </c>
    </row>
    <row r="2190" spans="1:18" x14ac:dyDescent="0.25">
      <c r="A2190" s="170">
        <v>45230</v>
      </c>
      <c r="B2190" s="116">
        <v>2439.4</v>
      </c>
      <c r="C2190" s="116">
        <v>2401.85</v>
      </c>
      <c r="D2190" s="116">
        <v>2324.4499999999998</v>
      </c>
      <c r="E2190" s="116">
        <v>2410.0500000000002</v>
      </c>
      <c r="F2190" s="116">
        <v>2401.85</v>
      </c>
      <c r="G2190">
        <v>56309</v>
      </c>
      <c r="H2190" s="116"/>
      <c r="I2190" s="116"/>
      <c r="L2190" s="170">
        <v>45230</v>
      </c>
      <c r="M2190" s="116">
        <v>2402.4</v>
      </c>
      <c r="N2190" s="116">
        <v>2437.85</v>
      </c>
      <c r="O2190" s="116">
        <v>2321.1</v>
      </c>
      <c r="P2190" s="116">
        <v>2430</v>
      </c>
      <c r="Q2190" s="116">
        <v>2402.4</v>
      </c>
      <c r="R2190">
        <v>530865</v>
      </c>
    </row>
    <row r="2191" spans="1:18" x14ac:dyDescent="0.25">
      <c r="A2191" s="170">
        <v>45231</v>
      </c>
      <c r="B2191" s="116">
        <v>2492.9499999999998</v>
      </c>
      <c r="C2191" s="116">
        <v>2469.0500000000002</v>
      </c>
      <c r="D2191" s="116">
        <v>2415</v>
      </c>
      <c r="E2191" s="116">
        <v>2446.0500000000002</v>
      </c>
      <c r="F2191" s="116">
        <v>2469.0500000000002</v>
      </c>
      <c r="G2191">
        <v>10363</v>
      </c>
      <c r="H2191" s="116"/>
      <c r="I2191" s="116"/>
      <c r="L2191" s="170">
        <v>45231</v>
      </c>
      <c r="M2191" s="116">
        <v>2470.1</v>
      </c>
      <c r="N2191" s="116">
        <v>2494</v>
      </c>
      <c r="O2191" s="116">
        <v>2411.65</v>
      </c>
      <c r="P2191" s="116">
        <v>2452</v>
      </c>
      <c r="Q2191" s="116">
        <v>2470.1</v>
      </c>
      <c r="R2191">
        <v>629811</v>
      </c>
    </row>
    <row r="2192" spans="1:18" x14ac:dyDescent="0.25">
      <c r="A2192" s="170">
        <v>45232</v>
      </c>
      <c r="B2192" s="116">
        <v>2629.9</v>
      </c>
      <c r="C2192" s="116">
        <v>2595.35</v>
      </c>
      <c r="D2192" s="116">
        <v>2500.6</v>
      </c>
      <c r="E2192" s="116">
        <v>2502.4</v>
      </c>
      <c r="F2192" s="116">
        <v>2595.35</v>
      </c>
      <c r="G2192">
        <v>29986</v>
      </c>
      <c r="H2192" s="116"/>
      <c r="I2192" s="116"/>
      <c r="L2192" s="170">
        <v>45232</v>
      </c>
      <c r="M2192" s="116">
        <v>2585.6999999999998</v>
      </c>
      <c r="N2192" s="116">
        <v>2622</v>
      </c>
      <c r="O2192" s="116">
        <v>2500</v>
      </c>
      <c r="P2192" s="116">
        <v>2505</v>
      </c>
      <c r="Q2192" s="116">
        <v>2585.6999999999998</v>
      </c>
      <c r="R2192">
        <v>757976</v>
      </c>
    </row>
    <row r="2193" spans="1:18" x14ac:dyDescent="0.25">
      <c r="A2193" s="170">
        <v>45233</v>
      </c>
      <c r="B2193" s="116">
        <v>2648.1</v>
      </c>
      <c r="C2193" s="116">
        <v>2568.35</v>
      </c>
      <c r="D2193" s="116">
        <v>2552.4</v>
      </c>
      <c r="E2193" s="116">
        <v>2588.3000000000002</v>
      </c>
      <c r="F2193" s="116">
        <v>2568.35</v>
      </c>
      <c r="G2193">
        <v>13629</v>
      </c>
      <c r="H2193" s="116"/>
      <c r="I2193" s="116"/>
      <c r="L2193" s="170">
        <v>45233</v>
      </c>
      <c r="M2193" s="116">
        <v>2570</v>
      </c>
      <c r="N2193" s="116">
        <v>2648.4</v>
      </c>
      <c r="O2193" s="116">
        <v>2555.3000000000002</v>
      </c>
      <c r="P2193" s="116">
        <v>2586</v>
      </c>
      <c r="Q2193" s="116">
        <v>2570</v>
      </c>
      <c r="R2193">
        <v>277805</v>
      </c>
    </row>
    <row r="2194" spans="1:18" x14ac:dyDescent="0.25">
      <c r="A2194" s="170">
        <v>45236</v>
      </c>
      <c r="B2194" s="116">
        <v>2624.9</v>
      </c>
      <c r="C2194" s="116">
        <v>2591.35</v>
      </c>
      <c r="D2194" s="116">
        <v>2565.9499999999998</v>
      </c>
      <c r="E2194" s="116">
        <v>2619.75</v>
      </c>
      <c r="F2194" s="116">
        <v>2591.35</v>
      </c>
      <c r="G2194">
        <v>6699</v>
      </c>
      <c r="H2194" s="116"/>
      <c r="I2194" s="116"/>
      <c r="L2194" s="170">
        <v>45236</v>
      </c>
      <c r="M2194" s="116">
        <v>2593.1</v>
      </c>
      <c r="N2194" s="116">
        <v>2628</v>
      </c>
      <c r="O2194" s="116">
        <v>2564.0500000000002</v>
      </c>
      <c r="P2194" s="116">
        <v>2604.6999999999998</v>
      </c>
      <c r="Q2194" s="116">
        <v>2593.1</v>
      </c>
      <c r="R2194">
        <v>116235</v>
      </c>
    </row>
    <row r="2195" spans="1:18" x14ac:dyDescent="0.25">
      <c r="A2195" s="170">
        <v>45237</v>
      </c>
      <c r="B2195" s="116">
        <v>2592</v>
      </c>
      <c r="C2195" s="116">
        <v>2564.4</v>
      </c>
      <c r="D2195" s="116">
        <v>2554</v>
      </c>
      <c r="E2195" s="116">
        <v>2590</v>
      </c>
      <c r="F2195" s="116">
        <v>2564.4</v>
      </c>
      <c r="G2195">
        <v>1886</v>
      </c>
      <c r="H2195" s="116"/>
      <c r="I2195" s="116"/>
      <c r="L2195" s="170">
        <v>45237</v>
      </c>
      <c r="M2195" s="116">
        <v>2566.6</v>
      </c>
      <c r="N2195" s="116">
        <v>2595.75</v>
      </c>
      <c r="O2195" s="116">
        <v>2552.5</v>
      </c>
      <c r="P2195" s="116">
        <v>2593.1</v>
      </c>
      <c r="Q2195" s="116">
        <v>2566.6</v>
      </c>
      <c r="R2195">
        <v>68178</v>
      </c>
    </row>
    <row r="2196" spans="1:18" x14ac:dyDescent="0.25">
      <c r="A2196" s="170">
        <v>45238</v>
      </c>
      <c r="B2196" s="116">
        <v>2589.9499999999998</v>
      </c>
      <c r="C2196" s="116">
        <v>2553.9499999999998</v>
      </c>
      <c r="D2196" s="116">
        <v>2525</v>
      </c>
      <c r="E2196" s="116">
        <v>2589.9499999999998</v>
      </c>
      <c r="F2196" s="116">
        <v>2553.9499999999998</v>
      </c>
      <c r="G2196">
        <v>5349</v>
      </c>
      <c r="H2196" s="116"/>
      <c r="I2196" s="116"/>
      <c r="L2196" s="170">
        <v>45238</v>
      </c>
      <c r="M2196" s="116">
        <v>2556.35</v>
      </c>
      <c r="N2196" s="116">
        <v>2585</v>
      </c>
      <c r="O2196" s="116">
        <v>2523.4</v>
      </c>
      <c r="P2196" s="116">
        <v>2575.0500000000002</v>
      </c>
      <c r="Q2196" s="116">
        <v>2556.35</v>
      </c>
      <c r="R2196">
        <v>100906</v>
      </c>
    </row>
    <row r="2197" spans="1:18" x14ac:dyDescent="0.25">
      <c r="A2197" s="170">
        <v>45239</v>
      </c>
      <c r="B2197" s="116">
        <v>2574</v>
      </c>
      <c r="C2197" s="116">
        <v>2527.4</v>
      </c>
      <c r="D2197" s="116">
        <v>2518.15</v>
      </c>
      <c r="E2197" s="116">
        <v>2553.9</v>
      </c>
      <c r="F2197" s="116">
        <v>2527.4</v>
      </c>
      <c r="G2197">
        <v>2543</v>
      </c>
      <c r="H2197" s="116"/>
      <c r="I2197" s="116"/>
      <c r="L2197" s="170">
        <v>45239</v>
      </c>
      <c r="M2197" s="116">
        <v>2528.5</v>
      </c>
      <c r="N2197" s="116">
        <v>2575.9</v>
      </c>
      <c r="O2197" s="116">
        <v>2515.5</v>
      </c>
      <c r="P2197" s="116">
        <v>2568</v>
      </c>
      <c r="Q2197" s="116">
        <v>2528.5</v>
      </c>
      <c r="R2197">
        <v>114032</v>
      </c>
    </row>
    <row r="2198" spans="1:18" x14ac:dyDescent="0.25">
      <c r="A2198" s="170">
        <v>45240</v>
      </c>
      <c r="B2198" s="116">
        <v>2594.9</v>
      </c>
      <c r="C2198" s="116">
        <v>2575.4</v>
      </c>
      <c r="D2198" s="116">
        <v>2488</v>
      </c>
      <c r="E2198" s="116">
        <v>2504</v>
      </c>
      <c r="F2198" s="116">
        <v>2575.4</v>
      </c>
      <c r="G2198">
        <v>11906</v>
      </c>
      <c r="H2198" s="116"/>
      <c r="I2198" s="116"/>
      <c r="L2198" s="170">
        <v>45240</v>
      </c>
      <c r="M2198" s="116">
        <v>2575.4499999999998</v>
      </c>
      <c r="N2198" s="116">
        <v>2598</v>
      </c>
      <c r="O2198" s="116">
        <v>2485</v>
      </c>
      <c r="P2198" s="116">
        <v>2507</v>
      </c>
      <c r="Q2198" s="116">
        <v>2575.4499999999998</v>
      </c>
      <c r="R2198">
        <v>242057</v>
      </c>
    </row>
    <row r="2199" spans="1:18" x14ac:dyDescent="0.25">
      <c r="A2199" s="170">
        <v>45242</v>
      </c>
      <c r="B2199" s="116">
        <v>2600.1999999999998</v>
      </c>
      <c r="C2199" s="116">
        <v>2574.9</v>
      </c>
      <c r="D2199" s="116">
        <v>2554.25</v>
      </c>
      <c r="E2199" s="116">
        <v>2580</v>
      </c>
      <c r="F2199" s="116">
        <v>2574.9</v>
      </c>
      <c r="G2199">
        <v>710</v>
      </c>
      <c r="H2199" s="116"/>
      <c r="I2199" s="116"/>
      <c r="L2199" s="170">
        <v>45242</v>
      </c>
      <c r="M2199" s="116">
        <v>2571.85</v>
      </c>
      <c r="N2199" s="116">
        <v>2602.15</v>
      </c>
      <c r="O2199" s="116">
        <v>2551.85</v>
      </c>
      <c r="P2199" s="116">
        <v>2585</v>
      </c>
      <c r="Q2199" s="116">
        <v>2571.85</v>
      </c>
      <c r="R2199">
        <v>21286</v>
      </c>
    </row>
    <row r="2200" spans="1:18" x14ac:dyDescent="0.25">
      <c r="A2200" s="170">
        <v>45243</v>
      </c>
      <c r="B2200" s="116">
        <v>2599.9</v>
      </c>
      <c r="C2200" s="116">
        <v>2577.9499999999998</v>
      </c>
      <c r="D2200" s="116">
        <v>2555</v>
      </c>
      <c r="E2200" s="116">
        <v>2599.9</v>
      </c>
      <c r="F2200" s="116">
        <v>2577.9499999999998</v>
      </c>
      <c r="G2200">
        <v>12774</v>
      </c>
      <c r="H2200" s="116"/>
      <c r="I2200" s="116"/>
      <c r="L2200" s="170">
        <v>45243</v>
      </c>
      <c r="M2200" s="116">
        <v>2579.0500000000002</v>
      </c>
      <c r="N2200" s="116">
        <v>2593.85</v>
      </c>
      <c r="O2200" s="116">
        <v>2556.9499999999998</v>
      </c>
      <c r="P2200" s="116">
        <v>2584.9</v>
      </c>
      <c r="Q2200" s="116">
        <v>2579.0500000000002</v>
      </c>
      <c r="R2200">
        <v>122805</v>
      </c>
    </row>
    <row r="2201" spans="1:18" x14ac:dyDescent="0.25">
      <c r="A2201" s="170">
        <v>45245</v>
      </c>
      <c r="B2201" s="116">
        <v>2629.55</v>
      </c>
      <c r="C2201" s="116">
        <v>2553.75</v>
      </c>
      <c r="D2201" s="116">
        <v>2549</v>
      </c>
      <c r="E2201" s="116">
        <v>2600</v>
      </c>
      <c r="F2201" s="116">
        <v>2553.75</v>
      </c>
      <c r="G2201">
        <v>6422</v>
      </c>
      <c r="H2201" s="116"/>
      <c r="I2201" s="116"/>
      <c r="L2201" s="170">
        <v>45245</v>
      </c>
      <c r="M2201" s="116">
        <v>2553.1999999999998</v>
      </c>
      <c r="N2201" s="116">
        <v>2602</v>
      </c>
      <c r="O2201" s="116">
        <v>2547</v>
      </c>
      <c r="P2201" s="116">
        <v>2600.5500000000002</v>
      </c>
      <c r="Q2201" s="116">
        <v>2553.1999999999998</v>
      </c>
      <c r="R2201">
        <v>201096</v>
      </c>
    </row>
    <row r="2202" spans="1:18" x14ac:dyDescent="0.25">
      <c r="A2202" s="170">
        <v>45246</v>
      </c>
      <c r="B2202" s="116">
        <v>2674</v>
      </c>
      <c r="C2202" s="116">
        <v>2663.15</v>
      </c>
      <c r="D2202" s="116">
        <v>2555</v>
      </c>
      <c r="E2202" s="116">
        <v>2579.85</v>
      </c>
      <c r="F2202" s="116">
        <v>2663.15</v>
      </c>
      <c r="G2202">
        <v>24132</v>
      </c>
      <c r="H2202" s="116"/>
      <c r="I2202" s="116"/>
      <c r="L2202" s="170">
        <v>45246</v>
      </c>
      <c r="M2202" s="116">
        <v>2666.4</v>
      </c>
      <c r="N2202" s="116">
        <v>2675</v>
      </c>
      <c r="O2202" s="116">
        <v>2553.25</v>
      </c>
      <c r="P2202" s="116">
        <v>2569.8000000000002</v>
      </c>
      <c r="Q2202" s="116">
        <v>2666.4</v>
      </c>
      <c r="R2202">
        <v>327435</v>
      </c>
    </row>
    <row r="2203" spans="1:18" x14ac:dyDescent="0.25">
      <c r="A2203" s="170">
        <v>45247</v>
      </c>
      <c r="B2203" s="116">
        <v>2819.95</v>
      </c>
      <c r="C2203" s="116">
        <v>2715.3</v>
      </c>
      <c r="D2203" s="116">
        <v>2633.5</v>
      </c>
      <c r="E2203" s="116">
        <v>2687.95</v>
      </c>
      <c r="F2203" s="116">
        <v>2715.3</v>
      </c>
      <c r="G2203">
        <v>18529</v>
      </c>
      <c r="H2203" s="116"/>
      <c r="I2203" s="116"/>
      <c r="L2203" s="170">
        <v>45247</v>
      </c>
      <c r="M2203" s="116">
        <v>2722.75</v>
      </c>
      <c r="N2203" s="116">
        <v>2820</v>
      </c>
      <c r="O2203" s="116">
        <v>2629.65</v>
      </c>
      <c r="P2203" s="116">
        <v>2665</v>
      </c>
      <c r="Q2203" s="116">
        <v>2722.75</v>
      </c>
      <c r="R2203">
        <v>773780</v>
      </c>
    </row>
    <row r="2204" spans="1:18" x14ac:dyDescent="0.25">
      <c r="A2204" s="170">
        <v>45250</v>
      </c>
      <c r="B2204" s="116">
        <v>2813</v>
      </c>
      <c r="C2204" s="116">
        <v>2781.15</v>
      </c>
      <c r="D2204" s="116">
        <v>2695</v>
      </c>
      <c r="E2204" s="116">
        <v>2739.9</v>
      </c>
      <c r="F2204" s="116">
        <v>2781.15</v>
      </c>
      <c r="G2204">
        <v>19781</v>
      </c>
      <c r="H2204" s="116"/>
      <c r="I2204" s="116"/>
      <c r="L2204" s="170">
        <v>45250</v>
      </c>
      <c r="M2204" s="116">
        <v>2774.8</v>
      </c>
      <c r="N2204" s="116">
        <v>2814</v>
      </c>
      <c r="O2204" s="116">
        <v>2693.05</v>
      </c>
      <c r="P2204" s="116">
        <v>2722.75</v>
      </c>
      <c r="Q2204" s="116">
        <v>2774.8</v>
      </c>
      <c r="R2204">
        <v>547577</v>
      </c>
    </row>
    <row r="2205" spans="1:18" x14ac:dyDescent="0.25">
      <c r="A2205" s="170">
        <v>45251</v>
      </c>
      <c r="B2205" s="116">
        <v>2995</v>
      </c>
      <c r="C2205" s="116">
        <v>2964.5</v>
      </c>
      <c r="D2205" s="116">
        <v>2791</v>
      </c>
      <c r="E2205" s="116">
        <v>2808.95</v>
      </c>
      <c r="F2205" s="116">
        <v>2964.5</v>
      </c>
      <c r="G2205">
        <v>54440</v>
      </c>
      <c r="H2205" s="116"/>
      <c r="I2205" s="116"/>
      <c r="L2205" s="170">
        <v>45251</v>
      </c>
      <c r="M2205" s="116">
        <v>2965.35</v>
      </c>
      <c r="N2205" s="116">
        <v>2998.95</v>
      </c>
      <c r="O2205" s="116">
        <v>2786.2</v>
      </c>
      <c r="P2205" s="116">
        <v>2800</v>
      </c>
      <c r="Q2205" s="116">
        <v>2965.35</v>
      </c>
      <c r="R2205">
        <v>1027821</v>
      </c>
    </row>
    <row r="2206" spans="1:18" x14ac:dyDescent="0.25">
      <c r="A2206" s="170">
        <v>45252</v>
      </c>
      <c r="B2206" s="116">
        <v>2963.95</v>
      </c>
      <c r="C2206" s="116">
        <v>2841.9</v>
      </c>
      <c r="D2206" s="116">
        <v>2816.15</v>
      </c>
      <c r="E2206" s="116">
        <v>2963.95</v>
      </c>
      <c r="F2206" s="116">
        <v>2841.9</v>
      </c>
      <c r="G2206">
        <v>23598</v>
      </c>
      <c r="H2206" s="116"/>
      <c r="I2206" s="116"/>
      <c r="L2206" s="170">
        <v>45252</v>
      </c>
      <c r="M2206" s="116">
        <v>2847.9</v>
      </c>
      <c r="N2206" s="116">
        <v>2959.95</v>
      </c>
      <c r="O2206" s="116">
        <v>2816</v>
      </c>
      <c r="P2206" s="116">
        <v>2959.95</v>
      </c>
      <c r="Q2206" s="116">
        <v>2847.9</v>
      </c>
      <c r="R2206">
        <v>468966</v>
      </c>
    </row>
    <row r="2207" spans="1:18" x14ac:dyDescent="0.25">
      <c r="A2207" s="170">
        <v>45253</v>
      </c>
      <c r="B2207" s="116">
        <v>2874.25</v>
      </c>
      <c r="C2207" s="116">
        <v>2803.45</v>
      </c>
      <c r="D2207" s="116">
        <v>2774.65</v>
      </c>
      <c r="E2207" s="116">
        <v>2842.35</v>
      </c>
      <c r="F2207" s="116">
        <v>2803.45</v>
      </c>
      <c r="G2207">
        <v>7338</v>
      </c>
      <c r="H2207" s="116"/>
      <c r="I2207" s="116"/>
      <c r="L2207" s="170">
        <v>45253</v>
      </c>
      <c r="M2207" s="116">
        <v>2802.75</v>
      </c>
      <c r="N2207" s="116">
        <v>2874</v>
      </c>
      <c r="O2207" s="116">
        <v>2773.05</v>
      </c>
      <c r="P2207" s="116">
        <v>2863.9</v>
      </c>
      <c r="Q2207" s="116">
        <v>2802.75</v>
      </c>
      <c r="R2207">
        <v>298929</v>
      </c>
    </row>
    <row r="2208" spans="1:18" x14ac:dyDescent="0.25">
      <c r="A2208" s="170">
        <v>45254</v>
      </c>
      <c r="B2208" s="116">
        <v>2883</v>
      </c>
      <c r="C2208" s="116">
        <v>2805.95</v>
      </c>
      <c r="D2208" s="116">
        <v>2800</v>
      </c>
      <c r="E2208" s="116">
        <v>2815</v>
      </c>
      <c r="F2208" s="116">
        <v>2805.95</v>
      </c>
      <c r="G2208">
        <v>10159</v>
      </c>
      <c r="H2208" s="116"/>
      <c r="I2208" s="116"/>
      <c r="L2208" s="170">
        <v>45254</v>
      </c>
      <c r="M2208" s="116">
        <v>2808</v>
      </c>
      <c r="N2208" s="116">
        <v>2883.15</v>
      </c>
      <c r="O2208" s="116">
        <v>2800</v>
      </c>
      <c r="P2208" s="116">
        <v>2824</v>
      </c>
      <c r="Q2208" s="116">
        <v>2808</v>
      </c>
      <c r="R2208">
        <v>174816</v>
      </c>
    </row>
    <row r="2209" spans="1:18" x14ac:dyDescent="0.25">
      <c r="A2209" s="170">
        <v>45258</v>
      </c>
      <c r="B2209" s="116">
        <v>2847.95</v>
      </c>
      <c r="C2209" s="116">
        <v>2759.6</v>
      </c>
      <c r="D2209" s="116">
        <v>2743</v>
      </c>
      <c r="E2209" s="116">
        <v>2847.95</v>
      </c>
      <c r="F2209" s="116">
        <v>2759.6</v>
      </c>
      <c r="G2209">
        <v>5149</v>
      </c>
      <c r="H2209" s="116"/>
      <c r="I2209" s="116"/>
      <c r="L2209" s="170">
        <v>45258</v>
      </c>
      <c r="M2209" s="116">
        <v>2760.55</v>
      </c>
      <c r="N2209" s="116">
        <v>2846.9</v>
      </c>
      <c r="O2209" s="116">
        <v>2740</v>
      </c>
      <c r="P2209" s="116">
        <v>2832</v>
      </c>
      <c r="Q2209" s="116">
        <v>2760.55</v>
      </c>
      <c r="R2209">
        <v>252864</v>
      </c>
    </row>
    <row r="2210" spans="1:18" x14ac:dyDescent="0.25">
      <c r="A2210" s="170">
        <v>45259</v>
      </c>
      <c r="B2210" s="116">
        <v>2806</v>
      </c>
      <c r="C2210" s="116">
        <v>2800.9</v>
      </c>
      <c r="D2210" s="116">
        <v>2740.1</v>
      </c>
      <c r="E2210" s="116">
        <v>2762.05</v>
      </c>
      <c r="F2210" s="116">
        <v>2800.9</v>
      </c>
      <c r="G2210">
        <v>7842</v>
      </c>
      <c r="H2210" s="116"/>
      <c r="I2210" s="116"/>
      <c r="L2210" s="170">
        <v>45259</v>
      </c>
      <c r="M2210" s="116">
        <v>2801.05</v>
      </c>
      <c r="N2210" s="116">
        <v>2811</v>
      </c>
      <c r="O2210" s="116">
        <v>2740.05</v>
      </c>
      <c r="P2210" s="116">
        <v>2790</v>
      </c>
      <c r="Q2210" s="116">
        <v>2801.05</v>
      </c>
      <c r="R2210">
        <v>180749</v>
      </c>
    </row>
    <row r="2211" spans="1:18" x14ac:dyDescent="0.25">
      <c r="A2211" s="170">
        <v>45260</v>
      </c>
      <c r="B2211" s="116">
        <v>2894.7</v>
      </c>
      <c r="C2211" s="116">
        <v>2879.9</v>
      </c>
      <c r="D2211" s="116">
        <v>2800.2</v>
      </c>
      <c r="E2211" s="116">
        <v>2810</v>
      </c>
      <c r="F2211" s="116">
        <v>2879.9</v>
      </c>
      <c r="G2211">
        <v>9260</v>
      </c>
      <c r="H2211" s="116"/>
      <c r="I2211" s="116"/>
      <c r="L2211" s="170">
        <v>45260</v>
      </c>
      <c r="M2211" s="116">
        <v>2880.55</v>
      </c>
      <c r="N2211" s="116">
        <v>2895</v>
      </c>
      <c r="O2211" s="116">
        <v>2801</v>
      </c>
      <c r="P2211" s="116">
        <v>2809</v>
      </c>
      <c r="Q2211" s="116">
        <v>2880.55</v>
      </c>
      <c r="R2211">
        <v>236920</v>
      </c>
    </row>
    <row r="2212" spans="1:18" x14ac:dyDescent="0.25">
      <c r="A2212" s="170">
        <v>45261</v>
      </c>
      <c r="B2212" s="116">
        <v>2950</v>
      </c>
      <c r="C2212" s="116">
        <v>2866.65</v>
      </c>
      <c r="D2212" s="116">
        <v>2858.4</v>
      </c>
      <c r="E2212" s="116">
        <v>2882.55</v>
      </c>
      <c r="F2212" s="116">
        <v>2866.65</v>
      </c>
      <c r="G2212">
        <v>3646</v>
      </c>
      <c r="H2212" s="116"/>
      <c r="I2212" s="116"/>
      <c r="L2212" s="170">
        <v>45261</v>
      </c>
      <c r="M2212" s="116">
        <v>2870.55</v>
      </c>
      <c r="N2212" s="116">
        <v>2951</v>
      </c>
      <c r="O2212" s="116">
        <v>2855.1</v>
      </c>
      <c r="P2212" s="116">
        <v>2894.9</v>
      </c>
      <c r="Q2212" s="116">
        <v>2870.55</v>
      </c>
      <c r="R2212">
        <v>135852</v>
      </c>
    </row>
    <row r="2213" spans="1:18" x14ac:dyDescent="0.25">
      <c r="A2213" s="170">
        <v>45264</v>
      </c>
      <c r="B2213" s="116">
        <v>2900</v>
      </c>
      <c r="C2213" s="116">
        <v>2869.8</v>
      </c>
      <c r="D2213" s="116">
        <v>2845</v>
      </c>
      <c r="E2213" s="116">
        <v>2872.75</v>
      </c>
      <c r="F2213" s="116">
        <v>2869.8</v>
      </c>
      <c r="G2213">
        <v>3751</v>
      </c>
      <c r="H2213" s="116"/>
      <c r="I2213" s="116"/>
      <c r="L2213" s="170">
        <v>45264</v>
      </c>
      <c r="M2213" s="116">
        <v>2871.5</v>
      </c>
      <c r="N2213" s="116">
        <v>2903.55</v>
      </c>
      <c r="O2213" s="116">
        <v>2840.7</v>
      </c>
      <c r="P2213" s="116">
        <v>2888.95</v>
      </c>
      <c r="Q2213" s="116">
        <v>2871.5</v>
      </c>
      <c r="R2213">
        <v>143752</v>
      </c>
    </row>
    <row r="2214" spans="1:18" x14ac:dyDescent="0.25">
      <c r="A2214" s="170">
        <v>45265</v>
      </c>
      <c r="B2214" s="116">
        <v>2965</v>
      </c>
      <c r="C2214" s="116">
        <v>2918.3</v>
      </c>
      <c r="D2214" s="116">
        <v>2870</v>
      </c>
      <c r="E2214" s="116">
        <v>2885</v>
      </c>
      <c r="F2214" s="116">
        <v>2918.3</v>
      </c>
      <c r="G2214">
        <v>4778</v>
      </c>
      <c r="H2214" s="116"/>
      <c r="I2214" s="116"/>
      <c r="L2214" s="170">
        <v>45265</v>
      </c>
      <c r="M2214" s="116">
        <v>2925.9</v>
      </c>
      <c r="N2214" s="116">
        <v>2964.5</v>
      </c>
      <c r="O2214" s="116">
        <v>2870.65</v>
      </c>
      <c r="P2214" s="116">
        <v>2889.95</v>
      </c>
      <c r="Q2214" s="116">
        <v>2925.9</v>
      </c>
      <c r="R2214">
        <v>258464</v>
      </c>
    </row>
    <row r="2215" spans="1:18" x14ac:dyDescent="0.25">
      <c r="A2215" s="170">
        <v>45266</v>
      </c>
      <c r="B2215" s="116">
        <v>2950</v>
      </c>
      <c r="C2215" s="116">
        <v>2901.85</v>
      </c>
      <c r="D2215" s="116">
        <v>2861.2</v>
      </c>
      <c r="E2215" s="116">
        <v>2930</v>
      </c>
      <c r="F2215" s="116">
        <v>2901.85</v>
      </c>
      <c r="G2215">
        <v>3344</v>
      </c>
      <c r="H2215" s="116"/>
      <c r="I2215" s="116"/>
      <c r="L2215" s="170">
        <v>45266</v>
      </c>
      <c r="M2215" s="116">
        <v>2901.8</v>
      </c>
      <c r="N2215" s="116">
        <v>2952.55</v>
      </c>
      <c r="O2215" s="116">
        <v>2858.05</v>
      </c>
      <c r="P2215" s="116">
        <v>2940.5</v>
      </c>
      <c r="Q2215" s="116">
        <v>2901.8</v>
      </c>
      <c r="R2215">
        <v>298338</v>
      </c>
    </row>
    <row r="2216" spans="1:18" x14ac:dyDescent="0.25">
      <c r="A2216" s="170">
        <v>45267</v>
      </c>
      <c r="B2216" s="116">
        <v>3058.85</v>
      </c>
      <c r="C2216" s="116">
        <v>3033.2</v>
      </c>
      <c r="D2216" s="116">
        <v>2901.8</v>
      </c>
      <c r="E2216" s="116">
        <v>2904.85</v>
      </c>
      <c r="F2216" s="116">
        <v>3033.2</v>
      </c>
      <c r="G2216">
        <v>31842</v>
      </c>
      <c r="H2216" s="116"/>
      <c r="I2216" s="116"/>
      <c r="L2216" s="170">
        <v>45267</v>
      </c>
      <c r="M2216" s="116">
        <v>3032.25</v>
      </c>
      <c r="N2216" s="116">
        <v>3060</v>
      </c>
      <c r="O2216" s="116">
        <v>2893.65</v>
      </c>
      <c r="P2216" s="116">
        <v>2901.95</v>
      </c>
      <c r="Q2216" s="116">
        <v>3032.25</v>
      </c>
      <c r="R2216">
        <v>873692</v>
      </c>
    </row>
    <row r="2217" spans="1:18" x14ac:dyDescent="0.25">
      <c r="A2217" s="170">
        <v>45268</v>
      </c>
      <c r="B2217" s="116">
        <v>3033.15</v>
      </c>
      <c r="C2217" s="116">
        <v>2963.4</v>
      </c>
      <c r="D2217" s="116">
        <v>2945</v>
      </c>
      <c r="E2217" s="116">
        <v>3033.15</v>
      </c>
      <c r="F2217" s="116">
        <v>2963.4</v>
      </c>
      <c r="G2217">
        <v>12087</v>
      </c>
      <c r="H2217" s="116"/>
      <c r="I2217" s="116"/>
      <c r="L2217" s="170">
        <v>45268</v>
      </c>
      <c r="M2217" s="116">
        <v>2966.6</v>
      </c>
      <c r="N2217" s="116">
        <v>3031.15</v>
      </c>
      <c r="O2217" s="116">
        <v>2958</v>
      </c>
      <c r="P2217" s="116">
        <v>3030.05</v>
      </c>
      <c r="Q2217" s="116">
        <v>2966.6</v>
      </c>
      <c r="R2217">
        <v>172026</v>
      </c>
    </row>
    <row r="2218" spans="1:18" x14ac:dyDescent="0.25">
      <c r="A2218" s="170">
        <v>45271</v>
      </c>
      <c r="B2218" s="116">
        <v>2993.95</v>
      </c>
      <c r="C2218" s="116">
        <v>2931.1</v>
      </c>
      <c r="D2218" s="116">
        <v>2919</v>
      </c>
      <c r="E2218" s="116">
        <v>2975</v>
      </c>
      <c r="F2218" s="116">
        <v>2931.1</v>
      </c>
      <c r="G2218">
        <v>3659</v>
      </c>
      <c r="H2218" s="116"/>
      <c r="I2218" s="116"/>
      <c r="L2218" s="170">
        <v>45271</v>
      </c>
      <c r="M2218" s="116">
        <v>2930.35</v>
      </c>
      <c r="N2218" s="116">
        <v>2995.95</v>
      </c>
      <c r="O2218" s="116">
        <v>2918.05</v>
      </c>
      <c r="P2218" s="116">
        <v>2974</v>
      </c>
      <c r="Q2218" s="116">
        <v>2930.35</v>
      </c>
      <c r="R2218">
        <v>211079</v>
      </c>
    </row>
    <row r="2219" spans="1:18" x14ac:dyDescent="0.25">
      <c r="A2219" s="170">
        <v>45272</v>
      </c>
      <c r="B2219" s="116">
        <v>3026</v>
      </c>
      <c r="C2219" s="116">
        <v>2961.35</v>
      </c>
      <c r="D2219" s="116">
        <v>2949.15</v>
      </c>
      <c r="E2219" s="116">
        <v>2953.85</v>
      </c>
      <c r="F2219" s="116">
        <v>2961.35</v>
      </c>
      <c r="G2219">
        <v>12894</v>
      </c>
      <c r="H2219" s="116"/>
      <c r="I2219" s="116"/>
      <c r="L2219" s="170">
        <v>45272</v>
      </c>
      <c r="M2219" s="116">
        <v>2963.3</v>
      </c>
      <c r="N2219" s="116">
        <v>3030</v>
      </c>
      <c r="O2219" s="116">
        <v>2950</v>
      </c>
      <c r="P2219" s="116">
        <v>2950</v>
      </c>
      <c r="Q2219" s="116">
        <v>2963.3</v>
      </c>
      <c r="R2219">
        <v>214391</v>
      </c>
    </row>
    <row r="2220" spans="1:18" x14ac:dyDescent="0.25">
      <c r="A2220" s="170">
        <v>45273</v>
      </c>
      <c r="B2220" s="116">
        <v>3020</v>
      </c>
      <c r="C2220" s="116">
        <v>3011.5</v>
      </c>
      <c r="D2220" s="116">
        <v>2941.9</v>
      </c>
      <c r="E2220" s="116">
        <v>2984.35</v>
      </c>
      <c r="F2220" s="116">
        <v>3011.5</v>
      </c>
      <c r="G2220">
        <v>3531</v>
      </c>
      <c r="H2220" s="116"/>
      <c r="I2220" s="116"/>
      <c r="L2220" s="170">
        <v>45273</v>
      </c>
      <c r="M2220" s="116">
        <v>3012.75</v>
      </c>
      <c r="N2220" s="116">
        <v>3021.3</v>
      </c>
      <c r="O2220" s="116">
        <v>2943.45</v>
      </c>
      <c r="P2220" s="116">
        <v>2963.3</v>
      </c>
      <c r="Q2220" s="116">
        <v>3012.75</v>
      </c>
      <c r="R2220">
        <v>163635</v>
      </c>
    </row>
    <row r="2221" spans="1:18" x14ac:dyDescent="0.25">
      <c r="A2221" s="170">
        <v>45274</v>
      </c>
      <c r="B2221" s="116">
        <v>3150.15</v>
      </c>
      <c r="C2221" s="116">
        <v>3042.85</v>
      </c>
      <c r="D2221" s="116">
        <v>3030.25</v>
      </c>
      <c r="E2221" s="116">
        <v>3048.2</v>
      </c>
      <c r="F2221" s="116">
        <v>3042.85</v>
      </c>
      <c r="G2221">
        <v>10307</v>
      </c>
      <c r="H2221" s="116"/>
      <c r="I2221" s="116"/>
      <c r="L2221" s="170">
        <v>45274</v>
      </c>
      <c r="M2221" s="116">
        <v>3045.25</v>
      </c>
      <c r="N2221" s="116">
        <v>3153.95</v>
      </c>
      <c r="O2221" s="116">
        <v>3000</v>
      </c>
      <c r="P2221" s="116">
        <v>3029</v>
      </c>
      <c r="Q2221" s="116">
        <v>3045.25</v>
      </c>
      <c r="R2221">
        <v>461627</v>
      </c>
    </row>
    <row r="2222" spans="1:18" x14ac:dyDescent="0.25">
      <c r="A2222" s="170">
        <v>45275</v>
      </c>
      <c r="B2222" s="116">
        <v>3125</v>
      </c>
      <c r="C2222" s="116">
        <v>3075.6</v>
      </c>
      <c r="D2222" s="116">
        <v>3003</v>
      </c>
      <c r="E2222" s="116">
        <v>3103.7</v>
      </c>
      <c r="F2222" s="116">
        <v>3075.6</v>
      </c>
      <c r="G2222">
        <v>4029</v>
      </c>
      <c r="H2222" s="116"/>
      <c r="I2222" s="116"/>
      <c r="L2222" s="170">
        <v>45275</v>
      </c>
      <c r="M2222" s="116">
        <v>3075.9</v>
      </c>
      <c r="N2222" s="116">
        <v>3127.5</v>
      </c>
      <c r="O2222" s="116">
        <v>3001.05</v>
      </c>
      <c r="P2222" s="116">
        <v>3076</v>
      </c>
      <c r="Q2222" s="116">
        <v>3075.9</v>
      </c>
      <c r="R2222">
        <v>245279</v>
      </c>
    </row>
    <row r="2223" spans="1:18" x14ac:dyDescent="0.25">
      <c r="A2223" s="170">
        <v>45278</v>
      </c>
      <c r="B2223" s="116">
        <v>3050</v>
      </c>
      <c r="C2223" s="116">
        <v>3036.85</v>
      </c>
      <c r="D2223" s="116">
        <v>3009.6</v>
      </c>
      <c r="E2223" s="116">
        <v>3040.05</v>
      </c>
      <c r="F2223" s="116">
        <v>3036.85</v>
      </c>
      <c r="G2223">
        <v>2560</v>
      </c>
      <c r="H2223" s="116"/>
      <c r="I2223" s="116"/>
      <c r="L2223" s="170">
        <v>45278</v>
      </c>
      <c r="M2223" s="116">
        <v>3037.1</v>
      </c>
      <c r="N2223" s="116">
        <v>3050</v>
      </c>
      <c r="O2223" s="116">
        <v>3010.15</v>
      </c>
      <c r="P2223" s="116">
        <v>3049</v>
      </c>
      <c r="Q2223" s="116">
        <v>3037.1</v>
      </c>
      <c r="R2223">
        <v>131499</v>
      </c>
    </row>
    <row r="2224" spans="1:18" x14ac:dyDescent="0.25">
      <c r="A2224" s="170">
        <v>45279</v>
      </c>
      <c r="B2224" s="116">
        <v>3051.5</v>
      </c>
      <c r="C2224" s="116">
        <v>2986.65</v>
      </c>
      <c r="D2224" s="116">
        <v>2976.3</v>
      </c>
      <c r="E2224" s="116">
        <v>3036.35</v>
      </c>
      <c r="F2224" s="116">
        <v>2986.65</v>
      </c>
      <c r="G2224">
        <v>8469</v>
      </c>
      <c r="H2224" s="116"/>
      <c r="I2224" s="116"/>
      <c r="L2224" s="170">
        <v>45279</v>
      </c>
      <c r="M2224" s="116">
        <v>2983.35</v>
      </c>
      <c r="N2224" s="116">
        <v>3053.5</v>
      </c>
      <c r="O2224" s="116">
        <v>2975.05</v>
      </c>
      <c r="P2224" s="116">
        <v>3030</v>
      </c>
      <c r="Q2224" s="116">
        <v>2983.35</v>
      </c>
      <c r="R2224">
        <v>363943</v>
      </c>
    </row>
    <row r="2225" spans="1:18" x14ac:dyDescent="0.25">
      <c r="A2225" s="170">
        <v>45280</v>
      </c>
      <c r="B2225" s="116">
        <v>3045.55</v>
      </c>
      <c r="C2225" s="116">
        <v>2982.8</v>
      </c>
      <c r="D2225" s="116">
        <v>2935.15</v>
      </c>
      <c r="E2225" s="116">
        <v>3034.95</v>
      </c>
      <c r="F2225" s="116">
        <v>2982.8</v>
      </c>
      <c r="G2225">
        <v>19010</v>
      </c>
      <c r="H2225" s="116"/>
      <c r="I2225" s="116"/>
      <c r="L2225" s="170">
        <v>45280</v>
      </c>
      <c r="M2225" s="116">
        <v>2979.4</v>
      </c>
      <c r="N2225" s="116">
        <v>3050</v>
      </c>
      <c r="O2225" s="116">
        <v>2930</v>
      </c>
      <c r="P2225" s="116">
        <v>3050</v>
      </c>
      <c r="Q2225" s="116">
        <v>2979.4</v>
      </c>
      <c r="R2225">
        <v>219556</v>
      </c>
    </row>
    <row r="2226" spans="1:18" x14ac:dyDescent="0.25">
      <c r="A2226" s="170">
        <v>45281</v>
      </c>
      <c r="B2226" s="116">
        <v>2977</v>
      </c>
      <c r="C2226" s="116">
        <v>2960.15</v>
      </c>
      <c r="D2226" s="116">
        <v>2845.45</v>
      </c>
      <c r="E2226" s="116">
        <v>2925.15</v>
      </c>
      <c r="F2226" s="116">
        <v>2960.15</v>
      </c>
      <c r="G2226">
        <v>17070</v>
      </c>
      <c r="H2226" s="116"/>
      <c r="I2226" s="116"/>
      <c r="L2226" s="170">
        <v>45281</v>
      </c>
      <c r="M2226" s="116">
        <v>2959.75</v>
      </c>
      <c r="N2226" s="116">
        <v>2989</v>
      </c>
      <c r="O2226" s="116">
        <v>2848.55</v>
      </c>
      <c r="P2226" s="116">
        <v>2944.95</v>
      </c>
      <c r="Q2226" s="116">
        <v>2959.75</v>
      </c>
      <c r="R2226">
        <v>351149</v>
      </c>
    </row>
    <row r="2227" spans="1:18" x14ac:dyDescent="0.25">
      <c r="A2227" s="170">
        <v>45282</v>
      </c>
      <c r="B2227" s="116">
        <v>3075</v>
      </c>
      <c r="C2227" s="116">
        <v>3047.05</v>
      </c>
      <c r="D2227" s="116">
        <v>2978.25</v>
      </c>
      <c r="E2227" s="116">
        <v>2981.7</v>
      </c>
      <c r="F2227" s="116">
        <v>3047.05</v>
      </c>
      <c r="G2227">
        <v>15997</v>
      </c>
      <c r="H2227" s="116"/>
      <c r="I2227" s="116"/>
      <c r="L2227" s="170">
        <v>45282</v>
      </c>
      <c r="M2227" s="116">
        <v>3056.65</v>
      </c>
      <c r="N2227" s="116">
        <v>3076</v>
      </c>
      <c r="O2227" s="116">
        <v>2970</v>
      </c>
      <c r="P2227" s="116">
        <v>2985</v>
      </c>
      <c r="Q2227" s="116">
        <v>3056.65</v>
      </c>
      <c r="R2227">
        <v>250175</v>
      </c>
    </row>
    <row r="2228" spans="1:18" x14ac:dyDescent="0.25">
      <c r="A2228" s="170">
        <v>45286</v>
      </c>
      <c r="B2228" s="116">
        <v>3085</v>
      </c>
      <c r="C2228" s="116">
        <v>3062.05</v>
      </c>
      <c r="D2228" s="116">
        <v>3039.5</v>
      </c>
      <c r="E2228" s="116">
        <v>3050.45</v>
      </c>
      <c r="F2228" s="116">
        <v>3062.05</v>
      </c>
      <c r="G2228">
        <v>4554</v>
      </c>
      <c r="H2228" s="116"/>
      <c r="I2228" s="116"/>
      <c r="L2228" s="170">
        <v>45286</v>
      </c>
      <c r="M2228" s="116">
        <v>3061.75</v>
      </c>
      <c r="N2228" s="116">
        <v>3087</v>
      </c>
      <c r="O2228" s="116">
        <v>3037.55</v>
      </c>
      <c r="P2228" s="116">
        <v>3065</v>
      </c>
      <c r="Q2228" s="116">
        <v>3061.75</v>
      </c>
      <c r="R2228">
        <v>105637</v>
      </c>
    </row>
    <row r="2229" spans="1:18" x14ac:dyDescent="0.25">
      <c r="A2229" s="170">
        <v>45287</v>
      </c>
      <c r="B2229" s="116">
        <v>3197</v>
      </c>
      <c r="C2229" s="116">
        <v>3119.8</v>
      </c>
      <c r="D2229" s="116">
        <v>3067.05</v>
      </c>
      <c r="E2229" s="116">
        <v>3085</v>
      </c>
      <c r="F2229" s="116">
        <v>3119.8</v>
      </c>
      <c r="G2229">
        <v>17736</v>
      </c>
      <c r="H2229" s="116"/>
      <c r="I2229" s="116"/>
      <c r="L2229" s="170">
        <v>45287</v>
      </c>
      <c r="M2229" s="116">
        <v>3123.3</v>
      </c>
      <c r="N2229" s="116">
        <v>3199</v>
      </c>
      <c r="O2229" s="116">
        <v>3067.35</v>
      </c>
      <c r="P2229" s="116">
        <v>3084</v>
      </c>
      <c r="Q2229" s="116">
        <v>3123.3</v>
      </c>
      <c r="R2229">
        <v>288120</v>
      </c>
    </row>
    <row r="2230" spans="1:18" x14ac:dyDescent="0.25">
      <c r="A2230" s="170">
        <v>45288</v>
      </c>
      <c r="B2230" s="116">
        <v>3306.1</v>
      </c>
      <c r="C2230" s="116">
        <v>3288.45</v>
      </c>
      <c r="D2230" s="116">
        <v>3129.9</v>
      </c>
      <c r="E2230" s="116">
        <v>3129.9</v>
      </c>
      <c r="F2230" s="116">
        <v>3288.45</v>
      </c>
      <c r="G2230">
        <v>15175</v>
      </c>
      <c r="H2230" s="116"/>
      <c r="I2230" s="116"/>
      <c r="L2230" s="170">
        <v>45288</v>
      </c>
      <c r="M2230" s="116">
        <v>3286.7</v>
      </c>
      <c r="N2230" s="116">
        <v>3308</v>
      </c>
      <c r="O2230" s="116">
        <v>3126.15</v>
      </c>
      <c r="P2230" s="116">
        <v>3126.15</v>
      </c>
      <c r="Q2230" s="116">
        <v>3286.7</v>
      </c>
      <c r="R2230">
        <v>611727</v>
      </c>
    </row>
    <row r="2231" spans="1:18" x14ac:dyDescent="0.25">
      <c r="A2231" s="170">
        <v>45289</v>
      </c>
      <c r="B2231" s="116">
        <v>3282</v>
      </c>
      <c r="C2231" s="116">
        <v>3252.85</v>
      </c>
      <c r="D2231" s="116">
        <v>3211.8</v>
      </c>
      <c r="E2231" s="116">
        <v>3260.15</v>
      </c>
      <c r="F2231" s="116">
        <v>3252.85</v>
      </c>
      <c r="G2231">
        <v>12828</v>
      </c>
      <c r="H2231" s="116"/>
      <c r="I2231" s="116"/>
      <c r="L2231" s="170">
        <v>45289</v>
      </c>
      <c r="M2231" s="116">
        <v>3249.45</v>
      </c>
      <c r="N2231" s="116">
        <v>3284.95</v>
      </c>
      <c r="O2231" s="116">
        <v>3214.45</v>
      </c>
      <c r="P2231" s="116">
        <v>3278</v>
      </c>
      <c r="Q2231" s="116">
        <v>3249.45</v>
      </c>
      <c r="R2231">
        <v>199794</v>
      </c>
    </row>
    <row r="2232" spans="1:18" x14ac:dyDescent="0.25">
      <c r="A2232" s="170">
        <v>45292</v>
      </c>
      <c r="B2232" s="116">
        <v>3262.95</v>
      </c>
      <c r="C2232" s="116">
        <v>3197.1</v>
      </c>
      <c r="D2232" s="116">
        <v>3170.05</v>
      </c>
      <c r="E2232" s="116">
        <v>3262.95</v>
      </c>
      <c r="F2232" s="116">
        <v>3197.1</v>
      </c>
      <c r="G2232">
        <v>10369</v>
      </c>
      <c r="H2232" s="116"/>
      <c r="I2232" s="116"/>
      <c r="L2232" s="170">
        <v>45292</v>
      </c>
      <c r="M2232" s="116">
        <v>3192.75</v>
      </c>
      <c r="N2232" s="116">
        <v>3249.95</v>
      </c>
      <c r="O2232" s="116">
        <v>3167</v>
      </c>
      <c r="P2232" s="116">
        <v>3249.95</v>
      </c>
      <c r="Q2232" s="116">
        <v>3192.75</v>
      </c>
      <c r="R2232">
        <v>147099</v>
      </c>
    </row>
    <row r="2233" spans="1:18" x14ac:dyDescent="0.25">
      <c r="A2233" s="170">
        <v>45293</v>
      </c>
      <c r="B2233" s="116">
        <v>3228.25</v>
      </c>
      <c r="C2233" s="116">
        <v>3183.4</v>
      </c>
      <c r="D2233" s="116">
        <v>3115.2</v>
      </c>
      <c r="E2233" s="116">
        <v>3218.75</v>
      </c>
      <c r="F2233" s="116">
        <v>3183.4</v>
      </c>
      <c r="G2233">
        <v>12543</v>
      </c>
      <c r="H2233" s="116"/>
      <c r="I2233" s="116"/>
      <c r="L2233" s="170">
        <v>45293</v>
      </c>
      <c r="M2233" s="116">
        <v>3183.3</v>
      </c>
      <c r="N2233" s="116">
        <v>3225</v>
      </c>
      <c r="O2233" s="116">
        <v>3114.05</v>
      </c>
      <c r="P2233" s="116">
        <v>3198.95</v>
      </c>
      <c r="Q2233" s="116">
        <v>3183.3</v>
      </c>
      <c r="R2233">
        <v>173926</v>
      </c>
    </row>
    <row r="2234" spans="1:18" x14ac:dyDescent="0.25">
      <c r="A2234" s="170">
        <v>45294</v>
      </c>
      <c r="B2234" s="116">
        <v>3261.2</v>
      </c>
      <c r="C2234" s="116">
        <v>3227.55</v>
      </c>
      <c r="D2234" s="116">
        <v>3130.05</v>
      </c>
      <c r="E2234" s="116">
        <v>3200.15</v>
      </c>
      <c r="F2234" s="116">
        <v>3227.55</v>
      </c>
      <c r="G2234">
        <v>17012</v>
      </c>
      <c r="H2234" s="116"/>
      <c r="I2234" s="116"/>
      <c r="L2234" s="170">
        <v>45294</v>
      </c>
      <c r="M2234" s="116">
        <v>3226.45</v>
      </c>
      <c r="N2234" s="116">
        <v>3259.95</v>
      </c>
      <c r="O2234" s="116">
        <v>3131.1</v>
      </c>
      <c r="P2234" s="116">
        <v>3208.55</v>
      </c>
      <c r="Q2234" s="116">
        <v>3226.45</v>
      </c>
      <c r="R2234">
        <v>175970</v>
      </c>
    </row>
    <row r="2235" spans="1:18" x14ac:dyDescent="0.25">
      <c r="A2235" s="170">
        <v>45295</v>
      </c>
      <c r="B2235" s="116">
        <v>3415</v>
      </c>
      <c r="C2235" s="116">
        <v>3345.15</v>
      </c>
      <c r="D2235" s="116">
        <v>3227.7</v>
      </c>
      <c r="E2235" s="116">
        <v>3227.7</v>
      </c>
      <c r="F2235" s="116">
        <v>3345.15</v>
      </c>
      <c r="G2235">
        <v>26983</v>
      </c>
      <c r="H2235" s="116"/>
      <c r="I2235" s="116"/>
      <c r="L2235" s="170">
        <v>45295</v>
      </c>
      <c r="M2235" s="116">
        <v>3345.9</v>
      </c>
      <c r="N2235" s="116">
        <v>3415</v>
      </c>
      <c r="O2235" s="116">
        <v>3240.45</v>
      </c>
      <c r="P2235" s="116">
        <v>3258.6</v>
      </c>
      <c r="Q2235" s="116">
        <v>3345.9</v>
      </c>
      <c r="R2235">
        <v>420591</v>
      </c>
    </row>
    <row r="2236" spans="1:18" x14ac:dyDescent="0.25">
      <c r="A2236" s="170">
        <v>45296</v>
      </c>
      <c r="B2236" s="116">
        <v>3420</v>
      </c>
      <c r="C2236" s="116">
        <v>3385.3</v>
      </c>
      <c r="D2236" s="116">
        <v>3325</v>
      </c>
      <c r="E2236" s="116">
        <v>3393.45</v>
      </c>
      <c r="F2236" s="116">
        <v>3385.3</v>
      </c>
      <c r="G2236">
        <v>7354</v>
      </c>
      <c r="H2236" s="116"/>
      <c r="I2236" s="116"/>
      <c r="L2236" s="170">
        <v>45296</v>
      </c>
      <c r="M2236" s="116">
        <v>3380.25</v>
      </c>
      <c r="N2236" s="116">
        <v>3416</v>
      </c>
      <c r="O2236" s="116">
        <v>3316</v>
      </c>
      <c r="P2236" s="116">
        <v>3390.1</v>
      </c>
      <c r="Q2236" s="116">
        <v>3380.25</v>
      </c>
      <c r="R2236">
        <v>163745</v>
      </c>
    </row>
    <row r="2237" spans="1:18" x14ac:dyDescent="0.25">
      <c r="A2237" s="170">
        <v>45299</v>
      </c>
      <c r="B2237" s="116">
        <v>3402.65</v>
      </c>
      <c r="C2237" s="116">
        <v>3307.55</v>
      </c>
      <c r="D2237" s="116">
        <v>3295.2</v>
      </c>
      <c r="E2237" s="116">
        <v>3385.4</v>
      </c>
      <c r="F2237" s="116">
        <v>3307.55</v>
      </c>
      <c r="G2237">
        <v>11973</v>
      </c>
      <c r="H2237" s="116"/>
      <c r="I2237" s="116"/>
      <c r="L2237" s="170">
        <v>45299</v>
      </c>
      <c r="M2237" s="116">
        <v>3314.4</v>
      </c>
      <c r="N2237" s="116">
        <v>3418.85</v>
      </c>
      <c r="O2237" s="116">
        <v>3294</v>
      </c>
      <c r="P2237" s="116">
        <v>3404.95</v>
      </c>
      <c r="Q2237" s="116">
        <v>3314.4</v>
      </c>
      <c r="R2237">
        <v>196051</v>
      </c>
    </row>
    <row r="2238" spans="1:18" x14ac:dyDescent="0.25">
      <c r="A2238" s="170">
        <v>45300</v>
      </c>
      <c r="B2238" s="116">
        <v>3391.7</v>
      </c>
      <c r="C2238" s="116">
        <v>3223.8</v>
      </c>
      <c r="D2238" s="116">
        <v>3203.05</v>
      </c>
      <c r="E2238" s="116">
        <v>3385</v>
      </c>
      <c r="F2238" s="116">
        <v>3223.8</v>
      </c>
      <c r="G2238">
        <v>7552</v>
      </c>
      <c r="H2238" s="116"/>
      <c r="I2238" s="116"/>
      <c r="L2238" s="170">
        <v>45300</v>
      </c>
      <c r="M2238" s="116">
        <v>3220.85</v>
      </c>
      <c r="N2238" s="116">
        <v>3387.95</v>
      </c>
      <c r="O2238" s="116">
        <v>3200</v>
      </c>
      <c r="P2238" s="116">
        <v>3387.95</v>
      </c>
      <c r="Q2238" s="116">
        <v>3220.85</v>
      </c>
      <c r="R2238">
        <v>219380</v>
      </c>
    </row>
    <row r="2239" spans="1:18" x14ac:dyDescent="0.25">
      <c r="A2239" s="170">
        <v>45301</v>
      </c>
      <c r="B2239" s="116">
        <v>3292.15</v>
      </c>
      <c r="C2239" s="116">
        <v>3148.2</v>
      </c>
      <c r="D2239" s="116">
        <v>3139.6</v>
      </c>
      <c r="E2239" s="116">
        <v>3224</v>
      </c>
      <c r="F2239" s="116">
        <v>3148.2</v>
      </c>
      <c r="G2239">
        <v>16378</v>
      </c>
      <c r="H2239" s="116"/>
      <c r="I2239" s="116"/>
      <c r="L2239" s="170">
        <v>45301</v>
      </c>
      <c r="M2239" s="116">
        <v>3148.2</v>
      </c>
      <c r="N2239" s="116">
        <v>3290.85</v>
      </c>
      <c r="O2239" s="116">
        <v>3137.95</v>
      </c>
      <c r="P2239" s="116">
        <v>3220.95</v>
      </c>
      <c r="Q2239" s="116">
        <v>3148.2</v>
      </c>
      <c r="R2239">
        <v>208506</v>
      </c>
    </row>
    <row r="2240" spans="1:18" x14ac:dyDescent="0.25">
      <c r="A2240" s="170">
        <v>45302</v>
      </c>
      <c r="B2240" s="116">
        <v>3088.15</v>
      </c>
      <c r="C2240" s="116">
        <v>2981.95</v>
      </c>
      <c r="D2240" s="116">
        <v>2822.15</v>
      </c>
      <c r="E2240" s="116">
        <v>3088.15</v>
      </c>
      <c r="F2240" s="116">
        <v>2981.95</v>
      </c>
      <c r="G2240">
        <v>110867</v>
      </c>
      <c r="H2240" s="116"/>
      <c r="I2240" s="116"/>
      <c r="L2240" s="170">
        <v>45302</v>
      </c>
      <c r="M2240" s="116">
        <v>2980.95</v>
      </c>
      <c r="N2240" s="116">
        <v>3088.95</v>
      </c>
      <c r="O2240" s="116">
        <v>2822.45</v>
      </c>
      <c r="P2240" s="116">
        <v>3085.2</v>
      </c>
      <c r="Q2240" s="116">
        <v>2980.95</v>
      </c>
      <c r="R2240">
        <v>2342717</v>
      </c>
    </row>
    <row r="2241" spans="1:18" x14ac:dyDescent="0.25">
      <c r="A2241" s="170">
        <v>45303</v>
      </c>
      <c r="B2241" s="116">
        <v>3031</v>
      </c>
      <c r="C2241" s="116">
        <v>2987.2</v>
      </c>
      <c r="D2241" s="116">
        <v>2956</v>
      </c>
      <c r="E2241" s="116">
        <v>3030.1</v>
      </c>
      <c r="F2241" s="116">
        <v>2987.2</v>
      </c>
      <c r="G2241">
        <v>33075</v>
      </c>
      <c r="H2241" s="116"/>
      <c r="I2241" s="116"/>
      <c r="L2241" s="170">
        <v>45303</v>
      </c>
      <c r="M2241" s="116">
        <v>2988</v>
      </c>
      <c r="N2241" s="116">
        <v>3039.95</v>
      </c>
      <c r="O2241" s="116">
        <v>2976.1</v>
      </c>
      <c r="P2241" s="116">
        <v>3039.95</v>
      </c>
      <c r="Q2241" s="116">
        <v>2988</v>
      </c>
      <c r="R2241">
        <v>460861</v>
      </c>
    </row>
    <row r="2242" spans="1:18" x14ac:dyDescent="0.25">
      <c r="A2242" s="170">
        <v>45306</v>
      </c>
      <c r="B2242" s="116">
        <v>3060.15</v>
      </c>
      <c r="C2242" s="116">
        <v>3011.95</v>
      </c>
      <c r="D2242" s="116">
        <v>2994.05</v>
      </c>
      <c r="E2242" s="116">
        <v>3046.95</v>
      </c>
      <c r="F2242" s="116">
        <v>3011.95</v>
      </c>
      <c r="G2242">
        <v>7125</v>
      </c>
      <c r="H2242" s="116"/>
      <c r="I2242" s="116"/>
      <c r="L2242" s="170">
        <v>45306</v>
      </c>
      <c r="M2242" s="116">
        <v>3012.9</v>
      </c>
      <c r="N2242" s="116">
        <v>3060.45</v>
      </c>
      <c r="O2242" s="116">
        <v>2992.35</v>
      </c>
      <c r="P2242" s="116">
        <v>3025</v>
      </c>
      <c r="Q2242" s="116">
        <v>3012.9</v>
      </c>
      <c r="R2242">
        <v>430646</v>
      </c>
    </row>
    <row r="2243" spans="1:18" x14ac:dyDescent="0.25">
      <c r="A2243" s="170">
        <v>45307</v>
      </c>
      <c r="B2243" s="116">
        <v>3076.8</v>
      </c>
      <c r="C2243" s="116">
        <v>3050.75</v>
      </c>
      <c r="D2243" s="116">
        <v>3017.9</v>
      </c>
      <c r="E2243" s="116">
        <v>3039.85</v>
      </c>
      <c r="F2243" s="116">
        <v>3050.75</v>
      </c>
      <c r="G2243">
        <v>8878</v>
      </c>
      <c r="H2243" s="116"/>
      <c r="I2243" s="116"/>
      <c r="L2243" s="170">
        <v>45307</v>
      </c>
      <c r="M2243" s="116">
        <v>3062.75</v>
      </c>
      <c r="N2243" s="116">
        <v>3079.8</v>
      </c>
      <c r="O2243" s="116">
        <v>3015.75</v>
      </c>
      <c r="P2243" s="116">
        <v>3034</v>
      </c>
      <c r="Q2243" s="116">
        <v>3062.75</v>
      </c>
      <c r="R2243">
        <v>400705</v>
      </c>
    </row>
    <row r="2244" spans="1:18" x14ac:dyDescent="0.25">
      <c r="A2244" s="170">
        <v>45308</v>
      </c>
      <c r="B2244" s="116">
        <v>3161.1</v>
      </c>
      <c r="C2244" s="116">
        <v>3149.45</v>
      </c>
      <c r="D2244" s="116">
        <v>3040</v>
      </c>
      <c r="E2244" s="116">
        <v>3053.1</v>
      </c>
      <c r="F2244" s="116">
        <v>3149.45</v>
      </c>
      <c r="G2244">
        <v>11239</v>
      </c>
      <c r="H2244" s="116"/>
      <c r="I2244" s="116"/>
      <c r="L2244" s="170">
        <v>45308</v>
      </c>
      <c r="M2244" s="116">
        <v>3149.95</v>
      </c>
      <c r="N2244" s="116">
        <v>3164</v>
      </c>
      <c r="O2244" s="116">
        <v>3020</v>
      </c>
      <c r="P2244" s="116">
        <v>3050</v>
      </c>
      <c r="Q2244" s="116">
        <v>3149.95</v>
      </c>
      <c r="R2244">
        <v>345298</v>
      </c>
    </row>
    <row r="2245" spans="1:18" x14ac:dyDescent="0.25">
      <c r="A2245" s="170">
        <v>45309</v>
      </c>
      <c r="B2245" s="116">
        <v>3165.1</v>
      </c>
      <c r="C2245" s="116">
        <v>3132.7</v>
      </c>
      <c r="D2245" s="116">
        <v>3059</v>
      </c>
      <c r="E2245" s="116">
        <v>3153.95</v>
      </c>
      <c r="F2245" s="116">
        <v>3132.7</v>
      </c>
      <c r="G2245">
        <v>10249</v>
      </c>
      <c r="H2245" s="116"/>
      <c r="I2245" s="116"/>
      <c r="L2245" s="170">
        <v>45309</v>
      </c>
      <c r="M2245" s="116">
        <v>3140.4</v>
      </c>
      <c r="N2245" s="116">
        <v>3168.1</v>
      </c>
      <c r="O2245" s="116">
        <v>3057.7</v>
      </c>
      <c r="P2245" s="116">
        <v>3143.05</v>
      </c>
      <c r="Q2245" s="116">
        <v>3140.4</v>
      </c>
      <c r="R2245">
        <v>333355</v>
      </c>
    </row>
    <row r="2246" spans="1:18" x14ac:dyDescent="0.25">
      <c r="A2246" s="170">
        <v>45310</v>
      </c>
      <c r="B2246" s="116">
        <v>3159.8</v>
      </c>
      <c r="C2246" s="116">
        <v>3105.35</v>
      </c>
      <c r="D2246" s="116">
        <v>3092.95</v>
      </c>
      <c r="E2246" s="116">
        <v>3159.8</v>
      </c>
      <c r="F2246" s="116">
        <v>3105.35</v>
      </c>
      <c r="G2246">
        <v>3313</v>
      </c>
      <c r="H2246" s="116"/>
      <c r="I2246" s="116"/>
      <c r="L2246" s="170">
        <v>45310</v>
      </c>
      <c r="M2246" s="116">
        <v>3112.85</v>
      </c>
      <c r="N2246" s="116">
        <v>3159</v>
      </c>
      <c r="O2246" s="116">
        <v>3026.95</v>
      </c>
      <c r="P2246" s="116">
        <v>3147</v>
      </c>
      <c r="Q2246" s="116">
        <v>3112.85</v>
      </c>
      <c r="R2246">
        <v>369313</v>
      </c>
    </row>
    <row r="2247" spans="1:18" x14ac:dyDescent="0.25">
      <c r="A2247" s="170">
        <v>45311</v>
      </c>
      <c r="B2247" s="116">
        <v>3159.9</v>
      </c>
      <c r="C2247" s="116">
        <v>3028.95</v>
      </c>
      <c r="D2247" s="116">
        <v>3012.1</v>
      </c>
      <c r="E2247" s="116">
        <v>3159.9</v>
      </c>
      <c r="F2247" s="116">
        <v>3028.95</v>
      </c>
      <c r="G2247">
        <v>4129</v>
      </c>
      <c r="H2247" s="116"/>
      <c r="I2247" s="116"/>
      <c r="L2247" s="170">
        <v>45311</v>
      </c>
      <c r="M2247" s="116">
        <v>3026.4</v>
      </c>
      <c r="N2247" s="116">
        <v>3134.05</v>
      </c>
      <c r="O2247" s="116">
        <v>2994</v>
      </c>
      <c r="P2247" s="116">
        <v>3126.6</v>
      </c>
      <c r="Q2247" s="116">
        <v>3026.4</v>
      </c>
      <c r="R2247">
        <v>120898</v>
      </c>
    </row>
    <row r="2248" spans="1:18" x14ac:dyDescent="0.25">
      <c r="A2248" s="170">
        <v>45314</v>
      </c>
      <c r="B2248" s="116">
        <v>3143.4</v>
      </c>
      <c r="C2248" s="116">
        <v>3017.25</v>
      </c>
      <c r="D2248" s="116">
        <v>2981</v>
      </c>
      <c r="E2248" s="116">
        <v>3027</v>
      </c>
      <c r="F2248" s="116">
        <v>3017.25</v>
      </c>
      <c r="G2248">
        <v>25443</v>
      </c>
      <c r="H2248" s="116"/>
      <c r="I2248" s="116"/>
      <c r="L2248" s="170">
        <v>45314</v>
      </c>
      <c r="M2248" s="116">
        <v>3014.25</v>
      </c>
      <c r="N2248" s="116">
        <v>3142.05</v>
      </c>
      <c r="O2248" s="116">
        <v>2977.05</v>
      </c>
      <c r="P2248" s="116">
        <v>3029</v>
      </c>
      <c r="Q2248" s="116">
        <v>3014.25</v>
      </c>
      <c r="R2248">
        <v>355554</v>
      </c>
    </row>
    <row r="2249" spans="1:18" x14ac:dyDescent="0.25">
      <c r="A2249" s="170">
        <v>45315</v>
      </c>
      <c r="B2249" s="116">
        <v>3360</v>
      </c>
      <c r="C2249" s="116">
        <v>3316.75</v>
      </c>
      <c r="D2249" s="116">
        <v>2995.4</v>
      </c>
      <c r="E2249" s="116">
        <v>3053.7</v>
      </c>
      <c r="F2249" s="116">
        <v>3316.75</v>
      </c>
      <c r="G2249">
        <v>92125</v>
      </c>
      <c r="H2249" s="116"/>
      <c r="I2249" s="116"/>
      <c r="L2249" s="170">
        <v>45315</v>
      </c>
      <c r="M2249" s="116">
        <v>3314.75</v>
      </c>
      <c r="N2249" s="116">
        <v>3360</v>
      </c>
      <c r="O2249" s="116">
        <v>2994.35</v>
      </c>
      <c r="P2249" s="116">
        <v>3050</v>
      </c>
      <c r="Q2249" s="116">
        <v>3314.75</v>
      </c>
      <c r="R2249">
        <v>1351575</v>
      </c>
    </row>
    <row r="2250" spans="1:18" x14ac:dyDescent="0.25">
      <c r="A2250" s="170">
        <v>45316</v>
      </c>
      <c r="B2250" s="116">
        <v>3316.75</v>
      </c>
      <c r="C2250" s="116">
        <v>3180.9</v>
      </c>
      <c r="D2250" s="116">
        <v>3170</v>
      </c>
      <c r="E2250" s="116">
        <v>3316.75</v>
      </c>
      <c r="F2250" s="116">
        <v>3180.9</v>
      </c>
      <c r="G2250">
        <v>21261</v>
      </c>
      <c r="H2250" s="116"/>
      <c r="I2250" s="116"/>
      <c r="L2250" s="170">
        <v>45316</v>
      </c>
      <c r="M2250" s="116">
        <v>3183</v>
      </c>
      <c r="N2250" s="116">
        <v>3318</v>
      </c>
      <c r="O2250" s="116">
        <v>3161.5</v>
      </c>
      <c r="P2250" s="116">
        <v>3318</v>
      </c>
      <c r="Q2250" s="116">
        <v>3183</v>
      </c>
      <c r="R2250">
        <v>342393</v>
      </c>
    </row>
    <row r="2251" spans="1:18" x14ac:dyDescent="0.25">
      <c r="A2251" s="170">
        <v>45320</v>
      </c>
      <c r="B2251" s="116">
        <v>3279.85</v>
      </c>
      <c r="C2251" s="116">
        <v>3192</v>
      </c>
      <c r="D2251" s="116">
        <v>3121</v>
      </c>
      <c r="E2251" s="116">
        <v>3279.85</v>
      </c>
      <c r="F2251" s="116">
        <v>3192</v>
      </c>
      <c r="G2251">
        <v>9054</v>
      </c>
      <c r="H2251" s="116"/>
      <c r="I2251" s="116"/>
      <c r="L2251" s="170">
        <v>45320</v>
      </c>
      <c r="M2251" s="116">
        <v>3193.15</v>
      </c>
      <c r="N2251" s="116">
        <v>3221.75</v>
      </c>
      <c r="O2251" s="116">
        <v>3119.05</v>
      </c>
      <c r="P2251" s="116">
        <v>3199.8</v>
      </c>
      <c r="Q2251" s="116">
        <v>3193.15</v>
      </c>
      <c r="R2251">
        <v>285287</v>
      </c>
    </row>
    <row r="2252" spans="1:18" x14ac:dyDescent="0.25">
      <c r="A2252" s="170">
        <v>45321</v>
      </c>
      <c r="B2252" s="116">
        <v>3252.45</v>
      </c>
      <c r="C2252" s="116">
        <v>3059.75</v>
      </c>
      <c r="D2252" s="116">
        <v>3041.1</v>
      </c>
      <c r="E2252" s="116">
        <v>3239.85</v>
      </c>
      <c r="F2252" s="116">
        <v>3059.75</v>
      </c>
      <c r="G2252">
        <v>11956</v>
      </c>
      <c r="H2252" s="116"/>
      <c r="I2252" s="116"/>
      <c r="L2252" s="170">
        <v>45321</v>
      </c>
      <c r="M2252" s="116">
        <v>3061.95</v>
      </c>
      <c r="N2252" s="116">
        <v>3249.9</v>
      </c>
      <c r="O2252" s="116">
        <v>3040</v>
      </c>
      <c r="P2252" s="116">
        <v>3228.65</v>
      </c>
      <c r="Q2252" s="116">
        <v>3061.95</v>
      </c>
      <c r="R2252">
        <v>330910</v>
      </c>
    </row>
    <row r="2253" spans="1:18" x14ac:dyDescent="0.25">
      <c r="A2253" s="170">
        <v>45322</v>
      </c>
      <c r="B2253" s="116">
        <v>3214</v>
      </c>
      <c r="C2253" s="116">
        <v>3189.35</v>
      </c>
      <c r="D2253" s="116">
        <v>3047.05</v>
      </c>
      <c r="E2253" s="116">
        <v>3099.85</v>
      </c>
      <c r="F2253" s="116">
        <v>3189.35</v>
      </c>
      <c r="G2253">
        <v>6864</v>
      </c>
      <c r="H2253" s="116"/>
      <c r="I2253" s="116"/>
      <c r="L2253" s="170">
        <v>45322</v>
      </c>
      <c r="M2253" s="116">
        <v>3193.1</v>
      </c>
      <c r="N2253" s="116">
        <v>3215</v>
      </c>
      <c r="O2253" s="116">
        <v>3050</v>
      </c>
      <c r="P2253" s="116">
        <v>3080.9</v>
      </c>
      <c r="Q2253" s="116">
        <v>3193.1</v>
      </c>
      <c r="R2253">
        <v>300884</v>
      </c>
    </row>
    <row r="2254" spans="1:18" x14ac:dyDescent="0.25">
      <c r="A2254" s="170">
        <v>45323</v>
      </c>
      <c r="B2254" s="116">
        <v>3237.85</v>
      </c>
      <c r="C2254" s="116">
        <v>3159</v>
      </c>
      <c r="D2254" s="116">
        <v>3138.9</v>
      </c>
      <c r="E2254" s="116">
        <v>3237.85</v>
      </c>
      <c r="F2254" s="116">
        <v>3159</v>
      </c>
      <c r="G2254">
        <v>4360</v>
      </c>
      <c r="H2254" s="116"/>
      <c r="I2254" s="116"/>
      <c r="L2254" s="170">
        <v>45323</v>
      </c>
      <c r="M2254" s="116">
        <v>3158.55</v>
      </c>
      <c r="N2254" s="116">
        <v>3217.7</v>
      </c>
      <c r="O2254" s="116">
        <v>3135.1</v>
      </c>
      <c r="P2254" s="116">
        <v>3217.7</v>
      </c>
      <c r="Q2254" s="116">
        <v>3158.55</v>
      </c>
      <c r="R2254">
        <v>89462</v>
      </c>
    </row>
    <row r="2255" spans="1:18" x14ac:dyDescent="0.25">
      <c r="A2255" s="170">
        <v>45324</v>
      </c>
      <c r="B2255" s="116">
        <v>3240</v>
      </c>
      <c r="C2255" s="116">
        <v>3199.55</v>
      </c>
      <c r="D2255" s="116">
        <v>3168.65</v>
      </c>
      <c r="E2255" s="116">
        <v>3193.85</v>
      </c>
      <c r="F2255" s="116">
        <v>3199.55</v>
      </c>
      <c r="G2255">
        <v>20647</v>
      </c>
      <c r="H2255" s="116"/>
      <c r="I2255" s="116"/>
      <c r="L2255" s="170">
        <v>45324</v>
      </c>
      <c r="M2255" s="116">
        <v>3200.8</v>
      </c>
      <c r="N2255" s="116">
        <v>3240</v>
      </c>
      <c r="O2255" s="116">
        <v>3161.35</v>
      </c>
      <c r="P2255" s="116">
        <v>3178</v>
      </c>
      <c r="Q2255" s="116">
        <v>3200.8</v>
      </c>
      <c r="R2255">
        <v>152460</v>
      </c>
    </row>
    <row r="2256" spans="1:18" x14ac:dyDescent="0.25">
      <c r="A2256" s="170">
        <v>45327</v>
      </c>
      <c r="B2256" s="116">
        <v>3204.85</v>
      </c>
      <c r="C2256" s="116">
        <v>3170.2</v>
      </c>
      <c r="D2256" s="116">
        <v>3135.6</v>
      </c>
      <c r="E2256" s="116">
        <v>3204.85</v>
      </c>
      <c r="F2256" s="116">
        <v>3170.2</v>
      </c>
      <c r="G2256">
        <v>3559</v>
      </c>
      <c r="H2256" s="116"/>
      <c r="I2256" s="116"/>
      <c r="L2256" s="170">
        <v>45327</v>
      </c>
      <c r="M2256" s="116">
        <v>3172.65</v>
      </c>
      <c r="N2256" s="116">
        <v>3204.05</v>
      </c>
      <c r="O2256" s="116">
        <v>3135</v>
      </c>
      <c r="P2256" s="116">
        <v>3200.75</v>
      </c>
      <c r="Q2256" s="116">
        <v>3172.65</v>
      </c>
      <c r="R2256">
        <v>92970</v>
      </c>
    </row>
    <row r="2257" spans="1:18" x14ac:dyDescent="0.25">
      <c r="A2257" s="170">
        <v>45328</v>
      </c>
      <c r="B2257" s="116">
        <v>3296.95</v>
      </c>
      <c r="C2257" s="116">
        <v>3261</v>
      </c>
      <c r="D2257" s="116">
        <v>3188.9</v>
      </c>
      <c r="E2257" s="116">
        <v>3192.45</v>
      </c>
      <c r="F2257" s="116">
        <v>3261</v>
      </c>
      <c r="G2257">
        <v>6178</v>
      </c>
      <c r="H2257" s="116"/>
      <c r="I2257" s="116"/>
      <c r="L2257" s="170">
        <v>45328</v>
      </c>
      <c r="M2257" s="116">
        <v>3259.9</v>
      </c>
      <c r="N2257" s="116">
        <v>3295.6</v>
      </c>
      <c r="O2257" s="116">
        <v>3184.05</v>
      </c>
      <c r="P2257" s="116">
        <v>3188.55</v>
      </c>
      <c r="Q2257" s="116">
        <v>3259.9</v>
      </c>
      <c r="R2257">
        <v>258068</v>
      </c>
    </row>
    <row r="2258" spans="1:18" x14ac:dyDescent="0.25">
      <c r="A2258" s="170">
        <v>45329</v>
      </c>
      <c r="B2258" s="116">
        <v>3319.05</v>
      </c>
      <c r="C2258" s="116">
        <v>3292.45</v>
      </c>
      <c r="D2258" s="116">
        <v>3206.1</v>
      </c>
      <c r="E2258" s="116">
        <v>3206.1</v>
      </c>
      <c r="F2258" s="116">
        <v>3292.45</v>
      </c>
      <c r="G2258">
        <v>12215</v>
      </c>
      <c r="H2258" s="116"/>
      <c r="I2258" s="116"/>
      <c r="L2258" s="170">
        <v>45329</v>
      </c>
      <c r="M2258" s="116">
        <v>3295.25</v>
      </c>
      <c r="N2258" s="116">
        <v>3319</v>
      </c>
      <c r="O2258" s="116">
        <v>3240.15</v>
      </c>
      <c r="P2258" s="116">
        <v>3269.5</v>
      </c>
      <c r="Q2258" s="116">
        <v>3295.25</v>
      </c>
      <c r="R2258">
        <v>120893</v>
      </c>
    </row>
    <row r="2259" spans="1:18" x14ac:dyDescent="0.25">
      <c r="A2259" s="170">
        <v>45330</v>
      </c>
      <c r="B2259" s="116">
        <v>3366</v>
      </c>
      <c r="C2259" s="116">
        <v>3226.7</v>
      </c>
      <c r="D2259" s="116">
        <v>3220.85</v>
      </c>
      <c r="E2259" s="116">
        <v>3327.3</v>
      </c>
      <c r="F2259" s="116">
        <v>3226.7</v>
      </c>
      <c r="G2259">
        <v>5708</v>
      </c>
      <c r="H2259" s="116"/>
      <c r="I2259" s="116"/>
      <c r="L2259" s="170">
        <v>45330</v>
      </c>
      <c r="M2259" s="116">
        <v>3228.35</v>
      </c>
      <c r="N2259" s="116">
        <v>3369.8</v>
      </c>
      <c r="O2259" s="116">
        <v>3218.9</v>
      </c>
      <c r="P2259" s="116">
        <v>3300</v>
      </c>
      <c r="Q2259" s="116">
        <v>3228.35</v>
      </c>
      <c r="R2259">
        <v>177028</v>
      </c>
    </row>
    <row r="2260" spans="1:18" x14ac:dyDescent="0.25">
      <c r="A2260" s="170">
        <v>45331</v>
      </c>
      <c r="B2260" s="116">
        <v>3340</v>
      </c>
      <c r="C2260" s="116">
        <v>3308.75</v>
      </c>
      <c r="D2260" s="116">
        <v>3188.3</v>
      </c>
      <c r="E2260" s="116">
        <v>3259.15</v>
      </c>
      <c r="F2260" s="116">
        <v>3308.75</v>
      </c>
      <c r="G2260">
        <v>6909</v>
      </c>
      <c r="H2260" s="116"/>
      <c r="I2260" s="116"/>
      <c r="L2260" s="170">
        <v>45331</v>
      </c>
      <c r="M2260" s="116">
        <v>3320</v>
      </c>
      <c r="N2260" s="116">
        <v>3339</v>
      </c>
      <c r="O2260" s="116">
        <v>3184.5</v>
      </c>
      <c r="P2260" s="116">
        <v>3260</v>
      </c>
      <c r="Q2260" s="116">
        <v>3320</v>
      </c>
      <c r="R2260">
        <v>213348</v>
      </c>
    </row>
    <row r="2261" spans="1:18" x14ac:dyDescent="0.25">
      <c r="A2261" s="170">
        <v>45334</v>
      </c>
      <c r="B2261" s="116">
        <v>3356.4</v>
      </c>
      <c r="C2261" s="116">
        <v>3221.7</v>
      </c>
      <c r="D2261" s="116">
        <v>3210</v>
      </c>
      <c r="E2261" s="116">
        <v>3347</v>
      </c>
      <c r="F2261" s="116">
        <v>3221.7</v>
      </c>
      <c r="G2261">
        <v>3624</v>
      </c>
      <c r="H2261" s="116"/>
      <c r="I2261" s="116"/>
      <c r="L2261" s="170">
        <v>45334</v>
      </c>
      <c r="M2261" s="116">
        <v>3220.65</v>
      </c>
      <c r="N2261" s="116">
        <v>3348.9</v>
      </c>
      <c r="O2261" s="116">
        <v>3200</v>
      </c>
      <c r="P2261" s="116">
        <v>3348.9</v>
      </c>
      <c r="Q2261" s="116">
        <v>3220.65</v>
      </c>
      <c r="R2261">
        <v>114560</v>
      </c>
    </row>
    <row r="2262" spans="1:18" x14ac:dyDescent="0.25">
      <c r="A2262" s="170">
        <v>45335</v>
      </c>
      <c r="B2262" s="116">
        <v>3324.95</v>
      </c>
      <c r="C2262" s="116">
        <v>3302.95</v>
      </c>
      <c r="D2262" s="116">
        <v>3180</v>
      </c>
      <c r="E2262" s="116">
        <v>3227.05</v>
      </c>
      <c r="F2262" s="116">
        <v>3302.95</v>
      </c>
      <c r="G2262">
        <v>11820</v>
      </c>
      <c r="H2262" s="116"/>
      <c r="I2262" s="116"/>
      <c r="L2262" s="170">
        <v>45335</v>
      </c>
      <c r="M2262" s="116">
        <v>3305.25</v>
      </c>
      <c r="N2262" s="116">
        <v>3326.8</v>
      </c>
      <c r="O2262" s="116">
        <v>3180</v>
      </c>
      <c r="P2262" s="116">
        <v>3225</v>
      </c>
      <c r="Q2262" s="116">
        <v>3305.25</v>
      </c>
      <c r="R2262">
        <v>116487</v>
      </c>
    </row>
    <row r="2263" spans="1:18" x14ac:dyDescent="0.25">
      <c r="A2263" s="170">
        <v>45336</v>
      </c>
      <c r="B2263" s="116">
        <v>3320.85</v>
      </c>
      <c r="C2263" s="116">
        <v>3299.6</v>
      </c>
      <c r="D2263" s="116">
        <v>3200.1</v>
      </c>
      <c r="E2263" s="116">
        <v>3200.1</v>
      </c>
      <c r="F2263" s="116">
        <v>3299.6</v>
      </c>
      <c r="G2263">
        <v>3705</v>
      </c>
      <c r="H2263" s="116"/>
      <c r="I2263" s="116"/>
      <c r="L2263" s="170">
        <v>45336</v>
      </c>
      <c r="M2263" s="116">
        <v>3307.9</v>
      </c>
      <c r="N2263" s="116">
        <v>3319.95</v>
      </c>
      <c r="O2263" s="116">
        <v>3201</v>
      </c>
      <c r="P2263" s="116">
        <v>3250</v>
      </c>
      <c r="Q2263" s="116">
        <v>3307.9</v>
      </c>
      <c r="R2263">
        <v>90283</v>
      </c>
    </row>
    <row r="2264" spans="1:18" x14ac:dyDescent="0.25">
      <c r="A2264" s="170">
        <v>45337</v>
      </c>
      <c r="B2264" s="116">
        <v>3357.55</v>
      </c>
      <c r="C2264" s="116">
        <v>3326.35</v>
      </c>
      <c r="D2264" s="116">
        <v>3301.05</v>
      </c>
      <c r="E2264" s="116">
        <v>3336.85</v>
      </c>
      <c r="F2264" s="116">
        <v>3326.35</v>
      </c>
      <c r="G2264">
        <v>3534</v>
      </c>
      <c r="H2264" s="116"/>
      <c r="I2264" s="116"/>
      <c r="L2264" s="170">
        <v>45337</v>
      </c>
      <c r="M2264" s="116">
        <v>3328.7</v>
      </c>
      <c r="N2264" s="116">
        <v>3359.1</v>
      </c>
      <c r="O2264" s="116">
        <v>3296.9</v>
      </c>
      <c r="P2264" s="116">
        <v>3317.75</v>
      </c>
      <c r="Q2264" s="116">
        <v>3328.7</v>
      </c>
      <c r="R2264">
        <v>98488</v>
      </c>
    </row>
    <row r="2265" spans="1:18" x14ac:dyDescent="0.25">
      <c r="A2265" s="170">
        <v>45338</v>
      </c>
      <c r="B2265" s="116">
        <v>3377</v>
      </c>
      <c r="C2265" s="116">
        <v>3275.2</v>
      </c>
      <c r="D2265" s="116">
        <v>3265.75</v>
      </c>
      <c r="E2265" s="116">
        <v>3335.05</v>
      </c>
      <c r="F2265" s="116">
        <v>3275.2</v>
      </c>
      <c r="G2265">
        <v>4139</v>
      </c>
      <c r="H2265" s="116"/>
      <c r="I2265" s="116"/>
      <c r="L2265" s="170">
        <v>45338</v>
      </c>
      <c r="M2265" s="116">
        <v>3274.5</v>
      </c>
      <c r="N2265" s="116">
        <v>3378.45</v>
      </c>
      <c r="O2265" s="116">
        <v>3268.75</v>
      </c>
      <c r="P2265" s="116">
        <v>3331</v>
      </c>
      <c r="Q2265" s="116">
        <v>3274.5</v>
      </c>
      <c r="R2265">
        <v>174215</v>
      </c>
    </row>
    <row r="2266" spans="1:18" x14ac:dyDescent="0.25">
      <c r="A2266" s="170">
        <v>45341</v>
      </c>
      <c r="B2266" s="116">
        <v>3310.9</v>
      </c>
      <c r="C2266" s="116">
        <v>3276.55</v>
      </c>
      <c r="D2266" s="116">
        <v>3200.75</v>
      </c>
      <c r="E2266" s="116">
        <v>3298.25</v>
      </c>
      <c r="F2266" s="116">
        <v>3276.55</v>
      </c>
      <c r="G2266">
        <v>13547</v>
      </c>
      <c r="H2266" s="116"/>
      <c r="I2266" s="116"/>
      <c r="L2266" s="170">
        <v>45341</v>
      </c>
      <c r="M2266" s="116">
        <v>3276.15</v>
      </c>
      <c r="N2266" s="116">
        <v>3309.9</v>
      </c>
      <c r="O2266" s="116">
        <v>3200.05</v>
      </c>
      <c r="P2266" s="116">
        <v>3281</v>
      </c>
      <c r="Q2266" s="116">
        <v>3276.15</v>
      </c>
      <c r="R2266">
        <v>148258</v>
      </c>
    </row>
    <row r="2267" spans="1:18" x14ac:dyDescent="0.25">
      <c r="A2267" s="170">
        <v>45342</v>
      </c>
      <c r="B2267" s="116">
        <v>3304.8</v>
      </c>
      <c r="C2267" s="116">
        <v>3291.05</v>
      </c>
      <c r="D2267" s="116">
        <v>3250.05</v>
      </c>
      <c r="E2267" s="116">
        <v>3250.05</v>
      </c>
      <c r="F2267" s="116">
        <v>3291.05</v>
      </c>
      <c r="G2267">
        <v>6372</v>
      </c>
      <c r="H2267" s="116"/>
      <c r="I2267" s="116"/>
      <c r="L2267" s="170">
        <v>45342</v>
      </c>
      <c r="M2267" s="116">
        <v>3291</v>
      </c>
      <c r="N2267" s="116">
        <v>3300.4</v>
      </c>
      <c r="O2267" s="116">
        <v>3252.8</v>
      </c>
      <c r="P2267" s="116">
        <v>3275</v>
      </c>
      <c r="Q2267" s="116">
        <v>3291</v>
      </c>
      <c r="R2267">
        <v>120005</v>
      </c>
    </row>
    <row r="2268" spans="1:18" x14ac:dyDescent="0.25">
      <c r="A2268" s="170">
        <v>45343</v>
      </c>
      <c r="B2268" s="116">
        <v>3328.65</v>
      </c>
      <c r="C2268" s="116">
        <v>3212.6</v>
      </c>
      <c r="D2268" s="116">
        <v>3199.75</v>
      </c>
      <c r="E2268" s="116">
        <v>3328.65</v>
      </c>
      <c r="F2268" s="116">
        <v>3212.6</v>
      </c>
      <c r="G2268">
        <v>6798</v>
      </c>
      <c r="H2268" s="116"/>
      <c r="I2268" s="116"/>
      <c r="L2268" s="170">
        <v>45343</v>
      </c>
      <c r="M2268" s="116">
        <v>3210.45</v>
      </c>
      <c r="N2268" s="116">
        <v>3299.7</v>
      </c>
      <c r="O2268" s="116">
        <v>3200</v>
      </c>
      <c r="P2268" s="116">
        <v>3294.05</v>
      </c>
      <c r="Q2268" s="116">
        <v>3210.45</v>
      </c>
      <c r="R2268">
        <v>110341</v>
      </c>
    </row>
    <row r="2269" spans="1:18" x14ac:dyDescent="0.25">
      <c r="A2269" s="170">
        <v>45344</v>
      </c>
      <c r="B2269" s="116">
        <v>3220.95</v>
      </c>
      <c r="C2269" s="116">
        <v>3117</v>
      </c>
      <c r="D2269" s="116">
        <v>3104</v>
      </c>
      <c r="E2269" s="116">
        <v>3213.65</v>
      </c>
      <c r="F2269" s="116">
        <v>3117</v>
      </c>
      <c r="G2269">
        <v>12781</v>
      </c>
      <c r="H2269" s="116"/>
      <c r="I2269" s="116"/>
      <c r="L2269" s="170">
        <v>45344</v>
      </c>
      <c r="M2269" s="116">
        <v>3116.2</v>
      </c>
      <c r="N2269" s="116">
        <v>3222.75</v>
      </c>
      <c r="O2269" s="116">
        <v>3100</v>
      </c>
      <c r="P2269" s="116">
        <v>3222.75</v>
      </c>
      <c r="Q2269" s="116">
        <v>3116.2</v>
      </c>
      <c r="R2269">
        <v>210071</v>
      </c>
    </row>
    <row r="2270" spans="1:18" x14ac:dyDescent="0.25">
      <c r="A2270" s="170">
        <v>45345</v>
      </c>
      <c r="B2270" s="116">
        <v>3197.15</v>
      </c>
      <c r="C2270" s="116">
        <v>3156.4</v>
      </c>
      <c r="D2270" s="116">
        <v>3093.6</v>
      </c>
      <c r="E2270" s="116">
        <v>3146.45</v>
      </c>
      <c r="F2270" s="116">
        <v>3156.4</v>
      </c>
      <c r="G2270">
        <v>10945</v>
      </c>
      <c r="H2270" s="116"/>
      <c r="I2270" s="116"/>
      <c r="L2270" s="170">
        <v>45345</v>
      </c>
      <c r="M2270" s="116">
        <v>3159.8</v>
      </c>
      <c r="N2270" s="116">
        <v>3196.9</v>
      </c>
      <c r="O2270" s="116">
        <v>3092.55</v>
      </c>
      <c r="P2270" s="116">
        <v>3136.25</v>
      </c>
      <c r="Q2270" s="116">
        <v>3159.8</v>
      </c>
      <c r="R2270">
        <v>304576</v>
      </c>
    </row>
    <row r="2271" spans="1:18" x14ac:dyDescent="0.25">
      <c r="A2271" s="170">
        <v>45348</v>
      </c>
      <c r="B2271" s="116">
        <v>3202.45</v>
      </c>
      <c r="C2271" s="116">
        <v>3180.1</v>
      </c>
      <c r="D2271" s="116">
        <v>3127.35</v>
      </c>
      <c r="E2271" s="116">
        <v>3132.95</v>
      </c>
      <c r="F2271" s="116">
        <v>3180.1</v>
      </c>
      <c r="G2271">
        <v>5243</v>
      </c>
      <c r="H2271" s="116"/>
      <c r="I2271" s="116"/>
      <c r="L2271" s="170">
        <v>45348</v>
      </c>
      <c r="M2271" s="116">
        <v>3183.6</v>
      </c>
      <c r="N2271" s="116">
        <v>3204.6</v>
      </c>
      <c r="O2271" s="116">
        <v>3128</v>
      </c>
      <c r="P2271" s="116">
        <v>3159.8</v>
      </c>
      <c r="Q2271" s="116">
        <v>3183.6</v>
      </c>
      <c r="R2271">
        <v>231860</v>
      </c>
    </row>
    <row r="2272" spans="1:18" x14ac:dyDescent="0.25">
      <c r="A2272" s="170">
        <v>45349</v>
      </c>
      <c r="B2272" s="116">
        <v>3288.45</v>
      </c>
      <c r="C2272" s="116">
        <v>3254.15</v>
      </c>
      <c r="D2272" s="116">
        <v>3181</v>
      </c>
      <c r="E2272" s="116">
        <v>3230</v>
      </c>
      <c r="F2272" s="116">
        <v>3254.15</v>
      </c>
      <c r="G2272">
        <v>5202</v>
      </c>
      <c r="H2272" s="116"/>
      <c r="I2272" s="116"/>
      <c r="L2272" s="170">
        <v>45349</v>
      </c>
      <c r="M2272" s="116">
        <v>3262.1</v>
      </c>
      <c r="N2272" s="116">
        <v>3290</v>
      </c>
      <c r="O2272" s="116">
        <v>3165.1</v>
      </c>
      <c r="P2272" s="116">
        <v>3180</v>
      </c>
      <c r="Q2272" s="116">
        <v>3262.1</v>
      </c>
      <c r="R2272">
        <v>197113</v>
      </c>
    </row>
    <row r="2273" spans="1:18" x14ac:dyDescent="0.25">
      <c r="A2273" s="170">
        <v>45350</v>
      </c>
      <c r="B2273" s="116">
        <v>3312</v>
      </c>
      <c r="C2273" s="116">
        <v>3270</v>
      </c>
      <c r="D2273" s="116">
        <v>3240</v>
      </c>
      <c r="E2273" s="116">
        <v>3262.15</v>
      </c>
      <c r="F2273" s="116">
        <v>3270</v>
      </c>
      <c r="G2273">
        <v>5415</v>
      </c>
      <c r="H2273" s="116"/>
      <c r="I2273" s="116"/>
      <c r="L2273" s="170">
        <v>45350</v>
      </c>
      <c r="M2273" s="116">
        <v>3268.05</v>
      </c>
      <c r="N2273" s="116">
        <v>3314.75</v>
      </c>
      <c r="O2273" s="116">
        <v>3238.45</v>
      </c>
      <c r="P2273" s="116">
        <v>3280</v>
      </c>
      <c r="Q2273" s="116">
        <v>3268.05</v>
      </c>
      <c r="R2273">
        <v>139443</v>
      </c>
    </row>
    <row r="2274" spans="1:18" x14ac:dyDescent="0.25">
      <c r="A2274" s="170">
        <v>45351</v>
      </c>
      <c r="B2274" s="116">
        <v>3283.75</v>
      </c>
      <c r="C2274" s="116">
        <v>3211.2</v>
      </c>
      <c r="D2274" s="116">
        <v>3193.25</v>
      </c>
      <c r="E2274" s="116">
        <v>3226.45</v>
      </c>
      <c r="F2274" s="116">
        <v>3211.2</v>
      </c>
      <c r="G2274">
        <v>6357</v>
      </c>
      <c r="H2274" s="116"/>
      <c r="I2274" s="116"/>
      <c r="L2274" s="170">
        <v>45351</v>
      </c>
      <c r="M2274" s="116">
        <v>3210.75</v>
      </c>
      <c r="N2274" s="116">
        <v>3283.15</v>
      </c>
      <c r="O2274" s="116">
        <v>3195</v>
      </c>
      <c r="P2274" s="116">
        <v>3269.95</v>
      </c>
      <c r="Q2274" s="116">
        <v>3210.75</v>
      </c>
      <c r="R2274">
        <v>177010</v>
      </c>
    </row>
    <row r="2275" spans="1:18" x14ac:dyDescent="0.25">
      <c r="A2275" s="170">
        <v>45352</v>
      </c>
      <c r="B2275" s="116">
        <v>3249.95</v>
      </c>
      <c r="C2275" s="116">
        <v>3206.8</v>
      </c>
      <c r="D2275" s="116">
        <v>3193.1</v>
      </c>
      <c r="E2275" s="116">
        <v>3249.95</v>
      </c>
      <c r="F2275" s="116">
        <v>3206.8</v>
      </c>
      <c r="G2275">
        <v>3655</v>
      </c>
      <c r="H2275" s="116"/>
      <c r="I2275" s="116"/>
      <c r="L2275" s="170">
        <v>45352</v>
      </c>
      <c r="M2275" s="116">
        <v>3207.15</v>
      </c>
      <c r="N2275" s="116">
        <v>3249.95</v>
      </c>
      <c r="O2275" s="116">
        <v>3195</v>
      </c>
      <c r="P2275" s="116">
        <v>3230</v>
      </c>
      <c r="Q2275" s="116">
        <v>3207.15</v>
      </c>
      <c r="R2275">
        <v>82358</v>
      </c>
    </row>
    <row r="2276" spans="1:18" x14ac:dyDescent="0.25">
      <c r="A2276" s="170">
        <v>45353</v>
      </c>
      <c r="B2276" s="116">
        <v>3241.15</v>
      </c>
      <c r="C2276" s="116">
        <v>3218.4</v>
      </c>
      <c r="D2276" s="116">
        <v>3208.05</v>
      </c>
      <c r="E2276" s="116">
        <v>3208.05</v>
      </c>
      <c r="F2276" s="116">
        <v>3218.4</v>
      </c>
      <c r="G2276">
        <v>166</v>
      </c>
      <c r="H2276" s="116"/>
      <c r="I2276" s="116"/>
      <c r="L2276" s="170">
        <v>45353</v>
      </c>
      <c r="M2276" s="116">
        <v>3214.15</v>
      </c>
      <c r="N2276" s="116">
        <v>3262</v>
      </c>
      <c r="O2276" s="116">
        <v>3210</v>
      </c>
      <c r="P2276" s="116">
        <v>3240</v>
      </c>
      <c r="Q2276" s="116">
        <v>3214.15</v>
      </c>
      <c r="R2276">
        <v>5447</v>
      </c>
    </row>
    <row r="2277" spans="1:18" x14ac:dyDescent="0.25">
      <c r="A2277" s="170">
        <v>45355</v>
      </c>
      <c r="B2277" s="116">
        <v>3442</v>
      </c>
      <c r="C2277" s="116">
        <v>3418.1</v>
      </c>
      <c r="D2277" s="116">
        <v>3200.35</v>
      </c>
      <c r="E2277" s="116">
        <v>3200.35</v>
      </c>
      <c r="F2277" s="116">
        <v>3418.1</v>
      </c>
      <c r="G2277">
        <v>36271</v>
      </c>
      <c r="H2277" s="116"/>
      <c r="I2277" s="116"/>
      <c r="L2277" s="170">
        <v>45355</v>
      </c>
      <c r="M2277" s="116">
        <v>3420.4</v>
      </c>
      <c r="N2277" s="116">
        <v>3444.95</v>
      </c>
      <c r="O2277" s="116">
        <v>3206.4</v>
      </c>
      <c r="P2277" s="116">
        <v>3215.9</v>
      </c>
      <c r="Q2277" s="116">
        <v>3420.4</v>
      </c>
      <c r="R2277">
        <v>574464</v>
      </c>
    </row>
    <row r="2278" spans="1:18" x14ac:dyDescent="0.25">
      <c r="A2278" s="170">
        <v>45356</v>
      </c>
      <c r="B2278" s="116">
        <v>3433.25</v>
      </c>
      <c r="C2278" s="116">
        <v>3381.7</v>
      </c>
      <c r="D2278" s="116">
        <v>3361.4</v>
      </c>
      <c r="E2278" s="116">
        <v>3426.25</v>
      </c>
      <c r="F2278" s="116">
        <v>3381.7</v>
      </c>
      <c r="G2278">
        <v>243214</v>
      </c>
      <c r="H2278" s="116"/>
      <c r="I2278" s="116"/>
      <c r="L2278" s="170">
        <v>45356</v>
      </c>
      <c r="M2278" s="116">
        <v>3382.25</v>
      </c>
      <c r="N2278" s="116">
        <v>3438.75</v>
      </c>
      <c r="O2278" s="116">
        <v>3358.6</v>
      </c>
      <c r="P2278" s="116">
        <v>3422.15</v>
      </c>
      <c r="Q2278" s="116">
        <v>3382.25</v>
      </c>
      <c r="R2278">
        <v>170976</v>
      </c>
    </row>
    <row r="2279" spans="1:18" x14ac:dyDescent="0.25">
      <c r="A2279" s="170">
        <v>45357</v>
      </c>
      <c r="B2279" s="116">
        <v>3391.15</v>
      </c>
      <c r="C2279" s="116">
        <v>3360.9</v>
      </c>
      <c r="D2279" s="116">
        <v>3225</v>
      </c>
      <c r="E2279" s="116">
        <v>3381.85</v>
      </c>
      <c r="F2279" s="116">
        <v>3360.9</v>
      </c>
      <c r="G2279">
        <v>9582</v>
      </c>
      <c r="H2279" s="116"/>
      <c r="I2279" s="116"/>
      <c r="L2279" s="170">
        <v>45357</v>
      </c>
      <c r="M2279" s="116">
        <v>3356.55</v>
      </c>
      <c r="N2279" s="116">
        <v>3397.2</v>
      </c>
      <c r="O2279" s="116">
        <v>3225</v>
      </c>
      <c r="P2279" s="116">
        <v>3379.95</v>
      </c>
      <c r="Q2279" s="116">
        <v>3356.55</v>
      </c>
      <c r="R2279">
        <v>224695</v>
      </c>
    </row>
    <row r="2280" spans="1:18" x14ac:dyDescent="0.25">
      <c r="A2280" s="170">
        <v>45358</v>
      </c>
      <c r="B2280" s="116">
        <v>3419.95</v>
      </c>
      <c r="C2280" s="116">
        <v>3394.35</v>
      </c>
      <c r="D2280" s="116">
        <v>3295</v>
      </c>
      <c r="E2280" s="116">
        <v>3300.25</v>
      </c>
      <c r="F2280" s="116">
        <v>3394.35</v>
      </c>
      <c r="G2280">
        <v>14520</v>
      </c>
      <c r="H2280" s="116"/>
      <c r="I2280" s="116"/>
      <c r="L2280" s="170">
        <v>45358</v>
      </c>
      <c r="M2280" s="116">
        <v>3394.75</v>
      </c>
      <c r="N2280" s="116">
        <v>3410</v>
      </c>
      <c r="O2280" s="116">
        <v>3293.55</v>
      </c>
      <c r="P2280" s="116">
        <v>3356.55</v>
      </c>
      <c r="Q2280" s="116">
        <v>3394.75</v>
      </c>
      <c r="R2280">
        <v>198796</v>
      </c>
    </row>
    <row r="2281" spans="1:18" x14ac:dyDescent="0.25">
      <c r="A2281" s="170">
        <v>45362</v>
      </c>
      <c r="B2281" s="116">
        <v>3472.3</v>
      </c>
      <c r="C2281" s="116">
        <v>3356.05</v>
      </c>
      <c r="D2281" s="116">
        <v>3312.5</v>
      </c>
      <c r="E2281" s="116">
        <v>3400.5</v>
      </c>
      <c r="F2281" s="116">
        <v>3356.05</v>
      </c>
      <c r="G2281">
        <v>6793</v>
      </c>
      <c r="H2281" s="116"/>
      <c r="I2281" s="116"/>
      <c r="L2281" s="170">
        <v>45362</v>
      </c>
      <c r="M2281" s="116">
        <v>3352.8</v>
      </c>
      <c r="N2281" s="116">
        <v>3475</v>
      </c>
      <c r="O2281" s="116">
        <v>3326</v>
      </c>
      <c r="P2281" s="116">
        <v>3439.6</v>
      </c>
      <c r="Q2281" s="116">
        <v>3352.8</v>
      </c>
      <c r="R2281">
        <v>176591</v>
      </c>
    </row>
    <row r="2282" spans="1:18" x14ac:dyDescent="0.25">
      <c r="A2282" s="170">
        <v>45363</v>
      </c>
      <c r="B2282" s="116">
        <v>3380</v>
      </c>
      <c r="C2282" s="116">
        <v>3264.1</v>
      </c>
      <c r="D2282" s="116">
        <v>3257.85</v>
      </c>
      <c r="E2282" s="116">
        <v>3350.05</v>
      </c>
      <c r="F2282" s="116">
        <v>3264.1</v>
      </c>
      <c r="G2282">
        <v>15892</v>
      </c>
      <c r="H2282" s="116"/>
      <c r="I2282" s="116"/>
      <c r="L2282" s="170">
        <v>45363</v>
      </c>
      <c r="M2282" s="116">
        <v>3266.75</v>
      </c>
      <c r="N2282" s="116">
        <v>3378.05</v>
      </c>
      <c r="O2282" s="116">
        <v>3260.05</v>
      </c>
      <c r="P2282" s="116">
        <v>3359.9</v>
      </c>
      <c r="Q2282" s="116">
        <v>3266.75</v>
      </c>
      <c r="R2282">
        <v>94662</v>
      </c>
    </row>
    <row r="2283" spans="1:18" x14ac:dyDescent="0.25">
      <c r="A2283" s="170">
        <v>45364</v>
      </c>
      <c r="B2283" s="116">
        <v>3299.7</v>
      </c>
      <c r="C2283" s="116">
        <v>3010.9</v>
      </c>
      <c r="D2283" s="116">
        <v>2961.05</v>
      </c>
      <c r="E2283" s="116">
        <v>3299.7</v>
      </c>
      <c r="F2283" s="116">
        <v>3010.9</v>
      </c>
      <c r="G2283">
        <v>14412</v>
      </c>
      <c r="H2283" s="116"/>
      <c r="I2283" s="116"/>
      <c r="L2283" s="170">
        <v>45364</v>
      </c>
      <c r="M2283" s="116">
        <v>3005.55</v>
      </c>
      <c r="N2283" s="116">
        <v>3283.95</v>
      </c>
      <c r="O2283" s="116">
        <v>2950.05</v>
      </c>
      <c r="P2283" s="116">
        <v>3266.75</v>
      </c>
      <c r="Q2283" s="116">
        <v>3005.55</v>
      </c>
      <c r="R2283">
        <v>362409</v>
      </c>
    </row>
    <row r="2284" spans="1:18" x14ac:dyDescent="0.25">
      <c r="A2284" s="170">
        <v>45365</v>
      </c>
      <c r="B2284" s="116">
        <v>3129</v>
      </c>
      <c r="C2284" s="116">
        <v>3095.6</v>
      </c>
      <c r="D2284" s="116">
        <v>2883.6</v>
      </c>
      <c r="E2284" s="116">
        <v>2975</v>
      </c>
      <c r="F2284" s="116">
        <v>3095.6</v>
      </c>
      <c r="G2284">
        <v>25707</v>
      </c>
      <c r="H2284" s="116"/>
      <c r="I2284" s="116"/>
      <c r="L2284" s="170">
        <v>45365</v>
      </c>
      <c r="M2284" s="116">
        <v>3097.65</v>
      </c>
      <c r="N2284" s="116">
        <v>3144.7</v>
      </c>
      <c r="O2284" s="116">
        <v>2900.1</v>
      </c>
      <c r="P2284" s="116">
        <v>3003.5</v>
      </c>
      <c r="Q2284" s="116">
        <v>3097.65</v>
      </c>
      <c r="R2284">
        <v>321260</v>
      </c>
    </row>
    <row r="2285" spans="1:18" x14ac:dyDescent="0.25">
      <c r="A2285" s="170">
        <v>45366</v>
      </c>
      <c r="B2285" s="116">
        <v>3275.25</v>
      </c>
      <c r="C2285" s="116">
        <v>3216.4</v>
      </c>
      <c r="D2285" s="116">
        <v>3063.8</v>
      </c>
      <c r="E2285" s="116">
        <v>3133.15</v>
      </c>
      <c r="F2285" s="116">
        <v>3216.4</v>
      </c>
      <c r="G2285">
        <v>10472</v>
      </c>
      <c r="H2285" s="116"/>
      <c r="I2285" s="116"/>
      <c r="L2285" s="170">
        <v>45366</v>
      </c>
      <c r="M2285" s="116">
        <v>3217.9</v>
      </c>
      <c r="N2285" s="116">
        <v>3275</v>
      </c>
      <c r="O2285" s="116">
        <v>3060.1</v>
      </c>
      <c r="P2285" s="116">
        <v>3103.85</v>
      </c>
      <c r="Q2285" s="116">
        <v>3217.9</v>
      </c>
      <c r="R2285">
        <v>309103</v>
      </c>
    </row>
    <row r="2286" spans="1:18" x14ac:dyDescent="0.25">
      <c r="A2286" s="170">
        <v>45369</v>
      </c>
      <c r="B2286" s="116">
        <v>3219.75</v>
      </c>
      <c r="C2286" s="116">
        <v>3181.55</v>
      </c>
      <c r="D2286" s="116">
        <v>3112.15</v>
      </c>
      <c r="E2286" s="116">
        <v>3219.75</v>
      </c>
      <c r="F2286" s="116">
        <v>3181.55</v>
      </c>
      <c r="G2286">
        <v>6071</v>
      </c>
      <c r="H2286" s="116"/>
      <c r="I2286" s="116"/>
      <c r="L2286" s="170">
        <v>45369</v>
      </c>
      <c r="M2286" s="116">
        <v>3184.15</v>
      </c>
      <c r="N2286" s="116">
        <v>3221.55</v>
      </c>
      <c r="O2286" s="116">
        <v>3112.5</v>
      </c>
      <c r="P2286" s="116">
        <v>3214.9</v>
      </c>
      <c r="Q2286" s="116">
        <v>3184.15</v>
      </c>
      <c r="R2286">
        <v>193304</v>
      </c>
    </row>
    <row r="2287" spans="1:18" x14ac:dyDescent="0.25">
      <c r="A2287" s="170">
        <v>45370</v>
      </c>
      <c r="B2287" s="116">
        <v>3320.55</v>
      </c>
      <c r="C2287" s="116">
        <v>3301.25</v>
      </c>
      <c r="D2287" s="116">
        <v>3176.75</v>
      </c>
      <c r="E2287" s="116">
        <v>3189.35</v>
      </c>
      <c r="F2287" s="116">
        <v>3301.25</v>
      </c>
      <c r="G2287">
        <v>5107</v>
      </c>
      <c r="H2287" s="116"/>
      <c r="I2287" s="116"/>
      <c r="L2287" s="170">
        <v>45370</v>
      </c>
      <c r="M2287" s="116">
        <v>3301.55</v>
      </c>
      <c r="N2287" s="116">
        <v>3324.95</v>
      </c>
      <c r="O2287" s="116">
        <v>3169.65</v>
      </c>
      <c r="P2287" s="116">
        <v>3185.25</v>
      </c>
      <c r="Q2287" s="116">
        <v>3301.55</v>
      </c>
      <c r="R2287">
        <v>399577</v>
      </c>
    </row>
    <row r="2288" spans="1:18" x14ac:dyDescent="0.25">
      <c r="A2288" s="170">
        <v>45371</v>
      </c>
      <c r="B2288" s="116">
        <v>3435.6</v>
      </c>
      <c r="C2288" s="116">
        <v>3419.75</v>
      </c>
      <c r="D2288" s="116">
        <v>3209.65</v>
      </c>
      <c r="E2288" s="116">
        <v>3328.8</v>
      </c>
      <c r="F2288" s="116">
        <v>3419.75</v>
      </c>
      <c r="G2288">
        <v>11388</v>
      </c>
      <c r="H2288" s="116"/>
      <c r="I2288" s="116"/>
      <c r="L2288" s="170">
        <v>45371</v>
      </c>
      <c r="M2288" s="116">
        <v>3420.1</v>
      </c>
      <c r="N2288" s="116">
        <v>3432</v>
      </c>
      <c r="O2288" s="116">
        <v>3206.6</v>
      </c>
      <c r="P2288" s="116">
        <v>3300.1</v>
      </c>
      <c r="Q2288" s="116">
        <v>3420.1</v>
      </c>
      <c r="R2288">
        <v>407532</v>
      </c>
    </row>
    <row r="2289" spans="1:18" x14ac:dyDescent="0.25">
      <c r="A2289" s="170">
        <v>45372</v>
      </c>
      <c r="B2289" s="116">
        <v>3474.35</v>
      </c>
      <c r="C2289" s="116">
        <v>3406.85</v>
      </c>
      <c r="D2289" s="116">
        <v>3340.55</v>
      </c>
      <c r="E2289" s="116">
        <v>3474.35</v>
      </c>
      <c r="F2289" s="116">
        <v>3406.85</v>
      </c>
      <c r="G2289">
        <v>6071</v>
      </c>
      <c r="H2289" s="116"/>
      <c r="I2289" s="116"/>
      <c r="L2289" s="170">
        <v>45372</v>
      </c>
      <c r="M2289" s="116">
        <v>3405.1</v>
      </c>
      <c r="N2289" s="116">
        <v>3464.95</v>
      </c>
      <c r="O2289" s="116">
        <v>3340.4</v>
      </c>
      <c r="P2289" s="116">
        <v>3440</v>
      </c>
      <c r="Q2289" s="116">
        <v>3405.1</v>
      </c>
      <c r="R2289">
        <v>362859</v>
      </c>
    </row>
    <row r="2290" spans="1:18" x14ac:dyDescent="0.25">
      <c r="A2290" s="170">
        <v>45373</v>
      </c>
      <c r="B2290" s="116">
        <v>3470</v>
      </c>
      <c r="C2290" s="116">
        <v>3421.2</v>
      </c>
      <c r="D2290" s="116">
        <v>3366.75</v>
      </c>
      <c r="E2290" s="116">
        <v>3406.85</v>
      </c>
      <c r="F2290" s="116">
        <v>3421.2</v>
      </c>
      <c r="G2290">
        <v>8527</v>
      </c>
      <c r="H2290" s="116"/>
      <c r="I2290" s="116"/>
      <c r="L2290" s="170">
        <v>45373</v>
      </c>
      <c r="M2290" s="116">
        <v>3422.95</v>
      </c>
      <c r="N2290" s="116">
        <v>3472.75</v>
      </c>
      <c r="O2290" s="116">
        <v>3367.35</v>
      </c>
      <c r="P2290" s="116">
        <v>3405.1</v>
      </c>
      <c r="Q2290" s="116">
        <v>3422.95</v>
      </c>
      <c r="R2290">
        <v>143188</v>
      </c>
    </row>
    <row r="2291" spans="1:18" x14ac:dyDescent="0.25">
      <c r="A2291" s="170">
        <v>45377</v>
      </c>
      <c r="B2291" s="116">
        <v>3500.6</v>
      </c>
      <c r="C2291" s="116">
        <v>3471.45</v>
      </c>
      <c r="D2291" s="116">
        <v>3365.3</v>
      </c>
      <c r="E2291" s="116">
        <v>3410.3</v>
      </c>
      <c r="F2291" s="116">
        <v>3471.45</v>
      </c>
      <c r="G2291">
        <v>4852</v>
      </c>
      <c r="H2291" s="116"/>
      <c r="I2291" s="116"/>
      <c r="L2291" s="170">
        <v>45377</v>
      </c>
      <c r="M2291" s="116">
        <v>3473.85</v>
      </c>
      <c r="N2291" s="116">
        <v>3510</v>
      </c>
      <c r="O2291" s="116">
        <v>3362</v>
      </c>
      <c r="P2291" s="116">
        <v>3422.95</v>
      </c>
      <c r="Q2291" s="116">
        <v>3473.85</v>
      </c>
      <c r="R2291">
        <v>175861</v>
      </c>
    </row>
    <row r="2292" spans="1:18" x14ac:dyDescent="0.25">
      <c r="A2292" s="170">
        <v>45378</v>
      </c>
      <c r="B2292" s="116">
        <v>3590</v>
      </c>
      <c r="C2292" s="116">
        <v>3477.7</v>
      </c>
      <c r="D2292" s="116">
        <v>3440.4</v>
      </c>
      <c r="E2292" s="116">
        <v>3503.05</v>
      </c>
      <c r="F2292" s="116">
        <v>3477.7</v>
      </c>
      <c r="G2292">
        <v>10953</v>
      </c>
      <c r="H2292" s="116"/>
      <c r="I2292" s="116"/>
      <c r="L2292" s="170">
        <v>45378</v>
      </c>
      <c r="M2292" s="116">
        <v>3476.3</v>
      </c>
      <c r="N2292" s="116">
        <v>3593</v>
      </c>
      <c r="O2292" s="116">
        <v>3437.45</v>
      </c>
      <c r="P2292" s="116">
        <v>3530</v>
      </c>
      <c r="Q2292" s="116">
        <v>3476.3</v>
      </c>
      <c r="R2292">
        <v>566239</v>
      </c>
    </row>
    <row r="2293" spans="1:18" x14ac:dyDescent="0.25">
      <c r="A2293" s="170">
        <v>45379</v>
      </c>
      <c r="B2293" s="116">
        <v>3549.45</v>
      </c>
      <c r="C2293" s="116">
        <v>3455.3</v>
      </c>
      <c r="D2293" s="116">
        <v>3428.2</v>
      </c>
      <c r="E2293" s="116">
        <v>3549.45</v>
      </c>
      <c r="F2293" s="116">
        <v>3455.3</v>
      </c>
      <c r="G2293">
        <v>9184</v>
      </c>
      <c r="H2293" s="116"/>
      <c r="I2293" s="116"/>
      <c r="L2293" s="170">
        <v>45379</v>
      </c>
      <c r="M2293" s="116">
        <v>3459.8</v>
      </c>
      <c r="N2293" s="116">
        <v>3530</v>
      </c>
      <c r="O2293" s="116">
        <v>3428.15</v>
      </c>
      <c r="P2293" s="116">
        <v>3524</v>
      </c>
      <c r="Q2293" s="116">
        <v>3459.8</v>
      </c>
      <c r="R2293">
        <v>121508</v>
      </c>
    </row>
    <row r="2294" spans="1:18" x14ac:dyDescent="0.25">
      <c r="A2294" s="170">
        <v>45383</v>
      </c>
      <c r="B2294" s="116">
        <v>3620.2</v>
      </c>
      <c r="C2294" s="116">
        <v>3498.8</v>
      </c>
      <c r="D2294" s="116">
        <v>3448.55</v>
      </c>
      <c r="E2294" s="116">
        <v>3466</v>
      </c>
      <c r="F2294" s="116">
        <v>3498.8</v>
      </c>
      <c r="G2294">
        <v>8330</v>
      </c>
      <c r="H2294" s="116"/>
      <c r="I2294" s="116"/>
      <c r="L2294" s="170">
        <v>45383</v>
      </c>
      <c r="M2294" s="116">
        <v>3500.2</v>
      </c>
      <c r="N2294" s="116">
        <v>3624.7</v>
      </c>
      <c r="O2294" s="116">
        <v>3444.85</v>
      </c>
      <c r="P2294" s="116">
        <v>3465</v>
      </c>
      <c r="Q2294" s="116">
        <v>3500.2</v>
      </c>
      <c r="R2294">
        <v>291555</v>
      </c>
    </row>
    <row r="2295" spans="1:18" x14ac:dyDescent="0.25">
      <c r="A2295" s="170">
        <v>45384</v>
      </c>
      <c r="B2295" s="116">
        <v>3573.1</v>
      </c>
      <c r="C2295" s="116">
        <v>3498</v>
      </c>
      <c r="D2295" s="116">
        <v>3465.5</v>
      </c>
      <c r="E2295" s="116">
        <v>3508.4</v>
      </c>
      <c r="F2295" s="116">
        <v>3498</v>
      </c>
      <c r="G2295">
        <v>4144</v>
      </c>
      <c r="H2295" s="116"/>
      <c r="I2295" s="116"/>
      <c r="L2295" s="170">
        <v>45384</v>
      </c>
      <c r="M2295" s="116">
        <v>3505.7</v>
      </c>
      <c r="N2295" s="116">
        <v>3573.45</v>
      </c>
      <c r="O2295" s="116">
        <v>3466</v>
      </c>
      <c r="P2295" s="116">
        <v>3504.8</v>
      </c>
      <c r="Q2295" s="116">
        <v>3505.7</v>
      </c>
      <c r="R2295">
        <v>225687</v>
      </c>
    </row>
    <row r="2296" spans="1:18" x14ac:dyDescent="0.25">
      <c r="A2296" s="170">
        <v>45385</v>
      </c>
      <c r="B2296" s="116">
        <v>3560</v>
      </c>
      <c r="C2296" s="116">
        <v>3468.85</v>
      </c>
      <c r="D2296" s="116">
        <v>3438</v>
      </c>
      <c r="E2296" s="116">
        <v>3549.95</v>
      </c>
      <c r="F2296" s="116">
        <v>3468.85</v>
      </c>
      <c r="G2296">
        <v>5324</v>
      </c>
      <c r="H2296" s="116"/>
      <c r="I2296" s="116"/>
      <c r="L2296" s="170">
        <v>45385</v>
      </c>
      <c r="M2296" s="116">
        <v>3466.35</v>
      </c>
      <c r="N2296" s="116">
        <v>3564.05</v>
      </c>
      <c r="O2296" s="116">
        <v>3436.2</v>
      </c>
      <c r="P2296" s="116">
        <v>3502.9</v>
      </c>
      <c r="Q2296" s="116">
        <v>3466.35</v>
      </c>
      <c r="R2296">
        <v>245999</v>
      </c>
    </row>
    <row r="2297" spans="1:18" x14ac:dyDescent="0.25">
      <c r="A2297" s="170">
        <v>45386</v>
      </c>
      <c r="B2297" s="116">
        <v>3600</v>
      </c>
      <c r="C2297" s="116">
        <v>3587.15</v>
      </c>
      <c r="D2297" s="116">
        <v>3436.65</v>
      </c>
      <c r="E2297" s="116">
        <v>3499.95</v>
      </c>
      <c r="F2297" s="116">
        <v>3587.15</v>
      </c>
      <c r="G2297">
        <v>12819</v>
      </c>
      <c r="H2297" s="116"/>
      <c r="I2297" s="116"/>
      <c r="L2297" s="170">
        <v>45386</v>
      </c>
      <c r="M2297" s="116">
        <v>3586.95</v>
      </c>
      <c r="N2297" s="116">
        <v>3602</v>
      </c>
      <c r="O2297" s="116">
        <v>3437.8</v>
      </c>
      <c r="P2297" s="116">
        <v>3477.8</v>
      </c>
      <c r="Q2297" s="116">
        <v>3586.95</v>
      </c>
      <c r="R2297">
        <v>252338</v>
      </c>
    </row>
    <row r="2298" spans="1:18" x14ac:dyDescent="0.25">
      <c r="A2298" s="170">
        <v>45387</v>
      </c>
      <c r="B2298" s="116">
        <v>3667.95</v>
      </c>
      <c r="C2298" s="116">
        <v>3568.25</v>
      </c>
      <c r="D2298" s="116">
        <v>3552.55</v>
      </c>
      <c r="E2298" s="116">
        <v>3567.45</v>
      </c>
      <c r="F2298" s="116">
        <v>3568.25</v>
      </c>
      <c r="G2298">
        <v>16175</v>
      </c>
      <c r="H2298" s="116"/>
      <c r="I2298" s="116"/>
      <c r="L2298" s="170">
        <v>45387</v>
      </c>
      <c r="M2298" s="116">
        <v>3574.2</v>
      </c>
      <c r="N2298" s="116">
        <v>3667.4</v>
      </c>
      <c r="O2298" s="116">
        <v>3508</v>
      </c>
      <c r="P2298" s="116">
        <v>3589</v>
      </c>
      <c r="Q2298" s="116">
        <v>3574.2</v>
      </c>
      <c r="R2298">
        <v>246902</v>
      </c>
    </row>
    <row r="2299" spans="1:18" x14ac:dyDescent="0.25">
      <c r="A2299" s="170">
        <v>45390</v>
      </c>
      <c r="B2299" s="116">
        <v>3818.15</v>
      </c>
      <c r="C2299" s="116">
        <v>3762.5</v>
      </c>
      <c r="D2299" s="116">
        <v>3613.5</v>
      </c>
      <c r="E2299" s="116">
        <v>3623</v>
      </c>
      <c r="F2299" s="116">
        <v>3762.5</v>
      </c>
      <c r="G2299">
        <v>15302</v>
      </c>
      <c r="H2299" s="116"/>
      <c r="I2299" s="116"/>
      <c r="L2299" s="170">
        <v>45390</v>
      </c>
      <c r="M2299" s="116">
        <v>3764</v>
      </c>
      <c r="N2299" s="116">
        <v>3817</v>
      </c>
      <c r="O2299" s="116">
        <v>3600.05</v>
      </c>
      <c r="P2299" s="116">
        <v>3600.05</v>
      </c>
      <c r="Q2299" s="116">
        <v>3764</v>
      </c>
      <c r="R2299">
        <v>508093</v>
      </c>
    </row>
    <row r="2300" spans="1:18" x14ac:dyDescent="0.25">
      <c r="A2300" s="170">
        <v>45391</v>
      </c>
      <c r="B2300" s="116">
        <v>3829.35</v>
      </c>
      <c r="C2300" s="116">
        <v>3699.5</v>
      </c>
      <c r="D2300" s="116">
        <v>3661.95</v>
      </c>
      <c r="E2300" s="116">
        <v>3829.35</v>
      </c>
      <c r="F2300" s="116">
        <v>3699.5</v>
      </c>
      <c r="G2300">
        <v>6532</v>
      </c>
      <c r="H2300" s="116"/>
      <c r="I2300" s="116"/>
      <c r="L2300" s="170">
        <v>45391</v>
      </c>
      <c r="M2300" s="116">
        <v>3700.4</v>
      </c>
      <c r="N2300" s="116">
        <v>3807.95</v>
      </c>
      <c r="O2300" s="116">
        <v>3662</v>
      </c>
      <c r="P2300" s="116">
        <v>3807.95</v>
      </c>
      <c r="Q2300" s="116">
        <v>3700.4</v>
      </c>
      <c r="R2300">
        <v>252824</v>
      </c>
    </row>
    <row r="2301" spans="1:18" x14ac:dyDescent="0.25">
      <c r="A2301" s="170">
        <v>45392</v>
      </c>
      <c r="B2301" s="116">
        <v>3829.8</v>
      </c>
      <c r="C2301" s="116">
        <v>3801.25</v>
      </c>
      <c r="D2301" s="116">
        <v>3721.3</v>
      </c>
      <c r="E2301" s="116">
        <v>3817.35</v>
      </c>
      <c r="F2301" s="116">
        <v>3801.25</v>
      </c>
      <c r="G2301">
        <v>4038</v>
      </c>
      <c r="H2301" s="116"/>
      <c r="I2301" s="116"/>
      <c r="L2301" s="170">
        <v>45392</v>
      </c>
      <c r="M2301" s="116">
        <v>3801.4</v>
      </c>
      <c r="N2301" s="116">
        <v>3830</v>
      </c>
      <c r="O2301" s="116">
        <v>3709.75</v>
      </c>
      <c r="P2301" s="116">
        <v>3737</v>
      </c>
      <c r="Q2301" s="116">
        <v>3801.4</v>
      </c>
      <c r="R2301">
        <v>226878</v>
      </c>
    </row>
    <row r="2302" spans="1:18" x14ac:dyDescent="0.25">
      <c r="A2302" s="170">
        <v>45394</v>
      </c>
      <c r="B2302" s="116">
        <v>4043.25</v>
      </c>
      <c r="C2302" s="116">
        <v>3995.65</v>
      </c>
      <c r="D2302" s="116">
        <v>3800.3</v>
      </c>
      <c r="E2302" s="116">
        <v>3800.3</v>
      </c>
      <c r="F2302" s="116">
        <v>3995.65</v>
      </c>
      <c r="G2302">
        <v>18301</v>
      </c>
      <c r="H2302" s="116"/>
      <c r="I2302" s="116"/>
      <c r="L2302" s="170">
        <v>45394</v>
      </c>
      <c r="M2302" s="116">
        <v>3992.55</v>
      </c>
      <c r="N2302" s="116">
        <v>4043</v>
      </c>
      <c r="O2302" s="116">
        <v>3804.15</v>
      </c>
      <c r="P2302" s="116">
        <v>3804.15</v>
      </c>
      <c r="Q2302" s="116">
        <v>3992.55</v>
      </c>
      <c r="R2302">
        <v>872342</v>
      </c>
    </row>
    <row r="2303" spans="1:18" x14ac:dyDescent="0.25">
      <c r="A2303" s="170">
        <v>45397</v>
      </c>
      <c r="B2303" s="116">
        <v>4038.85</v>
      </c>
      <c r="C2303" s="116">
        <v>4007.2</v>
      </c>
      <c r="D2303" s="116">
        <v>3787.75</v>
      </c>
      <c r="E2303" s="116">
        <v>3959.95</v>
      </c>
      <c r="F2303" s="116">
        <v>4007.2</v>
      </c>
      <c r="G2303">
        <v>35256</v>
      </c>
      <c r="H2303" s="116"/>
      <c r="I2303" s="116"/>
      <c r="L2303" s="170">
        <v>45397</v>
      </c>
      <c r="M2303" s="116">
        <v>4005.15</v>
      </c>
      <c r="N2303" s="116">
        <v>4039</v>
      </c>
      <c r="O2303" s="116">
        <v>3788.75</v>
      </c>
      <c r="P2303" s="116">
        <v>3930</v>
      </c>
      <c r="Q2303" s="116">
        <v>4005.15</v>
      </c>
      <c r="R2303">
        <v>601366</v>
      </c>
    </row>
    <row r="2304" spans="1:18" x14ac:dyDescent="0.25">
      <c r="A2304" s="170">
        <v>45398</v>
      </c>
      <c r="B2304" s="116">
        <v>3981.3</v>
      </c>
      <c r="C2304" s="116">
        <v>3850.65</v>
      </c>
      <c r="D2304" s="116">
        <v>3837</v>
      </c>
      <c r="E2304" s="116">
        <v>3926.35</v>
      </c>
      <c r="F2304" s="116">
        <v>3850.65</v>
      </c>
      <c r="G2304">
        <v>19853</v>
      </c>
      <c r="H2304" s="116"/>
      <c r="I2304" s="116"/>
      <c r="L2304" s="170">
        <v>45398</v>
      </c>
      <c r="M2304" s="116">
        <v>3849.2</v>
      </c>
      <c r="N2304" s="116">
        <v>3976.95</v>
      </c>
      <c r="O2304" s="116">
        <v>3836</v>
      </c>
      <c r="P2304" s="116">
        <v>3947.15</v>
      </c>
      <c r="Q2304" s="116">
        <v>3849.2</v>
      </c>
      <c r="R2304">
        <v>372639</v>
      </c>
    </row>
    <row r="2305" spans="1:18" x14ac:dyDescent="0.25">
      <c r="A2305" s="170">
        <v>45400</v>
      </c>
      <c r="B2305" s="116">
        <v>3925</v>
      </c>
      <c r="C2305" s="116">
        <v>3792.95</v>
      </c>
      <c r="D2305" s="116">
        <v>3775</v>
      </c>
      <c r="E2305" s="116">
        <v>3849.6</v>
      </c>
      <c r="F2305" s="116">
        <v>3792.95</v>
      </c>
      <c r="G2305">
        <v>27153</v>
      </c>
      <c r="H2305" s="116"/>
      <c r="I2305" s="116"/>
      <c r="L2305" s="170">
        <v>45400</v>
      </c>
      <c r="M2305" s="116">
        <v>3792.7</v>
      </c>
      <c r="N2305" s="116">
        <v>3927.75</v>
      </c>
      <c r="O2305" s="116">
        <v>3771.95</v>
      </c>
      <c r="P2305" s="116">
        <v>3842.05</v>
      </c>
      <c r="Q2305" s="116">
        <v>3792.7</v>
      </c>
      <c r="R2305">
        <v>369685</v>
      </c>
    </row>
    <row r="2306" spans="1:18" x14ac:dyDescent="0.25">
      <c r="A2306" s="170">
        <v>45401</v>
      </c>
      <c r="B2306" s="116">
        <v>3886.85</v>
      </c>
      <c r="C2306" s="116">
        <v>3761.2</v>
      </c>
      <c r="D2306" s="116">
        <v>3750.1</v>
      </c>
      <c r="E2306" s="116">
        <v>3751.35</v>
      </c>
      <c r="F2306" s="116">
        <v>3761.2</v>
      </c>
      <c r="G2306">
        <v>15338</v>
      </c>
      <c r="H2306" s="116"/>
      <c r="I2306" s="116"/>
      <c r="L2306" s="170">
        <v>45401</v>
      </c>
      <c r="M2306" s="116">
        <v>3759.15</v>
      </c>
      <c r="N2306" s="116">
        <v>3884.35</v>
      </c>
      <c r="O2306" s="116">
        <v>3751</v>
      </c>
      <c r="P2306" s="116">
        <v>3758.95</v>
      </c>
      <c r="Q2306" s="116">
        <v>3759.15</v>
      </c>
      <c r="R2306">
        <v>199296</v>
      </c>
    </row>
    <row r="2307" spans="1:18" x14ac:dyDescent="0.25">
      <c r="A2307" s="170">
        <v>45404</v>
      </c>
      <c r="B2307" s="116">
        <v>3852.7</v>
      </c>
      <c r="C2307" s="116">
        <v>3822.65</v>
      </c>
      <c r="D2307" s="116">
        <v>3734.05</v>
      </c>
      <c r="E2307" s="116">
        <v>3795.05</v>
      </c>
      <c r="F2307" s="116">
        <v>3822.65</v>
      </c>
      <c r="G2307">
        <v>11538</v>
      </c>
      <c r="H2307" s="116"/>
      <c r="I2307" s="116"/>
      <c r="L2307" s="170">
        <v>45404</v>
      </c>
      <c r="M2307" s="116">
        <v>3818.25</v>
      </c>
      <c r="N2307" s="116">
        <v>3855</v>
      </c>
      <c r="O2307" s="116">
        <v>3731.85</v>
      </c>
      <c r="P2307" s="116">
        <v>3798</v>
      </c>
      <c r="Q2307" s="116">
        <v>3818.25</v>
      </c>
      <c r="R2307">
        <v>160608</v>
      </c>
    </row>
    <row r="2308" spans="1:18" x14ac:dyDescent="0.25">
      <c r="A2308" s="170">
        <v>45405</v>
      </c>
      <c r="B2308" s="116">
        <v>4050</v>
      </c>
      <c r="C2308" s="116">
        <v>4021</v>
      </c>
      <c r="D2308" s="116">
        <v>3845.05</v>
      </c>
      <c r="E2308" s="116">
        <v>3889.2</v>
      </c>
      <c r="F2308" s="116">
        <v>4021</v>
      </c>
      <c r="G2308">
        <v>26970</v>
      </c>
      <c r="H2308" s="116"/>
      <c r="I2308" s="116"/>
      <c r="L2308" s="170">
        <v>45405</v>
      </c>
      <c r="M2308" s="116">
        <v>4016.75</v>
      </c>
      <c r="N2308" s="116">
        <v>4049.9</v>
      </c>
      <c r="O2308" s="116">
        <v>3840.15</v>
      </c>
      <c r="P2308" s="116">
        <v>3862.4</v>
      </c>
      <c r="Q2308" s="116">
        <v>4016.75</v>
      </c>
      <c r="R2308">
        <v>487913</v>
      </c>
    </row>
    <row r="2309" spans="1:18" x14ac:dyDescent="0.25">
      <c r="A2309" s="170">
        <v>45406</v>
      </c>
      <c r="B2309" s="116">
        <v>4114.95</v>
      </c>
      <c r="C2309" s="116">
        <v>3947.25</v>
      </c>
      <c r="D2309" s="116">
        <v>3930</v>
      </c>
      <c r="E2309" s="116">
        <v>4020.05</v>
      </c>
      <c r="F2309" s="116">
        <v>3947.25</v>
      </c>
      <c r="G2309">
        <v>14895</v>
      </c>
      <c r="H2309" s="116"/>
      <c r="I2309" s="116"/>
      <c r="L2309" s="170">
        <v>45406</v>
      </c>
      <c r="M2309" s="116">
        <v>3949.05</v>
      </c>
      <c r="N2309" s="116">
        <v>4117</v>
      </c>
      <c r="O2309" s="116">
        <v>3929.15</v>
      </c>
      <c r="P2309" s="116">
        <v>4006.8</v>
      </c>
      <c r="Q2309" s="116">
        <v>3949.05</v>
      </c>
      <c r="R2309">
        <v>224574</v>
      </c>
    </row>
    <row r="2310" spans="1:18" x14ac:dyDescent="0.25">
      <c r="A2310" s="170">
        <v>45407</v>
      </c>
      <c r="B2310" s="116">
        <v>3976</v>
      </c>
      <c r="C2310" s="116">
        <v>3917.1</v>
      </c>
      <c r="D2310" s="116">
        <v>3893</v>
      </c>
      <c r="E2310" s="116">
        <v>3950.45</v>
      </c>
      <c r="F2310" s="116">
        <v>3917.1</v>
      </c>
      <c r="G2310">
        <v>2992</v>
      </c>
      <c r="H2310" s="116"/>
      <c r="I2310" s="116"/>
      <c r="L2310" s="170">
        <v>45407</v>
      </c>
      <c r="M2310" s="116">
        <v>3918.15</v>
      </c>
      <c r="N2310" s="116">
        <v>3964.6</v>
      </c>
      <c r="O2310" s="116">
        <v>3897</v>
      </c>
      <c r="P2310" s="116">
        <v>3955</v>
      </c>
      <c r="Q2310" s="116">
        <v>3918.15</v>
      </c>
      <c r="R2310">
        <v>135590</v>
      </c>
    </row>
    <row r="2311" spans="1:18" x14ac:dyDescent="0.25">
      <c r="A2311" s="170">
        <v>45408</v>
      </c>
      <c r="B2311" s="116">
        <v>3954.1</v>
      </c>
      <c r="C2311" s="116">
        <v>3898.15</v>
      </c>
      <c r="D2311" s="116">
        <v>3854.2</v>
      </c>
      <c r="E2311" s="116">
        <v>3923.05</v>
      </c>
      <c r="F2311" s="116">
        <v>3898.15</v>
      </c>
      <c r="G2311">
        <v>3955</v>
      </c>
      <c r="H2311" s="116"/>
      <c r="I2311" s="116"/>
      <c r="L2311" s="170">
        <v>45408</v>
      </c>
      <c r="M2311" s="116">
        <v>3897.15</v>
      </c>
      <c r="N2311" s="116">
        <v>3956.9</v>
      </c>
      <c r="O2311" s="116">
        <v>3855</v>
      </c>
      <c r="P2311" s="116">
        <v>3919</v>
      </c>
      <c r="Q2311" s="116">
        <v>3897.15</v>
      </c>
      <c r="R2311">
        <v>107344</v>
      </c>
    </row>
    <row r="2312" spans="1:18" x14ac:dyDescent="0.25">
      <c r="A2312" s="170">
        <v>45411</v>
      </c>
      <c r="B2312" s="116">
        <v>3946.3</v>
      </c>
      <c r="C2312" s="116">
        <v>3847.4</v>
      </c>
      <c r="D2312" s="116">
        <v>3813.75</v>
      </c>
      <c r="E2312" s="116">
        <v>3900.5</v>
      </c>
      <c r="F2312" s="116">
        <v>3847.4</v>
      </c>
      <c r="G2312">
        <v>9608</v>
      </c>
      <c r="H2312" s="116"/>
      <c r="I2312" s="116"/>
      <c r="L2312" s="170">
        <v>45411</v>
      </c>
      <c r="M2312" s="116">
        <v>3846.1</v>
      </c>
      <c r="N2312" s="116">
        <v>3964</v>
      </c>
      <c r="O2312" s="116">
        <v>3812.35</v>
      </c>
      <c r="P2312" s="116">
        <v>3950</v>
      </c>
      <c r="Q2312" s="116">
        <v>3846.1</v>
      </c>
      <c r="R2312">
        <v>173482</v>
      </c>
    </row>
    <row r="2313" spans="1:18" x14ac:dyDescent="0.25">
      <c r="A2313" s="170">
        <v>45412</v>
      </c>
      <c r="B2313" s="116">
        <v>4027</v>
      </c>
      <c r="C2313" s="116">
        <v>3992.75</v>
      </c>
      <c r="D2313" s="116">
        <v>3851.85</v>
      </c>
      <c r="E2313" s="116">
        <v>3889.7</v>
      </c>
      <c r="F2313" s="116">
        <v>3992.75</v>
      </c>
      <c r="G2313">
        <v>22641</v>
      </c>
      <c r="H2313" s="116"/>
      <c r="I2313" s="116"/>
      <c r="L2313" s="170">
        <v>45412</v>
      </c>
      <c r="M2313" s="116">
        <v>3995.6</v>
      </c>
      <c r="N2313" s="116">
        <v>4030</v>
      </c>
      <c r="O2313" s="116">
        <v>3870</v>
      </c>
      <c r="P2313" s="116">
        <v>3884.15</v>
      </c>
      <c r="Q2313" s="116">
        <v>3995.6</v>
      </c>
      <c r="R2313">
        <v>293819</v>
      </c>
    </row>
    <row r="2314" spans="1:18" x14ac:dyDescent="0.25">
      <c r="A2314" s="170">
        <v>45414</v>
      </c>
      <c r="B2314" s="116">
        <v>4073</v>
      </c>
      <c r="C2314" s="116">
        <v>3996.2</v>
      </c>
      <c r="D2314" s="116">
        <v>3962.95</v>
      </c>
      <c r="E2314" s="116">
        <v>4044.8</v>
      </c>
      <c r="F2314" s="116">
        <v>3996.2</v>
      </c>
      <c r="G2314">
        <v>3805</v>
      </c>
      <c r="H2314" s="116"/>
      <c r="I2314" s="116"/>
      <c r="L2314" s="170">
        <v>45414</v>
      </c>
      <c r="M2314" s="116">
        <v>3999</v>
      </c>
      <c r="N2314" s="116">
        <v>4073.9</v>
      </c>
      <c r="O2314" s="116">
        <v>3957.6</v>
      </c>
      <c r="P2314" s="116">
        <v>4046</v>
      </c>
      <c r="Q2314" s="116">
        <v>3999</v>
      </c>
      <c r="R2314">
        <v>233416</v>
      </c>
    </row>
    <row r="2315" spans="1:18" x14ac:dyDescent="0.25">
      <c r="A2315" s="170">
        <v>45415</v>
      </c>
      <c r="B2315" s="116">
        <v>4100</v>
      </c>
      <c r="C2315" s="116">
        <v>3893.8</v>
      </c>
      <c r="D2315" s="116">
        <v>3878.35</v>
      </c>
      <c r="E2315" s="116">
        <v>4080</v>
      </c>
      <c r="F2315" s="116">
        <v>3893.8</v>
      </c>
      <c r="G2315">
        <v>15884</v>
      </c>
      <c r="H2315" s="116"/>
      <c r="I2315" s="116"/>
      <c r="L2315" s="170">
        <v>45415</v>
      </c>
      <c r="M2315" s="116">
        <v>3892.85</v>
      </c>
      <c r="N2315" s="116">
        <v>4102</v>
      </c>
      <c r="O2315" s="116">
        <v>3880</v>
      </c>
      <c r="P2315" s="116">
        <v>4100</v>
      </c>
      <c r="Q2315" s="116">
        <v>3892.85</v>
      </c>
      <c r="R2315">
        <v>561539</v>
      </c>
    </row>
    <row r="2316" spans="1:18" x14ac:dyDescent="0.25">
      <c r="A2316" s="170">
        <v>45418</v>
      </c>
      <c r="B2316" s="116">
        <v>3971.65</v>
      </c>
      <c r="C2316" s="116">
        <v>3800.3</v>
      </c>
      <c r="D2316" s="116">
        <v>3763.05</v>
      </c>
      <c r="E2316" s="116">
        <v>3971.65</v>
      </c>
      <c r="F2316" s="116">
        <v>3800.3</v>
      </c>
      <c r="G2316">
        <v>17046</v>
      </c>
      <c r="H2316" s="116"/>
      <c r="I2316" s="116"/>
      <c r="L2316" s="170">
        <v>45418</v>
      </c>
      <c r="M2316" s="116">
        <v>3798.15</v>
      </c>
      <c r="N2316" s="116">
        <v>3939</v>
      </c>
      <c r="O2316" s="116">
        <v>3762.25</v>
      </c>
      <c r="P2316" s="116">
        <v>3939</v>
      </c>
      <c r="Q2316" s="116">
        <v>3798.15</v>
      </c>
      <c r="R2316">
        <v>263366</v>
      </c>
    </row>
    <row r="2317" spans="1:18" x14ac:dyDescent="0.25">
      <c r="A2317" s="170">
        <v>45419</v>
      </c>
      <c r="B2317" s="116">
        <v>3858.9</v>
      </c>
      <c r="C2317" s="116">
        <v>3832.65</v>
      </c>
      <c r="D2317" s="116">
        <v>3773</v>
      </c>
      <c r="E2317" s="116">
        <v>3836.45</v>
      </c>
      <c r="F2317" s="116">
        <v>3832.65</v>
      </c>
      <c r="G2317">
        <v>22487</v>
      </c>
      <c r="H2317" s="116"/>
      <c r="I2317" s="116"/>
      <c r="L2317" s="170">
        <v>45419</v>
      </c>
      <c r="M2317" s="116">
        <v>3834.75</v>
      </c>
      <c r="N2317" s="116">
        <v>3860</v>
      </c>
      <c r="O2317" s="116">
        <v>3770.2</v>
      </c>
      <c r="P2317" s="116">
        <v>3828</v>
      </c>
      <c r="Q2317" s="116">
        <v>3834.75</v>
      </c>
      <c r="R2317">
        <v>218127</v>
      </c>
    </row>
    <row r="2318" spans="1:18" x14ac:dyDescent="0.25">
      <c r="A2318" s="170">
        <v>45420</v>
      </c>
      <c r="B2318" s="116">
        <v>3838.9</v>
      </c>
      <c r="C2318" s="116">
        <v>3775.25</v>
      </c>
      <c r="D2318" s="116">
        <v>3728.6</v>
      </c>
      <c r="E2318" s="116">
        <v>3838.9</v>
      </c>
      <c r="F2318" s="116">
        <v>3775.25</v>
      </c>
      <c r="G2318">
        <v>8620</v>
      </c>
      <c r="H2318" s="116"/>
      <c r="I2318" s="116"/>
      <c r="L2318" s="170">
        <v>45420</v>
      </c>
      <c r="M2318" s="116">
        <v>3773.35</v>
      </c>
      <c r="N2318" s="116">
        <v>3837</v>
      </c>
      <c r="O2318" s="116">
        <v>3725</v>
      </c>
      <c r="P2318" s="116">
        <v>3835</v>
      </c>
      <c r="Q2318" s="116">
        <v>3773.35</v>
      </c>
      <c r="R2318">
        <v>264257</v>
      </c>
    </row>
    <row r="2319" spans="1:18" x14ac:dyDescent="0.25">
      <c r="A2319" s="170">
        <v>45421</v>
      </c>
      <c r="B2319" s="116">
        <v>3885.25</v>
      </c>
      <c r="C2319" s="116">
        <v>3839.75</v>
      </c>
      <c r="D2319" s="116">
        <v>3768.4</v>
      </c>
      <c r="E2319" s="116">
        <v>3796.35</v>
      </c>
      <c r="F2319" s="116">
        <v>3839.75</v>
      </c>
      <c r="G2319">
        <v>29005</v>
      </c>
      <c r="H2319" s="116"/>
      <c r="I2319" s="116"/>
      <c r="L2319" s="170">
        <v>45421</v>
      </c>
      <c r="M2319" s="116">
        <v>3841.65</v>
      </c>
      <c r="N2319" s="116">
        <v>3888</v>
      </c>
      <c r="O2319" s="116">
        <v>3768.7</v>
      </c>
      <c r="P2319" s="116">
        <v>3780</v>
      </c>
      <c r="Q2319" s="116">
        <v>3841.65</v>
      </c>
      <c r="R2319">
        <v>234632</v>
      </c>
    </row>
    <row r="2320" spans="1:18" x14ac:dyDescent="0.25">
      <c r="A2320" s="170">
        <v>45422</v>
      </c>
      <c r="B2320" s="116">
        <v>3967</v>
      </c>
      <c r="C2320" s="116">
        <v>3924.15</v>
      </c>
      <c r="D2320" s="116">
        <v>3808.25</v>
      </c>
      <c r="E2320" s="116">
        <v>3843.55</v>
      </c>
      <c r="F2320" s="116">
        <v>3924.15</v>
      </c>
      <c r="G2320">
        <v>6066</v>
      </c>
      <c r="H2320" s="116"/>
      <c r="I2320" s="116"/>
      <c r="L2320" s="170">
        <v>45422</v>
      </c>
      <c r="M2320" s="116">
        <v>3928.5</v>
      </c>
      <c r="N2320" s="116">
        <v>3973.8</v>
      </c>
      <c r="O2320" s="116">
        <v>3806.3</v>
      </c>
      <c r="P2320" s="116">
        <v>3888.7</v>
      </c>
      <c r="Q2320" s="116">
        <v>3928.5</v>
      </c>
      <c r="R2320">
        <v>224910</v>
      </c>
    </row>
    <row r="2321" spans="1:18" x14ac:dyDescent="0.25">
      <c r="A2321" s="170">
        <v>45425</v>
      </c>
      <c r="B2321" s="116">
        <v>3949.65</v>
      </c>
      <c r="C2321" s="116">
        <v>3905.6</v>
      </c>
      <c r="D2321" s="116">
        <v>3813.65</v>
      </c>
      <c r="E2321" s="116">
        <v>3945</v>
      </c>
      <c r="F2321" s="116">
        <v>3905.6</v>
      </c>
      <c r="G2321">
        <v>6084</v>
      </c>
      <c r="H2321" s="116"/>
      <c r="I2321" s="116"/>
      <c r="L2321" s="170">
        <v>45425</v>
      </c>
      <c r="M2321" s="116">
        <v>3905.05</v>
      </c>
      <c r="N2321" s="116">
        <v>3953.9</v>
      </c>
      <c r="O2321" s="116">
        <v>3815</v>
      </c>
      <c r="P2321" s="116">
        <v>3953.9</v>
      </c>
      <c r="Q2321" s="116">
        <v>3905.05</v>
      </c>
      <c r="R2321">
        <v>195636</v>
      </c>
    </row>
    <row r="2322" spans="1:18" x14ac:dyDescent="0.25">
      <c r="A2322" s="170">
        <v>45426</v>
      </c>
      <c r="B2322" s="116">
        <v>4083.2</v>
      </c>
      <c r="C2322" s="116">
        <v>4067.8</v>
      </c>
      <c r="D2322" s="116">
        <v>3880.05</v>
      </c>
      <c r="E2322" s="116">
        <v>3880.05</v>
      </c>
      <c r="F2322" s="116">
        <v>4067.8</v>
      </c>
      <c r="G2322">
        <v>34730</v>
      </c>
      <c r="H2322" s="116"/>
      <c r="I2322" s="116"/>
      <c r="L2322" s="170">
        <v>45426</v>
      </c>
      <c r="M2322" s="116">
        <v>4066.55</v>
      </c>
      <c r="N2322" s="116">
        <v>4084.4</v>
      </c>
      <c r="O2322" s="116">
        <v>3883.85</v>
      </c>
      <c r="P2322" s="116">
        <v>3895.2</v>
      </c>
      <c r="Q2322" s="116">
        <v>4066.55</v>
      </c>
      <c r="R2322">
        <v>348261</v>
      </c>
    </row>
    <row r="2323" spans="1:18" x14ac:dyDescent="0.25">
      <c r="A2323" s="170">
        <v>45427</v>
      </c>
      <c r="B2323" s="116">
        <v>4136.75</v>
      </c>
      <c r="C2323" s="116">
        <v>4053.4</v>
      </c>
      <c r="D2323" s="116">
        <v>4014.6</v>
      </c>
      <c r="E2323" s="116">
        <v>4060.35</v>
      </c>
      <c r="F2323" s="116">
        <v>4053.4</v>
      </c>
      <c r="G2323">
        <v>13429</v>
      </c>
      <c r="H2323" s="116"/>
      <c r="I2323" s="116"/>
      <c r="L2323" s="170">
        <v>45427</v>
      </c>
      <c r="M2323" s="116">
        <v>4050.3</v>
      </c>
      <c r="N2323" s="116">
        <v>4137.95</v>
      </c>
      <c r="O2323" s="116">
        <v>4007.7</v>
      </c>
      <c r="P2323" s="116">
        <v>4064.05</v>
      </c>
      <c r="Q2323" s="116">
        <v>4050.3</v>
      </c>
      <c r="R2323">
        <v>241513</v>
      </c>
    </row>
    <row r="2324" spans="1:18" x14ac:dyDescent="0.25">
      <c r="A2324" s="170">
        <v>45428</v>
      </c>
      <c r="B2324" s="116">
        <v>4260</v>
      </c>
      <c r="C2324" s="116">
        <v>4249.5</v>
      </c>
      <c r="D2324" s="116">
        <v>3972.85</v>
      </c>
      <c r="E2324" s="116">
        <v>4005</v>
      </c>
      <c r="F2324" s="116">
        <v>4249.5</v>
      </c>
      <c r="G2324">
        <v>35076</v>
      </c>
      <c r="H2324" s="116"/>
      <c r="I2324" s="116"/>
      <c r="L2324" s="170">
        <v>45428</v>
      </c>
      <c r="M2324" s="116">
        <v>4248.6499999999996</v>
      </c>
      <c r="N2324" s="116">
        <v>4263</v>
      </c>
      <c r="O2324" s="116">
        <v>3972.55</v>
      </c>
      <c r="P2324" s="116">
        <v>4000</v>
      </c>
      <c r="Q2324" s="116">
        <v>4248.6499999999996</v>
      </c>
      <c r="R2324">
        <v>507594</v>
      </c>
    </row>
    <row r="2325" spans="1:18" x14ac:dyDescent="0.25">
      <c r="A2325" s="170">
        <v>45429</v>
      </c>
      <c r="B2325" s="116">
        <v>4264.8500000000004</v>
      </c>
      <c r="C2325" s="116">
        <v>4166.3500000000004</v>
      </c>
      <c r="D2325" s="116">
        <v>4155</v>
      </c>
      <c r="E2325" s="116">
        <v>4264.8500000000004</v>
      </c>
      <c r="F2325" s="116">
        <v>4166.3500000000004</v>
      </c>
      <c r="G2325">
        <v>14128</v>
      </c>
      <c r="H2325" s="116"/>
      <c r="I2325" s="116"/>
      <c r="L2325" s="170">
        <v>45429</v>
      </c>
      <c r="M2325" s="116">
        <v>4168.8</v>
      </c>
      <c r="N2325" s="116">
        <v>4248.6499999999996</v>
      </c>
      <c r="O2325" s="116">
        <v>4153.1000000000004</v>
      </c>
      <c r="P2325" s="116">
        <v>4248.6499999999996</v>
      </c>
      <c r="Q2325" s="116">
        <v>4168.8</v>
      </c>
      <c r="R2325">
        <v>190087</v>
      </c>
    </row>
    <row r="2326" spans="1:18" x14ac:dyDescent="0.25">
      <c r="A2326" s="170">
        <v>45430</v>
      </c>
      <c r="B2326" s="116">
        <v>4260</v>
      </c>
      <c r="C2326" s="116">
        <v>4226.6000000000004</v>
      </c>
      <c r="D2326" s="116">
        <v>4217.75</v>
      </c>
      <c r="E2326" s="116">
        <v>4249.7</v>
      </c>
      <c r="F2326" s="116">
        <v>4226.6000000000004</v>
      </c>
      <c r="G2326">
        <v>493</v>
      </c>
      <c r="H2326" s="116"/>
      <c r="I2326" s="116"/>
      <c r="L2326" s="170">
        <v>45430</v>
      </c>
      <c r="M2326" s="116">
        <v>4227.3999999999996</v>
      </c>
      <c r="N2326" s="116">
        <v>4260</v>
      </c>
      <c r="O2326" s="116">
        <v>4170</v>
      </c>
      <c r="P2326" s="116">
        <v>4170</v>
      </c>
      <c r="Q2326" s="116">
        <v>4227.3999999999996</v>
      </c>
      <c r="R2326">
        <v>14601</v>
      </c>
    </row>
    <row r="2327" spans="1:18" x14ac:dyDescent="0.25">
      <c r="A2327" s="170">
        <v>45433</v>
      </c>
      <c r="B2327" s="116">
        <v>4237.45</v>
      </c>
      <c r="C2327" s="116">
        <v>4132.95</v>
      </c>
      <c r="D2327" s="116">
        <v>4100.05</v>
      </c>
      <c r="E2327" s="116">
        <v>4225</v>
      </c>
      <c r="F2327" s="116">
        <v>4132.95</v>
      </c>
      <c r="G2327">
        <v>6919</v>
      </c>
      <c r="H2327" s="116"/>
      <c r="I2327" s="116"/>
      <c r="L2327" s="170">
        <v>45433</v>
      </c>
      <c r="M2327" s="116">
        <v>4133.5</v>
      </c>
      <c r="N2327" s="116">
        <v>4251</v>
      </c>
      <c r="O2327" s="116">
        <v>4100</v>
      </c>
      <c r="P2327" s="116">
        <v>4250</v>
      </c>
      <c r="Q2327" s="116">
        <v>4133.5</v>
      </c>
      <c r="R2327">
        <v>225438</v>
      </c>
    </row>
    <row r="2328" spans="1:18" x14ac:dyDescent="0.25">
      <c r="A2328" s="170">
        <v>45434</v>
      </c>
      <c r="B2328" s="116">
        <v>4250.3</v>
      </c>
      <c r="C2328" s="116">
        <v>4167.5</v>
      </c>
      <c r="D2328" s="116">
        <v>4130</v>
      </c>
      <c r="E2328" s="116">
        <v>4214.95</v>
      </c>
      <c r="F2328" s="116">
        <v>4167.5</v>
      </c>
      <c r="G2328">
        <v>6716</v>
      </c>
      <c r="H2328" s="116"/>
      <c r="I2328" s="116"/>
      <c r="L2328" s="170">
        <v>45434</v>
      </c>
      <c r="M2328" s="116">
        <v>4160.5</v>
      </c>
      <c r="N2328" s="116">
        <v>4197.45</v>
      </c>
      <c r="O2328" s="116">
        <v>4103</v>
      </c>
      <c r="P2328" s="116">
        <v>4149.95</v>
      </c>
      <c r="Q2328" s="116">
        <v>4160.5</v>
      </c>
      <c r="R2328">
        <v>128255</v>
      </c>
    </row>
    <row r="2329" spans="1:18" x14ac:dyDescent="0.25">
      <c r="A2329" s="170">
        <v>45435</v>
      </c>
      <c r="B2329" s="116">
        <v>4299.2</v>
      </c>
      <c r="C2329" s="116">
        <v>4280.3999999999996</v>
      </c>
      <c r="D2329" s="116">
        <v>4120</v>
      </c>
      <c r="E2329" s="116">
        <v>4120</v>
      </c>
      <c r="F2329" s="116">
        <v>4280.3999999999996</v>
      </c>
      <c r="G2329">
        <v>20039</v>
      </c>
      <c r="H2329" s="116"/>
      <c r="I2329" s="116"/>
      <c r="L2329" s="170">
        <v>45435</v>
      </c>
      <c r="M2329" s="116">
        <v>4286.3</v>
      </c>
      <c r="N2329" s="116">
        <v>4300</v>
      </c>
      <c r="O2329" s="116">
        <v>4101.3500000000004</v>
      </c>
      <c r="P2329" s="116">
        <v>4101.3500000000004</v>
      </c>
      <c r="Q2329" s="116">
        <v>4286.3</v>
      </c>
      <c r="R2329">
        <v>204554</v>
      </c>
    </row>
    <row r="2330" spans="1:18" x14ac:dyDescent="0.25">
      <c r="A2330" s="170">
        <v>45436</v>
      </c>
      <c r="B2330" s="116">
        <v>4346.25</v>
      </c>
      <c r="C2330" s="116">
        <v>4292.2</v>
      </c>
      <c r="D2330" s="116">
        <v>4241.05</v>
      </c>
      <c r="E2330" s="116">
        <v>4241.05</v>
      </c>
      <c r="F2330" s="116">
        <v>4292.2</v>
      </c>
      <c r="G2330">
        <v>6162</v>
      </c>
      <c r="H2330" s="116"/>
      <c r="I2330" s="116"/>
      <c r="L2330" s="170">
        <v>45436</v>
      </c>
      <c r="M2330" s="116">
        <v>4284.3500000000004</v>
      </c>
      <c r="N2330" s="116">
        <v>4350</v>
      </c>
      <c r="O2330" s="116">
        <v>4240.05</v>
      </c>
      <c r="P2330" s="116">
        <v>4253</v>
      </c>
      <c r="Q2330" s="116">
        <v>4284.3500000000004</v>
      </c>
      <c r="R2330">
        <v>140378</v>
      </c>
    </row>
    <row r="2331" spans="1:18" x14ac:dyDescent="0.25">
      <c r="A2331" s="170">
        <v>45439</v>
      </c>
      <c r="B2331" s="116">
        <v>4290</v>
      </c>
      <c r="C2331" s="116">
        <v>4168.1000000000004</v>
      </c>
      <c r="D2331" s="116">
        <v>4150</v>
      </c>
      <c r="E2331" s="116">
        <v>4260.75</v>
      </c>
      <c r="F2331" s="116">
        <v>4168.1000000000004</v>
      </c>
      <c r="G2331">
        <v>14654</v>
      </c>
      <c r="H2331" s="116"/>
      <c r="I2331" s="116"/>
      <c r="L2331" s="170">
        <v>45439</v>
      </c>
      <c r="M2331" s="116">
        <v>4171.1499999999996</v>
      </c>
      <c r="N2331" s="116">
        <v>4299.8999999999996</v>
      </c>
      <c r="O2331" s="116">
        <v>4150</v>
      </c>
      <c r="P2331" s="116">
        <v>4289.95</v>
      </c>
      <c r="Q2331" s="116">
        <v>4171.1499999999996</v>
      </c>
      <c r="R2331">
        <v>217676</v>
      </c>
    </row>
    <row r="2332" spans="1:18" x14ac:dyDescent="0.25">
      <c r="A2332" s="170">
        <v>45440</v>
      </c>
      <c r="B2332" s="116">
        <v>4265</v>
      </c>
      <c r="C2332" s="116">
        <v>4141.8999999999996</v>
      </c>
      <c r="D2332" s="116">
        <v>4135</v>
      </c>
      <c r="E2332" s="116">
        <v>4229.95</v>
      </c>
      <c r="F2332" s="116">
        <v>4141.8999999999996</v>
      </c>
      <c r="G2332">
        <v>4876</v>
      </c>
      <c r="H2332" s="116"/>
      <c r="I2332" s="116"/>
      <c r="L2332" s="170">
        <v>45440</v>
      </c>
      <c r="M2332" s="116">
        <v>4142.05</v>
      </c>
      <c r="N2332" s="116">
        <v>4271.05</v>
      </c>
      <c r="O2332" s="116">
        <v>4130.6000000000004</v>
      </c>
      <c r="P2332" s="116">
        <v>4184</v>
      </c>
      <c r="Q2332" s="116">
        <v>4142.05</v>
      </c>
      <c r="R2332">
        <v>163755</v>
      </c>
    </row>
    <row r="2333" spans="1:18" x14ac:dyDescent="0.25">
      <c r="A2333" s="170">
        <v>45441</v>
      </c>
      <c r="B2333" s="116">
        <v>4222.55</v>
      </c>
      <c r="C2333" s="116">
        <v>4200.25</v>
      </c>
      <c r="D2333" s="116">
        <v>4145.05</v>
      </c>
      <c r="E2333" s="116">
        <v>4171</v>
      </c>
      <c r="F2333" s="116">
        <v>4200.25</v>
      </c>
      <c r="G2333">
        <v>4148</v>
      </c>
      <c r="H2333" s="116"/>
      <c r="I2333" s="116"/>
      <c r="L2333" s="170">
        <v>45441</v>
      </c>
      <c r="M2333" s="116">
        <v>4207.95</v>
      </c>
      <c r="N2333" s="116">
        <v>4222</v>
      </c>
      <c r="O2333" s="116">
        <v>4119</v>
      </c>
      <c r="P2333" s="116">
        <v>4152.1000000000004</v>
      </c>
      <c r="Q2333" s="116">
        <v>4207.95</v>
      </c>
      <c r="R2333">
        <v>106969</v>
      </c>
    </row>
    <row r="2334" spans="1:18" x14ac:dyDescent="0.25">
      <c r="A2334" s="170">
        <v>45442</v>
      </c>
      <c r="B2334" s="116">
        <v>4229.95</v>
      </c>
      <c r="C2334" s="116">
        <v>4103.05</v>
      </c>
      <c r="D2334" s="116">
        <v>4073.3</v>
      </c>
      <c r="E2334" s="116">
        <v>4199.25</v>
      </c>
      <c r="F2334" s="116">
        <v>4103.05</v>
      </c>
      <c r="G2334">
        <v>4997</v>
      </c>
      <c r="H2334" s="116"/>
      <c r="I2334" s="116"/>
      <c r="L2334" s="170">
        <v>45442</v>
      </c>
      <c r="M2334" s="116">
        <v>4097.05</v>
      </c>
      <c r="N2334" s="116">
        <v>4233.6000000000004</v>
      </c>
      <c r="O2334" s="116">
        <v>4067.4</v>
      </c>
      <c r="P2334" s="116">
        <v>4220</v>
      </c>
      <c r="Q2334" s="116">
        <v>4097.05</v>
      </c>
      <c r="R2334">
        <v>104178</v>
      </c>
    </row>
    <row r="2335" spans="1:18" x14ac:dyDescent="0.25">
      <c r="A2335" s="170">
        <v>45443</v>
      </c>
      <c r="B2335" s="116">
        <v>4175.1499999999996</v>
      </c>
      <c r="C2335" s="116">
        <v>4100.7</v>
      </c>
      <c r="D2335" s="116">
        <v>4066.95</v>
      </c>
      <c r="E2335" s="116">
        <v>4115.2</v>
      </c>
      <c r="F2335" s="116">
        <v>4100.7</v>
      </c>
      <c r="G2335">
        <v>11024</v>
      </c>
      <c r="H2335" s="116"/>
      <c r="I2335" s="116"/>
      <c r="L2335" s="170">
        <v>45443</v>
      </c>
      <c r="M2335" s="116">
        <v>4099.8</v>
      </c>
      <c r="N2335" s="116">
        <v>4177.95</v>
      </c>
      <c r="O2335" s="116">
        <v>4065</v>
      </c>
      <c r="P2335" s="116">
        <v>4110</v>
      </c>
      <c r="Q2335" s="116">
        <v>4099.8</v>
      </c>
      <c r="R2335">
        <v>245848</v>
      </c>
    </row>
    <row r="2336" spans="1:18" x14ac:dyDescent="0.25">
      <c r="A2336" s="170">
        <v>45446</v>
      </c>
      <c r="B2336" s="116">
        <v>4232.8500000000004</v>
      </c>
      <c r="C2336" s="116">
        <v>4203.8500000000004</v>
      </c>
      <c r="D2336" s="116">
        <v>4150</v>
      </c>
      <c r="E2336" s="116">
        <v>4200</v>
      </c>
      <c r="F2336" s="116">
        <v>4203.8500000000004</v>
      </c>
      <c r="G2336">
        <v>16314</v>
      </c>
      <c r="H2336" s="116"/>
      <c r="I2336" s="116"/>
      <c r="L2336" s="170">
        <v>45446</v>
      </c>
      <c r="M2336" s="116">
        <v>4207.55</v>
      </c>
      <c r="N2336" s="116">
        <v>4250</v>
      </c>
      <c r="O2336" s="116">
        <v>4142.7</v>
      </c>
      <c r="P2336" s="116">
        <v>4200</v>
      </c>
      <c r="Q2336" s="116">
        <v>4207.55</v>
      </c>
      <c r="R2336">
        <v>161467</v>
      </c>
    </row>
    <row r="2337" spans="1:18" x14ac:dyDescent="0.25">
      <c r="A2337" s="170">
        <v>45447</v>
      </c>
      <c r="B2337" s="116">
        <v>4281.3999999999996</v>
      </c>
      <c r="C2337" s="116">
        <v>4069.3</v>
      </c>
      <c r="D2337" s="116">
        <v>3384.05</v>
      </c>
      <c r="E2337" s="116">
        <v>4230</v>
      </c>
      <c r="F2337" s="116">
        <v>4069.3</v>
      </c>
      <c r="G2337">
        <v>16180</v>
      </c>
      <c r="H2337" s="116"/>
      <c r="I2337" s="116"/>
      <c r="L2337" s="170">
        <v>45447</v>
      </c>
      <c r="M2337" s="116">
        <v>4068.9</v>
      </c>
      <c r="N2337" s="116">
        <v>4284</v>
      </c>
      <c r="O2337" s="116">
        <v>3375.6</v>
      </c>
      <c r="P2337" s="116">
        <v>4235</v>
      </c>
      <c r="Q2337" s="116">
        <v>4068.9</v>
      </c>
      <c r="R2337">
        <v>401664</v>
      </c>
    </row>
    <row r="2338" spans="1:18" x14ac:dyDescent="0.25">
      <c r="A2338" s="170">
        <v>45448</v>
      </c>
      <c r="B2338" s="116">
        <v>4150.7</v>
      </c>
      <c r="C2338" s="116">
        <v>4088.9</v>
      </c>
      <c r="D2338" s="116">
        <v>3868.25</v>
      </c>
      <c r="E2338" s="116">
        <v>4150.7</v>
      </c>
      <c r="F2338" s="116">
        <v>4088.9</v>
      </c>
      <c r="G2338">
        <v>23153</v>
      </c>
      <c r="H2338" s="116"/>
      <c r="I2338" s="116"/>
      <c r="L2338" s="170">
        <v>45448</v>
      </c>
      <c r="M2338" s="116">
        <v>4089.1</v>
      </c>
      <c r="N2338" s="116">
        <v>4150</v>
      </c>
      <c r="O2338" s="116">
        <v>3860.75</v>
      </c>
      <c r="P2338" s="116">
        <v>4150</v>
      </c>
      <c r="Q2338" s="116">
        <v>4089.1</v>
      </c>
      <c r="R2338">
        <v>346365</v>
      </c>
    </row>
    <row r="2339" spans="1:18" x14ac:dyDescent="0.25">
      <c r="A2339" s="170">
        <v>45449</v>
      </c>
      <c r="B2339" s="116">
        <v>4189.6000000000004</v>
      </c>
      <c r="C2339" s="116">
        <v>4138.8999999999996</v>
      </c>
      <c r="D2339" s="116">
        <v>4086.05</v>
      </c>
      <c r="E2339" s="116">
        <v>4139.95</v>
      </c>
      <c r="F2339" s="116">
        <v>4138.8999999999996</v>
      </c>
      <c r="G2339">
        <v>13238</v>
      </c>
      <c r="H2339" s="116"/>
      <c r="I2339" s="116"/>
      <c r="L2339" s="170">
        <v>45449</v>
      </c>
      <c r="M2339" s="116">
        <v>4135.8999999999996</v>
      </c>
      <c r="N2339" s="116">
        <v>4191</v>
      </c>
      <c r="O2339" s="116">
        <v>4091.95</v>
      </c>
      <c r="P2339" s="116">
        <v>4128</v>
      </c>
      <c r="Q2339" s="116">
        <v>4135.8999999999996</v>
      </c>
      <c r="R2339">
        <v>212289</v>
      </c>
    </row>
    <row r="2340" spans="1:18" x14ac:dyDescent="0.25">
      <c r="A2340" s="170">
        <v>45450</v>
      </c>
      <c r="B2340" s="116">
        <v>4297</v>
      </c>
      <c r="C2340" s="116">
        <v>4220.8500000000004</v>
      </c>
      <c r="D2340" s="116">
        <v>4144.3999999999996</v>
      </c>
      <c r="E2340" s="116">
        <v>4160.05</v>
      </c>
      <c r="F2340" s="116">
        <v>4220.8500000000004</v>
      </c>
      <c r="G2340">
        <v>18883</v>
      </c>
      <c r="H2340" s="116"/>
      <c r="I2340" s="116"/>
      <c r="L2340" s="170">
        <v>45450</v>
      </c>
      <c r="M2340" s="116">
        <v>4220.8999999999996</v>
      </c>
      <c r="N2340" s="116">
        <v>4299</v>
      </c>
      <c r="O2340" s="116">
        <v>4141.75</v>
      </c>
      <c r="P2340" s="116">
        <v>4187.95</v>
      </c>
      <c r="Q2340" s="116">
        <v>4220.8999999999996</v>
      </c>
      <c r="R2340">
        <v>169590</v>
      </c>
    </row>
    <row r="2341" spans="1:18" x14ac:dyDescent="0.25">
      <c r="A2341" s="170">
        <v>45453</v>
      </c>
      <c r="B2341" s="116">
        <v>4617.3999999999996</v>
      </c>
      <c r="C2341" s="116">
        <v>4568.05</v>
      </c>
      <c r="D2341" s="116">
        <v>4263.7</v>
      </c>
      <c r="E2341" s="116">
        <v>4341.95</v>
      </c>
      <c r="F2341" s="116">
        <v>4568.05</v>
      </c>
      <c r="G2341">
        <v>16105</v>
      </c>
      <c r="H2341" s="116"/>
      <c r="I2341" s="116"/>
      <c r="L2341" s="170">
        <v>45453</v>
      </c>
      <c r="M2341" s="116">
        <v>4565.7</v>
      </c>
      <c r="N2341" s="116">
        <v>4618.3999999999996</v>
      </c>
      <c r="O2341" s="116">
        <v>4270</v>
      </c>
      <c r="P2341" s="116">
        <v>4300</v>
      </c>
      <c r="Q2341" s="116">
        <v>4565.7</v>
      </c>
      <c r="R2341">
        <v>638699</v>
      </c>
    </row>
    <row r="2342" spans="1:18" x14ac:dyDescent="0.25">
      <c r="A2342" s="170">
        <v>45454</v>
      </c>
      <c r="B2342" s="116">
        <v>4675</v>
      </c>
      <c r="C2342" s="116">
        <v>4501.3</v>
      </c>
      <c r="D2342" s="116">
        <v>4432.8999999999996</v>
      </c>
      <c r="E2342" s="116">
        <v>4589.1000000000004</v>
      </c>
      <c r="F2342" s="116">
        <v>4501.3</v>
      </c>
      <c r="G2342">
        <v>23591</v>
      </c>
      <c r="H2342" s="116"/>
      <c r="I2342" s="116"/>
      <c r="L2342" s="170">
        <v>45454</v>
      </c>
      <c r="M2342" s="116">
        <v>4503.3</v>
      </c>
      <c r="N2342" s="116">
        <v>4676.95</v>
      </c>
      <c r="O2342" s="116">
        <v>4434.1499999999996</v>
      </c>
      <c r="P2342" s="116">
        <v>4575</v>
      </c>
      <c r="Q2342" s="116">
        <v>4503.3</v>
      </c>
      <c r="R2342">
        <v>371758</v>
      </c>
    </row>
    <row r="2343" spans="1:18" x14ac:dyDescent="0.25">
      <c r="A2343" s="170">
        <v>45455</v>
      </c>
      <c r="B2343" s="116">
        <v>4682.8999999999996</v>
      </c>
      <c r="C2343" s="116">
        <v>4662.6000000000004</v>
      </c>
      <c r="D2343" s="116">
        <v>4489.3999999999996</v>
      </c>
      <c r="E2343" s="116">
        <v>4534.45</v>
      </c>
      <c r="F2343" s="116">
        <v>4662.6000000000004</v>
      </c>
      <c r="G2343">
        <v>8231</v>
      </c>
      <c r="H2343" s="116"/>
      <c r="I2343" s="116"/>
      <c r="L2343" s="170">
        <v>45455</v>
      </c>
      <c r="M2343" s="116">
        <v>4658.95</v>
      </c>
      <c r="N2343" s="116">
        <v>4683.25</v>
      </c>
      <c r="O2343" s="116">
        <v>4482.2</v>
      </c>
      <c r="P2343" s="116">
        <v>4520</v>
      </c>
      <c r="Q2343" s="116">
        <v>4658.95</v>
      </c>
      <c r="R2343">
        <v>314421</v>
      </c>
    </row>
    <row r="2344" spans="1:18" x14ac:dyDescent="0.25">
      <c r="A2344" s="170">
        <v>45456</v>
      </c>
      <c r="B2344" s="116">
        <v>4888.6000000000004</v>
      </c>
      <c r="C2344" s="116">
        <v>4821.95</v>
      </c>
      <c r="D2344" s="116">
        <v>4704.8500000000004</v>
      </c>
      <c r="E2344" s="116">
        <v>4724.6000000000004</v>
      </c>
      <c r="F2344" s="116">
        <v>4821.95</v>
      </c>
      <c r="G2344">
        <v>21202</v>
      </c>
      <c r="H2344" s="116"/>
      <c r="I2344" s="116"/>
      <c r="L2344" s="170">
        <v>45456</v>
      </c>
      <c r="M2344" s="116">
        <v>4825.8999999999996</v>
      </c>
      <c r="N2344" s="116">
        <v>4889</v>
      </c>
      <c r="O2344" s="116">
        <v>4683.3500000000004</v>
      </c>
      <c r="P2344" s="116">
        <v>4700</v>
      </c>
      <c r="Q2344" s="116">
        <v>4825.8999999999996</v>
      </c>
      <c r="R2344">
        <v>488106</v>
      </c>
    </row>
    <row r="2345" spans="1:18" x14ac:dyDescent="0.25">
      <c r="A2345" s="170">
        <v>45457</v>
      </c>
      <c r="B2345" s="116">
        <v>5040.3999999999996</v>
      </c>
      <c r="C2345" s="116">
        <v>4802.1499999999996</v>
      </c>
      <c r="D2345" s="116">
        <v>4727</v>
      </c>
      <c r="E2345" s="116">
        <v>4818.8500000000004</v>
      </c>
      <c r="F2345" s="116">
        <v>4802.1499999999996</v>
      </c>
      <c r="G2345">
        <v>19934</v>
      </c>
      <c r="H2345" s="116"/>
      <c r="I2345" s="116"/>
      <c r="L2345" s="170">
        <v>45457</v>
      </c>
      <c r="M2345" s="116">
        <v>4799.7</v>
      </c>
      <c r="N2345" s="116">
        <v>5039.7</v>
      </c>
      <c r="O2345" s="116">
        <v>4721.45</v>
      </c>
      <c r="P2345" s="116">
        <v>4805</v>
      </c>
      <c r="Q2345" s="116">
        <v>4799.7</v>
      </c>
      <c r="R2345">
        <v>531231</v>
      </c>
    </row>
    <row r="2346" spans="1:18" x14ac:dyDescent="0.25">
      <c r="A2346" s="170">
        <v>45461</v>
      </c>
      <c r="B2346" s="116">
        <v>4847.05</v>
      </c>
      <c r="C2346" s="116">
        <v>4692.2</v>
      </c>
      <c r="D2346" s="116">
        <v>4682.8500000000004</v>
      </c>
      <c r="E2346" s="116">
        <v>4800.1499999999996</v>
      </c>
      <c r="F2346" s="116">
        <v>4692.2</v>
      </c>
      <c r="G2346">
        <v>16132</v>
      </c>
      <c r="H2346" s="116"/>
      <c r="I2346" s="116"/>
      <c r="L2346" s="170">
        <v>45461</v>
      </c>
      <c r="M2346" s="116">
        <v>4690.3</v>
      </c>
      <c r="N2346" s="116">
        <v>4844.95</v>
      </c>
      <c r="O2346" s="116">
        <v>4681</v>
      </c>
      <c r="P2346" s="116">
        <v>4829.8</v>
      </c>
      <c r="Q2346" s="116">
        <v>4690.3</v>
      </c>
      <c r="R2346">
        <v>264532</v>
      </c>
    </row>
    <row r="2347" spans="1:18" x14ac:dyDescent="0.25">
      <c r="A2347" s="170">
        <v>45462</v>
      </c>
      <c r="B2347" s="116">
        <v>4703.95</v>
      </c>
      <c r="C2347" s="116">
        <v>4436.05</v>
      </c>
      <c r="D2347" s="116">
        <v>4424.1000000000004</v>
      </c>
      <c r="E2347" s="116">
        <v>4695.2</v>
      </c>
      <c r="F2347" s="116">
        <v>4436.05</v>
      </c>
      <c r="G2347">
        <v>25715</v>
      </c>
      <c r="H2347" s="116"/>
      <c r="I2347" s="116"/>
      <c r="L2347" s="170">
        <v>45462</v>
      </c>
      <c r="M2347" s="116">
        <v>4435.3500000000004</v>
      </c>
      <c r="N2347" s="116">
        <v>4701.55</v>
      </c>
      <c r="O2347" s="116">
        <v>4422</v>
      </c>
      <c r="P2347" s="116">
        <v>4700</v>
      </c>
      <c r="Q2347" s="116">
        <v>4435.3500000000004</v>
      </c>
      <c r="R2347">
        <v>482325</v>
      </c>
    </row>
    <row r="2348" spans="1:18" x14ac:dyDescent="0.25">
      <c r="A2348" s="170">
        <v>45463</v>
      </c>
      <c r="B2348" s="116">
        <v>4457.6000000000004</v>
      </c>
      <c r="C2348" s="116">
        <v>4423.1000000000004</v>
      </c>
      <c r="D2348" s="116">
        <v>4301.6499999999996</v>
      </c>
      <c r="E2348" s="116">
        <v>4410.05</v>
      </c>
      <c r="F2348" s="116">
        <v>4423.1000000000004</v>
      </c>
      <c r="G2348">
        <v>40164</v>
      </c>
      <c r="H2348" s="116"/>
      <c r="I2348" s="116"/>
      <c r="L2348" s="170">
        <v>45463</v>
      </c>
      <c r="M2348" s="116">
        <v>4422.25</v>
      </c>
      <c r="N2348" s="116">
        <v>4456.8500000000004</v>
      </c>
      <c r="O2348" s="116">
        <v>4301.05</v>
      </c>
      <c r="P2348" s="116">
        <v>4420.3500000000004</v>
      </c>
      <c r="Q2348" s="116">
        <v>4422.25</v>
      </c>
      <c r="R2348">
        <v>568497</v>
      </c>
    </row>
    <row r="2349" spans="1:18" x14ac:dyDescent="0.25">
      <c r="A2349" s="170">
        <v>45464</v>
      </c>
      <c r="B2349" s="116">
        <v>4580</v>
      </c>
      <c r="C2349" s="116">
        <v>4555.1000000000004</v>
      </c>
      <c r="D2349" s="116">
        <v>4392.3500000000004</v>
      </c>
      <c r="E2349" s="116">
        <v>4425.05</v>
      </c>
      <c r="F2349" s="116">
        <v>4555.1000000000004</v>
      </c>
      <c r="G2349">
        <v>34291</v>
      </c>
      <c r="H2349" s="116"/>
      <c r="I2349" s="116"/>
      <c r="L2349" s="170">
        <v>45464</v>
      </c>
      <c r="M2349" s="116">
        <v>4556.45</v>
      </c>
      <c r="N2349" s="116">
        <v>4580</v>
      </c>
      <c r="O2349" s="116">
        <v>4392.3</v>
      </c>
      <c r="P2349" s="116">
        <v>4450</v>
      </c>
      <c r="Q2349" s="116">
        <v>4556.45</v>
      </c>
      <c r="R2349">
        <v>442218</v>
      </c>
    </row>
    <row r="2350" spans="1:18" x14ac:dyDescent="0.25">
      <c r="A2350" s="170">
        <v>45467</v>
      </c>
      <c r="B2350" s="116">
        <v>4645.3999999999996</v>
      </c>
      <c r="C2350" s="116">
        <v>4473.75</v>
      </c>
      <c r="D2350" s="116">
        <v>4452.1000000000004</v>
      </c>
      <c r="E2350" s="116">
        <v>4645.3999999999996</v>
      </c>
      <c r="F2350" s="116">
        <v>4473.75</v>
      </c>
      <c r="G2350">
        <v>12647</v>
      </c>
      <c r="H2350" s="116"/>
      <c r="I2350" s="116"/>
      <c r="L2350" s="170">
        <v>45467</v>
      </c>
      <c r="M2350" s="116">
        <v>4472.8500000000004</v>
      </c>
      <c r="N2350" s="116">
        <v>4621.25</v>
      </c>
      <c r="O2350" s="116">
        <v>4450</v>
      </c>
      <c r="P2350" s="116">
        <v>4599.1499999999996</v>
      </c>
      <c r="Q2350" s="116">
        <v>4472.8500000000004</v>
      </c>
      <c r="R2350">
        <v>416935</v>
      </c>
    </row>
    <row r="2351" spans="1:18" x14ac:dyDescent="0.25">
      <c r="A2351" s="170">
        <v>45468</v>
      </c>
      <c r="B2351" s="116">
        <v>4575.3500000000004</v>
      </c>
      <c r="C2351" s="116">
        <v>4499.8</v>
      </c>
      <c r="D2351" s="116">
        <v>4485.75</v>
      </c>
      <c r="E2351" s="116">
        <v>4549.95</v>
      </c>
      <c r="F2351" s="116">
        <v>4499.8</v>
      </c>
      <c r="G2351">
        <v>18662</v>
      </c>
      <c r="H2351" s="116"/>
      <c r="I2351" s="116"/>
      <c r="L2351" s="170">
        <v>45468</v>
      </c>
      <c r="M2351" s="116">
        <v>4500</v>
      </c>
      <c r="N2351" s="116">
        <v>4575.3500000000004</v>
      </c>
      <c r="O2351" s="116">
        <v>4485.1499999999996</v>
      </c>
      <c r="P2351" s="116">
        <v>4533.05</v>
      </c>
      <c r="Q2351" s="116">
        <v>4500</v>
      </c>
      <c r="R2351">
        <v>233927</v>
      </c>
    </row>
    <row r="2352" spans="1:18" x14ac:dyDescent="0.25">
      <c r="A2352" s="170">
        <v>45469</v>
      </c>
      <c r="B2352" s="116">
        <v>4527.6000000000004</v>
      </c>
      <c r="C2352" s="116">
        <v>4422.25</v>
      </c>
      <c r="D2352" s="116">
        <v>4405</v>
      </c>
      <c r="E2352" s="116">
        <v>4520</v>
      </c>
      <c r="F2352" s="116">
        <v>4422.25</v>
      </c>
      <c r="G2352">
        <v>8148</v>
      </c>
      <c r="H2352" s="116"/>
      <c r="I2352" s="116"/>
      <c r="L2352" s="170">
        <v>45469</v>
      </c>
      <c r="M2352" s="116">
        <v>4420.3999999999996</v>
      </c>
      <c r="N2352" s="116">
        <v>4531.05</v>
      </c>
      <c r="O2352" s="116">
        <v>4409.8500000000004</v>
      </c>
      <c r="P2352" s="116">
        <v>4477</v>
      </c>
      <c r="Q2352" s="116">
        <v>4420.3999999999996</v>
      </c>
      <c r="R2352">
        <v>200782</v>
      </c>
    </row>
    <row r="2353" spans="1:18" x14ac:dyDescent="0.25">
      <c r="A2353" s="170">
        <v>45470</v>
      </c>
      <c r="B2353" s="116">
        <v>4520.3999999999996</v>
      </c>
      <c r="C2353" s="116">
        <v>4492.1000000000004</v>
      </c>
      <c r="D2353" s="116">
        <v>4435.3500000000004</v>
      </c>
      <c r="E2353" s="116">
        <v>4470.05</v>
      </c>
      <c r="F2353" s="116">
        <v>4492.1000000000004</v>
      </c>
      <c r="G2353">
        <v>15071</v>
      </c>
      <c r="H2353" s="116"/>
      <c r="I2353" s="116"/>
      <c r="L2353" s="170">
        <v>45470</v>
      </c>
      <c r="M2353" s="116">
        <v>4491.8999999999996</v>
      </c>
      <c r="N2353" s="116">
        <v>4505</v>
      </c>
      <c r="O2353" s="116">
        <v>4434.8500000000004</v>
      </c>
      <c r="P2353" s="116">
        <v>4484.8999999999996</v>
      </c>
      <c r="Q2353" s="116">
        <v>4491.8999999999996</v>
      </c>
      <c r="R2353">
        <v>444170</v>
      </c>
    </row>
    <row r="2354" spans="1:18" x14ac:dyDescent="0.25">
      <c r="A2354" s="170">
        <v>45471</v>
      </c>
      <c r="B2354" s="116">
        <v>4525</v>
      </c>
      <c r="C2354" s="116">
        <v>4422.8</v>
      </c>
      <c r="D2354" s="116">
        <v>4386.45</v>
      </c>
      <c r="E2354" s="116">
        <v>4488.45</v>
      </c>
      <c r="F2354" s="116">
        <v>4422.8</v>
      </c>
      <c r="G2354">
        <v>16864</v>
      </c>
      <c r="H2354" s="116"/>
      <c r="I2354" s="116"/>
      <c r="L2354" s="170">
        <v>45471</v>
      </c>
      <c r="M2354" s="116">
        <v>4419.8999999999996</v>
      </c>
      <c r="N2354" s="116">
        <v>4530</v>
      </c>
      <c r="O2354" s="116">
        <v>4385</v>
      </c>
      <c r="P2354" s="116">
        <v>4530</v>
      </c>
      <c r="Q2354" s="116">
        <v>4419.8999999999996</v>
      </c>
      <c r="R2354">
        <v>403797</v>
      </c>
    </row>
    <row r="2355" spans="1:18" x14ac:dyDescent="0.25">
      <c r="A2355" s="170">
        <v>45474</v>
      </c>
      <c r="B2355" s="116">
        <v>4499</v>
      </c>
      <c r="C2355" s="116">
        <v>4479.75</v>
      </c>
      <c r="D2355" s="116">
        <v>4401.5</v>
      </c>
      <c r="E2355" s="116">
        <v>4451</v>
      </c>
      <c r="F2355" s="116">
        <v>4479.75</v>
      </c>
      <c r="G2355">
        <v>14680</v>
      </c>
      <c r="H2355" s="116"/>
      <c r="I2355" s="116"/>
      <c r="L2355" s="170">
        <v>45474</v>
      </c>
      <c r="M2355" s="116">
        <v>4481.3500000000004</v>
      </c>
      <c r="N2355" s="116">
        <v>4499.05</v>
      </c>
      <c r="O2355" s="116">
        <v>4401</v>
      </c>
      <c r="P2355" s="116">
        <v>4486</v>
      </c>
      <c r="Q2355" s="116">
        <v>4481.3500000000004</v>
      </c>
      <c r="R2355">
        <v>192011</v>
      </c>
    </row>
    <row r="2356" spans="1:18" x14ac:dyDescent="0.25">
      <c r="A2356" s="170">
        <v>45475</v>
      </c>
      <c r="B2356" s="116">
        <v>4590</v>
      </c>
      <c r="C2356" s="116">
        <v>4552.1499999999996</v>
      </c>
      <c r="D2356" s="116">
        <v>4469.6000000000004</v>
      </c>
      <c r="E2356" s="116">
        <v>4524.2</v>
      </c>
      <c r="F2356" s="116">
        <v>4552.1499999999996</v>
      </c>
      <c r="G2356">
        <v>5289</v>
      </c>
      <c r="H2356" s="116"/>
      <c r="I2356" s="116"/>
      <c r="L2356" s="170">
        <v>45475</v>
      </c>
      <c r="M2356" s="116">
        <v>4551.3999999999996</v>
      </c>
      <c r="N2356" s="116">
        <v>4590</v>
      </c>
      <c r="O2356" s="116">
        <v>4465</v>
      </c>
      <c r="P2356" s="116">
        <v>4495</v>
      </c>
      <c r="Q2356" s="116">
        <v>4551.3999999999996</v>
      </c>
      <c r="R2356">
        <v>308007</v>
      </c>
    </row>
    <row r="2357" spans="1:18" x14ac:dyDescent="0.25">
      <c r="A2357" s="170">
        <v>45476</v>
      </c>
      <c r="B2357" s="116">
        <v>4606.3</v>
      </c>
      <c r="C2357" s="116">
        <v>4505.05</v>
      </c>
      <c r="D2357" s="116">
        <v>4479.3500000000004</v>
      </c>
      <c r="E2357" s="116">
        <v>4565.3999999999996</v>
      </c>
      <c r="F2357" s="116">
        <v>4505.05</v>
      </c>
      <c r="G2357">
        <v>19036</v>
      </c>
      <c r="H2357" s="116"/>
      <c r="I2357" s="116"/>
      <c r="L2357" s="170">
        <v>45476</v>
      </c>
      <c r="M2357" s="116">
        <v>4508.1000000000004</v>
      </c>
      <c r="N2357" s="116">
        <v>4606</v>
      </c>
      <c r="O2357" s="116">
        <v>4480</v>
      </c>
      <c r="P2357" s="116">
        <v>4603</v>
      </c>
      <c r="Q2357" s="116">
        <v>4508.1000000000004</v>
      </c>
      <c r="R2357">
        <v>249421</v>
      </c>
    </row>
    <row r="2358" spans="1:18" x14ac:dyDescent="0.25">
      <c r="A2358" s="170">
        <v>45477</v>
      </c>
      <c r="B2358" s="116">
        <v>4697.8999999999996</v>
      </c>
      <c r="C2358" s="116">
        <v>4683.8500000000004</v>
      </c>
      <c r="D2358" s="116">
        <v>4515.2</v>
      </c>
      <c r="E2358" s="116">
        <v>4515.2</v>
      </c>
      <c r="F2358" s="116">
        <v>4683.8500000000004</v>
      </c>
      <c r="G2358">
        <v>6819</v>
      </c>
      <c r="H2358" s="116"/>
      <c r="I2358" s="116"/>
      <c r="L2358" s="170">
        <v>45477</v>
      </c>
      <c r="M2358" s="116">
        <v>4685.8</v>
      </c>
      <c r="N2358" s="116">
        <v>4696</v>
      </c>
      <c r="O2358" s="116">
        <v>4530</v>
      </c>
      <c r="P2358" s="116">
        <v>4530</v>
      </c>
      <c r="Q2358" s="116">
        <v>4685.8</v>
      </c>
      <c r="R2358">
        <v>279099</v>
      </c>
    </row>
    <row r="2359" spans="1:18" x14ac:dyDescent="0.25">
      <c r="A2359" s="170">
        <v>45478</v>
      </c>
      <c r="B2359" s="116">
        <v>4769.95</v>
      </c>
      <c r="C2359" s="116">
        <v>4687.3999999999996</v>
      </c>
      <c r="D2359" s="116">
        <v>4595.75</v>
      </c>
      <c r="E2359" s="116">
        <v>4683.45</v>
      </c>
      <c r="F2359" s="116">
        <v>4687.3999999999996</v>
      </c>
      <c r="G2359">
        <v>8465</v>
      </c>
      <c r="H2359" s="116"/>
      <c r="I2359" s="116"/>
      <c r="L2359" s="170">
        <v>45478</v>
      </c>
      <c r="M2359" s="116">
        <v>4691.45</v>
      </c>
      <c r="N2359" s="116">
        <v>4770</v>
      </c>
      <c r="O2359" s="116">
        <v>4590.6499999999996</v>
      </c>
      <c r="P2359" s="116">
        <v>4680.55</v>
      </c>
      <c r="Q2359" s="116">
        <v>4691.45</v>
      </c>
      <c r="R2359">
        <v>263431</v>
      </c>
    </row>
    <row r="2360" spans="1:18" x14ac:dyDescent="0.25">
      <c r="A2360" s="170">
        <v>45481</v>
      </c>
      <c r="B2360" s="116">
        <v>4781.1499999999996</v>
      </c>
      <c r="C2360" s="116">
        <v>4597.8</v>
      </c>
      <c r="D2360" s="116">
        <v>4586.3</v>
      </c>
      <c r="E2360" s="116">
        <v>4781.1499999999996</v>
      </c>
      <c r="F2360" s="116">
        <v>4597.8</v>
      </c>
      <c r="G2360">
        <v>7480</v>
      </c>
      <c r="H2360" s="116"/>
      <c r="I2360" s="116"/>
      <c r="L2360" s="170">
        <v>45481</v>
      </c>
      <c r="M2360" s="116">
        <v>4602.8999999999996</v>
      </c>
      <c r="N2360" s="116">
        <v>4709.95</v>
      </c>
      <c r="O2360" s="116">
        <v>4586</v>
      </c>
      <c r="P2360" s="116">
        <v>4680</v>
      </c>
      <c r="Q2360" s="116">
        <v>4602.8999999999996</v>
      </c>
      <c r="R2360">
        <v>120817</v>
      </c>
    </row>
    <row r="2361" spans="1:18" x14ac:dyDescent="0.25">
      <c r="A2361" s="170">
        <v>45482</v>
      </c>
      <c r="B2361" s="116">
        <v>4680</v>
      </c>
      <c r="C2361" s="116">
        <v>4567.1499999999996</v>
      </c>
      <c r="D2361" s="116">
        <v>4509.3500000000004</v>
      </c>
      <c r="E2361" s="116">
        <v>4605.05</v>
      </c>
      <c r="F2361" s="116">
        <v>4567.1499999999996</v>
      </c>
      <c r="G2361">
        <v>9563</v>
      </c>
      <c r="H2361" s="116"/>
      <c r="I2361" s="116"/>
      <c r="L2361" s="170">
        <v>45482</v>
      </c>
      <c r="M2361" s="116">
        <v>4564.6000000000004</v>
      </c>
      <c r="N2361" s="116">
        <v>4690</v>
      </c>
      <c r="O2361" s="116">
        <v>4510.05</v>
      </c>
      <c r="P2361" s="116">
        <v>4690</v>
      </c>
      <c r="Q2361" s="116">
        <v>4564.6000000000004</v>
      </c>
      <c r="R2361">
        <v>139098</v>
      </c>
    </row>
    <row r="2362" spans="1:18" x14ac:dyDescent="0.25">
      <c r="A2362" s="170">
        <v>45483</v>
      </c>
      <c r="B2362" s="116">
        <v>4648.3500000000004</v>
      </c>
      <c r="C2362" s="116">
        <v>4519</v>
      </c>
      <c r="D2362" s="116">
        <v>4452.05</v>
      </c>
      <c r="E2362" s="116">
        <v>4588</v>
      </c>
      <c r="F2362" s="116">
        <v>4519</v>
      </c>
      <c r="G2362">
        <v>19874</v>
      </c>
      <c r="H2362" s="116"/>
      <c r="I2362" s="116"/>
      <c r="L2362" s="170">
        <v>45483</v>
      </c>
      <c r="M2362" s="116">
        <v>4524.45</v>
      </c>
      <c r="N2362" s="116">
        <v>4651</v>
      </c>
      <c r="O2362" s="116">
        <v>4450</v>
      </c>
      <c r="P2362" s="116">
        <v>4599.95</v>
      </c>
      <c r="Q2362" s="116">
        <v>4524.45</v>
      </c>
      <c r="R2362">
        <v>168596</v>
      </c>
    </row>
    <row r="2363" spans="1:18" x14ac:dyDescent="0.25">
      <c r="A2363" s="170">
        <v>45484</v>
      </c>
      <c r="B2363" s="116">
        <v>4539.6499999999996</v>
      </c>
      <c r="C2363" s="116">
        <v>4504.45</v>
      </c>
      <c r="D2363" s="116">
        <v>4450</v>
      </c>
      <c r="E2363" s="116">
        <v>4539.6499999999996</v>
      </c>
      <c r="F2363" s="116">
        <v>4504.45</v>
      </c>
      <c r="G2363">
        <v>7753</v>
      </c>
      <c r="H2363" s="116"/>
      <c r="I2363" s="116"/>
      <c r="L2363" s="170">
        <v>45484</v>
      </c>
      <c r="M2363" s="116">
        <v>4505.8500000000004</v>
      </c>
      <c r="N2363" s="116">
        <v>4545.25</v>
      </c>
      <c r="O2363" s="116">
        <v>4445.5</v>
      </c>
      <c r="P2363" s="116">
        <v>4538.25</v>
      </c>
      <c r="Q2363" s="116">
        <v>4505.8500000000004</v>
      </c>
      <c r="R2363">
        <v>120805</v>
      </c>
    </row>
    <row r="2364" spans="1:18" x14ac:dyDescent="0.25">
      <c r="A2364" s="170">
        <v>45485</v>
      </c>
      <c r="B2364" s="116">
        <v>4618.6000000000004</v>
      </c>
      <c r="C2364" s="116">
        <v>4593.25</v>
      </c>
      <c r="D2364" s="116">
        <v>4514.6000000000004</v>
      </c>
      <c r="E2364" s="116">
        <v>4549.95</v>
      </c>
      <c r="F2364" s="116">
        <v>4593.25</v>
      </c>
      <c r="G2364">
        <v>4986</v>
      </c>
      <c r="H2364" s="116"/>
      <c r="I2364" s="116"/>
      <c r="L2364" s="170">
        <v>45485</v>
      </c>
      <c r="M2364" s="116">
        <v>4594.3500000000004</v>
      </c>
      <c r="N2364" s="116">
        <v>4620</v>
      </c>
      <c r="O2364" s="116">
        <v>4510</v>
      </c>
      <c r="P2364" s="116">
        <v>4510</v>
      </c>
      <c r="Q2364" s="116">
        <v>4594.3500000000004</v>
      </c>
      <c r="R2364">
        <v>194457</v>
      </c>
    </row>
    <row r="2365" spans="1:18" x14ac:dyDescent="0.25">
      <c r="A2365" s="170">
        <v>45488</v>
      </c>
      <c r="B2365" s="116">
        <v>4662.2</v>
      </c>
      <c r="C2365" s="116">
        <v>4618.2</v>
      </c>
      <c r="D2365" s="116">
        <v>4580.1000000000004</v>
      </c>
      <c r="E2365" s="116">
        <v>4580.1000000000004</v>
      </c>
      <c r="F2365" s="116">
        <v>4618.2</v>
      </c>
      <c r="G2365">
        <v>5600</v>
      </c>
      <c r="H2365" s="116"/>
      <c r="I2365" s="116"/>
      <c r="L2365" s="170">
        <v>45488</v>
      </c>
      <c r="M2365" s="116">
        <v>4622.8500000000004</v>
      </c>
      <c r="N2365" s="116">
        <v>4665.05</v>
      </c>
      <c r="O2365" s="116">
        <v>4595</v>
      </c>
      <c r="P2365" s="116">
        <v>4610</v>
      </c>
      <c r="Q2365" s="116">
        <v>4622.8500000000004</v>
      </c>
      <c r="R2365">
        <v>106895</v>
      </c>
    </row>
    <row r="2366" spans="1:18" x14ac:dyDescent="0.25">
      <c r="A2366" s="170">
        <v>45489</v>
      </c>
      <c r="B2366" s="116">
        <v>4665</v>
      </c>
      <c r="C2366" s="116">
        <v>4483</v>
      </c>
      <c r="D2366" s="116">
        <v>4466.45</v>
      </c>
      <c r="E2366" s="116">
        <v>4663</v>
      </c>
      <c r="F2366" s="116">
        <v>4483</v>
      </c>
      <c r="G2366">
        <v>4588</v>
      </c>
      <c r="H2366" s="116"/>
      <c r="I2366" s="116"/>
      <c r="L2366" s="170">
        <v>45489</v>
      </c>
      <c r="M2366" s="116">
        <v>4479.8999999999996</v>
      </c>
      <c r="N2366" s="116">
        <v>4669</v>
      </c>
      <c r="O2366" s="116">
        <v>4466</v>
      </c>
      <c r="P2366" s="116">
        <v>4669</v>
      </c>
      <c r="Q2366" s="116">
        <v>4479.8999999999996</v>
      </c>
      <c r="R2366">
        <v>138365</v>
      </c>
    </row>
    <row r="2367" spans="1:18" x14ac:dyDescent="0.25">
      <c r="A2367" s="170">
        <v>45491</v>
      </c>
      <c r="B2367" s="116">
        <v>4509.2</v>
      </c>
      <c r="C2367" s="116">
        <v>4266.05</v>
      </c>
      <c r="D2367" s="116">
        <v>4244</v>
      </c>
      <c r="E2367" s="116">
        <v>4500.05</v>
      </c>
      <c r="F2367" s="116">
        <v>4266.05</v>
      </c>
      <c r="G2367">
        <v>33286</v>
      </c>
      <c r="H2367" s="116"/>
      <c r="I2367" s="116"/>
      <c r="L2367" s="170">
        <v>45491</v>
      </c>
      <c r="M2367" s="116">
        <v>4266</v>
      </c>
      <c r="N2367" s="116">
        <v>4550</v>
      </c>
      <c r="O2367" s="116">
        <v>4242.45</v>
      </c>
      <c r="P2367" s="116">
        <v>4550</v>
      </c>
      <c r="Q2367" s="116">
        <v>4266</v>
      </c>
      <c r="R2367">
        <v>413754</v>
      </c>
    </row>
    <row r="2368" spans="1:18" x14ac:dyDescent="0.25">
      <c r="A2368" s="170">
        <v>45492</v>
      </c>
      <c r="B2368" s="116">
        <v>4271.3999999999996</v>
      </c>
      <c r="C2368" s="116">
        <v>4012.25</v>
      </c>
      <c r="D2368" s="116">
        <v>3992.05</v>
      </c>
      <c r="E2368" s="116">
        <v>4264.95</v>
      </c>
      <c r="F2368" s="116">
        <v>4012.25</v>
      </c>
      <c r="G2368">
        <v>48869</v>
      </c>
      <c r="H2368" s="116"/>
      <c r="I2368" s="116"/>
      <c r="L2368" s="170">
        <v>45492</v>
      </c>
      <c r="M2368" s="116">
        <v>4011.85</v>
      </c>
      <c r="N2368" s="116">
        <v>4276.8500000000004</v>
      </c>
      <c r="O2368" s="116">
        <v>3990</v>
      </c>
      <c r="P2368" s="116">
        <v>4264.05</v>
      </c>
      <c r="Q2368" s="116">
        <v>4011.85</v>
      </c>
      <c r="R2368">
        <v>595668</v>
      </c>
    </row>
    <row r="2369" spans="1:18" x14ac:dyDescent="0.25">
      <c r="A2369" s="170">
        <v>45495</v>
      </c>
      <c r="B2369" s="116">
        <v>4143.25</v>
      </c>
      <c r="C2369" s="116">
        <v>4120.3500000000004</v>
      </c>
      <c r="D2369" s="116">
        <v>3926</v>
      </c>
      <c r="E2369" s="116">
        <v>4000.05</v>
      </c>
      <c r="F2369" s="116">
        <v>4120.3500000000004</v>
      </c>
      <c r="G2369">
        <v>32194</v>
      </c>
      <c r="H2369" s="116"/>
      <c r="I2369" s="116"/>
      <c r="L2369" s="170">
        <v>45495</v>
      </c>
      <c r="M2369" s="116">
        <v>4121.3</v>
      </c>
      <c r="N2369" s="116">
        <v>4143.45</v>
      </c>
      <c r="O2369" s="116">
        <v>3926</v>
      </c>
      <c r="P2369" s="116">
        <v>4011.85</v>
      </c>
      <c r="Q2369" s="116">
        <v>4121.3</v>
      </c>
      <c r="R2369">
        <v>446554</v>
      </c>
    </row>
    <row r="2370" spans="1:18" x14ac:dyDescent="0.25">
      <c r="A2370" s="170">
        <v>45496</v>
      </c>
      <c r="B2370" s="116">
        <v>4199.8999999999996</v>
      </c>
      <c r="C2370" s="116">
        <v>4174.25</v>
      </c>
      <c r="D2370" s="116">
        <v>3989.15</v>
      </c>
      <c r="E2370" s="116">
        <v>4144</v>
      </c>
      <c r="F2370" s="116">
        <v>4174.25</v>
      </c>
      <c r="G2370">
        <v>13638</v>
      </c>
      <c r="H2370" s="116"/>
      <c r="I2370" s="116"/>
      <c r="L2370" s="170">
        <v>45496</v>
      </c>
      <c r="M2370" s="116">
        <v>4177.3500000000004</v>
      </c>
      <c r="N2370" s="116">
        <v>4199.8500000000004</v>
      </c>
      <c r="O2370" s="116">
        <v>3985.15</v>
      </c>
      <c r="P2370" s="116">
        <v>4148.05</v>
      </c>
      <c r="Q2370" s="116">
        <v>4177.3500000000004</v>
      </c>
      <c r="R2370">
        <v>278594</v>
      </c>
    </row>
    <row r="2371" spans="1:18" x14ac:dyDescent="0.25">
      <c r="A2371" s="170">
        <v>45497</v>
      </c>
      <c r="B2371" s="116">
        <v>4309.3999999999996</v>
      </c>
      <c r="C2371" s="116">
        <v>4166.8500000000004</v>
      </c>
      <c r="D2371" s="116">
        <v>4147.3500000000004</v>
      </c>
      <c r="E2371" s="116">
        <v>4234.95</v>
      </c>
      <c r="F2371" s="116">
        <v>4166.8500000000004</v>
      </c>
      <c r="G2371">
        <v>7920</v>
      </c>
      <c r="H2371" s="116"/>
      <c r="I2371" s="116"/>
      <c r="L2371" s="170">
        <v>45497</v>
      </c>
      <c r="M2371" s="116">
        <v>4175.2</v>
      </c>
      <c r="N2371" s="116">
        <v>4310</v>
      </c>
      <c r="O2371" s="116">
        <v>4145.55</v>
      </c>
      <c r="P2371" s="116">
        <v>4220</v>
      </c>
      <c r="Q2371" s="116">
        <v>4175.2</v>
      </c>
      <c r="R2371">
        <v>255414</v>
      </c>
    </row>
    <row r="2372" spans="1:18" x14ac:dyDescent="0.25">
      <c r="A2372" s="170">
        <v>45498</v>
      </c>
      <c r="B2372" s="116">
        <v>4257.8999999999996</v>
      </c>
      <c r="C2372" s="116">
        <v>4239.6499999999996</v>
      </c>
      <c r="D2372" s="116">
        <v>4131.1000000000004</v>
      </c>
      <c r="E2372" s="116">
        <v>4174</v>
      </c>
      <c r="F2372" s="116">
        <v>4239.6499999999996</v>
      </c>
      <c r="G2372">
        <v>7149</v>
      </c>
      <c r="H2372" s="116"/>
      <c r="I2372" s="116"/>
      <c r="L2372" s="170">
        <v>45498</v>
      </c>
      <c r="M2372" s="116">
        <v>4234.1499999999996</v>
      </c>
      <c r="N2372" s="116">
        <v>4262.95</v>
      </c>
      <c r="O2372" s="116">
        <v>4126.25</v>
      </c>
      <c r="P2372" s="116">
        <v>4175.2</v>
      </c>
      <c r="Q2372" s="116">
        <v>4234.1499999999996</v>
      </c>
      <c r="R2372">
        <v>148349</v>
      </c>
    </row>
    <row r="2373" spans="1:18" x14ac:dyDescent="0.25">
      <c r="A2373" s="170">
        <v>45499</v>
      </c>
      <c r="B2373" s="116">
        <v>4369</v>
      </c>
      <c r="C2373" s="116">
        <v>4355.05</v>
      </c>
      <c r="D2373" s="116">
        <v>4222.8</v>
      </c>
      <c r="E2373" s="116">
        <v>4228.75</v>
      </c>
      <c r="F2373" s="116">
        <v>4355.05</v>
      </c>
      <c r="G2373">
        <v>20805</v>
      </c>
      <c r="H2373" s="116"/>
      <c r="I2373" s="116"/>
      <c r="L2373" s="170">
        <v>45499</v>
      </c>
      <c r="M2373" s="116">
        <v>4356.75</v>
      </c>
      <c r="N2373" s="116">
        <v>4370</v>
      </c>
      <c r="O2373" s="116">
        <v>4223.1499999999996</v>
      </c>
      <c r="P2373" s="116">
        <v>4250</v>
      </c>
      <c r="Q2373" s="116">
        <v>4356.75</v>
      </c>
      <c r="R2373">
        <v>188885</v>
      </c>
    </row>
    <row r="2374" spans="1:18" x14ac:dyDescent="0.25">
      <c r="A2374" s="170">
        <v>45502</v>
      </c>
      <c r="B2374" s="116">
        <v>4416.05</v>
      </c>
      <c r="C2374" s="116">
        <v>4324.1000000000004</v>
      </c>
      <c r="D2374" s="116">
        <v>4235</v>
      </c>
      <c r="E2374" s="116">
        <v>4369</v>
      </c>
      <c r="F2374" s="116">
        <v>4324.1000000000004</v>
      </c>
      <c r="G2374">
        <v>15396</v>
      </c>
      <c r="H2374" s="116"/>
      <c r="I2374" s="116"/>
      <c r="L2374" s="170">
        <v>45502</v>
      </c>
      <c r="M2374" s="116">
        <v>4328.5</v>
      </c>
      <c r="N2374" s="116">
        <v>4428.2</v>
      </c>
      <c r="O2374" s="116">
        <v>4234</v>
      </c>
      <c r="P2374" s="116">
        <v>4400</v>
      </c>
      <c r="Q2374" s="116">
        <v>4328.5</v>
      </c>
      <c r="R2374">
        <v>357983</v>
      </c>
    </row>
    <row r="2375" spans="1:18" x14ac:dyDescent="0.25">
      <c r="A2375" s="170">
        <v>45503</v>
      </c>
      <c r="B2375" s="116">
        <v>4478.55</v>
      </c>
      <c r="C2375" s="116">
        <v>4306.3999999999996</v>
      </c>
      <c r="D2375" s="116">
        <v>4293.6000000000004</v>
      </c>
      <c r="E2375" s="116">
        <v>4400</v>
      </c>
      <c r="F2375" s="116">
        <v>4306.3999999999996</v>
      </c>
      <c r="G2375">
        <v>14980</v>
      </c>
      <c r="H2375" s="116"/>
      <c r="I2375" s="116"/>
      <c r="L2375" s="170">
        <v>45503</v>
      </c>
      <c r="M2375" s="116">
        <v>4307.05</v>
      </c>
      <c r="N2375" s="116">
        <v>4480</v>
      </c>
      <c r="O2375" s="116">
        <v>4291</v>
      </c>
      <c r="P2375" s="116">
        <v>4410</v>
      </c>
      <c r="Q2375" s="116">
        <v>4307.05</v>
      </c>
      <c r="R2375">
        <v>463177</v>
      </c>
    </row>
    <row r="2376" spans="1:18" x14ac:dyDescent="0.25">
      <c r="A2376" s="170">
        <v>45504</v>
      </c>
      <c r="B2376" s="116">
        <v>4441.25</v>
      </c>
      <c r="C2376" s="116">
        <v>4331</v>
      </c>
      <c r="D2376" s="116">
        <v>4309.5</v>
      </c>
      <c r="E2376" s="116">
        <v>4310</v>
      </c>
      <c r="F2376" s="116">
        <v>4331</v>
      </c>
      <c r="G2376">
        <v>10601</v>
      </c>
      <c r="H2376" s="116"/>
      <c r="I2376" s="116"/>
      <c r="L2376" s="170">
        <v>45504</v>
      </c>
      <c r="M2376" s="116">
        <v>4329.8500000000004</v>
      </c>
      <c r="N2376" s="116">
        <v>4440</v>
      </c>
      <c r="O2376" s="116">
        <v>4305.6499999999996</v>
      </c>
      <c r="P2376" s="116">
        <v>4307.05</v>
      </c>
      <c r="Q2376" s="116">
        <v>4329.8500000000004</v>
      </c>
      <c r="R2376">
        <v>274376</v>
      </c>
    </row>
    <row r="2377" spans="1:18" x14ac:dyDescent="0.25">
      <c r="A2377" s="170">
        <v>45505</v>
      </c>
      <c r="B2377" s="116">
        <v>4386.3</v>
      </c>
      <c r="C2377" s="116">
        <v>4328.6499999999996</v>
      </c>
      <c r="D2377" s="116">
        <v>4313.2</v>
      </c>
      <c r="E2377" s="116">
        <v>4360</v>
      </c>
      <c r="F2377" s="116">
        <v>4328.6499999999996</v>
      </c>
      <c r="G2377">
        <v>14049</v>
      </c>
      <c r="H2377" s="116"/>
      <c r="I2377" s="116"/>
      <c r="L2377" s="170">
        <v>45505</v>
      </c>
      <c r="M2377" s="116">
        <v>4333.75</v>
      </c>
      <c r="N2377" s="116">
        <v>4386.8500000000004</v>
      </c>
      <c r="O2377" s="116">
        <v>4313</v>
      </c>
      <c r="P2377" s="116">
        <v>4382.95</v>
      </c>
      <c r="Q2377" s="116">
        <v>4333.75</v>
      </c>
      <c r="R2377">
        <v>116152</v>
      </c>
    </row>
    <row r="2378" spans="1:18" x14ac:dyDescent="0.25">
      <c r="A2378" s="170">
        <v>45506</v>
      </c>
      <c r="B2378" s="116">
        <v>4325</v>
      </c>
      <c r="C2378" s="116">
        <v>4244.8500000000004</v>
      </c>
      <c r="D2378" s="116">
        <v>4221</v>
      </c>
      <c r="E2378" s="116">
        <v>4319.8500000000004</v>
      </c>
      <c r="F2378" s="116">
        <v>4244.8500000000004</v>
      </c>
      <c r="G2378">
        <v>3342</v>
      </c>
      <c r="H2378" s="116"/>
      <c r="I2378" s="116"/>
      <c r="L2378" s="170">
        <v>45506</v>
      </c>
      <c r="M2378" s="116">
        <v>4246.2</v>
      </c>
      <c r="N2378" s="116">
        <v>4323.6499999999996</v>
      </c>
      <c r="O2378" s="116">
        <v>4220</v>
      </c>
      <c r="P2378" s="116">
        <v>4314</v>
      </c>
      <c r="Q2378" s="116">
        <v>4246.2</v>
      </c>
      <c r="R2378">
        <v>107588</v>
      </c>
    </row>
    <row r="2379" spans="1:18" x14ac:dyDescent="0.25">
      <c r="A2379" s="170">
        <v>45509</v>
      </c>
      <c r="B2379" s="116">
        <v>4174.2</v>
      </c>
      <c r="C2379" s="116">
        <v>4040.35</v>
      </c>
      <c r="D2379" s="116">
        <v>4033.9</v>
      </c>
      <c r="E2379" s="116">
        <v>4075.05</v>
      </c>
      <c r="F2379" s="116">
        <v>4040.35</v>
      </c>
      <c r="G2379">
        <v>13372</v>
      </c>
      <c r="H2379" s="116"/>
      <c r="I2379" s="116"/>
      <c r="L2379" s="170">
        <v>45509</v>
      </c>
      <c r="M2379" s="116">
        <v>4040.75</v>
      </c>
      <c r="N2379" s="116">
        <v>4177.3999999999996</v>
      </c>
      <c r="O2379" s="116">
        <v>4027.8</v>
      </c>
      <c r="P2379" s="116">
        <v>4110</v>
      </c>
      <c r="Q2379" s="116">
        <v>4040.75</v>
      </c>
      <c r="R2379">
        <v>228324</v>
      </c>
    </row>
    <row r="2380" spans="1:18" x14ac:dyDescent="0.25">
      <c r="A2380" s="170">
        <v>45510</v>
      </c>
      <c r="B2380" s="116">
        <v>4130</v>
      </c>
      <c r="C2380" s="116">
        <v>4014.95</v>
      </c>
      <c r="D2380" s="116">
        <v>3951</v>
      </c>
      <c r="E2380" s="116">
        <v>4050.15</v>
      </c>
      <c r="F2380" s="116">
        <v>4014.95</v>
      </c>
      <c r="G2380">
        <v>9808</v>
      </c>
      <c r="H2380" s="116"/>
      <c r="I2380" s="116"/>
      <c r="L2380" s="170">
        <v>45510</v>
      </c>
      <c r="M2380" s="116">
        <v>3988.95</v>
      </c>
      <c r="N2380" s="116">
        <v>4140.7</v>
      </c>
      <c r="O2380" s="116">
        <v>3950.05</v>
      </c>
      <c r="P2380" s="116">
        <v>4112.95</v>
      </c>
      <c r="Q2380" s="116">
        <v>3988.95</v>
      </c>
      <c r="R2380">
        <v>248884</v>
      </c>
    </row>
    <row r="2381" spans="1:18" x14ac:dyDescent="0.25">
      <c r="A2381" s="170">
        <v>45511</v>
      </c>
      <c r="B2381" s="116">
        <v>4171.1499999999996</v>
      </c>
      <c r="C2381" s="116">
        <v>4135.5</v>
      </c>
      <c r="D2381" s="116">
        <v>4000</v>
      </c>
      <c r="E2381" s="116">
        <v>4088</v>
      </c>
      <c r="F2381" s="116">
        <v>4135.5</v>
      </c>
      <c r="G2381">
        <v>18154</v>
      </c>
      <c r="H2381" s="116"/>
      <c r="I2381" s="116"/>
      <c r="L2381" s="170">
        <v>45511</v>
      </c>
      <c r="M2381" s="116">
        <v>4137.2</v>
      </c>
      <c r="N2381" s="116">
        <v>4170.2</v>
      </c>
      <c r="O2381" s="116">
        <v>4001</v>
      </c>
      <c r="P2381" s="116">
        <v>4090</v>
      </c>
      <c r="Q2381" s="116">
        <v>4137.2</v>
      </c>
      <c r="R2381">
        <v>163041</v>
      </c>
    </row>
    <row r="2382" spans="1:18" x14ac:dyDescent="0.25">
      <c r="A2382" s="170">
        <v>45512</v>
      </c>
      <c r="B2382" s="116">
        <v>4169.6499999999996</v>
      </c>
      <c r="C2382" s="116">
        <v>4136.25</v>
      </c>
      <c r="D2382" s="116">
        <v>4086.25</v>
      </c>
      <c r="E2382" s="116">
        <v>4169.6499999999996</v>
      </c>
      <c r="F2382" s="116">
        <v>4136.25</v>
      </c>
      <c r="G2382">
        <v>30477</v>
      </c>
      <c r="H2382" s="116"/>
      <c r="I2382" s="116"/>
      <c r="L2382" s="170">
        <v>45512</v>
      </c>
      <c r="M2382" s="116">
        <v>4133.1000000000004</v>
      </c>
      <c r="N2382" s="116">
        <v>4165.8</v>
      </c>
      <c r="O2382" s="116">
        <v>4083.5</v>
      </c>
      <c r="P2382" s="116">
        <v>4130</v>
      </c>
      <c r="Q2382" s="116">
        <v>4133.1000000000004</v>
      </c>
      <c r="R2382">
        <v>158282</v>
      </c>
    </row>
    <row r="2383" spans="1:18" x14ac:dyDescent="0.25">
      <c r="A2383" s="170">
        <v>45513</v>
      </c>
      <c r="B2383" s="116">
        <v>4251</v>
      </c>
      <c r="C2383" s="116">
        <v>4226.1000000000004</v>
      </c>
      <c r="D2383" s="116">
        <v>4149.3500000000004</v>
      </c>
      <c r="E2383" s="116">
        <v>4149.3500000000004</v>
      </c>
      <c r="F2383" s="116">
        <v>4226.1000000000004</v>
      </c>
      <c r="G2383">
        <v>13768</v>
      </c>
      <c r="H2383" s="116"/>
      <c r="I2383" s="116"/>
      <c r="L2383" s="170">
        <v>45513</v>
      </c>
      <c r="M2383" s="116">
        <v>4224.25</v>
      </c>
      <c r="N2383" s="116">
        <v>4253</v>
      </c>
      <c r="O2383" s="116">
        <v>4163</v>
      </c>
      <c r="P2383" s="116">
        <v>4163.05</v>
      </c>
      <c r="Q2383" s="116">
        <v>4224.25</v>
      </c>
      <c r="R2383">
        <v>118270</v>
      </c>
    </row>
    <row r="2384" spans="1:18" x14ac:dyDescent="0.25">
      <c r="A2384" s="170">
        <v>45516</v>
      </c>
      <c r="B2384" s="116">
        <v>4324</v>
      </c>
      <c r="C2384" s="116">
        <v>4302.45</v>
      </c>
      <c r="D2384" s="116">
        <v>4143</v>
      </c>
      <c r="E2384" s="116">
        <v>4165.1499999999996</v>
      </c>
      <c r="F2384" s="116">
        <v>4302.45</v>
      </c>
      <c r="G2384">
        <v>18843</v>
      </c>
      <c r="H2384" s="116"/>
      <c r="I2384" s="116"/>
      <c r="L2384" s="170">
        <v>45516</v>
      </c>
      <c r="M2384" s="116">
        <v>4304.5</v>
      </c>
      <c r="N2384" s="116">
        <v>4325</v>
      </c>
      <c r="O2384" s="116">
        <v>4159.6499999999996</v>
      </c>
      <c r="P2384" s="116">
        <v>4222.1499999999996</v>
      </c>
      <c r="Q2384" s="116">
        <v>4304.5</v>
      </c>
      <c r="R2384">
        <v>119023</v>
      </c>
    </row>
    <row r="2385" spans="1:18" x14ac:dyDescent="0.25">
      <c r="A2385" s="170">
        <v>45517</v>
      </c>
      <c r="B2385" s="116">
        <v>4367</v>
      </c>
      <c r="C2385" s="116">
        <v>4334.75</v>
      </c>
      <c r="D2385" s="116">
        <v>4252.95</v>
      </c>
      <c r="E2385" s="116">
        <v>4323.95</v>
      </c>
      <c r="F2385" s="116">
        <v>4334.75</v>
      </c>
      <c r="G2385">
        <v>5078</v>
      </c>
      <c r="H2385" s="116"/>
      <c r="I2385" s="116"/>
      <c r="L2385" s="170">
        <v>45517</v>
      </c>
      <c r="M2385" s="116">
        <v>4338.75</v>
      </c>
      <c r="N2385" s="116">
        <v>4369.05</v>
      </c>
      <c r="O2385" s="116">
        <v>4253.55</v>
      </c>
      <c r="P2385" s="116">
        <v>4290</v>
      </c>
      <c r="Q2385" s="116">
        <v>4338.75</v>
      </c>
      <c r="R2385">
        <v>112684</v>
      </c>
    </row>
    <row r="2386" spans="1:18" x14ac:dyDescent="0.25">
      <c r="A2386" s="170">
        <v>45518</v>
      </c>
      <c r="B2386" s="116">
        <v>4318.5</v>
      </c>
      <c r="C2386" s="116">
        <v>4281.6000000000004</v>
      </c>
      <c r="D2386" s="116">
        <v>4203.55</v>
      </c>
      <c r="E2386" s="116">
        <v>4314.3</v>
      </c>
      <c r="F2386" s="116">
        <v>4281.6000000000004</v>
      </c>
      <c r="G2386">
        <v>5712</v>
      </c>
      <c r="H2386" s="116"/>
      <c r="I2386" s="116"/>
      <c r="L2386" s="170">
        <v>45518</v>
      </c>
      <c r="M2386" s="116">
        <v>4289.6000000000004</v>
      </c>
      <c r="N2386" s="116">
        <v>4334.95</v>
      </c>
      <c r="O2386" s="116">
        <v>4202.1000000000004</v>
      </c>
      <c r="P2386" s="116">
        <v>4334.95</v>
      </c>
      <c r="Q2386" s="116">
        <v>4289.6000000000004</v>
      </c>
      <c r="R2386">
        <v>107558</v>
      </c>
    </row>
    <row r="2387" spans="1:18" x14ac:dyDescent="0.25">
      <c r="A2387" s="170">
        <v>45520</v>
      </c>
      <c r="B2387" s="116">
        <v>4380.8999999999996</v>
      </c>
      <c r="C2387" s="116">
        <v>4296.6499999999996</v>
      </c>
      <c r="D2387" s="116">
        <v>4270.6000000000004</v>
      </c>
      <c r="E2387" s="116">
        <v>4275.05</v>
      </c>
      <c r="F2387" s="116">
        <v>4296.6499999999996</v>
      </c>
      <c r="G2387">
        <v>3794</v>
      </c>
      <c r="H2387" s="116"/>
      <c r="I2387" s="116"/>
      <c r="L2387" s="170">
        <v>45520</v>
      </c>
      <c r="M2387" s="116">
        <v>4298.2</v>
      </c>
      <c r="N2387" s="116">
        <v>4385</v>
      </c>
      <c r="O2387" s="116">
        <v>4272.55</v>
      </c>
      <c r="P2387" s="116">
        <v>4320</v>
      </c>
      <c r="Q2387" s="116">
        <v>4298.2</v>
      </c>
      <c r="R2387">
        <v>120199</v>
      </c>
    </row>
    <row r="2388" spans="1:18" x14ac:dyDescent="0.25">
      <c r="A2388" s="170">
        <v>45523</v>
      </c>
      <c r="B2388" s="116">
        <v>4375</v>
      </c>
      <c r="C2388" s="116">
        <v>4367.5</v>
      </c>
      <c r="D2388" s="116">
        <v>4295.8999999999996</v>
      </c>
      <c r="E2388" s="116">
        <v>4295.8999999999996</v>
      </c>
      <c r="F2388" s="116">
        <v>4367.5</v>
      </c>
      <c r="G2388">
        <v>3222</v>
      </c>
      <c r="H2388" s="116"/>
      <c r="I2388" s="116"/>
      <c r="L2388" s="170">
        <v>45523</v>
      </c>
      <c r="M2388" s="116">
        <v>4367.3500000000004</v>
      </c>
      <c r="N2388" s="116">
        <v>4379.95</v>
      </c>
      <c r="O2388" s="116">
        <v>4300</v>
      </c>
      <c r="P2388" s="116">
        <v>4300</v>
      </c>
      <c r="Q2388" s="116">
        <v>4367.3500000000004</v>
      </c>
      <c r="R2388">
        <v>107939</v>
      </c>
    </row>
    <row r="2389" spans="1:18" x14ac:dyDescent="0.25">
      <c r="A2389" s="170">
        <v>45524</v>
      </c>
      <c r="B2389" s="116">
        <v>4776.8500000000004</v>
      </c>
      <c r="C2389" s="116">
        <v>4708.1000000000004</v>
      </c>
      <c r="D2389" s="116">
        <v>4476.3</v>
      </c>
      <c r="E2389" s="116">
        <v>4540.5</v>
      </c>
      <c r="F2389" s="116">
        <v>4708.1000000000004</v>
      </c>
      <c r="G2389">
        <v>92528</v>
      </c>
      <c r="H2389" s="116"/>
      <c r="I2389" s="116"/>
      <c r="L2389" s="170">
        <v>45524</v>
      </c>
      <c r="M2389" s="116">
        <v>4709</v>
      </c>
      <c r="N2389" s="116">
        <v>4779.8999999999996</v>
      </c>
      <c r="O2389" s="116">
        <v>4475</v>
      </c>
      <c r="P2389" s="116">
        <v>4550</v>
      </c>
      <c r="Q2389" s="116">
        <v>4709</v>
      </c>
      <c r="R2389">
        <v>1460593</v>
      </c>
    </row>
    <row r="2390" spans="1:18" x14ac:dyDescent="0.25">
      <c r="A2390" s="170">
        <v>45525</v>
      </c>
      <c r="B2390" s="116">
        <v>4731.8999999999996</v>
      </c>
      <c r="C2390" s="116">
        <v>4675.55</v>
      </c>
      <c r="D2390" s="116">
        <v>4635.8</v>
      </c>
      <c r="E2390" s="116">
        <v>4720.75</v>
      </c>
      <c r="F2390" s="116">
        <v>4675.55</v>
      </c>
      <c r="G2390">
        <v>6858</v>
      </c>
      <c r="H2390" s="116"/>
      <c r="I2390" s="116"/>
      <c r="L2390" s="170">
        <v>45525</v>
      </c>
      <c r="M2390" s="116">
        <v>4674.05</v>
      </c>
      <c r="N2390" s="116">
        <v>4730</v>
      </c>
      <c r="O2390" s="116">
        <v>4635</v>
      </c>
      <c r="P2390" s="116">
        <v>4715.45</v>
      </c>
      <c r="Q2390" s="116">
        <v>4674.05</v>
      </c>
      <c r="R2390">
        <v>207750</v>
      </c>
    </row>
    <row r="2391" spans="1:18" x14ac:dyDescent="0.25">
      <c r="A2391" s="170">
        <v>45526</v>
      </c>
      <c r="B2391" s="116">
        <v>4710</v>
      </c>
      <c r="C2391" s="116">
        <v>4697.25</v>
      </c>
      <c r="D2391" s="116">
        <v>4598</v>
      </c>
      <c r="E2391" s="116">
        <v>4710</v>
      </c>
      <c r="F2391" s="116">
        <v>4697.25</v>
      </c>
      <c r="G2391">
        <v>16793</v>
      </c>
      <c r="H2391" s="116"/>
      <c r="I2391" s="116"/>
      <c r="L2391" s="170">
        <v>45526</v>
      </c>
      <c r="M2391" s="116">
        <v>4700.7</v>
      </c>
      <c r="N2391" s="116">
        <v>4714.95</v>
      </c>
      <c r="O2391" s="116">
        <v>4595.25</v>
      </c>
      <c r="P2391" s="116">
        <v>4714.95</v>
      </c>
      <c r="Q2391" s="116">
        <v>4700.7</v>
      </c>
      <c r="R2391">
        <v>305227</v>
      </c>
    </row>
    <row r="2392" spans="1:18" x14ac:dyDescent="0.25">
      <c r="A2392" s="170">
        <v>45527</v>
      </c>
      <c r="B2392" s="116">
        <v>4723.3500000000004</v>
      </c>
      <c r="C2392" s="116">
        <v>4629.1000000000004</v>
      </c>
      <c r="D2392" s="116">
        <v>4610</v>
      </c>
      <c r="E2392" s="116">
        <v>4700</v>
      </c>
      <c r="F2392" s="116">
        <v>4629.1000000000004</v>
      </c>
      <c r="G2392">
        <v>8183</v>
      </c>
      <c r="H2392" s="116"/>
      <c r="I2392" s="116"/>
      <c r="L2392" s="170">
        <v>45527</v>
      </c>
      <c r="M2392" s="116">
        <v>4633.2</v>
      </c>
      <c r="N2392" s="116">
        <v>4723.5</v>
      </c>
      <c r="O2392" s="116">
        <v>4609</v>
      </c>
      <c r="P2392" s="116">
        <v>4700</v>
      </c>
      <c r="Q2392" s="116">
        <v>4633.2</v>
      </c>
      <c r="R2392">
        <v>211182</v>
      </c>
    </row>
    <row r="2393" spans="1:18" x14ac:dyDescent="0.25">
      <c r="A2393" s="170">
        <v>45530</v>
      </c>
      <c r="B2393" s="116">
        <v>4718.5</v>
      </c>
      <c r="C2393" s="116">
        <v>4548.55</v>
      </c>
      <c r="D2393" s="116">
        <v>4532.05</v>
      </c>
      <c r="E2393" s="116">
        <v>4718.5</v>
      </c>
      <c r="F2393" s="116">
        <v>4548.55</v>
      </c>
      <c r="G2393">
        <v>6568</v>
      </c>
      <c r="H2393" s="116"/>
      <c r="I2393" s="116"/>
      <c r="L2393" s="170">
        <v>45530</v>
      </c>
      <c r="M2393" s="116">
        <v>4546.8500000000004</v>
      </c>
      <c r="N2393" s="116">
        <v>4693</v>
      </c>
      <c r="O2393" s="116">
        <v>4531.1000000000004</v>
      </c>
      <c r="P2393" s="116">
        <v>4674.8</v>
      </c>
      <c r="Q2393" s="116">
        <v>4546.8500000000004</v>
      </c>
      <c r="R2393">
        <v>130941</v>
      </c>
    </row>
    <row r="2394" spans="1:18" x14ac:dyDescent="0.25">
      <c r="A2394" s="170">
        <v>45531</v>
      </c>
      <c r="B2394" s="116">
        <v>4610.75</v>
      </c>
      <c r="C2394" s="116">
        <v>4547.25</v>
      </c>
      <c r="D2394" s="116">
        <v>4518.55</v>
      </c>
      <c r="E2394" s="116">
        <v>4548.55</v>
      </c>
      <c r="F2394" s="116">
        <v>4547.25</v>
      </c>
      <c r="G2394">
        <v>9430</v>
      </c>
      <c r="H2394" s="116"/>
      <c r="I2394" s="116"/>
      <c r="L2394" s="170">
        <v>45531</v>
      </c>
      <c r="M2394" s="116">
        <v>4546.2</v>
      </c>
      <c r="N2394" s="116">
        <v>4618</v>
      </c>
      <c r="O2394" s="116">
        <v>4509.3999999999996</v>
      </c>
      <c r="P2394" s="116">
        <v>4509.5</v>
      </c>
      <c r="Q2394" s="116">
        <v>4546.2</v>
      </c>
      <c r="R2394">
        <v>84288</v>
      </c>
    </row>
    <row r="2395" spans="1:18" x14ac:dyDescent="0.25">
      <c r="A2395" s="170">
        <v>45532</v>
      </c>
      <c r="B2395" s="116">
        <v>4595.95</v>
      </c>
      <c r="C2395" s="116">
        <v>4543.25</v>
      </c>
      <c r="D2395" s="116">
        <v>4505</v>
      </c>
      <c r="E2395" s="116">
        <v>4550.05</v>
      </c>
      <c r="F2395" s="116">
        <v>4543.25</v>
      </c>
      <c r="G2395">
        <v>9681</v>
      </c>
      <c r="H2395" s="116"/>
      <c r="I2395" s="116"/>
      <c r="L2395" s="170">
        <v>45532</v>
      </c>
      <c r="M2395" s="116">
        <v>4544.1499999999996</v>
      </c>
      <c r="N2395" s="116">
        <v>4594.95</v>
      </c>
      <c r="O2395" s="116">
        <v>4505.55</v>
      </c>
      <c r="P2395" s="116">
        <v>4569.8999999999996</v>
      </c>
      <c r="Q2395" s="116">
        <v>4544.1499999999996</v>
      </c>
      <c r="R2395">
        <v>80855</v>
      </c>
    </row>
    <row r="2396" spans="1:18" x14ac:dyDescent="0.25">
      <c r="A2396" s="170">
        <v>45533</v>
      </c>
      <c r="B2396" s="116">
        <v>4647</v>
      </c>
      <c r="C2396" s="116">
        <v>4553.8500000000004</v>
      </c>
      <c r="D2396" s="116">
        <v>4510</v>
      </c>
      <c r="E2396" s="116">
        <v>4647</v>
      </c>
      <c r="F2396" s="116">
        <v>4553.8500000000004</v>
      </c>
      <c r="G2396">
        <v>3763</v>
      </c>
      <c r="H2396" s="116"/>
      <c r="I2396" s="116"/>
      <c r="L2396" s="170">
        <v>45533</v>
      </c>
      <c r="M2396" s="116">
        <v>4549.5</v>
      </c>
      <c r="N2396" s="116">
        <v>4579</v>
      </c>
      <c r="O2396" s="116">
        <v>4509</v>
      </c>
      <c r="P2396" s="116">
        <v>4575</v>
      </c>
      <c r="Q2396" s="116">
        <v>4549.5</v>
      </c>
      <c r="R2396">
        <v>219833</v>
      </c>
    </row>
    <row r="2397" spans="1:18" x14ac:dyDescent="0.25">
      <c r="A2397" s="170">
        <v>45534</v>
      </c>
      <c r="B2397" s="116">
        <v>4625</v>
      </c>
      <c r="C2397" s="116">
        <v>4600.5</v>
      </c>
      <c r="D2397" s="116">
        <v>4520.6000000000004</v>
      </c>
      <c r="E2397" s="116">
        <v>4560.1000000000004</v>
      </c>
      <c r="F2397" s="116">
        <v>4600.5</v>
      </c>
      <c r="G2397">
        <v>9777</v>
      </c>
      <c r="H2397" s="116"/>
      <c r="I2397" s="116"/>
      <c r="L2397" s="170">
        <v>45534</v>
      </c>
      <c r="M2397" s="116">
        <v>4609.8</v>
      </c>
      <c r="N2397" s="116">
        <v>4630.6000000000004</v>
      </c>
      <c r="O2397" s="116">
        <v>4525.05</v>
      </c>
      <c r="P2397" s="116">
        <v>4578.25</v>
      </c>
      <c r="Q2397" s="116">
        <v>4609.8</v>
      </c>
      <c r="R2397">
        <v>112405</v>
      </c>
    </row>
    <row r="2398" spans="1:18" x14ac:dyDescent="0.25">
      <c r="A2398" s="170">
        <v>45537</v>
      </c>
      <c r="B2398" s="116">
        <v>4659.7</v>
      </c>
      <c r="C2398" s="116">
        <v>4511.25</v>
      </c>
      <c r="D2398" s="116">
        <v>4507</v>
      </c>
      <c r="E2398" s="116">
        <v>4659.7</v>
      </c>
      <c r="F2398" s="116">
        <v>4511.25</v>
      </c>
      <c r="G2398">
        <v>5526</v>
      </c>
      <c r="H2398" s="116"/>
      <c r="I2398" s="116"/>
      <c r="L2398" s="170">
        <v>45537</v>
      </c>
      <c r="M2398" s="116">
        <v>4512.2</v>
      </c>
      <c r="N2398" s="116">
        <v>4647.5</v>
      </c>
      <c r="O2398" s="116">
        <v>4505.55</v>
      </c>
      <c r="P2398" s="116">
        <v>4647.5</v>
      </c>
      <c r="Q2398" s="116">
        <v>4512.2</v>
      </c>
      <c r="R2398">
        <v>93293</v>
      </c>
    </row>
    <row r="2399" spans="1:18" x14ac:dyDescent="0.25">
      <c r="A2399" s="170">
        <v>45538</v>
      </c>
      <c r="B2399" s="116">
        <v>4547</v>
      </c>
      <c r="C2399" s="116">
        <v>4456.8500000000004</v>
      </c>
      <c r="D2399" s="116">
        <v>4450</v>
      </c>
      <c r="E2399" s="116">
        <v>4511.3</v>
      </c>
      <c r="F2399" s="116">
        <v>4456.8500000000004</v>
      </c>
      <c r="G2399">
        <v>3296</v>
      </c>
      <c r="H2399" s="116"/>
      <c r="I2399" s="116"/>
      <c r="L2399" s="170">
        <v>45538</v>
      </c>
      <c r="M2399" s="116">
        <v>4457.6499999999996</v>
      </c>
      <c r="N2399" s="116">
        <v>4547.8500000000004</v>
      </c>
      <c r="O2399" s="116">
        <v>4448.3999999999996</v>
      </c>
      <c r="P2399" s="116">
        <v>4537.5</v>
      </c>
      <c r="Q2399" s="116">
        <v>4457.6499999999996</v>
      </c>
      <c r="R2399">
        <v>117092</v>
      </c>
    </row>
    <row r="2400" spans="1:18" x14ac:dyDescent="0.25">
      <c r="A2400" s="170">
        <v>45539</v>
      </c>
      <c r="B2400" s="116">
        <v>4570.2</v>
      </c>
      <c r="C2400" s="116">
        <v>4489.95</v>
      </c>
      <c r="D2400" s="116">
        <v>4411.8</v>
      </c>
      <c r="E2400" s="116">
        <v>4411.8</v>
      </c>
      <c r="F2400" s="116">
        <v>4489.95</v>
      </c>
      <c r="G2400">
        <v>5042</v>
      </c>
      <c r="H2400" s="116"/>
      <c r="I2400" s="116"/>
      <c r="L2400" s="170">
        <v>45539</v>
      </c>
      <c r="M2400" s="116">
        <v>4489.25</v>
      </c>
      <c r="N2400" s="116">
        <v>4572.8999999999996</v>
      </c>
      <c r="O2400" s="116">
        <v>4412.3500000000004</v>
      </c>
      <c r="P2400" s="116">
        <v>4429.45</v>
      </c>
      <c r="Q2400" s="116">
        <v>4489.25</v>
      </c>
      <c r="R2400">
        <v>168231</v>
      </c>
    </row>
    <row r="2401" spans="1:18" x14ac:dyDescent="0.25">
      <c r="A2401" s="170">
        <v>45540</v>
      </c>
      <c r="B2401" s="116">
        <v>4518.6499999999996</v>
      </c>
      <c r="C2401" s="116">
        <v>4499.8500000000004</v>
      </c>
      <c r="D2401" s="116">
        <v>4455.5</v>
      </c>
      <c r="E2401" s="116">
        <v>4517</v>
      </c>
      <c r="F2401" s="116">
        <v>4499.8500000000004</v>
      </c>
      <c r="G2401">
        <v>9629</v>
      </c>
      <c r="H2401" s="116"/>
      <c r="I2401" s="116"/>
      <c r="L2401" s="170">
        <v>45540</v>
      </c>
      <c r="M2401" s="116">
        <v>4485.6000000000004</v>
      </c>
      <c r="N2401" s="116">
        <v>4518.8</v>
      </c>
      <c r="O2401" s="116">
        <v>4455.25</v>
      </c>
      <c r="P2401" s="116">
        <v>4494</v>
      </c>
      <c r="Q2401" s="116">
        <v>4485.6000000000004</v>
      </c>
      <c r="R2401">
        <v>164697</v>
      </c>
    </row>
    <row r="2402" spans="1:18" x14ac:dyDescent="0.25">
      <c r="A2402" s="170">
        <v>45541</v>
      </c>
      <c r="B2402" s="116">
        <v>4502.55</v>
      </c>
      <c r="C2402" s="116">
        <v>4417.5</v>
      </c>
      <c r="D2402" s="116">
        <v>4402</v>
      </c>
      <c r="E2402" s="116">
        <v>4498.95</v>
      </c>
      <c r="F2402" s="116">
        <v>4417.5</v>
      </c>
      <c r="G2402">
        <v>5170</v>
      </c>
      <c r="H2402" s="116"/>
      <c r="I2402" s="116"/>
      <c r="L2402" s="170">
        <v>45541</v>
      </c>
      <c r="M2402" s="116">
        <v>4421.6499999999996</v>
      </c>
      <c r="N2402" s="116">
        <v>4502</v>
      </c>
      <c r="O2402" s="116">
        <v>4405</v>
      </c>
      <c r="P2402" s="116">
        <v>4485.6000000000004</v>
      </c>
      <c r="Q2402" s="116">
        <v>4421.6499999999996</v>
      </c>
      <c r="R2402">
        <v>74305</v>
      </c>
    </row>
    <row r="2403" spans="1:18" x14ac:dyDescent="0.25">
      <c r="A2403" s="170">
        <v>45544</v>
      </c>
      <c r="B2403" s="116">
        <v>4424.95</v>
      </c>
      <c r="C2403" s="116">
        <v>4352.8</v>
      </c>
      <c r="D2403" s="116">
        <v>4313</v>
      </c>
      <c r="E2403" s="116">
        <v>4417.5</v>
      </c>
      <c r="F2403" s="116">
        <v>4352.8</v>
      </c>
      <c r="G2403">
        <v>9883</v>
      </c>
      <c r="H2403" s="116"/>
      <c r="I2403" s="116"/>
      <c r="L2403" s="170">
        <v>45544</v>
      </c>
      <c r="M2403" s="116">
        <v>4355.55</v>
      </c>
      <c r="N2403" s="116">
        <v>4419</v>
      </c>
      <c r="O2403" s="116">
        <v>4311.5</v>
      </c>
      <c r="P2403" s="116">
        <v>4398.95</v>
      </c>
      <c r="Q2403" s="116">
        <v>4355.55</v>
      </c>
      <c r="R2403">
        <v>268497</v>
      </c>
    </row>
    <row r="2404" spans="1:18" x14ac:dyDescent="0.25">
      <c r="A2404" s="170">
        <v>45545</v>
      </c>
      <c r="B2404" s="116">
        <v>4480.1000000000004</v>
      </c>
      <c r="C2404" s="116">
        <v>4402.7</v>
      </c>
      <c r="D2404" s="116">
        <v>4352.8</v>
      </c>
      <c r="E2404" s="116">
        <v>4360</v>
      </c>
      <c r="F2404" s="116">
        <v>4402.7</v>
      </c>
      <c r="G2404">
        <v>5821</v>
      </c>
      <c r="H2404" s="116"/>
      <c r="I2404" s="116"/>
      <c r="L2404" s="170">
        <v>45545</v>
      </c>
      <c r="M2404" s="116">
        <v>4402.8</v>
      </c>
      <c r="N2404" s="116">
        <v>4499.95</v>
      </c>
      <c r="O2404" s="116">
        <v>4350.55</v>
      </c>
      <c r="P2404" s="116">
        <v>4352.8</v>
      </c>
      <c r="Q2404" s="116">
        <v>4402.8</v>
      </c>
      <c r="R2404">
        <v>175514</v>
      </c>
    </row>
    <row r="2405" spans="1:18" x14ac:dyDescent="0.25">
      <c r="A2405" s="170">
        <v>45546</v>
      </c>
      <c r="B2405" s="116">
        <v>4457.1000000000004</v>
      </c>
      <c r="C2405" s="116">
        <v>4378.5</v>
      </c>
      <c r="D2405" s="116">
        <v>4352.45</v>
      </c>
      <c r="E2405" s="116">
        <v>4409.95</v>
      </c>
      <c r="F2405" s="116">
        <v>4378.5</v>
      </c>
      <c r="G2405">
        <v>8448</v>
      </c>
      <c r="H2405" s="116"/>
      <c r="I2405" s="116"/>
      <c r="L2405" s="170">
        <v>45546</v>
      </c>
      <c r="M2405" s="116">
        <v>4377.3500000000004</v>
      </c>
      <c r="N2405" s="116">
        <v>4458.95</v>
      </c>
      <c r="O2405" s="116">
        <v>4353.2</v>
      </c>
      <c r="P2405" s="116">
        <v>4402.8500000000004</v>
      </c>
      <c r="Q2405" s="116">
        <v>4377.3500000000004</v>
      </c>
      <c r="R2405">
        <v>224020</v>
      </c>
    </row>
    <row r="2406" spans="1:18" x14ac:dyDescent="0.25">
      <c r="A2406" s="170">
        <v>45547</v>
      </c>
      <c r="B2406" s="116">
        <v>4480</v>
      </c>
      <c r="C2406" s="116">
        <v>4401.7</v>
      </c>
      <c r="D2406" s="116">
        <v>4377.6499999999996</v>
      </c>
      <c r="E2406" s="116">
        <v>4440</v>
      </c>
      <c r="F2406" s="116">
        <v>4401.7</v>
      </c>
      <c r="G2406">
        <v>7750</v>
      </c>
      <c r="H2406" s="116"/>
      <c r="I2406" s="116"/>
      <c r="L2406" s="170">
        <v>45547</v>
      </c>
      <c r="M2406" s="116">
        <v>4403.2</v>
      </c>
      <c r="N2406" s="116">
        <v>4481.1000000000004</v>
      </c>
      <c r="O2406" s="116">
        <v>4380.05</v>
      </c>
      <c r="P2406" s="116">
        <v>4438.45</v>
      </c>
      <c r="Q2406" s="116">
        <v>4403.2</v>
      </c>
      <c r="R2406">
        <v>100226</v>
      </c>
    </row>
    <row r="2407" spans="1:18" x14ac:dyDescent="0.25">
      <c r="A2407" s="170">
        <v>45548</v>
      </c>
      <c r="B2407" s="116">
        <v>4456.05</v>
      </c>
      <c r="C2407" s="116">
        <v>4439.75</v>
      </c>
      <c r="D2407" s="116">
        <v>4394.1000000000004</v>
      </c>
      <c r="E2407" s="116">
        <v>4410</v>
      </c>
      <c r="F2407" s="116">
        <v>4439.75</v>
      </c>
      <c r="G2407">
        <v>2947</v>
      </c>
      <c r="H2407" s="116"/>
      <c r="I2407" s="116"/>
      <c r="L2407" s="170">
        <v>45548</v>
      </c>
      <c r="M2407" s="116">
        <v>4441.5</v>
      </c>
      <c r="N2407" s="116">
        <v>4464.3</v>
      </c>
      <c r="O2407" s="116">
        <v>4391.1499999999996</v>
      </c>
      <c r="P2407" s="116">
        <v>4418.7</v>
      </c>
      <c r="Q2407" s="116">
        <v>4441.5</v>
      </c>
      <c r="R2407">
        <v>168561</v>
      </c>
    </row>
    <row r="2408" spans="1:18" x14ac:dyDescent="0.25">
      <c r="A2408" s="170">
        <v>45551</v>
      </c>
      <c r="B2408" s="116">
        <v>4505</v>
      </c>
      <c r="C2408" s="116">
        <v>4425.8999999999996</v>
      </c>
      <c r="D2408" s="116">
        <v>4411</v>
      </c>
      <c r="E2408" s="116">
        <v>4472.3999999999996</v>
      </c>
      <c r="F2408" s="116">
        <v>4425.8999999999996</v>
      </c>
      <c r="G2408">
        <v>2168</v>
      </c>
      <c r="H2408" s="116"/>
      <c r="I2408" s="116"/>
      <c r="L2408" s="170">
        <v>45551</v>
      </c>
      <c r="M2408" s="116">
        <v>4427.6000000000004</v>
      </c>
      <c r="N2408" s="116">
        <v>4506</v>
      </c>
      <c r="O2408" s="116">
        <v>4410.8999999999996</v>
      </c>
      <c r="P2408" s="116">
        <v>4497.95</v>
      </c>
      <c r="Q2408" s="116">
        <v>4427.6000000000004</v>
      </c>
      <c r="R2408">
        <v>134706</v>
      </c>
    </row>
    <row r="2409" spans="1:18" x14ac:dyDescent="0.25">
      <c r="A2409" s="170">
        <v>45552</v>
      </c>
      <c r="B2409" s="116">
        <v>4498.95</v>
      </c>
      <c r="C2409" s="116">
        <v>4426.1000000000004</v>
      </c>
      <c r="D2409" s="116">
        <v>4390</v>
      </c>
      <c r="E2409" s="116">
        <v>4498.95</v>
      </c>
      <c r="F2409" s="116">
        <v>4426.1000000000004</v>
      </c>
      <c r="G2409">
        <v>2863</v>
      </c>
      <c r="H2409" s="116"/>
      <c r="I2409" s="116"/>
      <c r="L2409" s="170">
        <v>45552</v>
      </c>
      <c r="M2409" s="116">
        <v>4425.1000000000004</v>
      </c>
      <c r="N2409" s="116">
        <v>4474.45</v>
      </c>
      <c r="O2409" s="116">
        <v>4387.55</v>
      </c>
      <c r="P2409" s="116">
        <v>4474.45</v>
      </c>
      <c r="Q2409" s="116">
        <v>4425.1000000000004</v>
      </c>
      <c r="R2409">
        <v>220638</v>
      </c>
    </row>
    <row r="2410" spans="1:18" x14ac:dyDescent="0.25">
      <c r="A2410" s="170">
        <v>45553</v>
      </c>
      <c r="B2410" s="116">
        <v>4574.3500000000004</v>
      </c>
      <c r="C2410" s="116">
        <v>4508.3</v>
      </c>
      <c r="D2410" s="116">
        <v>4420</v>
      </c>
      <c r="E2410" s="116">
        <v>4450</v>
      </c>
      <c r="F2410" s="116">
        <v>4508.3</v>
      </c>
      <c r="G2410">
        <v>12679</v>
      </c>
      <c r="H2410" s="116"/>
      <c r="I2410" s="116"/>
      <c r="L2410" s="170">
        <v>45553</v>
      </c>
      <c r="M2410" s="116">
        <v>4501.1499999999996</v>
      </c>
      <c r="N2410" s="116">
        <v>4581.8</v>
      </c>
      <c r="O2410" s="116">
        <v>4415.05</v>
      </c>
      <c r="P2410" s="116">
        <v>4459.45</v>
      </c>
      <c r="Q2410" s="116">
        <v>4501.1499999999996</v>
      </c>
      <c r="R2410">
        <v>247647</v>
      </c>
    </row>
    <row r="2411" spans="1:18" x14ac:dyDescent="0.25">
      <c r="A2411" s="170">
        <v>45554</v>
      </c>
      <c r="B2411" s="116">
        <v>4569.6499999999996</v>
      </c>
      <c r="C2411" s="116">
        <v>4391.2</v>
      </c>
      <c r="D2411" s="116">
        <v>4362</v>
      </c>
      <c r="E2411" s="116">
        <v>4569.6499999999996</v>
      </c>
      <c r="F2411" s="116">
        <v>4391.2</v>
      </c>
      <c r="G2411">
        <v>12519</v>
      </c>
      <c r="H2411" s="116"/>
      <c r="I2411" s="116"/>
      <c r="L2411" s="170">
        <v>45554</v>
      </c>
      <c r="M2411" s="116">
        <v>4394.8</v>
      </c>
      <c r="N2411" s="116">
        <v>4560</v>
      </c>
      <c r="O2411" s="116">
        <v>4362.05</v>
      </c>
      <c r="P2411" s="116">
        <v>4535.75</v>
      </c>
      <c r="Q2411" s="116">
        <v>4394.8</v>
      </c>
      <c r="R2411">
        <v>252327</v>
      </c>
    </row>
    <row r="2412" spans="1:18" x14ac:dyDescent="0.25">
      <c r="A2412" s="170">
        <v>45555</v>
      </c>
      <c r="B2412" s="116">
        <v>4429.95</v>
      </c>
      <c r="C2412" s="116">
        <v>4286.6499999999996</v>
      </c>
      <c r="D2412" s="116">
        <v>4242.5</v>
      </c>
      <c r="E2412" s="116">
        <v>4429.95</v>
      </c>
      <c r="F2412" s="116">
        <v>4286.6499999999996</v>
      </c>
      <c r="G2412">
        <v>13768</v>
      </c>
      <c r="H2412" s="116"/>
      <c r="I2412" s="116"/>
      <c r="L2412" s="170">
        <v>45555</v>
      </c>
      <c r="M2412" s="116">
        <v>4284.8500000000004</v>
      </c>
      <c r="N2412" s="116">
        <v>4384.8</v>
      </c>
      <c r="O2412" s="116">
        <v>4243</v>
      </c>
      <c r="P2412" s="116">
        <v>4384.8</v>
      </c>
      <c r="Q2412" s="116">
        <v>4284.8500000000004</v>
      </c>
      <c r="R2412">
        <v>1048476</v>
      </c>
    </row>
    <row r="2413" spans="1:18" x14ac:dyDescent="0.25">
      <c r="A2413" s="170">
        <v>45558</v>
      </c>
      <c r="B2413" s="116">
        <v>4373.45</v>
      </c>
      <c r="C2413" s="116">
        <v>4211.1000000000004</v>
      </c>
      <c r="D2413" s="116">
        <v>4200.5</v>
      </c>
      <c r="E2413" s="116">
        <v>4286.7</v>
      </c>
      <c r="F2413" s="116">
        <v>4211.1000000000004</v>
      </c>
      <c r="G2413">
        <v>13039</v>
      </c>
      <c r="H2413" s="116"/>
      <c r="I2413" s="116"/>
      <c r="L2413" s="170">
        <v>45558</v>
      </c>
      <c r="M2413" s="116">
        <v>4210.8500000000004</v>
      </c>
      <c r="N2413" s="116">
        <v>4370</v>
      </c>
      <c r="O2413" s="116">
        <v>4200</v>
      </c>
      <c r="P2413" s="116">
        <v>4354.6000000000004</v>
      </c>
      <c r="Q2413" s="116">
        <v>4210.8500000000004</v>
      </c>
      <c r="R2413">
        <v>303904</v>
      </c>
    </row>
    <row r="2414" spans="1:18" x14ac:dyDescent="0.25">
      <c r="A2414" s="170">
        <v>45559</v>
      </c>
      <c r="B2414" s="116">
        <v>4311</v>
      </c>
      <c r="C2414" s="116">
        <v>4304.8999999999996</v>
      </c>
      <c r="D2414" s="116">
        <v>4151.3</v>
      </c>
      <c r="E2414" s="116">
        <v>4224.6000000000004</v>
      </c>
      <c r="F2414" s="116">
        <v>4304.8999999999996</v>
      </c>
      <c r="G2414">
        <v>18371</v>
      </c>
      <c r="H2414" s="116"/>
      <c r="I2414" s="116"/>
      <c r="L2414" s="170">
        <v>45559</v>
      </c>
      <c r="M2414" s="116">
        <v>4305.55</v>
      </c>
      <c r="N2414" s="116">
        <v>4313.75</v>
      </c>
      <c r="O2414" s="116">
        <v>4150.2</v>
      </c>
      <c r="P2414" s="116">
        <v>4210.8500000000004</v>
      </c>
      <c r="Q2414" s="116">
        <v>4305.55</v>
      </c>
      <c r="R2414">
        <v>328785</v>
      </c>
    </row>
    <row r="2415" spans="1:18" x14ac:dyDescent="0.25">
      <c r="A2415" s="170">
        <v>45560</v>
      </c>
      <c r="B2415" s="116">
        <v>4312.2</v>
      </c>
      <c r="C2415" s="116">
        <v>4223.1000000000004</v>
      </c>
      <c r="D2415" s="116">
        <v>4207.05</v>
      </c>
      <c r="E2415" s="116">
        <v>4305.55</v>
      </c>
      <c r="F2415" s="116">
        <v>4223.1000000000004</v>
      </c>
      <c r="G2415">
        <v>5782</v>
      </c>
      <c r="H2415" s="116"/>
      <c r="I2415" s="116"/>
      <c r="L2415" s="170">
        <v>45560</v>
      </c>
      <c r="M2415" s="116">
        <v>4225.5</v>
      </c>
      <c r="N2415" s="116">
        <v>4315</v>
      </c>
      <c r="O2415" s="116">
        <v>4207</v>
      </c>
      <c r="P2415" s="116">
        <v>4309.8999999999996</v>
      </c>
      <c r="Q2415" s="116">
        <v>4225.5</v>
      </c>
      <c r="R2415">
        <v>140232</v>
      </c>
    </row>
    <row r="2416" spans="1:18" x14ac:dyDescent="0.25">
      <c r="A2416" s="170">
        <v>45561</v>
      </c>
      <c r="B2416" s="116">
        <v>4233.1499999999996</v>
      </c>
      <c r="C2416" s="116">
        <v>4198.3</v>
      </c>
      <c r="D2416" s="116">
        <v>4182.8</v>
      </c>
      <c r="E2416" s="116">
        <v>4223.1000000000004</v>
      </c>
      <c r="F2416" s="116">
        <v>4198.3</v>
      </c>
      <c r="G2416">
        <v>3095</v>
      </c>
      <c r="H2416" s="116"/>
      <c r="I2416" s="116"/>
      <c r="L2416" s="170">
        <v>45561</v>
      </c>
      <c r="M2416" s="116">
        <v>4196.8</v>
      </c>
      <c r="N2416" s="116">
        <v>4232.8999999999996</v>
      </c>
      <c r="O2416" s="116">
        <v>4183.05</v>
      </c>
      <c r="P2416" s="116">
        <v>4232.8999999999996</v>
      </c>
      <c r="Q2416" s="116">
        <v>4196.8</v>
      </c>
      <c r="R2416">
        <v>148166</v>
      </c>
    </row>
    <row r="2417" spans="1:18" x14ac:dyDescent="0.25">
      <c r="A2417" s="170">
        <v>45562</v>
      </c>
      <c r="B2417" s="116">
        <v>4253.55</v>
      </c>
      <c r="C2417" s="116">
        <v>4200.7</v>
      </c>
      <c r="D2417" s="116">
        <v>4189.3</v>
      </c>
      <c r="E2417" s="116">
        <v>4249.75</v>
      </c>
      <c r="F2417" s="116">
        <v>4200.7</v>
      </c>
      <c r="G2417">
        <v>12032</v>
      </c>
      <c r="H2417" s="116"/>
      <c r="I2417" s="116"/>
      <c r="L2417" s="170">
        <v>45562</v>
      </c>
      <c r="M2417" s="116">
        <v>4200.2</v>
      </c>
      <c r="N2417" s="116">
        <v>4254.95</v>
      </c>
      <c r="O2417" s="116">
        <v>4190</v>
      </c>
      <c r="P2417" s="116">
        <v>4228.8</v>
      </c>
      <c r="Q2417" s="116">
        <v>4200.2</v>
      </c>
      <c r="R2417">
        <v>332059</v>
      </c>
    </row>
    <row r="2418" spans="1:18" x14ac:dyDescent="0.25">
      <c r="A2418" s="170">
        <v>45565</v>
      </c>
      <c r="B2418" s="116">
        <v>4305</v>
      </c>
      <c r="C2418" s="116">
        <v>4296.7</v>
      </c>
      <c r="D2418" s="116">
        <v>4150</v>
      </c>
      <c r="E2418" s="116">
        <v>4200</v>
      </c>
      <c r="F2418" s="116">
        <v>4296.7</v>
      </c>
      <c r="G2418">
        <v>20704</v>
      </c>
      <c r="H2418" s="116"/>
      <c r="I2418" s="116"/>
      <c r="L2418" s="170">
        <v>45565</v>
      </c>
      <c r="M2418" s="116">
        <v>4297.3</v>
      </c>
      <c r="N2418" s="116">
        <v>4309.95</v>
      </c>
      <c r="O2418" s="116">
        <v>4143.6499999999996</v>
      </c>
      <c r="P2418" s="116">
        <v>4143.6499999999996</v>
      </c>
      <c r="Q2418" s="116">
        <v>4297.3</v>
      </c>
      <c r="R2418">
        <v>332491</v>
      </c>
    </row>
    <row r="2419" spans="1:18" x14ac:dyDescent="0.25">
      <c r="A2419" s="170">
        <v>45566</v>
      </c>
      <c r="B2419" s="116">
        <v>4342.8</v>
      </c>
      <c r="C2419" s="116">
        <v>4315.2</v>
      </c>
      <c r="D2419" s="116">
        <v>4209.7</v>
      </c>
      <c r="E2419" s="116">
        <v>4342.8</v>
      </c>
      <c r="F2419" s="116">
        <v>4315.2</v>
      </c>
      <c r="G2419">
        <v>21446</v>
      </c>
      <c r="H2419" s="116"/>
      <c r="I2419" s="116"/>
      <c r="L2419" s="170">
        <v>45566</v>
      </c>
      <c r="M2419" s="116">
        <v>4317.05</v>
      </c>
      <c r="N2419" s="116">
        <v>4325</v>
      </c>
      <c r="O2419" s="116">
        <v>4202</v>
      </c>
      <c r="P2419" s="116">
        <v>4290</v>
      </c>
      <c r="Q2419" s="116">
        <v>4317.05</v>
      </c>
      <c r="R2419">
        <v>168408</v>
      </c>
    </row>
    <row r="2420" spans="1:18" x14ac:dyDescent="0.25">
      <c r="A2420" s="170">
        <v>45568</v>
      </c>
      <c r="B2420" s="116">
        <v>4322.8500000000004</v>
      </c>
      <c r="C2420" s="116">
        <v>4269.8999999999996</v>
      </c>
      <c r="D2420" s="116">
        <v>4224.2</v>
      </c>
      <c r="E2420" s="116">
        <v>4229.95</v>
      </c>
      <c r="F2420" s="116">
        <v>4269.8999999999996</v>
      </c>
      <c r="G2420">
        <v>3502</v>
      </c>
      <c r="H2420" s="116"/>
      <c r="I2420" s="116"/>
      <c r="L2420" s="170">
        <v>45568</v>
      </c>
      <c r="M2420" s="116">
        <v>4268.8999999999996</v>
      </c>
      <c r="N2420" s="116">
        <v>4320</v>
      </c>
      <c r="O2420" s="116">
        <v>4218</v>
      </c>
      <c r="P2420" s="116">
        <v>4248</v>
      </c>
      <c r="Q2420" s="116">
        <v>4268.8999999999996</v>
      </c>
      <c r="R2420">
        <v>232658</v>
      </c>
    </row>
    <row r="2421" spans="1:18" x14ac:dyDescent="0.25">
      <c r="A2421" s="170">
        <v>45569</v>
      </c>
      <c r="B2421" s="116">
        <v>4320</v>
      </c>
      <c r="C2421" s="116">
        <v>4282.3</v>
      </c>
      <c r="D2421" s="116">
        <v>4154</v>
      </c>
      <c r="E2421" s="116">
        <v>4317.45</v>
      </c>
      <c r="F2421" s="116">
        <v>4282.3</v>
      </c>
      <c r="G2421">
        <v>12700</v>
      </c>
      <c r="H2421" s="116"/>
      <c r="I2421" s="116"/>
      <c r="L2421" s="170">
        <v>45569</v>
      </c>
      <c r="M2421" s="116">
        <v>4285.3999999999996</v>
      </c>
      <c r="N2421" s="116">
        <v>4320</v>
      </c>
      <c r="O2421" s="116">
        <v>4153.95</v>
      </c>
      <c r="P2421" s="116">
        <v>4270</v>
      </c>
      <c r="Q2421" s="116">
        <v>4285.3999999999996</v>
      </c>
      <c r="R2421">
        <v>260212</v>
      </c>
    </row>
    <row r="2422" spans="1:18" x14ac:dyDescent="0.25">
      <c r="A2422" s="170">
        <v>45572</v>
      </c>
      <c r="B2422" s="116">
        <v>4291.3999999999996</v>
      </c>
      <c r="C2422" s="116">
        <v>4110.7</v>
      </c>
      <c r="D2422" s="116">
        <v>4060</v>
      </c>
      <c r="E2422" s="116">
        <v>4215</v>
      </c>
      <c r="F2422" s="116">
        <v>4110.7</v>
      </c>
      <c r="G2422">
        <v>6274</v>
      </c>
      <c r="H2422" s="116"/>
      <c r="I2422" s="116"/>
      <c r="L2422" s="170">
        <v>45572</v>
      </c>
      <c r="M2422" s="116">
        <v>4107.8999999999996</v>
      </c>
      <c r="N2422" s="116">
        <v>4288.8999999999996</v>
      </c>
      <c r="O2422" s="116">
        <v>4053.55</v>
      </c>
      <c r="P2422" s="116">
        <v>4260</v>
      </c>
      <c r="Q2422" s="116">
        <v>4107.8999999999996</v>
      </c>
      <c r="R2422">
        <v>238565</v>
      </c>
    </row>
    <row r="2423" spans="1:18" x14ac:dyDescent="0.25">
      <c r="A2423" s="170">
        <v>45573</v>
      </c>
      <c r="B2423" s="116">
        <v>4214</v>
      </c>
      <c r="C2423" s="116">
        <v>4205.05</v>
      </c>
      <c r="D2423" s="116">
        <v>4018.5</v>
      </c>
      <c r="E2423" s="116">
        <v>4050.7</v>
      </c>
      <c r="F2423" s="116">
        <v>4205.05</v>
      </c>
      <c r="G2423">
        <v>11021</v>
      </c>
      <c r="H2423" s="116"/>
      <c r="I2423" s="116"/>
      <c r="L2423" s="170">
        <v>45573</v>
      </c>
      <c r="M2423" s="116">
        <v>4201.75</v>
      </c>
      <c r="N2423" s="116">
        <v>4218.1000000000004</v>
      </c>
      <c r="O2423" s="116">
        <v>4022.55</v>
      </c>
      <c r="P2423" s="116">
        <v>4052.15</v>
      </c>
      <c r="Q2423" s="116">
        <v>4201.75</v>
      </c>
      <c r="R2423">
        <v>507625</v>
      </c>
    </row>
    <row r="2424" spans="1:18" x14ac:dyDescent="0.25">
      <c r="A2424" s="170">
        <v>45574</v>
      </c>
      <c r="B2424" s="116">
        <v>4410</v>
      </c>
      <c r="C2424" s="116">
        <v>4394.3500000000004</v>
      </c>
      <c r="D2424" s="116">
        <v>4177.2</v>
      </c>
      <c r="E2424" s="116">
        <v>4249.95</v>
      </c>
      <c r="F2424" s="116">
        <v>4394.3500000000004</v>
      </c>
      <c r="G2424">
        <v>23442</v>
      </c>
      <c r="H2424" s="116"/>
      <c r="I2424" s="116"/>
      <c r="L2424" s="170">
        <v>45574</v>
      </c>
      <c r="M2424" s="116">
        <v>4394.95</v>
      </c>
      <c r="N2424" s="116">
        <v>4411.45</v>
      </c>
      <c r="O2424" s="116">
        <v>4175.8</v>
      </c>
      <c r="P2424" s="116">
        <v>4240</v>
      </c>
      <c r="Q2424" s="116">
        <v>4394.95</v>
      </c>
      <c r="R2424">
        <v>290728</v>
      </c>
    </row>
    <row r="2425" spans="1:18" x14ac:dyDescent="0.25">
      <c r="A2425" s="170">
        <v>45575</v>
      </c>
      <c r="B2425" s="116">
        <v>4555</v>
      </c>
      <c r="C2425" s="116">
        <v>4526.8999999999996</v>
      </c>
      <c r="D2425" s="116">
        <v>4363.55</v>
      </c>
      <c r="E2425" s="116">
        <v>4424.95</v>
      </c>
      <c r="F2425" s="116">
        <v>4526.8999999999996</v>
      </c>
      <c r="G2425">
        <v>8965</v>
      </c>
      <c r="H2425" s="116"/>
      <c r="I2425" s="116"/>
      <c r="L2425" s="170">
        <v>45575</v>
      </c>
      <c r="M2425" s="116">
        <v>4528.8</v>
      </c>
      <c r="N2425" s="116">
        <v>4553</v>
      </c>
      <c r="O2425" s="116">
        <v>4375.05</v>
      </c>
      <c r="P2425" s="116">
        <v>4405.8500000000004</v>
      </c>
      <c r="Q2425" s="116">
        <v>4528.8</v>
      </c>
      <c r="R2425">
        <v>312943</v>
      </c>
    </row>
    <row r="2426" spans="1:18" x14ac:dyDescent="0.25">
      <c r="A2426" s="170">
        <v>45576</v>
      </c>
      <c r="B2426" s="116">
        <v>4604.3</v>
      </c>
      <c r="C2426" s="116">
        <v>4577.55</v>
      </c>
      <c r="D2426" s="116">
        <v>4474.6000000000004</v>
      </c>
      <c r="E2426" s="116">
        <v>4597.8999999999996</v>
      </c>
      <c r="F2426" s="116">
        <v>4577.55</v>
      </c>
      <c r="G2426">
        <v>3665</v>
      </c>
      <c r="H2426" s="116"/>
      <c r="I2426" s="116"/>
      <c r="L2426" s="170">
        <v>45576</v>
      </c>
      <c r="M2426" s="116">
        <v>4575.95</v>
      </c>
      <c r="N2426" s="116">
        <v>4606</v>
      </c>
      <c r="O2426" s="116">
        <v>4468.3</v>
      </c>
      <c r="P2426" s="116">
        <v>4563.75</v>
      </c>
      <c r="Q2426" s="116">
        <v>4575.95</v>
      </c>
      <c r="R2426">
        <v>179913</v>
      </c>
    </row>
    <row r="2427" spans="1:18" x14ac:dyDescent="0.25">
      <c r="A2427" s="170">
        <v>45579</v>
      </c>
      <c r="B2427" s="116">
        <v>4616.2</v>
      </c>
      <c r="C2427" s="116">
        <v>4575</v>
      </c>
      <c r="D2427" s="116">
        <v>4539.75</v>
      </c>
      <c r="E2427" s="116">
        <v>4590.05</v>
      </c>
      <c r="F2427" s="116">
        <v>4575</v>
      </c>
      <c r="G2427">
        <v>9150</v>
      </c>
      <c r="H2427" s="116"/>
      <c r="I2427" s="116"/>
      <c r="L2427" s="170">
        <v>45579</v>
      </c>
      <c r="M2427" s="116">
        <v>4579.3500000000004</v>
      </c>
      <c r="N2427" s="116">
        <v>4619.8999999999996</v>
      </c>
      <c r="O2427" s="116">
        <v>4541.95</v>
      </c>
      <c r="P2427" s="116">
        <v>4600.95</v>
      </c>
      <c r="Q2427" s="116">
        <v>4579.3500000000004</v>
      </c>
      <c r="R2427">
        <v>123056</v>
      </c>
    </row>
    <row r="2428" spans="1:18" x14ac:dyDescent="0.25">
      <c r="A2428" s="170">
        <v>45580</v>
      </c>
      <c r="B2428" s="116">
        <v>4724.25</v>
      </c>
      <c r="C2428" s="116">
        <v>4686.8999999999996</v>
      </c>
      <c r="D2428" s="116">
        <v>4556.45</v>
      </c>
      <c r="E2428" s="116">
        <v>4599.8999999999996</v>
      </c>
      <c r="F2428" s="116">
        <v>4686.8999999999996</v>
      </c>
      <c r="G2428">
        <v>11183</v>
      </c>
      <c r="H2428" s="116"/>
      <c r="I2428" s="116"/>
      <c r="L2428" s="170">
        <v>45580</v>
      </c>
      <c r="M2428" s="116">
        <v>4690.6499999999996</v>
      </c>
      <c r="N2428" s="116">
        <v>4725</v>
      </c>
      <c r="O2428" s="116">
        <v>4551.1499999999996</v>
      </c>
      <c r="P2428" s="116">
        <v>4579.55</v>
      </c>
      <c r="Q2428" s="116">
        <v>4690.6499999999996</v>
      </c>
      <c r="R2428">
        <v>420269</v>
      </c>
    </row>
    <row r="2429" spans="1:18" x14ac:dyDescent="0.25">
      <c r="A2429" s="170">
        <v>45581</v>
      </c>
      <c r="B2429" s="116">
        <v>4599.95</v>
      </c>
      <c r="C2429" s="116">
        <v>4381.3999999999996</v>
      </c>
      <c r="D2429" s="116">
        <v>4148.55</v>
      </c>
      <c r="E2429" s="116">
        <v>4599.95</v>
      </c>
      <c r="F2429" s="116">
        <v>4381.3999999999996</v>
      </c>
      <c r="G2429">
        <v>62980</v>
      </c>
      <c r="H2429" s="116"/>
      <c r="I2429" s="116"/>
      <c r="L2429" s="170">
        <v>45581</v>
      </c>
      <c r="M2429" s="116">
        <v>4384.8</v>
      </c>
      <c r="N2429" s="116">
        <v>4590</v>
      </c>
      <c r="O2429" s="116">
        <v>4151.3999999999996</v>
      </c>
      <c r="P2429" s="116">
        <v>4589.95</v>
      </c>
      <c r="Q2429" s="116">
        <v>4384.8</v>
      </c>
      <c r="R2429">
        <v>2539999</v>
      </c>
    </row>
    <row r="2430" spans="1:18" x14ac:dyDescent="0.25">
      <c r="A2430" s="170">
        <v>45582</v>
      </c>
      <c r="B2430" s="116">
        <v>4424.95</v>
      </c>
      <c r="C2430" s="116">
        <v>4143.75</v>
      </c>
      <c r="D2430" s="116">
        <v>4116.1000000000004</v>
      </c>
      <c r="E2430" s="116">
        <v>4401.1499999999996</v>
      </c>
      <c r="F2430" s="116">
        <v>4143.75</v>
      </c>
      <c r="G2430">
        <v>36959</v>
      </c>
      <c r="H2430" s="116"/>
      <c r="I2430" s="116"/>
      <c r="L2430" s="170">
        <v>45582</v>
      </c>
      <c r="M2430" s="116">
        <v>4144.55</v>
      </c>
      <c r="N2430" s="116">
        <v>4420</v>
      </c>
      <c r="O2430" s="116">
        <v>4115</v>
      </c>
      <c r="P2430" s="116">
        <v>4419.95</v>
      </c>
      <c r="Q2430" s="116">
        <v>4144.55</v>
      </c>
      <c r="R2430">
        <v>1366014</v>
      </c>
    </row>
    <row r="2431" spans="1:18" x14ac:dyDescent="0.25">
      <c r="A2431" s="170">
        <v>45583</v>
      </c>
      <c r="B2431" s="116">
        <v>4183.3</v>
      </c>
      <c r="C2431" s="116">
        <v>4060.15</v>
      </c>
      <c r="D2431" s="116">
        <v>3981.1</v>
      </c>
      <c r="E2431" s="116">
        <v>4141</v>
      </c>
      <c r="F2431" s="116">
        <v>4060.15</v>
      </c>
      <c r="G2431">
        <v>16925</v>
      </c>
      <c r="H2431" s="116"/>
      <c r="I2431" s="116"/>
      <c r="L2431" s="170">
        <v>45583</v>
      </c>
      <c r="M2431" s="116">
        <v>4057.55</v>
      </c>
      <c r="N2431" s="116">
        <v>4185</v>
      </c>
      <c r="O2431" s="116">
        <v>3980.05</v>
      </c>
      <c r="P2431" s="116">
        <v>4111.5</v>
      </c>
      <c r="Q2431" s="116">
        <v>4057.55</v>
      </c>
      <c r="R2431">
        <v>836796</v>
      </c>
    </row>
    <row r="2432" spans="1:18" x14ac:dyDescent="0.25">
      <c r="A2432" s="170">
        <v>45586</v>
      </c>
      <c r="B2432" s="116">
        <v>4116.45</v>
      </c>
      <c r="C2432" s="116">
        <v>4061.15</v>
      </c>
      <c r="D2432" s="116">
        <v>4044.5</v>
      </c>
      <c r="E2432" s="116">
        <v>4070.05</v>
      </c>
      <c r="F2432" s="116">
        <v>4061.15</v>
      </c>
      <c r="G2432">
        <v>19177</v>
      </c>
      <c r="H2432" s="116"/>
      <c r="I2432" s="116"/>
      <c r="L2432" s="170">
        <v>45586</v>
      </c>
      <c r="M2432" s="116">
        <v>4059.65</v>
      </c>
      <c r="N2432" s="116">
        <v>4115</v>
      </c>
      <c r="O2432" s="116">
        <v>4041.05</v>
      </c>
      <c r="P2432" s="116">
        <v>4095.15</v>
      </c>
      <c r="Q2432" s="116">
        <v>4059.65</v>
      </c>
      <c r="R2432">
        <v>306633</v>
      </c>
    </row>
    <row r="2433" spans="1:18" x14ac:dyDescent="0.25">
      <c r="A2433" s="170">
        <v>45587</v>
      </c>
      <c r="B2433" s="116">
        <v>4083.15</v>
      </c>
      <c r="C2433" s="116">
        <v>4003.65</v>
      </c>
      <c r="D2433" s="116">
        <v>4000</v>
      </c>
      <c r="E2433" s="116">
        <v>4021.05</v>
      </c>
      <c r="F2433" s="116">
        <v>4003.65</v>
      </c>
      <c r="G2433">
        <v>30510</v>
      </c>
      <c r="H2433" s="116"/>
      <c r="I2433" s="116"/>
      <c r="L2433" s="170">
        <v>45587</v>
      </c>
      <c r="M2433" s="116">
        <v>4002.4</v>
      </c>
      <c r="N2433" s="116">
        <v>4088</v>
      </c>
      <c r="O2433" s="116">
        <v>4000</v>
      </c>
      <c r="P2433" s="116">
        <v>4062.45</v>
      </c>
      <c r="Q2433" s="116">
        <v>4002.4</v>
      </c>
      <c r="R2433">
        <v>364073</v>
      </c>
    </row>
    <row r="2434" spans="1:18" x14ac:dyDescent="0.25">
      <c r="A2434" s="170">
        <v>45588</v>
      </c>
      <c r="B2434" s="116">
        <v>4139.25</v>
      </c>
      <c r="C2434" s="116">
        <v>4051.3</v>
      </c>
      <c r="D2434" s="116">
        <v>3921.3</v>
      </c>
      <c r="E2434" s="116">
        <v>4000</v>
      </c>
      <c r="F2434" s="116">
        <v>4051.3</v>
      </c>
      <c r="G2434">
        <v>20153</v>
      </c>
      <c r="H2434" s="116"/>
      <c r="I2434" s="116"/>
      <c r="L2434" s="170">
        <v>45588</v>
      </c>
      <c r="M2434" s="116">
        <v>4051.55</v>
      </c>
      <c r="N2434" s="116">
        <v>4139.7</v>
      </c>
      <c r="O2434" s="116">
        <v>3926.55</v>
      </c>
      <c r="P2434" s="116">
        <v>4000</v>
      </c>
      <c r="Q2434" s="116">
        <v>4051.55</v>
      </c>
      <c r="R2434">
        <v>359027</v>
      </c>
    </row>
    <row r="2435" spans="1:18" x14ac:dyDescent="0.25">
      <c r="A2435" s="170">
        <v>45589</v>
      </c>
      <c r="B2435" s="116">
        <v>4096.45</v>
      </c>
      <c r="C2435" s="116">
        <v>3960.75</v>
      </c>
      <c r="D2435" s="116">
        <v>3955</v>
      </c>
      <c r="E2435" s="116">
        <v>4051.35</v>
      </c>
      <c r="F2435" s="116">
        <v>3960.75</v>
      </c>
      <c r="G2435">
        <v>9374</v>
      </c>
      <c r="H2435" s="116"/>
      <c r="I2435" s="116"/>
      <c r="L2435" s="170">
        <v>45589</v>
      </c>
      <c r="M2435" s="116">
        <v>3961.65</v>
      </c>
      <c r="N2435" s="116">
        <v>4098.95</v>
      </c>
      <c r="O2435" s="116">
        <v>3953.15</v>
      </c>
      <c r="P2435" s="116">
        <v>4089</v>
      </c>
      <c r="Q2435" s="116">
        <v>3961.65</v>
      </c>
      <c r="R2435">
        <v>250850</v>
      </c>
    </row>
    <row r="2436" spans="1:18" x14ac:dyDescent="0.25">
      <c r="A2436" s="170">
        <v>45590</v>
      </c>
      <c r="B2436" s="116">
        <v>3999.3</v>
      </c>
      <c r="C2436" s="116">
        <v>3858.25</v>
      </c>
      <c r="D2436" s="116">
        <v>3805.05</v>
      </c>
      <c r="E2436" s="116">
        <v>3999.3</v>
      </c>
      <c r="F2436" s="116">
        <v>3858.25</v>
      </c>
      <c r="G2436">
        <v>9143</v>
      </c>
      <c r="H2436" s="116"/>
      <c r="I2436" s="116"/>
      <c r="L2436" s="170">
        <v>45590</v>
      </c>
      <c r="M2436" s="116">
        <v>3851.25</v>
      </c>
      <c r="N2436" s="116">
        <v>4004.95</v>
      </c>
      <c r="O2436" s="116">
        <v>3803.05</v>
      </c>
      <c r="P2436" s="116">
        <v>3999.3</v>
      </c>
      <c r="Q2436" s="116">
        <v>3851.25</v>
      </c>
      <c r="R2436">
        <v>291453</v>
      </c>
    </row>
    <row r="2437" spans="1:18" x14ac:dyDescent="0.25">
      <c r="A2437" s="170">
        <v>45593</v>
      </c>
      <c r="B2437" s="116">
        <v>3982</v>
      </c>
      <c r="C2437" s="116">
        <v>3840.65</v>
      </c>
      <c r="D2437" s="116">
        <v>3820.05</v>
      </c>
      <c r="E2437" s="116">
        <v>3820.05</v>
      </c>
      <c r="F2437" s="116">
        <v>3840.65</v>
      </c>
      <c r="G2437">
        <v>11757</v>
      </c>
      <c r="H2437" s="116"/>
      <c r="I2437" s="116"/>
      <c r="L2437" s="170">
        <v>45593</v>
      </c>
      <c r="M2437" s="116">
        <v>3840.55</v>
      </c>
      <c r="N2437" s="116">
        <v>3981.35</v>
      </c>
      <c r="O2437" s="116">
        <v>3823.5</v>
      </c>
      <c r="P2437" s="116">
        <v>3851.25</v>
      </c>
      <c r="Q2437" s="116">
        <v>3840.55</v>
      </c>
      <c r="R2437">
        <v>202516</v>
      </c>
    </row>
    <row r="2438" spans="1:18" x14ac:dyDescent="0.25">
      <c r="A2438" s="170">
        <v>45594</v>
      </c>
      <c r="B2438" s="116">
        <v>3850</v>
      </c>
      <c r="C2438" s="116">
        <v>3795.8</v>
      </c>
      <c r="D2438" s="116">
        <v>3725</v>
      </c>
      <c r="E2438" s="116">
        <v>3850</v>
      </c>
      <c r="F2438" s="116">
        <v>3795.8</v>
      </c>
      <c r="G2438">
        <v>15872</v>
      </c>
      <c r="H2438" s="116"/>
      <c r="I2438" s="116"/>
      <c r="L2438" s="170">
        <v>45594</v>
      </c>
      <c r="M2438" s="116">
        <v>3792.4</v>
      </c>
      <c r="N2438" s="116">
        <v>3851.8</v>
      </c>
      <c r="O2438" s="116">
        <v>3722.1</v>
      </c>
      <c r="P2438" s="116">
        <v>3850</v>
      </c>
      <c r="Q2438" s="116">
        <v>3792.4</v>
      </c>
      <c r="R2438">
        <v>295822</v>
      </c>
    </row>
    <row r="2439" spans="1:18" x14ac:dyDescent="0.25">
      <c r="A2439" s="170">
        <v>45595</v>
      </c>
      <c r="B2439" s="116">
        <v>3891.3</v>
      </c>
      <c r="C2439" s="116">
        <v>3870.7</v>
      </c>
      <c r="D2439" s="116">
        <v>3756.3</v>
      </c>
      <c r="E2439" s="116">
        <v>3796.1</v>
      </c>
      <c r="F2439" s="116">
        <v>3870.7</v>
      </c>
      <c r="G2439">
        <v>19004</v>
      </c>
      <c r="H2439" s="116"/>
      <c r="I2439" s="116"/>
      <c r="L2439" s="170">
        <v>45595</v>
      </c>
      <c r="M2439" s="116">
        <v>3866.05</v>
      </c>
      <c r="N2439" s="116">
        <v>3890</v>
      </c>
      <c r="O2439" s="116">
        <v>3757</v>
      </c>
      <c r="P2439" s="116">
        <v>3800</v>
      </c>
      <c r="Q2439" s="116">
        <v>3866.05</v>
      </c>
      <c r="R2439">
        <v>357476</v>
      </c>
    </row>
    <row r="2440" spans="1:18" x14ac:dyDescent="0.25">
      <c r="A2440" s="170">
        <v>45596</v>
      </c>
      <c r="B2440" s="116">
        <v>4080</v>
      </c>
      <c r="C2440" s="116">
        <v>4054.2</v>
      </c>
      <c r="D2440" s="116">
        <v>3864.9</v>
      </c>
      <c r="E2440" s="116">
        <v>3909.55</v>
      </c>
      <c r="F2440" s="116">
        <v>4054.2</v>
      </c>
      <c r="G2440">
        <v>20421</v>
      </c>
      <c r="H2440" s="116"/>
      <c r="I2440" s="116"/>
      <c r="L2440" s="170">
        <v>45596</v>
      </c>
      <c r="M2440" s="116">
        <v>4051.75</v>
      </c>
      <c r="N2440" s="116">
        <v>4082.4</v>
      </c>
      <c r="O2440" s="116">
        <v>3850</v>
      </c>
      <c r="P2440" s="116">
        <v>3860</v>
      </c>
      <c r="Q2440" s="116">
        <v>4051.75</v>
      </c>
      <c r="R2440">
        <v>478520</v>
      </c>
    </row>
    <row r="2441" spans="1:18" x14ac:dyDescent="0.25">
      <c r="A2441" s="170">
        <v>45597</v>
      </c>
      <c r="B2441" s="116">
        <v>4132.8</v>
      </c>
      <c r="C2441" s="116">
        <v>4057.65</v>
      </c>
      <c r="D2441" s="116">
        <v>4025</v>
      </c>
      <c r="E2441" s="116">
        <v>4132.8</v>
      </c>
      <c r="F2441" s="116">
        <v>4057.65</v>
      </c>
      <c r="G2441">
        <v>4016</v>
      </c>
      <c r="H2441" s="116"/>
      <c r="I2441" s="116"/>
      <c r="L2441" s="170">
        <v>45597</v>
      </c>
      <c r="M2441" s="116">
        <v>4055.15</v>
      </c>
      <c r="N2441" s="116">
        <v>4097.95</v>
      </c>
      <c r="O2441" s="116">
        <v>4010</v>
      </c>
      <c r="P2441" s="116">
        <v>4090</v>
      </c>
      <c r="Q2441" s="116">
        <v>4055.15</v>
      </c>
      <c r="R2441">
        <v>15397</v>
      </c>
    </row>
    <row r="2442" spans="1:18" x14ac:dyDescent="0.25">
      <c r="A2442" s="170">
        <v>45600</v>
      </c>
      <c r="B2442" s="116">
        <v>4065</v>
      </c>
      <c r="C2442" s="116">
        <v>4053.45</v>
      </c>
      <c r="D2442" s="116">
        <v>3930.35</v>
      </c>
      <c r="E2442" s="116">
        <v>4022.05</v>
      </c>
      <c r="F2442" s="116">
        <v>4053.45</v>
      </c>
      <c r="G2442">
        <v>17106</v>
      </c>
      <c r="H2442" s="116"/>
      <c r="I2442" s="116"/>
      <c r="L2442" s="170">
        <v>45600</v>
      </c>
      <c r="M2442" s="116">
        <v>4056.35</v>
      </c>
      <c r="N2442" s="116">
        <v>4069.35</v>
      </c>
      <c r="O2442" s="116">
        <v>3932.6</v>
      </c>
      <c r="P2442" s="116">
        <v>4000.05</v>
      </c>
      <c r="Q2442" s="116">
        <v>4056.35</v>
      </c>
      <c r="R2442">
        <v>267953</v>
      </c>
    </row>
    <row r="2443" spans="1:18" x14ac:dyDescent="0.25">
      <c r="A2443" s="170">
        <v>45601</v>
      </c>
      <c r="B2443" s="116">
        <v>4071.45</v>
      </c>
      <c r="C2443" s="116">
        <v>3960.9</v>
      </c>
      <c r="D2443" s="116">
        <v>3885</v>
      </c>
      <c r="E2443" s="116">
        <v>4025</v>
      </c>
      <c r="F2443" s="116">
        <v>3960.9</v>
      </c>
      <c r="G2443">
        <v>8793</v>
      </c>
      <c r="H2443" s="116"/>
      <c r="I2443" s="116"/>
      <c r="L2443" s="170">
        <v>45601</v>
      </c>
      <c r="M2443" s="116">
        <v>3975.15</v>
      </c>
      <c r="N2443" s="116">
        <v>4074.3</v>
      </c>
      <c r="O2443" s="116">
        <v>3885</v>
      </c>
      <c r="P2443" s="116">
        <v>3999.5</v>
      </c>
      <c r="Q2443" s="116">
        <v>3975.15</v>
      </c>
      <c r="R2443">
        <v>333134</v>
      </c>
    </row>
    <row r="2444" spans="1:18" x14ac:dyDescent="0.25">
      <c r="A2444" s="170">
        <v>45602</v>
      </c>
      <c r="B2444" s="116">
        <v>3990.35</v>
      </c>
      <c r="C2444" s="116">
        <v>3968.3</v>
      </c>
      <c r="D2444" s="116">
        <v>3920</v>
      </c>
      <c r="E2444" s="116">
        <v>3960.95</v>
      </c>
      <c r="F2444" s="116">
        <v>3968.3</v>
      </c>
      <c r="G2444">
        <v>9442</v>
      </c>
      <c r="H2444" s="116"/>
      <c r="I2444" s="116"/>
      <c r="L2444" s="170">
        <v>45602</v>
      </c>
      <c r="M2444" s="116">
        <v>3965.4</v>
      </c>
      <c r="N2444" s="116">
        <v>3989</v>
      </c>
      <c r="O2444" s="116">
        <v>3919</v>
      </c>
      <c r="P2444" s="116">
        <v>3980</v>
      </c>
      <c r="Q2444" s="116">
        <v>3965.4</v>
      </c>
      <c r="R2444">
        <v>349292</v>
      </c>
    </row>
    <row r="2445" spans="1:18" x14ac:dyDescent="0.25">
      <c r="A2445" s="170">
        <v>45603</v>
      </c>
      <c r="B2445" s="116">
        <v>4075.15</v>
      </c>
      <c r="C2445" s="116">
        <v>4010.8</v>
      </c>
      <c r="D2445" s="116">
        <v>3988.1</v>
      </c>
      <c r="E2445" s="116">
        <v>4039.95</v>
      </c>
      <c r="F2445" s="116">
        <v>4010.8</v>
      </c>
      <c r="G2445">
        <v>17108</v>
      </c>
      <c r="H2445" s="116"/>
      <c r="I2445" s="116"/>
      <c r="L2445" s="170">
        <v>45603</v>
      </c>
      <c r="M2445" s="116">
        <v>4012.6</v>
      </c>
      <c r="N2445" s="116">
        <v>4076</v>
      </c>
      <c r="O2445" s="116">
        <v>3989.15</v>
      </c>
      <c r="P2445" s="116">
        <v>4005.95</v>
      </c>
      <c r="Q2445" s="116">
        <v>4012.6</v>
      </c>
      <c r="R2445">
        <v>402938</v>
      </c>
    </row>
    <row r="2446" spans="1:18" x14ac:dyDescent="0.25">
      <c r="A2446" s="170">
        <v>45604</v>
      </c>
      <c r="B2446" s="116">
        <v>4046.35</v>
      </c>
      <c r="C2446" s="116">
        <v>3985.65</v>
      </c>
      <c r="D2446" s="116">
        <v>3952</v>
      </c>
      <c r="E2446" s="116">
        <v>3952</v>
      </c>
      <c r="F2446" s="116">
        <v>3985.65</v>
      </c>
      <c r="G2446">
        <v>3938</v>
      </c>
      <c r="H2446" s="116"/>
      <c r="I2446" s="116"/>
      <c r="L2446" s="170">
        <v>45604</v>
      </c>
      <c r="M2446" s="116">
        <v>3987.6</v>
      </c>
      <c r="N2446" s="116">
        <v>4049.95</v>
      </c>
      <c r="O2446" s="116">
        <v>3960</v>
      </c>
      <c r="P2446" s="116">
        <v>4025</v>
      </c>
      <c r="Q2446" s="116">
        <v>3987.6</v>
      </c>
      <c r="R2446">
        <v>113058</v>
      </c>
    </row>
    <row r="2447" spans="1:18" x14ac:dyDescent="0.25">
      <c r="A2447" s="170">
        <v>45607</v>
      </c>
      <c r="B2447" s="116">
        <v>4015.3</v>
      </c>
      <c r="C2447" s="116">
        <v>3989.5</v>
      </c>
      <c r="D2447" s="116">
        <v>3913.15</v>
      </c>
      <c r="E2447" s="116">
        <v>3986.7</v>
      </c>
      <c r="F2447" s="116">
        <v>3989.5</v>
      </c>
      <c r="G2447">
        <v>4099</v>
      </c>
      <c r="H2447" s="116"/>
      <c r="I2447" s="116"/>
      <c r="L2447" s="170">
        <v>45607</v>
      </c>
      <c r="M2447" s="116">
        <v>3990.15</v>
      </c>
      <c r="N2447" s="116">
        <v>4016</v>
      </c>
      <c r="O2447" s="116">
        <v>3912.3</v>
      </c>
      <c r="P2447" s="116">
        <v>3980</v>
      </c>
      <c r="Q2447" s="116">
        <v>3990.15</v>
      </c>
      <c r="R2447">
        <v>255016</v>
      </c>
    </row>
    <row r="2448" spans="1:18" x14ac:dyDescent="0.25">
      <c r="A2448" s="170">
        <v>45608</v>
      </c>
      <c r="B2448" s="116">
        <v>4030.5</v>
      </c>
      <c r="C2448" s="116">
        <v>3993.15</v>
      </c>
      <c r="D2448" s="116">
        <v>3962</v>
      </c>
      <c r="E2448" s="116">
        <v>4024</v>
      </c>
      <c r="F2448" s="116">
        <v>3993.15</v>
      </c>
      <c r="G2448">
        <v>3333</v>
      </c>
      <c r="H2448" s="116"/>
      <c r="I2448" s="116"/>
      <c r="L2448" s="170">
        <v>45608</v>
      </c>
      <c r="M2448" s="116">
        <v>3998.4</v>
      </c>
      <c r="N2448" s="116">
        <v>4034.05</v>
      </c>
      <c r="O2448" s="116">
        <v>3960</v>
      </c>
      <c r="P2448" s="116">
        <v>4006</v>
      </c>
      <c r="Q2448" s="116">
        <v>3998.4</v>
      </c>
      <c r="R2448">
        <v>146246</v>
      </c>
    </row>
    <row r="2449" spans="1:18" x14ac:dyDescent="0.25">
      <c r="A2449" s="170">
        <v>45609</v>
      </c>
      <c r="B2449" s="116">
        <v>3953.2</v>
      </c>
      <c r="C2449" s="116">
        <v>3891.5</v>
      </c>
      <c r="D2449" s="116">
        <v>3858</v>
      </c>
      <c r="E2449" s="116">
        <v>3904.05</v>
      </c>
      <c r="F2449" s="116">
        <v>3891.5</v>
      </c>
      <c r="G2449">
        <v>9151</v>
      </c>
      <c r="H2449" s="116"/>
      <c r="I2449" s="116"/>
      <c r="L2449" s="170">
        <v>45609</v>
      </c>
      <c r="M2449" s="116">
        <v>3889.95</v>
      </c>
      <c r="N2449" s="116">
        <v>3959.05</v>
      </c>
      <c r="O2449" s="116">
        <v>3856</v>
      </c>
      <c r="P2449" s="116">
        <v>3940</v>
      </c>
      <c r="Q2449" s="116">
        <v>3889.95</v>
      </c>
      <c r="R2449">
        <v>203014</v>
      </c>
    </row>
    <row r="2450" spans="1:18" x14ac:dyDescent="0.25">
      <c r="A2450" s="170">
        <v>45610</v>
      </c>
      <c r="B2450" s="116">
        <v>3949.5</v>
      </c>
      <c r="C2450" s="116">
        <v>3811.45</v>
      </c>
      <c r="D2450" s="116">
        <v>3780.05</v>
      </c>
      <c r="E2450" s="116">
        <v>3949.5</v>
      </c>
      <c r="F2450" s="116">
        <v>3811.45</v>
      </c>
      <c r="G2450">
        <v>11141</v>
      </c>
      <c r="H2450" s="116"/>
      <c r="I2450" s="116"/>
      <c r="L2450" s="170">
        <v>45610</v>
      </c>
      <c r="M2450" s="116">
        <v>3811.95</v>
      </c>
      <c r="N2450" s="116">
        <v>3909.45</v>
      </c>
      <c r="O2450" s="116">
        <v>3780</v>
      </c>
      <c r="P2450" s="116">
        <v>3889.95</v>
      </c>
      <c r="Q2450" s="116">
        <v>3811.95</v>
      </c>
      <c r="R2450">
        <v>156409</v>
      </c>
    </row>
    <row r="2451" spans="1:18" x14ac:dyDescent="0.25">
      <c r="A2451" s="170">
        <v>45614</v>
      </c>
      <c r="B2451" s="116">
        <v>3915.6</v>
      </c>
      <c r="C2451" s="116">
        <v>3718.15</v>
      </c>
      <c r="D2451" s="116">
        <v>3708</v>
      </c>
      <c r="E2451" s="116">
        <v>3915.6</v>
      </c>
      <c r="F2451" s="116">
        <v>3718.15</v>
      </c>
      <c r="G2451">
        <v>6829</v>
      </c>
      <c r="H2451" s="116"/>
      <c r="I2451" s="116"/>
      <c r="L2451" s="170">
        <v>45614</v>
      </c>
      <c r="M2451" s="116">
        <v>3716.95</v>
      </c>
      <c r="N2451" s="116">
        <v>3842.45</v>
      </c>
      <c r="O2451" s="116">
        <v>3705</v>
      </c>
      <c r="P2451" s="116">
        <v>3817</v>
      </c>
      <c r="Q2451" s="116">
        <v>3716.95</v>
      </c>
      <c r="R2451">
        <v>188200</v>
      </c>
    </row>
    <row r="2452" spans="1:18" x14ac:dyDescent="0.25">
      <c r="A2452" s="170">
        <v>45615</v>
      </c>
      <c r="B2452" s="116">
        <v>3880</v>
      </c>
      <c r="C2452" s="116">
        <v>3842.55</v>
      </c>
      <c r="D2452" s="116">
        <v>3716.25</v>
      </c>
      <c r="E2452" s="116">
        <v>3784.95</v>
      </c>
      <c r="F2452" s="116">
        <v>3842.55</v>
      </c>
      <c r="G2452">
        <v>13013</v>
      </c>
      <c r="H2452" s="116"/>
      <c r="I2452" s="116"/>
      <c r="L2452" s="170">
        <v>45615</v>
      </c>
      <c r="M2452" s="116">
        <v>3842.25</v>
      </c>
      <c r="N2452" s="116">
        <v>3881.9</v>
      </c>
      <c r="O2452" s="116">
        <v>3715</v>
      </c>
      <c r="P2452" s="116">
        <v>3760</v>
      </c>
      <c r="Q2452" s="116">
        <v>3842.25</v>
      </c>
      <c r="R2452">
        <v>297339</v>
      </c>
    </row>
    <row r="2453" spans="1:18" x14ac:dyDescent="0.25">
      <c r="A2453" s="170">
        <v>45617</v>
      </c>
      <c r="B2453" s="116">
        <v>3835.7</v>
      </c>
      <c r="C2453" s="116">
        <v>3791.2</v>
      </c>
      <c r="D2453" s="116">
        <v>3727.45</v>
      </c>
      <c r="E2453" s="116">
        <v>3809.9</v>
      </c>
      <c r="F2453" s="116">
        <v>3791.2</v>
      </c>
      <c r="G2453">
        <v>10527</v>
      </c>
      <c r="H2453" s="116"/>
      <c r="I2453" s="116"/>
      <c r="L2453" s="170">
        <v>45617</v>
      </c>
      <c r="M2453" s="116">
        <v>3791.4</v>
      </c>
      <c r="N2453" s="116">
        <v>3836</v>
      </c>
      <c r="O2453" s="116">
        <v>3728.25</v>
      </c>
      <c r="P2453" s="116">
        <v>3801</v>
      </c>
      <c r="Q2453" s="116">
        <v>3791.4</v>
      </c>
      <c r="R2453">
        <v>189476</v>
      </c>
    </row>
    <row r="2454" spans="1:18" x14ac:dyDescent="0.25">
      <c r="A2454" s="170">
        <v>45618</v>
      </c>
      <c r="B2454" s="116">
        <v>4020</v>
      </c>
      <c r="C2454" s="116">
        <v>3992.5</v>
      </c>
      <c r="D2454" s="116">
        <v>3750.5</v>
      </c>
      <c r="E2454" s="116">
        <v>3750.5</v>
      </c>
      <c r="F2454" s="116">
        <v>3992.5</v>
      </c>
      <c r="G2454">
        <v>13076</v>
      </c>
      <c r="H2454" s="116"/>
      <c r="I2454" s="116"/>
      <c r="L2454" s="170">
        <v>45618</v>
      </c>
      <c r="M2454" s="116">
        <v>3994.85</v>
      </c>
      <c r="N2454" s="116">
        <v>4020</v>
      </c>
      <c r="O2454" s="116">
        <v>3775.95</v>
      </c>
      <c r="P2454" s="116">
        <v>3799.95</v>
      </c>
      <c r="Q2454" s="116">
        <v>3994.85</v>
      </c>
      <c r="R2454">
        <v>349846</v>
      </c>
    </row>
    <row r="2455" spans="1:18" x14ac:dyDescent="0.25">
      <c r="A2455" s="170">
        <v>45621</v>
      </c>
      <c r="B2455" s="116">
        <v>4096.8999999999996</v>
      </c>
      <c r="C2455" s="116">
        <v>4021.5</v>
      </c>
      <c r="D2455" s="116">
        <v>3989</v>
      </c>
      <c r="E2455" s="116">
        <v>4023.95</v>
      </c>
      <c r="F2455" s="116">
        <v>4021.5</v>
      </c>
      <c r="G2455">
        <v>6739</v>
      </c>
      <c r="H2455" s="116"/>
      <c r="I2455" s="116"/>
      <c r="L2455" s="170">
        <v>45621</v>
      </c>
      <c r="M2455" s="116">
        <v>4021</v>
      </c>
      <c r="N2455" s="116">
        <v>4099.5</v>
      </c>
      <c r="O2455" s="116">
        <v>3985.25</v>
      </c>
      <c r="P2455" s="116">
        <v>4016</v>
      </c>
      <c r="Q2455" s="116">
        <v>4021</v>
      </c>
      <c r="R2455">
        <v>404438</v>
      </c>
    </row>
    <row r="2456" spans="1:18" x14ac:dyDescent="0.25">
      <c r="A2456" s="170">
        <v>45622</v>
      </c>
      <c r="B2456" s="116">
        <v>4090</v>
      </c>
      <c r="C2456" s="116">
        <v>4070.7</v>
      </c>
      <c r="D2456" s="116">
        <v>3950.05</v>
      </c>
      <c r="E2456" s="116">
        <v>3995.5</v>
      </c>
      <c r="F2456" s="116">
        <v>4070.7</v>
      </c>
      <c r="G2456">
        <v>10689</v>
      </c>
      <c r="H2456" s="116"/>
      <c r="I2456" s="116"/>
      <c r="L2456" s="170">
        <v>45622</v>
      </c>
      <c r="M2456" s="116">
        <v>4071.4</v>
      </c>
      <c r="N2456" s="116">
        <v>4085.85</v>
      </c>
      <c r="O2456" s="116">
        <v>3950</v>
      </c>
      <c r="P2456" s="116">
        <v>4005</v>
      </c>
      <c r="Q2456" s="116">
        <v>4071.4</v>
      </c>
      <c r="R2456">
        <v>205258</v>
      </c>
    </row>
    <row r="2457" spans="1:18" x14ac:dyDescent="0.25">
      <c r="A2457" s="170">
        <v>45623</v>
      </c>
      <c r="B2457" s="116">
        <v>4397.8</v>
      </c>
      <c r="C2457" s="116">
        <v>4323.3500000000004</v>
      </c>
      <c r="D2457" s="116">
        <v>4073.5</v>
      </c>
      <c r="E2457" s="116">
        <v>4073.5</v>
      </c>
      <c r="F2457" s="116">
        <v>4323.3500000000004</v>
      </c>
      <c r="G2457">
        <v>24264</v>
      </c>
      <c r="H2457" s="116"/>
      <c r="I2457" s="116"/>
      <c r="L2457" s="170">
        <v>45623</v>
      </c>
      <c r="M2457" s="116">
        <v>4319.75</v>
      </c>
      <c r="N2457" s="116">
        <v>4399</v>
      </c>
      <c r="O2457" s="116">
        <v>4115</v>
      </c>
      <c r="P2457" s="116">
        <v>4120</v>
      </c>
      <c r="Q2457" s="116">
        <v>4319.75</v>
      </c>
      <c r="R2457">
        <v>965868</v>
      </c>
    </row>
    <row r="2458" spans="1:18" x14ac:dyDescent="0.25">
      <c r="A2458" s="170">
        <v>45624</v>
      </c>
      <c r="B2458" s="116">
        <v>4367.25</v>
      </c>
      <c r="C2458" s="116">
        <v>4303.5</v>
      </c>
      <c r="D2458" s="116">
        <v>4267.45</v>
      </c>
      <c r="E2458" s="116">
        <v>4305</v>
      </c>
      <c r="F2458" s="116">
        <v>4303.5</v>
      </c>
      <c r="G2458">
        <v>8951</v>
      </c>
      <c r="H2458" s="116"/>
      <c r="I2458" s="116"/>
      <c r="L2458" s="170">
        <v>45624</v>
      </c>
      <c r="M2458" s="116">
        <v>4307.2</v>
      </c>
      <c r="N2458" s="116">
        <v>4372.1499999999996</v>
      </c>
      <c r="O2458" s="116">
        <v>4267.45</v>
      </c>
      <c r="P2458" s="116">
        <v>4300</v>
      </c>
      <c r="Q2458" s="116">
        <v>4307.2</v>
      </c>
      <c r="R2458">
        <v>129952</v>
      </c>
    </row>
    <row r="2459" spans="1:18" x14ac:dyDescent="0.25">
      <c r="A2459" s="170">
        <v>45625</v>
      </c>
      <c r="B2459" s="116">
        <v>4326.1499999999996</v>
      </c>
      <c r="C2459" s="116">
        <v>4314.55</v>
      </c>
      <c r="D2459" s="116">
        <v>4255.5</v>
      </c>
      <c r="E2459" s="116">
        <v>4290</v>
      </c>
      <c r="F2459" s="116">
        <v>4314.55</v>
      </c>
      <c r="G2459">
        <v>6029</v>
      </c>
      <c r="H2459" s="116"/>
      <c r="I2459" s="116"/>
      <c r="L2459" s="170">
        <v>45625</v>
      </c>
      <c r="M2459" s="116">
        <v>4313.25</v>
      </c>
      <c r="N2459" s="116">
        <v>4329.5</v>
      </c>
      <c r="O2459" s="116">
        <v>4255</v>
      </c>
      <c r="P2459" s="116">
        <v>4290.05</v>
      </c>
      <c r="Q2459" s="116">
        <v>4313.25</v>
      </c>
      <c r="R2459">
        <v>259243</v>
      </c>
    </row>
    <row r="2460" spans="1:18" x14ac:dyDescent="0.25">
      <c r="A2460" s="170">
        <v>45628</v>
      </c>
      <c r="B2460" s="116">
        <v>4421.1499999999996</v>
      </c>
      <c r="C2460" s="116">
        <v>4354.55</v>
      </c>
      <c r="D2460" s="116">
        <v>4244.8500000000004</v>
      </c>
      <c r="E2460" s="116">
        <v>4252.05</v>
      </c>
      <c r="F2460" s="116">
        <v>4354.55</v>
      </c>
      <c r="G2460">
        <v>12266</v>
      </c>
      <c r="H2460" s="116"/>
      <c r="I2460" s="116"/>
      <c r="L2460" s="170">
        <v>45628</v>
      </c>
      <c r="M2460" s="116">
        <v>4354.8999999999996</v>
      </c>
      <c r="N2460" s="116">
        <v>4423.6499999999996</v>
      </c>
      <c r="O2460" s="116">
        <v>4244</v>
      </c>
      <c r="P2460" s="116">
        <v>4313.2</v>
      </c>
      <c r="Q2460" s="116">
        <v>4354.8999999999996</v>
      </c>
      <c r="R2460">
        <v>209077</v>
      </c>
    </row>
    <row r="2461" spans="1:18" x14ac:dyDescent="0.25">
      <c r="A2461" s="170">
        <v>45629</v>
      </c>
      <c r="B2461" s="116">
        <v>4383.1499999999996</v>
      </c>
      <c r="C2461" s="116">
        <v>4339.6499999999996</v>
      </c>
      <c r="D2461" s="116">
        <v>4300.05</v>
      </c>
      <c r="E2461" s="116">
        <v>4324.95</v>
      </c>
      <c r="F2461" s="116">
        <v>4339.6499999999996</v>
      </c>
      <c r="G2461">
        <v>2308</v>
      </c>
      <c r="H2461" s="116"/>
      <c r="I2461" s="116"/>
      <c r="L2461" s="170">
        <v>45629</v>
      </c>
      <c r="M2461" s="116">
        <v>4340.25</v>
      </c>
      <c r="N2461" s="116">
        <v>4382</v>
      </c>
      <c r="O2461" s="116">
        <v>4300.25</v>
      </c>
      <c r="P2461" s="116">
        <v>4318.1499999999996</v>
      </c>
      <c r="Q2461" s="116">
        <v>4340.25</v>
      </c>
      <c r="R2461">
        <v>274021</v>
      </c>
    </row>
    <row r="2462" spans="1:18" x14ac:dyDescent="0.25">
      <c r="A2462" s="170">
        <v>45630</v>
      </c>
      <c r="B2462" s="116">
        <v>4530</v>
      </c>
      <c r="C2462" s="116">
        <v>4420.55</v>
      </c>
      <c r="D2462" s="116">
        <v>4345</v>
      </c>
      <c r="E2462" s="116">
        <v>4345</v>
      </c>
      <c r="F2462" s="116">
        <v>4420.55</v>
      </c>
      <c r="G2462">
        <v>7856</v>
      </c>
      <c r="H2462" s="116"/>
      <c r="I2462" s="116"/>
      <c r="L2462" s="170">
        <v>45630</v>
      </c>
      <c r="M2462" s="116">
        <v>4420.2</v>
      </c>
      <c r="N2462" s="116">
        <v>4531.95</v>
      </c>
      <c r="O2462" s="116">
        <v>4345</v>
      </c>
      <c r="P2462" s="116">
        <v>4345</v>
      </c>
      <c r="Q2462" s="116">
        <v>4420.2</v>
      </c>
      <c r="R2462">
        <v>625600</v>
      </c>
    </row>
    <row r="2463" spans="1:18" x14ac:dyDescent="0.25">
      <c r="A2463" s="170">
        <v>45631</v>
      </c>
      <c r="B2463" s="116">
        <v>4494</v>
      </c>
      <c r="C2463" s="116">
        <v>4454.8</v>
      </c>
      <c r="D2463" s="116">
        <v>4384.05</v>
      </c>
      <c r="E2463" s="116">
        <v>4420.55</v>
      </c>
      <c r="F2463" s="116">
        <v>4454.8</v>
      </c>
      <c r="G2463">
        <v>8528</v>
      </c>
      <c r="H2463" s="116"/>
      <c r="I2463" s="116"/>
      <c r="L2463" s="170">
        <v>45631</v>
      </c>
      <c r="M2463" s="116">
        <v>4454</v>
      </c>
      <c r="N2463" s="116">
        <v>4496.95</v>
      </c>
      <c r="O2463" s="116">
        <v>4381.3</v>
      </c>
      <c r="P2463" s="116">
        <v>4399</v>
      </c>
      <c r="Q2463" s="116">
        <v>4454</v>
      </c>
      <c r="R2463">
        <v>317643</v>
      </c>
    </row>
    <row r="2464" spans="1:18" x14ac:dyDescent="0.25">
      <c r="A2464" s="170">
        <v>45632</v>
      </c>
      <c r="B2464" s="116">
        <v>4520</v>
      </c>
      <c r="C2464" s="116">
        <v>4498.8999999999996</v>
      </c>
      <c r="D2464" s="116">
        <v>4449.75</v>
      </c>
      <c r="E2464" s="116">
        <v>4464.2</v>
      </c>
      <c r="F2464" s="116">
        <v>4498.8999999999996</v>
      </c>
      <c r="G2464">
        <v>8041</v>
      </c>
      <c r="H2464" s="116"/>
      <c r="I2464" s="116"/>
      <c r="L2464" s="170">
        <v>45632</v>
      </c>
      <c r="M2464" s="116">
        <v>4500.3500000000004</v>
      </c>
      <c r="N2464" s="116">
        <v>4522</v>
      </c>
      <c r="O2464" s="116">
        <v>4450</v>
      </c>
      <c r="P2464" s="116">
        <v>4451</v>
      </c>
      <c r="Q2464" s="116">
        <v>4500.3500000000004</v>
      </c>
      <c r="R2464">
        <v>183410</v>
      </c>
    </row>
    <row r="2465" spans="1:18" x14ac:dyDescent="0.25">
      <c r="A2465" s="170">
        <v>45635</v>
      </c>
      <c r="B2465" s="116">
        <v>4539.95</v>
      </c>
      <c r="C2465" s="116">
        <v>4488.3999999999996</v>
      </c>
      <c r="D2465" s="116">
        <v>4477.6499999999996</v>
      </c>
      <c r="E2465" s="116">
        <v>4539.95</v>
      </c>
      <c r="F2465" s="116">
        <v>4488.3999999999996</v>
      </c>
      <c r="G2465">
        <v>2056</v>
      </c>
      <c r="H2465" s="116"/>
      <c r="I2465" s="116"/>
      <c r="L2465" s="170">
        <v>45635</v>
      </c>
      <c r="M2465" s="116">
        <v>4487.8</v>
      </c>
      <c r="N2465" s="116">
        <v>4520</v>
      </c>
      <c r="O2465" s="116">
        <v>4471.05</v>
      </c>
      <c r="P2465" s="116">
        <v>4510</v>
      </c>
      <c r="Q2465" s="116">
        <v>4487.8</v>
      </c>
      <c r="R2465">
        <v>226946</v>
      </c>
    </row>
    <row r="2466" spans="1:18" x14ac:dyDescent="0.25">
      <c r="A2466" s="170">
        <v>45636</v>
      </c>
      <c r="B2466" s="116">
        <v>4585.1000000000004</v>
      </c>
      <c r="C2466" s="116">
        <v>4560.25</v>
      </c>
      <c r="D2466" s="116">
        <v>4400</v>
      </c>
      <c r="E2466" s="116">
        <v>4488</v>
      </c>
      <c r="F2466" s="116">
        <v>4560.25</v>
      </c>
      <c r="G2466">
        <v>18505</v>
      </c>
      <c r="H2466" s="116"/>
      <c r="I2466" s="116"/>
      <c r="L2466" s="170">
        <v>45636</v>
      </c>
      <c r="M2466" s="116">
        <v>4559.2</v>
      </c>
      <c r="N2466" s="116">
        <v>4590</v>
      </c>
      <c r="O2466" s="116">
        <v>4400</v>
      </c>
      <c r="P2466" s="116">
        <v>4476.05</v>
      </c>
      <c r="Q2466" s="116">
        <v>4559.2</v>
      </c>
      <c r="R2466">
        <v>841918</v>
      </c>
    </row>
    <row r="2467" spans="1:18" x14ac:dyDescent="0.25">
      <c r="A2467" s="170">
        <v>45637</v>
      </c>
      <c r="B2467" s="116">
        <v>4699</v>
      </c>
      <c r="C2467" s="116">
        <v>4648.5</v>
      </c>
      <c r="D2467" s="116">
        <v>4468.45</v>
      </c>
      <c r="E2467" s="116">
        <v>4570.1499999999996</v>
      </c>
      <c r="F2467" s="116">
        <v>4648.5</v>
      </c>
      <c r="G2467">
        <v>16039</v>
      </c>
      <c r="H2467" s="116"/>
      <c r="I2467" s="116"/>
      <c r="L2467" s="170">
        <v>45637</v>
      </c>
      <c r="M2467" s="116">
        <v>4630.95</v>
      </c>
      <c r="N2467" s="116">
        <v>4706</v>
      </c>
      <c r="O2467" s="116">
        <v>4470.55</v>
      </c>
      <c r="P2467" s="116">
        <v>4570</v>
      </c>
      <c r="Q2467" s="116">
        <v>4630.95</v>
      </c>
      <c r="R2467">
        <v>448630</v>
      </c>
    </row>
    <row r="2468" spans="1:18" x14ac:dyDescent="0.25">
      <c r="A2468" s="170">
        <v>45638</v>
      </c>
      <c r="B2468" s="116">
        <v>4644.8</v>
      </c>
      <c r="C2468" s="116">
        <v>4540.5</v>
      </c>
      <c r="D2468" s="116">
        <v>4516.55</v>
      </c>
      <c r="E2468" s="116">
        <v>4625.05</v>
      </c>
      <c r="F2468" s="116">
        <v>4540.5</v>
      </c>
      <c r="G2468">
        <v>10949</v>
      </c>
      <c r="H2468" s="116"/>
      <c r="I2468" s="116"/>
      <c r="L2468" s="170">
        <v>45638</v>
      </c>
      <c r="M2468" s="116">
        <v>4543.55</v>
      </c>
      <c r="N2468" s="116">
        <v>4643.45</v>
      </c>
      <c r="O2468" s="116">
        <v>4521.45</v>
      </c>
      <c r="P2468" s="116">
        <v>4643.45</v>
      </c>
      <c r="Q2468" s="116">
        <v>4543.55</v>
      </c>
      <c r="R2468">
        <v>187801</v>
      </c>
    </row>
    <row r="2469" spans="1:18" x14ac:dyDescent="0.25">
      <c r="A2469" s="170">
        <v>45639</v>
      </c>
      <c r="B2469" s="116">
        <v>4550</v>
      </c>
      <c r="C2469" s="116">
        <v>4446.8</v>
      </c>
      <c r="D2469" s="116">
        <v>4439.75</v>
      </c>
      <c r="E2469" s="116">
        <v>4550</v>
      </c>
      <c r="F2469" s="116">
        <v>4446.8</v>
      </c>
      <c r="G2469">
        <v>2554</v>
      </c>
      <c r="H2469" s="116"/>
      <c r="I2469" s="116"/>
      <c r="L2469" s="170">
        <v>45639</v>
      </c>
      <c r="M2469" s="116">
        <v>4448.3500000000004</v>
      </c>
      <c r="N2469" s="116">
        <v>4549.45</v>
      </c>
      <c r="O2469" s="116">
        <v>4441.1499999999996</v>
      </c>
      <c r="P2469" s="116">
        <v>4539.75</v>
      </c>
      <c r="Q2469" s="116">
        <v>4448.3500000000004</v>
      </c>
      <c r="R2469">
        <v>221922</v>
      </c>
    </row>
    <row r="2470" spans="1:18" x14ac:dyDescent="0.25">
      <c r="A2470" s="170">
        <v>45642</v>
      </c>
      <c r="B2470" s="116">
        <v>4535.3</v>
      </c>
      <c r="C2470" s="116">
        <v>4468.55</v>
      </c>
      <c r="D2470" s="116">
        <v>4440.7</v>
      </c>
      <c r="E2470" s="116">
        <v>4456.8999999999996</v>
      </c>
      <c r="F2470" s="116">
        <v>4468.55</v>
      </c>
      <c r="G2470">
        <v>2810</v>
      </c>
      <c r="H2470" s="116"/>
      <c r="I2470" s="116"/>
      <c r="L2470" s="170">
        <v>45642</v>
      </c>
      <c r="M2470" s="116">
        <v>4469.8</v>
      </c>
      <c r="N2470" s="116">
        <v>4536.2</v>
      </c>
      <c r="O2470" s="116">
        <v>4441</v>
      </c>
      <c r="P2470" s="116">
        <v>4444.55</v>
      </c>
      <c r="Q2470" s="116">
        <v>4469.8</v>
      </c>
      <c r="R2470">
        <v>249525</v>
      </c>
    </row>
    <row r="2471" spans="1:18" x14ac:dyDescent="0.25">
      <c r="A2471" s="170">
        <v>45643</v>
      </c>
      <c r="B2471" s="116">
        <v>4476.05</v>
      </c>
      <c r="C2471" s="116">
        <v>4386.2</v>
      </c>
      <c r="D2471" s="116">
        <v>4361.3</v>
      </c>
      <c r="E2471" s="116">
        <v>4468.1499999999996</v>
      </c>
      <c r="F2471" s="116">
        <v>4386.2</v>
      </c>
      <c r="G2471">
        <v>2728</v>
      </c>
      <c r="H2471" s="116"/>
      <c r="I2471" s="116"/>
      <c r="L2471" s="170">
        <v>45643</v>
      </c>
      <c r="M2471" s="116">
        <v>4391.3</v>
      </c>
      <c r="N2471" s="116">
        <v>4476.5</v>
      </c>
      <c r="O2471" s="116">
        <v>4360</v>
      </c>
      <c r="P2471" s="116">
        <v>4449.5</v>
      </c>
      <c r="Q2471" s="116">
        <v>4391.3</v>
      </c>
      <c r="R2471">
        <v>229819</v>
      </c>
    </row>
    <row r="2472" spans="1:18" x14ac:dyDescent="0.25">
      <c r="A2472" s="170">
        <v>45644</v>
      </c>
      <c r="B2472" s="116">
        <v>4405.8500000000004</v>
      </c>
      <c r="C2472" s="116">
        <v>4303.6000000000004</v>
      </c>
      <c r="D2472" s="116">
        <v>4288</v>
      </c>
      <c r="E2472" s="116">
        <v>4350.05</v>
      </c>
      <c r="F2472" s="116">
        <v>4303.6000000000004</v>
      </c>
      <c r="G2472">
        <v>2271</v>
      </c>
      <c r="H2472" s="116"/>
      <c r="I2472" s="116"/>
      <c r="L2472" s="170">
        <v>45644</v>
      </c>
      <c r="M2472" s="116">
        <v>4302.3</v>
      </c>
      <c r="N2472" s="116">
        <v>4411.95</v>
      </c>
      <c r="O2472" s="116">
        <v>4286.6499999999996</v>
      </c>
      <c r="P2472" s="116">
        <v>4392.95</v>
      </c>
      <c r="Q2472" s="116">
        <v>4302.3</v>
      </c>
      <c r="R2472">
        <v>151185</v>
      </c>
    </row>
    <row r="2473" spans="1:18" x14ac:dyDescent="0.25">
      <c r="A2473" s="170">
        <v>45645</v>
      </c>
      <c r="B2473" s="116">
        <v>4303.3</v>
      </c>
      <c r="C2473" s="116">
        <v>4268.45</v>
      </c>
      <c r="D2473" s="116">
        <v>4180</v>
      </c>
      <c r="E2473" s="116">
        <v>4200.3</v>
      </c>
      <c r="F2473" s="116">
        <v>4268.45</v>
      </c>
      <c r="G2473">
        <v>6832</v>
      </c>
      <c r="H2473" s="116"/>
      <c r="I2473" s="116"/>
      <c r="L2473" s="170">
        <v>45645</v>
      </c>
      <c r="M2473" s="116">
        <v>4269</v>
      </c>
      <c r="N2473" s="116">
        <v>4302.3</v>
      </c>
      <c r="O2473" s="116">
        <v>4171.55</v>
      </c>
      <c r="P2473" s="116">
        <v>4239.95</v>
      </c>
      <c r="Q2473" s="116">
        <v>4269</v>
      </c>
      <c r="R2473">
        <v>511114</v>
      </c>
    </row>
    <row r="2474" spans="1:18" x14ac:dyDescent="0.25">
      <c r="A2474" s="170">
        <v>45646</v>
      </c>
      <c r="B2474" s="116">
        <v>4295</v>
      </c>
      <c r="C2474" s="116">
        <v>4163.3999999999996</v>
      </c>
      <c r="D2474" s="116">
        <v>4145</v>
      </c>
      <c r="E2474" s="116">
        <v>4286.8999999999996</v>
      </c>
      <c r="F2474" s="116">
        <v>4163.3999999999996</v>
      </c>
      <c r="G2474">
        <v>3777</v>
      </c>
      <c r="H2474" s="116"/>
      <c r="I2474" s="116"/>
      <c r="L2474" s="170">
        <v>45646</v>
      </c>
      <c r="M2474" s="116">
        <v>4166.25</v>
      </c>
      <c r="N2474" s="116">
        <v>4303.45</v>
      </c>
      <c r="O2474" s="116">
        <v>4141</v>
      </c>
      <c r="P2474" s="116">
        <v>4269</v>
      </c>
      <c r="Q2474" s="116">
        <v>4166.25</v>
      </c>
      <c r="R2474">
        <v>251027</v>
      </c>
    </row>
    <row r="2475" spans="1:18" x14ac:dyDescent="0.25">
      <c r="A2475" s="170">
        <v>45649</v>
      </c>
      <c r="B2475" s="116">
        <v>4250</v>
      </c>
      <c r="C2475" s="116">
        <v>4189.7</v>
      </c>
      <c r="D2475" s="116">
        <v>4158.8500000000004</v>
      </c>
      <c r="E2475" s="116">
        <v>4250</v>
      </c>
      <c r="F2475" s="116">
        <v>4189.7</v>
      </c>
      <c r="G2475">
        <v>2922</v>
      </c>
      <c r="H2475" s="116"/>
      <c r="I2475" s="116"/>
      <c r="L2475" s="170">
        <v>45649</v>
      </c>
      <c r="M2475" s="116">
        <v>4195.8500000000004</v>
      </c>
      <c r="N2475" s="116">
        <v>4251.8500000000004</v>
      </c>
      <c r="O2475" s="116">
        <v>4155.3500000000004</v>
      </c>
      <c r="P2475" s="116">
        <v>4248</v>
      </c>
      <c r="Q2475" s="116">
        <v>4195.8500000000004</v>
      </c>
      <c r="R2475">
        <v>157692</v>
      </c>
    </row>
    <row r="2476" spans="1:18" x14ac:dyDescent="0.25">
      <c r="A2476" s="170">
        <v>45650</v>
      </c>
      <c r="B2476" s="116">
        <v>4247.8500000000004</v>
      </c>
      <c r="C2476" s="116">
        <v>4179.3500000000004</v>
      </c>
      <c r="D2476" s="116">
        <v>4148.8500000000004</v>
      </c>
      <c r="E2476" s="116">
        <v>4195.8999999999996</v>
      </c>
      <c r="F2476" s="116">
        <v>4179.3500000000004</v>
      </c>
      <c r="G2476">
        <v>2553</v>
      </c>
      <c r="H2476" s="116"/>
      <c r="I2476" s="116"/>
      <c r="L2476" s="170">
        <v>45650</v>
      </c>
      <c r="M2476" s="116">
        <v>4177.3</v>
      </c>
      <c r="N2476" s="116">
        <v>4260</v>
      </c>
      <c r="O2476" s="116">
        <v>4150</v>
      </c>
      <c r="P2476" s="116">
        <v>4199.95</v>
      </c>
      <c r="Q2476" s="116">
        <v>4177.3</v>
      </c>
      <c r="R2476">
        <v>220376</v>
      </c>
    </row>
    <row r="2477" spans="1:18" x14ac:dyDescent="0.25">
      <c r="A2477" s="170">
        <v>45652</v>
      </c>
      <c r="B2477" s="116">
        <v>4329</v>
      </c>
      <c r="C2477" s="116">
        <v>4319.2</v>
      </c>
      <c r="D2477" s="116">
        <v>4164.3</v>
      </c>
      <c r="E2477" s="116">
        <v>4178.05</v>
      </c>
      <c r="F2477" s="116">
        <v>4319.2</v>
      </c>
      <c r="G2477">
        <v>7207</v>
      </c>
      <c r="H2477" s="116"/>
      <c r="I2477" s="116"/>
      <c r="L2477" s="170">
        <v>45652</v>
      </c>
      <c r="M2477" s="116">
        <v>4320.25</v>
      </c>
      <c r="N2477" s="116">
        <v>4330</v>
      </c>
      <c r="O2477" s="116">
        <v>4161</v>
      </c>
      <c r="P2477" s="116">
        <v>4177.3</v>
      </c>
      <c r="Q2477" s="116">
        <v>4320.25</v>
      </c>
      <c r="R2477">
        <v>314120</v>
      </c>
    </row>
    <row r="2478" spans="1:18" x14ac:dyDescent="0.25">
      <c r="A2478" s="170">
        <v>45653</v>
      </c>
      <c r="B2478" s="116">
        <v>4381</v>
      </c>
      <c r="C2478" s="116">
        <v>4331.25</v>
      </c>
      <c r="D2478" s="116">
        <v>4295</v>
      </c>
      <c r="E2478" s="116">
        <v>4308.05</v>
      </c>
      <c r="F2478" s="116">
        <v>4331.25</v>
      </c>
      <c r="G2478">
        <v>3573</v>
      </c>
      <c r="H2478" s="116"/>
      <c r="I2478" s="116"/>
      <c r="L2478" s="170">
        <v>45653</v>
      </c>
      <c r="M2478" s="116">
        <v>4343.45</v>
      </c>
      <c r="N2478" s="116">
        <v>4385</v>
      </c>
      <c r="O2478" s="116">
        <v>4293.55</v>
      </c>
      <c r="P2478" s="116">
        <v>4320.95</v>
      </c>
      <c r="Q2478" s="116">
        <v>4343.45</v>
      </c>
      <c r="R2478">
        <v>209640</v>
      </c>
    </row>
    <row r="2479" spans="1:18" x14ac:dyDescent="0.25">
      <c r="A2479" s="170">
        <v>45656</v>
      </c>
      <c r="B2479" s="116">
        <v>4421.1000000000004</v>
      </c>
      <c r="C2479" s="116">
        <v>4347.5</v>
      </c>
      <c r="D2479" s="116">
        <v>4327.7</v>
      </c>
      <c r="E2479" s="116">
        <v>4370.8999999999996</v>
      </c>
      <c r="F2479" s="116">
        <v>4347.5</v>
      </c>
      <c r="G2479">
        <v>2969</v>
      </c>
      <c r="H2479" s="116"/>
      <c r="I2479" s="116"/>
      <c r="L2479" s="170">
        <v>45656</v>
      </c>
      <c r="M2479" s="116">
        <v>4352.8999999999996</v>
      </c>
      <c r="N2479" s="116">
        <v>4424.25</v>
      </c>
      <c r="O2479" s="116">
        <v>4340</v>
      </c>
      <c r="P2479" s="116">
        <v>4375.3</v>
      </c>
      <c r="Q2479" s="116">
        <v>4352.8999999999996</v>
      </c>
      <c r="R2479">
        <v>253438</v>
      </c>
    </row>
    <row r="2480" spans="1:18" x14ac:dyDescent="0.25">
      <c r="A2480" s="170">
        <v>45657</v>
      </c>
      <c r="B2480" s="116">
        <v>4464</v>
      </c>
      <c r="C2480" s="116">
        <v>4434.3999999999996</v>
      </c>
      <c r="D2480" s="116">
        <v>4316.1499999999996</v>
      </c>
      <c r="E2480" s="116">
        <v>4392.5</v>
      </c>
      <c r="F2480" s="116">
        <v>4434.3999999999996</v>
      </c>
      <c r="G2480">
        <v>3804</v>
      </c>
      <c r="H2480" s="116"/>
      <c r="I2480" s="116"/>
      <c r="L2480" s="170">
        <v>45657</v>
      </c>
      <c r="M2480" s="116">
        <v>4436.6499999999996</v>
      </c>
      <c r="N2480" s="116">
        <v>4465</v>
      </c>
      <c r="O2480" s="116">
        <v>4310</v>
      </c>
      <c r="P2480" s="116">
        <v>4373.8500000000004</v>
      </c>
      <c r="Q2480" s="116">
        <v>4436.6499999999996</v>
      </c>
      <c r="R2480">
        <v>289788</v>
      </c>
    </row>
    <row r="2481" spans="1:18" x14ac:dyDescent="0.25">
      <c r="A2481" s="170">
        <v>45658</v>
      </c>
      <c r="B2481" s="116">
        <v>4476.7</v>
      </c>
      <c r="C2481" s="116">
        <v>4467.1499999999996</v>
      </c>
      <c r="D2481" s="116">
        <v>4389.3500000000004</v>
      </c>
      <c r="E2481" s="116">
        <v>4454.95</v>
      </c>
      <c r="F2481" s="116">
        <v>4467.1499999999996</v>
      </c>
      <c r="G2481">
        <v>1950</v>
      </c>
      <c r="H2481" s="116"/>
      <c r="I2481" s="116"/>
      <c r="L2481" s="170">
        <v>45658</v>
      </c>
      <c r="M2481" s="116">
        <v>4469.5</v>
      </c>
      <c r="N2481" s="116">
        <v>4476.75</v>
      </c>
      <c r="O2481" s="116">
        <v>4387</v>
      </c>
      <c r="P2481" s="116">
        <v>4429.95</v>
      </c>
      <c r="Q2481" s="116">
        <v>4469.5</v>
      </c>
      <c r="R2481">
        <v>82106</v>
      </c>
    </row>
    <row r="2482" spans="1:18" x14ac:dyDescent="0.25">
      <c r="A2482" s="170">
        <v>45659</v>
      </c>
      <c r="B2482" s="116">
        <v>4516.7</v>
      </c>
      <c r="C2482" s="116">
        <v>4476</v>
      </c>
      <c r="D2482" s="116">
        <v>4432.75</v>
      </c>
      <c r="E2482" s="116">
        <v>4492.8999999999996</v>
      </c>
      <c r="F2482" s="116">
        <v>4476</v>
      </c>
      <c r="G2482">
        <v>2380</v>
      </c>
      <c r="H2482" s="116"/>
      <c r="I2482" s="116"/>
      <c r="L2482" s="170">
        <v>45659</v>
      </c>
      <c r="M2482" s="116">
        <v>4477.75</v>
      </c>
      <c r="N2482" s="116">
        <v>4520</v>
      </c>
      <c r="O2482" s="116">
        <v>4442</v>
      </c>
      <c r="P2482" s="116">
        <v>4488</v>
      </c>
      <c r="Q2482" s="116">
        <v>4477.75</v>
      </c>
      <c r="R2482">
        <v>106897</v>
      </c>
    </row>
    <row r="2483" spans="1:18" x14ac:dyDescent="0.25">
      <c r="A2483" s="170">
        <v>45660</v>
      </c>
      <c r="B2483" s="116">
        <v>4518.45</v>
      </c>
      <c r="C2483" s="116">
        <v>4369.3</v>
      </c>
      <c r="D2483" s="116">
        <v>4342.5</v>
      </c>
      <c r="E2483" s="116">
        <v>4518.45</v>
      </c>
      <c r="F2483" s="116">
        <v>4369.3</v>
      </c>
      <c r="G2483">
        <v>1863</v>
      </c>
      <c r="H2483" s="116"/>
      <c r="I2483" s="116"/>
      <c r="L2483" s="170">
        <v>45660</v>
      </c>
      <c r="M2483" s="116">
        <v>4363.8500000000004</v>
      </c>
      <c r="N2483" s="116">
        <v>4519.2</v>
      </c>
      <c r="O2483" s="116">
        <v>4338.3500000000004</v>
      </c>
      <c r="P2483" s="116">
        <v>4500</v>
      </c>
      <c r="Q2483" s="116">
        <v>4363.8500000000004</v>
      </c>
      <c r="R2483">
        <v>127570</v>
      </c>
    </row>
    <row r="2484" spans="1:18" x14ac:dyDescent="0.25">
      <c r="A2484" s="170">
        <v>45663</v>
      </c>
      <c r="B2484" s="116">
        <v>4371.75</v>
      </c>
      <c r="C2484" s="116">
        <v>4252.7</v>
      </c>
      <c r="D2484" s="116">
        <v>4212</v>
      </c>
      <c r="E2484" s="116">
        <v>4342.5</v>
      </c>
      <c r="F2484" s="116">
        <v>4252.7</v>
      </c>
      <c r="G2484">
        <v>10023</v>
      </c>
      <c r="H2484" s="116"/>
      <c r="I2484" s="116"/>
      <c r="L2484" s="170">
        <v>45663</v>
      </c>
      <c r="M2484" s="116">
        <v>4254.1499999999996</v>
      </c>
      <c r="N2484" s="116">
        <v>4369.6499999999996</v>
      </c>
      <c r="O2484" s="116">
        <v>4211.5</v>
      </c>
      <c r="P2484" s="116">
        <v>4350</v>
      </c>
      <c r="Q2484" s="116">
        <v>4254.1499999999996</v>
      </c>
      <c r="R2484">
        <v>220456</v>
      </c>
    </row>
    <row r="2485" spans="1:18" x14ac:dyDescent="0.25">
      <c r="A2485" s="170">
        <v>45664</v>
      </c>
      <c r="B2485" s="116">
        <v>4331.55</v>
      </c>
      <c r="C2485" s="116">
        <v>4315.95</v>
      </c>
      <c r="D2485" s="116">
        <v>4200.2</v>
      </c>
      <c r="E2485" s="116">
        <v>4200.2</v>
      </c>
      <c r="F2485" s="116">
        <v>4315.95</v>
      </c>
      <c r="G2485">
        <v>4943</v>
      </c>
      <c r="H2485" s="116"/>
      <c r="I2485" s="116"/>
      <c r="L2485" s="170">
        <v>45664</v>
      </c>
      <c r="M2485" s="116">
        <v>4312.7</v>
      </c>
      <c r="N2485" s="116">
        <v>4333.95</v>
      </c>
      <c r="O2485" s="116">
        <v>4212.05</v>
      </c>
      <c r="P2485" s="116">
        <v>4225</v>
      </c>
      <c r="Q2485" s="116">
        <v>4312.7</v>
      </c>
      <c r="R2485">
        <v>164182</v>
      </c>
    </row>
    <row r="2486" spans="1:18" x14ac:dyDescent="0.25">
      <c r="A2486" s="170">
        <v>45665</v>
      </c>
      <c r="B2486" s="116">
        <v>4330.7</v>
      </c>
      <c r="C2486" s="116">
        <v>4264</v>
      </c>
      <c r="D2486" s="116">
        <v>4233.8999999999996</v>
      </c>
      <c r="E2486" s="116">
        <v>4290.05</v>
      </c>
      <c r="F2486" s="116">
        <v>4264</v>
      </c>
      <c r="G2486">
        <v>4339</v>
      </c>
      <c r="H2486" s="116"/>
      <c r="I2486" s="116"/>
      <c r="L2486" s="170">
        <v>45665</v>
      </c>
      <c r="M2486" s="116">
        <v>4264.5</v>
      </c>
      <c r="N2486" s="116">
        <v>4328.5</v>
      </c>
      <c r="O2486" s="116">
        <v>4237.2</v>
      </c>
      <c r="P2486" s="116">
        <v>4312.7</v>
      </c>
      <c r="Q2486" s="116">
        <v>4264.5</v>
      </c>
      <c r="R2486">
        <v>92274</v>
      </c>
    </row>
    <row r="2487" spans="1:18" x14ac:dyDescent="0.25">
      <c r="A2487" s="170">
        <v>45666</v>
      </c>
      <c r="B2487" s="116">
        <v>4298.7</v>
      </c>
      <c r="C2487" s="116">
        <v>4195.8</v>
      </c>
      <c r="D2487" s="116">
        <v>4188.6499999999996</v>
      </c>
      <c r="E2487" s="116">
        <v>4252.1499999999996</v>
      </c>
      <c r="F2487" s="116">
        <v>4195.8</v>
      </c>
      <c r="G2487">
        <v>1233</v>
      </c>
      <c r="H2487" s="116"/>
      <c r="I2487" s="116"/>
      <c r="L2487" s="170">
        <v>45666</v>
      </c>
      <c r="M2487" s="116">
        <v>4202.95</v>
      </c>
      <c r="N2487" s="116">
        <v>4297</v>
      </c>
      <c r="O2487" s="116">
        <v>4189.6499999999996</v>
      </c>
      <c r="P2487" s="116">
        <v>4259.45</v>
      </c>
      <c r="Q2487" s="116">
        <v>4202.95</v>
      </c>
      <c r="R2487">
        <v>157635</v>
      </c>
    </row>
    <row r="2488" spans="1:18" x14ac:dyDescent="0.25">
      <c r="A2488" s="170">
        <v>45667</v>
      </c>
      <c r="B2488" s="116">
        <v>4244.3999999999996</v>
      </c>
      <c r="C2488" s="116">
        <v>4171.3999999999996</v>
      </c>
      <c r="D2488" s="116">
        <v>4163</v>
      </c>
      <c r="E2488" s="116">
        <v>4209.1000000000004</v>
      </c>
      <c r="F2488" s="116">
        <v>4171.3999999999996</v>
      </c>
      <c r="G2488">
        <v>1173</v>
      </c>
      <c r="H2488" s="116"/>
      <c r="I2488" s="116"/>
      <c r="L2488" s="170">
        <v>45667</v>
      </c>
      <c r="M2488" s="116">
        <v>4177.05</v>
      </c>
      <c r="N2488" s="116">
        <v>4247.7</v>
      </c>
      <c r="O2488" s="116">
        <v>4160</v>
      </c>
      <c r="P2488" s="116">
        <v>4197.05</v>
      </c>
      <c r="Q2488" s="116">
        <v>4177.05</v>
      </c>
      <c r="R2488">
        <v>209091</v>
      </c>
    </row>
    <row r="2489" spans="1:18" x14ac:dyDescent="0.25">
      <c r="A2489" s="170">
        <v>45670</v>
      </c>
      <c r="B2489" s="116">
        <v>4177.8</v>
      </c>
      <c r="C2489" s="116">
        <v>3994.85</v>
      </c>
      <c r="D2489" s="116">
        <v>3956.95</v>
      </c>
      <c r="E2489" s="116">
        <v>4177.8</v>
      </c>
      <c r="F2489" s="116">
        <v>3994.85</v>
      </c>
      <c r="G2489">
        <v>4831</v>
      </c>
      <c r="H2489" s="116"/>
      <c r="I2489" s="116"/>
      <c r="L2489" s="170">
        <v>45670</v>
      </c>
      <c r="M2489" s="116">
        <v>3994.45</v>
      </c>
      <c r="N2489" s="116">
        <v>4139.45</v>
      </c>
      <c r="O2489" s="116">
        <v>3951.5</v>
      </c>
      <c r="P2489" s="116">
        <v>4126</v>
      </c>
      <c r="Q2489" s="116">
        <v>3994.45</v>
      </c>
      <c r="R2489">
        <v>868973</v>
      </c>
    </row>
    <row r="2490" spans="1:18" x14ac:dyDescent="0.25">
      <c r="A2490" s="170">
        <v>45671</v>
      </c>
      <c r="B2490" s="116">
        <v>4043.4</v>
      </c>
      <c r="C2490" s="116">
        <v>4020.85</v>
      </c>
      <c r="D2490" s="116">
        <v>3870</v>
      </c>
      <c r="E2490" s="116">
        <v>3980</v>
      </c>
      <c r="F2490" s="116">
        <v>4020.85</v>
      </c>
      <c r="G2490">
        <v>6183</v>
      </c>
      <c r="H2490" s="116"/>
      <c r="I2490" s="116"/>
      <c r="L2490" s="170">
        <v>45671</v>
      </c>
      <c r="M2490" s="116">
        <v>4020.3</v>
      </c>
      <c r="N2490" s="116">
        <v>4048.5</v>
      </c>
      <c r="O2490" s="116">
        <v>3867.95</v>
      </c>
      <c r="P2490" s="116">
        <v>3974.95</v>
      </c>
      <c r="Q2490" s="116">
        <v>4020.3</v>
      </c>
      <c r="R2490">
        <v>280853</v>
      </c>
    </row>
    <row r="2491" spans="1:18" x14ac:dyDescent="0.25">
      <c r="A2491" s="170">
        <v>45672</v>
      </c>
      <c r="B2491" s="116">
        <v>4116.5</v>
      </c>
      <c r="C2491" s="116">
        <v>4070.75</v>
      </c>
      <c r="D2491" s="116">
        <v>4029.3</v>
      </c>
      <c r="E2491" s="116">
        <v>4032.05</v>
      </c>
      <c r="F2491" s="116">
        <v>4070.75</v>
      </c>
      <c r="G2491">
        <v>3753</v>
      </c>
      <c r="H2491" s="116"/>
      <c r="I2491" s="116"/>
      <c r="L2491" s="170">
        <v>45672</v>
      </c>
      <c r="M2491" s="116">
        <v>4068.35</v>
      </c>
      <c r="N2491" s="116">
        <v>4118</v>
      </c>
      <c r="O2491" s="116">
        <v>4022.95</v>
      </c>
      <c r="P2491" s="116">
        <v>4055</v>
      </c>
      <c r="Q2491" s="116">
        <v>4068.35</v>
      </c>
      <c r="R2491">
        <v>170471</v>
      </c>
    </row>
    <row r="2492" spans="1:18" x14ac:dyDescent="0.25">
      <c r="A2492" s="170">
        <v>45673</v>
      </c>
      <c r="B2492" s="116">
        <v>4152.1499999999996</v>
      </c>
      <c r="C2492" s="116">
        <v>4103.75</v>
      </c>
      <c r="D2492" s="116">
        <v>4055</v>
      </c>
      <c r="E2492" s="116">
        <v>4087.75</v>
      </c>
      <c r="F2492" s="116">
        <v>4103.75</v>
      </c>
      <c r="G2492">
        <v>3692</v>
      </c>
      <c r="H2492" s="116"/>
      <c r="I2492" s="116"/>
      <c r="L2492" s="170">
        <v>45673</v>
      </c>
      <c r="M2492" s="116">
        <v>4109.3500000000004</v>
      </c>
      <c r="N2492" s="116">
        <v>4152.8999999999996</v>
      </c>
      <c r="O2492" s="116">
        <v>4051</v>
      </c>
      <c r="P2492" s="116">
        <v>4100</v>
      </c>
      <c r="Q2492" s="116">
        <v>4109.3500000000004</v>
      </c>
      <c r="R2492">
        <v>152201</v>
      </c>
    </row>
    <row r="2493" spans="1:18" x14ac:dyDescent="0.25">
      <c r="A2493" s="170">
        <v>45674</v>
      </c>
      <c r="B2493" s="116">
        <v>4118.5</v>
      </c>
      <c r="C2493" s="116">
        <v>4102.6499999999996</v>
      </c>
      <c r="D2493" s="116">
        <v>4050</v>
      </c>
      <c r="E2493" s="116">
        <v>4107.1000000000004</v>
      </c>
      <c r="F2493" s="116">
        <v>4102.6499999999996</v>
      </c>
      <c r="G2493">
        <v>1325</v>
      </c>
      <c r="H2493" s="116"/>
      <c r="I2493" s="116"/>
      <c r="L2493" s="170">
        <v>45674</v>
      </c>
      <c r="M2493" s="116">
        <v>4104.7</v>
      </c>
      <c r="N2493" s="116">
        <v>4121.95</v>
      </c>
      <c r="O2493" s="116">
        <v>4050.05</v>
      </c>
      <c r="P2493" s="116">
        <v>4095.95</v>
      </c>
      <c r="Q2493" s="116">
        <v>4104.7</v>
      </c>
      <c r="R2493">
        <v>76025</v>
      </c>
    </row>
    <row r="2494" spans="1:18" x14ac:dyDescent="0.25">
      <c r="A2494" s="170">
        <v>45677</v>
      </c>
      <c r="B2494" s="116">
        <v>4187</v>
      </c>
      <c r="C2494" s="116">
        <v>4147.25</v>
      </c>
      <c r="D2494" s="116">
        <v>4098.2</v>
      </c>
      <c r="E2494" s="116">
        <v>4111.05</v>
      </c>
      <c r="F2494" s="116">
        <v>4147.25</v>
      </c>
      <c r="G2494">
        <v>971</v>
      </c>
      <c r="H2494" s="116"/>
      <c r="I2494" s="116"/>
      <c r="L2494" s="170">
        <v>45677</v>
      </c>
      <c r="M2494" s="116">
        <v>4148.3500000000004</v>
      </c>
      <c r="N2494" s="116">
        <v>4198.2</v>
      </c>
      <c r="O2494" s="116">
        <v>4094.4</v>
      </c>
      <c r="P2494" s="116">
        <v>4104.7</v>
      </c>
      <c r="Q2494" s="116">
        <v>4148.3500000000004</v>
      </c>
      <c r="R2494">
        <v>66671</v>
      </c>
    </row>
    <row r="2495" spans="1:18" x14ac:dyDescent="0.25">
      <c r="A2495" s="170">
        <v>45678</v>
      </c>
      <c r="B2495" s="116">
        <v>4199.95</v>
      </c>
      <c r="C2495" s="116">
        <v>4033.6</v>
      </c>
      <c r="D2495" s="116">
        <v>4017.05</v>
      </c>
      <c r="E2495" s="116">
        <v>4199.95</v>
      </c>
      <c r="F2495" s="116">
        <v>4033.6</v>
      </c>
      <c r="G2495">
        <v>2573</v>
      </c>
      <c r="H2495" s="116"/>
      <c r="I2495" s="116"/>
      <c r="L2495" s="170">
        <v>45678</v>
      </c>
      <c r="M2495" s="116">
        <v>4034.55</v>
      </c>
      <c r="N2495" s="116">
        <v>4196</v>
      </c>
      <c r="O2495" s="116">
        <v>4007</v>
      </c>
      <c r="P2495" s="116">
        <v>4177</v>
      </c>
      <c r="Q2495" s="116">
        <v>4034.55</v>
      </c>
      <c r="R2495">
        <v>191973</v>
      </c>
    </row>
    <row r="2496" spans="1:18" x14ac:dyDescent="0.25">
      <c r="A2496" s="170">
        <v>45679</v>
      </c>
      <c r="B2496" s="116">
        <v>4163.1499999999996</v>
      </c>
      <c r="C2496" s="116">
        <v>4127.2</v>
      </c>
      <c r="D2496" s="116">
        <v>3942.95</v>
      </c>
      <c r="E2496" s="116">
        <v>4029.95</v>
      </c>
      <c r="F2496" s="116">
        <v>4127.2</v>
      </c>
      <c r="G2496">
        <v>16968</v>
      </c>
      <c r="H2496" s="116"/>
      <c r="I2496" s="116"/>
      <c r="L2496" s="170">
        <v>45679</v>
      </c>
      <c r="M2496" s="116">
        <v>4127.55</v>
      </c>
      <c r="N2496" s="116">
        <v>4161.7</v>
      </c>
      <c r="O2496" s="116">
        <v>3910.4</v>
      </c>
      <c r="P2496" s="116">
        <v>3999.45</v>
      </c>
      <c r="Q2496" s="116">
        <v>4127.55</v>
      </c>
      <c r="R2496">
        <v>1244810</v>
      </c>
    </row>
    <row r="2497" spans="1:18" x14ac:dyDescent="0.25">
      <c r="A2497" s="170">
        <v>45680</v>
      </c>
      <c r="B2497" s="116">
        <v>4574.6499999999996</v>
      </c>
      <c r="C2497" s="116">
        <v>4480.8500000000004</v>
      </c>
      <c r="D2497" s="116">
        <v>4104.05</v>
      </c>
      <c r="E2497" s="116">
        <v>4108.8</v>
      </c>
      <c r="F2497" s="116">
        <v>4480.8500000000004</v>
      </c>
      <c r="G2497">
        <v>13375</v>
      </c>
      <c r="H2497" s="116"/>
      <c r="I2497" s="116"/>
      <c r="L2497" s="170">
        <v>45680</v>
      </c>
      <c r="M2497" s="116">
        <v>4480.6000000000004</v>
      </c>
      <c r="N2497" s="116">
        <v>4572.7</v>
      </c>
      <c r="O2497" s="116">
        <v>4101.75</v>
      </c>
      <c r="P2497" s="116">
        <v>4117.1000000000004</v>
      </c>
      <c r="Q2497" s="116">
        <v>4480.6000000000004</v>
      </c>
      <c r="R2497">
        <v>1440639</v>
      </c>
    </row>
    <row r="2498" spans="1:18" x14ac:dyDescent="0.25">
      <c r="A2498" s="170">
        <v>45681</v>
      </c>
      <c r="B2498" s="116">
        <v>4485.3</v>
      </c>
      <c r="C2498" s="116">
        <v>4249.3</v>
      </c>
      <c r="D2498" s="116">
        <v>4236</v>
      </c>
      <c r="E2498" s="116">
        <v>4480.6000000000004</v>
      </c>
      <c r="F2498" s="116">
        <v>4249.3</v>
      </c>
      <c r="G2498">
        <v>7615</v>
      </c>
      <c r="H2498" s="116"/>
      <c r="I2498" s="116"/>
      <c r="L2498" s="170">
        <v>45681</v>
      </c>
      <c r="M2498" s="116">
        <v>4253.5</v>
      </c>
      <c r="N2498" s="116">
        <v>4484.1000000000004</v>
      </c>
      <c r="O2498" s="116">
        <v>4235</v>
      </c>
      <c r="P2498" s="116">
        <v>4478.25</v>
      </c>
      <c r="Q2498" s="116">
        <v>4253.5</v>
      </c>
      <c r="R2498">
        <v>250147</v>
      </c>
    </row>
    <row r="2499" spans="1:18" x14ac:dyDescent="0.25">
      <c r="A2499" s="170">
        <v>45684</v>
      </c>
      <c r="B2499" s="116">
        <v>4186.1499999999996</v>
      </c>
      <c r="C2499" s="116">
        <v>3998.8</v>
      </c>
      <c r="D2499" s="116">
        <v>3985</v>
      </c>
      <c r="E2499" s="116">
        <v>4168.95</v>
      </c>
      <c r="F2499" s="116">
        <v>3998.8</v>
      </c>
      <c r="G2499">
        <v>3586</v>
      </c>
      <c r="H2499" s="116"/>
      <c r="I2499" s="116"/>
      <c r="L2499" s="170">
        <v>45684</v>
      </c>
      <c r="M2499" s="116">
        <v>3998.55</v>
      </c>
      <c r="N2499" s="116">
        <v>4184.6499999999996</v>
      </c>
      <c r="O2499" s="116">
        <v>3983.7</v>
      </c>
      <c r="P2499" s="116">
        <v>4182.6499999999996</v>
      </c>
      <c r="Q2499" s="116">
        <v>3998.55</v>
      </c>
      <c r="R2499">
        <v>296376</v>
      </c>
    </row>
    <row r="2500" spans="1:18" x14ac:dyDescent="0.25">
      <c r="A2500" s="170">
        <v>45685</v>
      </c>
      <c r="B2500" s="116">
        <v>4054.5</v>
      </c>
      <c r="C2500" s="116">
        <v>3911.4</v>
      </c>
      <c r="D2500" s="116">
        <v>3849.85</v>
      </c>
      <c r="E2500" s="116">
        <v>3991</v>
      </c>
      <c r="F2500" s="116">
        <v>3911.4</v>
      </c>
      <c r="G2500">
        <v>9620</v>
      </c>
      <c r="H2500" s="116"/>
      <c r="I2500" s="116"/>
      <c r="L2500" s="170">
        <v>45685</v>
      </c>
      <c r="M2500" s="116">
        <v>3911.5</v>
      </c>
      <c r="N2500" s="116">
        <v>4064.85</v>
      </c>
      <c r="O2500" s="116">
        <v>3848.05</v>
      </c>
      <c r="P2500" s="116">
        <v>3991</v>
      </c>
      <c r="Q2500" s="116">
        <v>3911.5</v>
      </c>
      <c r="R2500">
        <v>369542</v>
      </c>
    </row>
    <row r="2501" spans="1:18" x14ac:dyDescent="0.25">
      <c r="A2501" s="170">
        <v>45686</v>
      </c>
      <c r="B2501" s="116">
        <v>4028</v>
      </c>
      <c r="C2501" s="116">
        <v>4015.5</v>
      </c>
      <c r="D2501" s="116">
        <v>3915.25</v>
      </c>
      <c r="E2501" s="116">
        <v>3939.1</v>
      </c>
      <c r="F2501" s="116">
        <v>4015.5</v>
      </c>
      <c r="G2501">
        <v>1777</v>
      </c>
      <c r="H2501" s="116"/>
      <c r="I2501" s="116"/>
      <c r="L2501" s="170">
        <v>45686</v>
      </c>
      <c r="M2501" s="116">
        <v>4017.05</v>
      </c>
      <c r="N2501" s="116">
        <v>4029.65</v>
      </c>
      <c r="O2501" s="116">
        <v>3912</v>
      </c>
      <c r="P2501" s="116">
        <v>3925.25</v>
      </c>
      <c r="Q2501" s="116">
        <v>4017.05</v>
      </c>
      <c r="R2501">
        <v>140623</v>
      </c>
    </row>
    <row r="2502" spans="1:18" x14ac:dyDescent="0.25">
      <c r="A2502" s="170">
        <v>45687</v>
      </c>
      <c r="B2502" s="116">
        <v>4052.75</v>
      </c>
      <c r="C2502" s="116">
        <v>3968.5</v>
      </c>
      <c r="D2502" s="116">
        <v>3907.7</v>
      </c>
      <c r="E2502" s="116">
        <v>4015.45</v>
      </c>
      <c r="F2502" s="116">
        <v>3968.5</v>
      </c>
      <c r="G2502">
        <v>2586</v>
      </c>
      <c r="H2502" s="116"/>
      <c r="I2502" s="116"/>
      <c r="L2502" s="170">
        <v>45687</v>
      </c>
      <c r="M2502" s="116">
        <v>3961.15</v>
      </c>
      <c r="N2502" s="116">
        <v>4059.7</v>
      </c>
      <c r="O2502" s="116">
        <v>3907.15</v>
      </c>
      <c r="P2502" s="116">
        <v>4011.3</v>
      </c>
      <c r="Q2502" s="116">
        <v>3961.15</v>
      </c>
      <c r="R2502">
        <v>240651</v>
      </c>
    </row>
    <row r="2503" spans="1:18" x14ac:dyDescent="0.25">
      <c r="A2503" s="170">
        <v>45688</v>
      </c>
      <c r="B2503" s="116">
        <v>4091.9</v>
      </c>
      <c r="C2503" s="116">
        <v>4029.2</v>
      </c>
      <c r="D2503" s="116">
        <v>3949.3</v>
      </c>
      <c r="E2503" s="116">
        <v>3949.3</v>
      </c>
      <c r="F2503" s="116">
        <v>4029.2</v>
      </c>
      <c r="G2503">
        <v>3846</v>
      </c>
      <c r="H2503" s="116"/>
      <c r="I2503" s="116"/>
      <c r="L2503" s="170">
        <v>45688</v>
      </c>
      <c r="M2503" s="116">
        <v>4023.6</v>
      </c>
      <c r="N2503" s="116">
        <v>4092.9</v>
      </c>
      <c r="O2503" s="116">
        <v>3963</v>
      </c>
      <c r="P2503" s="116">
        <v>3974.95</v>
      </c>
      <c r="Q2503" s="116">
        <v>4023.6</v>
      </c>
      <c r="R2503">
        <v>139970</v>
      </c>
    </row>
    <row r="2504" spans="1:18" x14ac:dyDescent="0.25">
      <c r="A2504" s="170">
        <v>45689</v>
      </c>
      <c r="B2504" s="116">
        <v>4121</v>
      </c>
      <c r="C2504" s="116">
        <v>3921.05</v>
      </c>
      <c r="D2504" s="116">
        <v>3856.2</v>
      </c>
      <c r="E2504" s="116">
        <v>4029.2</v>
      </c>
      <c r="F2504" s="116">
        <v>3921.05</v>
      </c>
      <c r="G2504">
        <v>6507</v>
      </c>
      <c r="H2504" s="116"/>
      <c r="I2504" s="116"/>
      <c r="L2504" s="170">
        <v>45689</v>
      </c>
      <c r="M2504" s="116">
        <v>3917.75</v>
      </c>
      <c r="N2504" s="116">
        <v>4126.55</v>
      </c>
      <c r="O2504" s="116">
        <v>3846.75</v>
      </c>
      <c r="P2504" s="116">
        <v>4060</v>
      </c>
      <c r="Q2504" s="116">
        <v>3917.75</v>
      </c>
      <c r="R2504">
        <v>201342</v>
      </c>
    </row>
    <row r="2505" spans="1:18" x14ac:dyDescent="0.25">
      <c r="A2505" s="170">
        <v>45691</v>
      </c>
      <c r="B2505" s="116">
        <v>3932.95</v>
      </c>
      <c r="C2505" s="116">
        <v>3901.1</v>
      </c>
      <c r="D2505" s="116">
        <v>3840.05</v>
      </c>
      <c r="E2505" s="116">
        <v>3851.25</v>
      </c>
      <c r="F2505" s="116">
        <v>3901.1</v>
      </c>
      <c r="G2505">
        <v>6850</v>
      </c>
      <c r="H2505" s="116"/>
      <c r="I2505" s="116"/>
      <c r="L2505" s="170">
        <v>45691</v>
      </c>
      <c r="M2505" s="116">
        <v>3902.9</v>
      </c>
      <c r="N2505" s="116">
        <v>3931.45</v>
      </c>
      <c r="O2505" s="116">
        <v>3840.1</v>
      </c>
      <c r="P2505" s="116">
        <v>3875.5</v>
      </c>
      <c r="Q2505" s="116">
        <v>3902.9</v>
      </c>
      <c r="R2505">
        <v>192921</v>
      </c>
    </row>
    <row r="2506" spans="1:18" x14ac:dyDescent="0.25">
      <c r="A2506" s="170">
        <v>45692</v>
      </c>
      <c r="B2506" s="116">
        <v>3910.9</v>
      </c>
      <c r="C2506" s="116">
        <v>3876.3</v>
      </c>
      <c r="D2506" s="116">
        <v>3809.3</v>
      </c>
      <c r="E2506" s="116">
        <v>3901.1</v>
      </c>
      <c r="F2506" s="116">
        <v>3876.3</v>
      </c>
      <c r="G2506">
        <v>8333</v>
      </c>
      <c r="H2506" s="116"/>
      <c r="I2506" s="116"/>
      <c r="L2506" s="170">
        <v>45692</v>
      </c>
      <c r="M2506" s="116">
        <v>3877</v>
      </c>
      <c r="N2506" s="116">
        <v>3920</v>
      </c>
      <c r="O2506" s="116">
        <v>3808.4</v>
      </c>
      <c r="P2506" s="116">
        <v>3900</v>
      </c>
      <c r="Q2506" s="116">
        <v>3877</v>
      </c>
      <c r="R2506">
        <v>393527</v>
      </c>
    </row>
    <row r="2507" spans="1:18" x14ac:dyDescent="0.25">
      <c r="A2507" s="170">
        <v>45693</v>
      </c>
      <c r="B2507" s="116">
        <v>3957.65</v>
      </c>
      <c r="C2507" s="116">
        <v>3895.85</v>
      </c>
      <c r="D2507" s="116">
        <v>3874.05</v>
      </c>
      <c r="E2507" s="116">
        <v>3889.35</v>
      </c>
      <c r="F2507" s="116">
        <v>3895.85</v>
      </c>
      <c r="G2507">
        <v>1825</v>
      </c>
      <c r="H2507" s="116"/>
      <c r="I2507" s="116"/>
      <c r="L2507" s="170">
        <v>45693</v>
      </c>
      <c r="M2507" s="116">
        <v>3895.05</v>
      </c>
      <c r="N2507" s="116">
        <v>3964.85</v>
      </c>
      <c r="O2507" s="116">
        <v>3878.05</v>
      </c>
      <c r="P2507" s="116">
        <v>3878.05</v>
      </c>
      <c r="Q2507" s="116">
        <v>3895.05</v>
      </c>
      <c r="R2507">
        <v>396028</v>
      </c>
    </row>
    <row r="2508" spans="1:18" x14ac:dyDescent="0.25">
      <c r="A2508" s="170">
        <v>45694</v>
      </c>
      <c r="B2508" s="116">
        <v>3947.3</v>
      </c>
      <c r="C2508" s="116">
        <v>3920.55</v>
      </c>
      <c r="D2508" s="116">
        <v>3884.9</v>
      </c>
      <c r="E2508" s="116">
        <v>3921.7</v>
      </c>
      <c r="F2508" s="116">
        <v>3920.55</v>
      </c>
      <c r="G2508">
        <v>4011</v>
      </c>
      <c r="H2508" s="116"/>
      <c r="I2508" s="116"/>
      <c r="L2508" s="170">
        <v>45694</v>
      </c>
      <c r="M2508" s="116">
        <v>3921.15</v>
      </c>
      <c r="N2508" s="116">
        <v>3945</v>
      </c>
      <c r="O2508" s="116">
        <v>3885</v>
      </c>
      <c r="P2508" s="116">
        <v>3910</v>
      </c>
      <c r="Q2508" s="116">
        <v>3921.15</v>
      </c>
      <c r="R2508">
        <v>172402</v>
      </c>
    </row>
    <row r="2509" spans="1:18" x14ac:dyDescent="0.25">
      <c r="A2509" s="170">
        <v>45695</v>
      </c>
      <c r="B2509" s="116">
        <v>3964.8</v>
      </c>
      <c r="C2509" s="116">
        <v>3907.85</v>
      </c>
      <c r="D2509" s="116">
        <v>3891.35</v>
      </c>
      <c r="E2509" s="116">
        <v>3964.8</v>
      </c>
      <c r="F2509" s="116">
        <v>3907.85</v>
      </c>
      <c r="G2509">
        <v>1452</v>
      </c>
      <c r="H2509" s="116"/>
      <c r="I2509" s="116"/>
      <c r="L2509" s="170">
        <v>45695</v>
      </c>
      <c r="M2509" s="116">
        <v>3912.25</v>
      </c>
      <c r="N2509" s="116">
        <v>3955.8</v>
      </c>
      <c r="O2509" s="116">
        <v>3885.75</v>
      </c>
      <c r="P2509" s="116">
        <v>3940.8</v>
      </c>
      <c r="Q2509" s="116">
        <v>3912.25</v>
      </c>
      <c r="R2509">
        <v>152667</v>
      </c>
    </row>
    <row r="2510" spans="1:18" x14ac:dyDescent="0.25">
      <c r="A2510" s="170">
        <v>45698</v>
      </c>
      <c r="B2510" s="116">
        <v>3907.9</v>
      </c>
      <c r="C2510" s="116">
        <v>3790.85</v>
      </c>
      <c r="D2510" s="116">
        <v>3778.6</v>
      </c>
      <c r="E2510" s="116">
        <v>3907.9</v>
      </c>
      <c r="F2510" s="116">
        <v>3790.85</v>
      </c>
      <c r="G2510">
        <v>3224</v>
      </c>
      <c r="H2510" s="116"/>
      <c r="I2510" s="116"/>
      <c r="L2510" s="170">
        <v>45698</v>
      </c>
      <c r="M2510" s="116">
        <v>3794.9</v>
      </c>
      <c r="N2510" s="116">
        <v>3917.75</v>
      </c>
      <c r="O2510" s="116">
        <v>3781.5</v>
      </c>
      <c r="P2510" s="116">
        <v>3912.25</v>
      </c>
      <c r="Q2510" s="116">
        <v>3794.9</v>
      </c>
      <c r="R2510">
        <v>144490</v>
      </c>
    </row>
    <row r="2511" spans="1:18" x14ac:dyDescent="0.25">
      <c r="A2511" s="170">
        <v>45699</v>
      </c>
      <c r="B2511" s="116">
        <v>3796.75</v>
      </c>
      <c r="C2511" s="116">
        <v>3559.75</v>
      </c>
      <c r="D2511" s="116">
        <v>3500.6</v>
      </c>
      <c r="E2511" s="116">
        <v>3790.85</v>
      </c>
      <c r="F2511" s="116">
        <v>3559.75</v>
      </c>
      <c r="G2511">
        <v>11588</v>
      </c>
      <c r="H2511" s="116"/>
      <c r="I2511" s="116"/>
      <c r="L2511" s="170">
        <v>45699</v>
      </c>
      <c r="M2511" s="116">
        <v>3560.35</v>
      </c>
      <c r="N2511" s="116">
        <v>3809</v>
      </c>
      <c r="O2511" s="116">
        <v>3500.65</v>
      </c>
      <c r="P2511" s="116">
        <v>3799.95</v>
      </c>
      <c r="Q2511" s="116">
        <v>3560.35</v>
      </c>
      <c r="R2511">
        <v>540824</v>
      </c>
    </row>
    <row r="2512" spans="1:18" x14ac:dyDescent="0.25">
      <c r="A2512" s="170">
        <v>45700</v>
      </c>
      <c r="B2512" s="116">
        <v>3560</v>
      </c>
      <c r="C2512" s="116">
        <v>3479.35</v>
      </c>
      <c r="D2512" s="116">
        <v>3404.6</v>
      </c>
      <c r="E2512" s="116">
        <v>3560</v>
      </c>
      <c r="F2512" s="116">
        <v>3479.35</v>
      </c>
      <c r="G2512">
        <v>6425</v>
      </c>
      <c r="H2512" s="116"/>
      <c r="I2512" s="116"/>
      <c r="L2512" s="170">
        <v>45700</v>
      </c>
      <c r="M2512" s="116">
        <v>3479.95</v>
      </c>
      <c r="N2512" s="116">
        <v>3565.9</v>
      </c>
      <c r="O2512" s="116">
        <v>3401</v>
      </c>
      <c r="P2512" s="116">
        <v>3560.35</v>
      </c>
      <c r="Q2512" s="116">
        <v>3479.95</v>
      </c>
      <c r="R2512">
        <v>1011381</v>
      </c>
    </row>
    <row r="2513" spans="1:18" x14ac:dyDescent="0.25">
      <c r="A2513" s="170">
        <v>45701</v>
      </c>
      <c r="B2513" s="116">
        <v>3521.95</v>
      </c>
      <c r="C2513" s="116">
        <v>3405.65</v>
      </c>
      <c r="D2513" s="116">
        <v>3388.35</v>
      </c>
      <c r="E2513" s="116">
        <v>3521.95</v>
      </c>
      <c r="F2513" s="116">
        <v>3405.65</v>
      </c>
      <c r="G2513">
        <v>13267</v>
      </c>
      <c r="H2513" s="116"/>
      <c r="I2513" s="116"/>
      <c r="L2513" s="170">
        <v>45701</v>
      </c>
      <c r="M2513" s="116">
        <v>3404</v>
      </c>
      <c r="N2513" s="116">
        <v>3518.1</v>
      </c>
      <c r="O2513" s="116">
        <v>3390.4</v>
      </c>
      <c r="P2513" s="116">
        <v>3518.1</v>
      </c>
      <c r="Q2513" s="116">
        <v>3404</v>
      </c>
      <c r="R2513">
        <v>869828</v>
      </c>
    </row>
    <row r="2514" spans="1:18" x14ac:dyDescent="0.25">
      <c r="A2514" s="170">
        <v>45702</v>
      </c>
      <c r="B2514" s="116">
        <v>3499.95</v>
      </c>
      <c r="C2514" s="116">
        <v>3412.3</v>
      </c>
      <c r="D2514" s="116">
        <v>3330</v>
      </c>
      <c r="E2514" s="116">
        <v>3499.95</v>
      </c>
      <c r="F2514" s="116">
        <v>3412.3</v>
      </c>
      <c r="G2514">
        <v>6651</v>
      </c>
      <c r="H2514" s="116"/>
      <c r="I2514" s="116"/>
      <c r="L2514" s="170">
        <v>45702</v>
      </c>
      <c r="M2514" s="116">
        <v>3411.65</v>
      </c>
      <c r="N2514" s="116">
        <v>3475</v>
      </c>
      <c r="O2514" s="116">
        <v>3330.95</v>
      </c>
      <c r="P2514" s="116">
        <v>3410</v>
      </c>
      <c r="Q2514" s="116">
        <v>3411.65</v>
      </c>
      <c r="R2514">
        <v>321223</v>
      </c>
    </row>
    <row r="2515" spans="1:18" x14ac:dyDescent="0.25">
      <c r="A2515" s="170">
        <v>45705</v>
      </c>
      <c r="B2515" s="116">
        <v>3464.95</v>
      </c>
      <c r="C2515" s="116">
        <v>3449.45</v>
      </c>
      <c r="D2515" s="116">
        <v>3332.8</v>
      </c>
      <c r="E2515" s="116">
        <v>3409.65</v>
      </c>
      <c r="F2515" s="116">
        <v>3449.45</v>
      </c>
      <c r="G2515">
        <v>10102</v>
      </c>
      <c r="H2515" s="116"/>
      <c r="I2515" s="116"/>
      <c r="L2515" s="170">
        <v>45705</v>
      </c>
      <c r="M2515" s="116">
        <v>3447.25</v>
      </c>
      <c r="N2515" s="116">
        <v>3474</v>
      </c>
      <c r="O2515" s="116">
        <v>3335.05</v>
      </c>
      <c r="P2515" s="116">
        <v>3399</v>
      </c>
      <c r="Q2515" s="116">
        <v>3447.25</v>
      </c>
      <c r="R2515">
        <v>340083</v>
      </c>
    </row>
    <row r="2516" spans="1:18" x14ac:dyDescent="0.25">
      <c r="A2516" s="170">
        <v>45706</v>
      </c>
      <c r="B2516" s="116">
        <v>3460.85</v>
      </c>
      <c r="C2516" s="116">
        <v>3403.05</v>
      </c>
      <c r="D2516" s="116">
        <v>3367</v>
      </c>
      <c r="E2516" s="116">
        <v>3455.3</v>
      </c>
      <c r="F2516" s="116">
        <v>3403.05</v>
      </c>
      <c r="G2516">
        <v>9469</v>
      </c>
      <c r="H2516" s="116"/>
      <c r="I2516" s="116"/>
      <c r="L2516" s="170">
        <v>45706</v>
      </c>
      <c r="M2516" s="116">
        <v>3403.6</v>
      </c>
      <c r="N2516" s="116">
        <v>3468.75</v>
      </c>
      <c r="O2516" s="116">
        <v>3366.5</v>
      </c>
      <c r="P2516" s="116">
        <v>3410.35</v>
      </c>
      <c r="Q2516" s="116">
        <v>3403.6</v>
      </c>
      <c r="R2516">
        <v>296138</v>
      </c>
    </row>
    <row r="2517" spans="1:18" x14ac:dyDescent="0.25">
      <c r="A2517" s="170">
        <v>45707</v>
      </c>
      <c r="B2517" s="116">
        <v>3581</v>
      </c>
      <c r="C2517" s="116">
        <v>3565.8</v>
      </c>
      <c r="D2517" s="116">
        <v>3377.3</v>
      </c>
      <c r="E2517" s="116">
        <v>3381.05</v>
      </c>
      <c r="F2517" s="116">
        <v>3565.8</v>
      </c>
      <c r="G2517">
        <v>7765</v>
      </c>
      <c r="H2517" s="116"/>
      <c r="I2517" s="116"/>
      <c r="L2517" s="170">
        <v>45707</v>
      </c>
      <c r="M2517" s="116">
        <v>3568.6</v>
      </c>
      <c r="N2517" s="116">
        <v>3587.95</v>
      </c>
      <c r="O2517" s="116">
        <v>3379</v>
      </c>
      <c r="P2517" s="116">
        <v>3380</v>
      </c>
      <c r="Q2517" s="116">
        <v>3568.6</v>
      </c>
      <c r="R2517">
        <v>563786</v>
      </c>
    </row>
    <row r="2518" spans="1:18" x14ac:dyDescent="0.25">
      <c r="A2518" s="170">
        <v>45708</v>
      </c>
      <c r="B2518" s="116">
        <v>3752.75</v>
      </c>
      <c r="C2518" s="116">
        <v>3731.9</v>
      </c>
      <c r="D2518" s="116">
        <v>3538.05</v>
      </c>
      <c r="E2518" s="116">
        <v>3580.1</v>
      </c>
      <c r="F2518" s="116">
        <v>3731.9</v>
      </c>
      <c r="G2518">
        <v>5781</v>
      </c>
      <c r="H2518" s="116"/>
      <c r="I2518" s="116"/>
      <c r="L2518" s="170">
        <v>45708</v>
      </c>
      <c r="M2518" s="116">
        <v>3732.45</v>
      </c>
      <c r="N2518" s="116">
        <v>3753.95</v>
      </c>
      <c r="O2518" s="116">
        <v>3525</v>
      </c>
      <c r="P2518" s="116">
        <v>3570</v>
      </c>
      <c r="Q2518" s="116">
        <v>3732.45</v>
      </c>
      <c r="R2518">
        <v>523328</v>
      </c>
    </row>
    <row r="2519" spans="1:18" x14ac:dyDescent="0.25">
      <c r="A2519" s="170">
        <v>45709</v>
      </c>
      <c r="B2519" s="116">
        <v>3930.95</v>
      </c>
      <c r="C2519" s="116">
        <v>3847</v>
      </c>
      <c r="D2519" s="116">
        <v>3735.25</v>
      </c>
      <c r="E2519" s="116">
        <v>3743.4</v>
      </c>
      <c r="F2519" s="116">
        <v>3847</v>
      </c>
      <c r="G2519">
        <v>13262</v>
      </c>
      <c r="H2519" s="116"/>
      <c r="I2519" s="116"/>
      <c r="L2519" s="170">
        <v>45709</v>
      </c>
      <c r="M2519" s="116">
        <v>3844.45</v>
      </c>
      <c r="N2519" s="116">
        <v>3932.35</v>
      </c>
      <c r="O2519" s="116">
        <v>3735</v>
      </c>
      <c r="P2519" s="116">
        <v>3739.1</v>
      </c>
      <c r="Q2519" s="116">
        <v>3844.45</v>
      </c>
      <c r="R2519">
        <v>807902</v>
      </c>
    </row>
    <row r="2520" spans="1:18" x14ac:dyDescent="0.25">
      <c r="A2520" s="170">
        <v>45712</v>
      </c>
      <c r="B2520" s="116">
        <v>3863.55</v>
      </c>
      <c r="C2520" s="116">
        <v>3739.3</v>
      </c>
      <c r="D2520" s="116">
        <v>3718.15</v>
      </c>
      <c r="E2520" s="116">
        <v>3839.7</v>
      </c>
      <c r="F2520" s="116">
        <v>3739.3</v>
      </c>
      <c r="G2520">
        <v>9346</v>
      </c>
      <c r="H2520" s="116"/>
      <c r="I2520" s="116"/>
      <c r="L2520" s="170">
        <v>45712</v>
      </c>
      <c r="M2520" s="116">
        <v>3741.9</v>
      </c>
      <c r="N2520" s="116">
        <v>3859.5</v>
      </c>
      <c r="O2520" s="116">
        <v>3716.1</v>
      </c>
      <c r="P2520" s="116">
        <v>3810.1</v>
      </c>
      <c r="Q2520" s="116">
        <v>3741.9</v>
      </c>
      <c r="R2520">
        <v>408922</v>
      </c>
    </row>
    <row r="2521" spans="1:18" x14ac:dyDescent="0.25">
      <c r="A2521" s="170">
        <v>45713</v>
      </c>
      <c r="B2521" s="116">
        <v>3836.7</v>
      </c>
      <c r="C2521" s="116">
        <v>3796.05</v>
      </c>
      <c r="D2521" s="116">
        <v>3745</v>
      </c>
      <c r="E2521" s="116">
        <v>3757.95</v>
      </c>
      <c r="F2521" s="116">
        <v>3796.05</v>
      </c>
      <c r="G2521">
        <v>3025</v>
      </c>
      <c r="H2521" s="116"/>
      <c r="I2521" s="116"/>
      <c r="L2521" s="170">
        <v>45713</v>
      </c>
      <c r="M2521" s="116">
        <v>3797.85</v>
      </c>
      <c r="N2521" s="116">
        <v>3836.9</v>
      </c>
      <c r="O2521" s="116">
        <v>3740</v>
      </c>
      <c r="P2521" s="116">
        <v>3749.95</v>
      </c>
      <c r="Q2521" s="116">
        <v>3797.85</v>
      </c>
      <c r="R2521">
        <v>289870</v>
      </c>
    </row>
    <row r="2522" spans="1:18" x14ac:dyDescent="0.25">
      <c r="A2522" s="170">
        <v>45715</v>
      </c>
      <c r="B2522" s="116">
        <v>3487.95</v>
      </c>
      <c r="C2522" s="116">
        <v>2997.7</v>
      </c>
      <c r="D2522" s="116">
        <v>2973.3</v>
      </c>
      <c r="E2522" s="116">
        <v>3487.95</v>
      </c>
      <c r="F2522" s="116">
        <v>2997.7</v>
      </c>
      <c r="G2522">
        <v>125539</v>
      </c>
      <c r="H2522" s="116"/>
      <c r="I2522" s="116"/>
      <c r="L2522" s="170">
        <v>45715</v>
      </c>
      <c r="M2522" s="116">
        <v>2999.05</v>
      </c>
      <c r="N2522" s="116">
        <v>3450</v>
      </c>
      <c r="O2522" s="116">
        <v>2974.4</v>
      </c>
      <c r="P2522" s="116">
        <v>3450</v>
      </c>
      <c r="Q2522" s="116">
        <v>2999.05</v>
      </c>
      <c r="R2522">
        <v>5271343</v>
      </c>
    </row>
    <row r="2523" spans="1:18" x14ac:dyDescent="0.25">
      <c r="A2523" s="170">
        <v>45716</v>
      </c>
      <c r="B2523" s="116">
        <v>3224</v>
      </c>
      <c r="C2523" s="116">
        <v>3089.2</v>
      </c>
      <c r="D2523" s="116">
        <v>2906</v>
      </c>
      <c r="E2523" s="116">
        <v>2984.4</v>
      </c>
      <c r="F2523" s="116">
        <v>3089.2</v>
      </c>
      <c r="G2523">
        <v>115017</v>
      </c>
      <c r="H2523" s="116"/>
      <c r="I2523" s="116"/>
      <c r="L2523" s="170">
        <v>45716</v>
      </c>
      <c r="M2523" s="116">
        <v>3070.15</v>
      </c>
      <c r="N2523" s="116">
        <v>3225</v>
      </c>
      <c r="O2523" s="116">
        <v>2902.85</v>
      </c>
      <c r="P2523" s="116">
        <v>2974</v>
      </c>
      <c r="Q2523" s="116">
        <v>3070.15</v>
      </c>
      <c r="R2523">
        <v>5860362</v>
      </c>
    </row>
    <row r="2524" spans="1:18" x14ac:dyDescent="0.25">
      <c r="A2524" s="170">
        <v>45719</v>
      </c>
      <c r="B2524" s="116">
        <v>3251.7</v>
      </c>
      <c r="C2524" s="116">
        <v>3134.25</v>
      </c>
      <c r="D2524" s="116">
        <v>3024.8</v>
      </c>
      <c r="E2524" s="116">
        <v>3149.45</v>
      </c>
      <c r="F2524" s="116">
        <v>3134.25</v>
      </c>
      <c r="G2524">
        <v>73941</v>
      </c>
      <c r="H2524" s="116"/>
      <c r="I2524" s="116"/>
      <c r="L2524" s="170">
        <v>45719</v>
      </c>
      <c r="M2524" s="116">
        <v>3137.15</v>
      </c>
      <c r="N2524" s="116">
        <v>3239.9</v>
      </c>
      <c r="O2524" s="116">
        <v>3025.5</v>
      </c>
      <c r="P2524" s="116">
        <v>3151.3</v>
      </c>
      <c r="Q2524" s="116">
        <v>3137.15</v>
      </c>
      <c r="R2524">
        <v>1638079</v>
      </c>
    </row>
    <row r="2525" spans="1:18" x14ac:dyDescent="0.25">
      <c r="A2525" s="170">
        <v>45720</v>
      </c>
      <c r="B2525" s="116">
        <v>3168.45</v>
      </c>
      <c r="C2525" s="116">
        <v>3141.45</v>
      </c>
      <c r="D2525" s="116">
        <v>3075.05</v>
      </c>
      <c r="E2525" s="116">
        <v>3098.95</v>
      </c>
      <c r="F2525" s="116">
        <v>3141.45</v>
      </c>
      <c r="G2525">
        <v>25213</v>
      </c>
      <c r="H2525" s="116"/>
      <c r="I2525" s="116"/>
      <c r="L2525" s="170">
        <v>45720</v>
      </c>
      <c r="M2525" s="116">
        <v>3140.85</v>
      </c>
      <c r="N2525" s="116">
        <v>3169</v>
      </c>
      <c r="O2525" s="116">
        <v>3074.4</v>
      </c>
      <c r="P2525" s="116">
        <v>3080</v>
      </c>
      <c r="Q2525" s="116">
        <v>3140.85</v>
      </c>
      <c r="R2525">
        <v>837292</v>
      </c>
    </row>
    <row r="2526" spans="1:18" x14ac:dyDescent="0.25">
      <c r="A2526" s="170">
        <v>45721</v>
      </c>
      <c r="B2526" s="116">
        <v>3303.25</v>
      </c>
      <c r="C2526" s="116">
        <v>3286.5</v>
      </c>
      <c r="D2526" s="116">
        <v>3129.7</v>
      </c>
      <c r="E2526" s="116">
        <v>3179.8</v>
      </c>
      <c r="F2526" s="116">
        <v>3286.5</v>
      </c>
      <c r="G2526">
        <v>54993</v>
      </c>
      <c r="H2526" s="116"/>
      <c r="I2526" s="116"/>
      <c r="L2526" s="170">
        <v>45721</v>
      </c>
      <c r="M2526" s="116">
        <v>3287.2</v>
      </c>
      <c r="N2526" s="116">
        <v>3305</v>
      </c>
      <c r="O2526" s="116">
        <v>3121.25</v>
      </c>
      <c r="P2526" s="116">
        <v>3129.05</v>
      </c>
      <c r="Q2526" s="116">
        <v>3287.2</v>
      </c>
      <c r="R2526">
        <v>1260570</v>
      </c>
    </row>
    <row r="2527" spans="1:18" x14ac:dyDescent="0.25">
      <c r="A2527" s="170">
        <v>45722</v>
      </c>
      <c r="B2527" s="116">
        <v>3340.2</v>
      </c>
      <c r="C2527" s="116">
        <v>3285.2</v>
      </c>
      <c r="D2527" s="116">
        <v>3250</v>
      </c>
      <c r="E2527" s="116">
        <v>3320.55</v>
      </c>
      <c r="F2527" s="116">
        <v>3285.2</v>
      </c>
      <c r="G2527">
        <v>20108</v>
      </c>
      <c r="H2527" s="116"/>
      <c r="I2527" s="116"/>
      <c r="L2527" s="170">
        <v>45722</v>
      </c>
      <c r="M2527" s="116">
        <v>3287.25</v>
      </c>
      <c r="N2527" s="116">
        <v>3344.35</v>
      </c>
      <c r="O2527" s="116">
        <v>3246.05</v>
      </c>
      <c r="P2527" s="116">
        <v>3310.05</v>
      </c>
      <c r="Q2527" s="116">
        <v>3287.25</v>
      </c>
      <c r="R2527">
        <v>585854</v>
      </c>
    </row>
    <row r="2528" spans="1:18" x14ac:dyDescent="0.25">
      <c r="A2528" s="170">
        <v>45723</v>
      </c>
      <c r="B2528" s="116">
        <v>3299.95</v>
      </c>
      <c r="C2528" s="116">
        <v>3225.7</v>
      </c>
      <c r="D2528" s="116">
        <v>3205</v>
      </c>
      <c r="E2528" s="116">
        <v>3299.95</v>
      </c>
      <c r="F2528" s="116">
        <v>3225.7</v>
      </c>
      <c r="G2528">
        <v>7948</v>
      </c>
      <c r="H2528" s="116"/>
      <c r="I2528" s="116"/>
      <c r="L2528" s="170">
        <v>45723</v>
      </c>
      <c r="M2528" s="116">
        <v>3223.85</v>
      </c>
      <c r="N2528" s="116">
        <v>3285</v>
      </c>
      <c r="O2528" s="116">
        <v>3204</v>
      </c>
      <c r="P2528" s="116">
        <v>3277.05</v>
      </c>
      <c r="Q2528" s="116">
        <v>3223.85</v>
      </c>
      <c r="R2528">
        <v>454725</v>
      </c>
    </row>
    <row r="2529" spans="1:18" x14ac:dyDescent="0.25">
      <c r="A2529" s="170">
        <v>45726</v>
      </c>
      <c r="B2529" s="116">
        <v>3244.45</v>
      </c>
      <c r="C2529" s="116">
        <v>3031.8</v>
      </c>
      <c r="D2529" s="116">
        <v>3020</v>
      </c>
      <c r="E2529" s="116">
        <v>3226.35</v>
      </c>
      <c r="F2529" s="116">
        <v>3031.8</v>
      </c>
      <c r="G2529">
        <v>24507</v>
      </c>
      <c r="H2529" s="116"/>
      <c r="I2529" s="116"/>
      <c r="L2529" s="170">
        <v>45726</v>
      </c>
      <c r="M2529" s="116">
        <v>3030.75</v>
      </c>
      <c r="N2529" s="116">
        <v>3242.5</v>
      </c>
      <c r="O2529" s="116">
        <v>3020</v>
      </c>
      <c r="P2529" s="116">
        <v>3235.65</v>
      </c>
      <c r="Q2529" s="116">
        <v>3030.75</v>
      </c>
      <c r="R2529">
        <v>716195</v>
      </c>
    </row>
    <row r="2530" spans="1:18" x14ac:dyDescent="0.25">
      <c r="A2530" s="170">
        <v>45727</v>
      </c>
      <c r="B2530" s="116">
        <v>3058.6</v>
      </c>
      <c r="C2530" s="116">
        <v>3036.2</v>
      </c>
      <c r="D2530" s="116">
        <v>2950.3</v>
      </c>
      <c r="E2530" s="116">
        <v>2950.3</v>
      </c>
      <c r="F2530" s="116">
        <v>3036.2</v>
      </c>
      <c r="G2530">
        <v>16812</v>
      </c>
      <c r="H2530" s="116"/>
      <c r="I2530" s="116"/>
      <c r="L2530" s="170">
        <v>45727</v>
      </c>
      <c r="M2530" s="116">
        <v>3028.45</v>
      </c>
      <c r="N2530" s="116">
        <v>3059</v>
      </c>
      <c r="O2530" s="116">
        <v>2963.05</v>
      </c>
      <c r="P2530" s="116">
        <v>2975</v>
      </c>
      <c r="Q2530" s="116">
        <v>3028.45</v>
      </c>
      <c r="R2530">
        <v>566221</v>
      </c>
    </row>
    <row r="2531" spans="1:18" x14ac:dyDescent="0.25">
      <c r="A2531" s="170">
        <v>45728</v>
      </c>
      <c r="B2531" s="116">
        <v>3097</v>
      </c>
      <c r="C2531" s="116">
        <v>3061.8</v>
      </c>
      <c r="D2531" s="116">
        <v>3006.65</v>
      </c>
      <c r="E2531" s="116">
        <v>3016.4</v>
      </c>
      <c r="F2531" s="116">
        <v>3061.8</v>
      </c>
      <c r="G2531">
        <v>18109</v>
      </c>
      <c r="H2531" s="116"/>
      <c r="I2531" s="116"/>
      <c r="L2531" s="170">
        <v>45728</v>
      </c>
      <c r="M2531" s="116">
        <v>3065.45</v>
      </c>
      <c r="N2531" s="116">
        <v>3096.95</v>
      </c>
      <c r="O2531" s="116">
        <v>3018.65</v>
      </c>
      <c r="P2531" s="116">
        <v>3035.95</v>
      </c>
      <c r="Q2531" s="116">
        <v>3065.45</v>
      </c>
      <c r="R2531">
        <v>271429</v>
      </c>
    </row>
    <row r="2532" spans="1:18" x14ac:dyDescent="0.25">
      <c r="A2532" s="170">
        <v>45729</v>
      </c>
      <c r="B2532" s="116">
        <v>3089</v>
      </c>
      <c r="C2532" s="116">
        <v>3050.3</v>
      </c>
      <c r="D2532" s="116">
        <v>3040</v>
      </c>
      <c r="E2532" s="116">
        <v>3066.35</v>
      </c>
      <c r="F2532" s="116">
        <v>3050.3</v>
      </c>
      <c r="G2532">
        <v>4264</v>
      </c>
      <c r="H2532" s="116"/>
      <c r="I2532" s="116"/>
      <c r="L2532" s="170">
        <v>45729</v>
      </c>
      <c r="M2532" s="116">
        <v>3053.95</v>
      </c>
      <c r="N2532" s="116">
        <v>3090</v>
      </c>
      <c r="O2532" s="116">
        <v>3036</v>
      </c>
      <c r="P2532" s="116">
        <v>3085</v>
      </c>
      <c r="Q2532" s="116">
        <v>3053.95</v>
      </c>
      <c r="R2532">
        <v>248157</v>
      </c>
    </row>
    <row r="2533" spans="1:18" x14ac:dyDescent="0.25">
      <c r="A2533" s="170">
        <v>45733</v>
      </c>
      <c r="B2533" s="116">
        <v>3138</v>
      </c>
      <c r="C2533" s="116">
        <v>3123.4</v>
      </c>
      <c r="D2533" s="116">
        <v>3022.45</v>
      </c>
      <c r="E2533" s="116">
        <v>3049.95</v>
      </c>
      <c r="F2533" s="116">
        <v>3123.4</v>
      </c>
      <c r="G2533">
        <v>11850</v>
      </c>
      <c r="H2533" s="116"/>
      <c r="I2533" s="116"/>
      <c r="L2533" s="170">
        <v>45733</v>
      </c>
      <c r="M2533" s="116">
        <v>3124.05</v>
      </c>
      <c r="N2533" s="116">
        <v>3140.5</v>
      </c>
      <c r="O2533" s="116">
        <v>3020.1</v>
      </c>
      <c r="P2533" s="116">
        <v>3036</v>
      </c>
      <c r="Q2533" s="116">
        <v>3124.05</v>
      </c>
      <c r="R2533">
        <v>468552</v>
      </c>
    </row>
    <row r="2534" spans="1:18" x14ac:dyDescent="0.25">
      <c r="A2534" s="170">
        <v>45734</v>
      </c>
      <c r="B2534" s="116">
        <v>3275</v>
      </c>
      <c r="C2534" s="116">
        <v>3266.2</v>
      </c>
      <c r="D2534" s="116">
        <v>3142</v>
      </c>
      <c r="E2534" s="116">
        <v>3149.4</v>
      </c>
      <c r="F2534" s="116">
        <v>3266.2</v>
      </c>
      <c r="G2534">
        <v>5897</v>
      </c>
      <c r="H2534" s="116"/>
      <c r="I2534" s="116"/>
      <c r="L2534" s="170">
        <v>45734</v>
      </c>
      <c r="M2534" s="116">
        <v>3265.95</v>
      </c>
      <c r="N2534" s="116">
        <v>3277</v>
      </c>
      <c r="O2534" s="116">
        <v>3133.1</v>
      </c>
      <c r="P2534" s="116">
        <v>3140.05</v>
      </c>
      <c r="Q2534" s="116">
        <v>3265.95</v>
      </c>
      <c r="R2534">
        <v>341060</v>
      </c>
    </row>
    <row r="2535" spans="1:18" x14ac:dyDescent="0.25">
      <c r="A2535" s="170">
        <v>45735</v>
      </c>
      <c r="B2535" s="116">
        <v>3320.9</v>
      </c>
      <c r="C2535" s="116">
        <v>3279.45</v>
      </c>
      <c r="D2535" s="116">
        <v>3243.65</v>
      </c>
      <c r="E2535" s="116">
        <v>3269.95</v>
      </c>
      <c r="F2535" s="116">
        <v>3279.45</v>
      </c>
      <c r="G2535">
        <v>14730</v>
      </c>
      <c r="H2535" s="116"/>
      <c r="I2535" s="116"/>
      <c r="L2535" s="170">
        <v>45735</v>
      </c>
      <c r="M2535" s="116">
        <v>3283.25</v>
      </c>
      <c r="N2535" s="116">
        <v>3324</v>
      </c>
      <c r="O2535" s="116">
        <v>3240.35</v>
      </c>
      <c r="P2535" s="116">
        <v>3268.05</v>
      </c>
      <c r="Q2535" s="116">
        <v>3283.25</v>
      </c>
      <c r="R2535">
        <v>416246</v>
      </c>
    </row>
    <row r="2536" spans="1:18" x14ac:dyDescent="0.25">
      <c r="A2536" s="170">
        <v>45736</v>
      </c>
      <c r="B2536" s="116">
        <v>3199.95</v>
      </c>
      <c r="C2536" s="116">
        <v>2843.65</v>
      </c>
      <c r="D2536" s="116">
        <v>2765</v>
      </c>
      <c r="E2536" s="116">
        <v>3199.95</v>
      </c>
      <c r="F2536" s="116">
        <v>2843.65</v>
      </c>
      <c r="G2536">
        <v>251494</v>
      </c>
      <c r="H2536" s="116"/>
      <c r="I2536" s="116"/>
      <c r="L2536" s="170">
        <v>45736</v>
      </c>
      <c r="M2536" s="116">
        <v>2841.1</v>
      </c>
      <c r="N2536" s="116">
        <v>3169.95</v>
      </c>
      <c r="O2536" s="116">
        <v>2762.25</v>
      </c>
      <c r="P2536" s="116">
        <v>3155.25</v>
      </c>
      <c r="Q2536" s="116">
        <v>2841.1</v>
      </c>
      <c r="R2536">
        <v>8380075</v>
      </c>
    </row>
    <row r="2537" spans="1:18" x14ac:dyDescent="0.25">
      <c r="A2537" s="170">
        <v>45737</v>
      </c>
      <c r="B2537" s="116">
        <v>2938</v>
      </c>
      <c r="C2537" s="116">
        <v>2888.1</v>
      </c>
      <c r="D2537" s="116">
        <v>2853.85</v>
      </c>
      <c r="E2537" s="116">
        <v>2899.95</v>
      </c>
      <c r="F2537" s="116">
        <v>2888.1</v>
      </c>
      <c r="G2537">
        <v>147560</v>
      </c>
      <c r="H2537" s="116"/>
      <c r="I2537" s="116"/>
      <c r="L2537" s="170">
        <v>45737</v>
      </c>
      <c r="M2537" s="116">
        <v>2890.3</v>
      </c>
      <c r="N2537" s="116">
        <v>2936.75</v>
      </c>
      <c r="O2537" s="116">
        <v>2853</v>
      </c>
      <c r="P2537" s="116">
        <v>2892</v>
      </c>
      <c r="Q2537" s="116">
        <v>2890.3</v>
      </c>
      <c r="R2537">
        <v>3012943</v>
      </c>
    </row>
    <row r="2538" spans="1:18" x14ac:dyDescent="0.25">
      <c r="A2538" s="170">
        <v>45740</v>
      </c>
      <c r="B2538" s="116">
        <v>2942.5</v>
      </c>
      <c r="C2538" s="116">
        <v>2881.5</v>
      </c>
      <c r="D2538" s="116">
        <v>2875.1</v>
      </c>
      <c r="E2538" s="116">
        <v>2919.95</v>
      </c>
      <c r="F2538" s="116">
        <v>2881.5</v>
      </c>
      <c r="G2538">
        <v>34183</v>
      </c>
      <c r="H2538" s="116"/>
      <c r="I2538" s="116"/>
      <c r="L2538" s="170">
        <v>45740</v>
      </c>
      <c r="M2538" s="116">
        <v>2882.65</v>
      </c>
      <c r="N2538" s="116">
        <v>2943.5</v>
      </c>
      <c r="O2538" s="116">
        <v>2874.2</v>
      </c>
      <c r="P2538" s="116">
        <v>2907.05</v>
      </c>
      <c r="Q2538" s="116">
        <v>2882.65</v>
      </c>
      <c r="R2538">
        <v>1313628</v>
      </c>
    </row>
    <row r="2539" spans="1:18" x14ac:dyDescent="0.25">
      <c r="A2539" s="170">
        <v>45741</v>
      </c>
      <c r="B2539" s="116">
        <v>2935</v>
      </c>
      <c r="C2539" s="116">
        <v>2834.1</v>
      </c>
      <c r="D2539" s="116">
        <v>2827</v>
      </c>
      <c r="E2539" s="116">
        <v>2914.95</v>
      </c>
      <c r="F2539" s="116">
        <v>2834.1</v>
      </c>
      <c r="G2539">
        <v>22978</v>
      </c>
      <c r="H2539" s="116"/>
      <c r="I2539" s="116"/>
      <c r="L2539" s="170">
        <v>45741</v>
      </c>
      <c r="M2539" s="116">
        <v>2835.2</v>
      </c>
      <c r="N2539" s="116">
        <v>2936.95</v>
      </c>
      <c r="O2539" s="116">
        <v>2825</v>
      </c>
      <c r="P2539" s="116">
        <v>2907</v>
      </c>
      <c r="Q2539" s="116">
        <v>2835.2</v>
      </c>
      <c r="R2539">
        <v>1049515</v>
      </c>
    </row>
    <row r="2540" spans="1:18" x14ac:dyDescent="0.25">
      <c r="A2540" s="170">
        <v>45742</v>
      </c>
      <c r="B2540" s="116">
        <v>2884</v>
      </c>
      <c r="C2540" s="116">
        <v>2820.6</v>
      </c>
      <c r="D2540" s="116">
        <v>2815</v>
      </c>
      <c r="E2540" s="116">
        <v>2840.25</v>
      </c>
      <c r="F2540" s="116">
        <v>2820.6</v>
      </c>
      <c r="G2540">
        <v>16683</v>
      </c>
      <c r="H2540" s="116"/>
      <c r="I2540" s="116"/>
      <c r="L2540" s="170">
        <v>45742</v>
      </c>
      <c r="M2540" s="116">
        <v>2819.95</v>
      </c>
      <c r="N2540" s="116">
        <v>2884.75</v>
      </c>
      <c r="O2540" s="116">
        <v>2815</v>
      </c>
      <c r="P2540" s="116">
        <v>2844.5</v>
      </c>
      <c r="Q2540" s="116">
        <v>2819.95</v>
      </c>
      <c r="R2540">
        <v>727654</v>
      </c>
    </row>
    <row r="2541" spans="1:18" x14ac:dyDescent="0.25">
      <c r="A2541" s="170">
        <v>45743</v>
      </c>
      <c r="B2541" s="116">
        <v>2895</v>
      </c>
      <c r="C2541" s="116">
        <v>2883.5</v>
      </c>
      <c r="D2541" s="116">
        <v>2805.9</v>
      </c>
      <c r="E2541" s="116">
        <v>2822.05</v>
      </c>
      <c r="F2541" s="116">
        <v>2883.5</v>
      </c>
      <c r="G2541">
        <v>46776</v>
      </c>
      <c r="H2541" s="116"/>
      <c r="I2541" s="116"/>
      <c r="L2541" s="170">
        <v>45743</v>
      </c>
      <c r="M2541" s="116">
        <v>2883.25</v>
      </c>
      <c r="N2541" s="116">
        <v>2912</v>
      </c>
      <c r="O2541" s="116">
        <v>2805.3</v>
      </c>
      <c r="P2541" s="116">
        <v>2830.1</v>
      </c>
      <c r="Q2541" s="116">
        <v>2883.25</v>
      </c>
      <c r="R2541">
        <v>887991</v>
      </c>
    </row>
    <row r="2542" spans="1:18" x14ac:dyDescent="0.25">
      <c r="A2542" s="170">
        <v>45744</v>
      </c>
      <c r="B2542" s="116">
        <v>2942.95</v>
      </c>
      <c r="C2542" s="116">
        <v>2890.9</v>
      </c>
      <c r="D2542" s="116">
        <v>2878</v>
      </c>
      <c r="E2542" s="116">
        <v>2900.5</v>
      </c>
      <c r="F2542" s="116">
        <v>2890.9</v>
      </c>
      <c r="G2542">
        <v>53112</v>
      </c>
      <c r="H2542" s="116"/>
      <c r="I2542" s="116"/>
      <c r="L2542" s="170">
        <v>45744</v>
      </c>
      <c r="M2542" s="116">
        <v>2892.85</v>
      </c>
      <c r="N2542" s="116">
        <v>2944.95</v>
      </c>
      <c r="O2542" s="116">
        <v>2872.8</v>
      </c>
      <c r="P2542" s="116">
        <v>2904.65</v>
      </c>
      <c r="Q2542" s="116">
        <v>2892.85</v>
      </c>
      <c r="R2542">
        <v>722128</v>
      </c>
    </row>
    <row r="2543" spans="1:18" x14ac:dyDescent="0.25">
      <c r="A2543" s="170">
        <v>45748</v>
      </c>
      <c r="B2543" s="116">
        <v>2905.7</v>
      </c>
      <c r="C2543" s="116">
        <v>2827.55</v>
      </c>
      <c r="D2543" s="116">
        <v>2812.9</v>
      </c>
      <c r="E2543" s="116">
        <v>2872</v>
      </c>
      <c r="F2543" s="116">
        <v>2827.55</v>
      </c>
      <c r="G2543">
        <v>11968</v>
      </c>
      <c r="H2543" s="116"/>
      <c r="I2543" s="116"/>
      <c r="L2543" s="170">
        <v>45748</v>
      </c>
      <c r="M2543" s="116">
        <v>2829.4</v>
      </c>
      <c r="N2543" s="116">
        <v>2908.2</v>
      </c>
      <c r="O2543" s="116">
        <v>2812</v>
      </c>
      <c r="P2543" s="116">
        <v>2864</v>
      </c>
      <c r="Q2543" s="116">
        <v>2829.4</v>
      </c>
      <c r="R2543">
        <v>399933</v>
      </c>
    </row>
    <row r="2544" spans="1:18" x14ac:dyDescent="0.25">
      <c r="A2544" s="170">
        <v>45749</v>
      </c>
      <c r="B2544" s="116">
        <v>2895</v>
      </c>
      <c r="C2544" s="116">
        <v>2885.3</v>
      </c>
      <c r="D2544" s="116">
        <v>2764.1</v>
      </c>
      <c r="E2544" s="116">
        <v>2870</v>
      </c>
      <c r="F2544" s="116">
        <v>2885.3</v>
      </c>
      <c r="G2544">
        <v>19290</v>
      </c>
      <c r="H2544" s="116"/>
      <c r="I2544" s="116"/>
      <c r="L2544" s="170">
        <v>45749</v>
      </c>
      <c r="M2544" s="116">
        <v>2879.7</v>
      </c>
      <c r="N2544" s="116">
        <v>2883</v>
      </c>
      <c r="O2544" s="116">
        <v>2762</v>
      </c>
      <c r="P2544" s="116">
        <v>2830</v>
      </c>
      <c r="Q2544" s="116">
        <v>2879.7</v>
      </c>
      <c r="R2544">
        <v>766198</v>
      </c>
    </row>
    <row r="2545" spans="1:18" x14ac:dyDescent="0.25">
      <c r="A2545" s="170">
        <v>45750</v>
      </c>
      <c r="B2545" s="116">
        <v>2886.6</v>
      </c>
      <c r="C2545" s="116">
        <v>2823.1</v>
      </c>
      <c r="D2545" s="116">
        <v>2817.1</v>
      </c>
      <c r="E2545" s="116">
        <v>2864.65</v>
      </c>
      <c r="F2545" s="116">
        <v>2823.1</v>
      </c>
      <c r="G2545">
        <v>33195</v>
      </c>
      <c r="H2545" s="116"/>
      <c r="I2545" s="116"/>
      <c r="L2545" s="170">
        <v>45750</v>
      </c>
      <c r="M2545" s="116">
        <v>2824.4</v>
      </c>
      <c r="N2545" s="116">
        <v>2886.55</v>
      </c>
      <c r="O2545" s="116">
        <v>2817.25</v>
      </c>
      <c r="P2545" s="116">
        <v>2850</v>
      </c>
      <c r="Q2545" s="116">
        <v>2824.4</v>
      </c>
      <c r="R2545">
        <v>419420</v>
      </c>
    </row>
    <row r="2546" spans="1:18" x14ac:dyDescent="0.25">
      <c r="A2546" s="170">
        <v>45751</v>
      </c>
      <c r="B2546" s="116">
        <v>2826.55</v>
      </c>
      <c r="C2546" s="116">
        <v>2645.1</v>
      </c>
      <c r="D2546" s="116">
        <v>2614.5</v>
      </c>
      <c r="E2546" s="116">
        <v>2825</v>
      </c>
      <c r="F2546" s="116">
        <v>2645.1</v>
      </c>
      <c r="G2546">
        <v>27278</v>
      </c>
      <c r="H2546" s="116"/>
      <c r="I2546" s="116"/>
      <c r="L2546" s="170">
        <v>45751</v>
      </c>
      <c r="M2546" s="116">
        <v>2645.1</v>
      </c>
      <c r="N2546" s="116">
        <v>2839</v>
      </c>
      <c r="O2546" s="116">
        <v>2613.35</v>
      </c>
      <c r="P2546" s="116">
        <v>2824.9</v>
      </c>
      <c r="Q2546" s="116">
        <v>2645.1</v>
      </c>
      <c r="R2546">
        <v>975173</v>
      </c>
    </row>
    <row r="2547" spans="1:18" x14ac:dyDescent="0.25">
      <c r="A2547" s="170">
        <v>45754</v>
      </c>
      <c r="B2547" s="116">
        <v>2579.1</v>
      </c>
      <c r="C2547" s="116">
        <v>2509.9499999999998</v>
      </c>
      <c r="D2547" s="116">
        <v>2443.6999999999998</v>
      </c>
      <c r="E2547" s="116">
        <v>2485.0500000000002</v>
      </c>
      <c r="F2547" s="116">
        <v>2509.9499999999998</v>
      </c>
      <c r="G2547">
        <v>45997</v>
      </c>
      <c r="H2547" s="116"/>
      <c r="I2547" s="116"/>
      <c r="L2547" s="170">
        <v>45754</v>
      </c>
      <c r="M2547" s="116">
        <v>2509.75</v>
      </c>
      <c r="N2547" s="116">
        <v>2577.6999999999998</v>
      </c>
      <c r="O2547" s="116">
        <v>2424</v>
      </c>
      <c r="P2547" s="116">
        <v>2500</v>
      </c>
      <c r="Q2547" s="116">
        <v>2509.75</v>
      </c>
      <c r="R2547">
        <v>708097</v>
      </c>
    </row>
    <row r="2548" spans="1:18" x14ac:dyDescent="0.25">
      <c r="A2548" s="170">
        <v>45755</v>
      </c>
      <c r="B2548" s="116">
        <v>2619.6</v>
      </c>
      <c r="C2548" s="116">
        <v>2589.9</v>
      </c>
      <c r="D2548" s="116">
        <v>2535.8000000000002</v>
      </c>
      <c r="E2548" s="116">
        <v>2535.8000000000002</v>
      </c>
      <c r="F2548" s="116">
        <v>2589.9</v>
      </c>
      <c r="G2548">
        <v>38180</v>
      </c>
      <c r="H2548" s="116"/>
      <c r="I2548" s="116"/>
      <c r="L2548" s="170">
        <v>45755</v>
      </c>
      <c r="M2548" s="116">
        <v>2589.85</v>
      </c>
      <c r="N2548" s="116">
        <v>2618.9</v>
      </c>
      <c r="O2548" s="116">
        <v>2537.35</v>
      </c>
      <c r="P2548" s="116">
        <v>2580</v>
      </c>
      <c r="Q2548" s="116">
        <v>2589.85</v>
      </c>
      <c r="R2548">
        <v>574236</v>
      </c>
    </row>
    <row r="2549" spans="1:18" x14ac:dyDescent="0.25">
      <c r="A2549" s="170">
        <v>45756</v>
      </c>
      <c r="B2549" s="116">
        <v>2640</v>
      </c>
      <c r="C2549" s="116">
        <v>2596.1999999999998</v>
      </c>
      <c r="D2549" s="116">
        <v>2573.5500000000002</v>
      </c>
      <c r="E2549" s="116">
        <v>2592.0500000000002</v>
      </c>
      <c r="F2549" s="116">
        <v>2596.1999999999998</v>
      </c>
      <c r="G2549">
        <v>26513</v>
      </c>
      <c r="H2549" s="116"/>
      <c r="I2549" s="116"/>
      <c r="L2549" s="170">
        <v>45756</v>
      </c>
      <c r="M2549" s="116">
        <v>2599.6999999999998</v>
      </c>
      <c r="N2549" s="116">
        <v>2639.3</v>
      </c>
      <c r="O2549" s="116">
        <v>2570.0500000000002</v>
      </c>
      <c r="P2549" s="116">
        <v>2615</v>
      </c>
      <c r="Q2549" s="116">
        <v>2599.6999999999998</v>
      </c>
      <c r="R2549">
        <v>642997</v>
      </c>
    </row>
    <row r="2550" spans="1:18" x14ac:dyDescent="0.25">
      <c r="A2550" s="170">
        <v>45758</v>
      </c>
      <c r="B2550" s="116">
        <v>2699.7</v>
      </c>
      <c r="C2550" s="116">
        <v>2603.85</v>
      </c>
      <c r="D2550" s="116">
        <v>2593.5</v>
      </c>
      <c r="E2550" s="116">
        <v>2699.7</v>
      </c>
      <c r="F2550" s="116">
        <v>2603.85</v>
      </c>
      <c r="G2550">
        <v>17686</v>
      </c>
      <c r="H2550" s="116"/>
      <c r="I2550" s="116"/>
      <c r="L2550" s="170">
        <v>45758</v>
      </c>
      <c r="M2550" s="116">
        <v>2607.35</v>
      </c>
      <c r="N2550" s="116">
        <v>2689.95</v>
      </c>
      <c r="O2550" s="116">
        <v>2592.15</v>
      </c>
      <c r="P2550" s="116">
        <v>2689.9</v>
      </c>
      <c r="Q2550" s="116">
        <v>2607.35</v>
      </c>
      <c r="R2550">
        <v>779654</v>
      </c>
    </row>
    <row r="2551" spans="1:18" x14ac:dyDescent="0.25">
      <c r="A2551" s="170">
        <v>45762</v>
      </c>
      <c r="B2551" s="116">
        <v>2749.05</v>
      </c>
      <c r="C2551" s="116">
        <v>2738.45</v>
      </c>
      <c r="D2551" s="116">
        <v>2626.55</v>
      </c>
      <c r="E2551" s="116">
        <v>2674.8</v>
      </c>
      <c r="F2551" s="116">
        <v>2738.45</v>
      </c>
      <c r="G2551">
        <v>21201</v>
      </c>
      <c r="H2551" s="116"/>
      <c r="I2551" s="116"/>
      <c r="L2551" s="170">
        <v>45762</v>
      </c>
      <c r="M2551" s="116">
        <v>2736.4</v>
      </c>
      <c r="N2551" s="116">
        <v>2745.9</v>
      </c>
      <c r="O2551" s="116">
        <v>2625.1</v>
      </c>
      <c r="P2551" s="116">
        <v>2659.5</v>
      </c>
      <c r="Q2551" s="116">
        <v>2736.4</v>
      </c>
      <c r="R2551">
        <v>847398</v>
      </c>
    </row>
    <row r="2552" spans="1:18" x14ac:dyDescent="0.25">
      <c r="A2552" s="170">
        <v>45763</v>
      </c>
      <c r="B2552" s="116">
        <v>2764.15</v>
      </c>
      <c r="C2552" s="116">
        <v>2753.55</v>
      </c>
      <c r="D2552" s="116">
        <v>2710.9</v>
      </c>
      <c r="E2552" s="116">
        <v>2725.2</v>
      </c>
      <c r="F2552" s="116">
        <v>2753.55</v>
      </c>
      <c r="G2552">
        <v>20196</v>
      </c>
      <c r="H2552" s="116"/>
      <c r="I2552" s="116"/>
      <c r="L2552" s="170">
        <v>45763</v>
      </c>
      <c r="M2552" s="116">
        <v>2754.9</v>
      </c>
      <c r="N2552" s="116">
        <v>2765.2</v>
      </c>
      <c r="O2552" s="116">
        <v>2712.3</v>
      </c>
      <c r="P2552" s="116">
        <v>2736.4</v>
      </c>
      <c r="Q2552" s="116">
        <v>2754.9</v>
      </c>
      <c r="R2552">
        <v>586575</v>
      </c>
    </row>
    <row r="2553" spans="1:18" x14ac:dyDescent="0.25">
      <c r="A2553" s="170">
        <v>45764</v>
      </c>
      <c r="B2553" s="116">
        <v>2878</v>
      </c>
      <c r="C2553" s="116">
        <v>2825.55</v>
      </c>
      <c r="D2553" s="116">
        <v>2780</v>
      </c>
      <c r="E2553" s="116">
        <v>2780</v>
      </c>
      <c r="F2553" s="116">
        <v>2825.55</v>
      </c>
      <c r="G2553">
        <v>34883</v>
      </c>
      <c r="H2553" s="116"/>
      <c r="I2553" s="116"/>
      <c r="L2553" s="170">
        <v>45764</v>
      </c>
      <c r="M2553" s="116">
        <v>2826</v>
      </c>
      <c r="N2553" s="116">
        <v>2878.3</v>
      </c>
      <c r="O2553" s="116">
        <v>2782.4</v>
      </c>
      <c r="P2553" s="116">
        <v>2785</v>
      </c>
      <c r="Q2553" s="116">
        <v>2826</v>
      </c>
      <c r="R2553">
        <v>1111301</v>
      </c>
    </row>
    <row r="2554" spans="1:18" x14ac:dyDescent="0.25">
      <c r="A2554" s="170">
        <v>45768</v>
      </c>
      <c r="B2554" s="116">
        <v>2924</v>
      </c>
      <c r="C2554" s="116">
        <v>2891.45</v>
      </c>
      <c r="D2554" s="116">
        <v>2795</v>
      </c>
      <c r="E2554" s="116">
        <v>2851.3</v>
      </c>
      <c r="F2554" s="116">
        <v>2891.45</v>
      </c>
      <c r="G2554">
        <v>7943</v>
      </c>
      <c r="H2554" s="116"/>
      <c r="I2554" s="116"/>
      <c r="L2554" s="170">
        <v>45768</v>
      </c>
      <c r="M2554" s="116">
        <v>2896.1</v>
      </c>
      <c r="N2554" s="116">
        <v>2925</v>
      </c>
      <c r="O2554" s="116">
        <v>2791</v>
      </c>
      <c r="P2554" s="116">
        <v>2843</v>
      </c>
      <c r="Q2554" s="116">
        <v>2896.1</v>
      </c>
      <c r="R2554">
        <v>453196</v>
      </c>
    </row>
    <row r="2555" spans="1:18" x14ac:dyDescent="0.25">
      <c r="A2555" s="170">
        <v>45769</v>
      </c>
      <c r="B2555" s="116">
        <v>2972.15</v>
      </c>
      <c r="C2555" s="116">
        <v>2956.05</v>
      </c>
      <c r="D2555" s="116">
        <v>2887.85</v>
      </c>
      <c r="E2555" s="116">
        <v>2905.15</v>
      </c>
      <c r="F2555" s="116">
        <v>2956.05</v>
      </c>
      <c r="G2555">
        <v>11295</v>
      </c>
      <c r="H2555" s="116"/>
      <c r="I2555" s="116"/>
      <c r="L2555" s="170">
        <v>45769</v>
      </c>
      <c r="M2555" s="116">
        <v>2955.6</v>
      </c>
      <c r="N2555" s="116">
        <v>2974.9</v>
      </c>
      <c r="O2555" s="116">
        <v>2883</v>
      </c>
      <c r="P2555" s="116">
        <v>2897</v>
      </c>
      <c r="Q2555" s="116">
        <v>2955.6</v>
      </c>
      <c r="R2555">
        <v>536950</v>
      </c>
    </row>
    <row r="2556" spans="1:18" x14ac:dyDescent="0.25">
      <c r="A2556" s="170">
        <v>45770</v>
      </c>
      <c r="B2556" s="116">
        <v>3049.9</v>
      </c>
      <c r="C2556" s="116">
        <v>3021.45</v>
      </c>
      <c r="D2556" s="116">
        <v>2924.45</v>
      </c>
      <c r="E2556" s="116">
        <v>2960.05</v>
      </c>
      <c r="F2556" s="116">
        <v>3021.45</v>
      </c>
      <c r="G2556">
        <v>40745</v>
      </c>
      <c r="H2556" s="116"/>
      <c r="I2556" s="116"/>
      <c r="L2556" s="170">
        <v>45770</v>
      </c>
      <c r="M2556" s="116">
        <v>3019.1</v>
      </c>
      <c r="N2556" s="116">
        <v>3050.5</v>
      </c>
      <c r="O2556" s="116">
        <v>2926</v>
      </c>
      <c r="P2556" s="116">
        <v>2986</v>
      </c>
      <c r="Q2556" s="116">
        <v>3019.1</v>
      </c>
      <c r="R2556">
        <v>779938</v>
      </c>
    </row>
    <row r="2557" spans="1:18" x14ac:dyDescent="0.25">
      <c r="A2557" s="170">
        <v>45771</v>
      </c>
      <c r="B2557" s="116">
        <v>3035.5</v>
      </c>
      <c r="C2557" s="116">
        <v>2980.1</v>
      </c>
      <c r="D2557" s="116">
        <v>2963.85</v>
      </c>
      <c r="E2557" s="116">
        <v>3019.1</v>
      </c>
      <c r="F2557" s="116">
        <v>2980.1</v>
      </c>
      <c r="G2557">
        <v>21958</v>
      </c>
      <c r="H2557" s="116"/>
      <c r="I2557" s="116"/>
      <c r="L2557" s="170">
        <v>45771</v>
      </c>
      <c r="M2557" s="116">
        <v>2980.5</v>
      </c>
      <c r="N2557" s="116">
        <v>3032.6</v>
      </c>
      <c r="O2557" s="116">
        <v>2965</v>
      </c>
      <c r="P2557" s="116">
        <v>3020</v>
      </c>
      <c r="Q2557" s="116">
        <v>2980.5</v>
      </c>
      <c r="R2557">
        <v>310870</v>
      </c>
    </row>
    <row r="2558" spans="1:18" x14ac:dyDescent="0.25">
      <c r="A2558" s="170">
        <v>45772</v>
      </c>
      <c r="B2558" s="116">
        <v>3006.3</v>
      </c>
      <c r="C2558" s="116">
        <v>2964.7</v>
      </c>
      <c r="D2558" s="116">
        <v>2903.05</v>
      </c>
      <c r="E2558" s="116">
        <v>2963.9</v>
      </c>
      <c r="F2558" s="116">
        <v>2964.7</v>
      </c>
      <c r="G2558">
        <v>20732</v>
      </c>
      <c r="H2558" s="116"/>
      <c r="I2558" s="116"/>
      <c r="L2558" s="170">
        <v>45772</v>
      </c>
      <c r="M2558" s="116">
        <v>2967.1</v>
      </c>
      <c r="N2558" s="116">
        <v>3009.5</v>
      </c>
      <c r="O2558" s="116">
        <v>2903.6</v>
      </c>
      <c r="P2558" s="116">
        <v>2967</v>
      </c>
      <c r="Q2558" s="116">
        <v>2967.1</v>
      </c>
      <c r="R2558">
        <v>471789</v>
      </c>
    </row>
    <row r="2559" spans="1:18" x14ac:dyDescent="0.25">
      <c r="A2559" s="170">
        <v>45775</v>
      </c>
      <c r="B2559" s="116">
        <v>3014.1</v>
      </c>
      <c r="C2559" s="116">
        <v>3000.35</v>
      </c>
      <c r="D2559" s="116">
        <v>2946</v>
      </c>
      <c r="E2559" s="116">
        <v>2949.95</v>
      </c>
      <c r="F2559" s="116">
        <v>3000.35</v>
      </c>
      <c r="G2559">
        <v>5739</v>
      </c>
      <c r="H2559" s="116"/>
      <c r="I2559" s="116"/>
      <c r="L2559" s="170">
        <v>45775</v>
      </c>
      <c r="M2559" s="116">
        <v>2999.9</v>
      </c>
      <c r="N2559" s="116">
        <v>3013.9</v>
      </c>
      <c r="O2559" s="116">
        <v>2942</v>
      </c>
      <c r="P2559" s="116">
        <v>2942</v>
      </c>
      <c r="Q2559" s="116">
        <v>2999.9</v>
      </c>
      <c r="R2559">
        <v>269206</v>
      </c>
    </row>
    <row r="2560" spans="1:18" x14ac:dyDescent="0.25">
      <c r="A2560" s="170">
        <v>45776</v>
      </c>
      <c r="B2560" s="116">
        <v>3066.9</v>
      </c>
      <c r="C2560" s="116">
        <v>3035.9</v>
      </c>
      <c r="D2560" s="116">
        <v>3008.5</v>
      </c>
      <c r="E2560" s="116">
        <v>3010</v>
      </c>
      <c r="F2560" s="116">
        <v>3035.9</v>
      </c>
      <c r="G2560">
        <v>22983</v>
      </c>
      <c r="H2560" s="116"/>
      <c r="I2560" s="116"/>
      <c r="L2560" s="170">
        <v>45776</v>
      </c>
      <c r="M2560" s="116">
        <v>3037.9</v>
      </c>
      <c r="N2560" s="116">
        <v>3067.3</v>
      </c>
      <c r="O2560" s="116">
        <v>3006</v>
      </c>
      <c r="P2560" s="116">
        <v>3010</v>
      </c>
      <c r="Q2560" s="116">
        <v>3037.9</v>
      </c>
      <c r="R2560">
        <v>379027</v>
      </c>
    </row>
    <row r="2561" spans="1:18" x14ac:dyDescent="0.25">
      <c r="A2561" s="170">
        <v>45777</v>
      </c>
      <c r="B2561" s="116">
        <v>3084.95</v>
      </c>
      <c r="C2561" s="116">
        <v>3061.65</v>
      </c>
      <c r="D2561" s="116">
        <v>3005.15</v>
      </c>
      <c r="E2561" s="116">
        <v>3026.2</v>
      </c>
      <c r="F2561" s="116">
        <v>3061.65</v>
      </c>
      <c r="G2561">
        <v>14869</v>
      </c>
      <c r="H2561" s="116"/>
      <c r="I2561" s="116"/>
      <c r="L2561" s="170">
        <v>45777</v>
      </c>
      <c r="M2561" s="116">
        <v>3063.6</v>
      </c>
      <c r="N2561" s="116">
        <v>3085</v>
      </c>
      <c r="O2561" s="116">
        <v>3000</v>
      </c>
      <c r="P2561" s="116">
        <v>3035</v>
      </c>
      <c r="Q2561" s="116">
        <v>3063.6</v>
      </c>
      <c r="R2561">
        <v>358054</v>
      </c>
    </row>
    <row r="2562" spans="1:18" x14ac:dyDescent="0.25">
      <c r="A2562" s="170">
        <v>45779</v>
      </c>
      <c r="B2562" s="116">
        <v>3128.75</v>
      </c>
      <c r="C2562" s="116">
        <v>3024.8</v>
      </c>
      <c r="D2562" s="116">
        <v>3000.5</v>
      </c>
      <c r="E2562" s="116">
        <v>3072.55</v>
      </c>
      <c r="F2562" s="116">
        <v>3024.8</v>
      </c>
      <c r="G2562">
        <v>13099</v>
      </c>
      <c r="H2562" s="116"/>
      <c r="I2562" s="116"/>
      <c r="L2562" s="170">
        <v>45779</v>
      </c>
      <c r="M2562" s="116">
        <v>3025.4</v>
      </c>
      <c r="N2562" s="116">
        <v>3128.5</v>
      </c>
      <c r="O2562" s="116">
        <v>3001.7</v>
      </c>
      <c r="P2562" s="116">
        <v>3063.6</v>
      </c>
      <c r="Q2562" s="116">
        <v>3025.4</v>
      </c>
      <c r="R2562">
        <v>321671</v>
      </c>
    </row>
    <row r="2563" spans="1:18" x14ac:dyDescent="0.25">
      <c r="A2563" s="170">
        <v>45782</v>
      </c>
      <c r="B2563" s="116">
        <v>3230</v>
      </c>
      <c r="C2563" s="116">
        <v>3208.9</v>
      </c>
      <c r="D2563" s="116">
        <v>3069.2</v>
      </c>
      <c r="E2563" s="116">
        <v>3069.2</v>
      </c>
      <c r="F2563" s="116">
        <v>3208.9</v>
      </c>
      <c r="G2563">
        <v>27193</v>
      </c>
      <c r="H2563" s="116"/>
      <c r="I2563" s="116"/>
      <c r="L2563" s="170">
        <v>45782</v>
      </c>
      <c r="M2563" s="116">
        <v>3210.1</v>
      </c>
      <c r="N2563" s="116">
        <v>3230</v>
      </c>
      <c r="O2563" s="116">
        <v>3050.6</v>
      </c>
      <c r="P2563" s="116">
        <v>3058.7</v>
      </c>
      <c r="Q2563" s="116">
        <v>3210.1</v>
      </c>
      <c r="R2563">
        <v>703149</v>
      </c>
    </row>
    <row r="2564" spans="1:18" x14ac:dyDescent="0.25">
      <c r="A2564" s="170">
        <v>45783</v>
      </c>
      <c r="B2564" s="116">
        <v>3280</v>
      </c>
      <c r="C2564" s="116">
        <v>3193.35</v>
      </c>
      <c r="D2564" s="116">
        <v>3155.8</v>
      </c>
      <c r="E2564" s="116">
        <v>3249.85</v>
      </c>
      <c r="F2564" s="116">
        <v>3193.35</v>
      </c>
      <c r="G2564">
        <v>27372</v>
      </c>
      <c r="H2564" s="116"/>
      <c r="I2564" s="116"/>
      <c r="L2564" s="170">
        <v>45783</v>
      </c>
      <c r="M2564" s="116">
        <v>3193.9</v>
      </c>
      <c r="N2564" s="116">
        <v>3282.4</v>
      </c>
      <c r="O2564" s="116">
        <v>3154.1</v>
      </c>
      <c r="P2564" s="116">
        <v>3239.7</v>
      </c>
      <c r="Q2564" s="116">
        <v>3193.9</v>
      </c>
      <c r="R2564">
        <v>774151</v>
      </c>
    </row>
    <row r="2565" spans="1:18" x14ac:dyDescent="0.25">
      <c r="A2565" s="170">
        <v>45784</v>
      </c>
      <c r="B2565" s="116">
        <v>3371.25</v>
      </c>
      <c r="C2565" s="116">
        <v>3294.85</v>
      </c>
      <c r="D2565" s="116">
        <v>3199</v>
      </c>
      <c r="E2565" s="116">
        <v>3199</v>
      </c>
      <c r="F2565" s="116">
        <v>3294.85</v>
      </c>
      <c r="G2565">
        <v>34721</v>
      </c>
      <c r="H2565" s="116"/>
      <c r="I2565" s="116"/>
      <c r="L2565" s="170">
        <v>45784</v>
      </c>
      <c r="M2565" s="116">
        <v>3295.3</v>
      </c>
      <c r="N2565" s="116">
        <v>3371.4</v>
      </c>
      <c r="O2565" s="116">
        <v>3199.9</v>
      </c>
      <c r="P2565" s="116">
        <v>3200</v>
      </c>
      <c r="Q2565" s="116">
        <v>3295.3</v>
      </c>
      <c r="R2565">
        <v>1765212</v>
      </c>
    </row>
    <row r="2566" spans="1:18" x14ac:dyDescent="0.25">
      <c r="A2566" s="170">
        <v>45785</v>
      </c>
      <c r="B2566" s="116">
        <v>3405</v>
      </c>
      <c r="C2566" s="116">
        <v>3264.75</v>
      </c>
      <c r="D2566" s="116">
        <v>3243.95</v>
      </c>
      <c r="E2566" s="116">
        <v>3315.85</v>
      </c>
      <c r="F2566" s="116">
        <v>3264.75</v>
      </c>
      <c r="G2566">
        <v>16014</v>
      </c>
      <c r="H2566" s="116"/>
      <c r="I2566" s="116"/>
      <c r="L2566" s="170">
        <v>45785</v>
      </c>
      <c r="M2566" s="116">
        <v>3262.1</v>
      </c>
      <c r="N2566" s="116">
        <v>3406</v>
      </c>
      <c r="O2566" s="116">
        <v>3238.2</v>
      </c>
      <c r="P2566" s="116">
        <v>3300</v>
      </c>
      <c r="Q2566" s="116">
        <v>3262.1</v>
      </c>
      <c r="R2566">
        <v>814287</v>
      </c>
    </row>
    <row r="2567" spans="1:18" x14ac:dyDescent="0.25">
      <c r="A2567" s="170">
        <v>45786</v>
      </c>
      <c r="B2567" s="116">
        <v>3251.4</v>
      </c>
      <c r="C2567" s="116">
        <v>3233.15</v>
      </c>
      <c r="D2567" s="116">
        <v>3100.3</v>
      </c>
      <c r="E2567" s="116">
        <v>3100.3</v>
      </c>
      <c r="F2567" s="116">
        <v>3233.15</v>
      </c>
      <c r="G2567">
        <v>27133</v>
      </c>
      <c r="H2567" s="116"/>
      <c r="I2567" s="116"/>
      <c r="L2567" s="170">
        <v>45786</v>
      </c>
      <c r="M2567" s="116">
        <v>3232.5</v>
      </c>
      <c r="N2567" s="116">
        <v>3249</v>
      </c>
      <c r="O2567" s="116">
        <v>3150.5</v>
      </c>
      <c r="P2567" s="116">
        <v>3150.5</v>
      </c>
      <c r="Q2567" s="116">
        <v>3232.5</v>
      </c>
      <c r="R2567">
        <v>328404</v>
      </c>
    </row>
    <row r="2568" spans="1:18" x14ac:dyDescent="0.25">
      <c r="A2568" s="170">
        <v>45789</v>
      </c>
      <c r="B2568" s="116">
        <v>3399.5</v>
      </c>
      <c r="C2568" s="116">
        <v>3384.3</v>
      </c>
      <c r="D2568" s="116">
        <v>3333.05</v>
      </c>
      <c r="E2568" s="116">
        <v>3375</v>
      </c>
      <c r="F2568" s="116">
        <v>3384.3</v>
      </c>
      <c r="G2568">
        <v>25898</v>
      </c>
      <c r="H2568" s="116"/>
      <c r="I2568" s="116"/>
      <c r="L2568" s="170">
        <v>45789</v>
      </c>
      <c r="M2568" s="116">
        <v>3386</v>
      </c>
      <c r="N2568" s="116">
        <v>3400.1</v>
      </c>
      <c r="O2568" s="116">
        <v>3332.9</v>
      </c>
      <c r="P2568" s="116">
        <v>3380</v>
      </c>
      <c r="Q2568" s="116">
        <v>3386</v>
      </c>
      <c r="R2568">
        <v>269435</v>
      </c>
    </row>
    <row r="2569" spans="1:18" x14ac:dyDescent="0.25">
      <c r="A2569" s="170">
        <v>45790</v>
      </c>
      <c r="B2569" s="116">
        <v>3443.55</v>
      </c>
      <c r="C2569" s="116">
        <v>3426.3</v>
      </c>
      <c r="D2569" s="116">
        <v>3381.05</v>
      </c>
      <c r="E2569" s="116">
        <v>3390.6</v>
      </c>
      <c r="F2569" s="116">
        <v>3426.3</v>
      </c>
      <c r="G2569">
        <v>8909</v>
      </c>
      <c r="H2569" s="116"/>
      <c r="I2569" s="116"/>
      <c r="L2569" s="170">
        <v>45790</v>
      </c>
      <c r="M2569" s="116">
        <v>3425.3</v>
      </c>
      <c r="N2569" s="116">
        <v>3447</v>
      </c>
      <c r="O2569" s="116">
        <v>3372.9</v>
      </c>
      <c r="P2569" s="116">
        <v>3398</v>
      </c>
      <c r="Q2569" s="116">
        <v>3425.3</v>
      </c>
      <c r="R2569">
        <v>376110</v>
      </c>
    </row>
    <row r="2570" spans="1:18" x14ac:dyDescent="0.25">
      <c r="A2570" s="170">
        <v>45791</v>
      </c>
      <c r="B2570" s="116">
        <v>3451.25</v>
      </c>
      <c r="C2570" s="116">
        <v>3398.65</v>
      </c>
      <c r="D2570" s="116">
        <v>3360.75</v>
      </c>
      <c r="E2570" s="116">
        <v>3440.6</v>
      </c>
      <c r="F2570" s="116">
        <v>3398.65</v>
      </c>
      <c r="G2570">
        <v>12830</v>
      </c>
      <c r="H2570" s="116"/>
      <c r="I2570" s="116"/>
      <c r="L2570" s="170">
        <v>45791</v>
      </c>
      <c r="M2570" s="116">
        <v>3398.4</v>
      </c>
      <c r="N2570" s="116">
        <v>3453</v>
      </c>
      <c r="O2570" s="116">
        <v>3361</v>
      </c>
      <c r="P2570" s="116">
        <v>3450</v>
      </c>
      <c r="Q2570" s="116">
        <v>3398.4</v>
      </c>
      <c r="R2570">
        <v>294684</v>
      </c>
    </row>
    <row r="2571" spans="1:18" x14ac:dyDescent="0.25">
      <c r="A2571" s="170">
        <v>45792</v>
      </c>
      <c r="B2571" s="116">
        <v>3514.3</v>
      </c>
      <c r="C2571" s="116">
        <v>3499.1</v>
      </c>
      <c r="D2571" s="116">
        <v>3393.35</v>
      </c>
      <c r="E2571" s="116">
        <v>3448.4</v>
      </c>
      <c r="F2571" s="116">
        <v>3499.1</v>
      </c>
      <c r="G2571">
        <v>27542</v>
      </c>
      <c r="H2571" s="116"/>
      <c r="I2571" s="116"/>
      <c r="L2571" s="170">
        <v>45792</v>
      </c>
      <c r="M2571" s="116">
        <v>3499</v>
      </c>
      <c r="N2571" s="116">
        <v>3512.4</v>
      </c>
      <c r="O2571" s="116">
        <v>3396</v>
      </c>
      <c r="P2571" s="116">
        <v>3422</v>
      </c>
      <c r="Q2571" s="116">
        <v>3499</v>
      </c>
      <c r="R2571">
        <v>374416</v>
      </c>
    </row>
    <row r="2572" spans="1:18" x14ac:dyDescent="0.25">
      <c r="A2572" s="170">
        <v>45793</v>
      </c>
      <c r="B2572" s="116">
        <v>3537.7</v>
      </c>
      <c r="C2572" s="116">
        <v>3462.75</v>
      </c>
      <c r="D2572" s="116">
        <v>3450</v>
      </c>
      <c r="E2572" s="116">
        <v>3537.7</v>
      </c>
      <c r="F2572" s="116">
        <v>3462.75</v>
      </c>
      <c r="G2572">
        <v>12567</v>
      </c>
      <c r="H2572" s="116"/>
      <c r="I2572" s="116"/>
      <c r="L2572" s="170">
        <v>45793</v>
      </c>
      <c r="M2572" s="116">
        <v>3463.2</v>
      </c>
      <c r="N2572" s="116">
        <v>3522.7</v>
      </c>
      <c r="O2572" s="116">
        <v>3449</v>
      </c>
      <c r="P2572" s="116">
        <v>3519.6</v>
      </c>
      <c r="Q2572" s="116">
        <v>3463.2</v>
      </c>
      <c r="R2572">
        <v>313300</v>
      </c>
    </row>
    <row r="2573" spans="1:18" x14ac:dyDescent="0.25">
      <c r="A2573" s="170">
        <v>45796</v>
      </c>
      <c r="B2573" s="116">
        <v>3549.5</v>
      </c>
      <c r="C2573" s="116">
        <v>3462.6</v>
      </c>
      <c r="D2573" s="116">
        <v>3439</v>
      </c>
      <c r="E2573" s="116">
        <v>3549.5</v>
      </c>
      <c r="F2573" s="116">
        <v>3462.6</v>
      </c>
      <c r="G2573">
        <v>5092</v>
      </c>
      <c r="H2573" s="116"/>
      <c r="I2573" s="116"/>
      <c r="L2573" s="170">
        <v>45796</v>
      </c>
      <c r="M2573" s="116">
        <v>3461.7</v>
      </c>
      <c r="N2573" s="116">
        <v>3500</v>
      </c>
      <c r="O2573" s="116">
        <v>3437.9</v>
      </c>
      <c r="P2573" s="116">
        <v>3500</v>
      </c>
      <c r="Q2573" s="116">
        <v>3461.7</v>
      </c>
      <c r="R2573">
        <v>400712</v>
      </c>
    </row>
    <row r="2574" spans="1:18" x14ac:dyDescent="0.25">
      <c r="A2574" s="170">
        <v>45797</v>
      </c>
      <c r="B2574" s="116">
        <v>3492.5</v>
      </c>
      <c r="C2574" s="116">
        <v>3464.55</v>
      </c>
      <c r="D2574" s="116">
        <v>3417.85</v>
      </c>
      <c r="E2574" s="116">
        <v>3450.15</v>
      </c>
      <c r="F2574" s="116">
        <v>3464.55</v>
      </c>
      <c r="G2574">
        <v>13408</v>
      </c>
      <c r="H2574" s="116"/>
      <c r="I2574" s="116"/>
      <c r="L2574" s="170">
        <v>45797</v>
      </c>
      <c r="M2574" s="116">
        <v>3461.2</v>
      </c>
      <c r="N2574" s="116">
        <v>3490.9</v>
      </c>
      <c r="O2574" s="116">
        <v>3417</v>
      </c>
      <c r="P2574" s="116">
        <v>3469.1</v>
      </c>
      <c r="Q2574" s="116">
        <v>3461.2</v>
      </c>
      <c r="R2574">
        <v>411846</v>
      </c>
    </row>
    <row r="2575" spans="1:18" x14ac:dyDescent="0.25">
      <c r="A2575" s="170">
        <v>45798</v>
      </c>
      <c r="B2575" s="116">
        <v>3490.9</v>
      </c>
      <c r="C2575" s="116">
        <v>3430.75</v>
      </c>
      <c r="D2575" s="116">
        <v>3410.2</v>
      </c>
      <c r="E2575" s="116">
        <v>3462</v>
      </c>
      <c r="F2575" s="116">
        <v>3430.75</v>
      </c>
      <c r="G2575">
        <v>10235</v>
      </c>
      <c r="H2575" s="116"/>
      <c r="I2575" s="116"/>
      <c r="L2575" s="170">
        <v>45798</v>
      </c>
      <c r="M2575" s="116">
        <v>3431.4</v>
      </c>
      <c r="N2575" s="116">
        <v>3489</v>
      </c>
      <c r="O2575" s="116">
        <v>3411.4</v>
      </c>
      <c r="P2575" s="116">
        <v>3465</v>
      </c>
      <c r="Q2575" s="116">
        <v>3431.4</v>
      </c>
      <c r="R2575">
        <v>190955</v>
      </c>
    </row>
    <row r="2576" spans="1:18" x14ac:dyDescent="0.25">
      <c r="A2576" s="170">
        <v>45799</v>
      </c>
      <c r="B2576" s="116">
        <v>3498.6</v>
      </c>
      <c r="C2576" s="116">
        <v>3458.45</v>
      </c>
      <c r="D2576" s="116">
        <v>3428.15</v>
      </c>
      <c r="E2576" s="116">
        <v>3435.05</v>
      </c>
      <c r="F2576" s="116">
        <v>3458.45</v>
      </c>
      <c r="G2576">
        <v>4927</v>
      </c>
      <c r="H2576" s="116"/>
      <c r="I2576" s="116"/>
      <c r="L2576" s="170">
        <v>45799</v>
      </c>
      <c r="M2576" s="116">
        <v>3458.2</v>
      </c>
      <c r="N2576" s="116">
        <v>3498.5</v>
      </c>
      <c r="O2576" s="116">
        <v>3425.1</v>
      </c>
      <c r="P2576" s="116">
        <v>3450</v>
      </c>
      <c r="Q2576" s="116">
        <v>3458.2</v>
      </c>
      <c r="R2576">
        <v>208151</v>
      </c>
    </row>
    <row r="2577" spans="1:18" x14ac:dyDescent="0.25">
      <c r="A2577" s="170">
        <v>45800</v>
      </c>
      <c r="B2577" s="116">
        <v>3474.65</v>
      </c>
      <c r="C2577" s="116">
        <v>3437.75</v>
      </c>
      <c r="D2577" s="116">
        <v>3419</v>
      </c>
      <c r="E2577" s="116">
        <v>3447.45</v>
      </c>
      <c r="F2577" s="116">
        <v>3437.75</v>
      </c>
      <c r="G2577">
        <v>7474</v>
      </c>
      <c r="H2577" s="116"/>
      <c r="I2577" s="116"/>
      <c r="L2577" s="170">
        <v>45800</v>
      </c>
      <c r="M2577" s="116">
        <v>3440.5</v>
      </c>
      <c r="N2577" s="116">
        <v>3476.9</v>
      </c>
      <c r="O2577" s="116">
        <v>3420</v>
      </c>
      <c r="P2577" s="116">
        <v>3468.8</v>
      </c>
      <c r="Q2577" s="116">
        <v>3440.5</v>
      </c>
      <c r="R2577">
        <v>102741</v>
      </c>
    </row>
    <row r="2578" spans="1:18" x14ac:dyDescent="0.25">
      <c r="A2578" s="170">
        <v>45803</v>
      </c>
      <c r="B2578" s="116">
        <v>3505</v>
      </c>
      <c r="C2578" s="116">
        <v>3497.15</v>
      </c>
      <c r="D2578" s="116">
        <v>3416.75</v>
      </c>
      <c r="E2578" s="116">
        <v>3493</v>
      </c>
      <c r="F2578" s="116">
        <v>3497.15</v>
      </c>
      <c r="G2578">
        <v>5867</v>
      </c>
      <c r="H2578" s="116"/>
      <c r="I2578" s="116"/>
      <c r="L2578" s="170">
        <v>45803</v>
      </c>
      <c r="M2578" s="116">
        <v>3496.4</v>
      </c>
      <c r="N2578" s="116">
        <v>3504.5</v>
      </c>
      <c r="O2578" s="116">
        <v>3416.6</v>
      </c>
      <c r="P2578" s="116">
        <v>3453</v>
      </c>
      <c r="Q2578" s="116">
        <v>3496.4</v>
      </c>
      <c r="R2578">
        <v>231906</v>
      </c>
    </row>
    <row r="2579" spans="1:18" x14ac:dyDescent="0.25">
      <c r="A2579" s="170">
        <v>45804</v>
      </c>
      <c r="B2579" s="116">
        <v>3568.3</v>
      </c>
      <c r="C2579" s="116">
        <v>3531.05</v>
      </c>
      <c r="D2579" s="116">
        <v>3488.75</v>
      </c>
      <c r="E2579" s="116">
        <v>3490</v>
      </c>
      <c r="F2579" s="116">
        <v>3531.05</v>
      </c>
      <c r="G2579">
        <v>20589</v>
      </c>
      <c r="H2579" s="116"/>
      <c r="I2579" s="116"/>
      <c r="L2579" s="170">
        <v>45804</v>
      </c>
      <c r="M2579" s="116">
        <v>3533.6</v>
      </c>
      <c r="N2579" s="116">
        <v>3567.8</v>
      </c>
      <c r="O2579" s="116">
        <v>3484</v>
      </c>
      <c r="P2579" s="116">
        <v>3484.1</v>
      </c>
      <c r="Q2579" s="116">
        <v>3533.6</v>
      </c>
      <c r="R2579">
        <v>362315</v>
      </c>
    </row>
    <row r="2580" spans="1:18" x14ac:dyDescent="0.25">
      <c r="A2580" s="170">
        <v>45805</v>
      </c>
      <c r="B2580" s="116">
        <v>3650</v>
      </c>
      <c r="C2580" s="116">
        <v>3635.9</v>
      </c>
      <c r="D2580" s="116">
        <v>3540.25</v>
      </c>
      <c r="E2580" s="116">
        <v>3540.25</v>
      </c>
      <c r="F2580" s="116">
        <v>3635.9</v>
      </c>
      <c r="G2580">
        <v>6095</v>
      </c>
      <c r="H2580" s="116"/>
      <c r="I2580" s="116"/>
      <c r="L2580" s="170">
        <v>45805</v>
      </c>
      <c r="M2580" s="116">
        <v>3638.1</v>
      </c>
      <c r="N2580" s="116">
        <v>3653.5</v>
      </c>
      <c r="O2580" s="116">
        <v>3550.9</v>
      </c>
      <c r="P2580" s="116">
        <v>3558</v>
      </c>
      <c r="Q2580" s="116">
        <v>3638.1</v>
      </c>
      <c r="R2580">
        <v>450883</v>
      </c>
    </row>
    <row r="2581" spans="1:18" x14ac:dyDescent="0.25">
      <c r="A2581" s="170">
        <v>45806</v>
      </c>
      <c r="B2581" s="116">
        <v>3676.65</v>
      </c>
      <c r="C2581" s="116">
        <v>3656.4</v>
      </c>
      <c r="D2581" s="116">
        <v>3600.65</v>
      </c>
      <c r="E2581" s="116">
        <v>3662</v>
      </c>
      <c r="F2581" s="116">
        <v>3656.4</v>
      </c>
      <c r="G2581">
        <v>8039</v>
      </c>
      <c r="H2581" s="116"/>
      <c r="I2581" s="116"/>
      <c r="L2581" s="170">
        <v>45806</v>
      </c>
      <c r="M2581" s="116">
        <v>3665.3</v>
      </c>
      <c r="N2581" s="116">
        <v>3678.3</v>
      </c>
      <c r="O2581" s="116">
        <v>3603.4</v>
      </c>
      <c r="P2581" s="116">
        <v>3670</v>
      </c>
      <c r="Q2581" s="116">
        <v>3665.3</v>
      </c>
      <c r="R2581">
        <v>329014</v>
      </c>
    </row>
    <row r="2582" spans="1:18" x14ac:dyDescent="0.25">
      <c r="A2582" s="170">
        <v>45807</v>
      </c>
      <c r="B2582" s="116">
        <v>3717.45</v>
      </c>
      <c r="C2582" s="116">
        <v>3605.55</v>
      </c>
      <c r="D2582" s="116">
        <v>3564</v>
      </c>
      <c r="E2582" s="116">
        <v>3717.45</v>
      </c>
      <c r="F2582" s="116">
        <v>3605.55</v>
      </c>
      <c r="G2582">
        <v>3583</v>
      </c>
      <c r="H2582" s="116"/>
      <c r="I2582" s="116"/>
      <c r="L2582" s="170">
        <v>45807</v>
      </c>
      <c r="M2582" s="116">
        <v>3610.2</v>
      </c>
      <c r="N2582" s="116">
        <v>3673.5</v>
      </c>
      <c r="O2582" s="116">
        <v>3561.8</v>
      </c>
      <c r="P2582" s="116">
        <v>3670</v>
      </c>
      <c r="Q2582" s="116">
        <v>3610.2</v>
      </c>
      <c r="R2582">
        <v>221218</v>
      </c>
    </row>
    <row r="2583" spans="1:18" x14ac:dyDescent="0.25">
      <c r="A2583" s="170">
        <v>45810</v>
      </c>
      <c r="B2583" s="116">
        <v>3638.75</v>
      </c>
      <c r="C2583" s="116">
        <v>3594.65</v>
      </c>
      <c r="D2583" s="116">
        <v>3577.7</v>
      </c>
      <c r="E2583" s="116">
        <v>3638.75</v>
      </c>
      <c r="F2583" s="116">
        <v>3594.65</v>
      </c>
      <c r="G2583">
        <v>3056</v>
      </c>
      <c r="H2583" s="116"/>
      <c r="I2583" s="116"/>
      <c r="L2583" s="170">
        <v>45810</v>
      </c>
      <c r="M2583" s="116">
        <v>3596</v>
      </c>
      <c r="N2583" s="116">
        <v>3625</v>
      </c>
      <c r="O2583" s="116">
        <v>3577</v>
      </c>
      <c r="P2583" s="116">
        <v>3610.2</v>
      </c>
      <c r="Q2583" s="116">
        <v>3596</v>
      </c>
      <c r="R2583">
        <v>108306</v>
      </c>
    </row>
    <row r="2584" spans="1:18" x14ac:dyDescent="0.25">
      <c r="A2584" s="170">
        <v>45811</v>
      </c>
      <c r="B2584" s="116">
        <v>3640.3</v>
      </c>
      <c r="C2584" s="116">
        <v>3533.95</v>
      </c>
      <c r="D2584" s="116">
        <v>3527.9</v>
      </c>
      <c r="E2584" s="116">
        <v>3575</v>
      </c>
      <c r="F2584" s="116">
        <v>3533.95</v>
      </c>
      <c r="G2584">
        <v>4840</v>
      </c>
      <c r="H2584" s="116"/>
      <c r="I2584" s="116"/>
      <c r="L2584" s="170">
        <v>45811</v>
      </c>
      <c r="M2584" s="116">
        <v>3535.5</v>
      </c>
      <c r="N2584" s="116">
        <v>3639.2</v>
      </c>
      <c r="O2584" s="116">
        <v>3527.1</v>
      </c>
      <c r="P2584" s="116">
        <v>3605</v>
      </c>
      <c r="Q2584" s="116">
        <v>3535.5</v>
      </c>
      <c r="R2584">
        <v>152085</v>
      </c>
    </row>
    <row r="2585" spans="1:18" x14ac:dyDescent="0.25">
      <c r="A2585" s="170">
        <v>45812</v>
      </c>
      <c r="B2585" s="116">
        <v>3640</v>
      </c>
      <c r="C2585" s="116">
        <v>3626.6</v>
      </c>
      <c r="D2585" s="116">
        <v>3507.85</v>
      </c>
      <c r="E2585" s="116">
        <v>3520.9</v>
      </c>
      <c r="F2585" s="116">
        <v>3626.6</v>
      </c>
      <c r="G2585">
        <v>3652</v>
      </c>
      <c r="H2585" s="116"/>
      <c r="I2585" s="116"/>
      <c r="L2585" s="170">
        <v>45812</v>
      </c>
      <c r="M2585" s="116">
        <v>3628.6</v>
      </c>
      <c r="N2585" s="116">
        <v>3641</v>
      </c>
      <c r="O2585" s="116">
        <v>3500</v>
      </c>
      <c r="P2585" s="116">
        <v>3530</v>
      </c>
      <c r="Q2585" s="116">
        <v>3628.6</v>
      </c>
      <c r="R2585">
        <v>290300</v>
      </c>
    </row>
    <row r="2586" spans="1:18" x14ac:dyDescent="0.25">
      <c r="A2586" s="170">
        <v>45813</v>
      </c>
      <c r="B2586" s="116">
        <v>3684</v>
      </c>
      <c r="C2586" s="116">
        <v>3644.15</v>
      </c>
      <c r="D2586" s="116">
        <v>3613.5</v>
      </c>
      <c r="E2586" s="116">
        <v>3678.95</v>
      </c>
      <c r="F2586" s="116">
        <v>3644.15</v>
      </c>
      <c r="G2586">
        <v>3408</v>
      </c>
      <c r="H2586" s="116"/>
      <c r="I2586" s="116"/>
      <c r="L2586" s="170">
        <v>45813</v>
      </c>
      <c r="M2586" s="116">
        <v>3641.4</v>
      </c>
      <c r="N2586" s="116">
        <v>3686</v>
      </c>
      <c r="O2586" s="116">
        <v>3610.5</v>
      </c>
      <c r="P2586" s="116">
        <v>3656.1</v>
      </c>
      <c r="Q2586" s="116">
        <v>3641.4</v>
      </c>
      <c r="R2586">
        <v>236648</v>
      </c>
    </row>
    <row r="2587" spans="1:18" x14ac:dyDescent="0.25">
      <c r="A2587" s="170">
        <v>45814</v>
      </c>
      <c r="B2587" s="116">
        <v>3767.65</v>
      </c>
      <c r="C2587" s="116">
        <v>3745.4</v>
      </c>
      <c r="D2587" s="116">
        <v>3653.55</v>
      </c>
      <c r="E2587" s="116">
        <v>3669.95</v>
      </c>
      <c r="F2587" s="116">
        <v>3745.4</v>
      </c>
      <c r="G2587">
        <v>19294</v>
      </c>
      <c r="H2587" s="116"/>
      <c r="I2587" s="116"/>
      <c r="L2587" s="170">
        <v>45814</v>
      </c>
      <c r="M2587" s="116">
        <v>3747.8</v>
      </c>
      <c r="N2587" s="116">
        <v>3768</v>
      </c>
      <c r="O2587" s="116">
        <v>3649.2</v>
      </c>
      <c r="P2587" s="116">
        <v>3667</v>
      </c>
      <c r="Q2587" s="116">
        <v>3747.8</v>
      </c>
      <c r="R2587">
        <v>429812</v>
      </c>
    </row>
    <row r="2588" spans="1:18" x14ac:dyDescent="0.25">
      <c r="A2588" s="170">
        <v>45817</v>
      </c>
      <c r="B2588" s="116">
        <v>3837.15</v>
      </c>
      <c r="C2588" s="116">
        <v>3810.75</v>
      </c>
      <c r="D2588" s="116">
        <v>3764.15</v>
      </c>
      <c r="E2588" s="116">
        <v>3767.25</v>
      </c>
      <c r="F2588" s="116">
        <v>3810.75</v>
      </c>
      <c r="G2588">
        <v>6893</v>
      </c>
      <c r="H2588" s="116"/>
      <c r="I2588" s="116"/>
      <c r="L2588" s="170">
        <v>45817</v>
      </c>
      <c r="M2588" s="116">
        <v>3812.8</v>
      </c>
      <c r="N2588" s="116">
        <v>3837.9</v>
      </c>
      <c r="O2588" s="116">
        <v>3755.4</v>
      </c>
      <c r="P2588" s="116">
        <v>3790</v>
      </c>
      <c r="Q2588" s="116">
        <v>3812.8</v>
      </c>
      <c r="R2588">
        <v>246729</v>
      </c>
    </row>
    <row r="2589" spans="1:18" x14ac:dyDescent="0.25">
      <c r="A2589" s="170">
        <v>45818</v>
      </c>
      <c r="B2589" s="116">
        <v>3846.65</v>
      </c>
      <c r="C2589" s="116">
        <v>3793.55</v>
      </c>
      <c r="D2589" s="116">
        <v>3788.05</v>
      </c>
      <c r="E2589" s="116">
        <v>3846.65</v>
      </c>
      <c r="F2589" s="116">
        <v>3793.55</v>
      </c>
      <c r="G2589">
        <v>3420</v>
      </c>
      <c r="H2589" s="116"/>
      <c r="I2589" s="116"/>
      <c r="L2589" s="170">
        <v>45818</v>
      </c>
      <c r="M2589" s="116">
        <v>3794.2</v>
      </c>
      <c r="N2589" s="116">
        <v>3846.9</v>
      </c>
      <c r="O2589" s="116">
        <v>3787.1</v>
      </c>
      <c r="P2589" s="116">
        <v>3821.1</v>
      </c>
      <c r="Q2589" s="116">
        <v>3794.2</v>
      </c>
      <c r="R2589">
        <v>128036</v>
      </c>
    </row>
    <row r="2590" spans="1:18" x14ac:dyDescent="0.25">
      <c r="A2590" s="170">
        <v>45819</v>
      </c>
      <c r="B2590" s="116">
        <v>3860</v>
      </c>
      <c r="C2590" s="116">
        <v>3795.45</v>
      </c>
      <c r="D2590" s="116">
        <v>3766.15</v>
      </c>
      <c r="E2590" s="116">
        <v>3781.05</v>
      </c>
      <c r="F2590" s="116">
        <v>3795.45</v>
      </c>
      <c r="G2590">
        <v>2889</v>
      </c>
      <c r="H2590" s="116"/>
      <c r="I2590" s="116"/>
      <c r="L2590" s="170">
        <v>45819</v>
      </c>
      <c r="M2590" s="116">
        <v>3793.5</v>
      </c>
      <c r="N2590" s="116">
        <v>3861</v>
      </c>
      <c r="O2590" s="116">
        <v>3766.1</v>
      </c>
      <c r="P2590" s="116">
        <v>3794.9</v>
      </c>
      <c r="Q2590" s="116">
        <v>3793.5</v>
      </c>
      <c r="R2590">
        <v>155511</v>
      </c>
    </row>
    <row r="2591" spans="1:18" x14ac:dyDescent="0.25">
      <c r="A2591" s="170">
        <v>45820</v>
      </c>
      <c r="B2591" s="116">
        <v>3801.5</v>
      </c>
      <c r="C2591" s="116">
        <v>3679.35</v>
      </c>
      <c r="D2591" s="116">
        <v>3668</v>
      </c>
      <c r="E2591" s="116">
        <v>3760.05</v>
      </c>
      <c r="F2591" s="116">
        <v>3679.35</v>
      </c>
      <c r="G2591">
        <v>11003</v>
      </c>
      <c r="H2591" s="116"/>
      <c r="I2591" s="116"/>
      <c r="L2591" s="170">
        <v>45820</v>
      </c>
      <c r="M2591" s="116">
        <v>3676.8</v>
      </c>
      <c r="N2591" s="116">
        <v>3802.3</v>
      </c>
      <c r="O2591" s="116">
        <v>3666.7</v>
      </c>
      <c r="P2591" s="116">
        <v>3793.5</v>
      </c>
      <c r="Q2591" s="116">
        <v>3676.8</v>
      </c>
      <c r="R2591">
        <v>228442</v>
      </c>
    </row>
    <row r="2592" spans="1:18" x14ac:dyDescent="0.25">
      <c r="A2592" s="170">
        <v>45821</v>
      </c>
      <c r="B2592" s="116">
        <v>3681.1</v>
      </c>
      <c r="C2592" s="116">
        <v>3670.1</v>
      </c>
      <c r="D2592" s="116">
        <v>3576.6</v>
      </c>
      <c r="E2592" s="116">
        <v>3576.6</v>
      </c>
      <c r="F2592" s="116">
        <v>3670.1</v>
      </c>
      <c r="G2592">
        <v>12113</v>
      </c>
      <c r="H2592" s="116"/>
      <c r="I2592" s="116"/>
      <c r="L2592" s="170">
        <v>45821</v>
      </c>
      <c r="M2592" s="116">
        <v>3670.7</v>
      </c>
      <c r="N2592" s="116">
        <v>3682.7</v>
      </c>
      <c r="O2592" s="116">
        <v>3591.7</v>
      </c>
      <c r="P2592" s="116">
        <v>3600</v>
      </c>
      <c r="Q2592" s="116">
        <v>3670.7</v>
      </c>
      <c r="R2592">
        <v>194489</v>
      </c>
    </row>
    <row r="2593" spans="1:18" x14ac:dyDescent="0.25">
      <c r="A2593" s="170">
        <v>45824</v>
      </c>
      <c r="B2593" s="116">
        <v>3705.2</v>
      </c>
      <c r="C2593" s="116">
        <v>3685.65</v>
      </c>
      <c r="D2593" s="116">
        <v>3607.65</v>
      </c>
      <c r="E2593" s="116">
        <v>3667.65</v>
      </c>
      <c r="F2593" s="116">
        <v>3685.65</v>
      </c>
      <c r="G2593">
        <v>4404</v>
      </c>
      <c r="H2593" s="116"/>
      <c r="I2593" s="116"/>
      <c r="L2593" s="170">
        <v>45824</v>
      </c>
      <c r="M2593" s="116">
        <v>3685.2</v>
      </c>
      <c r="N2593" s="116">
        <v>3705</v>
      </c>
      <c r="O2593" s="116">
        <v>3608</v>
      </c>
      <c r="P2593" s="116">
        <v>3660.1</v>
      </c>
      <c r="Q2593" s="116">
        <v>3685.2</v>
      </c>
      <c r="R2593">
        <v>155748</v>
      </c>
    </row>
    <row r="2594" spans="1:18" x14ac:dyDescent="0.25">
      <c r="A2594" s="170">
        <v>45825</v>
      </c>
      <c r="B2594" s="116">
        <v>3739</v>
      </c>
      <c r="C2594" s="116">
        <v>3610.75</v>
      </c>
      <c r="D2594" s="116">
        <v>3605.05</v>
      </c>
      <c r="E2594" s="116">
        <v>3739</v>
      </c>
      <c r="F2594" s="116">
        <v>3610.75</v>
      </c>
      <c r="G2594">
        <v>5722</v>
      </c>
      <c r="H2594" s="116"/>
      <c r="I2594" s="116"/>
      <c r="L2594" s="170">
        <v>45825</v>
      </c>
      <c r="M2594" s="116">
        <v>3612.7</v>
      </c>
      <c r="N2594" s="116">
        <v>3699.9</v>
      </c>
      <c r="O2594" s="116">
        <v>3602.4</v>
      </c>
      <c r="P2594" s="116">
        <v>3685.2</v>
      </c>
      <c r="Q2594" s="116">
        <v>3612.7</v>
      </c>
      <c r="R2594">
        <v>401604</v>
      </c>
    </row>
    <row r="2595" spans="1:18" x14ac:dyDescent="0.25">
      <c r="A2595" s="170">
        <v>45826</v>
      </c>
      <c r="B2595" s="116">
        <v>3673.85</v>
      </c>
      <c r="C2595" s="116">
        <v>3587.7</v>
      </c>
      <c r="D2595" s="116">
        <v>3579.05</v>
      </c>
      <c r="E2595" s="116">
        <v>3595.05</v>
      </c>
      <c r="F2595" s="116">
        <v>3587.7</v>
      </c>
      <c r="G2595">
        <v>79363</v>
      </c>
      <c r="H2595" s="116"/>
      <c r="I2595" s="116"/>
      <c r="L2595" s="170">
        <v>45826</v>
      </c>
      <c r="M2595" s="116">
        <v>3590.7</v>
      </c>
      <c r="N2595" s="116">
        <v>3674.8</v>
      </c>
      <c r="O2595" s="116">
        <v>3575.6</v>
      </c>
      <c r="P2595" s="116">
        <v>3600.5</v>
      </c>
      <c r="Q2595" s="116">
        <v>3590.7</v>
      </c>
      <c r="R2595">
        <v>1053137</v>
      </c>
    </row>
    <row r="2596" spans="1:18" x14ac:dyDescent="0.25">
      <c r="A2596" s="170">
        <v>45827</v>
      </c>
      <c r="B2596" s="116">
        <v>3643.8</v>
      </c>
      <c r="C2596" s="116">
        <v>3602.45</v>
      </c>
      <c r="D2596" s="116">
        <v>3571</v>
      </c>
      <c r="E2596" s="116">
        <v>3591</v>
      </c>
      <c r="F2596" s="116">
        <v>3602.45</v>
      </c>
      <c r="G2596">
        <v>4624</v>
      </c>
      <c r="H2596" s="116"/>
      <c r="I2596" s="116"/>
      <c r="L2596" s="170">
        <v>45827</v>
      </c>
      <c r="M2596" s="116">
        <v>3600.8</v>
      </c>
      <c r="N2596" s="116">
        <v>3642.7</v>
      </c>
      <c r="O2596" s="116">
        <v>3567.3</v>
      </c>
      <c r="P2596" s="116">
        <v>3590.6</v>
      </c>
      <c r="Q2596" s="116">
        <v>3600.8</v>
      </c>
      <c r="R2596">
        <v>690638</v>
      </c>
    </row>
    <row r="2597" spans="1:18" x14ac:dyDescent="0.25">
      <c r="A2597" s="170">
        <v>45828</v>
      </c>
      <c r="B2597" s="116">
        <v>3609.9</v>
      </c>
      <c r="C2597" s="116">
        <v>3573.5</v>
      </c>
      <c r="D2597" s="116">
        <v>3540.2</v>
      </c>
      <c r="E2597" s="116">
        <v>3575.05</v>
      </c>
      <c r="F2597" s="116">
        <v>3573.5</v>
      </c>
      <c r="G2597">
        <v>7676</v>
      </c>
      <c r="H2597" s="116"/>
      <c r="I2597" s="116"/>
      <c r="L2597" s="170">
        <v>45828</v>
      </c>
      <c r="M2597" s="116">
        <v>3574.5</v>
      </c>
      <c r="N2597" s="116">
        <v>3609.6</v>
      </c>
      <c r="O2597" s="116">
        <v>3540</v>
      </c>
      <c r="P2597" s="116">
        <v>3592</v>
      </c>
      <c r="Q2597" s="116">
        <v>3574.5</v>
      </c>
      <c r="R2597">
        <v>232065</v>
      </c>
    </row>
    <row r="2598" spans="1:18" x14ac:dyDescent="0.25">
      <c r="A2598" s="170">
        <v>45831</v>
      </c>
      <c r="B2598" s="116">
        <v>3805.5</v>
      </c>
      <c r="C2598" s="116">
        <v>3758.3</v>
      </c>
      <c r="D2598" s="116">
        <v>3504</v>
      </c>
      <c r="E2598" s="116">
        <v>3504</v>
      </c>
      <c r="F2598" s="116">
        <v>3758.3</v>
      </c>
      <c r="G2598">
        <v>21171</v>
      </c>
      <c r="H2598" s="116"/>
      <c r="I2598" s="116"/>
      <c r="L2598" s="170">
        <v>45831</v>
      </c>
      <c r="M2598" s="116">
        <v>3758.9</v>
      </c>
      <c r="N2598" s="116">
        <v>3807.2</v>
      </c>
      <c r="O2598" s="116">
        <v>3525.3</v>
      </c>
      <c r="P2598" s="116">
        <v>3540.6</v>
      </c>
      <c r="Q2598" s="116">
        <v>3758.9</v>
      </c>
      <c r="R2598">
        <v>1365996</v>
      </c>
    </row>
    <row r="2599" spans="1:18" x14ac:dyDescent="0.25">
      <c r="A2599" s="170">
        <v>45832</v>
      </c>
      <c r="B2599" s="116">
        <v>3853</v>
      </c>
      <c r="C2599" s="116">
        <v>3838.25</v>
      </c>
      <c r="D2599" s="116">
        <v>3696.3</v>
      </c>
      <c r="E2599" s="116">
        <v>3799.95</v>
      </c>
      <c r="F2599" s="116">
        <v>3838.25</v>
      </c>
      <c r="G2599">
        <v>16382</v>
      </c>
      <c r="H2599" s="116"/>
      <c r="I2599" s="116"/>
      <c r="L2599" s="170">
        <v>45832</v>
      </c>
      <c r="M2599" s="116">
        <v>3839.6</v>
      </c>
      <c r="N2599" s="116">
        <v>3854.3</v>
      </c>
      <c r="O2599" s="116">
        <v>3692.4</v>
      </c>
      <c r="P2599" s="116">
        <v>3760</v>
      </c>
      <c r="Q2599" s="116">
        <v>3839.6</v>
      </c>
      <c r="R2599">
        <v>592144</v>
      </c>
    </row>
    <row r="2600" spans="1:18" x14ac:dyDescent="0.25">
      <c r="A2600" s="170">
        <v>45833</v>
      </c>
      <c r="B2600" s="116">
        <v>3937.05</v>
      </c>
      <c r="C2600" s="116">
        <v>3806.1</v>
      </c>
      <c r="D2600" s="116">
        <v>3785.6</v>
      </c>
      <c r="E2600" s="116">
        <v>3839.6</v>
      </c>
      <c r="F2600" s="116">
        <v>3806.1</v>
      </c>
      <c r="G2600">
        <v>10084</v>
      </c>
      <c r="H2600" s="116"/>
      <c r="I2600" s="116"/>
      <c r="L2600" s="170">
        <v>45833</v>
      </c>
      <c r="M2600" s="116">
        <v>3806</v>
      </c>
      <c r="N2600" s="116">
        <v>3940.6</v>
      </c>
      <c r="O2600" s="116">
        <v>3785</v>
      </c>
      <c r="P2600" s="116">
        <v>3839</v>
      </c>
      <c r="Q2600" s="116">
        <v>3806</v>
      </c>
      <c r="R2600">
        <v>517702</v>
      </c>
    </row>
    <row r="2601" spans="1:18" x14ac:dyDescent="0.25">
      <c r="A2601" s="170">
        <v>45834</v>
      </c>
      <c r="B2601" s="116">
        <v>3865.95</v>
      </c>
      <c r="C2601" s="116">
        <v>3772.45</v>
      </c>
      <c r="D2601" s="116">
        <v>3741.7</v>
      </c>
      <c r="E2601" s="116">
        <v>3865.95</v>
      </c>
      <c r="F2601" s="116">
        <v>3772.45</v>
      </c>
      <c r="G2601">
        <v>10208</v>
      </c>
      <c r="H2601" s="116"/>
      <c r="I2601" s="116"/>
      <c r="L2601" s="170">
        <v>45834</v>
      </c>
      <c r="M2601" s="116">
        <v>3774.5</v>
      </c>
      <c r="N2601" s="116">
        <v>3853.3</v>
      </c>
      <c r="O2601" s="116">
        <v>3741.4</v>
      </c>
      <c r="P2601" s="116">
        <v>3838</v>
      </c>
      <c r="Q2601" s="116">
        <v>3774.5</v>
      </c>
      <c r="R2601">
        <v>288150</v>
      </c>
    </row>
    <row r="2602" spans="1:18" x14ac:dyDescent="0.25">
      <c r="A2602" s="170">
        <v>45835</v>
      </c>
      <c r="B2602" s="116">
        <v>3830</v>
      </c>
      <c r="C2602" s="116">
        <v>3784.9</v>
      </c>
      <c r="D2602" s="116">
        <v>3751.05</v>
      </c>
      <c r="E2602" s="116">
        <v>3751.05</v>
      </c>
      <c r="F2602" s="116">
        <v>3784.9</v>
      </c>
      <c r="G2602">
        <v>4396</v>
      </c>
      <c r="H2602" s="116"/>
      <c r="I2602" s="116"/>
      <c r="L2602" s="170">
        <v>45835</v>
      </c>
      <c r="M2602" s="116">
        <v>3780</v>
      </c>
      <c r="N2602" s="116">
        <v>3834.9</v>
      </c>
      <c r="O2602" s="116">
        <v>3765.3</v>
      </c>
      <c r="P2602" s="116">
        <v>3776.4</v>
      </c>
      <c r="Q2602" s="116">
        <v>3780</v>
      </c>
      <c r="R2602">
        <v>347440</v>
      </c>
    </row>
    <row r="2603" spans="1:18" x14ac:dyDescent="0.25">
      <c r="A2603" s="170">
        <v>45838</v>
      </c>
      <c r="B2603" s="116">
        <v>3831.75</v>
      </c>
      <c r="C2603" s="116">
        <v>3794.85</v>
      </c>
      <c r="D2603" s="116">
        <v>3766</v>
      </c>
      <c r="E2603" s="116">
        <v>3819.8</v>
      </c>
      <c r="F2603" s="116">
        <v>3794.85</v>
      </c>
      <c r="G2603">
        <v>3072</v>
      </c>
      <c r="H2603" s="116"/>
      <c r="I2603" s="116"/>
      <c r="L2603" s="170">
        <v>45838</v>
      </c>
      <c r="M2603" s="116">
        <v>3792.6</v>
      </c>
      <c r="N2603" s="116">
        <v>3833</v>
      </c>
      <c r="O2603" s="116">
        <v>3758.4</v>
      </c>
      <c r="P2603" s="116">
        <v>3780</v>
      </c>
      <c r="Q2603" s="116">
        <v>3792.6</v>
      </c>
      <c r="R2603">
        <v>129827</v>
      </c>
    </row>
    <row r="2604" spans="1:18" x14ac:dyDescent="0.25">
      <c r="A2604" s="170">
        <v>45839</v>
      </c>
      <c r="B2604" s="116">
        <v>3860</v>
      </c>
      <c r="C2604" s="116">
        <v>3810.95</v>
      </c>
      <c r="D2604" s="116">
        <v>3795</v>
      </c>
      <c r="E2604" s="116">
        <v>3833.95</v>
      </c>
      <c r="F2604" s="116">
        <v>3810.95</v>
      </c>
      <c r="G2604">
        <v>9558</v>
      </c>
      <c r="H2604" s="116"/>
      <c r="I2604" s="116"/>
      <c r="L2604" s="170">
        <v>45839</v>
      </c>
      <c r="M2604" s="116">
        <v>3810.8</v>
      </c>
      <c r="N2604" s="116">
        <v>3862.1</v>
      </c>
      <c r="O2604" s="116">
        <v>3795</v>
      </c>
      <c r="P2604" s="116">
        <v>3805</v>
      </c>
      <c r="Q2604" s="116">
        <v>3810.8</v>
      </c>
      <c r="R2604">
        <v>171315</v>
      </c>
    </row>
    <row r="2605" spans="1:18" x14ac:dyDescent="0.25">
      <c r="A2605" s="170">
        <v>45840</v>
      </c>
      <c r="B2605" s="116">
        <v>3805.95</v>
      </c>
      <c r="C2605" s="116">
        <v>3762.7</v>
      </c>
      <c r="D2605" s="116">
        <v>3676.05</v>
      </c>
      <c r="E2605" s="116">
        <v>3676.05</v>
      </c>
      <c r="F2605" s="116">
        <v>3762.7</v>
      </c>
      <c r="G2605">
        <v>11398</v>
      </c>
      <c r="H2605" s="116"/>
      <c r="I2605" s="116"/>
      <c r="L2605" s="170">
        <v>45840</v>
      </c>
      <c r="M2605" s="116">
        <v>3764</v>
      </c>
      <c r="N2605" s="116">
        <v>3810.8</v>
      </c>
      <c r="O2605" s="116">
        <v>3720</v>
      </c>
      <c r="P2605" s="116">
        <v>3810.5</v>
      </c>
      <c r="Q2605" s="116">
        <v>3764</v>
      </c>
      <c r="R2605">
        <v>335785</v>
      </c>
    </row>
    <row r="2606" spans="1:18" x14ac:dyDescent="0.25">
      <c r="A2606" s="170">
        <v>45841</v>
      </c>
      <c r="B2606" s="116">
        <v>3870</v>
      </c>
      <c r="C2606" s="116">
        <v>3840.55</v>
      </c>
      <c r="D2606" s="116">
        <v>3762.75</v>
      </c>
      <c r="E2606" s="116">
        <v>3762.75</v>
      </c>
      <c r="F2606" s="116">
        <v>3840.55</v>
      </c>
      <c r="G2606">
        <v>6756</v>
      </c>
      <c r="H2606" s="116"/>
      <c r="I2606" s="116"/>
      <c r="L2606" s="170">
        <v>45841</v>
      </c>
      <c r="M2606" s="116">
        <v>3840.7</v>
      </c>
      <c r="N2606" s="116">
        <v>3874</v>
      </c>
      <c r="O2606" s="116">
        <v>3760.3</v>
      </c>
      <c r="P2606" s="116">
        <v>3765</v>
      </c>
      <c r="Q2606" s="116">
        <v>3840.7</v>
      </c>
      <c r="R2606">
        <v>612719</v>
      </c>
    </row>
    <row r="2607" spans="1:18" x14ac:dyDescent="0.25">
      <c r="A2607" s="170">
        <v>45842</v>
      </c>
      <c r="B2607" s="116">
        <v>3871</v>
      </c>
      <c r="C2607" s="116">
        <v>3781.95</v>
      </c>
      <c r="D2607" s="116">
        <v>3740</v>
      </c>
      <c r="E2607" s="116">
        <v>3841.15</v>
      </c>
      <c r="F2607" s="116">
        <v>3781.95</v>
      </c>
      <c r="G2607">
        <v>4005</v>
      </c>
      <c r="H2607" s="116"/>
      <c r="I2607" s="116"/>
      <c r="L2607" s="170">
        <v>45842</v>
      </c>
      <c r="M2607" s="116">
        <v>3781.8</v>
      </c>
      <c r="N2607" s="116">
        <v>3875.9</v>
      </c>
      <c r="O2607" s="116">
        <v>3736.9</v>
      </c>
      <c r="P2607" s="116">
        <v>3855</v>
      </c>
      <c r="Q2607" s="116">
        <v>3781.8</v>
      </c>
      <c r="R2607">
        <v>358266</v>
      </c>
    </row>
    <row r="2608" spans="1:18" x14ac:dyDescent="0.25">
      <c r="A2608" s="170">
        <v>45845</v>
      </c>
      <c r="B2608" s="116">
        <v>3860</v>
      </c>
      <c r="C2608" s="116">
        <v>3803.45</v>
      </c>
      <c r="D2608" s="116">
        <v>3750.2</v>
      </c>
      <c r="E2608" s="116">
        <v>3750.2</v>
      </c>
      <c r="F2608" s="116">
        <v>3803.45</v>
      </c>
      <c r="G2608">
        <v>11246</v>
      </c>
      <c r="H2608" s="116"/>
      <c r="I2608" s="116"/>
      <c r="L2608" s="170">
        <v>45845</v>
      </c>
      <c r="M2608" s="116">
        <v>3806.6</v>
      </c>
      <c r="N2608" s="116">
        <v>3864</v>
      </c>
      <c r="O2608" s="116">
        <v>3771.1</v>
      </c>
      <c r="P2608" s="116">
        <v>3781</v>
      </c>
      <c r="Q2608" s="116">
        <v>3806.6</v>
      </c>
      <c r="R2608">
        <v>178862</v>
      </c>
    </row>
    <row r="2609" spans="1:18" x14ac:dyDescent="0.25">
      <c r="A2609" s="170">
        <v>45846</v>
      </c>
      <c r="B2609" s="116">
        <v>3839.7</v>
      </c>
      <c r="C2609" s="116">
        <v>3772.05</v>
      </c>
      <c r="D2609" s="116">
        <v>3758.8</v>
      </c>
      <c r="E2609" s="116">
        <v>3822.55</v>
      </c>
      <c r="F2609" s="116">
        <v>3772.05</v>
      </c>
      <c r="G2609">
        <v>5614</v>
      </c>
      <c r="H2609" s="116"/>
      <c r="I2609" s="116"/>
      <c r="L2609" s="170">
        <v>45846</v>
      </c>
      <c r="M2609" s="116">
        <v>3771.1</v>
      </c>
      <c r="N2609" s="116">
        <v>3837.4</v>
      </c>
      <c r="O2609" s="116">
        <v>3756</v>
      </c>
      <c r="P2609" s="116">
        <v>3830</v>
      </c>
      <c r="Q2609" s="116">
        <v>3771.1</v>
      </c>
      <c r="R2609">
        <v>134964</v>
      </c>
    </row>
    <row r="2610" spans="1:18" x14ac:dyDescent="0.25">
      <c r="A2610" s="170">
        <v>45847</v>
      </c>
      <c r="B2610" s="116">
        <v>3753</v>
      </c>
      <c r="C2610" s="116">
        <v>3694.15</v>
      </c>
      <c r="D2610" s="116">
        <v>3678.9</v>
      </c>
      <c r="E2610" s="116">
        <v>3733.75</v>
      </c>
      <c r="F2610" s="116">
        <v>3694.15</v>
      </c>
      <c r="G2610">
        <v>13806</v>
      </c>
      <c r="H2610" s="116"/>
      <c r="I2610" s="116"/>
      <c r="L2610" s="170">
        <v>45847</v>
      </c>
      <c r="M2610" s="116">
        <v>3694</v>
      </c>
      <c r="N2610" s="116">
        <v>3759</v>
      </c>
      <c r="O2610" s="116">
        <v>3678</v>
      </c>
      <c r="P2610" s="116">
        <v>3759</v>
      </c>
      <c r="Q2610" s="116">
        <v>3694</v>
      </c>
      <c r="R2610">
        <v>595581</v>
      </c>
    </row>
    <row r="2611" spans="1:18" x14ac:dyDescent="0.25">
      <c r="A2611" s="170">
        <v>45848</v>
      </c>
      <c r="B2611" s="116">
        <v>3726.05</v>
      </c>
      <c r="C2611" s="116">
        <v>3698.6</v>
      </c>
      <c r="D2611" s="116">
        <v>3670.5</v>
      </c>
      <c r="E2611" s="116">
        <v>3700</v>
      </c>
      <c r="F2611" s="116">
        <v>3698.6</v>
      </c>
      <c r="G2611">
        <v>10137</v>
      </c>
      <c r="H2611" s="116"/>
      <c r="I2611" s="116"/>
      <c r="L2611" s="170">
        <v>45848</v>
      </c>
      <c r="M2611" s="116">
        <v>3696.6</v>
      </c>
      <c r="N2611" s="116">
        <v>3725.2</v>
      </c>
      <c r="O2611" s="116">
        <v>3673.6</v>
      </c>
      <c r="P2611" s="116">
        <v>3700</v>
      </c>
      <c r="Q2611" s="116">
        <v>3696.6</v>
      </c>
      <c r="R2611">
        <v>352135</v>
      </c>
    </row>
    <row r="2612" spans="1:18" x14ac:dyDescent="0.25">
      <c r="A2612" s="170">
        <v>45849</v>
      </c>
      <c r="B2612" s="116">
        <v>3700</v>
      </c>
      <c r="C2612" s="116">
        <v>3611.35</v>
      </c>
      <c r="D2612" s="116">
        <v>3604</v>
      </c>
      <c r="E2612" s="116">
        <v>3689.9</v>
      </c>
      <c r="F2612" s="116">
        <v>3611.35</v>
      </c>
      <c r="G2612">
        <v>10626</v>
      </c>
      <c r="H2612" s="116"/>
      <c r="I2612" s="116"/>
      <c r="L2612" s="170">
        <v>45849</v>
      </c>
      <c r="M2612" s="116">
        <v>3612.3</v>
      </c>
      <c r="N2612" s="116">
        <v>3704</v>
      </c>
      <c r="O2612" s="116">
        <v>3601.1</v>
      </c>
      <c r="P2612" s="116">
        <v>3704</v>
      </c>
      <c r="Q2612" s="116">
        <v>3612.3</v>
      </c>
      <c r="R2612">
        <v>133241</v>
      </c>
    </row>
    <row r="2613" spans="1:18" x14ac:dyDescent="0.25">
      <c r="A2613" s="170">
        <v>45852</v>
      </c>
      <c r="B2613" s="116">
        <v>3755</v>
      </c>
      <c r="C2613" s="116">
        <v>3734.15</v>
      </c>
      <c r="D2613" s="116">
        <v>3594.35</v>
      </c>
      <c r="E2613" s="116">
        <v>3594.35</v>
      </c>
      <c r="F2613" s="116">
        <v>3734.15</v>
      </c>
      <c r="G2613">
        <v>11169</v>
      </c>
      <c r="H2613" s="116"/>
      <c r="I2613" s="116"/>
      <c r="L2613" s="170">
        <v>45852</v>
      </c>
      <c r="M2613" s="116">
        <v>3732.6</v>
      </c>
      <c r="N2613" s="116">
        <v>3755</v>
      </c>
      <c r="O2613" s="116">
        <v>3612</v>
      </c>
      <c r="P2613" s="116">
        <v>3650</v>
      </c>
      <c r="Q2613" s="116">
        <v>3732.6</v>
      </c>
      <c r="R2613">
        <v>541391</v>
      </c>
    </row>
    <row r="2614" spans="1:18" x14ac:dyDescent="0.25">
      <c r="A2614" s="170">
        <v>45853</v>
      </c>
      <c r="B2614" s="116">
        <v>3898</v>
      </c>
      <c r="C2614" s="116">
        <v>3892</v>
      </c>
      <c r="D2614" s="116">
        <v>3747.25</v>
      </c>
      <c r="E2614" s="116">
        <v>3759.85</v>
      </c>
      <c r="F2614" s="116">
        <v>3892</v>
      </c>
      <c r="G2614">
        <v>42872</v>
      </c>
      <c r="H2614" s="116"/>
      <c r="I2614" s="116"/>
      <c r="L2614" s="170">
        <v>45853</v>
      </c>
      <c r="M2614" s="116">
        <v>3892.4</v>
      </c>
      <c r="N2614" s="116">
        <v>3900</v>
      </c>
      <c r="O2614" s="116">
        <v>3748.8</v>
      </c>
      <c r="P2614" s="116">
        <v>3758</v>
      </c>
      <c r="Q2614" s="116">
        <v>3892.4</v>
      </c>
      <c r="R2614">
        <v>428669</v>
      </c>
    </row>
    <row r="2615" spans="1:18" x14ac:dyDescent="0.25">
      <c r="A2615" s="170">
        <v>45854</v>
      </c>
      <c r="B2615" s="116">
        <v>3916.75</v>
      </c>
      <c r="C2615" s="116">
        <v>3887.2</v>
      </c>
      <c r="D2615" s="116">
        <v>3856.6</v>
      </c>
      <c r="E2615" s="116">
        <v>3899.95</v>
      </c>
      <c r="F2615" s="116">
        <v>3887.2</v>
      </c>
      <c r="G2615">
        <v>6622</v>
      </c>
      <c r="H2615" s="116"/>
      <c r="I2615" s="116"/>
      <c r="L2615" s="170">
        <v>45854</v>
      </c>
      <c r="M2615" s="116">
        <v>3891.1</v>
      </c>
      <c r="N2615" s="116">
        <v>3915</v>
      </c>
      <c r="O2615" s="116">
        <v>3857.5</v>
      </c>
      <c r="P2615" s="116">
        <v>3892.4</v>
      </c>
      <c r="Q2615" s="116">
        <v>3891.1</v>
      </c>
      <c r="R2615">
        <v>330694</v>
      </c>
    </row>
    <row r="2616" spans="1:18" x14ac:dyDescent="0.25">
      <c r="A2616" s="170">
        <v>45855</v>
      </c>
      <c r="B2616" s="116">
        <v>3986.35</v>
      </c>
      <c r="C2616" s="116">
        <v>3930.65</v>
      </c>
      <c r="D2616" s="116">
        <v>3871.4</v>
      </c>
      <c r="E2616" s="116">
        <v>3889.95</v>
      </c>
      <c r="F2616" s="116">
        <v>3930.65</v>
      </c>
      <c r="G2616">
        <v>9287</v>
      </c>
      <c r="H2616" s="116"/>
      <c r="I2616" s="116"/>
      <c r="L2616" s="170">
        <v>45855</v>
      </c>
      <c r="M2616" s="116">
        <v>3933.3</v>
      </c>
      <c r="N2616" s="116">
        <v>3984.7</v>
      </c>
      <c r="O2616" s="116">
        <v>3869.7</v>
      </c>
      <c r="P2616" s="116">
        <v>3871.2</v>
      </c>
      <c r="Q2616" s="116">
        <v>3933.3</v>
      </c>
      <c r="R2616">
        <v>479900</v>
      </c>
    </row>
    <row r="2617" spans="1:18" x14ac:dyDescent="0.25">
      <c r="A2617" s="170">
        <v>45856</v>
      </c>
      <c r="B2617" s="116">
        <v>4008.95</v>
      </c>
      <c r="C2617" s="116">
        <v>3924.15</v>
      </c>
      <c r="D2617" s="116">
        <v>3915.5</v>
      </c>
      <c r="E2617" s="116">
        <v>3949.95</v>
      </c>
      <c r="F2617" s="116">
        <v>3924.15</v>
      </c>
      <c r="G2617">
        <v>7967</v>
      </c>
      <c r="H2617" s="116"/>
      <c r="I2617" s="116"/>
      <c r="L2617" s="170">
        <v>45856</v>
      </c>
      <c r="M2617" s="116">
        <v>3928.8</v>
      </c>
      <c r="N2617" s="116">
        <v>4008.9</v>
      </c>
      <c r="O2617" s="116">
        <v>3915</v>
      </c>
      <c r="P2617" s="116">
        <v>3950.9</v>
      </c>
      <c r="Q2617" s="116">
        <v>3928.8</v>
      </c>
      <c r="R2617">
        <v>492660</v>
      </c>
    </row>
    <row r="2618" spans="1:18" x14ac:dyDescent="0.25">
      <c r="A2618" s="170">
        <v>45859</v>
      </c>
      <c r="B2618" s="116">
        <v>3998.2</v>
      </c>
      <c r="C2618" s="116">
        <v>3970.95</v>
      </c>
      <c r="D2618" s="116">
        <v>3869.35</v>
      </c>
      <c r="E2618" s="116">
        <v>3887.7</v>
      </c>
      <c r="F2618" s="116">
        <v>3970.95</v>
      </c>
      <c r="G2618">
        <v>7276</v>
      </c>
      <c r="H2618" s="116"/>
      <c r="I2618" s="116"/>
      <c r="L2618" s="170">
        <v>45859</v>
      </c>
      <c r="M2618" s="116">
        <v>3972.4</v>
      </c>
      <c r="N2618" s="116">
        <v>4000</v>
      </c>
      <c r="O2618" s="116">
        <v>3866.1</v>
      </c>
      <c r="P2618" s="116">
        <v>3928.8</v>
      </c>
      <c r="Q2618" s="116">
        <v>3972.4</v>
      </c>
      <c r="R2618">
        <v>368099</v>
      </c>
    </row>
    <row r="2619" spans="1:18" x14ac:dyDescent="0.25">
      <c r="A2619" s="170">
        <v>45860</v>
      </c>
      <c r="B2619" s="116">
        <v>4033</v>
      </c>
      <c r="C2619" s="116">
        <v>3988.95</v>
      </c>
      <c r="D2619" s="116">
        <v>3942.5</v>
      </c>
      <c r="E2619" s="116">
        <v>3990.05</v>
      </c>
      <c r="F2619" s="116">
        <v>3988.95</v>
      </c>
      <c r="G2619">
        <v>7809</v>
      </c>
      <c r="H2619" s="116"/>
      <c r="I2619" s="116"/>
      <c r="L2619" s="170">
        <v>45860</v>
      </c>
      <c r="M2619" s="116">
        <v>3990.3</v>
      </c>
      <c r="N2619" s="116">
        <v>4034.3</v>
      </c>
      <c r="O2619" s="116">
        <v>3939.6</v>
      </c>
      <c r="P2619" s="116">
        <v>3999.9</v>
      </c>
      <c r="Q2619" s="116">
        <v>3990.3</v>
      </c>
      <c r="R2619">
        <v>341163</v>
      </c>
    </row>
    <row r="2620" spans="1:18" x14ac:dyDescent="0.25">
      <c r="A2620" s="170">
        <v>45861</v>
      </c>
      <c r="B2620" s="116">
        <v>4062.05</v>
      </c>
      <c r="C2620" s="116">
        <v>3970.15</v>
      </c>
      <c r="D2620" s="116">
        <v>3884.5</v>
      </c>
      <c r="E2620" s="116">
        <v>4062.05</v>
      </c>
      <c r="F2620" s="116">
        <v>3970.15</v>
      </c>
      <c r="G2620">
        <v>33161</v>
      </c>
      <c r="H2620" s="116"/>
      <c r="I2620" s="116"/>
      <c r="L2620" s="170">
        <v>45861</v>
      </c>
      <c r="M2620" s="116">
        <v>3970.3</v>
      </c>
      <c r="N2620" s="116">
        <v>4034.4</v>
      </c>
      <c r="O2620" s="116">
        <v>3881.3</v>
      </c>
      <c r="P2620" s="116">
        <v>4024.9</v>
      </c>
      <c r="Q2620" s="116">
        <v>3970.3</v>
      </c>
      <c r="R2620">
        <v>776885</v>
      </c>
    </row>
    <row r="2621" spans="1:18" x14ac:dyDescent="0.25">
      <c r="A2621" s="170">
        <v>45862</v>
      </c>
      <c r="B2621" s="116">
        <v>3979.65</v>
      </c>
      <c r="C2621" s="116">
        <v>3904.85</v>
      </c>
      <c r="D2621" s="116">
        <v>3891.3</v>
      </c>
      <c r="E2621" s="116">
        <v>3979.65</v>
      </c>
      <c r="F2621" s="116">
        <v>3904.85</v>
      </c>
      <c r="G2621">
        <v>12261</v>
      </c>
      <c r="H2621" s="116"/>
      <c r="I2621" s="116"/>
      <c r="L2621" s="170">
        <v>45862</v>
      </c>
      <c r="M2621" s="116">
        <v>3905.8</v>
      </c>
      <c r="N2621" s="116">
        <v>3974.3</v>
      </c>
      <c r="O2621" s="116">
        <v>3891</v>
      </c>
      <c r="P2621" s="116">
        <v>3970.4</v>
      </c>
      <c r="Q2621" s="116">
        <v>3905.8</v>
      </c>
      <c r="R2621">
        <v>461587</v>
      </c>
    </row>
    <row r="2622" spans="1:18" x14ac:dyDescent="0.25">
      <c r="A2622" s="170">
        <v>45863</v>
      </c>
      <c r="B2622" s="116">
        <v>3928.9</v>
      </c>
      <c r="C2622" s="116">
        <v>3876.4</v>
      </c>
      <c r="D2622" s="116">
        <v>3831.4</v>
      </c>
      <c r="E2622" s="116">
        <v>3928.9</v>
      </c>
      <c r="F2622" s="116">
        <v>3876.4</v>
      </c>
      <c r="G2622">
        <v>3430</v>
      </c>
      <c r="H2622" s="116"/>
      <c r="I2622" s="116"/>
      <c r="L2622" s="170">
        <v>45863</v>
      </c>
      <c r="M2622" s="116">
        <v>3881.8</v>
      </c>
      <c r="N2622" s="116">
        <v>3925</v>
      </c>
      <c r="O2622" s="116">
        <v>3831.3</v>
      </c>
      <c r="P2622" s="116">
        <v>3905.8</v>
      </c>
      <c r="Q2622" s="116">
        <v>3881.8</v>
      </c>
      <c r="R2622">
        <v>331338</v>
      </c>
    </row>
    <row r="2623" spans="1:18" x14ac:dyDescent="0.25">
      <c r="A2623" s="170">
        <v>45866</v>
      </c>
      <c r="B2623" s="116">
        <v>3946</v>
      </c>
      <c r="C2623" s="116">
        <v>3908.65</v>
      </c>
      <c r="D2623" s="116">
        <v>3863.95</v>
      </c>
      <c r="E2623" s="116">
        <v>3904.7</v>
      </c>
      <c r="F2623" s="116">
        <v>3908.65</v>
      </c>
      <c r="G2623">
        <v>4322</v>
      </c>
      <c r="H2623" s="116"/>
      <c r="I2623" s="116"/>
      <c r="L2623" s="170">
        <v>45866</v>
      </c>
      <c r="M2623" s="116">
        <v>3908.7</v>
      </c>
      <c r="N2623" s="116">
        <v>3948</v>
      </c>
      <c r="O2623" s="116">
        <v>3861</v>
      </c>
      <c r="P2623" s="116">
        <v>3889.9</v>
      </c>
      <c r="Q2623" s="116">
        <v>3908.7</v>
      </c>
      <c r="R2623">
        <v>277144</v>
      </c>
    </row>
    <row r="2624" spans="1:18" x14ac:dyDescent="0.25">
      <c r="A2624" s="170">
        <v>45867</v>
      </c>
      <c r="B2624" s="116">
        <v>3940.35</v>
      </c>
      <c r="C2624" s="116">
        <v>3920.2</v>
      </c>
      <c r="D2624" s="116">
        <v>3862</v>
      </c>
      <c r="E2624" s="116">
        <v>3908.75</v>
      </c>
      <c r="F2624" s="116">
        <v>3920.2</v>
      </c>
      <c r="G2624">
        <v>2594</v>
      </c>
      <c r="H2624" s="116"/>
      <c r="I2624" s="116"/>
      <c r="L2624" s="170">
        <v>45867</v>
      </c>
      <c r="M2624" s="116">
        <v>3922</v>
      </c>
      <c r="N2624" s="116">
        <v>3943.8</v>
      </c>
      <c r="O2624" s="116">
        <v>3860</v>
      </c>
      <c r="P2624" s="116">
        <v>3932.1</v>
      </c>
      <c r="Q2624" s="116">
        <v>3922</v>
      </c>
      <c r="R2624">
        <v>130692</v>
      </c>
    </row>
    <row r="2625" spans="1:18" x14ac:dyDescent="0.25">
      <c r="A2625" s="170">
        <v>45868</v>
      </c>
      <c r="B2625" s="116">
        <v>3939.85</v>
      </c>
      <c r="C2625" s="116">
        <v>3903.5</v>
      </c>
      <c r="D2625" s="116">
        <v>3850</v>
      </c>
      <c r="E2625" s="116">
        <v>3939.85</v>
      </c>
      <c r="F2625" s="116">
        <v>3903.5</v>
      </c>
      <c r="G2625">
        <v>3664</v>
      </c>
      <c r="H2625" s="116"/>
      <c r="I2625" s="116"/>
      <c r="L2625" s="170">
        <v>45868</v>
      </c>
      <c r="M2625" s="116">
        <v>3901.4</v>
      </c>
      <c r="N2625" s="116">
        <v>3938</v>
      </c>
      <c r="O2625" s="116">
        <v>3847.2</v>
      </c>
      <c r="P2625" s="116">
        <v>3935</v>
      </c>
      <c r="Q2625" s="116">
        <v>3901.4</v>
      </c>
      <c r="R2625">
        <v>156034</v>
      </c>
    </row>
    <row r="2626" spans="1:18" x14ac:dyDescent="0.25">
      <c r="A2626" s="170">
        <v>45869</v>
      </c>
      <c r="B2626" s="116">
        <v>3880.2</v>
      </c>
      <c r="C2626" s="116">
        <v>3842.1</v>
      </c>
      <c r="D2626" s="116">
        <v>3789.05</v>
      </c>
      <c r="E2626" s="116">
        <v>3848.55</v>
      </c>
      <c r="F2626" s="116">
        <v>3842.1</v>
      </c>
      <c r="G2626">
        <v>13864</v>
      </c>
      <c r="H2626" s="116"/>
      <c r="I2626" s="116"/>
      <c r="L2626" s="170">
        <v>45869</v>
      </c>
      <c r="M2626" s="116">
        <v>3844.2</v>
      </c>
      <c r="N2626" s="116">
        <v>3880.2</v>
      </c>
      <c r="O2626" s="116">
        <v>3783</v>
      </c>
      <c r="P2626" s="116">
        <v>3860</v>
      </c>
      <c r="Q2626" s="116">
        <v>3844.2</v>
      </c>
      <c r="R2626">
        <v>351630</v>
      </c>
    </row>
    <row r="2627" spans="1:18" x14ac:dyDescent="0.25">
      <c r="A2627" s="170">
        <v>45870</v>
      </c>
      <c r="B2627" s="116">
        <v>3885.9</v>
      </c>
      <c r="C2627" s="116">
        <v>3811.55</v>
      </c>
      <c r="D2627" s="116">
        <v>3801.8</v>
      </c>
      <c r="E2627" s="116">
        <v>3869.85</v>
      </c>
      <c r="F2627" s="116">
        <v>3811.55</v>
      </c>
      <c r="G2627">
        <v>3223</v>
      </c>
      <c r="H2627" s="116"/>
      <c r="I2627" s="116"/>
      <c r="L2627" s="170">
        <v>45870</v>
      </c>
      <c r="M2627" s="116">
        <v>3816.3</v>
      </c>
      <c r="N2627" s="116">
        <v>3889.9</v>
      </c>
      <c r="O2627" s="116">
        <v>3802</v>
      </c>
      <c r="P2627" s="116">
        <v>3858</v>
      </c>
      <c r="Q2627" s="116">
        <v>3816.3</v>
      </c>
      <c r="R2627">
        <v>161240</v>
      </c>
    </row>
    <row r="2628" spans="1:18" x14ac:dyDescent="0.25">
      <c r="A2628" s="170">
        <v>45873</v>
      </c>
      <c r="B2628" s="116">
        <v>3895.5</v>
      </c>
      <c r="C2628" s="116">
        <v>3885.2</v>
      </c>
      <c r="D2628" s="116">
        <v>3766.85</v>
      </c>
      <c r="E2628" s="116">
        <v>3816</v>
      </c>
      <c r="F2628" s="116">
        <v>3885.2</v>
      </c>
      <c r="G2628">
        <v>5210</v>
      </c>
      <c r="H2628" s="116"/>
      <c r="I2628" s="116"/>
      <c r="L2628" s="170">
        <v>45873</v>
      </c>
      <c r="M2628" s="116">
        <v>3883.3</v>
      </c>
      <c r="N2628" s="116">
        <v>3900</v>
      </c>
      <c r="O2628" s="116">
        <v>3765.3</v>
      </c>
      <c r="P2628" s="116">
        <v>3820</v>
      </c>
      <c r="Q2628" s="116">
        <v>3883.3</v>
      </c>
      <c r="R2628">
        <v>285393</v>
      </c>
    </row>
    <row r="2629" spans="1:18" x14ac:dyDescent="0.25">
      <c r="A2629" s="170">
        <v>45874</v>
      </c>
      <c r="B2629" s="116">
        <v>3909.9</v>
      </c>
      <c r="C2629" s="116">
        <v>3814.55</v>
      </c>
      <c r="D2629" s="116">
        <v>3810.5</v>
      </c>
      <c r="E2629" s="116">
        <v>3889.05</v>
      </c>
      <c r="F2629" s="116">
        <v>3814.55</v>
      </c>
      <c r="G2629">
        <v>6779</v>
      </c>
      <c r="H2629" s="116"/>
      <c r="I2629" s="116"/>
      <c r="L2629" s="170">
        <v>45874</v>
      </c>
      <c r="M2629" s="116">
        <v>3816.7</v>
      </c>
      <c r="N2629" s="116">
        <v>3905</v>
      </c>
      <c r="O2629" s="116">
        <v>3810</v>
      </c>
      <c r="P2629" s="116">
        <v>3900</v>
      </c>
      <c r="Q2629" s="116">
        <v>3816.7</v>
      </c>
      <c r="R2629">
        <v>299828</v>
      </c>
    </row>
    <row r="2630" spans="1:18" x14ac:dyDescent="0.25">
      <c r="A2630" s="170">
        <v>45875</v>
      </c>
      <c r="B2630" s="116">
        <v>3818.4</v>
      </c>
      <c r="C2630" s="116">
        <v>3809.75</v>
      </c>
      <c r="D2630" s="116">
        <v>3730</v>
      </c>
      <c r="E2630" s="116">
        <v>3812</v>
      </c>
      <c r="F2630" s="116">
        <v>3809.75</v>
      </c>
      <c r="G2630">
        <v>2655</v>
      </c>
      <c r="H2630" s="116"/>
      <c r="I2630" s="116"/>
      <c r="L2630" s="170">
        <v>45875</v>
      </c>
      <c r="M2630" s="116">
        <v>3810</v>
      </c>
      <c r="N2630" s="116">
        <v>3819.1</v>
      </c>
      <c r="O2630" s="116">
        <v>3726.5</v>
      </c>
      <c r="P2630" s="116">
        <v>3812</v>
      </c>
      <c r="Q2630" s="116">
        <v>3810</v>
      </c>
      <c r="R2630">
        <v>159190</v>
      </c>
    </row>
    <row r="2631" spans="1:18" x14ac:dyDescent="0.25">
      <c r="A2631" s="170">
        <v>45876</v>
      </c>
      <c r="B2631" s="116">
        <v>3859.1</v>
      </c>
      <c r="C2631" s="116">
        <v>3841.15</v>
      </c>
      <c r="D2631" s="116">
        <v>3734.15</v>
      </c>
      <c r="E2631" s="116">
        <v>3734.15</v>
      </c>
      <c r="F2631" s="116">
        <v>3841.15</v>
      </c>
      <c r="G2631">
        <v>4389</v>
      </c>
      <c r="H2631" s="116"/>
      <c r="I2631" s="116"/>
      <c r="L2631" s="170">
        <v>45876</v>
      </c>
      <c r="M2631" s="116">
        <v>3842.4</v>
      </c>
      <c r="N2631" s="116">
        <v>3859.9</v>
      </c>
      <c r="O2631" s="116">
        <v>3764.9</v>
      </c>
      <c r="P2631" s="116">
        <v>3779</v>
      </c>
      <c r="Q2631" s="116">
        <v>3842.4</v>
      </c>
      <c r="R2631">
        <v>188489</v>
      </c>
    </row>
    <row r="2632" spans="1:18" x14ac:dyDescent="0.25">
      <c r="A2632" s="170">
        <v>45877</v>
      </c>
      <c r="B2632" s="116">
        <v>3863</v>
      </c>
      <c r="C2632" s="116">
        <v>3838.75</v>
      </c>
      <c r="D2632" s="116">
        <v>3818.1</v>
      </c>
      <c r="E2632" s="116">
        <v>3830.9</v>
      </c>
      <c r="F2632" s="116">
        <v>3838.75</v>
      </c>
      <c r="G2632">
        <v>3028</v>
      </c>
      <c r="H2632" s="116"/>
      <c r="I2632" s="116"/>
      <c r="L2632" s="170">
        <v>45877</v>
      </c>
      <c r="M2632" s="116">
        <v>3840.9</v>
      </c>
      <c r="N2632" s="116">
        <v>3871.5</v>
      </c>
      <c r="O2632" s="116">
        <v>3820.1</v>
      </c>
      <c r="P2632" s="116">
        <v>3842.4</v>
      </c>
      <c r="Q2632" s="116">
        <v>3840.9</v>
      </c>
      <c r="R2632">
        <v>213342</v>
      </c>
    </row>
    <row r="2633" spans="1:18" x14ac:dyDescent="0.25">
      <c r="A2633" s="170">
        <v>45880</v>
      </c>
      <c r="B2633" s="116">
        <v>3866.1</v>
      </c>
      <c r="C2633" s="116">
        <v>3810.75</v>
      </c>
      <c r="D2633" s="116">
        <v>3784.7</v>
      </c>
      <c r="E2633" s="116">
        <v>3828.05</v>
      </c>
      <c r="F2633" s="116">
        <v>3810.75</v>
      </c>
      <c r="G2633">
        <v>3313</v>
      </c>
      <c r="H2633" s="116"/>
      <c r="I2633" s="116"/>
      <c r="L2633" s="170">
        <v>45880</v>
      </c>
      <c r="M2633" s="116">
        <v>3810.4</v>
      </c>
      <c r="N2633" s="116">
        <v>3871</v>
      </c>
      <c r="O2633" s="116">
        <v>3781</v>
      </c>
      <c r="P2633" s="116">
        <v>3839</v>
      </c>
      <c r="Q2633" s="116">
        <v>3810.4</v>
      </c>
      <c r="R2633">
        <v>194520</v>
      </c>
    </row>
    <row r="2634" spans="1:18" x14ac:dyDescent="0.25">
      <c r="A2634" s="170">
        <v>45881</v>
      </c>
      <c r="B2634" s="116">
        <v>3810</v>
      </c>
      <c r="C2634" s="116">
        <v>3760.4</v>
      </c>
      <c r="D2634" s="116">
        <v>3711.2</v>
      </c>
      <c r="E2634" s="116">
        <v>3810</v>
      </c>
      <c r="F2634" s="116">
        <v>3760.4</v>
      </c>
      <c r="G2634">
        <v>8740</v>
      </c>
      <c r="H2634" s="116"/>
      <c r="I2634" s="116"/>
      <c r="L2634" s="170">
        <v>45881</v>
      </c>
      <c r="M2634" s="116">
        <v>3764.7</v>
      </c>
      <c r="N2634" s="116">
        <v>3824.5</v>
      </c>
      <c r="O2634" s="116">
        <v>3712.2</v>
      </c>
      <c r="P2634" s="116">
        <v>3809</v>
      </c>
      <c r="Q2634" s="116">
        <v>3764.7</v>
      </c>
      <c r="R2634">
        <v>175427</v>
      </c>
    </row>
    <row r="2635" spans="1:18" x14ac:dyDescent="0.25">
      <c r="A2635" s="170">
        <v>45882</v>
      </c>
      <c r="B2635" s="116">
        <v>3838</v>
      </c>
      <c r="C2635" s="116">
        <v>3798.5</v>
      </c>
      <c r="D2635" s="116">
        <v>3766.05</v>
      </c>
      <c r="E2635" s="116">
        <v>3766.05</v>
      </c>
      <c r="F2635" s="116">
        <v>3798.5</v>
      </c>
      <c r="G2635">
        <v>2569</v>
      </c>
      <c r="H2635" s="116"/>
      <c r="I2635" s="116"/>
      <c r="L2635" s="170">
        <v>45882</v>
      </c>
      <c r="M2635" s="116">
        <v>3803.8</v>
      </c>
      <c r="N2635" s="116">
        <v>3841.4</v>
      </c>
      <c r="O2635" s="116">
        <v>3770</v>
      </c>
      <c r="P2635" s="116">
        <v>3770</v>
      </c>
      <c r="Q2635" s="116">
        <v>3803.8</v>
      </c>
      <c r="R2635">
        <v>132653</v>
      </c>
    </row>
    <row r="2636" spans="1:18" x14ac:dyDescent="0.25">
      <c r="A2636" s="170">
        <v>45883</v>
      </c>
      <c r="B2636" s="116">
        <v>3829.65</v>
      </c>
      <c r="C2636" s="116">
        <v>3816.35</v>
      </c>
      <c r="D2636" s="116">
        <v>3763</v>
      </c>
      <c r="E2636" s="116">
        <v>3829.65</v>
      </c>
      <c r="F2636" s="116">
        <v>3816.35</v>
      </c>
      <c r="G2636">
        <v>4493</v>
      </c>
      <c r="H2636" s="116"/>
      <c r="I2636" s="116"/>
      <c r="L2636" s="170">
        <v>45883</v>
      </c>
      <c r="M2636" s="116">
        <v>3814.1</v>
      </c>
      <c r="N2636" s="116">
        <v>3825</v>
      </c>
      <c r="O2636" s="116">
        <v>3760</v>
      </c>
      <c r="P2636" s="116">
        <v>3803.8</v>
      </c>
      <c r="Q2636" s="116">
        <v>3814.1</v>
      </c>
      <c r="R2636">
        <v>69004</v>
      </c>
    </row>
    <row r="2637" spans="1:18" x14ac:dyDescent="0.25">
      <c r="A2637" s="170">
        <v>45887</v>
      </c>
      <c r="B2637" s="116">
        <v>3930</v>
      </c>
      <c r="C2637" s="116">
        <v>3901.55</v>
      </c>
      <c r="D2637" s="116">
        <v>3809.6</v>
      </c>
      <c r="E2637" s="116">
        <v>3825</v>
      </c>
      <c r="F2637" s="116">
        <v>3901.55</v>
      </c>
      <c r="G2637">
        <v>17076</v>
      </c>
      <c r="H2637" s="116"/>
      <c r="I2637" s="116"/>
      <c r="L2637" s="170">
        <v>45887</v>
      </c>
      <c r="M2637" s="116">
        <v>3901.4</v>
      </c>
      <c r="N2637" s="116">
        <v>3933.5</v>
      </c>
      <c r="O2637" s="116">
        <v>3808.9</v>
      </c>
      <c r="P2637" s="116">
        <v>3825.1</v>
      </c>
      <c r="Q2637" s="116">
        <v>3901.4</v>
      </c>
      <c r="R2637">
        <v>204248</v>
      </c>
    </row>
    <row r="2638" spans="1:18" x14ac:dyDescent="0.25">
      <c r="A2638" s="170">
        <v>45888</v>
      </c>
      <c r="B2638" s="116">
        <v>3970</v>
      </c>
      <c r="C2638" s="116">
        <v>3955.05</v>
      </c>
      <c r="D2638" s="116">
        <v>3879.7</v>
      </c>
      <c r="E2638" s="116">
        <v>3938.8</v>
      </c>
      <c r="F2638" s="116">
        <v>3955.05</v>
      </c>
      <c r="G2638">
        <v>11997</v>
      </c>
      <c r="H2638" s="116"/>
      <c r="I2638" s="116"/>
      <c r="L2638" s="170">
        <v>45888</v>
      </c>
      <c r="M2638" s="116">
        <v>3946.6</v>
      </c>
      <c r="N2638" s="116">
        <v>3972.4</v>
      </c>
      <c r="O2638" s="116">
        <v>3878</v>
      </c>
      <c r="P2638" s="116">
        <v>3911.7</v>
      </c>
      <c r="Q2638" s="116">
        <v>3946.6</v>
      </c>
      <c r="R2638">
        <v>503218</v>
      </c>
    </row>
    <row r="2639" spans="1:18" x14ac:dyDescent="0.25">
      <c r="A2639" s="170">
        <v>45889</v>
      </c>
      <c r="B2639" s="116">
        <v>4078.55</v>
      </c>
      <c r="C2639" s="116">
        <v>3983.55</v>
      </c>
      <c r="D2639" s="116">
        <v>3905.8</v>
      </c>
      <c r="E2639" s="116">
        <v>3969.1</v>
      </c>
      <c r="F2639" s="116">
        <v>3983.55</v>
      </c>
      <c r="G2639">
        <v>20675</v>
      </c>
      <c r="H2639" s="116"/>
      <c r="I2639" s="116"/>
      <c r="L2639" s="170">
        <v>45889</v>
      </c>
      <c r="M2639" s="116">
        <v>3986.4</v>
      </c>
      <c r="N2639" s="116">
        <v>4079</v>
      </c>
      <c r="O2639" s="116">
        <v>3904.2</v>
      </c>
      <c r="P2639" s="116">
        <v>3950</v>
      </c>
      <c r="Q2639" s="116">
        <v>3986.4</v>
      </c>
      <c r="R2639">
        <v>382428</v>
      </c>
    </row>
    <row r="2640" spans="1:18" x14ac:dyDescent="0.25">
      <c r="A2640" s="170">
        <v>45890</v>
      </c>
      <c r="B2640" s="116">
        <v>4002.3</v>
      </c>
      <c r="C2640" s="116">
        <v>3951.95</v>
      </c>
      <c r="D2640" s="116">
        <v>3908.1</v>
      </c>
      <c r="E2640" s="116">
        <v>4002.3</v>
      </c>
      <c r="F2640" s="116">
        <v>3951.95</v>
      </c>
      <c r="G2640">
        <v>3287</v>
      </c>
      <c r="H2640" s="116"/>
      <c r="I2640" s="116"/>
      <c r="L2640" s="170">
        <v>45890</v>
      </c>
      <c r="M2640" s="116">
        <v>3953.3</v>
      </c>
      <c r="N2640" s="116">
        <v>3999</v>
      </c>
      <c r="O2640" s="116">
        <v>3906.3</v>
      </c>
      <c r="P2640" s="116">
        <v>3995</v>
      </c>
      <c r="Q2640" s="116">
        <v>3953.3</v>
      </c>
      <c r="R2640">
        <v>162082</v>
      </c>
    </row>
    <row r="2641" spans="1:18" x14ac:dyDescent="0.25">
      <c r="A2641" s="170">
        <v>45891</v>
      </c>
      <c r="B2641" s="116">
        <v>4014.5</v>
      </c>
      <c r="C2641" s="116">
        <v>3958.4</v>
      </c>
      <c r="D2641" s="116">
        <v>3940</v>
      </c>
      <c r="E2641" s="116">
        <v>3969.95</v>
      </c>
      <c r="F2641" s="116">
        <v>3958.4</v>
      </c>
      <c r="G2641">
        <v>4221</v>
      </c>
      <c r="H2641" s="116"/>
      <c r="I2641" s="116"/>
      <c r="L2641" s="170">
        <v>45891</v>
      </c>
      <c r="M2641" s="116">
        <v>3954.8</v>
      </c>
      <c r="N2641" s="116">
        <v>4015</v>
      </c>
      <c r="O2641" s="116">
        <v>3938</v>
      </c>
      <c r="P2641" s="116">
        <v>3959</v>
      </c>
      <c r="Q2641" s="116">
        <v>3954.8</v>
      </c>
      <c r="R2641">
        <v>195264</v>
      </c>
    </row>
    <row r="2642" spans="1:18" x14ac:dyDescent="0.25">
      <c r="A2642" s="170">
        <v>45894</v>
      </c>
      <c r="B2642" s="116">
        <v>4008.25</v>
      </c>
      <c r="C2642" s="116">
        <v>3940.1</v>
      </c>
      <c r="D2642" s="116">
        <v>3930.2</v>
      </c>
      <c r="E2642" s="116">
        <v>3965.95</v>
      </c>
      <c r="F2642" s="116">
        <v>3940.1</v>
      </c>
      <c r="G2642">
        <v>7682</v>
      </c>
      <c r="H2642" s="116"/>
      <c r="I2642" s="116"/>
      <c r="L2642" s="170">
        <v>45894</v>
      </c>
      <c r="M2642" s="116">
        <v>3942.7</v>
      </c>
      <c r="N2642" s="116">
        <v>4006.4</v>
      </c>
      <c r="O2642" s="116">
        <v>3930</v>
      </c>
      <c r="P2642" s="116">
        <v>3954.9</v>
      </c>
      <c r="Q2642" s="116">
        <v>3942.7</v>
      </c>
      <c r="R2642">
        <v>252653</v>
      </c>
    </row>
    <row r="2643" spans="1:18" x14ac:dyDescent="0.25">
      <c r="A2643" s="170">
        <v>45895</v>
      </c>
      <c r="B2643" s="116">
        <v>3960.1</v>
      </c>
      <c r="C2643" s="116">
        <v>3874.85</v>
      </c>
      <c r="D2643" s="116">
        <v>3856</v>
      </c>
      <c r="E2643" s="116">
        <v>3930.5</v>
      </c>
      <c r="F2643" s="116">
        <v>3874.85</v>
      </c>
      <c r="G2643">
        <v>7511</v>
      </c>
      <c r="H2643" s="116"/>
      <c r="I2643" s="116"/>
      <c r="L2643" s="170">
        <v>45895</v>
      </c>
      <c r="M2643" s="116">
        <v>3874.8</v>
      </c>
      <c r="N2643" s="116">
        <v>3958.9</v>
      </c>
      <c r="O2643" s="116">
        <v>3855.9</v>
      </c>
      <c r="P2643" s="116">
        <v>3941</v>
      </c>
      <c r="Q2643" s="116">
        <v>3874.8</v>
      </c>
      <c r="R2643">
        <v>165170</v>
      </c>
    </row>
    <row r="2644" spans="1:18" x14ac:dyDescent="0.25">
      <c r="A2644" s="170">
        <v>45897</v>
      </c>
      <c r="B2644" s="116">
        <v>3935.55</v>
      </c>
      <c r="C2644" s="116">
        <v>3847.4</v>
      </c>
      <c r="D2644" s="116">
        <v>3835</v>
      </c>
      <c r="E2644" s="116">
        <v>3850.8</v>
      </c>
      <c r="F2644" s="116">
        <v>3847.4</v>
      </c>
      <c r="G2644">
        <v>6631</v>
      </c>
      <c r="H2644" s="116"/>
      <c r="I2644" s="116"/>
      <c r="L2644" s="170">
        <v>45897</v>
      </c>
      <c r="M2644" s="116">
        <v>3863.5</v>
      </c>
      <c r="N2644" s="116">
        <v>3935.6</v>
      </c>
      <c r="O2644" s="116">
        <v>3814.2</v>
      </c>
      <c r="P2644" s="116">
        <v>3874.8</v>
      </c>
      <c r="Q2644" s="116">
        <v>3863.5</v>
      </c>
      <c r="R2644">
        <v>240799</v>
      </c>
    </row>
    <row r="2645" spans="1:18" x14ac:dyDescent="0.25">
      <c r="A2645" s="170">
        <v>45898</v>
      </c>
      <c r="B2645" s="116">
        <v>3853.2</v>
      </c>
      <c r="C2645" s="116">
        <v>3808.3</v>
      </c>
      <c r="D2645" s="116">
        <v>3783.95</v>
      </c>
      <c r="E2645" s="116">
        <v>3831</v>
      </c>
      <c r="F2645" s="116">
        <v>3808.3</v>
      </c>
      <c r="G2645">
        <v>3339</v>
      </c>
      <c r="H2645" s="116"/>
      <c r="I2645" s="116"/>
      <c r="L2645" s="170">
        <v>45898</v>
      </c>
      <c r="M2645" s="116">
        <v>3810.6</v>
      </c>
      <c r="N2645" s="116">
        <v>3855.9</v>
      </c>
      <c r="O2645" s="116">
        <v>3783</v>
      </c>
      <c r="P2645" s="116">
        <v>3825</v>
      </c>
      <c r="Q2645" s="116">
        <v>3810.6</v>
      </c>
      <c r="R2645">
        <v>202714</v>
      </c>
    </row>
    <row r="2646" spans="1:18" x14ac:dyDescent="0.25">
      <c r="A2646" s="170">
        <v>45901</v>
      </c>
      <c r="B2646" s="116">
        <v>3930</v>
      </c>
      <c r="C2646" s="116">
        <v>3919.75</v>
      </c>
      <c r="D2646" s="116">
        <v>3791.15</v>
      </c>
      <c r="E2646" s="116">
        <v>3791.15</v>
      </c>
      <c r="F2646" s="116">
        <v>3919.75</v>
      </c>
      <c r="G2646">
        <v>2954</v>
      </c>
      <c r="H2646" s="116"/>
      <c r="I2646" s="116"/>
      <c r="L2646" s="170">
        <v>45901</v>
      </c>
      <c r="M2646" s="116">
        <v>3920.3</v>
      </c>
      <c r="N2646" s="116">
        <v>3934</v>
      </c>
      <c r="O2646" s="116">
        <v>3805.6</v>
      </c>
      <c r="P2646" s="116">
        <v>3814.8</v>
      </c>
      <c r="Q2646" s="116">
        <v>3920.3</v>
      </c>
      <c r="R2646">
        <v>206918</v>
      </c>
    </row>
    <row r="2647" spans="1:18" x14ac:dyDescent="0.25">
      <c r="A2647" s="170">
        <v>45902</v>
      </c>
      <c r="B2647" s="116">
        <v>3973.7</v>
      </c>
      <c r="C2647" s="116">
        <v>3958.8</v>
      </c>
      <c r="D2647" s="116">
        <v>3896.6</v>
      </c>
      <c r="E2647" s="116">
        <v>3925</v>
      </c>
      <c r="F2647" s="116">
        <v>3958.8</v>
      </c>
      <c r="G2647">
        <v>3429</v>
      </c>
      <c r="H2647" s="116"/>
      <c r="I2647" s="116"/>
      <c r="L2647" s="170">
        <v>45902</v>
      </c>
      <c r="M2647" s="116">
        <v>3963.3</v>
      </c>
      <c r="N2647" s="116">
        <v>3975</v>
      </c>
      <c r="O2647" s="116">
        <v>3896</v>
      </c>
      <c r="P2647" s="116">
        <v>3935</v>
      </c>
      <c r="Q2647" s="116">
        <v>3963.3</v>
      </c>
      <c r="R2647">
        <v>121719</v>
      </c>
    </row>
    <row r="2648" spans="1:18" x14ac:dyDescent="0.25">
      <c r="A2648" s="170">
        <v>45903</v>
      </c>
      <c r="B2648" s="116">
        <v>4038.15</v>
      </c>
      <c r="C2648" s="116">
        <v>4020.65</v>
      </c>
      <c r="D2648" s="116">
        <v>3958</v>
      </c>
      <c r="E2648" s="116">
        <v>4038.15</v>
      </c>
      <c r="F2648" s="116">
        <v>4020.65</v>
      </c>
      <c r="G2648">
        <v>2398</v>
      </c>
      <c r="H2648" s="116"/>
      <c r="I2648" s="116"/>
      <c r="L2648" s="170">
        <v>45903</v>
      </c>
      <c r="M2648" s="116">
        <v>4021.4</v>
      </c>
      <c r="N2648" s="116">
        <v>4026.7</v>
      </c>
      <c r="O2648" s="116">
        <v>3955.9</v>
      </c>
      <c r="P2648" s="116">
        <v>3980</v>
      </c>
      <c r="Q2648" s="116">
        <v>4021.4</v>
      </c>
      <c r="R2648">
        <v>243019</v>
      </c>
    </row>
    <row r="2649" spans="1:18" x14ac:dyDescent="0.25">
      <c r="A2649" s="170">
        <v>45904</v>
      </c>
      <c r="B2649" s="116">
        <v>4145</v>
      </c>
      <c r="C2649" s="116">
        <v>4122.25</v>
      </c>
      <c r="D2649" s="116">
        <v>4021</v>
      </c>
      <c r="E2649" s="116">
        <v>4021</v>
      </c>
      <c r="F2649" s="116">
        <v>4122.25</v>
      </c>
      <c r="G2649">
        <v>10877</v>
      </c>
      <c r="H2649" s="116"/>
      <c r="I2649" s="116"/>
      <c r="L2649" s="170">
        <v>45904</v>
      </c>
      <c r="M2649" s="116">
        <v>4125.8</v>
      </c>
      <c r="N2649" s="116">
        <v>4143</v>
      </c>
      <c r="O2649" s="116">
        <v>4010.2</v>
      </c>
      <c r="P2649" s="116">
        <v>4010.2</v>
      </c>
      <c r="Q2649" s="116">
        <v>4125.8</v>
      </c>
      <c r="R2649">
        <v>532878</v>
      </c>
    </row>
    <row r="2650" spans="1:18" x14ac:dyDescent="0.25">
      <c r="A2650" s="170">
        <v>45905</v>
      </c>
      <c r="B2650" s="116">
        <v>4137.05</v>
      </c>
      <c r="C2650" s="116">
        <v>4040.7</v>
      </c>
      <c r="D2650" s="116">
        <v>4018</v>
      </c>
      <c r="E2650" s="116">
        <v>4137.05</v>
      </c>
      <c r="F2650" s="116">
        <v>4040.7</v>
      </c>
      <c r="G2650">
        <v>3955</v>
      </c>
      <c r="H2650" s="116"/>
      <c r="I2650" s="116"/>
      <c r="L2650" s="170">
        <v>45905</v>
      </c>
      <c r="M2650" s="116">
        <v>4037.7</v>
      </c>
      <c r="N2650" s="116">
        <v>4142.5</v>
      </c>
      <c r="O2650" s="116">
        <v>4015.7</v>
      </c>
      <c r="P2650" s="116">
        <v>4140</v>
      </c>
      <c r="Q2650" s="116">
        <v>4037.7</v>
      </c>
      <c r="R2650">
        <v>131771</v>
      </c>
    </row>
    <row r="2651" spans="1:18" x14ac:dyDescent="0.25">
      <c r="A2651" s="170">
        <v>45908</v>
      </c>
      <c r="B2651" s="116">
        <v>4095.25</v>
      </c>
      <c r="C2651" s="116">
        <v>4055.65</v>
      </c>
      <c r="D2651" s="116">
        <v>4040</v>
      </c>
      <c r="E2651" s="116">
        <v>4042.25</v>
      </c>
      <c r="F2651" s="116">
        <v>4055.65</v>
      </c>
      <c r="G2651">
        <v>4367</v>
      </c>
      <c r="H2651" s="116"/>
      <c r="I2651" s="116"/>
      <c r="L2651" s="170">
        <v>45908</v>
      </c>
      <c r="M2651" s="116">
        <v>4055.7</v>
      </c>
      <c r="N2651" s="116">
        <v>4095</v>
      </c>
      <c r="O2651" s="116">
        <v>4036.7</v>
      </c>
      <c r="P2651" s="116">
        <v>4059</v>
      </c>
      <c r="Q2651" s="116">
        <v>4055.7</v>
      </c>
      <c r="R2651">
        <v>92057</v>
      </c>
    </row>
    <row r="2652" spans="1:18" x14ac:dyDescent="0.25">
      <c r="A2652" s="170">
        <v>45909</v>
      </c>
      <c r="B2652" s="116">
        <v>4090.5</v>
      </c>
      <c r="C2652" s="116">
        <v>4025.05</v>
      </c>
      <c r="D2652" s="116">
        <v>4008.1</v>
      </c>
      <c r="E2652" s="116">
        <v>4059.95</v>
      </c>
      <c r="F2652" s="116">
        <v>4025.05</v>
      </c>
      <c r="G2652">
        <v>1711</v>
      </c>
      <c r="H2652" s="116"/>
      <c r="I2652" s="116"/>
      <c r="L2652" s="170">
        <v>45909</v>
      </c>
      <c r="M2652" s="116">
        <v>4027.2</v>
      </c>
      <c r="N2652" s="116">
        <v>4094.9</v>
      </c>
      <c r="O2652" s="116">
        <v>4004.1</v>
      </c>
      <c r="P2652" s="116">
        <v>4056</v>
      </c>
      <c r="Q2652" s="116">
        <v>4027.2</v>
      </c>
      <c r="R2652">
        <v>98221</v>
      </c>
    </row>
    <row r="2653" spans="1:18" x14ac:dyDescent="0.25">
      <c r="A2653" s="170">
        <v>45910</v>
      </c>
      <c r="B2653" s="116">
        <v>4097</v>
      </c>
      <c r="C2653" s="116">
        <v>4080.55</v>
      </c>
      <c r="D2653" s="116">
        <v>4050</v>
      </c>
      <c r="E2653" s="116">
        <v>4071.45</v>
      </c>
      <c r="F2653" s="116">
        <v>4080.55</v>
      </c>
      <c r="G2653">
        <v>2789</v>
      </c>
      <c r="H2653" s="116"/>
      <c r="I2653" s="116"/>
      <c r="L2653" s="170">
        <v>45910</v>
      </c>
      <c r="M2653" s="116">
        <v>4081.9</v>
      </c>
      <c r="N2653" s="116">
        <v>4097</v>
      </c>
      <c r="O2653" s="116">
        <v>4045</v>
      </c>
      <c r="P2653" s="116">
        <v>4048</v>
      </c>
      <c r="Q2653" s="116">
        <v>4081.9</v>
      </c>
      <c r="R2653">
        <v>259998</v>
      </c>
    </row>
    <row r="2654" spans="1:18" x14ac:dyDescent="0.25">
      <c r="A2654" s="170">
        <v>45911</v>
      </c>
      <c r="B2654" s="116">
        <v>4146</v>
      </c>
      <c r="C2654" s="116">
        <v>4089</v>
      </c>
      <c r="D2654" s="116">
        <v>4069.5</v>
      </c>
      <c r="E2654" s="116">
        <v>4099.95</v>
      </c>
      <c r="F2654" s="116">
        <v>4089</v>
      </c>
      <c r="G2654">
        <v>3095</v>
      </c>
      <c r="H2654" s="116"/>
      <c r="I2654" s="116"/>
      <c r="L2654" s="170">
        <v>45911</v>
      </c>
      <c r="M2654" s="116">
        <v>4084</v>
      </c>
      <c r="N2654" s="116">
        <v>4146.8999999999996</v>
      </c>
      <c r="O2654" s="116">
        <v>4070.2</v>
      </c>
      <c r="P2654" s="116">
        <v>4091</v>
      </c>
      <c r="Q2654" s="116">
        <v>4084</v>
      </c>
      <c r="R2654">
        <v>268126</v>
      </c>
    </row>
    <row r="2655" spans="1:18" x14ac:dyDescent="0.25">
      <c r="A2655" s="170">
        <v>45912</v>
      </c>
      <c r="B2655" s="116">
        <v>4138.45</v>
      </c>
      <c r="C2655" s="116">
        <v>4127.05</v>
      </c>
      <c r="D2655" s="116">
        <v>4060</v>
      </c>
      <c r="E2655" s="116">
        <v>4060</v>
      </c>
      <c r="F2655" s="116">
        <v>4127.05</v>
      </c>
      <c r="G2655">
        <v>5558</v>
      </c>
      <c r="H2655" s="116"/>
      <c r="I2655" s="116"/>
      <c r="L2655" s="170">
        <v>45912</v>
      </c>
      <c r="M2655" s="116">
        <v>4125.8999999999996</v>
      </c>
      <c r="N2655" s="116">
        <v>4138.8999999999996</v>
      </c>
      <c r="O2655" s="116">
        <v>4075.8</v>
      </c>
      <c r="P2655" s="116">
        <v>4091</v>
      </c>
      <c r="Q2655" s="116">
        <v>4125.8999999999996</v>
      </c>
      <c r="R2655">
        <v>110221</v>
      </c>
    </row>
    <row r="2656" spans="1:18" x14ac:dyDescent="0.25">
      <c r="A2656" s="170">
        <v>45915</v>
      </c>
      <c r="B2656" s="116">
        <v>4145.05</v>
      </c>
      <c r="C2656" s="116">
        <v>4092.15</v>
      </c>
      <c r="D2656" s="116">
        <v>4084.95</v>
      </c>
      <c r="E2656" s="116">
        <v>4110.75</v>
      </c>
      <c r="F2656" s="116">
        <v>4092.15</v>
      </c>
      <c r="G2656">
        <v>5149</v>
      </c>
      <c r="H2656" s="116"/>
      <c r="I2656" s="116"/>
      <c r="L2656" s="170">
        <v>45915</v>
      </c>
      <c r="M2656" s="116">
        <v>4095.9</v>
      </c>
      <c r="N2656" s="116">
        <v>4144.8999999999996</v>
      </c>
      <c r="O2656" s="116">
        <v>4080.8</v>
      </c>
      <c r="P2656" s="116">
        <v>4131</v>
      </c>
      <c r="Q2656" s="116">
        <v>4095.9</v>
      </c>
      <c r="R2656">
        <v>102415</v>
      </c>
    </row>
    <row r="2657" spans="1:18" x14ac:dyDescent="0.25">
      <c r="A2657" s="170">
        <v>45916</v>
      </c>
      <c r="B2657" s="116">
        <v>4200</v>
      </c>
      <c r="C2657" s="116">
        <v>4183.25</v>
      </c>
      <c r="D2657" s="116">
        <v>4025</v>
      </c>
      <c r="E2657" s="116">
        <v>4091.35</v>
      </c>
      <c r="F2657" s="116">
        <v>4183.25</v>
      </c>
      <c r="G2657">
        <v>10230</v>
      </c>
      <c r="H2657" s="116"/>
      <c r="I2657" s="116"/>
      <c r="L2657" s="170">
        <v>45916</v>
      </c>
      <c r="M2657" s="116">
        <v>4179.7</v>
      </c>
      <c r="N2657" s="116">
        <v>4202.7</v>
      </c>
      <c r="O2657" s="116">
        <v>4021.1</v>
      </c>
      <c r="P2657" s="116">
        <v>4095.9</v>
      </c>
      <c r="Q2657" s="116">
        <v>4179.7</v>
      </c>
      <c r="R2657">
        <v>382656</v>
      </c>
    </row>
    <row r="2658" spans="1:18" x14ac:dyDescent="0.25">
      <c r="A2658" s="170">
        <v>45917</v>
      </c>
      <c r="B2658" s="116">
        <v>4200</v>
      </c>
      <c r="C2658" s="116">
        <v>4140.75</v>
      </c>
      <c r="D2658" s="116">
        <v>4129.3500000000004</v>
      </c>
      <c r="E2658" s="116">
        <v>4183.6499999999996</v>
      </c>
      <c r="F2658" s="116">
        <v>4140.75</v>
      </c>
      <c r="G2658">
        <v>6817</v>
      </c>
      <c r="H2658" s="116"/>
      <c r="I2658" s="116"/>
      <c r="L2658" s="170">
        <v>45917</v>
      </c>
      <c r="M2658" s="116">
        <v>4142.2</v>
      </c>
      <c r="N2658" s="116">
        <v>4205</v>
      </c>
      <c r="O2658" s="116">
        <v>4130</v>
      </c>
      <c r="P2658" s="116">
        <v>4205</v>
      </c>
      <c r="Q2658" s="116">
        <v>4142.2</v>
      </c>
      <c r="R2658">
        <v>117939</v>
      </c>
    </row>
    <row r="2659" spans="1:18" x14ac:dyDescent="0.25">
      <c r="A2659" s="170">
        <v>45918</v>
      </c>
      <c r="B2659" s="116">
        <v>4172.3</v>
      </c>
      <c r="C2659" s="116">
        <v>4147.3999999999996</v>
      </c>
      <c r="D2659" s="116">
        <v>4102.05</v>
      </c>
      <c r="E2659" s="116">
        <v>4102.05</v>
      </c>
      <c r="F2659" s="116">
        <v>4147.3999999999996</v>
      </c>
      <c r="G2659">
        <v>3296</v>
      </c>
      <c r="H2659" s="116"/>
      <c r="I2659" s="116"/>
      <c r="L2659" s="170">
        <v>45918</v>
      </c>
      <c r="M2659" s="116">
        <v>4149.3999999999996</v>
      </c>
      <c r="N2659" s="116">
        <v>4175.8999999999996</v>
      </c>
      <c r="O2659" s="116">
        <v>4120.1000000000004</v>
      </c>
      <c r="P2659" s="116">
        <v>4142.2</v>
      </c>
      <c r="Q2659" s="116">
        <v>4149.3999999999996</v>
      </c>
      <c r="R2659">
        <v>225112</v>
      </c>
    </row>
    <row r="2660" spans="1:18" x14ac:dyDescent="0.25">
      <c r="A2660" s="170">
        <v>45919</v>
      </c>
      <c r="B2660" s="116">
        <v>4237.1499999999996</v>
      </c>
      <c r="C2660" s="116">
        <v>4199.8500000000004</v>
      </c>
      <c r="D2660" s="116">
        <v>4141.3999999999996</v>
      </c>
      <c r="E2660" s="116">
        <v>4174</v>
      </c>
      <c r="F2660" s="116">
        <v>4199.8500000000004</v>
      </c>
      <c r="G2660">
        <v>6363</v>
      </c>
      <c r="H2660" s="116"/>
      <c r="I2660" s="116"/>
      <c r="L2660" s="170">
        <v>45919</v>
      </c>
      <c r="M2660" s="116">
        <v>4200</v>
      </c>
      <c r="N2660" s="116">
        <v>4235</v>
      </c>
      <c r="O2660" s="116">
        <v>4135.3999999999996</v>
      </c>
      <c r="P2660" s="116">
        <v>4175</v>
      </c>
      <c r="Q2660" s="116">
        <v>4200</v>
      </c>
      <c r="R2660">
        <v>361152</v>
      </c>
    </row>
    <row r="2661" spans="1:18" x14ac:dyDescent="0.25">
      <c r="A2661" s="170">
        <v>45922</v>
      </c>
      <c r="B2661" s="116">
        <v>4243.8</v>
      </c>
      <c r="C2661" s="116">
        <v>4130.45</v>
      </c>
      <c r="D2661" s="116">
        <v>4116.1499999999996</v>
      </c>
      <c r="E2661" s="116">
        <v>4243.8</v>
      </c>
      <c r="F2661" s="116">
        <v>4130.45</v>
      </c>
      <c r="G2661">
        <v>4578</v>
      </c>
      <c r="H2661" s="116"/>
      <c r="I2661" s="116"/>
      <c r="L2661" s="170">
        <v>45922</v>
      </c>
      <c r="M2661" s="116">
        <v>4131.3999999999996</v>
      </c>
      <c r="N2661" s="116">
        <v>4224.6000000000004</v>
      </c>
      <c r="O2661" s="116">
        <v>4115</v>
      </c>
      <c r="P2661" s="116">
        <v>4224.6000000000004</v>
      </c>
      <c r="Q2661" s="116">
        <v>4131.3999999999996</v>
      </c>
      <c r="R2661">
        <v>182799</v>
      </c>
    </row>
    <row r="2662" spans="1:18" x14ac:dyDescent="0.25">
      <c r="A2662" s="170">
        <v>45923</v>
      </c>
      <c r="B2662" s="116">
        <v>4210.2</v>
      </c>
      <c r="C2662" s="116">
        <v>4191.95</v>
      </c>
      <c r="D2662" s="116">
        <v>4052.9</v>
      </c>
      <c r="E2662" s="116">
        <v>4118.8999999999996</v>
      </c>
      <c r="F2662" s="116">
        <v>4191.95</v>
      </c>
      <c r="G2662">
        <v>5370</v>
      </c>
      <c r="H2662" s="116"/>
      <c r="I2662" s="116"/>
      <c r="L2662" s="170">
        <v>45923</v>
      </c>
      <c r="M2662" s="116">
        <v>4190.3</v>
      </c>
      <c r="N2662" s="116">
        <v>4210.1000000000004</v>
      </c>
      <c r="O2662" s="116">
        <v>4055</v>
      </c>
      <c r="P2662" s="116">
        <v>4131.3999999999996</v>
      </c>
      <c r="Q2662" s="116">
        <v>4190.3</v>
      </c>
      <c r="R2662">
        <v>522204</v>
      </c>
    </row>
    <row r="2663" spans="1:18" x14ac:dyDescent="0.25">
      <c r="A2663" s="170">
        <v>45924</v>
      </c>
      <c r="B2663" s="116">
        <v>4169.1499999999996</v>
      </c>
      <c r="C2663" s="116">
        <v>4074.9</v>
      </c>
      <c r="D2663" s="116">
        <v>4061</v>
      </c>
      <c r="E2663" s="116">
        <v>4135</v>
      </c>
      <c r="F2663" s="116">
        <v>4074.9</v>
      </c>
      <c r="G2663">
        <v>9065</v>
      </c>
      <c r="H2663" s="116"/>
      <c r="I2663" s="116"/>
      <c r="L2663" s="170">
        <v>45924</v>
      </c>
      <c r="M2663" s="116">
        <v>4079.3</v>
      </c>
      <c r="N2663" s="116">
        <v>4170</v>
      </c>
      <c r="O2663" s="116">
        <v>4063.1</v>
      </c>
      <c r="P2663" s="116">
        <v>4165.8</v>
      </c>
      <c r="Q2663" s="116">
        <v>4079.3</v>
      </c>
      <c r="R2663">
        <v>229105</v>
      </c>
    </row>
    <row r="2664" spans="1:18" x14ac:dyDescent="0.25">
      <c r="A2664" s="170">
        <v>45925</v>
      </c>
      <c r="B2664" s="116">
        <v>4180.05</v>
      </c>
      <c r="C2664" s="116">
        <v>4150.55</v>
      </c>
      <c r="D2664" s="116">
        <v>4091.2</v>
      </c>
      <c r="E2664" s="116">
        <v>4120</v>
      </c>
      <c r="F2664" s="116">
        <v>4150.55</v>
      </c>
      <c r="G2664">
        <v>6293</v>
      </c>
      <c r="H2664" s="116"/>
      <c r="I2664" s="116"/>
      <c r="L2664" s="170">
        <v>45925</v>
      </c>
      <c r="M2664" s="116">
        <v>4157.8999999999996</v>
      </c>
      <c r="N2664" s="116">
        <v>4184</v>
      </c>
      <c r="O2664" s="116">
        <v>4090</v>
      </c>
      <c r="P2664" s="116">
        <v>4110</v>
      </c>
      <c r="Q2664" s="116">
        <v>4157.8999999999996</v>
      </c>
      <c r="R2664">
        <v>403469</v>
      </c>
    </row>
    <row r="2665" spans="1:18" x14ac:dyDescent="0.25">
      <c r="A2665" s="170">
        <v>45926</v>
      </c>
      <c r="B2665" s="116">
        <v>4185</v>
      </c>
      <c r="C2665" s="116">
        <v>4050.2</v>
      </c>
      <c r="D2665" s="116">
        <v>4025.7</v>
      </c>
      <c r="E2665" s="116">
        <v>4141.95</v>
      </c>
      <c r="F2665" s="116">
        <v>4050.2</v>
      </c>
      <c r="G2665">
        <v>6160</v>
      </c>
      <c r="H2665" s="116"/>
      <c r="I2665" s="116"/>
      <c r="L2665" s="170">
        <v>45926</v>
      </c>
      <c r="M2665" s="116">
        <v>4049.3</v>
      </c>
      <c r="N2665" s="116">
        <v>4190</v>
      </c>
      <c r="O2665" s="116">
        <v>4024.8</v>
      </c>
      <c r="P2665" s="116">
        <v>4110.1000000000004</v>
      </c>
      <c r="Q2665" s="116">
        <v>4049.3</v>
      </c>
      <c r="R2665">
        <v>277563</v>
      </c>
    </row>
    <row r="2666" spans="1:18" x14ac:dyDescent="0.25">
      <c r="A2666" s="170">
        <v>45929</v>
      </c>
      <c r="B2666" s="116">
        <v>4110</v>
      </c>
      <c r="C2666" s="116">
        <v>4055.3</v>
      </c>
      <c r="D2666" s="116">
        <v>3996</v>
      </c>
      <c r="E2666" s="116">
        <v>4060.15</v>
      </c>
      <c r="F2666" s="116">
        <v>4055.3</v>
      </c>
      <c r="G2666">
        <v>9826</v>
      </c>
      <c r="H2666" s="116"/>
      <c r="I2666" s="116"/>
      <c r="L2666" s="170">
        <v>45929</v>
      </c>
      <c r="M2666" s="116">
        <v>4054.2</v>
      </c>
      <c r="N2666" s="116">
        <v>4111</v>
      </c>
      <c r="O2666" s="116">
        <v>3994.3</v>
      </c>
      <c r="P2666" s="116">
        <v>4069.2</v>
      </c>
      <c r="Q2666" s="116">
        <v>4054.2</v>
      </c>
      <c r="R2666">
        <v>300514</v>
      </c>
    </row>
    <row r="2667" spans="1:18" x14ac:dyDescent="0.25">
      <c r="A2667" s="170">
        <v>45930</v>
      </c>
      <c r="B2667" s="116">
        <v>4103.55</v>
      </c>
      <c r="C2667" s="116">
        <v>4063.9</v>
      </c>
      <c r="D2667" s="116">
        <v>3971.6</v>
      </c>
      <c r="E2667" s="116">
        <v>4103.55</v>
      </c>
      <c r="F2667" s="116">
        <v>4063.9</v>
      </c>
      <c r="G2667">
        <v>10570</v>
      </c>
      <c r="H2667" s="116"/>
      <c r="I2667" s="116"/>
      <c r="L2667" s="170">
        <v>45930</v>
      </c>
      <c r="M2667" s="116">
        <v>4062.3</v>
      </c>
      <c r="N2667" s="116">
        <v>4082</v>
      </c>
      <c r="O2667" s="116">
        <v>3973.7</v>
      </c>
      <c r="P2667" s="116">
        <v>4065</v>
      </c>
      <c r="Q2667" s="116">
        <v>4062.3</v>
      </c>
      <c r="R2667">
        <v>264786</v>
      </c>
    </row>
    <row r="2668" spans="1:18" x14ac:dyDescent="0.25">
      <c r="A2668" s="170">
        <v>45931</v>
      </c>
      <c r="B2668" s="116">
        <v>4056.7</v>
      </c>
      <c r="C2668" s="116">
        <v>4034.3</v>
      </c>
      <c r="D2668" s="116">
        <v>3998.6</v>
      </c>
      <c r="E2668" s="116">
        <v>4052.4</v>
      </c>
      <c r="F2668" s="116">
        <v>4034.3</v>
      </c>
      <c r="G2668">
        <v>13198</v>
      </c>
      <c r="H2668" s="116"/>
      <c r="I2668" s="116"/>
      <c r="L2668" s="170">
        <v>45931</v>
      </c>
      <c r="M2668" s="116">
        <v>4034</v>
      </c>
      <c r="N2668" s="116">
        <v>4057</v>
      </c>
      <c r="O2668" s="116">
        <v>3995.3</v>
      </c>
      <c r="P2668" s="116">
        <v>4048.6</v>
      </c>
      <c r="Q2668" s="116">
        <v>4034</v>
      </c>
      <c r="R2668">
        <v>306108</v>
      </c>
    </row>
    <row r="2669" spans="1:18" x14ac:dyDescent="0.25">
      <c r="A2669" s="170">
        <v>45933</v>
      </c>
      <c r="B2669" s="116">
        <v>4066.65</v>
      </c>
      <c r="C2669" s="116">
        <v>4035.3</v>
      </c>
      <c r="D2669" s="116">
        <v>3976.4</v>
      </c>
      <c r="E2669" s="116">
        <v>4040.5</v>
      </c>
      <c r="F2669" s="116">
        <v>4035.3</v>
      </c>
      <c r="G2669">
        <v>8746</v>
      </c>
      <c r="H2669" s="116"/>
      <c r="I2669" s="116"/>
      <c r="L2669" s="170">
        <v>45933</v>
      </c>
      <c r="M2669" s="116">
        <v>4037.2</v>
      </c>
      <c r="N2669" s="116">
        <v>4070</v>
      </c>
      <c r="O2669" s="116">
        <v>3977</v>
      </c>
      <c r="P2669" s="116">
        <v>4050.4</v>
      </c>
      <c r="Q2669" s="116">
        <v>4037.2</v>
      </c>
      <c r="R2669">
        <v>321537</v>
      </c>
    </row>
    <row r="2670" spans="1:18" x14ac:dyDescent="0.25">
      <c r="A2670" s="170">
        <v>45936</v>
      </c>
      <c r="B2670" s="116">
        <v>4155</v>
      </c>
      <c r="C2670" s="116">
        <v>4131.6000000000004</v>
      </c>
      <c r="D2670" s="116">
        <v>4064.6</v>
      </c>
      <c r="E2670" s="116">
        <v>4064.65</v>
      </c>
      <c r="F2670" s="116">
        <v>4131.6000000000004</v>
      </c>
      <c r="G2670">
        <v>6593</v>
      </c>
      <c r="H2670" s="116"/>
      <c r="I2670" s="116"/>
      <c r="L2670" s="170">
        <v>45936</v>
      </c>
      <c r="M2670" s="116">
        <v>4131.7</v>
      </c>
      <c r="N2670" s="116">
        <v>4155</v>
      </c>
      <c r="O2670" s="116">
        <v>4050</v>
      </c>
      <c r="P2670" s="116">
        <v>4050</v>
      </c>
      <c r="Q2670" s="116">
        <v>4131.7</v>
      </c>
      <c r="R2670">
        <v>283710</v>
      </c>
    </row>
    <row r="2671" spans="1:18" x14ac:dyDescent="0.25">
      <c r="A2671" s="170">
        <v>45937</v>
      </c>
      <c r="B2671" s="116">
        <v>4212</v>
      </c>
      <c r="C2671" s="116">
        <v>4202.6000000000004</v>
      </c>
      <c r="D2671" s="116">
        <v>4127.2</v>
      </c>
      <c r="E2671" s="116">
        <v>4137.8</v>
      </c>
      <c r="F2671" s="116">
        <v>4202.6000000000004</v>
      </c>
      <c r="G2671">
        <v>5536</v>
      </c>
      <c r="H2671" s="116"/>
      <c r="I2671" s="116"/>
      <c r="L2671" s="170">
        <v>45937</v>
      </c>
      <c r="M2671" s="116">
        <v>4201.5</v>
      </c>
      <c r="N2671" s="116">
        <v>4213.7</v>
      </c>
      <c r="O2671" s="116">
        <v>4124</v>
      </c>
      <c r="P2671" s="116">
        <v>4132.5</v>
      </c>
      <c r="Q2671" s="116">
        <v>4201.5</v>
      </c>
      <c r="R2671">
        <v>143928</v>
      </c>
    </row>
    <row r="2672" spans="1:18" x14ac:dyDescent="0.25">
      <c r="A2672" s="170">
        <v>45938</v>
      </c>
      <c r="B2672" s="116">
        <v>4297.6499999999996</v>
      </c>
      <c r="C2672" s="116">
        <v>4259.95</v>
      </c>
      <c r="D2672" s="116">
        <v>4183.7</v>
      </c>
      <c r="E2672" s="116">
        <v>4189.95</v>
      </c>
      <c r="F2672" s="116">
        <v>4259.95</v>
      </c>
      <c r="G2672">
        <v>15716</v>
      </c>
      <c r="H2672" s="116"/>
      <c r="I2672" s="116"/>
      <c r="L2672" s="170">
        <v>45938</v>
      </c>
      <c r="M2672" s="116">
        <v>4254.8999999999996</v>
      </c>
      <c r="N2672" s="116">
        <v>4297</v>
      </c>
      <c r="O2672" s="116">
        <v>4170.2</v>
      </c>
      <c r="P2672" s="116">
        <v>4175</v>
      </c>
      <c r="Q2672" s="116">
        <v>4254.8999999999996</v>
      </c>
      <c r="R2672">
        <v>225852</v>
      </c>
    </row>
    <row r="2673" spans="1:18" x14ac:dyDescent="0.25">
      <c r="A2673" s="170">
        <v>45939</v>
      </c>
      <c r="B2673" s="116">
        <v>4298.7</v>
      </c>
      <c r="C2673" s="116">
        <v>4247.95</v>
      </c>
      <c r="D2673" s="116">
        <v>4207.3500000000004</v>
      </c>
      <c r="E2673" s="116">
        <v>4250.8500000000004</v>
      </c>
      <c r="F2673" s="116">
        <v>4247.95</v>
      </c>
      <c r="G2673">
        <v>8952</v>
      </c>
      <c r="H2673" s="116"/>
      <c r="I2673" s="116"/>
      <c r="L2673" s="170">
        <v>45939</v>
      </c>
      <c r="M2673" s="116">
        <v>4250.8</v>
      </c>
      <c r="N2673" s="116">
        <v>4300</v>
      </c>
      <c r="O2673" s="116">
        <v>4210</v>
      </c>
      <c r="P2673" s="116">
        <v>4268</v>
      </c>
      <c r="Q2673" s="116">
        <v>4250.8</v>
      </c>
      <c r="R2673">
        <v>163108</v>
      </c>
    </row>
    <row r="2674" spans="1:18" x14ac:dyDescent="0.25">
      <c r="A2674" s="170">
        <v>45940</v>
      </c>
      <c r="B2674" s="116">
        <v>4300.55</v>
      </c>
      <c r="C2674" s="116">
        <v>4274.2</v>
      </c>
      <c r="D2674" s="116">
        <v>4232.8999999999996</v>
      </c>
      <c r="E2674" s="116">
        <v>4287.95</v>
      </c>
      <c r="F2674" s="116">
        <v>4274.2</v>
      </c>
      <c r="G2674">
        <v>3843</v>
      </c>
      <c r="H2674" s="116"/>
      <c r="I2674" s="116"/>
      <c r="L2674" s="170">
        <v>45940</v>
      </c>
      <c r="M2674" s="116">
        <v>4278.2</v>
      </c>
      <c r="N2674" s="116">
        <v>4304.3999999999996</v>
      </c>
      <c r="O2674" s="116">
        <v>4232</v>
      </c>
      <c r="P2674" s="116">
        <v>4242.3999999999996</v>
      </c>
      <c r="Q2674" s="116">
        <v>4278.2</v>
      </c>
      <c r="R2674">
        <v>125166</v>
      </c>
    </row>
    <row r="2675" spans="1:18" x14ac:dyDescent="0.25">
      <c r="A2675" s="170">
        <v>45943</v>
      </c>
      <c r="B2675" s="116">
        <v>4325</v>
      </c>
      <c r="C2675" s="116">
        <v>4312.1499999999996</v>
      </c>
      <c r="D2675" s="116">
        <v>4228.3</v>
      </c>
      <c r="E2675" s="116">
        <v>4261.8999999999996</v>
      </c>
      <c r="F2675" s="116">
        <v>4312.1499999999996</v>
      </c>
      <c r="G2675">
        <v>6347</v>
      </c>
      <c r="H2675" s="116"/>
      <c r="I2675" s="116"/>
      <c r="L2675" s="170">
        <v>45943</v>
      </c>
      <c r="M2675" s="116">
        <v>4311.6000000000004</v>
      </c>
      <c r="N2675" s="116">
        <v>4325</v>
      </c>
      <c r="O2675" s="116">
        <v>4227.3</v>
      </c>
      <c r="P2675" s="116">
        <v>4250</v>
      </c>
      <c r="Q2675" s="116">
        <v>4311.6000000000004</v>
      </c>
      <c r="R2675">
        <v>144821</v>
      </c>
    </row>
    <row r="2676" spans="1:18" x14ac:dyDescent="0.25">
      <c r="A2676" s="170">
        <v>45944</v>
      </c>
      <c r="B2676" s="116">
        <v>4375.3500000000004</v>
      </c>
      <c r="C2676" s="116">
        <v>4360.6499999999996</v>
      </c>
      <c r="D2676" s="116">
        <v>4248.8999999999996</v>
      </c>
      <c r="E2676" s="116">
        <v>4318.8999999999996</v>
      </c>
      <c r="F2676" s="116">
        <v>4360.6499999999996</v>
      </c>
      <c r="G2676">
        <v>18914</v>
      </c>
      <c r="H2676" s="116"/>
      <c r="I2676" s="116"/>
      <c r="L2676" s="170">
        <v>45944</v>
      </c>
      <c r="M2676" s="116">
        <v>4361.8</v>
      </c>
      <c r="N2676" s="116">
        <v>4376.8999999999996</v>
      </c>
      <c r="O2676" s="116">
        <v>4240.5</v>
      </c>
      <c r="P2676" s="116">
        <v>4338</v>
      </c>
      <c r="Q2676" s="116">
        <v>4361.8</v>
      </c>
      <c r="R2676">
        <v>282255</v>
      </c>
    </row>
    <row r="2677" spans="1:18" x14ac:dyDescent="0.25">
      <c r="A2677" s="170">
        <v>45945</v>
      </c>
      <c r="B2677" s="116">
        <v>4450</v>
      </c>
      <c r="C2677" s="116">
        <v>4423.6000000000004</v>
      </c>
      <c r="D2677" s="116">
        <v>4350</v>
      </c>
      <c r="E2677" s="116">
        <v>4382.5</v>
      </c>
      <c r="F2677" s="116">
        <v>4423.6000000000004</v>
      </c>
      <c r="G2677">
        <v>11437</v>
      </c>
      <c r="H2677" s="116"/>
      <c r="I2677" s="116"/>
      <c r="L2677" s="170">
        <v>45945</v>
      </c>
      <c r="M2677" s="116">
        <v>4420.6000000000004</v>
      </c>
      <c r="N2677" s="116">
        <v>4452</v>
      </c>
      <c r="O2677" s="116">
        <v>4342.3</v>
      </c>
      <c r="P2677" s="116">
        <v>4390</v>
      </c>
      <c r="Q2677" s="116">
        <v>4420.6000000000004</v>
      </c>
      <c r="R2677">
        <v>339777</v>
      </c>
    </row>
    <row r="2678" spans="1:18" x14ac:dyDescent="0.25">
      <c r="A2678" s="170">
        <v>45946</v>
      </c>
      <c r="B2678" s="116">
        <v>4448.6000000000004</v>
      </c>
      <c r="C2678" s="116">
        <v>4175.1000000000004</v>
      </c>
      <c r="D2678" s="116">
        <v>4033.65</v>
      </c>
      <c r="E2678" s="116">
        <v>4448.6000000000004</v>
      </c>
      <c r="F2678" s="116">
        <v>4175.1000000000004</v>
      </c>
      <c r="G2678">
        <v>80145</v>
      </c>
      <c r="H2678" s="116"/>
      <c r="I2678" s="116"/>
      <c r="L2678" s="170">
        <v>45946</v>
      </c>
      <c r="M2678" s="116">
        <v>4172.6000000000004</v>
      </c>
      <c r="N2678" s="116">
        <v>4435</v>
      </c>
      <c r="O2678" s="116">
        <v>4031.9</v>
      </c>
      <c r="P2678" s="116">
        <v>4435</v>
      </c>
      <c r="Q2678" s="116">
        <v>4172.6000000000004</v>
      </c>
      <c r="R2678">
        <v>2234751</v>
      </c>
    </row>
    <row r="2679" spans="1:18" x14ac:dyDescent="0.25">
      <c r="A2679" s="170">
        <v>45947</v>
      </c>
      <c r="B2679" s="116">
        <v>4185.1000000000004</v>
      </c>
      <c r="C2679" s="116">
        <v>4129.8</v>
      </c>
      <c r="D2679" s="116">
        <v>4099</v>
      </c>
      <c r="E2679" s="116">
        <v>4172.6000000000004</v>
      </c>
      <c r="F2679" s="116">
        <v>4129.8</v>
      </c>
      <c r="G2679">
        <v>41475</v>
      </c>
      <c r="H2679" s="116"/>
      <c r="I2679" s="116"/>
      <c r="L2679" s="170">
        <v>45947</v>
      </c>
      <c r="M2679" s="116">
        <v>4131.1000000000004</v>
      </c>
      <c r="N2679" s="116">
        <v>4189.7</v>
      </c>
      <c r="O2679" s="116">
        <v>4095.7</v>
      </c>
      <c r="P2679" s="116">
        <v>4172.6000000000004</v>
      </c>
      <c r="Q2679" s="116">
        <v>4131.1000000000004</v>
      </c>
      <c r="R2679">
        <v>756601</v>
      </c>
    </row>
    <row r="2680" spans="1:18" x14ac:dyDescent="0.25">
      <c r="A2680" s="170">
        <v>45950</v>
      </c>
      <c r="B2680" s="116">
        <v>4225</v>
      </c>
      <c r="C2680" s="116">
        <v>4145.6499999999996</v>
      </c>
      <c r="D2680" s="116">
        <v>4089.35</v>
      </c>
      <c r="E2680" s="116">
        <v>4159.3500000000004</v>
      </c>
      <c r="F2680" s="116">
        <v>4145.6499999999996</v>
      </c>
      <c r="G2680">
        <v>10021</v>
      </c>
      <c r="H2680" s="116"/>
      <c r="I2680" s="116"/>
      <c r="L2680" s="170">
        <v>45950</v>
      </c>
      <c r="M2680" s="116">
        <v>4145.5</v>
      </c>
      <c r="N2680" s="116">
        <v>4224</v>
      </c>
      <c r="O2680" s="116">
        <v>4083.1</v>
      </c>
      <c r="P2680" s="116">
        <v>4140</v>
      </c>
      <c r="Q2680" s="116">
        <v>4145.5</v>
      </c>
      <c r="R2680">
        <v>460659</v>
      </c>
    </row>
    <row r="2681" spans="1:18" x14ac:dyDescent="0.25">
      <c r="A2681" s="170">
        <v>45951</v>
      </c>
      <c r="B2681" s="116">
        <v>4179.55</v>
      </c>
      <c r="C2681" s="116">
        <v>4141.8500000000004</v>
      </c>
      <c r="D2681" s="116">
        <v>4130</v>
      </c>
      <c r="E2681" s="116">
        <v>4155</v>
      </c>
      <c r="F2681" s="116">
        <v>4141.8500000000004</v>
      </c>
      <c r="G2681">
        <v>5146</v>
      </c>
      <c r="H2681" s="116"/>
      <c r="I2681" s="116"/>
      <c r="L2681" s="170">
        <v>45951</v>
      </c>
      <c r="M2681" s="116">
        <v>4143.8</v>
      </c>
      <c r="N2681" s="116">
        <v>4209.8999999999996</v>
      </c>
      <c r="O2681" s="116">
        <v>4130</v>
      </c>
      <c r="P2681" s="116">
        <v>4180</v>
      </c>
      <c r="Q2681" s="116">
        <v>4143.8</v>
      </c>
      <c r="R2681">
        <v>53168</v>
      </c>
    </row>
    <row r="2682" spans="1:18" x14ac:dyDescent="0.25">
      <c r="A2682" s="170">
        <v>45953</v>
      </c>
      <c r="B2682" s="116">
        <v>4174.8999999999996</v>
      </c>
      <c r="C2682" s="116">
        <v>4083.85</v>
      </c>
      <c r="D2682" s="116">
        <v>4068.5</v>
      </c>
      <c r="E2682" s="116">
        <v>4156</v>
      </c>
      <c r="F2682" s="116">
        <v>4083.85</v>
      </c>
      <c r="G2682">
        <v>5914</v>
      </c>
      <c r="H2682" s="116"/>
      <c r="I2682" s="116"/>
      <c r="L2682" s="170">
        <v>45953</v>
      </c>
      <c r="M2682" s="116">
        <v>4081.2</v>
      </c>
      <c r="N2682" s="116">
        <v>4182.5</v>
      </c>
      <c r="O2682" s="116">
        <v>4066.9</v>
      </c>
      <c r="P2682" s="116">
        <v>4151.3999999999996</v>
      </c>
      <c r="Q2682" s="116">
        <v>4081.2</v>
      </c>
      <c r="R2682">
        <v>267544</v>
      </c>
    </row>
    <row r="2683" spans="1:18" x14ac:dyDescent="0.25">
      <c r="A2683" s="170">
        <v>45954</v>
      </c>
      <c r="B2683" s="116">
        <v>4146.8500000000004</v>
      </c>
      <c r="C2683" s="116">
        <v>4126.25</v>
      </c>
      <c r="D2683" s="116">
        <v>4085</v>
      </c>
      <c r="E2683" s="116">
        <v>4085</v>
      </c>
      <c r="F2683" s="116">
        <v>4126.25</v>
      </c>
      <c r="G2683">
        <v>13793</v>
      </c>
      <c r="H2683" s="116"/>
      <c r="I2683" s="116"/>
      <c r="L2683" s="170">
        <v>45954</v>
      </c>
      <c r="M2683" s="116">
        <v>4125.7</v>
      </c>
      <c r="N2683" s="116">
        <v>4148</v>
      </c>
      <c r="O2683" s="116">
        <v>4084.1</v>
      </c>
      <c r="P2683" s="116">
        <v>4098.5</v>
      </c>
      <c r="Q2683" s="116">
        <v>4125.7</v>
      </c>
      <c r="R2683">
        <v>237809</v>
      </c>
    </row>
    <row r="2684" spans="1:18" x14ac:dyDescent="0.25">
      <c r="A2684" s="170">
        <v>45957</v>
      </c>
      <c r="B2684" s="116">
        <v>4168.95</v>
      </c>
      <c r="C2684" s="116">
        <v>4085.45</v>
      </c>
      <c r="D2684" s="116">
        <v>4070.35</v>
      </c>
      <c r="E2684" s="116">
        <v>4118.3500000000004</v>
      </c>
      <c r="F2684" s="116">
        <v>4085.45</v>
      </c>
      <c r="G2684">
        <v>8935</v>
      </c>
      <c r="H2684" s="116"/>
      <c r="I2684" s="116"/>
      <c r="L2684" s="170">
        <v>45957</v>
      </c>
      <c r="M2684" s="116">
        <v>4084.8</v>
      </c>
      <c r="N2684" s="116">
        <v>4169</v>
      </c>
      <c r="O2684" s="116">
        <v>4070</v>
      </c>
      <c r="P2684" s="116">
        <v>4150</v>
      </c>
      <c r="Q2684" s="116">
        <v>4084.8</v>
      </c>
      <c r="R2684">
        <v>158580</v>
      </c>
    </row>
    <row r="2685" spans="1:18" x14ac:dyDescent="0.25">
      <c r="A2685" s="170">
        <v>45958</v>
      </c>
      <c r="B2685" s="116">
        <v>4102.7</v>
      </c>
      <c r="C2685" s="116">
        <v>4064.45</v>
      </c>
      <c r="D2685" s="116">
        <v>4043.1</v>
      </c>
      <c r="E2685" s="116">
        <v>4084</v>
      </c>
      <c r="F2685" s="116">
        <v>4064.45</v>
      </c>
      <c r="G2685">
        <v>15150</v>
      </c>
      <c r="H2685" s="116"/>
      <c r="I2685" s="116"/>
      <c r="L2685" s="170">
        <v>45958</v>
      </c>
      <c r="M2685" s="116">
        <v>4063.8</v>
      </c>
      <c r="N2685" s="116">
        <v>4106</v>
      </c>
      <c r="O2685" s="116">
        <v>4042.4</v>
      </c>
      <c r="P2685" s="116">
        <v>4092.8</v>
      </c>
      <c r="Q2685" s="116">
        <v>4063.8</v>
      </c>
      <c r="R2685">
        <v>221079</v>
      </c>
    </row>
    <row r="2686" spans="1:18" x14ac:dyDescent="0.25">
      <c r="A2686" s="170">
        <v>45959</v>
      </c>
      <c r="B2686" s="116">
        <v>4095.45</v>
      </c>
      <c r="C2686" s="116">
        <v>4089.2</v>
      </c>
      <c r="D2686" s="116">
        <v>4060</v>
      </c>
      <c r="E2686" s="116">
        <v>4060.55</v>
      </c>
      <c r="F2686" s="116">
        <v>4089.2</v>
      </c>
      <c r="G2686">
        <v>8785</v>
      </c>
      <c r="H2686" s="116"/>
      <c r="I2686" s="116"/>
      <c r="L2686" s="170">
        <v>45959</v>
      </c>
      <c r="M2686" s="116">
        <v>4088.2</v>
      </c>
      <c r="N2686" s="116">
        <v>4096.8</v>
      </c>
      <c r="O2686" s="116">
        <v>4060</v>
      </c>
      <c r="P2686" s="116">
        <v>4068.9</v>
      </c>
      <c r="Q2686" s="116">
        <v>4088.2</v>
      </c>
      <c r="R2686">
        <v>124995</v>
      </c>
    </row>
    <row r="2687" spans="1:18" x14ac:dyDescent="0.25">
      <c r="A2687" s="170">
        <v>45960</v>
      </c>
      <c r="B2687" s="116">
        <v>4129.55</v>
      </c>
      <c r="C2687" s="116">
        <v>4118.25</v>
      </c>
      <c r="D2687" s="116">
        <v>4066</v>
      </c>
      <c r="E2687" s="116">
        <v>4078.15</v>
      </c>
      <c r="F2687" s="116">
        <v>4118.25</v>
      </c>
      <c r="G2687">
        <v>8883</v>
      </c>
      <c r="H2687" s="116"/>
      <c r="I2687" s="116"/>
      <c r="L2687" s="170">
        <v>45960</v>
      </c>
      <c r="M2687" s="116">
        <v>4109</v>
      </c>
      <c r="N2687" s="116">
        <v>4128.8999999999996</v>
      </c>
      <c r="O2687" s="116">
        <v>4065</v>
      </c>
      <c r="P2687" s="116">
        <v>4095.9</v>
      </c>
      <c r="Q2687" s="116">
        <v>4109</v>
      </c>
      <c r="R2687">
        <v>135151</v>
      </c>
    </row>
    <row r="2688" spans="1:18" x14ac:dyDescent="0.25">
      <c r="A2688" s="170">
        <v>45961</v>
      </c>
      <c r="B2688" s="116">
        <v>4110.75</v>
      </c>
      <c r="C2688" s="116">
        <v>4027.85</v>
      </c>
      <c r="D2688" s="116">
        <v>4002.6</v>
      </c>
      <c r="E2688" s="116">
        <v>4101.05</v>
      </c>
      <c r="F2688" s="116">
        <v>4027.85</v>
      </c>
      <c r="G2688">
        <v>20744</v>
      </c>
      <c r="H2688" s="116"/>
      <c r="I2688" s="116"/>
      <c r="L2688" s="170">
        <v>45961</v>
      </c>
      <c r="M2688" s="116">
        <v>4032</v>
      </c>
      <c r="N2688" s="116">
        <v>4118</v>
      </c>
      <c r="O2688" s="116">
        <v>4010</v>
      </c>
      <c r="P2688" s="116">
        <v>4108</v>
      </c>
      <c r="Q2688" s="116">
        <v>4032</v>
      </c>
      <c r="R2688">
        <v>146559</v>
      </c>
    </row>
    <row r="2689" spans="1:18" x14ac:dyDescent="0.25">
      <c r="A2689" s="170">
        <v>45964</v>
      </c>
      <c r="B2689" s="116">
        <v>4057.5</v>
      </c>
      <c r="C2689" s="116">
        <v>3982.4</v>
      </c>
      <c r="D2689" s="116">
        <v>3970.1</v>
      </c>
      <c r="E2689" s="116">
        <v>4001.5</v>
      </c>
      <c r="F2689" s="116">
        <v>3982.4</v>
      </c>
      <c r="G2689">
        <v>5277</v>
      </c>
      <c r="H2689" s="116"/>
      <c r="I2689" s="116"/>
      <c r="L2689" s="170">
        <v>45964</v>
      </c>
      <c r="M2689" s="116">
        <v>3984.1</v>
      </c>
      <c r="N2689" s="116">
        <v>4060.7</v>
      </c>
      <c r="O2689" s="116">
        <v>3972</v>
      </c>
      <c r="P2689" s="116">
        <v>4001.1</v>
      </c>
      <c r="Q2689" s="116">
        <v>3984.1</v>
      </c>
      <c r="R2689">
        <v>117226</v>
      </c>
    </row>
    <row r="2690" spans="1:18" x14ac:dyDescent="0.25">
      <c r="A2690" s="170">
        <v>45965</v>
      </c>
      <c r="B2690" s="116">
        <v>4031.9</v>
      </c>
      <c r="C2690" s="116">
        <v>3994.75</v>
      </c>
      <c r="D2690" s="116">
        <v>3975</v>
      </c>
      <c r="E2690" s="116">
        <v>4000</v>
      </c>
      <c r="F2690" s="116">
        <v>3994.75</v>
      </c>
      <c r="G2690">
        <v>2936</v>
      </c>
      <c r="H2690" s="116"/>
      <c r="I2690" s="116"/>
      <c r="L2690" s="170">
        <v>45965</v>
      </c>
      <c r="M2690" s="116">
        <v>3990.1</v>
      </c>
      <c r="N2690" s="116">
        <v>4034.9</v>
      </c>
      <c r="O2690" s="116">
        <v>3971.3</v>
      </c>
      <c r="P2690" s="116">
        <v>4006.8</v>
      </c>
      <c r="Q2690" s="116">
        <v>3990.1</v>
      </c>
      <c r="R2690">
        <v>157170</v>
      </c>
    </row>
    <row r="2691" spans="1:18" x14ac:dyDescent="0.25">
      <c r="A2691" s="170">
        <v>45967</v>
      </c>
      <c r="B2691" s="116">
        <v>4000.1</v>
      </c>
      <c r="C2691" s="116">
        <v>3925.9</v>
      </c>
      <c r="D2691" s="116">
        <v>3918</v>
      </c>
      <c r="E2691" s="116">
        <v>4000.1</v>
      </c>
      <c r="F2691" s="116">
        <v>3925.9</v>
      </c>
      <c r="G2691">
        <v>18497</v>
      </c>
      <c r="H2691" s="116"/>
      <c r="I2691" s="116"/>
      <c r="L2691" s="170">
        <v>45967</v>
      </c>
      <c r="M2691" s="116">
        <v>3927.6</v>
      </c>
      <c r="N2691" s="116">
        <v>3992.5</v>
      </c>
      <c r="O2691" s="116">
        <v>3918</v>
      </c>
      <c r="P2691" s="116">
        <v>3990.1</v>
      </c>
      <c r="Q2691" s="116">
        <v>3927.6</v>
      </c>
      <c r="R2691">
        <v>145324</v>
      </c>
    </row>
    <row r="2692" spans="1:18" x14ac:dyDescent="0.25">
      <c r="A2692" s="170">
        <v>45968</v>
      </c>
      <c r="B2692" s="116">
        <v>3968.75</v>
      </c>
      <c r="C2692" s="116">
        <v>3939.85</v>
      </c>
      <c r="D2692" s="116">
        <v>3859.3</v>
      </c>
      <c r="E2692" s="116">
        <v>3925.8</v>
      </c>
      <c r="F2692" s="116">
        <v>3939.85</v>
      </c>
      <c r="G2692">
        <v>3918</v>
      </c>
      <c r="H2692" s="116"/>
      <c r="I2692" s="116"/>
      <c r="L2692" s="170">
        <v>45968</v>
      </c>
      <c r="M2692" s="116">
        <v>3936.8</v>
      </c>
      <c r="N2692" s="116">
        <v>3968.9</v>
      </c>
      <c r="O2692" s="116">
        <v>3856.8</v>
      </c>
      <c r="P2692" s="116">
        <v>3921.2</v>
      </c>
      <c r="Q2692" s="116">
        <v>3936.8</v>
      </c>
      <c r="R2692">
        <v>192921</v>
      </c>
    </row>
    <row r="2693" spans="1:18" x14ac:dyDescent="0.25">
      <c r="A2693" s="170">
        <v>45971</v>
      </c>
      <c r="B2693" s="116">
        <v>4046</v>
      </c>
      <c r="C2693" s="116">
        <v>4028.8</v>
      </c>
      <c r="D2693" s="116">
        <v>3920.55</v>
      </c>
      <c r="E2693" s="116">
        <v>3920.55</v>
      </c>
      <c r="F2693" s="116">
        <v>4028.8</v>
      </c>
      <c r="G2693">
        <v>6639</v>
      </c>
      <c r="H2693" s="116"/>
      <c r="I2693" s="116"/>
      <c r="L2693" s="170">
        <v>45971</v>
      </c>
      <c r="M2693" s="116">
        <v>4032.4</v>
      </c>
      <c r="N2693" s="116">
        <v>4046.2</v>
      </c>
      <c r="O2693" s="116">
        <v>3936.9</v>
      </c>
      <c r="P2693" s="116">
        <v>3936.9</v>
      </c>
      <c r="Q2693" s="116">
        <v>4032.4</v>
      </c>
      <c r="R2693">
        <v>117565</v>
      </c>
    </row>
    <row r="2694" spans="1:18" x14ac:dyDescent="0.25">
      <c r="A2694" s="170">
        <v>45972</v>
      </c>
      <c r="B2694" s="116">
        <v>4073.7</v>
      </c>
      <c r="C2694" s="116">
        <v>4064.2</v>
      </c>
      <c r="D2694" s="116">
        <v>4019.8</v>
      </c>
      <c r="E2694" s="116">
        <v>4050.1</v>
      </c>
      <c r="F2694" s="116">
        <v>4064.2</v>
      </c>
      <c r="G2694">
        <v>3146</v>
      </c>
      <c r="H2694" s="116"/>
      <c r="I2694" s="116"/>
      <c r="L2694" s="170">
        <v>45972</v>
      </c>
      <c r="M2694" s="116">
        <v>4062.7</v>
      </c>
      <c r="N2694" s="116">
        <v>4075</v>
      </c>
      <c r="O2694" s="116">
        <v>4019</v>
      </c>
      <c r="P2694" s="116">
        <v>4059.6</v>
      </c>
      <c r="Q2694" s="116">
        <v>4062.7</v>
      </c>
      <c r="R2694">
        <v>90590</v>
      </c>
    </row>
    <row r="2695" spans="1:18" x14ac:dyDescent="0.25">
      <c r="A2695" s="170">
        <v>45973</v>
      </c>
      <c r="B2695" s="116">
        <v>4098</v>
      </c>
      <c r="C2695" s="116">
        <v>4071.7</v>
      </c>
      <c r="D2695" s="116">
        <v>4060.75</v>
      </c>
      <c r="E2695" s="116">
        <v>4075</v>
      </c>
      <c r="F2695" s="116">
        <v>4071.7</v>
      </c>
      <c r="G2695">
        <v>4153</v>
      </c>
      <c r="H2695" s="116"/>
      <c r="I2695" s="116"/>
      <c r="L2695" s="170">
        <v>45973</v>
      </c>
      <c r="M2695" s="116">
        <v>4073.2</v>
      </c>
      <c r="N2695" s="116">
        <v>4098.2</v>
      </c>
      <c r="O2695" s="116">
        <v>4062</v>
      </c>
      <c r="P2695" s="116">
        <v>4074.9</v>
      </c>
      <c r="Q2695" s="116">
        <v>4073.2</v>
      </c>
      <c r="R2695">
        <v>133502</v>
      </c>
    </row>
    <row r="2696" spans="1:18" x14ac:dyDescent="0.25">
      <c r="A2696" s="170">
        <v>45974</v>
      </c>
      <c r="B2696" s="116">
        <v>4130</v>
      </c>
      <c r="C2696" s="116">
        <v>4112.55</v>
      </c>
      <c r="D2696" s="116">
        <v>4068.95</v>
      </c>
      <c r="E2696" s="116">
        <v>4098.05</v>
      </c>
      <c r="F2696" s="116">
        <v>4112.55</v>
      </c>
      <c r="G2696">
        <v>1949</v>
      </c>
      <c r="H2696" s="116"/>
      <c r="I2696" s="116"/>
      <c r="L2696" s="170">
        <v>45974</v>
      </c>
      <c r="M2696" s="116">
        <v>4113.6000000000004</v>
      </c>
      <c r="N2696" s="116">
        <v>4131.8999999999996</v>
      </c>
      <c r="O2696" s="116">
        <v>4061</v>
      </c>
      <c r="P2696" s="116">
        <v>4075</v>
      </c>
      <c r="Q2696" s="116">
        <v>4113.6000000000004</v>
      </c>
      <c r="R2696">
        <v>83236</v>
      </c>
    </row>
    <row r="2697" spans="1:18" x14ac:dyDescent="0.25">
      <c r="A2697" s="170">
        <v>45975</v>
      </c>
      <c r="B2697" s="116">
        <v>4129</v>
      </c>
      <c r="C2697" s="116">
        <v>4111.2</v>
      </c>
      <c r="D2697" s="116">
        <v>4076.3</v>
      </c>
      <c r="E2697" s="116">
        <v>4129</v>
      </c>
      <c r="F2697" s="116">
        <v>4111.2</v>
      </c>
      <c r="G2697">
        <v>2334</v>
      </c>
      <c r="H2697" s="116"/>
      <c r="I2697" s="116"/>
      <c r="L2697" s="170">
        <v>45975</v>
      </c>
      <c r="M2697" s="116">
        <v>4112.8</v>
      </c>
      <c r="N2697" s="116">
        <v>4130</v>
      </c>
      <c r="O2697" s="116">
        <v>4072.2</v>
      </c>
      <c r="P2697" s="116">
        <v>4130</v>
      </c>
      <c r="Q2697" s="116">
        <v>4112.8</v>
      </c>
      <c r="R2697">
        <v>71271</v>
      </c>
    </row>
    <row r="2698" spans="1:18" x14ac:dyDescent="0.25">
      <c r="A2698" s="170">
        <v>45978</v>
      </c>
      <c r="B2698" s="116">
        <v>4164.8</v>
      </c>
      <c r="C2698" s="116">
        <v>4150.05</v>
      </c>
      <c r="D2698" s="116">
        <v>4093.75</v>
      </c>
      <c r="E2698" s="116">
        <v>4093.75</v>
      </c>
      <c r="F2698" s="116">
        <v>4150.05</v>
      </c>
      <c r="G2698">
        <v>5117</v>
      </c>
      <c r="H2698" s="116"/>
      <c r="I2698" s="116"/>
      <c r="L2698" s="170">
        <v>45978</v>
      </c>
      <c r="M2698" s="116">
        <v>4150.8999999999996</v>
      </c>
      <c r="N2698" s="116">
        <v>4164</v>
      </c>
      <c r="O2698" s="116">
        <v>4112</v>
      </c>
      <c r="P2698" s="116">
        <v>4120.8999999999996</v>
      </c>
      <c r="Q2698" s="116">
        <v>4150.8999999999996</v>
      </c>
      <c r="R2698">
        <v>191767</v>
      </c>
    </row>
    <row r="2699" spans="1:18" x14ac:dyDescent="0.25">
      <c r="A2699" s="170">
        <v>45979</v>
      </c>
      <c r="B2699" s="116">
        <v>4188.75</v>
      </c>
      <c r="C2699" s="116">
        <v>4126.8500000000004</v>
      </c>
      <c r="D2699" s="116">
        <v>4084</v>
      </c>
      <c r="E2699" s="116">
        <v>4188.75</v>
      </c>
      <c r="F2699" s="116">
        <v>4126.8500000000004</v>
      </c>
      <c r="G2699">
        <v>4362</v>
      </c>
      <c r="H2699" s="116"/>
      <c r="I2699" s="116"/>
      <c r="L2699" s="170">
        <v>45979</v>
      </c>
      <c r="M2699" s="116">
        <v>4125.8999999999996</v>
      </c>
      <c r="N2699" s="116">
        <v>4170.8</v>
      </c>
      <c r="O2699" s="116">
        <v>4084</v>
      </c>
      <c r="P2699" s="116">
        <v>4170</v>
      </c>
      <c r="Q2699" s="116">
        <v>4125.8999999999996</v>
      </c>
      <c r="R2699">
        <v>158991</v>
      </c>
    </row>
    <row r="2700" spans="1:18" x14ac:dyDescent="0.25">
      <c r="A2700" s="170">
        <v>45980</v>
      </c>
      <c r="B2700" s="116">
        <v>4143.3999999999996</v>
      </c>
      <c r="C2700" s="116">
        <v>4122.8999999999996</v>
      </c>
      <c r="D2700" s="116">
        <v>4092.5</v>
      </c>
      <c r="E2700" s="116">
        <v>4101.1499999999996</v>
      </c>
      <c r="F2700" s="116">
        <v>4122.8999999999996</v>
      </c>
      <c r="G2700">
        <v>3891</v>
      </c>
      <c r="H2700" s="116"/>
      <c r="I2700" s="116"/>
      <c r="L2700" s="170">
        <v>45980</v>
      </c>
      <c r="M2700" s="116">
        <v>4119.1000000000004</v>
      </c>
      <c r="N2700" s="116">
        <v>4149.8999999999996</v>
      </c>
      <c r="O2700" s="116">
        <v>4093.1</v>
      </c>
      <c r="P2700" s="116">
        <v>4125.8999999999996</v>
      </c>
      <c r="Q2700" s="116">
        <v>4119.1000000000004</v>
      </c>
      <c r="R2700">
        <v>57883</v>
      </c>
    </row>
    <row r="2701" spans="1:18" x14ac:dyDescent="0.25">
      <c r="A2701" s="170">
        <v>45981</v>
      </c>
      <c r="B2701" s="116">
        <v>4170</v>
      </c>
      <c r="C2701" s="116">
        <v>4162.6000000000004</v>
      </c>
      <c r="D2701" s="116">
        <v>4109.5</v>
      </c>
      <c r="E2701" s="116">
        <v>4115.75</v>
      </c>
      <c r="F2701" s="116">
        <v>4162.6000000000004</v>
      </c>
      <c r="G2701">
        <v>5995</v>
      </c>
      <c r="H2701" s="116"/>
      <c r="I2701" s="116"/>
      <c r="L2701" s="170">
        <v>45981</v>
      </c>
      <c r="M2701" s="116">
        <v>4167.3</v>
      </c>
      <c r="N2701" s="116">
        <v>4173.3999999999996</v>
      </c>
      <c r="O2701" s="116">
        <v>4106.2</v>
      </c>
      <c r="P2701" s="116">
        <v>4129.8999999999996</v>
      </c>
      <c r="Q2701" s="116">
        <v>4167.3</v>
      </c>
      <c r="R2701">
        <v>140954</v>
      </c>
    </row>
    <row r="2702" spans="1:18" x14ac:dyDescent="0.25">
      <c r="A2702" s="170">
        <v>45982</v>
      </c>
      <c r="B2702" s="116">
        <v>4178.05</v>
      </c>
      <c r="C2702" s="116">
        <v>4080.9</v>
      </c>
      <c r="D2702" s="116">
        <v>4050</v>
      </c>
      <c r="E2702" s="116">
        <v>4178.05</v>
      </c>
      <c r="F2702" s="116">
        <v>4080.9</v>
      </c>
      <c r="G2702">
        <v>7565</v>
      </c>
      <c r="H2702" s="116"/>
      <c r="I2702" s="116"/>
      <c r="L2702" s="170">
        <v>45982</v>
      </c>
      <c r="M2702" s="116">
        <v>4080.4</v>
      </c>
      <c r="N2702" s="116">
        <v>4181.5</v>
      </c>
      <c r="O2702" s="116">
        <v>4048</v>
      </c>
      <c r="P2702" s="116">
        <v>4181.5</v>
      </c>
      <c r="Q2702" s="116">
        <v>4080.4</v>
      </c>
      <c r="R2702">
        <v>203118</v>
      </c>
    </row>
    <row r="2703" spans="1:18" x14ac:dyDescent="0.25">
      <c r="A2703" s="170">
        <v>45985</v>
      </c>
      <c r="B2703" s="116">
        <v>4129.8999999999996</v>
      </c>
      <c r="C2703" s="116">
        <v>4105.5</v>
      </c>
      <c r="D2703" s="116">
        <v>4074.3</v>
      </c>
      <c r="E2703" s="116">
        <v>4075.35</v>
      </c>
      <c r="F2703" s="116">
        <v>4105.5</v>
      </c>
      <c r="G2703">
        <v>6952</v>
      </c>
      <c r="H2703" s="116"/>
      <c r="I2703" s="116"/>
      <c r="L2703" s="170">
        <v>45985</v>
      </c>
      <c r="M2703" s="116">
        <v>4107.8</v>
      </c>
      <c r="N2703" s="116">
        <v>4130.3999999999996</v>
      </c>
      <c r="O2703" s="116">
        <v>4080.4</v>
      </c>
      <c r="P2703" s="116">
        <v>4080.4</v>
      </c>
      <c r="Q2703" s="116">
        <v>4107.8</v>
      </c>
      <c r="R2703">
        <v>225356</v>
      </c>
    </row>
    <row r="2704" spans="1:18" x14ac:dyDescent="0.25">
      <c r="A2704" s="170">
        <v>45986</v>
      </c>
      <c r="B2704" s="116">
        <v>4128</v>
      </c>
      <c r="C2704" s="116">
        <v>4062.85</v>
      </c>
      <c r="D2704" s="116">
        <v>4044</v>
      </c>
      <c r="E2704" s="116">
        <v>4085.3</v>
      </c>
      <c r="F2704" s="116">
        <v>4062.85</v>
      </c>
      <c r="G2704">
        <v>2764</v>
      </c>
      <c r="H2704" s="116"/>
      <c r="I2704" s="116"/>
      <c r="L2704" s="170">
        <v>45986</v>
      </c>
      <c r="M2704" s="116">
        <v>4071.5</v>
      </c>
      <c r="N2704" s="116">
        <v>4128.3999999999996</v>
      </c>
      <c r="O2704" s="116">
        <v>4045</v>
      </c>
      <c r="P2704" s="116">
        <v>4107.8</v>
      </c>
      <c r="Q2704" s="116">
        <v>4071.5</v>
      </c>
      <c r="R2704">
        <v>196940</v>
      </c>
    </row>
    <row r="2705" spans="1:18" x14ac:dyDescent="0.25">
      <c r="A2705" s="170">
        <v>45987</v>
      </c>
      <c r="B2705" s="116">
        <v>4156.6000000000004</v>
      </c>
      <c r="C2705" s="116">
        <v>4127.6499999999996</v>
      </c>
      <c r="D2705" s="116">
        <v>4052.1</v>
      </c>
      <c r="E2705" s="116">
        <v>4062.9</v>
      </c>
      <c r="F2705" s="116">
        <v>4127.6499999999996</v>
      </c>
      <c r="G2705">
        <v>3938</v>
      </c>
      <c r="H2705" s="116"/>
      <c r="I2705" s="116"/>
      <c r="L2705" s="170">
        <v>45987</v>
      </c>
      <c r="M2705" s="116">
        <v>4133.1000000000004</v>
      </c>
      <c r="N2705" s="116">
        <v>4157.6000000000004</v>
      </c>
      <c r="O2705" s="116">
        <v>4040</v>
      </c>
      <c r="P2705" s="116">
        <v>4073.9</v>
      </c>
      <c r="Q2705" s="116">
        <v>4133.1000000000004</v>
      </c>
      <c r="R2705">
        <v>165192</v>
      </c>
    </row>
    <row r="2706" spans="1:18" x14ac:dyDescent="0.25">
      <c r="A2706" s="170">
        <v>45988</v>
      </c>
      <c r="B2706" s="116">
        <v>4144.8</v>
      </c>
      <c r="C2706" s="116">
        <v>4139.25</v>
      </c>
      <c r="D2706" s="116">
        <v>4094.85</v>
      </c>
      <c r="E2706" s="116">
        <v>4139</v>
      </c>
      <c r="F2706" s="116">
        <v>4139.25</v>
      </c>
      <c r="G2706">
        <v>2215</v>
      </c>
      <c r="H2706" s="116"/>
      <c r="I2706" s="116"/>
      <c r="L2706" s="170">
        <v>45988</v>
      </c>
      <c r="M2706" s="116">
        <v>4135.7</v>
      </c>
      <c r="N2706" s="116">
        <v>4150</v>
      </c>
      <c r="O2706" s="116">
        <v>4092.7</v>
      </c>
      <c r="P2706" s="116">
        <v>4150</v>
      </c>
      <c r="Q2706" s="116">
        <v>4135.7</v>
      </c>
      <c r="R2706">
        <v>92208</v>
      </c>
    </row>
    <row r="2707" spans="1:18" x14ac:dyDescent="0.25">
      <c r="A2707" s="170">
        <v>45989</v>
      </c>
      <c r="B2707" s="116">
        <v>4207.8500000000004</v>
      </c>
      <c r="C2707" s="116">
        <v>4145.2</v>
      </c>
      <c r="D2707" s="116">
        <v>4129.55</v>
      </c>
      <c r="E2707" s="116">
        <v>4138.7</v>
      </c>
      <c r="F2707" s="116">
        <v>4145.2</v>
      </c>
      <c r="G2707">
        <v>5306</v>
      </c>
      <c r="H2707" s="116"/>
      <c r="I2707" s="116"/>
      <c r="L2707" s="170">
        <v>45989</v>
      </c>
      <c r="M2707" s="116">
        <v>4145.6000000000004</v>
      </c>
      <c r="N2707" s="116">
        <v>4206</v>
      </c>
      <c r="O2707" s="116">
        <v>4121.1000000000004</v>
      </c>
      <c r="P2707" s="116">
        <v>4121.1000000000004</v>
      </c>
      <c r="Q2707" s="116">
        <v>4145.6000000000004</v>
      </c>
      <c r="R2707">
        <v>168545</v>
      </c>
    </row>
    <row r="2708" spans="1:18" x14ac:dyDescent="0.25">
      <c r="A2708" s="170">
        <v>45992</v>
      </c>
      <c r="B2708" s="116">
        <v>4157.3</v>
      </c>
      <c r="C2708" s="116">
        <v>4104.6499999999996</v>
      </c>
      <c r="D2708" s="116">
        <v>4091.1</v>
      </c>
      <c r="E2708" s="116">
        <v>4123.05</v>
      </c>
      <c r="F2708" s="116">
        <v>4104.6499999999996</v>
      </c>
      <c r="G2708">
        <v>1319</v>
      </c>
      <c r="H2708" s="116"/>
      <c r="I2708" s="116"/>
      <c r="L2708" s="170">
        <v>45992</v>
      </c>
      <c r="M2708" s="116">
        <v>4107</v>
      </c>
      <c r="N2708" s="116">
        <v>4169</v>
      </c>
      <c r="O2708" s="116">
        <v>4091.7</v>
      </c>
      <c r="P2708" s="116">
        <v>4144</v>
      </c>
      <c r="Q2708" s="116">
        <v>4107</v>
      </c>
      <c r="R2708">
        <v>104502</v>
      </c>
    </row>
    <row r="2709" spans="1:18" x14ac:dyDescent="0.25">
      <c r="A2709" s="170">
        <v>45993</v>
      </c>
      <c r="B2709">
        <v>4193.7</v>
      </c>
      <c r="C2709">
        <v>4181.6499999999996</v>
      </c>
      <c r="D2709">
        <v>4079</v>
      </c>
      <c r="E2709">
        <v>4125.95</v>
      </c>
      <c r="F2709">
        <v>4181.6499999999996</v>
      </c>
      <c r="G2709">
        <v>3172</v>
      </c>
      <c r="H2709" s="116"/>
      <c r="I2709" s="116"/>
      <c r="L2709" s="170">
        <v>45993</v>
      </c>
      <c r="M2709" s="116">
        <v>4184.3</v>
      </c>
      <c r="N2709" s="116">
        <v>4195</v>
      </c>
      <c r="O2709" s="116">
        <v>4076</v>
      </c>
      <c r="P2709" s="116">
        <v>4110</v>
      </c>
      <c r="Q2709" s="116">
        <v>4184.3</v>
      </c>
      <c r="R2709">
        <v>143908</v>
      </c>
    </row>
    <row r="2710" spans="1:18" x14ac:dyDescent="0.25">
      <c r="A2710" s="170">
        <v>45994</v>
      </c>
      <c r="B2710">
        <v>4201.1499999999996</v>
      </c>
      <c r="C2710">
        <v>4155.1499999999996</v>
      </c>
      <c r="D2710">
        <v>4114.8500000000004</v>
      </c>
      <c r="E2710">
        <v>4182.55</v>
      </c>
      <c r="F2710">
        <v>4155.1499999999996</v>
      </c>
      <c r="G2710">
        <v>1690</v>
      </c>
      <c r="H2710" s="116"/>
      <c r="I2710" s="116"/>
      <c r="L2710" s="170">
        <v>45994</v>
      </c>
      <c r="M2710" s="116">
        <v>4161.6000000000004</v>
      </c>
      <c r="N2710" s="116">
        <v>4200</v>
      </c>
      <c r="O2710" s="116">
        <v>4112.3999999999996</v>
      </c>
      <c r="P2710" s="116">
        <v>4200</v>
      </c>
      <c r="Q2710" s="116">
        <v>4161.6000000000004</v>
      </c>
      <c r="R2710">
        <v>163110</v>
      </c>
    </row>
    <row r="2711" spans="1:18" x14ac:dyDescent="0.25">
      <c r="A2711" s="170">
        <v>45995</v>
      </c>
      <c r="B2711">
        <v>4208</v>
      </c>
      <c r="C2711">
        <v>4186.25</v>
      </c>
      <c r="D2711">
        <v>4122.5</v>
      </c>
      <c r="E2711">
        <v>4137.6499999999996</v>
      </c>
      <c r="F2711">
        <v>4186.25</v>
      </c>
      <c r="G2711">
        <v>2607</v>
      </c>
      <c r="H2711" s="116"/>
      <c r="I2711" s="116"/>
      <c r="L2711" s="170">
        <v>45995</v>
      </c>
      <c r="M2711" s="116">
        <v>4185.1000000000004</v>
      </c>
      <c r="N2711" s="116">
        <v>4205</v>
      </c>
      <c r="O2711" s="116">
        <v>4119.2</v>
      </c>
      <c r="P2711" s="116">
        <v>4157</v>
      </c>
      <c r="Q2711" s="116">
        <v>4185.1000000000004</v>
      </c>
      <c r="R2711">
        <v>150609</v>
      </c>
    </row>
    <row r="2712" spans="1:18" x14ac:dyDescent="0.25">
      <c r="A2712" s="170">
        <v>45996</v>
      </c>
      <c r="B2712">
        <v>4184.8</v>
      </c>
      <c r="C2712">
        <v>4162.6499999999996</v>
      </c>
      <c r="D2712">
        <v>4124.75</v>
      </c>
      <c r="E2712">
        <v>4183.7</v>
      </c>
      <c r="F2712">
        <v>4162.6499999999996</v>
      </c>
      <c r="G2712">
        <v>4112</v>
      </c>
      <c r="H2712" s="116"/>
      <c r="I2712" s="116"/>
      <c r="L2712" s="170">
        <v>45996</v>
      </c>
      <c r="M2712" s="116">
        <v>4163.5</v>
      </c>
      <c r="N2712" s="116">
        <v>4191.7</v>
      </c>
      <c r="O2712" s="116">
        <v>4122.8</v>
      </c>
      <c r="P2712" s="116">
        <v>4191.7</v>
      </c>
      <c r="Q2712" s="116">
        <v>4163.5</v>
      </c>
      <c r="R2712">
        <v>124291</v>
      </c>
    </row>
    <row r="2713" spans="1:18" x14ac:dyDescent="0.25">
      <c r="A2713" s="170">
        <v>45999</v>
      </c>
      <c r="B2713">
        <v>4145.75</v>
      </c>
      <c r="C2713">
        <v>4097.1000000000004</v>
      </c>
      <c r="D2713">
        <v>4050.9</v>
      </c>
      <c r="E2713">
        <v>4122.55</v>
      </c>
      <c r="F2713">
        <v>4097.1000000000004</v>
      </c>
      <c r="G2713">
        <v>23367</v>
      </c>
      <c r="H2713" s="116"/>
      <c r="I2713" s="116"/>
      <c r="L2713" s="170">
        <v>45999</v>
      </c>
      <c r="M2713" s="116">
        <v>4095.2</v>
      </c>
      <c r="N2713" s="116">
        <v>4162.7</v>
      </c>
      <c r="O2713" s="116">
        <v>4049.3</v>
      </c>
      <c r="P2713" s="116">
        <v>4161.8</v>
      </c>
      <c r="Q2713" s="116">
        <v>4095.2</v>
      </c>
      <c r="R2713">
        <v>258231</v>
      </c>
    </row>
    <row r="2714" spans="1:18" x14ac:dyDescent="0.25">
      <c r="A2714" s="170">
        <v>46000</v>
      </c>
      <c r="B2714">
        <v>4086.9</v>
      </c>
      <c r="C2714">
        <v>4075.9</v>
      </c>
      <c r="D2714">
        <v>3984.45</v>
      </c>
      <c r="E2714">
        <v>4002.1</v>
      </c>
      <c r="F2714">
        <v>4075.9</v>
      </c>
      <c r="G2714">
        <v>9282</v>
      </c>
      <c r="H2714" s="116"/>
      <c r="I2714" s="116"/>
      <c r="L2714" s="170">
        <v>46000</v>
      </c>
      <c r="M2714" s="116">
        <v>4073</v>
      </c>
      <c r="N2714" s="116">
        <v>4090</v>
      </c>
      <c r="O2714" s="116">
        <v>3987</v>
      </c>
      <c r="P2714" s="116">
        <v>4051.1</v>
      </c>
      <c r="Q2714" s="116">
        <v>4073</v>
      </c>
      <c r="R2714">
        <v>167542</v>
      </c>
    </row>
    <row r="2715" spans="1:18" x14ac:dyDescent="0.25">
      <c r="A2715" s="170">
        <v>46001</v>
      </c>
      <c r="B2715">
        <v>4102</v>
      </c>
      <c r="C2715">
        <v>3945.65</v>
      </c>
      <c r="D2715">
        <v>3930.05</v>
      </c>
      <c r="E2715">
        <v>4050.15</v>
      </c>
      <c r="F2715">
        <v>3945.65</v>
      </c>
      <c r="G2715">
        <v>4048</v>
      </c>
      <c r="H2715" s="116"/>
      <c r="I2715" s="116"/>
      <c r="L2715" s="170">
        <v>46001</v>
      </c>
      <c r="M2715" s="116">
        <v>3947.9</v>
      </c>
      <c r="N2715" s="116">
        <v>4105.3</v>
      </c>
      <c r="O2715" s="116">
        <v>3929</v>
      </c>
      <c r="P2715" s="116">
        <v>4071</v>
      </c>
      <c r="Q2715" s="116">
        <v>3947.9</v>
      </c>
      <c r="R2715">
        <v>116624</v>
      </c>
    </row>
    <row r="2716" spans="1:18" x14ac:dyDescent="0.25">
      <c r="A2716" s="170">
        <v>46002</v>
      </c>
      <c r="B2716">
        <v>4070</v>
      </c>
      <c r="C2716">
        <v>4055.15</v>
      </c>
      <c r="D2716">
        <v>3950</v>
      </c>
      <c r="E2716">
        <v>3965.05</v>
      </c>
      <c r="F2716">
        <v>4055.15</v>
      </c>
      <c r="G2716">
        <v>3142</v>
      </c>
      <c r="H2716" s="116"/>
      <c r="I2716" s="116"/>
      <c r="L2716" s="170">
        <v>46002</v>
      </c>
      <c r="M2716" s="116">
        <v>4057.3</v>
      </c>
      <c r="N2716" s="116">
        <v>4074.5</v>
      </c>
      <c r="O2716" s="116">
        <v>3950</v>
      </c>
      <c r="P2716" s="116">
        <v>3968.9</v>
      </c>
      <c r="Q2716" s="116">
        <v>4057.3</v>
      </c>
      <c r="R2716">
        <v>249915</v>
      </c>
    </row>
    <row r="2717" spans="1:18" x14ac:dyDescent="0.25">
      <c r="A2717" s="170">
        <v>46003</v>
      </c>
      <c r="B2717">
        <v>4086.1</v>
      </c>
      <c r="C2717">
        <v>4067.05</v>
      </c>
      <c r="D2717">
        <v>4006.05</v>
      </c>
      <c r="E2717">
        <v>4006.05</v>
      </c>
      <c r="F2717">
        <v>4067.05</v>
      </c>
      <c r="G2717">
        <v>1428</v>
      </c>
      <c r="H2717" s="116"/>
      <c r="I2717" s="116"/>
      <c r="L2717" s="170">
        <v>46003</v>
      </c>
      <c r="M2717" s="116">
        <v>4067.1</v>
      </c>
      <c r="N2717" s="116">
        <v>4088.8</v>
      </c>
      <c r="O2717" s="116">
        <v>4014.3</v>
      </c>
      <c r="P2717" s="116">
        <v>4057</v>
      </c>
      <c r="Q2717" s="116">
        <v>4067.1</v>
      </c>
      <c r="R2717">
        <v>131698</v>
      </c>
    </row>
    <row r="2718" spans="1:18" x14ac:dyDescent="0.25">
      <c r="A2718" s="170">
        <v>46006</v>
      </c>
      <c r="B2718">
        <v>4195.7</v>
      </c>
      <c r="C2718">
        <v>4166.2</v>
      </c>
      <c r="D2718">
        <v>4036.1</v>
      </c>
      <c r="E2718">
        <v>4036.1</v>
      </c>
      <c r="F2718">
        <v>4166.2</v>
      </c>
      <c r="G2718">
        <v>14876</v>
      </c>
      <c r="H2718" s="116"/>
      <c r="I2718" s="116"/>
      <c r="L2718" s="170">
        <v>46006</v>
      </c>
      <c r="M2718" s="116">
        <v>4167.8999999999996</v>
      </c>
      <c r="N2718" s="116">
        <v>4198.8999999999996</v>
      </c>
      <c r="O2718" s="116">
        <v>4053.5</v>
      </c>
      <c r="P2718" s="116">
        <v>4067.1</v>
      </c>
      <c r="Q2718" s="116">
        <v>4167.8999999999996</v>
      </c>
      <c r="R2718">
        <v>443216</v>
      </c>
    </row>
    <row r="2719" spans="1:18" x14ac:dyDescent="0.25">
      <c r="A2719" s="170">
        <v>46007</v>
      </c>
      <c r="B2719">
        <v>4173.5</v>
      </c>
      <c r="C2719">
        <v>4141.6000000000004</v>
      </c>
      <c r="D2719">
        <v>4124.2</v>
      </c>
      <c r="E2719">
        <v>4165.3500000000004</v>
      </c>
      <c r="F2719">
        <v>4141.6000000000004</v>
      </c>
      <c r="G2719">
        <v>1385</v>
      </c>
      <c r="H2719" s="116"/>
      <c r="I2719" s="116"/>
      <c r="L2719" s="170">
        <v>46007</v>
      </c>
      <c r="M2719" s="116">
        <v>4156.3</v>
      </c>
      <c r="N2719" s="116">
        <v>4174</v>
      </c>
      <c r="O2719" s="116">
        <v>4124</v>
      </c>
      <c r="P2719" s="116">
        <v>4161</v>
      </c>
      <c r="Q2719" s="116">
        <v>4156.3</v>
      </c>
      <c r="R2719">
        <v>132769</v>
      </c>
    </row>
    <row r="2720" spans="1:18" x14ac:dyDescent="0.25">
      <c r="A2720" s="170">
        <v>46008</v>
      </c>
      <c r="B2720">
        <v>4115</v>
      </c>
      <c r="C2720">
        <v>4104.7</v>
      </c>
      <c r="D2720">
        <v>4059</v>
      </c>
      <c r="E2720">
        <v>4080.4</v>
      </c>
      <c r="F2720">
        <v>4104.7</v>
      </c>
      <c r="G2720">
        <v>2046</v>
      </c>
      <c r="H2720" s="116"/>
      <c r="I2720" s="116"/>
      <c r="L2720" s="170">
        <v>46008</v>
      </c>
      <c r="M2720" s="116">
        <v>4106.6000000000004</v>
      </c>
      <c r="N2720" s="116">
        <v>4140</v>
      </c>
      <c r="O2720" s="116">
        <v>4061.6</v>
      </c>
      <c r="P2720" s="116">
        <v>4140</v>
      </c>
      <c r="Q2720" s="116">
        <v>4106.6000000000004</v>
      </c>
      <c r="R2720">
        <v>276811</v>
      </c>
    </row>
    <row r="2721" spans="1:18" x14ac:dyDescent="0.25">
      <c r="A2721" s="170">
        <v>46009</v>
      </c>
      <c r="B2721">
        <v>4104.6499999999996</v>
      </c>
      <c r="C2721">
        <v>4084.7</v>
      </c>
      <c r="D2721">
        <v>4036.35</v>
      </c>
      <c r="E2721">
        <v>4104.6499999999996</v>
      </c>
      <c r="F2721">
        <v>4084.7</v>
      </c>
      <c r="G2721">
        <v>3770</v>
      </c>
      <c r="H2721" s="116"/>
      <c r="I2721" s="116"/>
      <c r="L2721" s="170">
        <v>46009</v>
      </c>
      <c r="M2721" s="116">
        <v>4086.8</v>
      </c>
      <c r="N2721" s="116">
        <v>4099</v>
      </c>
      <c r="O2721" s="116">
        <v>4037.3</v>
      </c>
      <c r="P2721" s="116">
        <v>4090</v>
      </c>
      <c r="Q2721" s="116">
        <v>4086.8</v>
      </c>
      <c r="R2721">
        <v>135330</v>
      </c>
    </row>
    <row r="2722" spans="1:18" x14ac:dyDescent="0.25">
      <c r="A2722" s="170">
        <v>46010</v>
      </c>
      <c r="B2722">
        <v>4295.05</v>
      </c>
      <c r="C2722">
        <v>4281.1499999999996</v>
      </c>
      <c r="D2722">
        <v>4085.45</v>
      </c>
      <c r="E2722">
        <v>4085.45</v>
      </c>
      <c r="F2722">
        <v>4281.1499999999996</v>
      </c>
      <c r="G2722">
        <v>10580</v>
      </c>
      <c r="H2722" s="116"/>
      <c r="I2722" s="116"/>
      <c r="L2722" s="170">
        <v>46010</v>
      </c>
      <c r="M2722" s="116">
        <v>4284.3999999999996</v>
      </c>
      <c r="N2722" s="116">
        <v>4296.3999999999996</v>
      </c>
      <c r="O2722" s="116">
        <v>4088.1</v>
      </c>
      <c r="P2722" s="116">
        <v>4100</v>
      </c>
      <c r="Q2722" s="116">
        <v>4284.3999999999996</v>
      </c>
      <c r="R2722">
        <v>376557</v>
      </c>
    </row>
    <row r="2723" spans="1:18" x14ac:dyDescent="0.25">
      <c r="A2723" s="170">
        <v>46013</v>
      </c>
      <c r="B2723">
        <v>4480</v>
      </c>
      <c r="C2723">
        <v>4442.1000000000004</v>
      </c>
      <c r="D2723">
        <v>4301.7</v>
      </c>
      <c r="E2723">
        <v>4338.3</v>
      </c>
      <c r="F2723">
        <v>4442.1000000000004</v>
      </c>
      <c r="G2723">
        <v>29187</v>
      </c>
      <c r="H2723" s="116"/>
      <c r="I2723" s="116"/>
      <c r="L2723" s="170">
        <v>46013</v>
      </c>
      <c r="M2723" s="116">
        <v>4441.6000000000004</v>
      </c>
      <c r="N2723" s="116">
        <v>4480.7</v>
      </c>
      <c r="O2723" s="116">
        <v>4305</v>
      </c>
      <c r="P2723" s="116">
        <v>4326</v>
      </c>
      <c r="Q2723" s="116">
        <v>4441.6000000000004</v>
      </c>
      <c r="R2723">
        <v>631106</v>
      </c>
    </row>
    <row r="2724" spans="1:18" x14ac:dyDescent="0.25">
      <c r="A2724" s="170">
        <v>46014</v>
      </c>
      <c r="B2724">
        <v>4460</v>
      </c>
      <c r="C2724">
        <v>4409.5</v>
      </c>
      <c r="D2724">
        <v>4383.8999999999996</v>
      </c>
      <c r="E2724">
        <v>4442.05</v>
      </c>
      <c r="F2724">
        <v>4409.5</v>
      </c>
      <c r="G2724">
        <v>7871</v>
      </c>
      <c r="H2724" s="116"/>
      <c r="I2724" s="116"/>
      <c r="L2724" s="170">
        <v>46014</v>
      </c>
      <c r="M2724" s="116">
        <v>4409.5</v>
      </c>
      <c r="N2724" s="116">
        <v>4462.3999999999996</v>
      </c>
      <c r="O2724" s="116">
        <v>4383</v>
      </c>
      <c r="P2724" s="116">
        <v>4426.7</v>
      </c>
      <c r="Q2724" s="116">
        <v>4409.5</v>
      </c>
      <c r="R2724">
        <v>201217</v>
      </c>
    </row>
    <row r="2725" spans="1:18" x14ac:dyDescent="0.25">
      <c r="A2725" s="170">
        <v>46015</v>
      </c>
      <c r="B2725">
        <v>4434.6499999999996</v>
      </c>
      <c r="C2725">
        <v>4409.75</v>
      </c>
      <c r="D2725">
        <v>4385.8</v>
      </c>
      <c r="E2725">
        <v>4390.55</v>
      </c>
      <c r="F2725">
        <v>4409.75</v>
      </c>
      <c r="G2725">
        <v>5405</v>
      </c>
      <c r="H2725" s="116"/>
      <c r="I2725" s="116"/>
      <c r="L2725" s="170">
        <v>46015</v>
      </c>
      <c r="M2725" s="116">
        <v>4408.8</v>
      </c>
      <c r="N2725" s="116">
        <v>4435</v>
      </c>
      <c r="O2725" s="116">
        <v>4387</v>
      </c>
      <c r="P2725" s="116">
        <v>4409.7</v>
      </c>
      <c r="Q2725" s="116">
        <v>4408.8</v>
      </c>
      <c r="R2725">
        <v>136899</v>
      </c>
    </row>
    <row r="2726" spans="1:18" x14ac:dyDescent="0.25">
      <c r="A2726" s="170">
        <v>46017</v>
      </c>
      <c r="B2726">
        <v>4448.6000000000004</v>
      </c>
      <c r="C2726">
        <v>4365.7</v>
      </c>
      <c r="D2726">
        <v>4347.45</v>
      </c>
      <c r="E2726">
        <v>4366.3</v>
      </c>
      <c r="F2726">
        <v>4365.7</v>
      </c>
      <c r="G2726">
        <v>6834</v>
      </c>
      <c r="H2726" s="116"/>
      <c r="I2726" s="116"/>
      <c r="L2726" s="170">
        <v>46017</v>
      </c>
      <c r="M2726" s="116">
        <v>4367.3999999999996</v>
      </c>
      <c r="N2726" s="116">
        <v>4452.8999999999996</v>
      </c>
      <c r="O2726" s="116">
        <v>4345.6000000000004</v>
      </c>
      <c r="P2726" s="116">
        <v>4409</v>
      </c>
      <c r="Q2726" s="116">
        <v>4367.3999999999996</v>
      </c>
      <c r="R2726">
        <v>110584</v>
      </c>
    </row>
    <row r="2727" spans="1:18" x14ac:dyDescent="0.25">
      <c r="A2727" s="170">
        <v>46020</v>
      </c>
      <c r="B2727">
        <v>4432</v>
      </c>
      <c r="C2727">
        <v>4395.2</v>
      </c>
      <c r="D2727">
        <v>4359.75</v>
      </c>
      <c r="E2727">
        <v>4419.45</v>
      </c>
      <c r="F2727">
        <v>4395.2</v>
      </c>
      <c r="G2727">
        <v>2387</v>
      </c>
      <c r="H2727" s="116"/>
      <c r="I2727" s="116"/>
      <c r="L2727" s="170">
        <v>46020</v>
      </c>
      <c r="M2727" s="116">
        <v>4393.1000000000004</v>
      </c>
      <c r="N2727" s="116">
        <v>4433.2</v>
      </c>
      <c r="O2727" s="116">
        <v>4350.1000000000004</v>
      </c>
      <c r="P2727" s="116">
        <v>4367.3999999999996</v>
      </c>
      <c r="Q2727" s="116">
        <v>4393.1000000000004</v>
      </c>
      <c r="R2727">
        <v>212176</v>
      </c>
    </row>
    <row r="2728" spans="1:18" x14ac:dyDescent="0.25">
      <c r="A2728" s="170">
        <v>46021</v>
      </c>
      <c r="B2728">
        <v>4426.6499999999996</v>
      </c>
      <c r="C2728">
        <v>4352.25</v>
      </c>
      <c r="D2728">
        <v>4341.8</v>
      </c>
      <c r="E2728">
        <v>4400.3500000000004</v>
      </c>
      <c r="F2728">
        <v>4352.25</v>
      </c>
      <c r="G2728">
        <v>3976</v>
      </c>
      <c r="H2728" s="116"/>
      <c r="I2728" s="116"/>
      <c r="L2728" s="170">
        <v>46021</v>
      </c>
      <c r="M2728" s="116">
        <v>4352.5</v>
      </c>
      <c r="N2728" s="116">
        <v>4425</v>
      </c>
      <c r="O2728" s="116">
        <v>4342.1000000000004</v>
      </c>
      <c r="P2728" s="116">
        <v>4410</v>
      </c>
      <c r="Q2728" s="116">
        <v>4352.5</v>
      </c>
      <c r="R2728">
        <v>181297</v>
      </c>
    </row>
    <row r="2729" spans="1:18" x14ac:dyDescent="0.25">
      <c r="A2729" s="170">
        <v>46022</v>
      </c>
      <c r="B2729">
        <v>4468.3</v>
      </c>
      <c r="C2729">
        <v>4460.1499999999996</v>
      </c>
      <c r="D2729">
        <v>4352.3</v>
      </c>
      <c r="E2729">
        <v>4352.3</v>
      </c>
      <c r="F2729">
        <v>4460.1499999999996</v>
      </c>
      <c r="G2729">
        <v>4164</v>
      </c>
      <c r="H2729" s="116"/>
      <c r="I2729" s="116"/>
      <c r="L2729" s="170">
        <v>46022</v>
      </c>
      <c r="M2729" s="116">
        <v>4460.2</v>
      </c>
      <c r="N2729" s="116">
        <v>4469</v>
      </c>
      <c r="O2729" s="116">
        <v>4356</v>
      </c>
      <c r="P2729" s="116">
        <v>4356</v>
      </c>
      <c r="Q2729" s="116">
        <v>4460.2</v>
      </c>
      <c r="R2729">
        <v>280104</v>
      </c>
    </row>
    <row r="2730" spans="1:18" x14ac:dyDescent="0.25">
      <c r="A2730" s="170">
        <v>46023</v>
      </c>
      <c r="B2730">
        <v>4523.45</v>
      </c>
      <c r="C2730">
        <v>4513</v>
      </c>
      <c r="D2730">
        <v>4444.8</v>
      </c>
      <c r="E2730">
        <v>4460.2</v>
      </c>
      <c r="F2730">
        <v>4513</v>
      </c>
      <c r="G2730">
        <v>6740</v>
      </c>
      <c r="H2730" s="116"/>
      <c r="I2730" s="116"/>
      <c r="L2730" s="170">
        <v>46023</v>
      </c>
      <c r="M2730" s="116">
        <v>4514.5</v>
      </c>
      <c r="N2730" s="116">
        <v>4523</v>
      </c>
      <c r="O2730" s="116">
        <v>4444.5</v>
      </c>
      <c r="P2730" s="116">
        <v>4489.3999999999996</v>
      </c>
      <c r="Q2730" s="116">
        <v>4514.5</v>
      </c>
      <c r="R2730">
        <v>161348</v>
      </c>
    </row>
    <row r="2731" spans="1:18" x14ac:dyDescent="0.25">
      <c r="A2731" s="170">
        <v>46024</v>
      </c>
      <c r="B2731">
        <v>4582.75</v>
      </c>
      <c r="C2731">
        <v>4526.7</v>
      </c>
      <c r="D2731">
        <v>4500</v>
      </c>
      <c r="E2731">
        <v>4516.45</v>
      </c>
      <c r="F2731">
        <v>4526.7</v>
      </c>
      <c r="G2731">
        <v>6387</v>
      </c>
      <c r="H2731" s="116"/>
      <c r="I2731" s="116"/>
      <c r="L2731" s="170">
        <v>46024</v>
      </c>
      <c r="M2731" s="116">
        <v>4529.6000000000004</v>
      </c>
      <c r="N2731" s="116">
        <v>4582.6000000000004</v>
      </c>
      <c r="O2731" s="116">
        <v>4492.7</v>
      </c>
      <c r="P2731" s="116">
        <v>4530</v>
      </c>
      <c r="Q2731" s="116">
        <v>4529.6000000000004</v>
      </c>
      <c r="R2731">
        <v>128302</v>
      </c>
    </row>
    <row r="2732" spans="1:18" x14ac:dyDescent="0.25">
      <c r="A2732" s="170">
        <v>46027</v>
      </c>
      <c r="B2732">
        <v>4580.7</v>
      </c>
      <c r="C2732">
        <v>4526.3999999999996</v>
      </c>
      <c r="D2732">
        <v>4488.6000000000004</v>
      </c>
      <c r="E2732">
        <v>4580.7</v>
      </c>
      <c r="F2732">
        <v>4526.3999999999996</v>
      </c>
      <c r="G2732">
        <v>3564</v>
      </c>
      <c r="H2732" s="116"/>
      <c r="I2732" s="116"/>
      <c r="L2732" s="170">
        <v>46027</v>
      </c>
      <c r="M2732" s="116">
        <v>4528.8999999999996</v>
      </c>
      <c r="N2732" s="116">
        <v>4560.5</v>
      </c>
      <c r="O2732" s="116">
        <v>4486</v>
      </c>
      <c r="P2732" s="116">
        <v>4531.5</v>
      </c>
      <c r="Q2732" s="116">
        <v>4528.8999999999996</v>
      </c>
      <c r="R2732">
        <v>118266</v>
      </c>
    </row>
    <row r="2733" spans="1:18" x14ac:dyDescent="0.25">
      <c r="A2733" s="170">
        <v>46028</v>
      </c>
      <c r="B2733">
        <v>4577</v>
      </c>
      <c r="C2733">
        <v>4524</v>
      </c>
      <c r="D2733">
        <v>4507.75</v>
      </c>
      <c r="E2733">
        <v>4526.5</v>
      </c>
      <c r="F2733">
        <v>4524</v>
      </c>
      <c r="G2733">
        <v>1741</v>
      </c>
      <c r="H2733" s="116"/>
      <c r="I2733" s="116"/>
      <c r="L2733" s="170">
        <v>46028</v>
      </c>
      <c r="M2733" s="116">
        <v>4526.2</v>
      </c>
      <c r="N2733" s="116">
        <v>4577</v>
      </c>
      <c r="O2733" s="116">
        <v>4506</v>
      </c>
      <c r="P2733" s="116">
        <v>4540</v>
      </c>
      <c r="Q2733" s="116">
        <v>4526.2</v>
      </c>
      <c r="R2733">
        <v>104585</v>
      </c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2026-06-17T16:04:28Z</dcterms:modified>
  <cp:category/>
  <cp:contentStatus/>
</cp:coreProperties>
</file>