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281110A-CBDA-4750-A8BA-342988BD0E8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5" i="1" l="1"/>
  <c r="CL21" i="1"/>
  <c r="CL22" i="1"/>
  <c r="CL17" i="1"/>
  <c r="CL11" i="1"/>
  <c r="CL12" i="1"/>
  <c r="CL7" i="1"/>
  <c r="CP27" i="1"/>
  <c r="CT27" i="1" s="1"/>
  <c r="CX27" i="1" s="1"/>
  <c r="DB27" i="1" s="1"/>
  <c r="CM27" i="1"/>
  <c r="CQ27" i="1" s="1"/>
  <c r="CU27" i="1" s="1"/>
  <c r="CY27" i="1" s="1"/>
  <c r="DC27" i="1" s="1"/>
  <c r="CL26" i="1"/>
  <c r="CK26" i="1"/>
  <c r="CN27" i="1" l="1"/>
  <c r="CR27" i="1" s="1"/>
  <c r="CV27" i="1" s="1"/>
  <c r="CZ27" i="1" s="1"/>
  <c r="DD27" i="1" s="1"/>
  <c r="CM12" i="1"/>
  <c r="CN12" i="1" s="1"/>
  <c r="CO12" i="1" s="1"/>
  <c r="CP12" i="1" s="1"/>
  <c r="CR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Z16" i="1"/>
  <c r="Z15" i="1"/>
  <c r="AA26" i="1"/>
  <c r="CJ12" i="1"/>
  <c r="CI12" i="1"/>
  <c r="CH12" i="1"/>
  <c r="CJ11" i="1"/>
  <c r="CI11" i="1"/>
  <c r="CH11" i="1"/>
  <c r="CK12" i="1"/>
  <c r="CK11" i="1"/>
  <c r="CJ22" i="1"/>
  <c r="CI22" i="1"/>
  <c r="CH22" i="1"/>
  <c r="CG22" i="1"/>
  <c r="CF22" i="1"/>
  <c r="CE22" i="1"/>
  <c r="CD22" i="1"/>
  <c r="CJ21" i="1"/>
  <c r="CI21" i="1"/>
  <c r="CH21" i="1"/>
  <c r="CG21" i="1"/>
  <c r="CF21" i="1"/>
  <c r="CE21" i="1"/>
  <c r="CD21" i="1"/>
  <c r="CK22" i="1"/>
  <c r="CK21" i="1"/>
  <c r="CJ17" i="1"/>
  <c r="CI17" i="1"/>
  <c r="CH17" i="1"/>
  <c r="CG17" i="1"/>
  <c r="CF17" i="1"/>
  <c r="CE17" i="1"/>
  <c r="CD17" i="1"/>
  <c r="CK17" i="1"/>
  <c r="Z6" i="1"/>
  <c r="Z5" i="1"/>
  <c r="Z22" i="1" l="1"/>
  <c r="Z21" i="1"/>
  <c r="Z7" i="1"/>
  <c r="CM21" i="1"/>
  <c r="CN21" i="1" s="1"/>
  <c r="Z17" i="1"/>
  <c r="CM6" i="1"/>
  <c r="Z26" i="1"/>
  <c r="CD7" i="1"/>
  <c r="CF7" i="1"/>
  <c r="CE7" i="1"/>
  <c r="CI7" i="1"/>
  <c r="CH7" i="1"/>
  <c r="CG7" i="1"/>
  <c r="CJ7" i="1"/>
  <c r="CK7" i="1"/>
  <c r="AE185" i="1"/>
  <c r="AD185" i="1"/>
  <c r="AC185" i="1"/>
  <c r="AB185" i="1"/>
  <c r="AA185" i="1"/>
  <c r="AE181" i="1"/>
  <c r="AD181" i="1"/>
  <c r="AC181" i="1"/>
  <c r="AB181" i="1"/>
  <c r="AA181" i="1"/>
  <c r="AE180" i="1"/>
  <c r="AD180" i="1"/>
  <c r="AC180" i="1"/>
  <c r="AB180" i="1"/>
  <c r="AA180" i="1"/>
  <c r="AE177" i="1"/>
  <c r="AD177" i="1"/>
  <c r="AC177" i="1"/>
  <c r="AB177" i="1"/>
  <c r="AA177" i="1"/>
  <c r="AE176" i="1"/>
  <c r="AD176" i="1"/>
  <c r="AC176" i="1"/>
  <c r="AB176" i="1"/>
  <c r="AA176" i="1"/>
  <c r="AE175" i="1"/>
  <c r="AD175" i="1"/>
  <c r="AC175" i="1"/>
  <c r="AB175" i="1"/>
  <c r="AA175" i="1"/>
  <c r="AE173" i="1"/>
  <c r="AD173" i="1"/>
  <c r="AC173" i="1"/>
  <c r="AB173" i="1"/>
  <c r="AA173" i="1"/>
  <c r="AE169" i="1"/>
  <c r="AD169" i="1"/>
  <c r="AC169" i="1"/>
  <c r="AB169" i="1"/>
  <c r="AA169" i="1"/>
  <c r="AE168" i="1"/>
  <c r="AD168" i="1"/>
  <c r="AC168" i="1"/>
  <c r="AB168" i="1"/>
  <c r="AA168" i="1"/>
  <c r="AE167" i="1"/>
  <c r="AD167" i="1"/>
  <c r="AC167" i="1"/>
  <c r="AB167" i="1"/>
  <c r="AA167" i="1"/>
  <c r="AE61" i="1"/>
  <c r="AD61" i="1"/>
  <c r="AC61" i="1"/>
  <c r="AB61" i="1"/>
  <c r="AE73" i="1"/>
  <c r="AD73" i="1"/>
  <c r="AC73" i="1"/>
  <c r="AB73" i="1"/>
  <c r="AE51" i="1"/>
  <c r="AD51" i="1"/>
  <c r="AC51" i="1"/>
  <c r="AB51" i="1"/>
  <c r="AE50" i="1"/>
  <c r="AD50" i="1"/>
  <c r="AC50" i="1"/>
  <c r="AB50" i="1"/>
  <c r="AE48" i="1"/>
  <c r="AD48" i="1"/>
  <c r="AC48" i="1"/>
  <c r="AB48" i="1"/>
  <c r="AE47" i="1"/>
  <c r="AD47" i="1"/>
  <c r="AC47" i="1"/>
  <c r="AB47" i="1"/>
  <c r="AE40" i="1"/>
  <c r="AD40" i="1"/>
  <c r="AC40" i="1"/>
  <c r="AB40" i="1"/>
  <c r="AE39" i="1"/>
  <c r="AD39" i="1"/>
  <c r="AC39" i="1"/>
  <c r="AB39" i="1"/>
  <c r="AE35" i="1"/>
  <c r="AD35" i="1"/>
  <c r="AC35" i="1"/>
  <c r="AB35" i="1"/>
  <c r="DC265" i="1"/>
  <c r="DD26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2" i="1"/>
  <c r="AJ235" i="1"/>
  <c r="CL28" i="1" l="1"/>
  <c r="CL29" i="1" s="1"/>
  <c r="CM26" i="1" s="1"/>
  <c r="CM11" i="1"/>
  <c r="CN11" i="1" s="1"/>
  <c r="CO21" i="1"/>
  <c r="CM22" i="1"/>
  <c r="CN22" i="1" s="1"/>
  <c r="CO6" i="1"/>
  <c r="CN6" i="1"/>
  <c r="B1" i="9"/>
  <c r="AB105" i="2"/>
  <c r="AE107" i="2"/>
  <c r="AF69" i="2"/>
  <c r="AC47" i="2"/>
  <c r="AB68" i="2"/>
  <c r="AC5" i="2"/>
  <c r="AF58" i="2"/>
  <c r="AE6" i="2"/>
  <c r="AC50" i="2"/>
  <c r="AD51" i="2"/>
  <c r="AF40" i="2"/>
  <c r="AE75" i="2"/>
  <c r="AF61" i="2"/>
  <c r="AC69" i="2"/>
  <c r="AD46" i="2"/>
  <c r="AF50" i="2"/>
  <c r="AD53" i="2"/>
  <c r="AC107" i="2"/>
  <c r="AF56" i="2"/>
  <c r="AD79" i="2"/>
  <c r="AB78" i="2"/>
  <c r="AE110" i="2"/>
  <c r="AF95" i="2"/>
  <c r="AC106" i="2"/>
  <c r="AD12" i="2"/>
  <c r="AD104" i="2"/>
  <c r="AD23" i="2"/>
  <c r="AE81" i="2"/>
  <c r="AC60" i="2"/>
  <c r="AE34" i="2"/>
  <c r="AD60" i="2"/>
  <c r="AD58" i="2"/>
  <c r="AB46" i="2"/>
  <c r="AE45" i="2"/>
  <c r="AE26" i="2"/>
  <c r="AE16" i="2"/>
  <c r="AC59" i="2"/>
  <c r="AC65" i="2"/>
  <c r="AB29" i="2"/>
  <c r="AC91" i="2"/>
  <c r="AF99" i="2"/>
  <c r="AE92" i="2"/>
  <c r="AF94" i="2"/>
  <c r="AD27" i="2"/>
  <c r="AC32" i="2"/>
  <c r="AF45" i="2"/>
  <c r="AD24" i="2"/>
  <c r="AC63" i="2"/>
  <c r="AF71" i="2"/>
  <c r="AF9" i="2"/>
  <c r="AC108" i="2"/>
  <c r="AE18" i="2"/>
  <c r="AE65" i="2"/>
  <c r="AC104" i="2"/>
  <c r="AC48" i="2"/>
  <c r="AD82" i="2"/>
  <c r="AC81" i="2"/>
  <c r="AE51" i="2"/>
  <c r="AC71" i="2"/>
  <c r="AD28" i="2"/>
  <c r="AD73" i="2"/>
  <c r="AF85" i="2"/>
  <c r="AF88" i="2"/>
  <c r="AD7" i="2"/>
  <c r="AE14" i="2"/>
  <c r="AB74" i="2"/>
  <c r="AC74" i="2"/>
  <c r="AE23" i="2"/>
  <c r="AE17" i="2"/>
  <c r="AE29" i="2"/>
  <c r="AF105" i="2"/>
  <c r="AD108" i="2"/>
  <c r="AB23" i="2"/>
  <c r="AC76" i="2"/>
  <c r="AE55" i="2"/>
  <c r="AE57" i="2"/>
  <c r="AB13" i="2"/>
  <c r="AF63" i="2"/>
  <c r="AC25" i="2"/>
  <c r="AD52" i="2"/>
  <c r="AC105" i="2"/>
  <c r="AB11" i="2"/>
  <c r="AC96" i="2"/>
  <c r="AF16" i="2"/>
  <c r="AD21" i="2"/>
  <c r="AE67" i="2"/>
  <c r="AB61" i="2"/>
  <c r="AD110" i="2"/>
  <c r="AB107" i="2"/>
  <c r="AD93" i="2"/>
  <c r="AD72" i="2"/>
  <c r="AE52" i="2"/>
  <c r="AB110" i="2"/>
  <c r="AE74" i="2"/>
  <c r="AD87" i="2"/>
  <c r="AC67" i="2"/>
  <c r="AC109" i="2"/>
  <c r="AF67" i="2"/>
  <c r="AC97" i="2"/>
  <c r="AD107" i="2"/>
  <c r="AB99" i="2"/>
  <c r="AE32" i="2"/>
  <c r="AB43" i="2"/>
  <c r="AF57" i="2"/>
  <c r="AF53" i="2"/>
  <c r="AC24" i="2"/>
  <c r="AD76" i="2"/>
  <c r="AD105" i="2"/>
  <c r="AE30" i="2"/>
  <c r="AE20" i="2"/>
  <c r="AE9" i="2"/>
  <c r="AF52" i="2"/>
  <c r="AE36" i="2"/>
  <c r="AF5" i="2"/>
  <c r="AF111" i="2" s="1"/>
  <c r="AE15" i="2"/>
  <c r="AD64" i="2"/>
  <c r="AE73" i="2"/>
  <c r="AE19" i="2"/>
  <c r="AC17" i="2"/>
  <c r="AB17" i="2"/>
  <c r="AC29" i="2"/>
  <c r="AB15" i="2"/>
  <c r="AF10" i="2"/>
  <c r="A1" i="9"/>
  <c r="AC92" i="2"/>
  <c r="AB72" i="2"/>
  <c r="AE94" i="2"/>
  <c r="AD62" i="2"/>
  <c r="AE8" i="2"/>
  <c r="AF36" i="2"/>
  <c r="AF22" i="2"/>
  <c r="AF24" i="2"/>
  <c r="AE33" i="2"/>
  <c r="AB97" i="2"/>
  <c r="AC44" i="2"/>
  <c r="AE7" i="2"/>
  <c r="AE96" i="2"/>
  <c r="AF8" i="2"/>
  <c r="AC19" i="2"/>
  <c r="AB9" i="2"/>
  <c r="AB80" i="2"/>
  <c r="AF42" i="2"/>
  <c r="AF15" i="2"/>
  <c r="AF112" i="2"/>
  <c r="AD17" i="2"/>
  <c r="AD83" i="2"/>
  <c r="AB49" i="2"/>
  <c r="AB92" i="2"/>
  <c r="AB34" i="2"/>
  <c r="AF83" i="2"/>
  <c r="AF6" i="2"/>
  <c r="AE89" i="2"/>
  <c r="AC49" i="2"/>
  <c r="AD8" i="2"/>
  <c r="AC34" i="2"/>
  <c r="AC87" i="2"/>
  <c r="AB6" i="2"/>
  <c r="AC18" i="2"/>
  <c r="AE79" i="2"/>
  <c r="AB58" i="2"/>
  <c r="AD96" i="2"/>
  <c r="AB63" i="2"/>
  <c r="AF25" i="2"/>
  <c r="AB48" i="2"/>
  <c r="AB66" i="2"/>
  <c r="AF28" i="2"/>
  <c r="AD88" i="2"/>
  <c r="AE64" i="2"/>
  <c r="AB41" i="2"/>
  <c r="AC78" i="2"/>
  <c r="AF49" i="2"/>
  <c r="AF81" i="2"/>
  <c r="AE104" i="2"/>
  <c r="AF35" i="2"/>
  <c r="AD81" i="2"/>
  <c r="AD91" i="2"/>
  <c r="AE5" i="2"/>
  <c r="AB36" i="2"/>
  <c r="AB44" i="2"/>
  <c r="AF86" i="2"/>
  <c r="AE105" i="2"/>
  <c r="AD19" i="2"/>
  <c r="AC79" i="2"/>
  <c r="AB90" i="2"/>
  <c r="AE86" i="2"/>
  <c r="AF62" i="2"/>
  <c r="AB42" i="2"/>
  <c r="AC30" i="2"/>
  <c r="AD16" i="2"/>
  <c r="AE84" i="2"/>
  <c r="AB77" i="2"/>
  <c r="AD80" i="2"/>
  <c r="AF70" i="2"/>
  <c r="AB75" i="2"/>
  <c r="AE113" i="2"/>
  <c r="AD71" i="2"/>
  <c r="AE88" i="2"/>
  <c r="AB65" i="2"/>
  <c r="AC54" i="2"/>
  <c r="AE46" i="2"/>
  <c r="AD26" i="2"/>
  <c r="AD97" i="2"/>
  <c r="AE93" i="2"/>
  <c r="AC33" i="2"/>
  <c r="AD42" i="2"/>
  <c r="AD32" i="2"/>
  <c r="AE91" i="2"/>
  <c r="AD86" i="2"/>
  <c r="AF104" i="2"/>
  <c r="AF108" i="2"/>
  <c r="AB89" i="2"/>
  <c r="AD69" i="2"/>
  <c r="AB45" i="2"/>
  <c r="AF48" i="2"/>
  <c r="AE58" i="2"/>
  <c r="AB82" i="2"/>
  <c r="AC95" i="2"/>
  <c r="AB16" i="2"/>
  <c r="AC12" i="2"/>
  <c r="AF59" i="2"/>
  <c r="AD63" i="2"/>
  <c r="AC90" i="2"/>
  <c r="AE80" i="2"/>
  <c r="AF17" i="2"/>
  <c r="AD54" i="2"/>
  <c r="AD78" i="2"/>
  <c r="AF74" i="2"/>
  <c r="AB81" i="2"/>
  <c r="AF79" i="2"/>
  <c r="AC20" i="2"/>
  <c r="AD95" i="2"/>
  <c r="AD48" i="2"/>
  <c r="AF27" i="2"/>
  <c r="AD14" i="2"/>
  <c r="AC13" i="2"/>
  <c r="AD55" i="2"/>
  <c r="AC68" i="2"/>
  <c r="AC93" i="2"/>
  <c r="AF26" i="2"/>
  <c r="AC45" i="2"/>
  <c r="AB64" i="2"/>
  <c r="AB18" i="2"/>
  <c r="AD75" i="2"/>
  <c r="L1" i="9"/>
  <c r="AC8" i="2"/>
  <c r="AD50" i="2"/>
  <c r="AE95" i="2"/>
  <c r="AB70" i="2"/>
  <c r="AD94" i="2"/>
  <c r="AC62" i="2"/>
  <c r="AD90" i="2"/>
  <c r="AD5" i="2"/>
  <c r="AD84" i="2"/>
  <c r="AE56" i="2"/>
  <c r="AF47" i="2"/>
  <c r="AD74" i="2"/>
  <c r="AB87" i="2"/>
  <c r="AD99" i="2"/>
  <c r="AE50" i="2"/>
  <c r="AE10" i="2"/>
  <c r="AB96" i="2"/>
  <c r="AB53" i="2"/>
  <c r="AC55" i="2"/>
  <c r="AD6" i="2"/>
  <c r="AB98" i="2"/>
  <c r="AF66" i="2"/>
  <c r="AC99" i="2"/>
  <c r="AB67" i="2"/>
  <c r="AE47" i="2"/>
  <c r="AC43" i="2"/>
  <c r="AB27" i="2"/>
  <c r="AF11" i="2"/>
  <c r="AE98" i="2"/>
  <c r="AD45" i="2"/>
  <c r="AD33" i="2"/>
  <c r="AB57" i="2"/>
  <c r="AF34" i="2"/>
  <c r="AC41" i="2"/>
  <c r="AF18" i="2"/>
  <c r="AD56" i="2"/>
  <c r="AD29" i="2"/>
  <c r="AE28" i="2"/>
  <c r="AC84" i="2"/>
  <c r="AB7" i="2"/>
  <c r="AC83" i="2"/>
  <c r="AE21" i="2"/>
  <c r="AD67" i="2"/>
  <c r="AD9" i="2"/>
  <c r="AB33" i="2"/>
  <c r="AE49" i="2"/>
  <c r="AF106" i="2"/>
  <c r="AB52" i="2"/>
  <c r="AE108" i="2"/>
  <c r="AD109" i="2"/>
  <c r="AE35" i="2"/>
  <c r="AB71" i="2"/>
  <c r="AD65" i="2"/>
  <c r="AE111" i="2"/>
  <c r="AF87" i="2"/>
  <c r="AD92" i="2"/>
  <c r="AC89" i="2"/>
  <c r="AF73" i="2"/>
  <c r="AF13" i="2"/>
  <c r="AB95" i="2"/>
  <c r="AC11" i="2"/>
  <c r="AE11" i="2"/>
  <c r="AB54" i="2"/>
  <c r="AB60" i="2"/>
  <c r="AB12" i="2"/>
  <c r="AF19" i="2"/>
  <c r="AF65" i="2"/>
  <c r="AB20" i="2"/>
  <c r="AB19" i="2"/>
  <c r="AB93" i="2"/>
  <c r="AC51" i="2"/>
  <c r="AE31" i="2"/>
  <c r="AC73" i="2"/>
  <c r="AF20" i="2"/>
  <c r="AE87" i="2"/>
  <c r="AD20" i="2"/>
  <c r="AF44" i="2"/>
  <c r="AC98" i="2"/>
  <c r="AD49" i="2"/>
  <c r="AC53" i="2"/>
  <c r="AC23" i="2"/>
  <c r="AC36" i="2"/>
  <c r="AF75" i="2"/>
  <c r="AF89" i="2"/>
  <c r="AB73" i="2"/>
  <c r="AE22" i="2"/>
  <c r="AE69" i="2"/>
  <c r="AF30" i="2"/>
  <c r="AD40" i="2"/>
  <c r="AE68" i="2"/>
  <c r="AD77" i="2"/>
  <c r="AC46" i="2"/>
  <c r="AF92" i="2"/>
  <c r="AC42" i="2"/>
  <c r="AB24" i="2"/>
  <c r="AB108" i="2"/>
  <c r="AC86" i="2"/>
  <c r="AF64" i="2"/>
  <c r="AE78" i="2"/>
  <c r="AB55" i="2"/>
  <c r="AB50" i="2"/>
  <c r="AB86" i="2"/>
  <c r="AE40" i="2"/>
  <c r="AB22" i="2"/>
  <c r="AB30" i="2"/>
  <c r="AC15" i="2"/>
  <c r="AC31" i="2"/>
  <c r="AE82" i="2"/>
  <c r="AB51" i="2"/>
  <c r="AD70" i="2"/>
  <c r="AB62" i="2"/>
  <c r="AB32" i="2"/>
  <c r="AC85" i="2"/>
  <c r="AD36" i="2"/>
  <c r="AF93" i="2"/>
  <c r="AF21" i="2"/>
  <c r="AF14" i="2"/>
  <c r="AF91" i="2"/>
  <c r="AD31" i="2"/>
  <c r="AD98" i="2"/>
  <c r="AC77" i="2"/>
  <c r="AF54" i="2"/>
  <c r="AB91" i="2"/>
  <c r="AF97" i="2"/>
  <c r="AE62" i="2"/>
  <c r="AD61" i="2"/>
  <c r="AE44" i="2"/>
  <c r="AE60" i="2"/>
  <c r="AC56" i="2"/>
  <c r="AB31" i="2"/>
  <c r="AB106" i="2"/>
  <c r="AB84" i="2"/>
  <c r="AB21" i="2"/>
  <c r="AC80" i="2"/>
  <c r="AE66" i="2"/>
  <c r="AE53" i="2"/>
  <c r="AC58" i="2"/>
  <c r="AD22" i="2"/>
  <c r="AF31" i="2"/>
  <c r="AC57" i="2"/>
  <c r="AB5" i="2"/>
  <c r="AC75" i="2"/>
  <c r="AF107" i="2"/>
  <c r="AF77" i="2"/>
  <c r="AD85" i="2"/>
  <c r="AB109" i="2"/>
  <c r="AC72" i="2"/>
  <c r="AB104" i="2"/>
  <c r="AF43" i="2"/>
  <c r="AB35" i="2"/>
  <c r="AF68" i="2"/>
  <c r="AF32" i="2"/>
  <c r="AC94" i="2"/>
  <c r="AC110" i="2"/>
  <c r="AC64" i="2"/>
  <c r="AC35" i="2"/>
  <c r="AD66" i="2"/>
  <c r="AD44" i="2"/>
  <c r="AF29" i="2"/>
  <c r="AE63" i="2"/>
  <c r="AC70" i="2"/>
  <c r="AE99" i="2"/>
  <c r="AF98" i="2"/>
  <c r="AC28" i="2"/>
  <c r="AE72" i="2"/>
  <c r="AD89" i="2"/>
  <c r="AC6" i="2"/>
  <c r="AD35" i="2"/>
  <c r="AB83" i="2"/>
  <c r="AF41" i="2"/>
  <c r="AE12" i="2"/>
  <c r="AE43" i="2"/>
  <c r="AE70" i="2"/>
  <c r="AD68" i="2"/>
  <c r="AC66" i="2"/>
  <c r="AD43" i="2"/>
  <c r="AD59" i="2"/>
  <c r="AD18" i="2"/>
  <c r="AF12" i="2"/>
  <c r="AC10" i="2"/>
  <c r="AF76" i="2"/>
  <c r="AD106" i="2"/>
  <c r="AE71" i="2"/>
  <c r="AB40" i="2"/>
  <c r="AB8" i="2"/>
  <c r="AF55" i="2"/>
  <c r="AF72" i="2"/>
  <c r="AE13" i="2"/>
  <c r="AB69" i="2"/>
  <c r="AC26" i="2"/>
  <c r="AD13" i="2"/>
  <c r="AE25" i="2"/>
  <c r="AD47" i="2"/>
  <c r="AB79" i="2"/>
  <c r="AF23" i="2"/>
  <c r="AB25" i="2"/>
  <c r="AE83" i="2"/>
  <c r="AE97" i="2"/>
  <c r="AE61" i="2"/>
  <c r="AC22" i="2"/>
  <c r="AE41" i="2"/>
  <c r="AC7" i="2"/>
  <c r="AE48" i="2"/>
  <c r="AF7" i="2"/>
  <c r="AD10" i="2"/>
  <c r="AC14" i="2"/>
  <c r="AC61" i="2"/>
  <c r="AE85" i="2"/>
  <c r="AB88" i="2"/>
  <c r="AB85" i="2"/>
  <c r="AE90" i="2"/>
  <c r="AF110" i="2"/>
  <c r="AF46" i="2"/>
  <c r="AB10" i="2"/>
  <c r="AC40" i="2"/>
  <c r="AB94" i="2"/>
  <c r="AD11" i="2"/>
  <c r="AC21" i="2"/>
  <c r="AB56" i="2"/>
  <c r="AC52" i="2"/>
  <c r="AC82" i="2"/>
  <c r="AC88" i="2"/>
  <c r="AB59" i="2"/>
  <c r="AE54" i="2"/>
  <c r="AF78" i="2"/>
  <c r="AB14" i="2"/>
  <c r="AF60" i="2"/>
  <c r="AE77" i="2"/>
  <c r="AF82" i="2"/>
  <c r="AD34" i="2"/>
  <c r="AB47" i="2"/>
  <c r="AE27" i="2"/>
  <c r="AF90" i="2"/>
  <c r="AF33" i="2"/>
  <c r="AF84" i="2"/>
  <c r="AD112" i="2"/>
  <c r="AE24" i="2"/>
  <c r="AF109" i="2"/>
  <c r="AC16" i="2"/>
  <c r="AE42" i="2"/>
  <c r="AC27" i="2"/>
  <c r="AE109" i="2"/>
  <c r="AD57" i="2"/>
  <c r="AC9" i="2"/>
  <c r="AF80" i="2"/>
  <c r="AB76" i="2"/>
  <c r="AD30" i="2"/>
  <c r="AE106" i="2"/>
  <c r="AB26" i="2"/>
  <c r="AD25" i="2"/>
  <c r="AD15" i="2"/>
  <c r="AF96" i="2"/>
  <c r="AD41" i="2"/>
  <c r="AE76" i="2"/>
  <c r="AB28" i="2"/>
  <c r="AE59" i="2"/>
  <c r="AF51" i="2"/>
  <c r="AD111" i="2"/>
  <c r="AC111" i="2" l="1"/>
  <c r="AC112" i="2"/>
  <c r="AD113" i="2"/>
  <c r="AF113" i="2"/>
  <c r="AE112" i="2"/>
  <c r="AB112" i="2"/>
  <c r="AB113" i="2"/>
  <c r="AB111" i="2"/>
  <c r="CM5" i="1"/>
  <c r="CM15" i="1" s="1"/>
  <c r="CN5" i="1"/>
  <c r="CN15" i="1" s="1"/>
  <c r="CO11" i="1"/>
  <c r="CP21" i="1"/>
  <c r="CO22" i="1"/>
  <c r="CP22" i="1" s="1"/>
  <c r="CM7" i="1"/>
  <c r="CM28" i="1" s="1"/>
  <c r="CM29" i="1" s="1"/>
  <c r="CN26" i="1" s="1"/>
  <c r="CM16" i="1"/>
  <c r="CM17" i="1" s="1"/>
  <c r="CN16" i="1"/>
  <c r="AA6" i="1"/>
  <c r="CP6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K162" i="1"/>
  <c r="CM162" i="1" s="1"/>
  <c r="CN162" i="1" s="1"/>
  <c r="CH178" i="1"/>
  <c r="CJ265" i="1"/>
  <c r="AC113" i="2"/>
  <c r="CO5" i="1" l="1"/>
  <c r="AA15" i="1"/>
  <c r="CN7" i="1"/>
  <c r="CN28" i="1" s="1"/>
  <c r="AA5" i="1"/>
  <c r="AA11" i="1" s="1"/>
  <c r="CQ22" i="1"/>
  <c r="CR22" i="1" s="1"/>
  <c r="CS22" i="1" s="1"/>
  <c r="CT22" i="1" s="1"/>
  <c r="CO16" i="1"/>
  <c r="CQ21" i="1"/>
  <c r="CR21" i="1" s="1"/>
  <c r="CP11" i="1"/>
  <c r="CP5" i="1" s="1"/>
  <c r="CM34" i="1"/>
  <c r="CM36" i="1" s="1"/>
  <c r="CN29" i="1"/>
  <c r="CO26" i="1" s="1"/>
  <c r="CO7" i="1"/>
  <c r="CO28" i="1" s="1"/>
  <c r="CO15" i="1"/>
  <c r="CQ6" i="1"/>
  <c r="AA12" i="1"/>
  <c r="CP16" i="1"/>
  <c r="AA16" i="1"/>
  <c r="AA17" i="1" s="1"/>
  <c r="CN17" i="1"/>
  <c r="AA21" i="1"/>
  <c r="AA7" i="1"/>
  <c r="CN34" i="1"/>
  <c r="CN36" i="1" s="1"/>
  <c r="CO162" i="1"/>
  <c r="CP162" i="1" s="1"/>
  <c r="CQ162" i="1" s="1"/>
  <c r="CR162" i="1" s="1"/>
  <c r="AA162" i="1"/>
  <c r="CI265" i="1"/>
  <c r="CG162" i="1"/>
  <c r="CG265" i="1"/>
  <c r="CH265" i="1"/>
  <c r="AB199" i="1"/>
  <c r="AC199" i="1"/>
  <c r="AD199" i="1"/>
  <c r="AE199" i="1"/>
  <c r="CE162" i="1"/>
  <c r="CE265" i="1"/>
  <c r="CF265" i="1"/>
  <c r="AI223" i="1"/>
  <c r="AI228" i="1"/>
  <c r="AI232" i="1"/>
  <c r="AI235" i="1"/>
  <c r="AI265" i="1"/>
  <c r="Y265" i="1"/>
  <c r="AM162" i="1"/>
  <c r="AO162" i="1"/>
  <c r="AQ162" i="1"/>
  <c r="AS162" i="1"/>
  <c r="AU162" i="1"/>
  <c r="AW162" i="1"/>
  <c r="AY162" i="1"/>
  <c r="BA162" i="1"/>
  <c r="BC162" i="1"/>
  <c r="BE162" i="1"/>
  <c r="BG162" i="1"/>
  <c r="BI162" i="1"/>
  <c r="BK162" i="1"/>
  <c r="BM162" i="1"/>
  <c r="BO162" i="1"/>
  <c r="BQ162" i="1"/>
  <c r="BS162" i="1"/>
  <c r="BU162" i="1"/>
  <c r="BW162" i="1"/>
  <c r="BY162" i="1"/>
  <c r="CA162" i="1"/>
  <c r="CC162" i="1"/>
  <c r="CD265" i="1"/>
  <c r="CC265" i="1"/>
  <c r="AJ265" i="1"/>
  <c r="AK265" i="1"/>
  <c r="AL265" i="1"/>
  <c r="AA199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O17" i="1" l="1"/>
  <c r="CS21" i="1"/>
  <c r="CT21" i="1" s="1"/>
  <c r="CU21" i="1" s="1"/>
  <c r="CV21" i="1" s="1"/>
  <c r="CQ11" i="1"/>
  <c r="CQ5" i="1" s="1"/>
  <c r="CM8" i="1"/>
  <c r="CO34" i="1"/>
  <c r="CO36" i="1" s="1"/>
  <c r="CO38" i="1" s="1"/>
  <c r="CP7" i="1"/>
  <c r="CP15" i="1"/>
  <c r="CN8" i="1"/>
  <c r="CS6" i="1"/>
  <c r="AA22" i="1"/>
  <c r="CQ16" i="1"/>
  <c r="CR6" i="1"/>
  <c r="CU22" i="1"/>
  <c r="CV22" i="1" s="1"/>
  <c r="CN38" i="1"/>
  <c r="CS162" i="1"/>
  <c r="CT162" i="1" s="1"/>
  <c r="CU162" i="1" s="1"/>
  <c r="CV162" i="1" s="1"/>
  <c r="AB162" i="1"/>
  <c r="Y1" i="1"/>
  <c r="Z1" i="1" s="1"/>
  <c r="CR11" i="1" l="1"/>
  <c r="CS11" i="1" s="1"/>
  <c r="CO8" i="1"/>
  <c r="CP34" i="1"/>
  <c r="CP36" i="1" s="1"/>
  <c r="CP28" i="1"/>
  <c r="CQ7" i="1"/>
  <c r="CQ28" i="1" s="1"/>
  <c r="CQ15" i="1"/>
  <c r="CQ17" i="1" s="1"/>
  <c r="CP17" i="1"/>
  <c r="CT6" i="1"/>
  <c r="CR16" i="1"/>
  <c r="CS16" i="1"/>
  <c r="AB6" i="1"/>
  <c r="AB12" i="1" s="1"/>
  <c r="CW22" i="1"/>
  <c r="CX22" i="1" s="1"/>
  <c r="CW162" i="1"/>
  <c r="CX162" i="1" s="1"/>
  <c r="CY162" i="1" s="1"/>
  <c r="CZ162" i="1" s="1"/>
  <c r="AC162" i="1"/>
  <c r="AA1" i="1"/>
  <c r="AB1" i="1" s="1"/>
  <c r="AC1" i="1" s="1"/>
  <c r="AD1" i="1" s="1"/>
  <c r="AE1" i="1" s="1"/>
  <c r="CT11" i="1" l="1"/>
  <c r="CU11" i="1" s="1"/>
  <c r="CV11" i="1" s="1"/>
  <c r="CR5" i="1"/>
  <c r="CR15" i="1" s="1"/>
  <c r="AB15" i="1" s="1"/>
  <c r="CQ34" i="1"/>
  <c r="CQ36" i="1" s="1"/>
  <c r="CQ37" i="1" s="1"/>
  <c r="CP38" i="1"/>
  <c r="CU6" i="1"/>
  <c r="AB16" i="1"/>
  <c r="CT16" i="1"/>
  <c r="CW21" i="1"/>
  <c r="CX21" i="1" s="1"/>
  <c r="CY22" i="1"/>
  <c r="CR7" i="1"/>
  <c r="CR28" i="1" s="1"/>
  <c r="CS5" i="1"/>
  <c r="DA162" i="1"/>
  <c r="DB162" i="1" s="1"/>
  <c r="DC162" i="1" s="1"/>
  <c r="DD162" i="1" s="1"/>
  <c r="AE162" i="1" s="1"/>
  <c r="AD162" i="1"/>
  <c r="A1" i="3"/>
  <c r="CR17" i="1" l="1"/>
  <c r="AB5" i="1"/>
  <c r="AB21" i="1" s="1"/>
  <c r="CW11" i="1"/>
  <c r="CX11" i="1" s="1"/>
  <c r="CY11" i="1"/>
  <c r="CZ11" i="1" s="1"/>
  <c r="DA11" i="1" s="1"/>
  <c r="CQ8" i="1"/>
  <c r="CQ38" i="1"/>
  <c r="CS7" i="1"/>
  <c r="CS15" i="1"/>
  <c r="CS17" i="1" s="1"/>
  <c r="AB17" i="1"/>
  <c r="AB22" i="1"/>
  <c r="CV6" i="1"/>
  <c r="AC6" i="1" s="1"/>
  <c r="AC12" i="1" s="1"/>
  <c r="CU16" i="1"/>
  <c r="CZ22" i="1"/>
  <c r="DA22" i="1" s="1"/>
  <c r="DB22" i="1" s="1"/>
  <c r="CY21" i="1"/>
  <c r="AB11" i="1"/>
  <c r="AB7" i="1"/>
  <c r="CR34" i="1"/>
  <c r="CR36" i="1" s="1"/>
  <c r="CT5" i="1"/>
  <c r="A1" i="6"/>
  <c r="A1" i="4"/>
  <c r="FB11" i="4" a="1"/>
  <c r="EZ15" i="4" a="1"/>
  <c r="EZ7" i="4" a="1"/>
  <c r="FB16" i="4" a="1"/>
  <c r="FB7" i="4" a="1"/>
  <c r="FC16" i="4" a="1"/>
  <c r="FC8" i="4" a="1"/>
  <c r="EY16" i="4" a="1"/>
  <c r="FD13" i="4" a="1"/>
  <c r="EZ5" i="4" a="1"/>
  <c r="FF12" i="4" a="1"/>
  <c r="EZ11" i="4" a="1"/>
  <c r="EX7" i="4" a="1"/>
  <c r="EY5" i="4" a="1"/>
  <c r="EX14" i="4" a="1"/>
  <c r="Z11" i="2"/>
  <c r="Y6" i="2"/>
  <c r="Y11" i="2"/>
  <c r="Y62" i="2"/>
  <c r="Z35" i="2"/>
  <c r="Y41" i="2"/>
  <c r="AA91" i="2"/>
  <c r="Y90" i="2"/>
  <c r="Z69" i="2"/>
  <c r="Y26" i="2"/>
  <c r="Y15" i="2"/>
  <c r="AA21" i="2"/>
  <c r="AA19" i="2"/>
  <c r="Z48" i="1" s="1"/>
  <c r="Y86" i="2"/>
  <c r="AA92" i="2"/>
  <c r="Z85" i="2"/>
  <c r="Y110" i="2"/>
  <c r="AA107" i="2"/>
  <c r="Z104" i="1" s="1"/>
  <c r="AA36" i="2"/>
  <c r="AA65" i="2"/>
  <c r="Z56" i="2"/>
  <c r="W6" i="2"/>
  <c r="AA12" i="2"/>
  <c r="Z41" i="1" s="1"/>
  <c r="Y33" i="2"/>
  <c r="AA78" i="2"/>
  <c r="Z186" i="1" s="1"/>
  <c r="Z52" i="2"/>
  <c r="AA34" i="2"/>
  <c r="Z68" i="2"/>
  <c r="Z90" i="2"/>
  <c r="FD14" i="4" a="1"/>
  <c r="FE14" i="4" a="1"/>
  <c r="FA14" i="4" a="1"/>
  <c r="FC11" i="4" a="1"/>
  <c r="EZ6" i="4" a="1"/>
  <c r="FD6" i="4" a="1"/>
  <c r="FE11" i="4" a="1"/>
  <c r="EX13" i="4" a="1"/>
  <c r="FB6" i="4" a="1"/>
  <c r="FA13" i="4" a="1"/>
  <c r="FA15" i="4" a="1"/>
  <c r="Z31" i="2"/>
  <c r="AA6" i="2"/>
  <c r="Z34" i="1" s="1"/>
  <c r="Y51" i="2"/>
  <c r="Y5" i="2"/>
  <c r="AA26" i="2"/>
  <c r="Z36" i="2"/>
  <c r="Z97" i="2"/>
  <c r="Z61" i="2"/>
  <c r="Y75" i="2"/>
  <c r="Z110" i="2"/>
  <c r="AA84" i="2"/>
  <c r="Y94" i="2"/>
  <c r="Y29" i="2"/>
  <c r="Y74" i="2"/>
  <c r="AA18" i="2"/>
  <c r="Z51" i="1" s="1"/>
  <c r="Y93" i="2"/>
  <c r="Z82" i="2"/>
  <c r="Y78" i="2"/>
  <c r="Y8" i="2"/>
  <c r="Y73" i="2"/>
  <c r="Z88" i="2"/>
  <c r="EY11" i="4" a="1"/>
  <c r="FA9" i="4" a="1"/>
  <c r="FD9" i="4" a="1"/>
  <c r="FD7" i="4" a="1"/>
  <c r="FF13" i="4" a="1"/>
  <c r="FF15" i="4" a="1"/>
  <c r="EX11" i="4" a="1"/>
  <c r="FC6" i="4" a="1"/>
  <c r="FF8" i="4" a="1"/>
  <c r="FE8" i="4" a="1"/>
  <c r="FF5" i="4" a="1"/>
  <c r="Y85" i="2"/>
  <c r="Z16" i="2"/>
  <c r="AA69" i="2"/>
  <c r="AA35" i="2"/>
  <c r="Z77" i="1" s="1"/>
  <c r="AA29" i="2"/>
  <c r="Z73" i="1" s="1"/>
  <c r="Y97" i="2"/>
  <c r="AA75" i="2"/>
  <c r="Z185" i="1" s="1"/>
  <c r="Z187" i="1" s="1"/>
  <c r="Z18" i="2"/>
  <c r="Y32" i="2"/>
  <c r="Y92" i="2"/>
  <c r="AA71" i="2"/>
  <c r="Z166" i="1" s="1"/>
  <c r="AA80" i="2"/>
  <c r="Z173" i="1" s="1"/>
  <c r="AA51" i="2"/>
  <c r="Z176" i="1" s="1"/>
  <c r="Z13" i="2"/>
  <c r="Z63" i="2"/>
  <c r="AA99" i="2"/>
  <c r="Z104" i="2"/>
  <c r="Y65" i="2"/>
  <c r="Y14" i="2"/>
  <c r="Y77" i="2"/>
  <c r="AA58" i="2"/>
  <c r="Y19" i="2"/>
  <c r="AA14" i="2"/>
  <c r="Z46" i="1" s="1"/>
  <c r="Z45" i="2"/>
  <c r="Z20" i="2"/>
  <c r="Y81" i="2"/>
  <c r="FC5" i="4" a="1"/>
  <c r="EY15" i="4" a="1"/>
  <c r="FD5" i="4" a="1"/>
  <c r="EX16" i="4" a="1"/>
  <c r="FF16" i="4" a="1"/>
  <c r="EY13" i="4" a="1"/>
  <c r="FE5" i="4" a="1"/>
  <c r="FD15" i="4" a="1"/>
  <c r="FB13" i="4" a="1"/>
  <c r="FB12" i="4" a="1"/>
  <c r="FA7" i="4" a="1"/>
  <c r="EZ9" i="4" a="1"/>
  <c r="EX5" i="4" a="1"/>
  <c r="Y58" i="2"/>
  <c r="AA59" i="2"/>
  <c r="AA62" i="2"/>
  <c r="AA33" i="2"/>
  <c r="Z72" i="1" s="1"/>
  <c r="AA17" i="2"/>
  <c r="Z47" i="1" s="1"/>
  <c r="AA40" i="2"/>
  <c r="AA56" i="2"/>
  <c r="Z153" i="1" s="1"/>
  <c r="Z59" i="2"/>
  <c r="Z67" i="2"/>
  <c r="Y56" i="2"/>
  <c r="Z60" i="2"/>
  <c r="AA76" i="2"/>
  <c r="Z170" i="1" s="1"/>
  <c r="Z205" i="1" s="1"/>
  <c r="AA96" i="2"/>
  <c r="Z46" i="2"/>
  <c r="AA5" i="2"/>
  <c r="Y79" i="2"/>
  <c r="Z80" i="2"/>
  <c r="AA90" i="2"/>
  <c r="Z14" i="2"/>
  <c r="Z28" i="2"/>
  <c r="AA57" i="2"/>
  <c r="Z181" i="1" s="1"/>
  <c r="Y35" i="2"/>
  <c r="Z92" i="2"/>
  <c r="Z53" i="2"/>
  <c r="AA15" i="2"/>
  <c r="Z49" i="1" s="1"/>
  <c r="FE12" i="4" a="1"/>
  <c r="EY14" i="4" a="1"/>
  <c r="FD8" i="4" a="1"/>
  <c r="EY12" i="4" a="1"/>
  <c r="FC15" i="4" a="1"/>
  <c r="FA11" i="4" a="1"/>
  <c r="FC7" i="4" a="1"/>
  <c r="FC9" i="4" a="1"/>
  <c r="EZ12" i="4" a="1"/>
  <c r="EZ16" i="4" a="1"/>
  <c r="EX6" i="4" a="1"/>
  <c r="FE15" i="4" a="1"/>
  <c r="FD11" i="4" a="1"/>
  <c r="EX8" i="4" a="1"/>
  <c r="FF11" i="4" a="1"/>
  <c r="EZ14" i="4" a="1"/>
  <c r="FA12" i="4" a="1"/>
  <c r="EX15" i="4" a="1"/>
  <c r="FC13" i="4" a="1"/>
  <c r="FF9" i="4" a="1"/>
  <c r="EY7" i="4" a="1"/>
  <c r="FC14" i="4" a="1"/>
  <c r="FB15" i="4" a="1"/>
  <c r="FF14" i="4" a="1"/>
  <c r="Y57" i="2"/>
  <c r="FF6" i="4" a="1"/>
  <c r="FB9" i="4" a="1"/>
  <c r="FE13" i="4" a="1"/>
  <c r="FB14" i="4" a="1"/>
  <c r="EZ13" i="4" a="1"/>
  <c r="FE16" i="4" a="1"/>
  <c r="FF7" i="4" a="1"/>
  <c r="EZ8" i="4" a="1"/>
  <c r="FB8" i="4" a="1"/>
  <c r="Y76" i="2"/>
  <c r="Y106" i="2"/>
  <c r="Z47" i="2"/>
  <c r="Z94" i="2"/>
  <c r="AA66" i="2"/>
  <c r="Y47" i="2"/>
  <c r="AA23" i="2"/>
  <c r="Z61" i="1" s="1"/>
  <c r="Z74" i="2"/>
  <c r="Z72" i="2"/>
  <c r="Z48" i="2"/>
  <c r="Z106" i="2"/>
  <c r="Y13" i="2"/>
  <c r="Z54" i="2"/>
  <c r="Z24" i="2"/>
  <c r="AA50" i="2"/>
  <c r="Z175" i="1" s="1"/>
  <c r="Y7" i="2"/>
  <c r="EX12" i="4" a="1"/>
  <c r="Y89" i="2"/>
  <c r="AA85" i="2"/>
  <c r="Z196" i="1" s="1"/>
  <c r="AA42" i="2"/>
  <c r="Z144" i="1" s="1"/>
  <c r="Z81" i="2"/>
  <c r="Y63" i="2"/>
  <c r="AA10" i="2"/>
  <c r="Y17" i="2"/>
  <c r="Y45" i="2"/>
  <c r="Z9" i="2"/>
  <c r="Z6" i="2"/>
  <c r="Y60" i="2"/>
  <c r="Y70" i="2"/>
  <c r="AA89" i="2"/>
  <c r="AA79" i="2"/>
  <c r="Z172" i="1" s="1"/>
  <c r="V6" i="2"/>
  <c r="Z44" i="2"/>
  <c r="AA55" i="2"/>
  <c r="AA9" i="2"/>
  <c r="Z25" i="2"/>
  <c r="Z99" i="2"/>
  <c r="Z107" i="2"/>
  <c r="Y109" i="2"/>
  <c r="AA105" i="2"/>
  <c r="Z41" i="2"/>
  <c r="Z75" i="2"/>
  <c r="Z50" i="2"/>
  <c r="AA109" i="2"/>
  <c r="Y22" i="2"/>
  <c r="C5" i="2"/>
  <c r="Y88" i="2"/>
  <c r="Z91" i="2"/>
  <c r="X6" i="2"/>
  <c r="AA7" i="2"/>
  <c r="Z35" i="1" s="1"/>
  <c r="Y84" i="2"/>
  <c r="Z19" i="2"/>
  <c r="AA81" i="2"/>
  <c r="Z34" i="2"/>
  <c r="Y16" i="2"/>
  <c r="AA28" i="2"/>
  <c r="Z86" i="2"/>
  <c r="AA22" i="2"/>
  <c r="AA48" i="2"/>
  <c r="Z151" i="1" s="1"/>
  <c r="Y21" i="2"/>
  <c r="AA45" i="2"/>
  <c r="Z148" i="1" s="1"/>
  <c r="Z23" i="2"/>
  <c r="AA110" i="2"/>
  <c r="Z93" i="1" s="1"/>
  <c r="Y12" i="2"/>
  <c r="Y25" i="2"/>
  <c r="Y31" i="2"/>
  <c r="Z93" i="2"/>
  <c r="AA83" i="2"/>
  <c r="Z190" i="1" s="1"/>
  <c r="Y36" i="2"/>
  <c r="Y49" i="2"/>
  <c r="Y107" i="2"/>
  <c r="Z89" i="2"/>
  <c r="AA24" i="2"/>
  <c r="Y50" i="2"/>
  <c r="Y104" i="2"/>
  <c r="Y67" i="2"/>
  <c r="AA46" i="2"/>
  <c r="FE6" i="4" a="1"/>
  <c r="Y91" i="2"/>
  <c r="AA74" i="2"/>
  <c r="AA95" i="2"/>
  <c r="Z197" i="1" s="1"/>
  <c r="AA87" i="2"/>
  <c r="Z152" i="1" s="1"/>
  <c r="AA70" i="2"/>
  <c r="Y42" i="2"/>
  <c r="AA97" i="2"/>
  <c r="Z62" i="2"/>
  <c r="FA16" i="4" a="1"/>
  <c r="C4" i="2"/>
  <c r="AA106" i="2"/>
  <c r="Z103" i="1" s="1"/>
  <c r="Z76" i="2"/>
  <c r="Z65" i="2"/>
  <c r="Z55" i="2"/>
  <c r="Z49" i="2"/>
  <c r="AA73" i="2"/>
  <c r="Z169" i="1" s="1"/>
  <c r="Y18" i="2"/>
  <c r="AA43" i="2"/>
  <c r="Z145" i="1" s="1"/>
  <c r="Y24" i="2"/>
  <c r="Z77" i="2"/>
  <c r="AA41" i="2"/>
  <c r="Z143" i="1" s="1"/>
  <c r="Z146" i="1" s="1"/>
  <c r="Z109" i="2"/>
  <c r="Y105" i="2"/>
  <c r="Y28" i="2"/>
  <c r="Z84" i="2"/>
  <c r="Y66" i="2"/>
  <c r="AA61" i="2"/>
  <c r="Y80" i="2"/>
  <c r="AA60" i="2"/>
  <c r="Y87" i="2"/>
  <c r="AA108" i="2"/>
  <c r="Z105" i="1" s="1"/>
  <c r="FD12" i="4" a="1"/>
  <c r="AA16" i="2"/>
  <c r="Y54" i="2"/>
  <c r="Z71" i="2"/>
  <c r="AA63" i="2"/>
  <c r="Z158" i="1" s="1"/>
  <c r="AA82" i="2"/>
  <c r="Y48" i="2"/>
  <c r="Z43" i="2"/>
  <c r="Y20" i="2"/>
  <c r="Z70" i="2"/>
  <c r="EY8" i="4" a="1"/>
  <c r="FC12" i="4" a="1"/>
  <c r="Z22" i="2"/>
  <c r="Z10" i="2"/>
  <c r="Z57" i="2"/>
  <c r="Z64" i="2"/>
  <c r="AA25" i="2"/>
  <c r="Z62" i="1" s="1"/>
  <c r="Y34" i="2"/>
  <c r="Y59" i="2"/>
  <c r="AA98" i="2"/>
  <c r="Z66" i="2"/>
  <c r="AA93" i="2"/>
  <c r="Z198" i="1" s="1"/>
  <c r="Y9" i="2"/>
  <c r="Z98" i="2"/>
  <c r="AA31" i="2"/>
  <c r="Z12" i="2"/>
  <c r="AA30" i="2"/>
  <c r="Z65" i="1" s="1"/>
  <c r="Z96" i="2"/>
  <c r="Y69" i="2"/>
  <c r="Z5" i="2"/>
  <c r="Z87" i="2"/>
  <c r="Y55" i="2"/>
  <c r="AA27" i="2"/>
  <c r="Z58" i="1" s="1"/>
  <c r="Z105" i="2"/>
  <c r="Z27" i="2"/>
  <c r="AA52" i="2"/>
  <c r="Z177" i="1" s="1"/>
  <c r="Y27" i="2"/>
  <c r="Y23" i="2"/>
  <c r="Z33" i="2"/>
  <c r="Z78" i="2"/>
  <c r="AA104" i="2"/>
  <c r="Y43" i="2"/>
  <c r="Y53" i="2"/>
  <c r="AA64" i="2"/>
  <c r="Z159" i="1" s="1"/>
  <c r="AA86" i="2"/>
  <c r="Z161" i="1" s="1"/>
  <c r="Y64" i="2"/>
  <c r="Y82" i="2"/>
  <c r="Y108" i="2"/>
  <c r="Z17" i="2"/>
  <c r="Y96" i="2"/>
  <c r="EY9" i="4" a="1"/>
  <c r="FE9" i="4" a="1"/>
  <c r="Z29" i="2"/>
  <c r="AA53" i="2"/>
  <c r="Z108" i="2"/>
  <c r="Y46" i="2"/>
  <c r="AA49" i="2"/>
  <c r="Z189" i="1" s="1"/>
  <c r="Z58" i="2"/>
  <c r="AA68" i="2"/>
  <c r="Z162" i="1" s="1"/>
  <c r="Z7" i="2"/>
  <c r="FD16" i="4" a="1"/>
  <c r="FB5" i="4" a="1"/>
  <c r="Z73" i="2"/>
  <c r="AA11" i="2"/>
  <c r="Z39" i="1" s="1"/>
  <c r="AA8" i="2"/>
  <c r="Z40" i="2"/>
  <c r="Y61" i="2"/>
  <c r="Y99" i="2"/>
  <c r="AA67" i="2"/>
  <c r="Z163" i="1" s="1"/>
  <c r="AA88" i="2"/>
  <c r="Z42" i="2"/>
  <c r="AA44" i="2"/>
  <c r="Y95" i="2"/>
  <c r="Z79" i="2"/>
  <c r="AA54" i="2"/>
  <c r="Z179" i="1" s="1"/>
  <c r="Z209" i="1" s="1"/>
  <c r="Y72" i="2"/>
  <c r="EY6" i="4" a="1"/>
  <c r="FA8" i="4" a="1"/>
  <c r="AA94" i="2"/>
  <c r="Y40" i="2"/>
  <c r="Y44" i="2"/>
  <c r="Z95" i="2"/>
  <c r="FE7" i="4" a="1"/>
  <c r="FA6" i="4" a="1"/>
  <c r="Y30" i="2"/>
  <c r="AA72" i="2"/>
  <c r="Z168" i="1" s="1"/>
  <c r="Z174" i="1" s="1"/>
  <c r="AA20" i="2"/>
  <c r="Z30" i="2"/>
  <c r="AA32" i="2"/>
  <c r="Z71" i="1" s="1"/>
  <c r="Z51" i="2"/>
  <c r="Y68" i="2"/>
  <c r="Y52" i="2"/>
  <c r="Z8" i="2"/>
  <c r="Y10" i="2"/>
  <c r="Z32" i="2"/>
  <c r="Z15" i="2"/>
  <c r="Z21" i="2"/>
  <c r="Z26" i="2"/>
  <c r="Y71" i="2"/>
  <c r="AA13" i="2"/>
  <c r="Z50" i="1" s="1"/>
  <c r="Y98" i="2"/>
  <c r="Y83" i="2"/>
  <c r="AA77" i="2"/>
  <c r="Z171" i="1" s="1"/>
  <c r="Z206" i="1" s="1"/>
  <c r="AA47" i="2"/>
  <c r="Z150" i="1" s="1"/>
  <c r="Z154" i="1" s="1"/>
  <c r="Z83" i="2"/>
  <c r="FA5" i="4" a="1"/>
  <c r="EX9" i="4" a="1"/>
  <c r="BF26" i="3"/>
  <c r="CL73" i="1" s="1"/>
  <c r="BF42" i="3"/>
  <c r="CL77" i="1" s="1"/>
  <c r="BR40" i="3"/>
  <c r="BB13" i="3"/>
  <c r="BS38" i="3"/>
  <c r="BU40" i="3"/>
  <c r="BJ5" i="3"/>
  <c r="BH12" i="3"/>
  <c r="BH29" i="3"/>
  <c r="BF12" i="3"/>
  <c r="CL40" i="1" s="1"/>
  <c r="BF34" i="3"/>
  <c r="CL71" i="1" s="1"/>
  <c r="BI11" i="3"/>
  <c r="BU37" i="3"/>
  <c r="BT13" i="3"/>
  <c r="BK10" i="3"/>
  <c r="BO34" i="3"/>
  <c r="BK6" i="3"/>
  <c r="BT25" i="3"/>
  <c r="BH9" i="3"/>
  <c r="BO6" i="3"/>
  <c r="BB27" i="3"/>
  <c r="BT33" i="3"/>
  <c r="BV5" i="3"/>
  <c r="BH22" i="3"/>
  <c r="BN31" i="3"/>
  <c r="BD42" i="3"/>
  <c r="BT28" i="3"/>
  <c r="BQ6" i="3"/>
  <c r="BL7" i="3"/>
  <c r="BK24" i="3"/>
  <c r="BR13" i="3"/>
  <c r="BM35" i="3"/>
  <c r="BL11" i="3"/>
  <c r="BJ41" i="3"/>
  <c r="BM19" i="3"/>
  <c r="BK38" i="3"/>
  <c r="BT23" i="3"/>
  <c r="BH24" i="3"/>
  <c r="BV32" i="3"/>
  <c r="BN5" i="3"/>
  <c r="BC38" i="3"/>
  <c r="BP33" i="3"/>
  <c r="BK22" i="3"/>
  <c r="BR35" i="3"/>
  <c r="BA12" i="3"/>
  <c r="BS31" i="3"/>
  <c r="BU5" i="3"/>
  <c r="BH17" i="3"/>
  <c r="BG46" i="3"/>
  <c r="BA17" i="3"/>
  <c r="BC33" i="3"/>
  <c r="BE15" i="3"/>
  <c r="BJ20" i="3"/>
  <c r="BP38" i="3"/>
  <c r="BR25" i="3"/>
  <c r="BI37" i="3"/>
  <c r="BK42" i="3"/>
  <c r="BE7" i="3"/>
  <c r="BI25" i="3"/>
  <c r="BC42" i="3"/>
  <c r="BH41" i="3"/>
  <c r="BL33" i="3"/>
  <c r="BO18" i="3"/>
  <c r="BD12" i="3"/>
  <c r="BN7" i="3"/>
  <c r="BS42" i="3"/>
  <c r="BK15" i="3"/>
  <c r="BE34" i="3"/>
  <c r="BC25" i="3"/>
  <c r="BP23" i="3"/>
  <c r="BU8" i="3"/>
  <c r="BG12" i="3"/>
  <c r="BL26" i="3"/>
  <c r="BB24" i="3"/>
  <c r="BV28" i="3"/>
  <c r="BA39" i="3"/>
  <c r="BM36" i="3"/>
  <c r="BQ29" i="3"/>
  <c r="BP6" i="3"/>
  <c r="BO32" i="3"/>
  <c r="BM11" i="3"/>
  <c r="BR19" i="3"/>
  <c r="BE38" i="3"/>
  <c r="BK23" i="3"/>
  <c r="BR26" i="3"/>
  <c r="BD18" i="3"/>
  <c r="BV14" i="3"/>
  <c r="BN14" i="3"/>
  <c r="BL27" i="3"/>
  <c r="BG27" i="3"/>
  <c r="BD37" i="3"/>
  <c r="BK12" i="3"/>
  <c r="BB42" i="3"/>
  <c r="BH34" i="3"/>
  <c r="BO13" i="3"/>
  <c r="BA46" i="3"/>
  <c r="BI29" i="3"/>
  <c r="BU23" i="3"/>
  <c r="BF24" i="3"/>
  <c r="BE26" i="3"/>
  <c r="BQ25" i="3"/>
  <c r="BQ21" i="3"/>
  <c r="BM25" i="3"/>
  <c r="BO37" i="3"/>
  <c r="BC46" i="3"/>
  <c r="BM30" i="3"/>
  <c r="BL10" i="3"/>
  <c r="BK45" i="3"/>
  <c r="BV23" i="3"/>
  <c r="BB14" i="3"/>
  <c r="BE19" i="3"/>
  <c r="BU26" i="3"/>
  <c r="BT45" i="3"/>
  <c r="BP26" i="3"/>
  <c r="BV36" i="3"/>
  <c r="BJ17" i="3"/>
  <c r="BL13" i="3"/>
  <c r="BJ15" i="3"/>
  <c r="BT19" i="3"/>
  <c r="BB16" i="3"/>
  <c r="BR46" i="3"/>
  <c r="BT41" i="3"/>
  <c r="BJ8" i="3"/>
  <c r="BN30" i="3"/>
  <c r="BE13" i="3"/>
  <c r="BR23" i="3"/>
  <c r="BA37" i="3"/>
  <c r="BS19" i="3"/>
  <c r="BI40" i="3"/>
  <c r="BT35" i="3"/>
  <c r="BI42" i="3"/>
  <c r="BA36" i="3"/>
  <c r="BH31" i="3"/>
  <c r="BT29" i="3"/>
  <c r="BQ42" i="3"/>
  <c r="BH38" i="3"/>
  <c r="BQ45" i="3"/>
  <c r="BC13" i="3"/>
  <c r="BK26" i="3"/>
  <c r="BF28" i="3"/>
  <c r="CL58" i="1" s="1"/>
  <c r="BT12" i="3"/>
  <c r="BM17" i="3"/>
  <c r="BR29" i="3"/>
  <c r="BD19" i="3"/>
  <c r="BS25" i="3"/>
  <c r="BF36" i="3"/>
  <c r="BP46" i="3"/>
  <c r="BH23" i="3"/>
  <c r="BB8" i="3"/>
  <c r="BP19" i="3"/>
  <c r="BV18" i="3"/>
  <c r="BS35" i="3"/>
  <c r="BF10" i="3"/>
  <c r="CL39" i="1" s="1"/>
  <c r="BS37" i="3"/>
  <c r="BA35" i="3"/>
  <c r="BT15" i="3"/>
  <c r="BK7" i="3"/>
  <c r="BJ46" i="3"/>
  <c r="BQ7" i="3"/>
  <c r="BJ27" i="3"/>
  <c r="BS17" i="3"/>
  <c r="BD24" i="3"/>
  <c r="BN10" i="3"/>
  <c r="BQ34" i="3"/>
  <c r="BT30" i="3"/>
  <c r="BI12" i="3"/>
  <c r="BE9" i="3"/>
  <c r="BL14" i="3"/>
  <c r="BL35" i="3"/>
  <c r="BO17" i="3"/>
  <c r="BB23" i="3"/>
  <c r="BV19" i="3"/>
  <c r="BA42" i="3"/>
  <c r="BS26" i="3"/>
  <c r="BM15" i="3"/>
  <c r="BJ42" i="3"/>
  <c r="BA38" i="3"/>
  <c r="BK20" i="3"/>
  <c r="BP20" i="3"/>
  <c r="BC41" i="3"/>
  <c r="BF37" i="3"/>
  <c r="BJ25" i="3"/>
  <c r="BA20" i="3"/>
  <c r="BP45" i="3"/>
  <c r="BD41" i="3"/>
  <c r="BK36" i="3"/>
  <c r="BR41" i="3"/>
  <c r="BC21" i="3"/>
  <c r="BO40" i="3"/>
  <c r="BU11" i="3"/>
  <c r="BJ36" i="3"/>
  <c r="BQ9" i="3"/>
  <c r="BL41" i="3"/>
  <c r="BO24" i="3"/>
  <c r="BA18" i="3"/>
  <c r="BF31" i="3"/>
  <c r="BT14" i="3"/>
  <c r="BK31" i="3"/>
  <c r="BJ10" i="3"/>
  <c r="BC11" i="3"/>
  <c r="BI9" i="3"/>
  <c r="BU14" i="3"/>
  <c r="BH27" i="3"/>
  <c r="BF22" i="3"/>
  <c r="BK39" i="3"/>
  <c r="BA10" i="3"/>
  <c r="BN27" i="3"/>
  <c r="BH45" i="3"/>
  <c r="BH40" i="3"/>
  <c r="BR14" i="3"/>
  <c r="BI22" i="3"/>
  <c r="BK16" i="3"/>
  <c r="BO22" i="3"/>
  <c r="BA45" i="3"/>
  <c r="BE24" i="3"/>
  <c r="BV25" i="3"/>
  <c r="BO36" i="3"/>
  <c r="BF40" i="3"/>
  <c r="BR11" i="3"/>
  <c r="BL20" i="3"/>
  <c r="BT20" i="3"/>
  <c r="BD14" i="3"/>
  <c r="BI23" i="3"/>
  <c r="BI36" i="3"/>
  <c r="BA9" i="3"/>
  <c r="BO35" i="3"/>
  <c r="BB28" i="3"/>
  <c r="BM18" i="3"/>
  <c r="BJ24" i="3"/>
  <c r="BC15" i="3"/>
  <c r="BI17" i="3"/>
  <c r="BC30" i="3"/>
  <c r="BM14" i="3"/>
  <c r="BO19" i="3"/>
  <c r="BD20" i="3"/>
  <c r="BF11" i="3"/>
  <c r="CL41" i="1" s="1"/>
  <c r="BU29" i="3"/>
  <c r="BT9" i="3"/>
  <c r="BL19" i="3"/>
  <c r="BC17" i="3"/>
  <c r="BH25" i="3"/>
  <c r="BQ38" i="3"/>
  <c r="BV37" i="3"/>
  <c r="BT11" i="3"/>
  <c r="BV38" i="3"/>
  <c r="BD9" i="3"/>
  <c r="BV45" i="3"/>
  <c r="BI28" i="3"/>
  <c r="BS5" i="3"/>
  <c r="BA11" i="3"/>
  <c r="BA26" i="3"/>
  <c r="BQ5" i="3"/>
  <c r="BT34" i="3"/>
  <c r="BV8" i="3"/>
  <c r="BC35" i="3"/>
  <c r="BI46" i="3"/>
  <c r="BH32" i="3"/>
  <c r="BS11" i="3"/>
  <c r="BN8" i="3"/>
  <c r="BN38" i="3"/>
  <c r="BL16" i="3"/>
  <c r="BN34" i="3"/>
  <c r="BI34" i="3"/>
  <c r="BD17" i="3"/>
  <c r="BC27" i="3"/>
  <c r="BS32" i="3"/>
  <c r="BC36" i="3"/>
  <c r="BP35" i="3"/>
  <c r="BH13" i="3"/>
  <c r="BG26" i="3"/>
  <c r="BF39" i="3"/>
  <c r="BL25" i="3"/>
  <c r="BA30" i="3"/>
  <c r="BF19" i="3"/>
  <c r="BD38" i="3"/>
  <c r="BN41" i="3"/>
  <c r="BP16" i="3"/>
  <c r="BE42" i="3"/>
  <c r="BC37" i="3"/>
  <c r="BD15" i="3"/>
  <c r="BQ40" i="3"/>
  <c r="BI32" i="3"/>
  <c r="BM13" i="3"/>
  <c r="BD32" i="3"/>
  <c r="BC16" i="3"/>
  <c r="BB26" i="3"/>
  <c r="BO7" i="3"/>
  <c r="BT10" i="3"/>
  <c r="BF32" i="3"/>
  <c r="BO29" i="3"/>
  <c r="BO9" i="3"/>
  <c r="BH46" i="3"/>
  <c r="BG39" i="3"/>
  <c r="BV24" i="3"/>
  <c r="BE33" i="3"/>
  <c r="BC26" i="3"/>
  <c r="BM31" i="3"/>
  <c r="BV17" i="3"/>
  <c r="BG14" i="3"/>
  <c r="BB38" i="3"/>
  <c r="BP28" i="3"/>
  <c r="BU9" i="3"/>
  <c r="BS41" i="3"/>
  <c r="BP21" i="3"/>
  <c r="BM39" i="3"/>
  <c r="BA22" i="3"/>
  <c r="BL46" i="3"/>
  <c r="BL37" i="3"/>
  <c r="BL30" i="3"/>
  <c r="BT7" i="3"/>
  <c r="BQ56" i="3"/>
  <c r="BV13" i="3"/>
  <c r="BJ22" i="3"/>
  <c r="BK35" i="3"/>
  <c r="BQ27" i="3"/>
  <c r="BI41" i="3"/>
  <c r="BT27" i="3"/>
  <c r="BH37" i="3"/>
  <c r="BH30" i="3"/>
  <c r="BB20" i="3"/>
  <c r="BV29" i="3"/>
  <c r="BA27" i="3"/>
  <c r="BM23" i="3"/>
  <c r="BU32" i="3"/>
  <c r="BG40" i="3"/>
  <c r="BN13" i="3"/>
  <c r="BS9" i="3"/>
  <c r="BV21" i="3"/>
  <c r="BC39" i="3"/>
  <c r="BE35" i="3"/>
  <c r="BB39" i="3"/>
  <c r="BH15" i="3"/>
  <c r="BO31" i="3"/>
  <c r="BE14" i="3"/>
  <c r="BU41" i="3"/>
  <c r="BG32" i="3"/>
  <c r="BR21" i="3"/>
  <c r="BA5" i="3"/>
  <c r="BP34" i="3"/>
  <c r="BQ39" i="3"/>
  <c r="BF35" i="3"/>
  <c r="CL72" i="1" s="1"/>
  <c r="BF29" i="3"/>
  <c r="CL65" i="1" s="1"/>
  <c r="BP41" i="3"/>
  <c r="BM32" i="3"/>
  <c r="BB22" i="3"/>
  <c r="BV41" i="3"/>
  <c r="BB6" i="3"/>
  <c r="BH20" i="3"/>
  <c r="BU46" i="3"/>
  <c r="BN33" i="3"/>
  <c r="BH7" i="3"/>
  <c r="BS45" i="3"/>
  <c r="BA32" i="3"/>
  <c r="BA14" i="3"/>
  <c r="BU42" i="3"/>
  <c r="BI38" i="3"/>
  <c r="BP32" i="3"/>
  <c r="BV39" i="3"/>
  <c r="BC23" i="3"/>
  <c r="BG13" i="3"/>
  <c r="BQ16" i="3"/>
  <c r="BN12" i="3"/>
  <c r="BM27" i="3"/>
  <c r="BT24" i="3"/>
  <c r="BO46" i="3"/>
  <c r="BH42" i="3"/>
  <c r="BR39" i="3"/>
  <c r="BD25" i="3"/>
  <c r="BR9" i="3"/>
  <c r="BN16" i="3"/>
  <c r="BV20" i="3"/>
  <c r="BI20" i="3"/>
  <c r="BG16" i="3"/>
  <c r="BN42" i="3"/>
  <c r="BP39" i="3"/>
  <c r="BK41" i="3"/>
  <c r="BV10" i="3"/>
  <c r="BQ22" i="3"/>
  <c r="BJ9" i="3"/>
  <c r="BP37" i="3"/>
  <c r="BO8" i="3"/>
  <c r="BO5" i="3"/>
  <c r="BP18" i="3"/>
  <c r="BR37" i="3"/>
  <c r="BA16" i="3"/>
  <c r="BT5" i="3"/>
  <c r="BP25" i="3"/>
  <c r="BM28" i="3"/>
  <c r="BJ30" i="3"/>
  <c r="BB36" i="3"/>
  <c r="BP12" i="3"/>
  <c r="BI5" i="3"/>
  <c r="BF8" i="3"/>
  <c r="BG10" i="3"/>
  <c r="BI24" i="3"/>
  <c r="BJ28" i="3"/>
  <c r="BB31" i="3"/>
  <c r="BC10" i="3"/>
  <c r="AY29" i="3"/>
  <c r="BQ12" i="3"/>
  <c r="BN25" i="3"/>
  <c r="BC6" i="3"/>
  <c r="BD16" i="3"/>
  <c r="BL6" i="3"/>
  <c r="BK5" i="3"/>
  <c r="BR38" i="3"/>
  <c r="BJ7" i="3"/>
  <c r="BV22" i="3"/>
  <c r="BI16" i="3"/>
  <c r="BL17" i="3"/>
  <c r="BB29" i="3"/>
  <c r="BR5" i="3"/>
  <c r="BN46" i="3"/>
  <c r="BK18" i="3"/>
  <c r="BA31" i="3"/>
  <c r="BA29" i="3"/>
  <c r="BF41" i="3"/>
  <c r="BQ8" i="3"/>
  <c r="BN24" i="3"/>
  <c r="BM24" i="3"/>
  <c r="BG36" i="3"/>
  <c r="BK34" i="3"/>
  <c r="BQ15" i="3"/>
  <c r="BM8" i="3"/>
  <c r="BV34" i="3"/>
  <c r="BL21" i="3"/>
  <c r="BP8" i="3"/>
  <c r="BS27" i="3"/>
  <c r="BK29" i="3"/>
  <c r="BV40" i="3"/>
  <c r="BF14" i="3"/>
  <c r="CL49" i="1" s="1"/>
  <c r="BE31" i="3"/>
  <c r="BS8" i="3"/>
  <c r="BD39" i="3"/>
  <c r="BN18" i="3"/>
  <c r="BM9" i="3"/>
  <c r="BE5" i="3"/>
  <c r="BC12" i="3"/>
  <c r="BT37" i="3"/>
  <c r="BV15" i="3"/>
  <c r="BA6" i="3"/>
  <c r="BG22" i="3"/>
  <c r="BB10" i="3"/>
  <c r="BG35" i="3"/>
  <c r="BO25" i="3"/>
  <c r="BB34" i="3"/>
  <c r="BL34" i="3"/>
  <c r="BU35" i="3"/>
  <c r="BP14" i="3"/>
  <c r="BR15" i="3"/>
  <c r="BB19" i="3"/>
  <c r="BL9" i="3"/>
  <c r="BE45" i="3"/>
  <c r="BU21" i="3"/>
  <c r="BI27" i="3"/>
  <c r="BM29" i="3"/>
  <c r="BI30" i="3"/>
  <c r="BK8" i="3"/>
  <c r="BN37" i="3"/>
  <c r="BR24" i="3"/>
  <c r="BA40" i="3"/>
  <c r="BE41" i="3"/>
  <c r="BE25" i="3"/>
  <c r="BV27" i="3"/>
  <c r="BD35" i="3"/>
  <c r="BJ13" i="3"/>
  <c r="BB11" i="3"/>
  <c r="BJ12" i="3"/>
  <c r="BS39" i="3"/>
  <c r="BM34" i="3"/>
  <c r="BV6" i="3"/>
  <c r="BL8" i="3"/>
  <c r="BR27" i="3"/>
  <c r="BD46" i="3"/>
  <c r="BQ24" i="3"/>
  <c r="BH26" i="3"/>
  <c r="BJ35" i="3"/>
  <c r="BP5" i="3"/>
  <c r="BT32" i="3"/>
  <c r="BI19" i="3"/>
  <c r="BQ36" i="3"/>
  <c r="BP22" i="3"/>
  <c r="BK27" i="3"/>
  <c r="BU39" i="3"/>
  <c r="BH36" i="3"/>
  <c r="BI10" i="3"/>
  <c r="BC20" i="3"/>
  <c r="BE23" i="3"/>
  <c r="BL29" i="3"/>
  <c r="BR42" i="3"/>
  <c r="BB12" i="3"/>
  <c r="BK25" i="3"/>
  <c r="BU36" i="3"/>
  <c r="BA33" i="3"/>
  <c r="BH21" i="3"/>
  <c r="BC18" i="3"/>
  <c r="BU45" i="3"/>
  <c r="BR45" i="3"/>
  <c r="BD22" i="3"/>
  <c r="BP50" i="3"/>
  <c r="BK33" i="3"/>
  <c r="BM46" i="3"/>
  <c r="BF18" i="3"/>
  <c r="CL51" i="1" s="1"/>
  <c r="BF38" i="3"/>
  <c r="BC7" i="3"/>
  <c r="BM33" i="3"/>
  <c r="BF21" i="3"/>
  <c r="CL48" i="1" s="1"/>
  <c r="BF16" i="3"/>
  <c r="CL46" i="1" s="1"/>
  <c r="BO12" i="3"/>
  <c r="BN35" i="3"/>
  <c r="BO20" i="3"/>
  <c r="BD21" i="3"/>
  <c r="BF30" i="3"/>
  <c r="BG7" i="3"/>
  <c r="BJ6" i="3"/>
  <c r="BD28" i="3"/>
  <c r="BJ45" i="3"/>
  <c r="BV46" i="3"/>
  <c r="BO30" i="3"/>
  <c r="BN22" i="3"/>
  <c r="BD23" i="3"/>
  <c r="BH11" i="3"/>
  <c r="BD34" i="3"/>
  <c r="BS15" i="3"/>
  <c r="BQ13" i="3"/>
  <c r="BP42" i="3"/>
  <c r="BT18" i="3"/>
  <c r="BS6" i="3"/>
  <c r="BH33" i="3"/>
  <c r="BF7" i="3"/>
  <c r="BS21" i="3"/>
  <c r="BR16" i="3"/>
  <c r="BS12" i="3"/>
  <c r="BH19" i="3"/>
  <c r="BR12" i="3"/>
  <c r="BL12" i="3"/>
  <c r="BH10" i="3"/>
  <c r="BK19" i="3"/>
  <c r="BJ31" i="3"/>
  <c r="BD10" i="3"/>
  <c r="BJ16" i="3"/>
  <c r="BL40" i="3"/>
  <c r="BG34" i="3"/>
  <c r="BO28" i="3"/>
  <c r="BQ14" i="3"/>
  <c r="BR34" i="3"/>
  <c r="BS30" i="3"/>
  <c r="BG30" i="3"/>
  <c r="BK32" i="3"/>
  <c r="BE36" i="3"/>
  <c r="BE30" i="3"/>
  <c r="BU24" i="3"/>
  <c r="BI35" i="3"/>
  <c r="BT40" i="3"/>
  <c r="BQ32" i="3"/>
  <c r="BV12" i="3"/>
  <c r="BC34" i="3"/>
  <c r="BT31" i="3"/>
  <c r="BJ19" i="3"/>
  <c r="BG41" i="3"/>
  <c r="BQ46" i="3"/>
  <c r="BE8" i="3"/>
  <c r="BH8" i="3"/>
  <c r="BB37" i="3"/>
  <c r="BB5" i="3"/>
  <c r="BI15" i="3"/>
  <c r="BM41" i="3"/>
  <c r="BP60" i="3"/>
  <c r="BU19" i="3"/>
  <c r="BA19" i="3"/>
  <c r="BS36" i="3"/>
  <c r="BR7" i="3"/>
  <c r="BB7" i="3"/>
  <c r="BQ10" i="3"/>
  <c r="BL38" i="3"/>
  <c r="BH28" i="3"/>
  <c r="BD40" i="3"/>
  <c r="BJ21" i="3"/>
  <c r="BL31" i="3"/>
  <c r="BT26" i="3"/>
  <c r="AB39" i="3"/>
  <c r="BS16" i="3"/>
  <c r="BP13" i="3"/>
  <c r="BU12" i="3"/>
  <c r="BG20" i="3"/>
  <c r="BA7" i="3"/>
  <c r="BU33" i="3"/>
  <c r="BB40" i="3"/>
  <c r="BE10" i="3"/>
  <c r="BV42" i="3"/>
  <c r="BM20" i="3"/>
  <c r="BM10" i="3"/>
  <c r="BB35" i="3"/>
  <c r="BA34" i="3"/>
  <c r="BP7" i="3"/>
  <c r="BC29" i="3"/>
  <c r="BC40" i="3"/>
  <c r="BQ17" i="3"/>
  <c r="BE11" i="3"/>
  <c r="BS23" i="3"/>
  <c r="BJ33" i="3"/>
  <c r="BG15" i="3"/>
  <c r="BN28" i="3"/>
  <c r="BR32" i="3"/>
  <c r="BK9" i="3"/>
  <c r="BH35" i="3"/>
  <c r="BJ37" i="3"/>
  <c r="BI21" i="3"/>
  <c r="BA41" i="3"/>
  <c r="BU15" i="3"/>
  <c r="BR6" i="3"/>
  <c r="BK28" i="3"/>
  <c r="BN11" i="3"/>
  <c r="BU16" i="3"/>
  <c r="BG21" i="3"/>
  <c r="BR22" i="3"/>
  <c r="BI13" i="3"/>
  <c r="BL36" i="3"/>
  <c r="BB30" i="3"/>
  <c r="BC5" i="3"/>
  <c r="BE32" i="3"/>
  <c r="BU34" i="3"/>
  <c r="BM12" i="3"/>
  <c r="BG38" i="3"/>
  <c r="BE18" i="3"/>
  <c r="BA23" i="3"/>
  <c r="BO16" i="3"/>
  <c r="BQ28" i="3"/>
  <c r="BQ11" i="3"/>
  <c r="BO14" i="3"/>
  <c r="BE39" i="3"/>
  <c r="BI45" i="3"/>
  <c r="BP15" i="3"/>
  <c r="BP24" i="3"/>
  <c r="BB46" i="3"/>
  <c r="BO23" i="3"/>
  <c r="BS46" i="3"/>
  <c r="BJ34" i="3"/>
  <c r="BQ23" i="3"/>
  <c r="BS29" i="3"/>
  <c r="BF15" i="3"/>
  <c r="CL50" i="1" s="1"/>
  <c r="BU17" i="3"/>
  <c r="BS14" i="3"/>
  <c r="BQ31" i="3"/>
  <c r="BR20" i="3"/>
  <c r="BE17" i="3"/>
  <c r="BD26" i="3"/>
  <c r="BQ35" i="3"/>
  <c r="BU20" i="3"/>
  <c r="BC32" i="3"/>
  <c r="BQ41" i="3"/>
  <c r="BT17" i="3"/>
  <c r="BO42" i="3"/>
  <c r="BL39" i="3"/>
  <c r="BE46" i="3"/>
  <c r="BE21" i="3"/>
  <c r="BN15" i="3"/>
  <c r="BK30" i="3"/>
  <c r="BB41" i="3"/>
  <c r="BI14" i="3"/>
  <c r="BC24" i="3"/>
  <c r="BR18" i="3"/>
  <c r="BP36" i="3"/>
  <c r="BQ33" i="3"/>
  <c r="BH6" i="3"/>
  <c r="BT16" i="3"/>
  <c r="BB9" i="3"/>
  <c r="BV35" i="3"/>
  <c r="BK40" i="3"/>
  <c r="BF17" i="3"/>
  <c r="CL47" i="1" s="1"/>
  <c r="BU27" i="3"/>
  <c r="BU22" i="3"/>
  <c r="BR30" i="3"/>
  <c r="BF23" i="3"/>
  <c r="CL61" i="1" s="1"/>
  <c r="BN6" i="3"/>
  <c r="BE27" i="3"/>
  <c r="BT38" i="3"/>
  <c r="BN19" i="3"/>
  <c r="BI6" i="3"/>
  <c r="BO39" i="3"/>
  <c r="BG29" i="3"/>
  <c r="BG8" i="3"/>
  <c r="BD11" i="3"/>
  <c r="BS13" i="3"/>
  <c r="BE20" i="3"/>
  <c r="BI26" i="3"/>
  <c r="BK17" i="3"/>
  <c r="BB15" i="3"/>
  <c r="BJ23" i="3"/>
  <c r="BA24" i="3"/>
  <c r="BP10" i="3"/>
  <c r="BS20" i="3"/>
  <c r="BG18" i="3"/>
  <c r="BA8" i="3"/>
  <c r="BV26" i="3"/>
  <c r="BT42" i="3"/>
  <c r="BQ26" i="3"/>
  <c r="BU18" i="3"/>
  <c r="BM22" i="3"/>
  <c r="BJ39" i="3"/>
  <c r="BT36" i="3"/>
  <c r="BD29" i="3"/>
  <c r="BE37" i="3"/>
  <c r="BL5" i="3"/>
  <c r="BQ19" i="3"/>
  <c r="BM5" i="3"/>
  <c r="BV30" i="3"/>
  <c r="BO27" i="3"/>
  <c r="BO21" i="3"/>
  <c r="BJ14" i="3"/>
  <c r="BS7" i="3"/>
  <c r="BB45" i="3"/>
  <c r="BO33" i="3"/>
  <c r="BN40" i="3"/>
  <c r="BH14" i="3"/>
  <c r="BJ29" i="3"/>
  <c r="BR28" i="3"/>
  <c r="BG6" i="3"/>
  <c r="BI8" i="3"/>
  <c r="BK46" i="3"/>
  <c r="BC8" i="3"/>
  <c r="BO11" i="3"/>
  <c r="BD27" i="3"/>
  <c r="BV16" i="3"/>
  <c r="BP27" i="3"/>
  <c r="BH16" i="3"/>
  <c r="BE29" i="3"/>
  <c r="BM45" i="3"/>
  <c r="BI39" i="3"/>
  <c r="BA25" i="3"/>
  <c r="BT8" i="3"/>
  <c r="BC19" i="3"/>
  <c r="BT21" i="3"/>
  <c r="BF20" i="3"/>
  <c r="CL35" i="1" s="1"/>
  <c r="BG37" i="3"/>
  <c r="BD8" i="3"/>
  <c r="BU10" i="3"/>
  <c r="BI31" i="3"/>
  <c r="BP11" i="3"/>
  <c r="BD13" i="3"/>
  <c r="BN23" i="3"/>
  <c r="BB32" i="3"/>
  <c r="BF9" i="3"/>
  <c r="BO45" i="3"/>
  <c r="BN29" i="3"/>
  <c r="BC22" i="3"/>
  <c r="BH39" i="3"/>
  <c r="BB21" i="3"/>
  <c r="BG31" i="3"/>
  <c r="BL22" i="3"/>
  <c r="BN26" i="3"/>
  <c r="BI7" i="3"/>
  <c r="BD5" i="3"/>
  <c r="BT22" i="3"/>
  <c r="BO15" i="3"/>
  <c r="BP29" i="3"/>
  <c r="BL18" i="3"/>
  <c r="BU6" i="3"/>
  <c r="BR17" i="3"/>
  <c r="BB25" i="3"/>
  <c r="BV31" i="3"/>
  <c r="BN36" i="3"/>
  <c r="BL32" i="3"/>
  <c r="BQ18" i="3"/>
  <c r="BR36" i="3"/>
  <c r="BK37" i="3"/>
  <c r="BR33" i="3"/>
  <c r="BN45" i="3"/>
  <c r="BP31" i="3"/>
  <c r="BQ62" i="3"/>
  <c r="BR10" i="3"/>
  <c r="BL45" i="3"/>
  <c r="BQ37" i="3"/>
  <c r="BR31" i="3"/>
  <c r="BL23" i="3"/>
  <c r="BG24" i="3"/>
  <c r="BK11" i="3"/>
  <c r="BC28" i="3"/>
  <c r="BC9" i="3"/>
  <c r="BG9" i="3"/>
  <c r="BG5" i="3"/>
  <c r="BM16" i="3"/>
  <c r="BE40" i="3"/>
  <c r="BF6" i="3"/>
  <c r="CL34" i="1" s="1"/>
  <c r="BD33" i="3"/>
  <c r="BP17" i="3"/>
  <c r="BA21" i="3"/>
  <c r="BO41" i="3"/>
  <c r="BC14" i="3"/>
  <c r="BE12" i="3"/>
  <c r="BG45" i="3"/>
  <c r="BL28" i="3"/>
  <c r="BO38" i="3"/>
  <c r="BB33" i="3"/>
  <c r="BK21" i="3"/>
  <c r="BM26" i="3"/>
  <c r="BU30" i="3"/>
  <c r="BV9" i="3"/>
  <c r="BS28" i="3"/>
  <c r="BV7" i="3"/>
  <c r="BF46" i="3"/>
  <c r="CL90" i="1" s="1"/>
  <c r="BE6" i="3"/>
  <c r="BG28" i="3"/>
  <c r="BP40" i="3"/>
  <c r="BN20" i="3"/>
  <c r="BL24" i="3"/>
  <c r="BT6" i="3"/>
  <c r="BS22" i="3"/>
  <c r="BG33" i="3"/>
  <c r="BU31" i="3"/>
  <c r="BU13" i="3"/>
  <c r="BE16" i="3"/>
  <c r="BL42" i="3"/>
  <c r="BF25" i="3"/>
  <c r="CL62" i="1" s="1"/>
  <c r="BC31" i="3"/>
  <c r="BM37" i="3"/>
  <c r="BM38" i="3"/>
  <c r="BU28" i="3"/>
  <c r="BS40" i="3"/>
  <c r="BO10" i="3"/>
  <c r="BD6" i="3"/>
  <c r="BV11" i="3"/>
  <c r="BD36" i="3"/>
  <c r="BM7" i="3"/>
  <c r="BM42" i="3"/>
  <c r="BD30" i="3"/>
  <c r="BA15" i="3"/>
  <c r="BJ32" i="3"/>
  <c r="BH18" i="3"/>
  <c r="BD7" i="3"/>
  <c r="BS34" i="3"/>
  <c r="BS18" i="3"/>
  <c r="BI18" i="3"/>
  <c r="BG23" i="3"/>
  <c r="BU25" i="3"/>
  <c r="BQ30" i="3"/>
  <c r="BT39" i="3"/>
  <c r="BC45" i="3"/>
  <c r="BQ20" i="3"/>
  <c r="BN9" i="3"/>
  <c r="BN39" i="3"/>
  <c r="BG19" i="3"/>
  <c r="BE22" i="3"/>
  <c r="BG17" i="3"/>
  <c r="BV33" i="3"/>
  <c r="BM6" i="3"/>
  <c r="BN17" i="3"/>
  <c r="BK14" i="3"/>
  <c r="BS24" i="3"/>
  <c r="BB17" i="3"/>
  <c r="BG11" i="3"/>
  <c r="BP9" i="3"/>
  <c r="BI33" i="3"/>
  <c r="BN21" i="3"/>
  <c r="BG25" i="3"/>
  <c r="BL15" i="3"/>
  <c r="BA13" i="3"/>
  <c r="BH5" i="3"/>
  <c r="BM21" i="3"/>
  <c r="BJ26" i="3"/>
  <c r="BF27" i="3"/>
  <c r="BD45" i="3"/>
  <c r="BE28" i="3"/>
  <c r="BF5" i="3"/>
  <c r="BJ38" i="3"/>
  <c r="BP30" i="3"/>
  <c r="BS33" i="3"/>
  <c r="AV10" i="3"/>
  <c r="BF45" i="3"/>
  <c r="CL89" i="1" s="1"/>
  <c r="CL91" i="1" s="1"/>
  <c r="BT46" i="3"/>
  <c r="BJ40" i="3"/>
  <c r="BR8" i="3"/>
  <c r="BG59" i="3"/>
  <c r="BF33" i="3"/>
  <c r="BK13" i="3"/>
  <c r="BO26" i="3"/>
  <c r="BB18" i="3"/>
  <c r="BS10" i="3"/>
  <c r="BU38" i="3"/>
  <c r="BG42" i="3"/>
  <c r="BJ18" i="3"/>
  <c r="BA28" i="3"/>
  <c r="BH62" i="3"/>
  <c r="BM40" i="3"/>
  <c r="BJ11" i="3"/>
  <c r="BU7" i="3"/>
  <c r="BD31" i="3"/>
  <c r="BN32" i="3"/>
  <c r="BF13" i="3"/>
  <c r="BG66" i="3"/>
  <c r="BG79" i="3"/>
  <c r="Z36" i="1" l="1"/>
  <c r="Z257" i="1"/>
  <c r="Z274" i="1"/>
  <c r="Z201" i="1"/>
  <c r="Z199" i="1"/>
  <c r="Z63" i="1"/>
  <c r="Z278" i="1"/>
  <c r="Z220" i="1"/>
  <c r="Z279" i="1"/>
  <c r="Z208" i="1"/>
  <c r="Z155" i="1"/>
  <c r="Z194" i="1"/>
  <c r="Z135" i="1" s="1"/>
  <c r="Z157" i="1"/>
  <c r="Z160" i="1" s="1"/>
  <c r="Z164" i="1" s="1"/>
  <c r="Z52" i="1"/>
  <c r="Z53" i="1" s="1"/>
  <c r="Z180" i="1"/>
  <c r="Z182" i="1" s="1"/>
  <c r="Z211" i="1" s="1"/>
  <c r="Z210" i="1" s="1"/>
  <c r="BU66" i="3"/>
  <c r="BP57" i="3"/>
  <c r="CL8" i="1"/>
  <c r="CL36" i="1"/>
  <c r="CL52" i="1"/>
  <c r="CL53" i="1" s="1"/>
  <c r="DB11" i="1"/>
  <c r="DC11" i="1" s="1"/>
  <c r="DD11" i="1" s="1"/>
  <c r="CS34" i="1"/>
  <c r="CS28" i="1"/>
  <c r="CT7" i="1"/>
  <c r="CT15" i="1"/>
  <c r="CR8" i="1"/>
  <c r="CW6" i="1"/>
  <c r="CV16" i="1"/>
  <c r="DC22" i="1"/>
  <c r="DD22" i="1" s="1"/>
  <c r="CZ21" i="1"/>
  <c r="CU5" i="1"/>
  <c r="CU15" i="1" s="1"/>
  <c r="CU17" i="1" s="1"/>
  <c r="CR37" i="1"/>
  <c r="CR38" i="1"/>
  <c r="CK90" i="1"/>
  <c r="CK41" i="1"/>
  <c r="CK34" i="1"/>
  <c r="CK48" i="1"/>
  <c r="AA48" i="1" s="1"/>
  <c r="CK50" i="1"/>
  <c r="AA50" i="1" s="1"/>
  <c r="CK62" i="1"/>
  <c r="CK77" i="1"/>
  <c r="CK39" i="1"/>
  <c r="AA39" i="1" s="1"/>
  <c r="CK73" i="1"/>
  <c r="AA73" i="1" s="1"/>
  <c r="CK51" i="1"/>
  <c r="AA51" i="1" s="1"/>
  <c r="CK35" i="1"/>
  <c r="AA35" i="1" s="1"/>
  <c r="CK46" i="1"/>
  <c r="CO46" i="1" s="1"/>
  <c r="CK49" i="1"/>
  <c r="CK71" i="1"/>
  <c r="CK61" i="1"/>
  <c r="AA61" i="1" s="1"/>
  <c r="CK40" i="1"/>
  <c r="AA40" i="1" s="1"/>
  <c r="CK65" i="1"/>
  <c r="CK72" i="1"/>
  <c r="CK58" i="1"/>
  <c r="CK47" i="1"/>
  <c r="AA47" i="1" s="1"/>
  <c r="CK89" i="1"/>
  <c r="CH71" i="1"/>
  <c r="CH41" i="1"/>
  <c r="X152" i="1"/>
  <c r="X180" i="1" s="1"/>
  <c r="CH148" i="1"/>
  <c r="CI148" i="1" s="1"/>
  <c r="CH181" i="1"/>
  <c r="CH65" i="1"/>
  <c r="CJ71" i="1"/>
  <c r="CJ35" i="1"/>
  <c r="X93" i="1"/>
  <c r="Y144" i="1"/>
  <c r="X73" i="1"/>
  <c r="Y47" i="1"/>
  <c r="X158" i="1"/>
  <c r="X143" i="1"/>
  <c r="Y143" i="1"/>
  <c r="Y35" i="1"/>
  <c r="Y176" i="1"/>
  <c r="Y158" i="1"/>
  <c r="X179" i="1"/>
  <c r="Y145" i="1"/>
  <c r="Y198" i="1"/>
  <c r="CI72" i="1"/>
  <c r="Y186" i="1"/>
  <c r="X51" i="1"/>
  <c r="CH58" i="1"/>
  <c r="CH220" i="1" s="1"/>
  <c r="CJ49" i="1"/>
  <c r="CI73" i="1"/>
  <c r="CJ50" i="1"/>
  <c r="CH61" i="1"/>
  <c r="CG62" i="1"/>
  <c r="X172" i="1"/>
  <c r="Y153" i="1"/>
  <c r="X104" i="1"/>
  <c r="CH190" i="1"/>
  <c r="CI190" i="1" s="1"/>
  <c r="X197" i="1"/>
  <c r="Y72" i="1"/>
  <c r="CH189" i="1"/>
  <c r="CI189" i="1" s="1"/>
  <c r="Y177" i="1"/>
  <c r="X177" i="1"/>
  <c r="X58" i="1"/>
  <c r="CH163" i="1"/>
  <c r="CI163" i="1" s="1"/>
  <c r="CH39" i="1"/>
  <c r="CG51" i="1"/>
  <c r="CJ47" i="1"/>
  <c r="Y58" i="1"/>
  <c r="Y166" i="1"/>
  <c r="Z228" i="1" s="1"/>
  <c r="CH145" i="1"/>
  <c r="CJ40" i="1"/>
  <c r="CG71" i="1"/>
  <c r="CG61" i="1"/>
  <c r="CI34" i="1"/>
  <c r="CG39" i="1"/>
  <c r="CG48" i="1"/>
  <c r="CH72" i="1"/>
  <c r="CH34" i="1"/>
  <c r="CH8" i="1" s="1"/>
  <c r="CH77" i="1"/>
  <c r="CG41" i="1"/>
  <c r="CJ62" i="1"/>
  <c r="CI71" i="1"/>
  <c r="CJ46" i="1"/>
  <c r="X161" i="1"/>
  <c r="X157" i="1" s="1"/>
  <c r="Y152" i="1"/>
  <c r="Y180" i="1" s="1"/>
  <c r="Y71" i="1"/>
  <c r="X163" i="1"/>
  <c r="Y190" i="1"/>
  <c r="X35" i="1"/>
  <c r="X198" i="1"/>
  <c r="X153" i="1"/>
  <c r="X151" i="1"/>
  <c r="CI61" i="1"/>
  <c r="CH40" i="1"/>
  <c r="CI48" i="1"/>
  <c r="CH73" i="1"/>
  <c r="CJ90" i="1"/>
  <c r="CI90" i="1" s="1"/>
  <c r="CH90" i="1" s="1"/>
  <c r="CG90" i="1" s="1"/>
  <c r="CF90" i="1" s="1"/>
  <c r="CE90" i="1" s="1"/>
  <c r="CD90" i="1" s="1"/>
  <c r="CC90" i="1" s="1"/>
  <c r="CB90" i="1" s="1"/>
  <c r="CA90" i="1" s="1"/>
  <c r="BZ90" i="1" s="1"/>
  <c r="BY90" i="1" s="1"/>
  <c r="BX90" i="1" s="1"/>
  <c r="BW90" i="1" s="1"/>
  <c r="BV90" i="1" s="1"/>
  <c r="BU90" i="1" s="1"/>
  <c r="BT90" i="1" s="1"/>
  <c r="BS90" i="1" s="1"/>
  <c r="BR90" i="1" s="1"/>
  <c r="BQ90" i="1" s="1"/>
  <c r="BP90" i="1" s="1"/>
  <c r="BO90" i="1" s="1"/>
  <c r="BN90" i="1" s="1"/>
  <c r="BM90" i="1" s="1"/>
  <c r="BL90" i="1" s="1"/>
  <c r="BK90" i="1" s="1"/>
  <c r="BJ90" i="1" s="1"/>
  <c r="BI90" i="1" s="1"/>
  <c r="BH90" i="1" s="1"/>
  <c r="BG90" i="1" s="1"/>
  <c r="BF90" i="1" s="1"/>
  <c r="BE90" i="1" s="1"/>
  <c r="BD90" i="1" s="1"/>
  <c r="BC90" i="1" s="1"/>
  <c r="BB90" i="1" s="1"/>
  <c r="BA90" i="1" s="1"/>
  <c r="AZ90" i="1" s="1"/>
  <c r="AY90" i="1" s="1"/>
  <c r="AX90" i="1" s="1"/>
  <c r="AW90" i="1" s="1"/>
  <c r="AV90" i="1" s="1"/>
  <c r="AU90" i="1" s="1"/>
  <c r="AT90" i="1" s="1"/>
  <c r="AS90" i="1" s="1"/>
  <c r="AR90" i="1" s="1"/>
  <c r="AQ90" i="1" s="1"/>
  <c r="AP90" i="1" s="1"/>
  <c r="AO90" i="1" s="1"/>
  <c r="AN90" i="1" s="1"/>
  <c r="AM90" i="1" s="1"/>
  <c r="AL90" i="1" s="1"/>
  <c r="AK90" i="1" s="1"/>
  <c r="AJ90" i="1" s="1"/>
  <c r="AI90" i="1" s="1"/>
  <c r="CG49" i="1"/>
  <c r="CJ58" i="1"/>
  <c r="CG40" i="1"/>
  <c r="CH177" i="1"/>
  <c r="X65" i="1"/>
  <c r="X171" i="1"/>
  <c r="Y148" i="1"/>
  <c r="X181" i="1"/>
  <c r="X148" i="1"/>
  <c r="CH159" i="1"/>
  <c r="CI159" i="1" s="1"/>
  <c r="CH166" i="1"/>
  <c r="CI166" i="1" s="1"/>
  <c r="X39" i="1"/>
  <c r="Y103" i="1"/>
  <c r="Y196" i="1"/>
  <c r="X150" i="1"/>
  <c r="Y77" i="1"/>
  <c r="Y51" i="1"/>
  <c r="Y185" i="1"/>
  <c r="CH144" i="1"/>
  <c r="CI144" i="1" s="1"/>
  <c r="Y61" i="1"/>
  <c r="Y181" i="1"/>
  <c r="CH169" i="1"/>
  <c r="CH153" i="1"/>
  <c r="CI153" i="1" s="1"/>
  <c r="Y169" i="1"/>
  <c r="Y34" i="1"/>
  <c r="Y28" i="1" s="1"/>
  <c r="Y27" i="1" s="1"/>
  <c r="CG72" i="1"/>
  <c r="CJ89" i="1"/>
  <c r="CI89" i="1" s="1"/>
  <c r="CH89" i="1" s="1"/>
  <c r="CG89" i="1" s="1"/>
  <c r="CF89" i="1" s="1"/>
  <c r="CE89" i="1" s="1"/>
  <c r="CD89" i="1" s="1"/>
  <c r="CC89" i="1" s="1"/>
  <c r="CB89" i="1" s="1"/>
  <c r="CA89" i="1" s="1"/>
  <c r="BZ89" i="1" s="1"/>
  <c r="BY89" i="1" s="1"/>
  <c r="BX89" i="1" s="1"/>
  <c r="BW89" i="1" s="1"/>
  <c r="BV89" i="1" s="1"/>
  <c r="BU89" i="1" s="1"/>
  <c r="BT89" i="1" s="1"/>
  <c r="BS89" i="1" s="1"/>
  <c r="BR89" i="1" s="1"/>
  <c r="BQ89" i="1" s="1"/>
  <c r="BP89" i="1" s="1"/>
  <c r="BO89" i="1" s="1"/>
  <c r="BN89" i="1" s="1"/>
  <c r="BM89" i="1" s="1"/>
  <c r="BL89" i="1" s="1"/>
  <c r="BK89" i="1" s="1"/>
  <c r="BJ89" i="1" s="1"/>
  <c r="BI89" i="1" s="1"/>
  <c r="BH89" i="1" s="1"/>
  <c r="BG89" i="1" s="1"/>
  <c r="BF89" i="1" s="1"/>
  <c r="BE89" i="1" s="1"/>
  <c r="BD89" i="1" s="1"/>
  <c r="BC89" i="1" s="1"/>
  <c r="BB89" i="1" s="1"/>
  <c r="BA89" i="1" s="1"/>
  <c r="AZ89" i="1" s="1"/>
  <c r="AY89" i="1" s="1"/>
  <c r="AX89" i="1" s="1"/>
  <c r="AW89" i="1" s="1"/>
  <c r="AV89" i="1" s="1"/>
  <c r="AU89" i="1" s="1"/>
  <c r="AT89" i="1" s="1"/>
  <c r="AS89" i="1" s="1"/>
  <c r="AR89" i="1" s="1"/>
  <c r="AQ89" i="1" s="1"/>
  <c r="AP89" i="1" s="1"/>
  <c r="AO89" i="1" s="1"/>
  <c r="AN89" i="1" s="1"/>
  <c r="AM89" i="1" s="1"/>
  <c r="AL89" i="1" s="1"/>
  <c r="AK89" i="1" s="1"/>
  <c r="AJ89" i="1" s="1"/>
  <c r="AI89" i="1" s="1"/>
  <c r="CH51" i="1"/>
  <c r="CH48" i="1"/>
  <c r="CJ72" i="1"/>
  <c r="CG58" i="1"/>
  <c r="CI77" i="1"/>
  <c r="CI65" i="1"/>
  <c r="CG77" i="1"/>
  <c r="CH49" i="1"/>
  <c r="CJ34" i="1"/>
  <c r="CI49" i="1"/>
  <c r="CJ41" i="1"/>
  <c r="CJ39" i="1"/>
  <c r="CG34" i="1"/>
  <c r="CI47" i="1"/>
  <c r="CH46" i="1"/>
  <c r="CI58" i="1"/>
  <c r="CI220" i="1" s="1"/>
  <c r="CG50" i="1"/>
  <c r="X186" i="1"/>
  <c r="Y162" i="1"/>
  <c r="Y49" i="1"/>
  <c r="X62" i="1"/>
  <c r="Y161" i="1"/>
  <c r="Y157" i="1" s="1"/>
  <c r="Y73" i="1"/>
  <c r="Y41" i="1"/>
  <c r="X166" i="1"/>
  <c r="Y48" i="1"/>
  <c r="X49" i="1"/>
  <c r="X175" i="1"/>
  <c r="X103" i="1"/>
  <c r="Y173" i="1"/>
  <c r="Y197" i="1"/>
  <c r="CH158" i="1"/>
  <c r="Y172" i="1"/>
  <c r="Y171" i="1"/>
  <c r="CH175" i="1"/>
  <c r="Y39" i="1"/>
  <c r="Y189" i="1"/>
  <c r="X72" i="1"/>
  <c r="X173" i="1"/>
  <c r="CH172" i="1"/>
  <c r="Y46" i="1"/>
  <c r="X189" i="1"/>
  <c r="CH151" i="1"/>
  <c r="CI151" i="1" s="1"/>
  <c r="X105" i="1"/>
  <c r="X48" i="1"/>
  <c r="X144" i="1"/>
  <c r="Y93" i="1"/>
  <c r="X47" i="1"/>
  <c r="X145" i="1"/>
  <c r="Y104" i="1"/>
  <c r="CH152" i="1"/>
  <c r="CI152" i="1" s="1"/>
  <c r="Y62" i="1"/>
  <c r="Y150" i="1"/>
  <c r="X34" i="1"/>
  <c r="X257" i="1" s="1"/>
  <c r="CI50" i="1"/>
  <c r="CJ65" i="1"/>
  <c r="CH50" i="1"/>
  <c r="CI40" i="1"/>
  <c r="CJ61" i="1"/>
  <c r="CI41" i="1"/>
  <c r="CI39" i="1"/>
  <c r="CG65" i="1"/>
  <c r="CG46" i="1"/>
  <c r="CH62" i="1"/>
  <c r="CI62" i="1"/>
  <c r="CI46" i="1"/>
  <c r="CJ48" i="1"/>
  <c r="CJ51" i="1"/>
  <c r="CH47" i="1"/>
  <c r="CE65" i="1"/>
  <c r="CG73" i="1"/>
  <c r="CJ73" i="1"/>
  <c r="CG35" i="1"/>
  <c r="CG47" i="1"/>
  <c r="CI51" i="1"/>
  <c r="CJ77" i="1"/>
  <c r="CH35" i="1"/>
  <c r="CI35" i="1"/>
  <c r="Y168" i="1"/>
  <c r="X77" i="1"/>
  <c r="CH150" i="1"/>
  <c r="CI150" i="1" s="1"/>
  <c r="Y159" i="1"/>
  <c r="Y50" i="1"/>
  <c r="X71" i="1"/>
  <c r="X41" i="1"/>
  <c r="Y175" i="1"/>
  <c r="CH186" i="1"/>
  <c r="X168" i="1"/>
  <c r="Y179" i="1"/>
  <c r="Y65" i="1"/>
  <c r="CH176" i="1"/>
  <c r="Y105" i="1"/>
  <c r="X61" i="1"/>
  <c r="X162" i="1"/>
  <c r="CH162" i="1"/>
  <c r="CI162" i="1" s="1"/>
  <c r="CH173" i="1"/>
  <c r="X159" i="1"/>
  <c r="CH171" i="1"/>
  <c r="CH168" i="1"/>
  <c r="X185" i="1"/>
  <c r="X176" i="1"/>
  <c r="Y151" i="1"/>
  <c r="X170" i="1"/>
  <c r="Y163" i="1"/>
  <c r="Y170" i="1"/>
  <c r="X190" i="1"/>
  <c r="X50" i="1"/>
  <c r="X46" i="1"/>
  <c r="CH179" i="1"/>
  <c r="X169" i="1"/>
  <c r="X196" i="1"/>
  <c r="JP9" i="4" s="1"/>
  <c r="JP16" i="4" s="1"/>
  <c r="JO16" i="4" s="1"/>
  <c r="JO9" i="4" s="1"/>
  <c r="JN9" i="4" s="1"/>
  <c r="JN16" i="4" s="1"/>
  <c r="FK6" i="4" a="1"/>
  <c r="GM7" i="4" a="1"/>
  <c r="FS5" i="4" a="1"/>
  <c r="GC5" i="4" a="1"/>
  <c r="FH8" i="4" a="1"/>
  <c r="FS7" i="4" a="1"/>
  <c r="GO12" i="4" a="1"/>
  <c r="GN9" i="4" a="1"/>
  <c r="FV7" i="4" a="1"/>
  <c r="FN6" i="4" a="1"/>
  <c r="GO9" i="4" a="1"/>
  <c r="FN9" i="4" a="1"/>
  <c r="GG5" i="4" a="1"/>
  <c r="GC8" i="4" a="1"/>
  <c r="FJ8" i="4" a="1"/>
  <c r="HB12" i="4" a="1"/>
  <c r="GH7" i="4" a="1"/>
  <c r="GU5" i="4" a="1"/>
  <c r="FN8" i="4" a="1"/>
  <c r="FG16" i="4" a="1"/>
  <c r="GI6" i="4" a="1"/>
  <c r="FW14" i="4" a="1"/>
  <c r="GY9" i="4" a="1"/>
  <c r="GR5" i="4" a="1"/>
  <c r="FY13" i="4" a="1"/>
  <c r="HE16" i="4" a="1"/>
  <c r="GE14" i="4" a="1"/>
  <c r="GF14" i="4" a="1"/>
  <c r="FL8" i="4" a="1"/>
  <c r="GJ15" i="4" a="1"/>
  <c r="HG16" i="4" a="1"/>
  <c r="GH12" i="4" a="1"/>
  <c r="FO16" i="4" a="1"/>
  <c r="GZ8" i="4" a="1"/>
  <c r="GN14" i="4" a="1"/>
  <c r="FO14" i="4" a="1"/>
  <c r="GK16" i="4" a="1"/>
  <c r="GX8" i="4" a="1"/>
  <c r="GO11" i="4" a="1"/>
  <c r="FQ16" i="4" a="1"/>
  <c r="FZ11" i="4" a="1"/>
  <c r="FK5" i="4" a="1"/>
  <c r="GP14" i="4" a="1"/>
  <c r="GQ16" i="4" a="1"/>
  <c r="GL5" i="4" a="1"/>
  <c r="GV11" i="4" a="1"/>
  <c r="GD14" i="4" a="1"/>
  <c r="FO5" i="4" a="1"/>
  <c r="HA8" i="4" a="1"/>
  <c r="GV15" i="4" a="1"/>
  <c r="GY12" i="4" a="1"/>
  <c r="HF8" i="4" a="1"/>
  <c r="GB7" i="4" a="1"/>
  <c r="HB16" i="4" a="1"/>
  <c r="FM5" i="4" a="1"/>
  <c r="GS5" i="4" a="1"/>
  <c r="HH6" i="4" a="1"/>
  <c r="HE5" i="4" a="1"/>
  <c r="GS11" i="4" a="1"/>
  <c r="FX7" i="4" a="1"/>
  <c r="GN8" i="4" a="1"/>
  <c r="GJ8" i="4" a="1"/>
  <c r="FP15" i="4" a="1"/>
  <c r="FQ7" i="4" a="1"/>
  <c r="FV13" i="4" a="1"/>
  <c r="GF13" i="4" a="1"/>
  <c r="GE16" i="4" a="1"/>
  <c r="GK9" i="4" a="1"/>
  <c r="FI16" i="4" a="1"/>
  <c r="HH7" i="4" a="1"/>
  <c r="GA9" i="4" a="1"/>
  <c r="FN16" i="4" a="1"/>
  <c r="GW5" i="4" a="1"/>
  <c r="FL7" i="4" a="1"/>
  <c r="FH16" i="4" a="1"/>
  <c r="GO13" i="4" a="1"/>
  <c r="GM16" i="4" a="1"/>
  <c r="HA14" i="4" a="1"/>
  <c r="GA6" i="4" a="1"/>
  <c r="GL15" i="4" a="1"/>
  <c r="GL8" i="4" a="1"/>
  <c r="GM8" i="4" a="1"/>
  <c r="GL14" i="4" a="1"/>
  <c r="FY9" i="4" a="1"/>
  <c r="GA8" i="4" a="1"/>
  <c r="GR15" i="4" a="1"/>
  <c r="GC11" i="4" a="1"/>
  <c r="GE15" i="4" a="1"/>
  <c r="HF7" i="4" a="1"/>
  <c r="FI7" i="4" a="1"/>
  <c r="HH9" i="4" a="1"/>
  <c r="HG7" i="4" a="1"/>
  <c r="GM12" i="4" a="1"/>
  <c r="GM6" i="4" a="1"/>
  <c r="GQ5" i="4" a="1"/>
  <c r="GW12" i="4" a="1"/>
  <c r="GR12" i="4" a="1"/>
  <c r="GX15" i="4" a="1"/>
  <c r="GJ12" i="4" a="1"/>
  <c r="GS6" i="4" a="1"/>
  <c r="GF15" i="4" a="1"/>
  <c r="HC16" i="4" a="1"/>
  <c r="GP8" i="4" a="1"/>
  <c r="GA13" i="4" a="1"/>
  <c r="FX12" i="4" a="1"/>
  <c r="FS12" i="4" a="1"/>
  <c r="GR8" i="4" a="1"/>
  <c r="FN13" i="4" a="1"/>
  <c r="GH16" i="4" a="1"/>
  <c r="GQ11" i="4" a="1"/>
  <c r="GG9" i="4" a="1"/>
  <c r="FS6" i="4" a="1"/>
  <c r="FK8" i="4" a="1"/>
  <c r="FJ16" i="4" a="1"/>
  <c r="FV11" i="4" a="1"/>
  <c r="FI6" i="4" a="1"/>
  <c r="GP7" i="4" a="1"/>
  <c r="GQ13" i="4" a="1"/>
  <c r="HD5" i="4" a="1"/>
  <c r="GG13" i="4" a="1"/>
  <c r="FL5" i="4" a="1"/>
  <c r="GH11" i="4" a="1"/>
  <c r="GS7" i="4" a="1"/>
  <c r="FT5" i="4" a="1"/>
  <c r="FK11" i="4" a="1"/>
  <c r="FT16" i="4" a="1"/>
  <c r="GE7" i="4" a="1"/>
  <c r="HB7" i="4" a="1"/>
  <c r="HF15" i="4" a="1"/>
  <c r="GG8" i="4" a="1"/>
  <c r="FL11" i="4" a="1"/>
  <c r="GX7" i="4" a="1"/>
  <c r="FW13" i="4" a="1"/>
  <c r="GQ14" i="4" a="1"/>
  <c r="GH9" i="4" a="1"/>
  <c r="FR6" i="4" a="1"/>
  <c r="FV5" i="4" a="1"/>
  <c r="GZ7" i="4" a="1"/>
  <c r="FP9" i="4" a="1"/>
  <c r="GL6" i="4" a="1"/>
  <c r="FI5" i="4" a="1"/>
  <c r="GH6" i="4" a="1"/>
  <c r="HD7" i="4" a="1"/>
  <c r="FG12" i="4" a="1"/>
  <c r="GR16" i="4" a="1"/>
  <c r="FL9" i="4" a="1"/>
  <c r="GP11" i="4" a="1"/>
  <c r="GD16" i="4" a="1"/>
  <c r="HE12" i="4" a="1"/>
  <c r="FP11" i="4" a="1"/>
  <c r="HA7" i="4" a="1"/>
  <c r="GZ5" i="4" a="1"/>
  <c r="GQ7" i="4" a="1"/>
  <c r="GD6" i="4" a="1"/>
  <c r="FZ6" i="4" a="1"/>
  <c r="GW7" i="4" a="1"/>
  <c r="HC12" i="4" a="1"/>
  <c r="FH13" i="4" a="1"/>
  <c r="GC14" i="4" a="1"/>
  <c r="FO11" i="4" a="1"/>
  <c r="HD16" i="4" a="1"/>
  <c r="GT13" i="4" a="1"/>
  <c r="GR13" i="4" a="1"/>
  <c r="HD14" i="4" a="1"/>
  <c r="GH15" i="4" a="1"/>
  <c r="GO16" i="4" a="1"/>
  <c r="GZ9" i="4" a="1"/>
  <c r="GB13" i="4" a="1"/>
  <c r="FK14" i="4" a="1"/>
  <c r="HC9" i="4" a="1"/>
  <c r="FQ8" i="4" a="1"/>
  <c r="GE12" i="4" a="1"/>
  <c r="GQ9" i="4" a="1"/>
  <c r="GG12" i="4" a="1"/>
  <c r="HC7" i="4" a="1"/>
  <c r="FK15" i="4" a="1"/>
  <c r="GX5" i="4" a="1"/>
  <c r="GU12" i="4" a="1"/>
  <c r="HE11" i="4" a="1"/>
  <c r="GA5" i="4" a="1"/>
  <c r="GV14" i="4" a="1"/>
  <c r="GR7" i="4" a="1"/>
  <c r="GL7" i="4" a="1"/>
  <c r="FR11" i="4" a="1"/>
  <c r="FW9" i="4" a="1"/>
  <c r="FR15" i="4" a="1"/>
  <c r="FI12" i="4" a="1"/>
  <c r="GW13" i="4" a="1"/>
  <c r="FU11" i="4" a="1"/>
  <c r="GO5" i="4" a="1"/>
  <c r="FR12" i="4" a="1"/>
  <c r="FV8" i="4" a="1"/>
  <c r="GM9" i="4" a="1"/>
  <c r="GO14" i="4" a="1"/>
  <c r="FX11" i="4" a="1"/>
  <c r="GF16" i="4" a="1"/>
  <c r="GH8" i="4" a="1"/>
  <c r="FY5" i="4" a="1"/>
  <c r="GF9" i="4" a="1"/>
  <c r="FM11" i="4" a="1"/>
  <c r="HG6" i="4" a="1"/>
  <c r="FZ7" i="4" a="1"/>
  <c r="FQ12" i="4" a="1"/>
  <c r="GY7" i="4" a="1"/>
  <c r="FH14" i="4" a="1"/>
  <c r="GU6" i="4" a="1"/>
  <c r="HD6" i="4" a="1"/>
  <c r="FN5" i="4" a="1"/>
  <c r="GL11" i="4" a="1"/>
  <c r="GA14" i="4" a="1"/>
  <c r="FJ9" i="4" a="1"/>
  <c r="FT13" i="4" a="1"/>
  <c r="GS13" i="4" a="1"/>
  <c r="FY14" i="4" a="1"/>
  <c r="GP15" i="4" a="1"/>
  <c r="GJ9" i="4" a="1"/>
  <c r="FT6" i="4" a="1"/>
  <c r="FU5" i="4" a="1"/>
  <c r="GD9" i="4" a="1"/>
  <c r="GH5" i="4" a="1"/>
  <c r="FI9" i="4" a="1"/>
  <c r="HC8" i="4" a="1"/>
  <c r="GF7" i="4" a="1"/>
  <c r="GF12" i="4" a="1"/>
  <c r="GD12" i="4" a="1"/>
  <c r="FO15" i="4" a="1"/>
  <c r="FK9" i="4" a="1"/>
  <c r="GA15" i="4" a="1"/>
  <c r="HA13" i="4" a="1"/>
  <c r="GN16" i="4" a="1"/>
  <c r="FR7" i="4" a="1"/>
  <c r="HH13" i="4" a="1"/>
  <c r="GN7" i="4" a="1"/>
  <c r="GZ11" i="4" a="1"/>
  <c r="FH9" i="4" a="1"/>
  <c r="GE13" i="4" a="1"/>
  <c r="GH14" i="4" a="1"/>
  <c r="FP7" i="4" a="1"/>
  <c r="HG9" i="4" a="1"/>
  <c r="FY8" i="4" a="1"/>
  <c r="GP5" i="4" a="1"/>
  <c r="GK12" i="4" a="1"/>
  <c r="HH11" i="4" a="1"/>
  <c r="FR9" i="4" a="1"/>
  <c r="FJ15" i="4" a="1"/>
  <c r="GP12" i="4" a="1"/>
  <c r="GS9" i="4" a="1"/>
  <c r="GE6" i="4" a="1"/>
  <c r="GB9" i="4" a="1"/>
  <c r="FT9" i="4" a="1"/>
  <c r="FT8" i="4" a="1"/>
  <c r="FO9" i="4" a="1"/>
  <c r="HG13" i="4" a="1"/>
  <c r="GZ12" i="4" a="1"/>
  <c r="FT14" i="4" a="1"/>
  <c r="HF9" i="4" a="1"/>
  <c r="FR13" i="4" a="1"/>
  <c r="FR14" i="4" a="1"/>
  <c r="HF16" i="4" a="1"/>
  <c r="GL12" i="4" a="1"/>
  <c r="FS11" i="4" a="1"/>
  <c r="GM15" i="4" a="1"/>
  <c r="GS12" i="4" a="1"/>
  <c r="GY6" i="4" a="1"/>
  <c r="FJ6" i="4" a="1"/>
  <c r="FQ9" i="4" a="1"/>
  <c r="FK16" i="4" a="1"/>
  <c r="FM14" i="4" a="1"/>
  <c r="GX14" i="4" a="1"/>
  <c r="GK6" i="4" a="1"/>
  <c r="GG14" i="4" a="1"/>
  <c r="GQ15" i="4" a="1"/>
  <c r="GQ6" i="4" a="1"/>
  <c r="FZ14" i="4" a="1"/>
  <c r="FQ11" i="4" a="1"/>
  <c r="GT5" i="4" a="1"/>
  <c r="FP5" i="4" a="1"/>
  <c r="GT6" i="4" a="1"/>
  <c r="GR14" i="4" a="1"/>
  <c r="GW15" i="4" a="1"/>
  <c r="GQ8" i="4" a="1"/>
  <c r="FH11" i="4" a="1"/>
  <c r="FR16" i="4" a="1"/>
  <c r="GM5" i="4" a="1"/>
  <c r="FN11" i="4" a="1"/>
  <c r="FK12" i="4" a="1"/>
  <c r="FW16" i="4" a="1"/>
  <c r="FH6" i="4" a="1"/>
  <c r="GP13" i="4" a="1"/>
  <c r="FW11" i="4" a="1"/>
  <c r="HE13" i="4" a="1"/>
  <c r="GH13" i="4" a="1"/>
  <c r="FT7" i="4" a="1"/>
  <c r="GK14" i="4" a="1"/>
  <c r="GB11" i="4" a="1"/>
  <c r="GV12" i="4" a="1"/>
  <c r="HB13" i="4" a="1"/>
  <c r="GR11" i="4" a="1"/>
  <c r="FS13" i="4" a="1"/>
  <c r="HD12" i="4" a="1"/>
  <c r="HA15" i="4" a="1"/>
  <c r="FM15" i="4" a="1"/>
  <c r="FZ16" i="4" a="1"/>
  <c r="GN13" i="4" a="1"/>
  <c r="HF5" i="4" a="1"/>
  <c r="GB16" i="4" a="1"/>
  <c r="FQ5" i="4" a="1"/>
  <c r="GW9" i="4" a="1"/>
  <c r="FM12" i="4" a="1"/>
  <c r="FW7" i="4" a="1"/>
  <c r="FL14" i="4" a="1"/>
  <c r="FV15" i="4" a="1"/>
  <c r="FJ13" i="4" a="1"/>
  <c r="FX13" i="4" a="1"/>
  <c r="HD8" i="4" a="1"/>
  <c r="GD11" i="4" a="1"/>
  <c r="GJ7" i="4" a="1"/>
  <c r="GU9" i="4" a="1"/>
  <c r="GA7" i="4" a="1"/>
  <c r="AA113" i="2"/>
  <c r="Z100" i="1" s="1"/>
  <c r="FZ9" i="4" a="1"/>
  <c r="GA16" i="4" a="1"/>
  <c r="FG13" i="4" a="1"/>
  <c r="FL13" i="4" a="1"/>
  <c r="FX8" i="4" a="1"/>
  <c r="FU8" i="4" a="1"/>
  <c r="GJ5" i="4" a="1"/>
  <c r="GX6" i="4" a="1"/>
  <c r="HC14" i="4" a="1"/>
  <c r="FZ12" i="4" a="1"/>
  <c r="GS15" i="4" a="1"/>
  <c r="FU7" i="4" a="1"/>
  <c r="GL9" i="4" a="1"/>
  <c r="HB9" i="4" a="1"/>
  <c r="GT11" i="4" a="1"/>
  <c r="FX5" i="4" a="1"/>
  <c r="GU13" i="4" a="1"/>
  <c r="FM7" i="4" a="1"/>
  <c r="GU14" i="4" a="1"/>
  <c r="FO7" i="4" a="1"/>
  <c r="HC13" i="4" a="1"/>
  <c r="GU16" i="4" a="1"/>
  <c r="HC15" i="4" a="1"/>
  <c r="FT15" i="4" a="1"/>
  <c r="FX15" i="4" a="1"/>
  <c r="FM13" i="4" a="1"/>
  <c r="FH12" i="4" a="1"/>
  <c r="GZ16" i="4" a="1"/>
  <c r="FI14" i="4" a="1"/>
  <c r="GV13" i="4" a="1"/>
  <c r="FS15" i="4" a="1"/>
  <c r="Z113" i="2"/>
  <c r="FY12" i="4" a="1"/>
  <c r="GB8" i="4" a="1"/>
  <c r="FV9" i="4" a="1"/>
  <c r="FU9" i="4" a="1"/>
  <c r="HB14" i="4" a="1"/>
  <c r="FY15" i="4" a="1"/>
  <c r="GE9" i="4" a="1"/>
  <c r="HE8" i="4" a="1"/>
  <c r="FW8" i="4" a="1"/>
  <c r="GC15" i="4" a="1"/>
  <c r="FU14" i="4" a="1"/>
  <c r="HC11" i="4" a="1"/>
  <c r="GC16" i="4" a="1"/>
  <c r="GI13" i="4" a="1"/>
  <c r="GQ12" i="4" a="1"/>
  <c r="HD11" i="4" a="1"/>
  <c r="FS16" i="4" a="1"/>
  <c r="FN7" i="4" a="1"/>
  <c r="FI13" i="4" a="1"/>
  <c r="GY5" i="4" a="1"/>
  <c r="GB6" i="4" a="1"/>
  <c r="FR5" i="4" a="1"/>
  <c r="FZ5" i="4" a="1"/>
  <c r="HH15" i="4" a="1"/>
  <c r="GR6" i="4" a="1"/>
  <c r="GC12" i="4" a="1"/>
  <c r="FM9" i="4" a="1"/>
  <c r="GJ16" i="4" a="1"/>
  <c r="GF5" i="4" a="1"/>
  <c r="GI14" i="4" a="1"/>
  <c r="HF11" i="4" a="1"/>
  <c r="GG11" i="4" a="1"/>
  <c r="HD9" i="4" a="1"/>
  <c r="GT15" i="4" a="1"/>
  <c r="GF8" i="4" a="1"/>
  <c r="GZ14" i="4" a="1"/>
  <c r="HE15" i="4" a="1"/>
  <c r="GN5" i="4" a="1"/>
  <c r="FJ7" i="4" a="1"/>
  <c r="HG15" i="4" a="1"/>
  <c r="GC6" i="4" a="1"/>
  <c r="GG15" i="4" a="1"/>
  <c r="FV12" i="4" a="1"/>
  <c r="GW16" i="4" a="1"/>
  <c r="GP6" i="4" a="1"/>
  <c r="Z112" i="2"/>
  <c r="HB15" i="4" a="1"/>
  <c r="FG7" i="4" a="1"/>
  <c r="GO8" i="4" a="1"/>
  <c r="FN12" i="4" a="1"/>
  <c r="FG6" i="4" a="1"/>
  <c r="FX9" i="4" a="1"/>
  <c r="FZ13" i="4" a="1"/>
  <c r="FU12" i="4" a="1"/>
  <c r="FY11" i="4" a="1"/>
  <c r="FL12" i="4" a="1"/>
  <c r="GB14" i="4" a="1"/>
  <c r="GO7" i="4" a="1"/>
  <c r="HE7" i="4" a="1"/>
  <c r="FL6" i="4" a="1"/>
  <c r="FP6" i="4" a="1"/>
  <c r="FP16" i="4" a="1"/>
  <c r="GB5" i="4" a="1"/>
  <c r="FW5" i="4" a="1"/>
  <c r="GT16" i="4" a="1"/>
  <c r="FX14" i="4" a="1"/>
  <c r="HF14" i="4" a="1"/>
  <c r="FX6" i="4" a="1"/>
  <c r="GK7" i="4" a="1"/>
  <c r="GX16" i="4" a="1"/>
  <c r="GW6" i="4" a="1"/>
  <c r="HD13" i="4" a="1"/>
  <c r="Z111" i="2"/>
  <c r="GP16" i="4" a="1"/>
  <c r="GU8" i="4" a="1"/>
  <c r="GD8" i="4" a="1"/>
  <c r="GY16" i="4" a="1"/>
  <c r="GM14" i="4" a="1"/>
  <c r="HA9" i="4" a="1"/>
  <c r="FH5" i="4" a="1"/>
  <c r="FK13" i="4" a="1"/>
  <c r="GG6" i="4" a="1"/>
  <c r="FZ8" i="4" a="1"/>
  <c r="GE8" i="4" a="1"/>
  <c r="GW14" i="4" a="1"/>
  <c r="HF13" i="4" a="1"/>
  <c r="FJ12" i="4" a="1"/>
  <c r="GF11" i="4" a="1"/>
  <c r="FS8" i="4" a="1"/>
  <c r="FY7" i="4" a="1"/>
  <c r="FQ14" i="4" a="1"/>
  <c r="GC9" i="4" a="1"/>
  <c r="FW12" i="4" a="1"/>
  <c r="FJ14" i="4" a="1"/>
  <c r="FJ11" i="4" a="1"/>
  <c r="FV14" i="4" a="1"/>
  <c r="GS16" i="4" a="1"/>
  <c r="HA5" i="4" a="1"/>
  <c r="FG8" i="4" a="1"/>
  <c r="FV16" i="4" a="1"/>
  <c r="GE5" i="4" a="1"/>
  <c r="GU7" i="4" a="1"/>
  <c r="GI15" i="4" a="1"/>
  <c r="AA111" i="2"/>
  <c r="HG8" i="4" a="1"/>
  <c r="GM11" i="4" a="1"/>
  <c r="GM13" i="4" a="1"/>
  <c r="GC7" i="4" a="1"/>
  <c r="GR9" i="4" a="1"/>
  <c r="FT11" i="4" a="1"/>
  <c r="FU13" i="4" a="1"/>
  <c r="GI12" i="4" a="1"/>
  <c r="FY6" i="4" a="1"/>
  <c r="FP8" i="4" a="1"/>
  <c r="FO13" i="4" a="1"/>
  <c r="GD5" i="4" a="1"/>
  <c r="HA16" i="4" a="1"/>
  <c r="FO12" i="4" a="1"/>
  <c r="FS14" i="4" a="1"/>
  <c r="GK11" i="4" a="1"/>
  <c r="GI11" i="4" a="1"/>
  <c r="FO8" i="4" a="1"/>
  <c r="FU15" i="4" a="1"/>
  <c r="FI8" i="4" a="1"/>
  <c r="GT12" i="4" a="1"/>
  <c r="HE9" i="4" a="1"/>
  <c r="FL15" i="4" a="1"/>
  <c r="FV6" i="4" a="1"/>
  <c r="FI11" i="4" a="1"/>
  <c r="GJ11" i="4" a="1"/>
  <c r="GT8" i="4" a="1"/>
  <c r="HH16" i="4" a="1"/>
  <c r="GI5" i="4" a="1"/>
  <c r="GC13" i="4" a="1"/>
  <c r="GV8" i="4" a="1"/>
  <c r="GD13" i="4" a="1"/>
  <c r="FN14" i="4" a="1"/>
  <c r="FW6" i="4" a="1"/>
  <c r="GV5" i="4" a="1"/>
  <c r="HG14" i="4" a="1"/>
  <c r="FJ5" i="4" a="1"/>
  <c r="GV16" i="4" a="1"/>
  <c r="GI9" i="4" a="1"/>
  <c r="FQ13" i="4" a="1"/>
  <c r="FY16" i="4" a="1"/>
  <c r="FG11" i="4" a="1"/>
  <c r="FP12" i="4" a="1"/>
  <c r="Y111" i="2"/>
  <c r="GK15" i="4" a="1"/>
  <c r="GU15" i="4" a="1"/>
  <c r="HB8" i="4" a="1"/>
  <c r="GX12" i="4" a="1"/>
  <c r="HG5" i="4" a="1"/>
  <c r="GY14" i="4" a="1"/>
  <c r="FG9" i="4" a="1"/>
  <c r="HD15" i="4" a="1"/>
  <c r="GX11" i="4" a="1"/>
  <c r="GT9" i="4" a="1"/>
  <c r="Y113" i="2"/>
  <c r="GJ6" i="4" a="1"/>
  <c r="HE6" i="4" a="1"/>
  <c r="FP13" i="4" a="1"/>
  <c r="FR8" i="4" a="1"/>
  <c r="AA112" i="2"/>
  <c r="Z99" i="1" s="1"/>
  <c r="GI8" i="4" a="1"/>
  <c r="GW8" i="4" a="1"/>
  <c r="GB15" i="4" a="1"/>
  <c r="GV6" i="4" a="1"/>
  <c r="GP9" i="4" a="1"/>
  <c r="HG11" i="4" a="1"/>
  <c r="HB6" i="4" a="1"/>
  <c r="GD15" i="4" a="1"/>
  <c r="FW15" i="4" a="1"/>
  <c r="GW11" i="4" a="1"/>
  <c r="GE11" i="4" a="1"/>
  <c r="GG7" i="4" a="1"/>
  <c r="FM16" i="4" a="1"/>
  <c r="GL16" i="4" a="1"/>
  <c r="FG5" i="4" a="1"/>
  <c r="GV9" i="4" a="1"/>
  <c r="FH15" i="4" a="1"/>
  <c r="HH5" i="4" a="1"/>
  <c r="GG16" i="4" a="1"/>
  <c r="GV7" i="4" a="1"/>
  <c r="GO15" i="4" a="1"/>
  <c r="GN12" i="4" a="1"/>
  <c r="GL13" i="4" a="1"/>
  <c r="GA12" i="4" a="1"/>
  <c r="GY8" i="4" a="1"/>
  <c r="FG15" i="4" a="1"/>
  <c r="HG12" i="4" a="1"/>
  <c r="FQ6" i="4" a="1"/>
  <c r="HB11" i="4" a="1"/>
  <c r="FQ15" i="4" a="1"/>
  <c r="HC5" i="4" a="1"/>
  <c r="HA11" i="4" a="1"/>
  <c r="FI15" i="4" a="1"/>
  <c r="GU11" i="4" a="1"/>
  <c r="FP14" i="4" a="1"/>
  <c r="FX16" i="4" a="1"/>
  <c r="HH14" i="4" a="1"/>
  <c r="FO6" i="4" a="1"/>
  <c r="GS8" i="4" a="1"/>
  <c r="GI16" i="4" a="1"/>
  <c r="GJ14" i="4" a="1"/>
  <c r="GA11" i="4" a="1"/>
  <c r="GX9" i="4" a="1"/>
  <c r="GK5" i="4" a="1"/>
  <c r="GN11" i="4" a="1"/>
  <c r="FN15" i="4" a="1"/>
  <c r="GB12" i="4" a="1"/>
  <c r="HA12" i="4" a="1"/>
  <c r="GY15" i="4" a="1"/>
  <c r="GD7" i="4" a="1"/>
  <c r="HF12" i="4" a="1"/>
  <c r="HF6" i="4" a="1"/>
  <c r="HA6" i="4" a="1"/>
  <c r="GI7" i="4" a="1"/>
  <c r="GO6" i="4" a="1"/>
  <c r="FZ15" i="4" a="1"/>
  <c r="FU6" i="4" a="1"/>
  <c r="FS9" i="4" a="1"/>
  <c r="HH8" i="4" a="1"/>
  <c r="GZ15" i="4" a="1"/>
  <c r="FT12" i="4" a="1"/>
  <c r="HB5" i="4" a="1"/>
  <c r="GN6" i="4" a="1"/>
  <c r="Y112" i="2"/>
  <c r="GX13" i="4" a="1"/>
  <c r="GF6" i="4" a="1"/>
  <c r="GK13" i="4" a="1"/>
  <c r="GY13" i="4" a="1"/>
  <c r="HE14" i="4" a="1"/>
  <c r="GT7" i="4" a="1"/>
  <c r="FM8" i="4" a="1"/>
  <c r="GS14" i="4" a="1"/>
  <c r="FL16" i="4" a="1"/>
  <c r="HC6" i="4" a="1"/>
  <c r="HH12" i="4" a="1"/>
  <c r="FM6" i="4" a="1"/>
  <c r="GN15" i="4" a="1"/>
  <c r="GJ13" i="4" a="1"/>
  <c r="GT14" i="4" a="1"/>
  <c r="FK7" i="4" a="1"/>
  <c r="GK8" i="4" a="1"/>
  <c r="GZ13" i="4" a="1"/>
  <c r="FU16" i="4" a="1"/>
  <c r="FG14" i="4" a="1"/>
  <c r="FH7" i="4" a="1"/>
  <c r="GY11" i="4" a="1"/>
  <c r="GZ6" i="4" a="1"/>
  <c r="BH59" i="3"/>
  <c r="BP92" i="3"/>
  <c r="BK84" i="3"/>
  <c r="BV81" i="3"/>
  <c r="BR61" i="3"/>
  <c r="BV79" i="3"/>
  <c r="BO50" i="3"/>
  <c r="BG50" i="3"/>
  <c r="BV70" i="3"/>
  <c r="BV71" i="3"/>
  <c r="BI82" i="3"/>
  <c r="BF86" i="3"/>
  <c r="BO93" i="3"/>
  <c r="BL79" i="3"/>
  <c r="BK97" i="3"/>
  <c r="BI83" i="3"/>
  <c r="BE54" i="3"/>
  <c r="BE97" i="3"/>
  <c r="BE75" i="3"/>
  <c r="BO73" i="3"/>
  <c r="BM72" i="3"/>
  <c r="BL86" i="3"/>
  <c r="BR83" i="3"/>
  <c r="BT77" i="3"/>
  <c r="BN96" i="3"/>
  <c r="BK50" i="3"/>
  <c r="BO78" i="3"/>
  <c r="BD55" i="3"/>
  <c r="BI94" i="3"/>
  <c r="BL54" i="3"/>
  <c r="BM56" i="3"/>
  <c r="BO72" i="3"/>
  <c r="BU88" i="3"/>
  <c r="BN49" i="3"/>
  <c r="BV84" i="3"/>
  <c r="BU54" i="3"/>
  <c r="BG90" i="3"/>
  <c r="BM93" i="3"/>
  <c r="BT78" i="3"/>
  <c r="BI96" i="3"/>
  <c r="BI71" i="3"/>
  <c r="BM50" i="3"/>
  <c r="BV95" i="3"/>
  <c r="BF79" i="3"/>
  <c r="CL169" i="1" s="1"/>
  <c r="BM80" i="3"/>
  <c r="BN92" i="3"/>
  <c r="BF61" i="3"/>
  <c r="BR93" i="3"/>
  <c r="BP80" i="3"/>
  <c r="BC95" i="3"/>
  <c r="BU63" i="3"/>
  <c r="BO65" i="3"/>
  <c r="BO89" i="3"/>
  <c r="BG65" i="3"/>
  <c r="BT59" i="3"/>
  <c r="BL81" i="3"/>
  <c r="BS97" i="3"/>
  <c r="BM71" i="3"/>
  <c r="BT48" i="3"/>
  <c r="BO68" i="3"/>
  <c r="BJ90" i="3"/>
  <c r="BE83" i="3"/>
  <c r="BP78" i="3"/>
  <c r="BB71" i="3"/>
  <c r="BF81" i="3"/>
  <c r="CL170" i="1" s="1"/>
  <c r="BC70" i="3"/>
  <c r="BG83" i="3"/>
  <c r="BT58" i="3"/>
  <c r="BI97" i="3"/>
  <c r="BI63" i="3"/>
  <c r="BF63" i="3"/>
  <c r="CL151" i="1" s="1"/>
  <c r="BN95" i="3"/>
  <c r="BA47" i="3"/>
  <c r="BF64" i="3"/>
  <c r="CL175" i="1" s="1"/>
  <c r="BG87" i="3"/>
  <c r="BV69" i="3"/>
  <c r="BA93" i="3"/>
  <c r="BB62" i="3"/>
  <c r="BO67" i="3"/>
  <c r="BR89" i="3"/>
  <c r="BE62" i="3"/>
  <c r="BT56" i="3"/>
  <c r="BB57" i="3"/>
  <c r="BM69" i="3"/>
  <c r="BB92" i="3"/>
  <c r="BN58" i="3"/>
  <c r="BD50" i="3"/>
  <c r="BJ47" i="3"/>
  <c r="BG49" i="3"/>
  <c r="BT76" i="3"/>
  <c r="BQ77" i="3"/>
  <c r="BB68" i="3"/>
  <c r="BS71" i="3"/>
  <c r="BT69" i="3"/>
  <c r="BF65" i="3"/>
  <c r="CL176" i="1" s="1"/>
  <c r="BA48" i="3"/>
  <c r="BS57" i="3"/>
  <c r="BQ83" i="3"/>
  <c r="BA60" i="3"/>
  <c r="BU92" i="3"/>
  <c r="BI55" i="3"/>
  <c r="BH85" i="3"/>
  <c r="BB81" i="3"/>
  <c r="BM58" i="3"/>
  <c r="BT66" i="3"/>
  <c r="BO75" i="3"/>
  <c r="BT57" i="3"/>
  <c r="BS63" i="3"/>
  <c r="BV94" i="3"/>
  <c r="BI75" i="3"/>
  <c r="BD56" i="3"/>
  <c r="BA67" i="3"/>
  <c r="BS61" i="3"/>
  <c r="BB65" i="3"/>
  <c r="BN48" i="3"/>
  <c r="BP88" i="3"/>
  <c r="BR81" i="3"/>
  <c r="BB67" i="3"/>
  <c r="BP90" i="3"/>
  <c r="BF87" i="3"/>
  <c r="CL178" i="1" s="1"/>
  <c r="BS93" i="3"/>
  <c r="BH75" i="3"/>
  <c r="BF78" i="3"/>
  <c r="CL168" i="1" s="1"/>
  <c r="BP47" i="3"/>
  <c r="BA94" i="3"/>
  <c r="BA70" i="3"/>
  <c r="BU62" i="3"/>
  <c r="BB74" i="3"/>
  <c r="BN70" i="3"/>
  <c r="BH86" i="3"/>
  <c r="BR60" i="3"/>
  <c r="BG97" i="3"/>
  <c r="BF48" i="3"/>
  <c r="BA73" i="3"/>
  <c r="BF95" i="3"/>
  <c r="CL190" i="1" s="1"/>
  <c r="BL88" i="3"/>
  <c r="BQ70" i="3"/>
  <c r="BP59" i="3"/>
  <c r="BA63" i="3"/>
  <c r="BU89" i="3"/>
  <c r="BB78" i="3"/>
  <c r="BP69" i="3"/>
  <c r="BC47" i="3"/>
  <c r="BR90" i="3"/>
  <c r="BE55" i="3"/>
  <c r="BO56" i="3"/>
  <c r="BA62" i="3"/>
  <c r="BU82" i="3"/>
  <c r="BC50" i="3"/>
  <c r="BQ67" i="3"/>
  <c r="BA54" i="3"/>
  <c r="BL55" i="3"/>
  <c r="BJ69" i="3"/>
  <c r="BB48" i="3"/>
  <c r="BR63" i="3"/>
  <c r="BC71" i="3"/>
  <c r="BR96" i="3"/>
  <c r="BO63" i="3"/>
  <c r="BP71" i="3"/>
  <c r="BV58" i="3"/>
  <c r="BR70" i="3"/>
  <c r="BE76" i="3"/>
  <c r="BH94" i="3"/>
  <c r="BK81" i="3"/>
  <c r="BP83" i="3"/>
  <c r="BJ66" i="3"/>
  <c r="BK48" i="3"/>
  <c r="BA71" i="3"/>
  <c r="BV89" i="3"/>
  <c r="BO91" i="3"/>
  <c r="BQ58" i="3"/>
  <c r="BV66" i="3"/>
  <c r="BG95" i="3"/>
  <c r="BK79" i="3"/>
  <c r="BQ49" i="3"/>
  <c r="BH57" i="3"/>
  <c r="BF96" i="3"/>
  <c r="CL189" i="1" s="1"/>
  <c r="BQ95" i="3"/>
  <c r="BA69" i="3"/>
  <c r="BN61" i="3"/>
  <c r="BL62" i="3"/>
  <c r="BB66" i="3"/>
  <c r="BP86" i="3"/>
  <c r="BN86" i="3"/>
  <c r="BI70" i="3"/>
  <c r="BB94" i="3"/>
  <c r="BC97" i="3"/>
  <c r="BU57" i="3"/>
  <c r="BN97" i="3"/>
  <c r="BL50" i="3"/>
  <c r="BE95" i="3"/>
  <c r="BS78" i="3"/>
  <c r="BN64" i="3"/>
  <c r="BJ55" i="3"/>
  <c r="BV49" i="3"/>
  <c r="BQ88" i="3"/>
  <c r="BJ77" i="3"/>
  <c r="BD97" i="3"/>
  <c r="BC67" i="3"/>
  <c r="BM90" i="3"/>
  <c r="BG47" i="3"/>
  <c r="BF70" i="3"/>
  <c r="CL159" i="1" s="1"/>
  <c r="BB61" i="3"/>
  <c r="BU74" i="3"/>
  <c r="BE82" i="3"/>
  <c r="BR82" i="3"/>
  <c r="BQ80" i="3"/>
  <c r="BC80" i="3"/>
  <c r="BD81" i="3"/>
  <c r="BJ93" i="3"/>
  <c r="BD66" i="3"/>
  <c r="BN73" i="3"/>
  <c r="BS59" i="3"/>
  <c r="BB84" i="3"/>
  <c r="BV65" i="3"/>
  <c r="BD47" i="3"/>
  <c r="BC69" i="3"/>
  <c r="BP94" i="3"/>
  <c r="BH63" i="3"/>
  <c r="BT54" i="3"/>
  <c r="BU75" i="3"/>
  <c r="BV56" i="3"/>
  <c r="BV92" i="3"/>
  <c r="BQ71" i="3"/>
  <c r="BF97" i="3"/>
  <c r="BU81" i="3"/>
  <c r="BR66" i="3"/>
  <c r="BG89" i="3"/>
  <c r="BE57" i="3"/>
  <c r="BU60" i="3"/>
  <c r="BJ49" i="3"/>
  <c r="BI79" i="3"/>
  <c r="BM91" i="3"/>
  <c r="BP87" i="3"/>
  <c r="BD82" i="3"/>
  <c r="BD79" i="3"/>
  <c r="BS69" i="3"/>
  <c r="BK87" i="3"/>
  <c r="BK95" i="3"/>
  <c r="BL96" i="3"/>
  <c r="BO77" i="3"/>
  <c r="BA96" i="3"/>
  <c r="BK77" i="3"/>
  <c r="BP54" i="3"/>
  <c r="BB91" i="3"/>
  <c r="BB77" i="3"/>
  <c r="BD83" i="3"/>
  <c r="BL97" i="3"/>
  <c r="BU50" i="3"/>
  <c r="BJ97" i="3"/>
  <c r="BV73" i="3"/>
  <c r="BE94" i="3"/>
  <c r="BI49" i="3"/>
  <c r="BG67" i="3"/>
  <c r="BJ85" i="3"/>
  <c r="BT65" i="3"/>
  <c r="BE85" i="3"/>
  <c r="BC49" i="3"/>
  <c r="BR69" i="3"/>
  <c r="BF88" i="3"/>
  <c r="CL153" i="1" s="1"/>
  <c r="BO96" i="3"/>
  <c r="BG88" i="3"/>
  <c r="BV55" i="3"/>
  <c r="BU61" i="3"/>
  <c r="BH93" i="3"/>
  <c r="BL63" i="3"/>
  <c r="BR47" i="3"/>
  <c r="BG69" i="3"/>
  <c r="BL80" i="3"/>
  <c r="BK62" i="3"/>
  <c r="BO59" i="3"/>
  <c r="BE92" i="3"/>
  <c r="BH61" i="3"/>
  <c r="BO90" i="3"/>
  <c r="BL57" i="3"/>
  <c r="BK67" i="3"/>
  <c r="BI78" i="3"/>
  <c r="BM81" i="3"/>
  <c r="BS76" i="3"/>
  <c r="BS48" i="3"/>
  <c r="BE48" i="3"/>
  <c r="BT92" i="3"/>
  <c r="BF54" i="3"/>
  <c r="BS84" i="3"/>
  <c r="BT82" i="3"/>
  <c r="BQ86" i="3"/>
  <c r="BI87" i="3"/>
  <c r="BD70" i="3"/>
  <c r="BS49" i="3"/>
  <c r="BE80" i="3"/>
  <c r="BI84" i="3"/>
  <c r="BI65" i="3"/>
  <c r="BI81" i="3"/>
  <c r="BP91" i="3"/>
  <c r="BS67" i="3"/>
  <c r="BM67" i="3"/>
  <c r="BC82" i="3"/>
  <c r="BV93" i="3"/>
  <c r="BT97" i="3"/>
  <c r="BC76" i="3"/>
  <c r="BC96" i="3"/>
  <c r="BP85" i="3"/>
  <c r="BC90" i="3"/>
  <c r="BG70" i="3"/>
  <c r="BE73" i="3"/>
  <c r="BI92" i="3"/>
  <c r="BQ68" i="3"/>
  <c r="BG55" i="3"/>
  <c r="BV96" i="3"/>
  <c r="BI73" i="3"/>
  <c r="BE79" i="3"/>
  <c r="BM61" i="3"/>
  <c r="BT89" i="3"/>
  <c r="BB54" i="3"/>
  <c r="BM47" i="3"/>
  <c r="BP66" i="3"/>
  <c r="BV61" i="3"/>
  <c r="BA87" i="3"/>
  <c r="BM79" i="3"/>
  <c r="BO76" i="3"/>
  <c r="BQ92" i="3"/>
  <c r="BC78" i="3"/>
  <c r="BT94" i="3"/>
  <c r="BC65" i="3"/>
  <c r="BI69" i="3"/>
  <c r="BE47" i="3"/>
  <c r="BI57" i="3"/>
  <c r="BA79" i="3"/>
  <c r="BF58" i="3"/>
  <c r="CL145" i="1" s="1"/>
  <c r="BQ93" i="3"/>
  <c r="BU68" i="3"/>
  <c r="BH91" i="3"/>
  <c r="BB97" i="3"/>
  <c r="BP76" i="3"/>
  <c r="BV87" i="3"/>
  <c r="BP74" i="3"/>
  <c r="BC54" i="3"/>
  <c r="BA85" i="3"/>
  <c r="BD60" i="3"/>
  <c r="BI74" i="3"/>
  <c r="BE81" i="3"/>
  <c r="BF47" i="3"/>
  <c r="BD92" i="3"/>
  <c r="BJ84" i="3"/>
  <c r="BQ97" i="3"/>
  <c r="BI93" i="3"/>
  <c r="BE58" i="3"/>
  <c r="BB47" i="3"/>
  <c r="BG76" i="3"/>
  <c r="BT96" i="3"/>
  <c r="BO60" i="3"/>
  <c r="BG86" i="3"/>
  <c r="BS47" i="3"/>
  <c r="BF83" i="3"/>
  <c r="CL186" i="1" s="1"/>
  <c r="BN67" i="3"/>
  <c r="BA92" i="3"/>
  <c r="BU91" i="3"/>
  <c r="BB63" i="3"/>
  <c r="BN63" i="3"/>
  <c r="BK70" i="3"/>
  <c r="BS90" i="3"/>
  <c r="BQ65" i="3"/>
  <c r="BI85" i="3"/>
  <c r="BG72" i="3"/>
  <c r="BI64" i="3"/>
  <c r="BE69" i="3"/>
  <c r="BD87" i="3"/>
  <c r="BH79" i="3"/>
  <c r="BF84" i="3"/>
  <c r="CL172" i="1" s="1"/>
  <c r="BN89" i="3"/>
  <c r="BC60" i="3"/>
  <c r="BJ82" i="3"/>
  <c r="BB89" i="3"/>
  <c r="BP95" i="3"/>
  <c r="BH67" i="3"/>
  <c r="BJ50" i="3"/>
  <c r="BM86" i="3"/>
  <c r="BT95" i="3"/>
  <c r="BL72" i="3"/>
  <c r="BP77" i="3"/>
  <c r="BS86" i="3"/>
  <c r="BO95" i="3"/>
  <c r="BU83" i="3"/>
  <c r="BB55" i="3"/>
  <c r="BN90" i="3"/>
  <c r="BQ57" i="3"/>
  <c r="BJ96" i="3"/>
  <c r="BG93" i="3"/>
  <c r="BF55" i="3"/>
  <c r="BH48" i="3"/>
  <c r="BJ81" i="3"/>
  <c r="BK74" i="3"/>
  <c r="BN80" i="3"/>
  <c r="BC58" i="3"/>
  <c r="BJ56" i="3"/>
  <c r="BU49" i="3"/>
  <c r="BS92" i="3"/>
  <c r="BB69" i="3"/>
  <c r="BN68" i="3"/>
  <c r="BH58" i="3"/>
  <c r="BJ92" i="3"/>
  <c r="BH76" i="3"/>
  <c r="BO85" i="3"/>
  <c r="BL68" i="3"/>
  <c r="BK59" i="3"/>
  <c r="BB49" i="3"/>
  <c r="BN62" i="3"/>
  <c r="BM66" i="3"/>
  <c r="BA72" i="3"/>
  <c r="BU86" i="3"/>
  <c r="BU80" i="3"/>
  <c r="BR87" i="3"/>
  <c r="BU77" i="3"/>
  <c r="BH96" i="3"/>
  <c r="BR72" i="3"/>
  <c r="BH68" i="3"/>
  <c r="BO54" i="3"/>
  <c r="BP70" i="3"/>
  <c r="BV76" i="3"/>
  <c r="BD94" i="3"/>
  <c r="BS58" i="3"/>
  <c r="BP81" i="3"/>
  <c r="BR86" i="3"/>
  <c r="BP72" i="3"/>
  <c r="BR92" i="3"/>
  <c r="BH90" i="3"/>
  <c r="BI68" i="3"/>
  <c r="BK61" i="3"/>
  <c r="BA77" i="3"/>
  <c r="BQ87" i="3"/>
  <c r="BR59" i="3"/>
  <c r="BD76" i="3"/>
  <c r="BN66" i="3"/>
  <c r="BL85" i="3"/>
  <c r="BG74" i="3"/>
  <c r="BF71" i="3"/>
  <c r="BA66" i="3"/>
  <c r="BU93" i="3"/>
  <c r="BR95" i="3"/>
  <c r="BQ89" i="3"/>
  <c r="BH78" i="3"/>
  <c r="BK82" i="3"/>
  <c r="BA81" i="3"/>
  <c r="BR68" i="3"/>
  <c r="BM87" i="3"/>
  <c r="BM73" i="3"/>
  <c r="BL94" i="3"/>
  <c r="BG68" i="3"/>
  <c r="BT93" i="3"/>
  <c r="BD54" i="3"/>
  <c r="BD77" i="3"/>
  <c r="BU84" i="3"/>
  <c r="BO48" i="3"/>
  <c r="BE74" i="3"/>
  <c r="BL74" i="3"/>
  <c r="BJ73" i="3"/>
  <c r="BH88" i="3"/>
  <c r="BH71" i="3"/>
  <c r="BQ96" i="3"/>
  <c r="BR64" i="3"/>
  <c r="BF80" i="3"/>
  <c r="CL185" i="1" s="1"/>
  <c r="BO70" i="3"/>
  <c r="BC89" i="3"/>
  <c r="BC64" i="3"/>
  <c r="BQ79" i="3"/>
  <c r="BU65" i="3"/>
  <c r="BF89" i="3"/>
  <c r="CL179" i="1" s="1"/>
  <c r="CL209" i="1" s="1"/>
  <c r="BS55" i="3"/>
  <c r="BK68" i="3"/>
  <c r="BD59" i="3"/>
  <c r="BB64" i="3"/>
  <c r="BQ54" i="3"/>
  <c r="BO88" i="3"/>
  <c r="BI67" i="3"/>
  <c r="BG58" i="3"/>
  <c r="BM92" i="3"/>
  <c r="BC75" i="3"/>
  <c r="BS66" i="3"/>
  <c r="BK93" i="3"/>
  <c r="BU96" i="3"/>
  <c r="BH60" i="3"/>
  <c r="BJ88" i="3"/>
  <c r="BT71" i="3"/>
  <c r="BI91" i="3"/>
  <c r="BF50" i="3"/>
  <c r="CL100" i="1" s="1"/>
  <c r="BV47" i="3"/>
  <c r="BF90" i="3"/>
  <c r="CL152" i="1" s="1"/>
  <c r="BN85" i="3"/>
  <c r="BJ72" i="3"/>
  <c r="BJ64" i="3"/>
  <c r="BN83" i="3"/>
  <c r="BU85" i="3"/>
  <c r="BH70" i="3"/>
  <c r="BO86" i="3"/>
  <c r="BC81" i="3"/>
  <c r="BR74" i="3"/>
  <c r="BV68" i="3"/>
  <c r="BH81" i="3"/>
  <c r="BO69" i="3"/>
  <c r="BK76" i="3"/>
  <c r="BE93" i="3"/>
  <c r="BO57" i="3"/>
  <c r="BG56" i="3"/>
  <c r="BH47" i="3"/>
  <c r="BN84" i="3"/>
  <c r="BT67" i="3"/>
  <c r="BE89" i="3"/>
  <c r="BC94" i="3"/>
  <c r="BP67" i="3"/>
  <c r="BT50" i="3"/>
  <c r="BQ61" i="3"/>
  <c r="BG78" i="3"/>
  <c r="BK78" i="3"/>
  <c r="BT73" i="3"/>
  <c r="BP61" i="3"/>
  <c r="BK89" i="3"/>
  <c r="BL90" i="3"/>
  <c r="BF59" i="3"/>
  <c r="BM84" i="3"/>
  <c r="BO84" i="3"/>
  <c r="BN47" i="3"/>
  <c r="BM55" i="3"/>
  <c r="BE72" i="3"/>
  <c r="BO82" i="3"/>
  <c r="BF92" i="3"/>
  <c r="CL181" i="1" s="1"/>
  <c r="BS96" i="3"/>
  <c r="BD78" i="3"/>
  <c r="BD89" i="3"/>
  <c r="BU73" i="3"/>
  <c r="BO64" i="3"/>
  <c r="BC88" i="3"/>
  <c r="BM49" i="3"/>
  <c r="BO79" i="3"/>
  <c r="BT55" i="3"/>
  <c r="BF85" i="3"/>
  <c r="CL173" i="1" s="1"/>
  <c r="BS50" i="3"/>
  <c r="BE87" i="3"/>
  <c r="BG63" i="3"/>
  <c r="BU67" i="3"/>
  <c r="BN60" i="3"/>
  <c r="BE64" i="3"/>
  <c r="BH65" i="3"/>
  <c r="BI77" i="3"/>
  <c r="BI50" i="3"/>
  <c r="BN72" i="3"/>
  <c r="BJ89" i="3"/>
  <c r="BI48" i="3"/>
  <c r="BG80" i="3"/>
  <c r="BP63" i="3"/>
  <c r="BC74" i="3"/>
  <c r="BS82" i="3"/>
  <c r="BD88" i="3"/>
  <c r="BI58" i="3"/>
  <c r="BJ59" i="3"/>
  <c r="BO62" i="3"/>
  <c r="BR85" i="3"/>
  <c r="BF68" i="3"/>
  <c r="CL160" i="1" s="1"/>
  <c r="BJ94" i="3"/>
  <c r="BM54" i="3"/>
  <c r="BL77" i="3"/>
  <c r="BF72" i="3"/>
  <c r="CL161" i="1" s="1"/>
  <c r="BN56" i="3"/>
  <c r="BA55" i="3"/>
  <c r="BH66" i="3"/>
  <c r="BM62" i="3"/>
  <c r="BM85" i="3"/>
  <c r="BD67" i="3"/>
  <c r="BG73" i="3"/>
  <c r="BJ80" i="3"/>
  <c r="BK75" i="3"/>
  <c r="BJ58" i="3"/>
  <c r="BL89" i="3"/>
  <c r="BJ91" i="3"/>
  <c r="BR55" i="3"/>
  <c r="BH80" i="3"/>
  <c r="BV60" i="3"/>
  <c r="BD62" i="3"/>
  <c r="BL61" i="3"/>
  <c r="BJ57" i="3"/>
  <c r="BU79" i="3"/>
  <c r="BP82" i="3"/>
  <c r="BR73" i="3"/>
  <c r="BA80" i="3"/>
  <c r="BT64" i="3"/>
  <c r="BP48" i="3"/>
  <c r="BL78" i="3"/>
  <c r="BM64" i="3"/>
  <c r="BJ63" i="3"/>
  <c r="BN55" i="3"/>
  <c r="BP56" i="3"/>
  <c r="BL71" i="3"/>
  <c r="BJ87" i="3"/>
  <c r="BI60" i="3"/>
  <c r="BP62" i="3"/>
  <c r="BD58" i="3"/>
  <c r="BV91" i="3"/>
  <c r="BD91" i="3"/>
  <c r="BL58" i="3"/>
  <c r="BV97" i="3"/>
  <c r="BK73" i="3"/>
  <c r="BN65" i="3"/>
  <c r="BK91" i="3"/>
  <c r="BD68" i="3"/>
  <c r="BS70" i="3"/>
  <c r="BS95" i="3"/>
  <c r="BI86" i="3"/>
  <c r="BC84" i="3"/>
  <c r="BU72" i="3"/>
  <c r="BF57" i="3"/>
  <c r="CL144" i="1" s="1"/>
  <c r="BJ67" i="3"/>
  <c r="BA86" i="3"/>
  <c r="BH89" i="3"/>
  <c r="BU56" i="3"/>
  <c r="BK90" i="3"/>
  <c r="BE68" i="3"/>
  <c r="BK54" i="3"/>
  <c r="BL59" i="3"/>
  <c r="BA84" i="3"/>
  <c r="BF67" i="3"/>
  <c r="BF49" i="3"/>
  <c r="CL99" i="1" s="1"/>
  <c r="BB56" i="3"/>
  <c r="BB80" i="3"/>
  <c r="BE71" i="3"/>
  <c r="BG77" i="3"/>
  <c r="BJ65" i="3"/>
  <c r="BD63" i="3"/>
  <c r="BC91" i="3"/>
  <c r="BV62" i="3"/>
  <c r="BT85" i="3"/>
  <c r="BM65" i="3"/>
  <c r="BH92" i="3"/>
  <c r="BR76" i="3"/>
  <c r="BH82" i="3"/>
  <c r="BK85" i="3"/>
  <c r="BD71" i="3"/>
  <c r="BT47" i="3"/>
  <c r="BL73" i="3"/>
  <c r="BK86" i="3"/>
  <c r="BE84" i="3"/>
  <c r="BH64" i="3"/>
  <c r="BF75" i="3"/>
  <c r="BT80" i="3"/>
  <c r="BG85" i="3"/>
  <c r="BR97" i="3"/>
  <c r="BE61" i="3"/>
  <c r="BN82" i="3"/>
  <c r="BN75" i="3"/>
  <c r="BV63" i="3"/>
  <c r="BS68" i="3"/>
  <c r="BB90" i="3"/>
  <c r="BP55" i="3"/>
  <c r="BL95" i="3"/>
  <c r="BC87" i="3"/>
  <c r="BA68" i="3"/>
  <c r="BA56" i="3"/>
  <c r="BR49" i="3"/>
  <c r="BS77" i="3"/>
  <c r="BB95" i="3"/>
  <c r="BB82" i="3"/>
  <c r="BB85" i="3"/>
  <c r="BI56" i="3"/>
  <c r="BT83" i="3"/>
  <c r="BA78" i="3"/>
  <c r="BH69" i="3"/>
  <c r="BB86" i="3"/>
  <c r="BP79" i="3"/>
  <c r="BQ72" i="3"/>
  <c r="BU90" i="3"/>
  <c r="BR75" i="3"/>
  <c r="BE90" i="3"/>
  <c r="BU76" i="3"/>
  <c r="BV85" i="3"/>
  <c r="BD86" i="3"/>
  <c r="BP65" i="3"/>
  <c r="BS94" i="3"/>
  <c r="BH49" i="3"/>
  <c r="BT75" i="3"/>
  <c r="BA90" i="3"/>
  <c r="BK66" i="3"/>
  <c r="BC59" i="3"/>
  <c r="BS60" i="3"/>
  <c r="BQ76" i="3"/>
  <c r="BD84" i="3"/>
  <c r="BD74" i="3"/>
  <c r="BR50" i="3"/>
  <c r="BC79" i="3"/>
  <c r="BD80" i="3"/>
  <c r="BC85" i="3"/>
  <c r="BF56" i="3"/>
  <c r="CL143" i="1" s="1"/>
  <c r="BV90" i="3"/>
  <c r="BT86" i="3"/>
  <c r="BG62" i="3"/>
  <c r="BR80" i="3"/>
  <c r="BD48" i="3"/>
  <c r="BC83" i="3"/>
  <c r="BB59" i="3"/>
  <c r="BN87" i="3"/>
  <c r="BL65" i="3"/>
  <c r="BN88" i="3"/>
  <c r="BS81" i="3"/>
  <c r="BB73" i="3"/>
  <c r="BM63" i="3"/>
  <c r="BG71" i="3"/>
  <c r="BL64" i="3"/>
  <c r="BU55" i="3"/>
  <c r="BJ83" i="3"/>
  <c r="BV50" i="3"/>
  <c r="BO87" i="3"/>
  <c r="BL60" i="3"/>
  <c r="BE63" i="3"/>
  <c r="BM88" i="3"/>
  <c r="BK65" i="3"/>
  <c r="BT79" i="3"/>
  <c r="BA64" i="3"/>
  <c r="BQ66" i="3"/>
  <c r="BU48" i="3"/>
  <c r="BB75" i="3"/>
  <c r="BK63" i="3"/>
  <c r="BN74" i="3"/>
  <c r="BE70" i="3"/>
  <c r="BA49" i="3"/>
  <c r="BS85" i="3"/>
  <c r="BQ74" i="3"/>
  <c r="BI62" i="3"/>
  <c r="BF74" i="3"/>
  <c r="CL163" i="1" s="1"/>
  <c r="BQ69" i="3"/>
  <c r="BV48" i="3"/>
  <c r="BP84" i="3"/>
  <c r="BE96" i="3"/>
  <c r="BU71" i="3"/>
  <c r="BR88" i="3"/>
  <c r="BG60" i="3"/>
  <c r="BJ70" i="3"/>
  <c r="BJ74" i="3"/>
  <c r="BF62" i="3"/>
  <c r="CL150" i="1" s="1"/>
  <c r="BJ68" i="3"/>
  <c r="BU70" i="3"/>
  <c r="BR94" i="3"/>
  <c r="BP93" i="3"/>
  <c r="BK80" i="3"/>
  <c r="BH95" i="3"/>
  <c r="BL93" i="3"/>
  <c r="BP75" i="3"/>
  <c r="BR78" i="3"/>
  <c r="BK71" i="3"/>
  <c r="BI66" i="3"/>
  <c r="BV77" i="3"/>
  <c r="BO97" i="3"/>
  <c r="BT87" i="3"/>
  <c r="BN69" i="3"/>
  <c r="BV75" i="3"/>
  <c r="BC73" i="3"/>
  <c r="BD85" i="3"/>
  <c r="BK88" i="3"/>
  <c r="BH97" i="3"/>
  <c r="BH56" i="3"/>
  <c r="BR56" i="3"/>
  <c r="BD49" i="3"/>
  <c r="BU58" i="3"/>
  <c r="BG91" i="3"/>
  <c r="BT74" i="3"/>
  <c r="BI59" i="3"/>
  <c r="BK56" i="3"/>
  <c r="BA89" i="3"/>
  <c r="BM76" i="3"/>
  <c r="BQ47" i="3"/>
  <c r="BL87" i="3"/>
  <c r="BO94" i="3"/>
  <c r="BK64" i="3"/>
  <c r="BM70" i="3"/>
  <c r="BK57" i="3"/>
  <c r="BP97" i="3"/>
  <c r="BS91" i="3"/>
  <c r="BN50" i="3"/>
  <c r="BG84" i="3"/>
  <c r="BM75" i="3"/>
  <c r="BE66" i="3"/>
  <c r="BK72" i="3"/>
  <c r="BV82" i="3"/>
  <c r="BS83" i="3"/>
  <c r="BR91" i="3"/>
  <c r="BM89" i="3"/>
  <c r="BT49" i="3"/>
  <c r="BS56" i="3"/>
  <c r="BN59" i="3"/>
  <c r="BE50" i="3"/>
  <c r="BD61" i="3"/>
  <c r="BE59" i="3"/>
  <c r="BR65" i="3"/>
  <c r="BG57" i="3"/>
  <c r="BM59" i="3"/>
  <c r="BA58" i="3"/>
  <c r="BO92" i="3"/>
  <c r="BA95" i="3"/>
  <c r="BB70" i="3"/>
  <c r="BM48" i="3"/>
  <c r="BA74" i="3"/>
  <c r="BJ95" i="3"/>
  <c r="BT81" i="3"/>
  <c r="BH87" i="3"/>
  <c r="BS65" i="3"/>
  <c r="BM83" i="3"/>
  <c r="BD96" i="3"/>
  <c r="BK60" i="3"/>
  <c r="BE86" i="3"/>
  <c r="BK94" i="3"/>
  <c r="BA50" i="3"/>
  <c r="BP64" i="3"/>
  <c r="BM95" i="3"/>
  <c r="BE91" i="3"/>
  <c r="BD72" i="3"/>
  <c r="BM68" i="3"/>
  <c r="BC57" i="3"/>
  <c r="BQ82" i="3"/>
  <c r="BH84" i="3"/>
  <c r="BV64" i="3"/>
  <c r="BA83" i="3"/>
  <c r="BA61" i="3"/>
  <c r="BO61" i="3"/>
  <c r="BT88" i="3"/>
  <c r="BP73" i="3"/>
  <c r="BC72" i="3"/>
  <c r="BB58" i="3"/>
  <c r="BJ60" i="3"/>
  <c r="BD90" i="3"/>
  <c r="BD75" i="3"/>
  <c r="BF73" i="3"/>
  <c r="BK83" i="3"/>
  <c r="BL69" i="3"/>
  <c r="BO66" i="3"/>
  <c r="BB72" i="3"/>
  <c r="BQ59" i="3"/>
  <c r="BK58" i="3"/>
  <c r="BL83" i="3"/>
  <c r="BF66" i="3"/>
  <c r="CL177" i="1" s="1"/>
  <c r="BL56" i="3"/>
  <c r="BN77" i="3"/>
  <c r="BB88" i="3"/>
  <c r="BV72" i="3"/>
  <c r="BQ75" i="3"/>
  <c r="BL49" i="3"/>
  <c r="BF69" i="3"/>
  <c r="BI88" i="3"/>
  <c r="BH73" i="3"/>
  <c r="BF77" i="3"/>
  <c r="CL166" i="1" s="1"/>
  <c r="BH72" i="3"/>
  <c r="BP49" i="3"/>
  <c r="BR67" i="3"/>
  <c r="BD69" i="3"/>
  <c r="BE49" i="3"/>
  <c r="BM77" i="3"/>
  <c r="BM97" i="3"/>
  <c r="BK69" i="3"/>
  <c r="BT90" i="3"/>
  <c r="BC77" i="3"/>
  <c r="BL47" i="3"/>
  <c r="BN91" i="3"/>
  <c r="BV67" i="3"/>
  <c r="BS79" i="3"/>
  <c r="BA57" i="3"/>
  <c r="BO47" i="3"/>
  <c r="BP68" i="3"/>
  <c r="BC92" i="3"/>
  <c r="BU97" i="3"/>
  <c r="BG64" i="3"/>
  <c r="BC86" i="3"/>
  <c r="BU47" i="3"/>
  <c r="BG96" i="3"/>
  <c r="BQ48" i="3"/>
  <c r="BT70" i="3"/>
  <c r="BL75" i="3"/>
  <c r="BO83" i="3"/>
  <c r="BB76" i="3"/>
  <c r="BC56" i="3"/>
  <c r="BQ84" i="3"/>
  <c r="BR77" i="3"/>
  <c r="BV54" i="3"/>
  <c r="BR48" i="3"/>
  <c r="BO80" i="3"/>
  <c r="BH77" i="3"/>
  <c r="BJ71" i="3"/>
  <c r="BU78" i="3"/>
  <c r="BV88" i="3"/>
  <c r="BK49" i="3"/>
  <c r="BS62" i="3"/>
  <c r="BV74" i="3"/>
  <c r="BS80" i="3"/>
  <c r="BI80" i="3"/>
  <c r="BJ86" i="3"/>
  <c r="BS74" i="3"/>
  <c r="BL48" i="3"/>
  <c r="BE65" i="3"/>
  <c r="BL82" i="3"/>
  <c r="BG81" i="3"/>
  <c r="BV80" i="3"/>
  <c r="BI89" i="3"/>
  <c r="BG75" i="3"/>
  <c r="BP89" i="3"/>
  <c r="BN78" i="3"/>
  <c r="BO55" i="3"/>
  <c r="BI54" i="3"/>
  <c r="BL91" i="3"/>
  <c r="BL84" i="3"/>
  <c r="BA97" i="3"/>
  <c r="BC66" i="3"/>
  <c r="BE56" i="3"/>
  <c r="BO58" i="3"/>
  <c r="BM74" i="3"/>
  <c r="BI47" i="3"/>
  <c r="BA82" i="3"/>
  <c r="BI72" i="3"/>
  <c r="BF93" i="3"/>
  <c r="BQ73" i="3"/>
  <c r="BB60" i="3"/>
  <c r="BB93" i="3"/>
  <c r="BQ63" i="3"/>
  <c r="BR62" i="3"/>
  <c r="BA76" i="3"/>
  <c r="BR79" i="3"/>
  <c r="BC61" i="3"/>
  <c r="BR57" i="3"/>
  <c r="BQ91" i="3"/>
  <c r="BN93" i="3"/>
  <c r="BQ55" i="3"/>
  <c r="BL66" i="3"/>
  <c r="BD73" i="3"/>
  <c r="BN94" i="3"/>
  <c r="BJ75" i="3"/>
  <c r="BK96" i="3"/>
  <c r="BB83" i="3"/>
  <c r="BN81" i="3"/>
  <c r="BV86" i="3"/>
  <c r="BM57" i="3"/>
  <c r="BC62" i="3"/>
  <c r="BH83" i="3"/>
  <c r="BQ85" i="3"/>
  <c r="BK55" i="3"/>
  <c r="BB87" i="3"/>
  <c r="BC63" i="3"/>
  <c r="BD57" i="3"/>
  <c r="BO81" i="3"/>
  <c r="BB79" i="3"/>
  <c r="BV57" i="3"/>
  <c r="BB50" i="3"/>
  <c r="BR84" i="3"/>
  <c r="BD65" i="3"/>
  <c r="BC48" i="3"/>
  <c r="BG54" i="3"/>
  <c r="BD93" i="3"/>
  <c r="BV59" i="3"/>
  <c r="BA75" i="3"/>
  <c r="BG48" i="3"/>
  <c r="BA88" i="3"/>
  <c r="BR54" i="3"/>
  <c r="BV78" i="3"/>
  <c r="BS75" i="3"/>
  <c r="BI76" i="3"/>
  <c r="BT84" i="3"/>
  <c r="BE60" i="3"/>
  <c r="BI95" i="3"/>
  <c r="BS54" i="3"/>
  <c r="BT72" i="3"/>
  <c r="BQ64" i="3"/>
  <c r="BE77" i="3"/>
  <c r="BI61" i="3"/>
  <c r="BS88" i="3"/>
  <c r="BL67" i="3"/>
  <c r="BG82" i="3"/>
  <c r="BS64" i="3"/>
  <c r="BE88" i="3"/>
  <c r="BF94" i="3"/>
  <c r="BM60" i="3"/>
  <c r="BQ90" i="3"/>
  <c r="BS73" i="3"/>
  <c r="BF60" i="3"/>
  <c r="CL148" i="1" s="1"/>
  <c r="BP58" i="3"/>
  <c r="BT62" i="3"/>
  <c r="BU69" i="3"/>
  <c r="BT60" i="3"/>
  <c r="BQ60" i="3"/>
  <c r="BM78" i="3"/>
  <c r="BO71" i="3"/>
  <c r="BC68" i="3"/>
  <c r="BF82" i="3"/>
  <c r="CL171" i="1" s="1"/>
  <c r="CL206" i="1" s="1"/>
  <c r="BU87" i="3"/>
  <c r="BF76" i="3"/>
  <c r="BN57" i="3"/>
  <c r="BA65" i="3"/>
  <c r="BJ79" i="3"/>
  <c r="BL76" i="3"/>
  <c r="BQ81" i="3"/>
  <c r="BV83" i="3"/>
  <c r="BQ94" i="3"/>
  <c r="BN71" i="3"/>
  <c r="BH55" i="3"/>
  <c r="BG94" i="3"/>
  <c r="BK47" i="3"/>
  <c r="BG61" i="3"/>
  <c r="BE78" i="3"/>
  <c r="BU94" i="3"/>
  <c r="BJ48" i="3"/>
  <c r="BJ62" i="3"/>
  <c r="BC55" i="3"/>
  <c r="BN79" i="3"/>
  <c r="BI90" i="3"/>
  <c r="BG92" i="3"/>
  <c r="BU59" i="3"/>
  <c r="BO49" i="3"/>
  <c r="BJ78" i="3"/>
  <c r="BS72" i="3"/>
  <c r="BP96" i="3"/>
  <c r="BR58" i="3"/>
  <c r="BS87" i="3"/>
  <c r="BT63" i="3"/>
  <c r="BT91" i="3"/>
  <c r="BB96" i="3"/>
  <c r="BM82" i="3"/>
  <c r="BN54" i="3"/>
  <c r="BH50" i="3"/>
  <c r="BJ61" i="3"/>
  <c r="BA91" i="3"/>
  <c r="BC93" i="3"/>
  <c r="BF91" i="3"/>
  <c r="CL180" i="1" s="1"/>
  <c r="BR71" i="3"/>
  <c r="BJ54" i="3"/>
  <c r="BU64" i="3"/>
  <c r="BM96" i="3"/>
  <c r="BM94" i="3"/>
  <c r="BT68" i="3"/>
  <c r="BA59" i="3"/>
  <c r="BO74" i="3"/>
  <c r="BQ78" i="3"/>
  <c r="BQ50" i="3"/>
  <c r="BK92" i="3"/>
  <c r="BT61" i="3"/>
  <c r="BH54" i="3"/>
  <c r="BL70" i="3"/>
  <c r="BD95" i="3"/>
  <c r="BD64" i="3"/>
  <c r="BS89" i="3"/>
  <c r="BE67" i="3"/>
  <c r="BH74" i="3"/>
  <c r="BU95" i="3"/>
  <c r="BL92" i="3"/>
  <c r="BJ76" i="3"/>
  <c r="BN76" i="3"/>
  <c r="Z270" i="1" l="1"/>
  <c r="Z42" i="1"/>
  <c r="Z124" i="1"/>
  <c r="Z207" i="1"/>
  <c r="Z212" i="1"/>
  <c r="Z272" i="1"/>
  <c r="Z59" i="1"/>
  <c r="Z183" i="1"/>
  <c r="Z191" i="1" s="1"/>
  <c r="Z192" i="1" s="1"/>
  <c r="CL124" i="1"/>
  <c r="CL125" i="1" s="1"/>
  <c r="CP37" i="1"/>
  <c r="CM38" i="1"/>
  <c r="CL42" i="1"/>
  <c r="CL205" i="1"/>
  <c r="CL174" i="1"/>
  <c r="CL187" i="1"/>
  <c r="CL164" i="1"/>
  <c r="CL146" i="1"/>
  <c r="CL154" i="1"/>
  <c r="CL182" i="1"/>
  <c r="CL211" i="1" s="1"/>
  <c r="CL210" i="1" s="1"/>
  <c r="CM46" i="1"/>
  <c r="CQ46" i="1" s="1"/>
  <c r="CU46" i="1" s="1"/>
  <c r="CY46" i="1" s="1"/>
  <c r="DC46" i="1" s="1"/>
  <c r="CP46" i="1"/>
  <c r="CT46" i="1" s="1"/>
  <c r="CX46" i="1" s="1"/>
  <c r="DB46" i="1" s="1"/>
  <c r="CN46" i="1"/>
  <c r="CR46" i="1" s="1"/>
  <c r="CV46" i="1" s="1"/>
  <c r="CZ46" i="1" s="1"/>
  <c r="DD46" i="1" s="1"/>
  <c r="CI8" i="1"/>
  <c r="CK8" i="1"/>
  <c r="CK28" i="1"/>
  <c r="CK27" i="1" s="1"/>
  <c r="X205" i="1"/>
  <c r="CJ8" i="1"/>
  <c r="CJ28" i="1"/>
  <c r="CJ26" i="1" s="1"/>
  <c r="CT34" i="1"/>
  <c r="CT36" i="1" s="1"/>
  <c r="CT37" i="1" s="1"/>
  <c r="CT28" i="1"/>
  <c r="CS36" i="1"/>
  <c r="CS8" i="1"/>
  <c r="CT17" i="1"/>
  <c r="CX6" i="1"/>
  <c r="CW16" i="1"/>
  <c r="AC16" i="1"/>
  <c r="DA21" i="1"/>
  <c r="DB21" i="1" s="1"/>
  <c r="CV5" i="1"/>
  <c r="CU7" i="1"/>
  <c r="CU28" i="1" s="1"/>
  <c r="Z8" i="1"/>
  <c r="Z28" i="1"/>
  <c r="Z27" i="1" s="1"/>
  <c r="X206" i="1"/>
  <c r="CG257" i="1"/>
  <c r="CG8" i="1"/>
  <c r="X278" i="1"/>
  <c r="CK91" i="1"/>
  <c r="Y187" i="1"/>
  <c r="Z235" i="1" s="1"/>
  <c r="Y174" i="1"/>
  <c r="Z222" i="1" s="1"/>
  <c r="X174" i="1"/>
  <c r="X208" i="1" s="1"/>
  <c r="KE16" i="4" s="1"/>
  <c r="CH100" i="1"/>
  <c r="CJ145" i="1"/>
  <c r="CK99" i="1"/>
  <c r="JU14" i="4" s="1"/>
  <c r="KG9" i="4" s="1"/>
  <c r="CJ144" i="1"/>
  <c r="CK144" i="1" s="1"/>
  <c r="CM144" i="1" s="1"/>
  <c r="CN144" i="1" s="1"/>
  <c r="CJ180" i="1"/>
  <c r="CJ172" i="1"/>
  <c r="JW16" i="4" s="1"/>
  <c r="CJ190" i="1"/>
  <c r="CK190" i="1" s="1"/>
  <c r="CM190" i="1" s="1"/>
  <c r="CN190" i="1" s="1"/>
  <c r="JV15" i="4" s="1"/>
  <c r="KF16" i="4" s="1"/>
  <c r="CJ170" i="1"/>
  <c r="CJ205" i="1" s="1"/>
  <c r="CK205" i="1" s="1"/>
  <c r="CJ160" i="1"/>
  <c r="CK59" i="1" s="1"/>
  <c r="JV16" i="4" s="1"/>
  <c r="CJ173" i="1"/>
  <c r="CJ175" i="1"/>
  <c r="KD16" i="4" s="1"/>
  <c r="KF14" i="4" s="1"/>
  <c r="JY8" i="4" s="1"/>
  <c r="X99" i="1"/>
  <c r="JU16" i="4" s="1"/>
  <c r="JT16" i="4" s="1"/>
  <c r="CJ166" i="1"/>
  <c r="CK166" i="1" s="1"/>
  <c r="CJ143" i="1"/>
  <c r="JQ15" i="4" s="1"/>
  <c r="KB16" i="4" s="1"/>
  <c r="KD9" i="4" s="1"/>
  <c r="JX7" i="4"/>
  <c r="CJ176" i="1"/>
  <c r="KC16" i="4" s="1"/>
  <c r="CJ177" i="1"/>
  <c r="KF9" i="4" s="1"/>
  <c r="JT9" i="4" s="1"/>
  <c r="CJ178" i="1"/>
  <c r="JV14" i="4" s="1"/>
  <c r="JZ16" i="4" s="1"/>
  <c r="JR8" i="4" s="1"/>
  <c r="CJ153" i="1"/>
  <c r="CK153" i="1" s="1"/>
  <c r="CM153" i="1" s="1"/>
  <c r="CN153" i="1" s="1"/>
  <c r="JU9" i="4" s="1"/>
  <c r="CJ169" i="1"/>
  <c r="JY9" i="4" s="1"/>
  <c r="CJ189" i="1"/>
  <c r="CK189" i="1" s="1"/>
  <c r="CM189" i="1" s="1"/>
  <c r="CN189" i="1" s="1"/>
  <c r="CJ163" i="1"/>
  <c r="CK163" i="1" s="1"/>
  <c r="CM163" i="1" s="1"/>
  <c r="CN163" i="1" s="1"/>
  <c r="KH16" i="4" s="1"/>
  <c r="CJ171" i="1"/>
  <c r="CJ206" i="1" s="1"/>
  <c r="CK206" i="1" s="1"/>
  <c r="CJ185" i="1"/>
  <c r="JZ8" i="4" s="1"/>
  <c r="CJ151" i="1"/>
  <c r="CK151" i="1" s="1"/>
  <c r="CJ148" i="1"/>
  <c r="CK148" i="1" s="1"/>
  <c r="CM148" i="1" s="1"/>
  <c r="CN148" i="1" s="1"/>
  <c r="KG16" i="4" s="1"/>
  <c r="JY16" i="4" s="1"/>
  <c r="JZ15" i="4" s="1"/>
  <c r="JW9" i="4" s="1"/>
  <c r="KE9" i="4" s="1"/>
  <c r="KB14" i="4" s="1"/>
  <c r="JQ16" i="4" s="1"/>
  <c r="JQ21" i="4" s="1"/>
  <c r="CK103" i="1" s="1"/>
  <c r="KA9" i="4" s="1"/>
  <c r="KB8" i="4" s="1"/>
  <c r="CJ152" i="1"/>
  <c r="CK152" i="1" s="1"/>
  <c r="CM152" i="1" s="1"/>
  <c r="CN152" i="1" s="1"/>
  <c r="CJ161" i="1"/>
  <c r="CK161" i="1" s="1"/>
  <c r="CM161" i="1" s="1"/>
  <c r="CN161" i="1" s="1"/>
  <c r="JX16" i="4" s="1"/>
  <c r="JR9" i="4" s="1"/>
  <c r="JT7" i="4" s="1"/>
  <c r="KB9" i="4" s="1"/>
  <c r="JT15" i="4" s="1"/>
  <c r="CJ179" i="1"/>
  <c r="CJ209" i="1" s="1"/>
  <c r="CK209" i="1" s="1"/>
  <c r="Y100" i="1"/>
  <c r="CI100" i="1"/>
  <c r="CJ186" i="1"/>
  <c r="JS9" i="4" s="1"/>
  <c r="JQ9" i="4" s="1"/>
  <c r="JU8" i="4" s="1"/>
  <c r="CK100" i="1"/>
  <c r="CJ168" i="1"/>
  <c r="CH99" i="1"/>
  <c r="JX9" i="4" s="1"/>
  <c r="JX21" i="4" s="1"/>
  <c r="KH9" i="4" s="1"/>
  <c r="CJ100" i="1"/>
  <c r="CJ181" i="1"/>
  <c r="CJ150" i="1"/>
  <c r="CK150" i="1" s="1"/>
  <c r="CM150" i="1" s="1"/>
  <c r="CG99" i="1"/>
  <c r="JV7" i="4" s="1"/>
  <c r="KC9" i="4" s="1"/>
  <c r="JV9" i="4" s="1"/>
  <c r="JZ9" i="4" s="1"/>
  <c r="CJ99" i="1"/>
  <c r="CG100" i="1"/>
  <c r="CJ159" i="1"/>
  <c r="CK159" i="1" s="1"/>
  <c r="CM159" i="1" s="1"/>
  <c r="CN159" i="1" s="1"/>
  <c r="CI99" i="1"/>
  <c r="CH180" i="1"/>
  <c r="CH182" i="1" s="1"/>
  <c r="CH211" i="1" s="1"/>
  <c r="Y199" i="1"/>
  <c r="X36" i="1"/>
  <c r="X124" i="1" s="1"/>
  <c r="CK124" i="1"/>
  <c r="CK36" i="1"/>
  <c r="CK52" i="1"/>
  <c r="X209" i="1"/>
  <c r="Y160" i="1"/>
  <c r="Y52" i="1"/>
  <c r="Y205" i="1"/>
  <c r="X199" i="1"/>
  <c r="CH185" i="1"/>
  <c r="CH187" i="1" s="1"/>
  <c r="CI235" i="1" s="1"/>
  <c r="X220" i="1"/>
  <c r="X279" i="1"/>
  <c r="Y220" i="1"/>
  <c r="Y279" i="1"/>
  <c r="Y278" i="1"/>
  <c r="Y36" i="1"/>
  <c r="Y257" i="1"/>
  <c r="Y209" i="1"/>
  <c r="CH143" i="1"/>
  <c r="CH170" i="1"/>
  <c r="CH174" i="1" s="1"/>
  <c r="CH208" i="1" s="1"/>
  <c r="CH161" i="1"/>
  <c r="CI161" i="1" s="1"/>
  <c r="CG220" i="1"/>
  <c r="CG279" i="1"/>
  <c r="Y182" i="1"/>
  <c r="Z223" i="1" s="1"/>
  <c r="CH279" i="1"/>
  <c r="CG278" i="1"/>
  <c r="X160" i="1"/>
  <c r="CI257" i="1"/>
  <c r="CI36" i="1"/>
  <c r="JY14" i="4"/>
  <c r="CJ124" i="1"/>
  <c r="Y228" i="1"/>
  <c r="Y206" i="1"/>
  <c r="CG36" i="1"/>
  <c r="X182" i="1"/>
  <c r="Y146" i="1"/>
  <c r="X154" i="1"/>
  <c r="X187" i="1"/>
  <c r="X146" i="1"/>
  <c r="X201" i="1" s="1"/>
  <c r="Y154" i="1"/>
  <c r="X52" i="1"/>
  <c r="JR7" i="4"/>
  <c r="KG8" i="4"/>
  <c r="KH8" i="4"/>
  <c r="KG7" i="4"/>
  <c r="JS7" i="4"/>
  <c r="KH14" i="4"/>
  <c r="KH15" i="4"/>
  <c r="CI158" i="1"/>
  <c r="CJ158" i="1" s="1"/>
  <c r="CH278" i="1"/>
  <c r="CJ52" i="1"/>
  <c r="CI154" i="1"/>
  <c r="CG52" i="1"/>
  <c r="CH36" i="1"/>
  <c r="CL37" i="1" s="1"/>
  <c r="CH52" i="1"/>
  <c r="CI278" i="1"/>
  <c r="CJ279" i="1"/>
  <c r="CH257" i="1"/>
  <c r="CJ257" i="1"/>
  <c r="CI279" i="1"/>
  <c r="CH206" i="1"/>
  <c r="CI206" i="1" s="1"/>
  <c r="CH209" i="1"/>
  <c r="CI209" i="1" s="1"/>
  <c r="CJ278" i="1"/>
  <c r="CJ36" i="1"/>
  <c r="CN37" i="1" s="1"/>
  <c r="Y99" i="1"/>
  <c r="X100" i="1"/>
  <c r="CI52" i="1"/>
  <c r="CI91" i="1"/>
  <c r="CJ220" i="1"/>
  <c r="CH91" i="1"/>
  <c r="CG91" i="1"/>
  <c r="CI228" i="1"/>
  <c r="CJ91" i="1"/>
  <c r="CH154" i="1"/>
  <c r="JP15" i="4"/>
  <c r="JP14" i="4"/>
  <c r="JP8" i="4"/>
  <c r="JP7" i="4"/>
  <c r="JP21" i="4"/>
  <c r="CJ103" i="1" s="1"/>
  <c r="JO21" i="4"/>
  <c r="CI103" i="1" s="1"/>
  <c r="JO7" i="4"/>
  <c r="JO15" i="4"/>
  <c r="JO14" i="4"/>
  <c r="JO8" i="4"/>
  <c r="JN21" i="4"/>
  <c r="CH103" i="1" s="1"/>
  <c r="JN15" i="4"/>
  <c r="JN14" i="4"/>
  <c r="JN7" i="4"/>
  <c r="JN8" i="4"/>
  <c r="CB39" i="1"/>
  <c r="Z224" i="1" l="1"/>
  <c r="Z54" i="1"/>
  <c r="Z43" i="1"/>
  <c r="Z37" i="1"/>
  <c r="Z214" i="1"/>
  <c r="Z232" i="1"/>
  <c r="Z275" i="1"/>
  <c r="CL38" i="1"/>
  <c r="AA46" i="1"/>
  <c r="CL43" i="1"/>
  <c r="CL54" i="1"/>
  <c r="CL183" i="1"/>
  <c r="CL191" i="1" s="1"/>
  <c r="CL208" i="1"/>
  <c r="CL194" i="1"/>
  <c r="CL155" i="1"/>
  <c r="CL214" i="1"/>
  <c r="KE21" i="4"/>
  <c r="JY21" i="4"/>
  <c r="KA16" i="4" s="1"/>
  <c r="KA21" i="4" s="1"/>
  <c r="JS16" i="4" s="1"/>
  <c r="JS21" i="4" s="1"/>
  <c r="KC15" i="4" s="1"/>
  <c r="KE14" i="4" s="1"/>
  <c r="JR16" i="4" s="1"/>
  <c r="JS14" i="4" s="1"/>
  <c r="JV21" i="4"/>
  <c r="KH21" i="4"/>
  <c r="Y208" i="1"/>
  <c r="CK125" i="1"/>
  <c r="CK128" i="1" s="1"/>
  <c r="CJ157" i="1"/>
  <c r="CK157" i="1" s="1"/>
  <c r="KG14" i="4"/>
  <c r="JU15" i="4"/>
  <c r="JS15" i="4"/>
  <c r="KC8" i="4"/>
  <c r="JT21" i="4"/>
  <c r="JW15" i="4"/>
  <c r="KD14" i="4"/>
  <c r="KG15" i="4"/>
  <c r="KG20" i="4" s="1"/>
  <c r="KB7" i="4"/>
  <c r="KD8" i="4"/>
  <c r="JZ21" i="4"/>
  <c r="KH7" i="4"/>
  <c r="KH19" i="4" s="1"/>
  <c r="JR14" i="4"/>
  <c r="CS37" i="1"/>
  <c r="CS38" i="1"/>
  <c r="CT38" i="1"/>
  <c r="KE7" i="4"/>
  <c r="JW7" i="4"/>
  <c r="KD21" i="4"/>
  <c r="AA27" i="1"/>
  <c r="CO27" i="1"/>
  <c r="JQ7" i="4"/>
  <c r="JY7" i="4"/>
  <c r="JY19" i="4" s="1"/>
  <c r="KA15" i="4"/>
  <c r="KC21" i="4"/>
  <c r="KC7" i="4"/>
  <c r="JU21" i="4"/>
  <c r="JR15" i="4"/>
  <c r="CK42" i="1"/>
  <c r="CL45" i="1" s="1"/>
  <c r="CO37" i="1"/>
  <c r="CI42" i="1"/>
  <c r="CI43" i="1" s="1"/>
  <c r="CM37" i="1"/>
  <c r="DC21" i="1"/>
  <c r="DD21" i="1" s="1"/>
  <c r="CV7" i="1"/>
  <c r="CV15" i="1"/>
  <c r="AC22" i="1"/>
  <c r="CY6" i="1"/>
  <c r="DA6" i="1"/>
  <c r="DA16" i="1" s="1"/>
  <c r="CX16" i="1"/>
  <c r="CU34" i="1"/>
  <c r="CU36" i="1" s="1"/>
  <c r="CW5" i="1"/>
  <c r="AC5" i="1"/>
  <c r="CJ228" i="1"/>
  <c r="CK38" i="1"/>
  <c r="CJ154" i="1"/>
  <c r="CJ275" i="1" s="1"/>
  <c r="X183" i="1"/>
  <c r="X42" i="1"/>
  <c r="X43" i="1" s="1"/>
  <c r="CO163" i="1"/>
  <c r="CP163" i="1" s="1"/>
  <c r="CQ163" i="1" s="1"/>
  <c r="CR163" i="1" s="1"/>
  <c r="AA163" i="1"/>
  <c r="CO159" i="1"/>
  <c r="CP159" i="1" s="1"/>
  <c r="CQ159" i="1" s="1"/>
  <c r="CR159" i="1" s="1"/>
  <c r="AA159" i="1"/>
  <c r="CO148" i="1"/>
  <c r="CP148" i="1" s="1"/>
  <c r="CQ148" i="1" s="1"/>
  <c r="CR148" i="1" s="1"/>
  <c r="AA148" i="1"/>
  <c r="CO153" i="1"/>
  <c r="CP153" i="1" s="1"/>
  <c r="CQ153" i="1" s="1"/>
  <c r="CR153" i="1" s="1"/>
  <c r="AA153" i="1"/>
  <c r="CK37" i="1"/>
  <c r="CO161" i="1"/>
  <c r="CP161" i="1" s="1"/>
  <c r="CQ161" i="1" s="1"/>
  <c r="CR161" i="1" s="1"/>
  <c r="AA161" i="1"/>
  <c r="CO189" i="1"/>
  <c r="CP189" i="1" s="1"/>
  <c r="CQ189" i="1" s="1"/>
  <c r="CR189" i="1" s="1"/>
  <c r="AA189" i="1"/>
  <c r="CO144" i="1"/>
  <c r="CP144" i="1" s="1"/>
  <c r="CQ144" i="1" s="1"/>
  <c r="CR144" i="1" s="1"/>
  <c r="AA144" i="1"/>
  <c r="CK53" i="1"/>
  <c r="CO152" i="1"/>
  <c r="CP152" i="1" s="1"/>
  <c r="CQ152" i="1" s="1"/>
  <c r="CR152" i="1" s="1"/>
  <c r="AA152" i="1"/>
  <c r="CJ182" i="1"/>
  <c r="CJ211" i="1" s="1"/>
  <c r="CJ210" i="1" s="1"/>
  <c r="CK210" i="1" s="1"/>
  <c r="CJ146" i="1"/>
  <c r="CO190" i="1"/>
  <c r="CP190" i="1" s="1"/>
  <c r="CQ190" i="1" s="1"/>
  <c r="CR190" i="1" s="1"/>
  <c r="AA190" i="1"/>
  <c r="Y222" i="1"/>
  <c r="CS46" i="1"/>
  <c r="AB46" i="1"/>
  <c r="CK143" i="1"/>
  <c r="CM143" i="1" s="1"/>
  <c r="CN143" i="1" s="1"/>
  <c r="KA7" i="4"/>
  <c r="KD7" i="4"/>
  <c r="JW21" i="4"/>
  <c r="KF15" i="4"/>
  <c r="CJ174" i="1"/>
  <c r="JX15" i="4"/>
  <c r="KD15" i="4"/>
  <c r="JQ8" i="4"/>
  <c r="JU7" i="4"/>
  <c r="JU19" i="4" s="1"/>
  <c r="CH205" i="1"/>
  <c r="CI205" i="1" s="1"/>
  <c r="KF7" i="4"/>
  <c r="KF19" i="4" s="1"/>
  <c r="CJ187" i="1"/>
  <c r="CK235" i="1" s="1"/>
  <c r="KB21" i="4"/>
  <c r="JV8" i="4"/>
  <c r="JV20" i="4" s="1"/>
  <c r="JZ7" i="4"/>
  <c r="JS8" i="4"/>
  <c r="JW14" i="4"/>
  <c r="JX8" i="4"/>
  <c r="JT14" i="4"/>
  <c r="JW8" i="4"/>
  <c r="KF21" i="4"/>
  <c r="JZ14" i="4"/>
  <c r="JZ19" i="4" s="1"/>
  <c r="KC14" i="4"/>
  <c r="KE15" i="4"/>
  <c r="JX14" i="4"/>
  <c r="JX19" i="4" s="1"/>
  <c r="KF8" i="4"/>
  <c r="KF20" i="4" s="1"/>
  <c r="JT8" i="4"/>
  <c r="JT20" i="4" s="1"/>
  <c r="JQ14" i="4"/>
  <c r="JQ19" i="4" s="1"/>
  <c r="CK104" i="1" s="1"/>
  <c r="JY15" i="4"/>
  <c r="JY20" i="4" s="1"/>
  <c r="KA14" i="4"/>
  <c r="KE8" i="4"/>
  <c r="KA8" i="4"/>
  <c r="CJ164" i="1"/>
  <c r="KB15" i="4"/>
  <c r="KB20" i="4" s="1"/>
  <c r="KG21" i="4"/>
  <c r="X53" i="1"/>
  <c r="Y164" i="1"/>
  <c r="Z229" i="1" s="1"/>
  <c r="Z227" i="1" s="1"/>
  <c r="Y59" i="1"/>
  <c r="JV19" i="4"/>
  <c r="Y124" i="1"/>
  <c r="Y53" i="1"/>
  <c r="Y214" i="1"/>
  <c r="Y42" i="1"/>
  <c r="Z44" i="1" s="1"/>
  <c r="Y37" i="1"/>
  <c r="CI143" i="1"/>
  <c r="CH146" i="1"/>
  <c r="CH157" i="1"/>
  <c r="CG53" i="1"/>
  <c r="CG42" i="1"/>
  <c r="X155" i="1"/>
  <c r="JQ20" i="4"/>
  <c r="CK105" i="1" s="1"/>
  <c r="CI53" i="1"/>
  <c r="Y211" i="1"/>
  <c r="Y183" i="1"/>
  <c r="X164" i="1"/>
  <c r="X272" i="1" s="1"/>
  <c r="X59" i="1"/>
  <c r="CH210" i="1"/>
  <c r="CI210" i="1" s="1"/>
  <c r="X274" i="1"/>
  <c r="Y235" i="1"/>
  <c r="Y201" i="1"/>
  <c r="Y274" i="1"/>
  <c r="X63" i="1"/>
  <c r="X194" i="1"/>
  <c r="X135" i="1" s="1"/>
  <c r="CI232" i="1"/>
  <c r="X211" i="1"/>
  <c r="Y223" i="1"/>
  <c r="CK228" i="1"/>
  <c r="JZ20" i="4"/>
  <c r="KH20" i="4"/>
  <c r="Y275" i="1"/>
  <c r="Y232" i="1"/>
  <c r="Y194" i="1"/>
  <c r="Y135" i="1" s="1"/>
  <c r="CK154" i="1"/>
  <c r="Y63" i="1"/>
  <c r="Y155" i="1"/>
  <c r="CI38" i="1"/>
  <c r="CJ42" i="1"/>
  <c r="CJ125" i="1"/>
  <c r="CJ128" i="1" s="1"/>
  <c r="CH53" i="1"/>
  <c r="CJ251" i="1"/>
  <c r="CJ38" i="1"/>
  <c r="CJ53" i="1"/>
  <c r="CH42" i="1"/>
  <c r="CL44" i="1" s="1"/>
  <c r="CH38" i="1"/>
  <c r="CH183" i="1"/>
  <c r="CH194" i="1"/>
  <c r="CI275" i="1"/>
  <c r="X207" i="1"/>
  <c r="CM205" i="1"/>
  <c r="CN150" i="1"/>
  <c r="AA150" i="1" s="1"/>
  <c r="CM206" i="1"/>
  <c r="CM209" i="1"/>
  <c r="JP20" i="4"/>
  <c r="CJ105" i="1" s="1"/>
  <c r="JP19" i="4"/>
  <c r="CJ104" i="1" s="1"/>
  <c r="JO19" i="4"/>
  <c r="CI104" i="1" s="1"/>
  <c r="JO20" i="4"/>
  <c r="CI105" i="1" s="1"/>
  <c r="JN20" i="4"/>
  <c r="CH105" i="1" s="1"/>
  <c r="JN19" i="4"/>
  <c r="CH104" i="1" s="1"/>
  <c r="CH212" i="1"/>
  <c r="Z138" i="1" l="1"/>
  <c r="Z60" i="1"/>
  <c r="Z258" i="1"/>
  <c r="Z259" i="1" s="1"/>
  <c r="Z55" i="1"/>
  <c r="JT19" i="4"/>
  <c r="X54" i="1"/>
  <c r="Y207" i="1"/>
  <c r="JR20" i="4"/>
  <c r="CL105" i="1" s="1"/>
  <c r="CI54" i="1"/>
  <c r="CL55" i="1"/>
  <c r="CL60" i="1"/>
  <c r="CL207" i="1"/>
  <c r="CL212" i="1"/>
  <c r="CL215" i="1" s="1"/>
  <c r="CL192" i="1"/>
  <c r="JW19" i="4"/>
  <c r="JR21" i="4"/>
  <c r="CL103" i="1" s="1"/>
  <c r="CL128" i="1" s="1"/>
  <c r="JX20" i="4"/>
  <c r="KC20" i="4"/>
  <c r="JW20" i="4"/>
  <c r="KG19" i="4"/>
  <c r="JS20" i="4"/>
  <c r="KB19" i="4"/>
  <c r="KA19" i="4"/>
  <c r="KD19" i="4"/>
  <c r="JR19" i="4"/>
  <c r="CL104" i="1" s="1"/>
  <c r="JU20" i="4"/>
  <c r="JS19" i="4"/>
  <c r="KE19" i="4"/>
  <c r="CK43" i="1"/>
  <c r="CK54" i="1"/>
  <c r="CK45" i="1"/>
  <c r="CK44" i="1"/>
  <c r="CJ232" i="1"/>
  <c r="KE20" i="4"/>
  <c r="KA20" i="4"/>
  <c r="KD20" i="4"/>
  <c r="KC19" i="4"/>
  <c r="AB27" i="1"/>
  <c r="CS27" i="1"/>
  <c r="CO29" i="1"/>
  <c r="CP26" i="1" s="1"/>
  <c r="CP29" i="1" s="1"/>
  <c r="CQ26" i="1" s="1"/>
  <c r="CQ29" i="1" s="1"/>
  <c r="CR26" i="1" s="1"/>
  <c r="CR29" i="1" s="1"/>
  <c r="CS26" i="1" s="1"/>
  <c r="CV34" i="1"/>
  <c r="CV36" i="1" s="1"/>
  <c r="CV38" i="1" s="1"/>
  <c r="CV28" i="1"/>
  <c r="CV17" i="1"/>
  <c r="AC15" i="1"/>
  <c r="AC17" i="1" s="1"/>
  <c r="CW7" i="1"/>
  <c r="CW15" i="1"/>
  <c r="DB6" i="1"/>
  <c r="DB16" i="1" s="1"/>
  <c r="CY16" i="1"/>
  <c r="CZ6" i="1"/>
  <c r="AD6" i="1" s="1"/>
  <c r="AD12" i="1" s="1"/>
  <c r="CU8" i="1"/>
  <c r="AC11" i="1"/>
  <c r="AC7" i="1"/>
  <c r="CX5" i="1"/>
  <c r="CU37" i="1"/>
  <c r="CU38" i="1"/>
  <c r="CJ155" i="1"/>
  <c r="CJ183" i="1"/>
  <c r="CJ191" i="1" s="1"/>
  <c r="Y44" i="1"/>
  <c r="CJ208" i="1"/>
  <c r="CJ207" i="1" s="1"/>
  <c r="CK207" i="1" s="1"/>
  <c r="CJ118" i="1"/>
  <c r="CJ120" i="1" s="1"/>
  <c r="CJ274" i="1"/>
  <c r="CS159" i="1"/>
  <c r="CT159" i="1" s="1"/>
  <c r="CU159" i="1" s="1"/>
  <c r="CV159" i="1" s="1"/>
  <c r="AB159" i="1"/>
  <c r="Y224" i="1"/>
  <c r="CS144" i="1"/>
  <c r="CT144" i="1" s="1"/>
  <c r="CU144" i="1" s="1"/>
  <c r="CV144" i="1" s="1"/>
  <c r="AB144" i="1"/>
  <c r="CS161" i="1"/>
  <c r="CT161" i="1" s="1"/>
  <c r="CU161" i="1" s="1"/>
  <c r="CV161" i="1" s="1"/>
  <c r="AB161" i="1"/>
  <c r="CS153" i="1"/>
  <c r="CT153" i="1" s="1"/>
  <c r="CU153" i="1" s="1"/>
  <c r="CV153" i="1" s="1"/>
  <c r="AB153" i="1"/>
  <c r="CS190" i="1"/>
  <c r="CT190" i="1" s="1"/>
  <c r="CU190" i="1" s="1"/>
  <c r="CV190" i="1" s="1"/>
  <c r="AB190" i="1"/>
  <c r="CS152" i="1"/>
  <c r="CT152" i="1" s="1"/>
  <c r="CU152" i="1" s="1"/>
  <c r="CV152" i="1" s="1"/>
  <c r="AB152" i="1"/>
  <c r="CS148" i="1"/>
  <c r="CT148" i="1" s="1"/>
  <c r="CU148" i="1" s="1"/>
  <c r="CV148" i="1" s="1"/>
  <c r="AB148" i="1"/>
  <c r="CO143" i="1"/>
  <c r="CP143" i="1" s="1"/>
  <c r="CQ143" i="1" s="1"/>
  <c r="CR143" i="1" s="1"/>
  <c r="AA143" i="1"/>
  <c r="AC46" i="1"/>
  <c r="CW46" i="1"/>
  <c r="CS189" i="1"/>
  <c r="CT189" i="1" s="1"/>
  <c r="CU189" i="1" s="1"/>
  <c r="CV189" i="1" s="1"/>
  <c r="AB189" i="1"/>
  <c r="CS163" i="1"/>
  <c r="CT163" i="1" s="1"/>
  <c r="CU163" i="1" s="1"/>
  <c r="CV163" i="1" s="1"/>
  <c r="AB163" i="1"/>
  <c r="CH207" i="1"/>
  <c r="CI207" i="1" s="1"/>
  <c r="CI172" i="1" s="1"/>
  <c r="CJ272" i="1"/>
  <c r="CJ270" i="1"/>
  <c r="CK134" i="1"/>
  <c r="Y191" i="1"/>
  <c r="Y192" i="1" s="1"/>
  <c r="X191" i="1"/>
  <c r="X192" i="1" s="1"/>
  <c r="CK133" i="1"/>
  <c r="CK129" i="1"/>
  <c r="CK130" i="1"/>
  <c r="Y272" i="1"/>
  <c r="Y270" i="1"/>
  <c r="X270" i="1"/>
  <c r="Y229" i="1"/>
  <c r="Y227" i="1" s="1"/>
  <c r="Y43" i="1"/>
  <c r="Y54" i="1"/>
  <c r="Z56" i="1" s="1"/>
  <c r="CH118" i="1"/>
  <c r="CH274" i="1"/>
  <c r="CH155" i="1"/>
  <c r="CI157" i="1"/>
  <c r="CI160" i="1" s="1"/>
  <c r="CH160" i="1"/>
  <c r="CG54" i="1"/>
  <c r="CG43" i="1"/>
  <c r="CK211" i="1"/>
  <c r="Y210" i="1"/>
  <c r="Y212" i="1"/>
  <c r="Z215" i="1" s="1"/>
  <c r="Z216" i="1" s="1"/>
  <c r="CI211" i="1"/>
  <c r="CI178" i="1"/>
  <c r="CL228" i="1"/>
  <c r="CM166" i="1"/>
  <c r="CI45" i="1"/>
  <c r="CH43" i="1"/>
  <c r="X210" i="1"/>
  <c r="X212" i="1"/>
  <c r="CM151" i="1"/>
  <c r="CJ45" i="1"/>
  <c r="CJ54" i="1"/>
  <c r="CJ43" i="1"/>
  <c r="CK232" i="1"/>
  <c r="CK275" i="1"/>
  <c r="CH54" i="1"/>
  <c r="CL56" i="1" s="1"/>
  <c r="CH45" i="1"/>
  <c r="CI63" i="1"/>
  <c r="CH135" i="1"/>
  <c r="CJ134" i="1"/>
  <c r="CJ130" i="1"/>
  <c r="CH134" i="1"/>
  <c r="CI133" i="1"/>
  <c r="CH133" i="1"/>
  <c r="CI134" i="1"/>
  <c r="CJ133" i="1"/>
  <c r="CJ129" i="1"/>
  <c r="CN206" i="1"/>
  <c r="CO150" i="1"/>
  <c r="CN209" i="1"/>
  <c r="CN205" i="1"/>
  <c r="CL130" i="1" l="1"/>
  <c r="CL134" i="1"/>
  <c r="Z64" i="1"/>
  <c r="Z81" i="1"/>
  <c r="CK60" i="1"/>
  <c r="CK56" i="1"/>
  <c r="X258" i="1"/>
  <c r="X259" i="1" s="1"/>
  <c r="X60" i="1"/>
  <c r="X138" i="1"/>
  <c r="X55" i="1"/>
  <c r="CI60" i="1"/>
  <c r="CI258" i="1"/>
  <c r="CI259" i="1" s="1"/>
  <c r="CI55" i="1"/>
  <c r="Z276" i="1"/>
  <c r="Z277" i="1" s="1"/>
  <c r="CL18" i="1"/>
  <c r="CL64" i="1"/>
  <c r="CL133" i="1"/>
  <c r="CL129" i="1"/>
  <c r="Y276" i="1"/>
  <c r="Y277" i="1" s="1"/>
  <c r="CL57" i="1"/>
  <c r="CL138" i="1"/>
  <c r="CK55" i="1"/>
  <c r="CK57" i="1"/>
  <c r="CV37" i="1"/>
  <c r="CS29" i="1"/>
  <c r="CT26" i="1" s="1"/>
  <c r="CT29" i="1" s="1"/>
  <c r="CU26" i="1" s="1"/>
  <c r="CU29" i="1" s="1"/>
  <c r="CV26" i="1" s="1"/>
  <c r="CV29" i="1" s="1"/>
  <c r="CW26" i="1" s="1"/>
  <c r="CV8" i="1"/>
  <c r="CW34" i="1"/>
  <c r="CW36" i="1" s="1"/>
  <c r="CW38" i="1" s="1"/>
  <c r="CW28" i="1"/>
  <c r="AC27" i="1"/>
  <c r="CW27" i="1"/>
  <c r="AC21" i="1"/>
  <c r="CW17" i="1"/>
  <c r="CX7" i="1"/>
  <c r="CX15" i="1"/>
  <c r="CX17" i="1" s="1"/>
  <c r="DC6" i="1"/>
  <c r="DC16" i="1" s="1"/>
  <c r="CZ16" i="1"/>
  <c r="CY5" i="1"/>
  <c r="CJ192" i="1"/>
  <c r="CI208" i="1"/>
  <c r="CJ212" i="1"/>
  <c r="CJ121" i="1"/>
  <c r="CJ122" i="1"/>
  <c r="CW189" i="1"/>
  <c r="CX189" i="1" s="1"/>
  <c r="CY189" i="1" s="1"/>
  <c r="CZ189" i="1" s="1"/>
  <c r="AD189" i="1" s="1"/>
  <c r="AC189" i="1"/>
  <c r="CS143" i="1"/>
  <c r="CT143" i="1" s="1"/>
  <c r="CU143" i="1" s="1"/>
  <c r="CV143" i="1" s="1"/>
  <c r="AB143" i="1"/>
  <c r="CW152" i="1"/>
  <c r="CX152" i="1" s="1"/>
  <c r="CY152" i="1" s="1"/>
  <c r="CZ152" i="1" s="1"/>
  <c r="AC152" i="1"/>
  <c r="CW161" i="1"/>
  <c r="CX161" i="1" s="1"/>
  <c r="CY161" i="1" s="1"/>
  <c r="CZ161" i="1" s="1"/>
  <c r="AC161" i="1"/>
  <c r="Y56" i="1"/>
  <c r="DA46" i="1"/>
  <c r="AE46" i="1" s="1"/>
  <c r="AD46" i="1"/>
  <c r="CW159" i="1"/>
  <c r="CX159" i="1" s="1"/>
  <c r="CY159" i="1" s="1"/>
  <c r="CZ159" i="1" s="1"/>
  <c r="AC159" i="1"/>
  <c r="CW163" i="1"/>
  <c r="CX163" i="1" s="1"/>
  <c r="CY163" i="1" s="1"/>
  <c r="CZ163" i="1" s="1"/>
  <c r="AC163" i="1"/>
  <c r="CW148" i="1"/>
  <c r="CX148" i="1" s="1"/>
  <c r="CY148" i="1" s="1"/>
  <c r="CZ148" i="1" s="1"/>
  <c r="AC148" i="1"/>
  <c r="CW190" i="1"/>
  <c r="CX190" i="1" s="1"/>
  <c r="CY190" i="1" s="1"/>
  <c r="CZ190" i="1" s="1"/>
  <c r="AC190" i="1"/>
  <c r="CW153" i="1"/>
  <c r="CX153" i="1" s="1"/>
  <c r="CY153" i="1" s="1"/>
  <c r="CZ153" i="1" s="1"/>
  <c r="AC153" i="1"/>
  <c r="CW144" i="1"/>
  <c r="CX144" i="1" s="1"/>
  <c r="CY144" i="1" s="1"/>
  <c r="CZ144" i="1" s="1"/>
  <c r="AC144" i="1"/>
  <c r="Y258" i="1"/>
  <c r="Y259" i="1" s="1"/>
  <c r="Y55" i="1"/>
  <c r="Y138" i="1"/>
  <c r="Y60" i="1"/>
  <c r="Y81" i="1" s="1"/>
  <c r="Y215" i="1"/>
  <c r="Y216" i="1" s="1"/>
  <c r="CI276" i="1"/>
  <c r="CI277" i="1" s="1"/>
  <c r="CK138" i="1"/>
  <c r="CG55" i="1"/>
  <c r="CG60" i="1"/>
  <c r="CG258" i="1"/>
  <c r="CG259" i="1" s="1"/>
  <c r="CM228" i="1"/>
  <c r="CN166" i="1"/>
  <c r="AA166" i="1" s="1"/>
  <c r="CH120" i="1"/>
  <c r="CH122" i="1"/>
  <c r="CH121" i="1"/>
  <c r="CJ59" i="1"/>
  <c r="CI164" i="1"/>
  <c r="CJ229" i="1" s="1"/>
  <c r="CJ227" i="1" s="1"/>
  <c r="CH164" i="1"/>
  <c r="CI59" i="1"/>
  <c r="CK208" i="1"/>
  <c r="CK212" i="1" s="1"/>
  <c r="CM210" i="1"/>
  <c r="CJ57" i="1"/>
  <c r="CJ276" i="1"/>
  <c r="CJ277" i="1" s="1"/>
  <c r="CJ258" i="1"/>
  <c r="CJ259" i="1" s="1"/>
  <c r="CH55" i="1"/>
  <c r="CH60" i="1"/>
  <c r="CH57" i="1"/>
  <c r="CH276" i="1"/>
  <c r="CI57" i="1"/>
  <c r="CH258" i="1"/>
  <c r="CH259" i="1" s="1"/>
  <c r="CJ252" i="1"/>
  <c r="CJ138" i="1"/>
  <c r="CJ55" i="1"/>
  <c r="CJ60" i="1"/>
  <c r="CN151" i="1"/>
  <c r="AA151" i="1" s="1"/>
  <c r="CM154" i="1"/>
  <c r="CM275" i="1" s="1"/>
  <c r="CL275" i="1"/>
  <c r="CL232" i="1"/>
  <c r="CH136" i="1"/>
  <c r="CH137" i="1"/>
  <c r="CP150" i="1"/>
  <c r="CO205" i="1"/>
  <c r="CO206" i="1"/>
  <c r="CO209" i="1"/>
  <c r="CM72" i="1"/>
  <c r="Z66" i="1" l="1"/>
  <c r="Z67" i="1"/>
  <c r="CK64" i="1"/>
  <c r="CK67" i="1" s="1"/>
  <c r="CK18" i="1"/>
  <c r="CI64" i="1"/>
  <c r="CI67" i="1" s="1"/>
  <c r="CI18" i="1"/>
  <c r="X64" i="1"/>
  <c r="X81" i="1"/>
  <c r="CL66" i="1"/>
  <c r="CL67" i="1"/>
  <c r="CM43" i="1"/>
  <c r="CK66" i="1"/>
  <c r="CW8" i="1"/>
  <c r="CW37" i="1"/>
  <c r="AD27" i="1"/>
  <c r="DA27" i="1"/>
  <c r="AE27" i="1" s="1"/>
  <c r="CX34" i="1"/>
  <c r="CX36" i="1" s="1"/>
  <c r="CX38" i="1" s="1"/>
  <c r="CX28" i="1"/>
  <c r="CW29" i="1"/>
  <c r="CX26" i="1" s="1"/>
  <c r="Z18" i="1"/>
  <c r="CY7" i="1"/>
  <c r="CY15" i="1"/>
  <c r="DD6" i="1"/>
  <c r="DD16" i="1" s="1"/>
  <c r="AE6" i="1"/>
  <c r="AE12" i="1" s="1"/>
  <c r="AD16" i="1"/>
  <c r="CZ5" i="1"/>
  <c r="CZ15" i="1" s="1"/>
  <c r="CZ17" i="1" s="1"/>
  <c r="CJ64" i="1"/>
  <c r="CJ67" i="1" s="1"/>
  <c r="CK70" i="1" s="1"/>
  <c r="CJ18" i="1"/>
  <c r="CH64" i="1"/>
  <c r="CH67" i="1" s="1"/>
  <c r="CL69" i="1" s="1"/>
  <c r="CH18" i="1"/>
  <c r="CG64" i="1"/>
  <c r="CG67" i="1" s="1"/>
  <c r="CK69" i="1" s="1"/>
  <c r="CG18" i="1"/>
  <c r="DA159" i="1"/>
  <c r="DB159" i="1" s="1"/>
  <c r="DC159" i="1" s="1"/>
  <c r="DD159" i="1" s="1"/>
  <c r="AE159" i="1" s="1"/>
  <c r="AD159" i="1"/>
  <c r="DA148" i="1"/>
  <c r="DB148" i="1" s="1"/>
  <c r="DC148" i="1" s="1"/>
  <c r="DD148" i="1" s="1"/>
  <c r="AE148" i="1" s="1"/>
  <c r="AD148" i="1"/>
  <c r="DA153" i="1"/>
  <c r="DB153" i="1" s="1"/>
  <c r="DC153" i="1" s="1"/>
  <c r="DD153" i="1" s="1"/>
  <c r="AE153" i="1" s="1"/>
  <c r="AD153" i="1"/>
  <c r="DA161" i="1"/>
  <c r="DB161" i="1" s="1"/>
  <c r="DC161" i="1" s="1"/>
  <c r="DD161" i="1" s="1"/>
  <c r="AE161" i="1" s="1"/>
  <c r="AD161" i="1"/>
  <c r="CW143" i="1"/>
  <c r="CX143" i="1" s="1"/>
  <c r="CY143" i="1" s="1"/>
  <c r="CZ143" i="1" s="1"/>
  <c r="AD143" i="1" s="1"/>
  <c r="AC143" i="1"/>
  <c r="CM71" i="1"/>
  <c r="CN71" i="1" s="1"/>
  <c r="CO71" i="1" s="1"/>
  <c r="DA144" i="1"/>
  <c r="DB144" i="1" s="1"/>
  <c r="DC144" i="1" s="1"/>
  <c r="DD144" i="1" s="1"/>
  <c r="AE144" i="1" s="1"/>
  <c r="AD144" i="1"/>
  <c r="DA190" i="1"/>
  <c r="DB190" i="1" s="1"/>
  <c r="DC190" i="1" s="1"/>
  <c r="DD190" i="1" s="1"/>
  <c r="AE190" i="1" s="1"/>
  <c r="AD190" i="1"/>
  <c r="DA163" i="1"/>
  <c r="DB163" i="1" s="1"/>
  <c r="DC163" i="1" s="1"/>
  <c r="DD163" i="1" s="1"/>
  <c r="AE163" i="1" s="1"/>
  <c r="AD163" i="1"/>
  <c r="DA152" i="1"/>
  <c r="DB152" i="1" s="1"/>
  <c r="DC152" i="1" s="1"/>
  <c r="DD152" i="1" s="1"/>
  <c r="AE152" i="1" s="1"/>
  <c r="AD152" i="1"/>
  <c r="Y64" i="1"/>
  <c r="Y66" i="1" s="1"/>
  <c r="CN228" i="1"/>
  <c r="CO166" i="1"/>
  <c r="CN59" i="1"/>
  <c r="CO59" i="1" s="1"/>
  <c r="CP59" i="1" s="1"/>
  <c r="CQ59" i="1" s="1"/>
  <c r="CR59" i="1" s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DC59" i="1" s="1"/>
  <c r="DD59" i="1" s="1"/>
  <c r="CH272" i="1"/>
  <c r="CI229" i="1"/>
  <c r="CI227" i="1" s="1"/>
  <c r="CH191" i="1"/>
  <c r="CH192" i="1" s="1"/>
  <c r="CN210" i="1"/>
  <c r="CM211" i="1"/>
  <c r="CM207" i="1"/>
  <c r="CO151" i="1"/>
  <c r="CN154" i="1"/>
  <c r="CM232" i="1"/>
  <c r="CP209" i="1"/>
  <c r="CP206" i="1"/>
  <c r="CP205" i="1"/>
  <c r="CQ150" i="1"/>
  <c r="DA189" i="1"/>
  <c r="CE91" i="1"/>
  <c r="CN72" i="1"/>
  <c r="CO72" i="1" s="1"/>
  <c r="CI66" i="1" l="1"/>
  <c r="CI74" i="1"/>
  <c r="CI145" i="1" s="1"/>
  <c r="CI68" i="1"/>
  <c r="CI271" i="1" s="1"/>
  <c r="CK74" i="1"/>
  <c r="CK68" i="1"/>
  <c r="X66" i="1"/>
  <c r="X67" i="1"/>
  <c r="CI260" i="1"/>
  <c r="Z260" i="1"/>
  <c r="Z74" i="1"/>
  <c r="Z68" i="1"/>
  <c r="Z271" i="1" s="1"/>
  <c r="CL70" i="1"/>
  <c r="CL68" i="1"/>
  <c r="CL74" i="1"/>
  <c r="CG66" i="1"/>
  <c r="CN43" i="1"/>
  <c r="CO43" i="1" s="1"/>
  <c r="CP43" i="1" s="1"/>
  <c r="CX29" i="1"/>
  <c r="CY26" i="1" s="1"/>
  <c r="CX37" i="1"/>
  <c r="CY34" i="1"/>
  <c r="CY36" i="1" s="1"/>
  <c r="CY38" i="1" s="1"/>
  <c r="CY28" i="1"/>
  <c r="CJ66" i="1"/>
  <c r="CH70" i="1"/>
  <c r="CG260" i="1"/>
  <c r="CY17" i="1"/>
  <c r="AD15" i="1"/>
  <c r="AD17" i="1" s="1"/>
  <c r="AE16" i="1"/>
  <c r="AD22" i="1"/>
  <c r="CZ7" i="1"/>
  <c r="CZ28" i="1" s="1"/>
  <c r="AD5" i="1"/>
  <c r="DA5" i="1"/>
  <c r="CH66" i="1"/>
  <c r="CG74" i="1"/>
  <c r="Y67" i="1"/>
  <c r="Z69" i="1" s="1"/>
  <c r="AA72" i="1"/>
  <c r="DA143" i="1"/>
  <c r="DB143" i="1" s="1"/>
  <c r="DC143" i="1" s="1"/>
  <c r="DD143" i="1" s="1"/>
  <c r="AE143" i="1" s="1"/>
  <c r="AA71" i="1"/>
  <c r="CN275" i="1"/>
  <c r="AA154" i="1"/>
  <c r="CP71" i="1"/>
  <c r="CQ71" i="1" s="1"/>
  <c r="CR71" i="1" s="1"/>
  <c r="CS71" i="1" s="1"/>
  <c r="CP72" i="1"/>
  <c r="CQ72" i="1" s="1"/>
  <c r="CR72" i="1" s="1"/>
  <c r="CS72" i="1" s="1"/>
  <c r="CI70" i="1"/>
  <c r="CJ74" i="1"/>
  <c r="CJ78" i="1" s="1"/>
  <c r="CH68" i="1"/>
  <c r="CH271" i="1" s="1"/>
  <c r="CJ253" i="1"/>
  <c r="CH74" i="1"/>
  <c r="CH219" i="1" s="1"/>
  <c r="CH221" i="1" s="1"/>
  <c r="CH260" i="1"/>
  <c r="CJ260" i="1"/>
  <c r="CJ68" i="1"/>
  <c r="CJ271" i="1" s="1"/>
  <c r="CJ70" i="1"/>
  <c r="CG68" i="1"/>
  <c r="CG271" i="1" s="1"/>
  <c r="CK92" i="1"/>
  <c r="CK78" i="1"/>
  <c r="CP166" i="1"/>
  <c r="CP228" i="1" s="1"/>
  <c r="CO228" i="1"/>
  <c r="CO210" i="1"/>
  <c r="CN211" i="1"/>
  <c r="CK158" i="1"/>
  <c r="CL158" i="1" s="1"/>
  <c r="CL157" i="1" s="1"/>
  <c r="CK220" i="1"/>
  <c r="CM208" i="1"/>
  <c r="CM212" i="1" s="1"/>
  <c r="CN207" i="1"/>
  <c r="CP151" i="1"/>
  <c r="CO154" i="1"/>
  <c r="CO275" i="1" s="1"/>
  <c r="CN232" i="1"/>
  <c r="X260" i="1"/>
  <c r="X68" i="1"/>
  <c r="X271" i="1" s="1"/>
  <c r="X74" i="1"/>
  <c r="CB91" i="1"/>
  <c r="BL91" i="1"/>
  <c r="CR150" i="1"/>
  <c r="AB150" i="1" s="1"/>
  <c r="CQ205" i="1"/>
  <c r="CQ209" i="1"/>
  <c r="CC91" i="1"/>
  <c r="CQ206" i="1"/>
  <c r="DB189" i="1"/>
  <c r="DC189" i="1" s="1"/>
  <c r="DD189" i="1" s="1"/>
  <c r="AE189" i="1" s="1"/>
  <c r="AL91" i="1"/>
  <c r="CF91" i="1"/>
  <c r="CD91" i="1"/>
  <c r="BY91" i="1"/>
  <c r="BZ91" i="1"/>
  <c r="CA91" i="1"/>
  <c r="CI146" i="1"/>
  <c r="CI78" i="1"/>
  <c r="CI92" i="1"/>
  <c r="CI219" i="1"/>
  <c r="CI221" i="1" s="1"/>
  <c r="EP13" i="4" a="1"/>
  <c r="EW11" i="4" a="1"/>
  <c r="C6" i="6" a="1"/>
  <c r="AD5" i="6" a="1"/>
  <c r="AR5" i="6" a="1"/>
  <c r="EO8" i="4" a="1"/>
  <c r="EP15" i="4" a="1"/>
  <c r="EQ12" i="4" a="1"/>
  <c r="O6" i="6" a="1"/>
  <c r="AL5" i="6" a="1"/>
  <c r="AN5" i="6" a="1"/>
  <c r="AA5" i="6" a="1"/>
  <c r="EV6" i="4" a="1"/>
  <c r="EW5" i="4" a="1"/>
  <c r="I6" i="6" a="1"/>
  <c r="S6" i="6" a="1"/>
  <c r="AQ5" i="6" a="1"/>
  <c r="EL15" i="4" a="1"/>
  <c r="V5" i="6" a="1"/>
  <c r="EN8" i="4" a="1"/>
  <c r="AJ6" i="6" a="1"/>
  <c r="AX6" i="6" a="1"/>
  <c r="G5" i="6" a="1"/>
  <c r="P5" i="6" a="1"/>
  <c r="EQ15" i="4" a="1"/>
  <c r="EM8" i="4" a="1"/>
  <c r="EW12" i="4" a="1"/>
  <c r="AK5" i="6" a="1"/>
  <c r="N6" i="6" a="1"/>
  <c r="EW16" i="4" a="1"/>
  <c r="EW6" i="4" a="1"/>
  <c r="EU14" i="4" a="1"/>
  <c r="EP12" i="4" a="1"/>
  <c r="EQ9" i="4" a="1"/>
  <c r="AI6" i="6" a="1"/>
  <c r="EP11" i="4" a="1"/>
  <c r="EM16" i="4" a="1"/>
  <c r="ET14" i="4" a="1"/>
  <c r="AM5" i="6" a="1"/>
  <c r="ET7" i="4" a="1"/>
  <c r="H5" i="6" a="1"/>
  <c r="AF6" i="6" a="1"/>
  <c r="ES15" i="4" a="1"/>
  <c r="ET8" i="4" a="1"/>
  <c r="L5" i="6" a="1"/>
  <c r="EW15" i="4" a="1"/>
  <c r="EN12" i="4" a="1"/>
  <c r="ES5" i="4" a="1"/>
  <c r="AQ6" i="6" a="1"/>
  <c r="EU15" i="4" a="1"/>
  <c r="C6" i="4" a="1"/>
  <c r="ES9" i="4" a="1"/>
  <c r="EO12" i="4" a="1"/>
  <c r="EO9" i="4" a="1"/>
  <c r="AY5" i="6" a="1"/>
  <c r="EV16" i="4" a="1"/>
  <c r="EM6" i="4" a="1"/>
  <c r="ET12" i="4" a="1"/>
  <c r="F5" i="6" a="1"/>
  <c r="ET9" i="4" a="1"/>
  <c r="EM14" i="4" a="1"/>
  <c r="ER13" i="4" a="1"/>
  <c r="K6" i="6" a="1"/>
  <c r="Y6" i="6" a="1"/>
  <c r="Q6" i="6" a="1"/>
  <c r="AH6" i="6" a="1"/>
  <c r="AP6" i="6" a="1"/>
  <c r="EL13" i="4" a="1"/>
  <c r="AO6" i="6" a="1"/>
  <c r="ET16" i="4" a="1"/>
  <c r="ET13" i="4" a="1"/>
  <c r="Y5" i="6" a="1"/>
  <c r="EV5" i="4" a="1"/>
  <c r="ER8" i="4" a="1"/>
  <c r="EN5" i="4" a="1"/>
  <c r="EU7" i="4" a="1"/>
  <c r="EL7" i="4" a="1"/>
  <c r="T6" i="6" a="1"/>
  <c r="EU11" i="4" a="1"/>
  <c r="EL6" i="4" a="1"/>
  <c r="J6" i="6" a="1"/>
  <c r="AT5" i="6" a="1"/>
  <c r="AD6" i="6" a="1"/>
  <c r="EO7" i="4" a="1"/>
  <c r="EN14" i="4" a="1"/>
  <c r="I5" i="6" a="1"/>
  <c r="ER11" i="4" a="1"/>
  <c r="AU5" i="6" a="1"/>
  <c r="EQ11" i="4" a="1"/>
  <c r="X6" i="6" a="1"/>
  <c r="EL16" i="4" a="1"/>
  <c r="AK6" i="6" a="1"/>
  <c r="C5" i="6" a="1"/>
  <c r="EL14" i="4" a="1"/>
  <c r="AS6" i="6" a="1"/>
  <c r="ER5" i="4" a="1"/>
  <c r="ER14" i="4" a="1"/>
  <c r="ER6" i="4" a="1"/>
  <c r="EL8" i="4" a="1"/>
  <c r="L6" i="6" a="1"/>
  <c r="K5" i="6" a="1"/>
  <c r="AT6" i="6" a="1"/>
  <c r="EN16" i="4" a="1"/>
  <c r="EU16" i="4" a="1"/>
  <c r="ET15" i="4" a="1"/>
  <c r="EP8" i="4" a="1"/>
  <c r="EQ16" i="4" a="1"/>
  <c r="EV11" i="4" a="1"/>
  <c r="AO5" i="6" a="1"/>
  <c r="AI5" i="6" a="1"/>
  <c r="W6" i="6" a="1"/>
  <c r="EM11" i="4" a="1"/>
  <c r="M5" i="6" a="1"/>
  <c r="AN6" i="6" a="1"/>
  <c r="EL9" i="4" a="1"/>
  <c r="ET6" i="4" a="1"/>
  <c r="ES12" i="4" a="1"/>
  <c r="S5" i="6" a="1"/>
  <c r="EN13" i="4" a="1"/>
  <c r="ES13" i="4" a="1"/>
  <c r="AB5" i="6" a="1"/>
  <c r="EV7" i="4" a="1"/>
  <c r="AS5" i="6" a="1"/>
  <c r="Q5" i="6" a="1"/>
  <c r="EO13" i="4" a="1"/>
  <c r="R6" i="6" a="1"/>
  <c r="EQ8" i="4" a="1"/>
  <c r="EW14" i="4" a="1"/>
  <c r="EV15" i="4" a="1"/>
  <c r="AY6" i="6" a="1"/>
  <c r="V6" i="6" a="1"/>
  <c r="X5" i="6" a="1"/>
  <c r="AG6" i="6" a="1"/>
  <c r="EM12" i="4" a="1"/>
  <c r="EW8" i="4" a="1"/>
  <c r="AW5" i="6" a="1"/>
  <c r="F6" i="6" a="1"/>
  <c r="AL6" i="6" a="1"/>
  <c r="EP6" i="4" a="1"/>
  <c r="M6" i="6" a="1"/>
  <c r="EM13" i="4" a="1"/>
  <c r="EM15" i="4" a="1"/>
  <c r="EU6" i="4" a="1"/>
  <c r="AX5" i="6" a="1"/>
  <c r="ES11" i="4" a="1"/>
  <c r="EQ14" i="4" a="1"/>
  <c r="AE6" i="6" a="1"/>
  <c r="EO16" i="4" a="1"/>
  <c r="O5" i="6" a="1"/>
  <c r="EN11" i="4" a="1"/>
  <c r="EQ6" i="4" a="1"/>
  <c r="T5" i="6" a="1"/>
  <c r="AE5" i="6" a="1"/>
  <c r="EU13" i="4" a="1"/>
  <c r="EU12" i="4" a="1"/>
  <c r="EL11" i="4" a="1"/>
  <c r="EN9" i="4" a="1"/>
  <c r="ER7" i="4" a="1"/>
  <c r="EU9" i="4" a="1"/>
  <c r="Z6" i="6" a="1"/>
  <c r="AJ5" i="6" a="1"/>
  <c r="AW6" i="6" a="1"/>
  <c r="EM9" i="4" a="1"/>
  <c r="E6" i="6" a="1"/>
  <c r="N5" i="6" a="1"/>
  <c r="EU8" i="4" a="1"/>
  <c r="EP5" i="4" a="1"/>
  <c r="EO11" i="4" a="1"/>
  <c r="ES6" i="4" a="1"/>
  <c r="AA6" i="6" a="1"/>
  <c r="AM6" i="6" a="1"/>
  <c r="ER12" i="4" a="1"/>
  <c r="AB6" i="6" a="1"/>
  <c r="EM7" i="4" a="1"/>
  <c r="EO5" i="4" a="1"/>
  <c r="AC5" i="6" a="1"/>
  <c r="EV8" i="4" a="1"/>
  <c r="EQ7" i="4" a="1"/>
  <c r="EW9" i="4" a="1"/>
  <c r="AP5" i="6" a="1"/>
  <c r="EP9" i="4" a="1"/>
  <c r="ER15" i="4" a="1"/>
  <c r="EO14" i="4" a="1"/>
  <c r="EP14" i="4" a="1"/>
  <c r="AC6" i="6" a="1"/>
  <c r="EL12" i="4" a="1"/>
  <c r="ET5" i="4" a="1"/>
  <c r="ER16" i="4" a="1"/>
  <c r="AU6" i="6" a="1"/>
  <c r="ET11" i="4" a="1"/>
  <c r="Z5" i="6" a="1"/>
  <c r="EV12" i="4" a="1"/>
  <c r="ES14" i="4" a="1"/>
  <c r="EO15" i="4" a="1"/>
  <c r="U6" i="6" a="1"/>
  <c r="W5" i="6" a="1"/>
  <c r="R5" i="6" a="1"/>
  <c r="ES7" i="4" a="1"/>
  <c r="D6" i="6" a="1"/>
  <c r="ES16" i="4" a="1"/>
  <c r="EW7" i="4" a="1"/>
  <c r="P6" i="6" a="1"/>
  <c r="EN6" i="4" a="1"/>
  <c r="H6" i="6" a="1"/>
  <c r="AF5" i="6" a="1"/>
  <c r="EN7" i="4" a="1"/>
  <c r="G6" i="6" a="1"/>
  <c r="AR6" i="6" a="1"/>
  <c r="J5" i="6" a="1"/>
  <c r="E5" i="6" a="1"/>
  <c r="ES8" i="4" a="1"/>
  <c r="U5" i="6" a="1"/>
  <c r="EW13" i="4" a="1"/>
  <c r="EV9" i="4" a="1"/>
  <c r="EN15" i="4" a="1"/>
  <c r="AG5" i="6" a="1"/>
  <c r="EP16" i="4" a="1"/>
  <c r="EM5" i="4" a="1"/>
  <c r="EV13" i="4" a="1"/>
  <c r="EQ13" i="4" a="1"/>
  <c r="EO6" i="4" a="1"/>
  <c r="C5" i="4" a="1"/>
  <c r="EQ5" i="4" a="1"/>
  <c r="EP7" i="4" a="1"/>
  <c r="AV6" i="6" a="1"/>
  <c r="EV14" i="4" a="1"/>
  <c r="D5" i="6" a="1"/>
  <c r="ER9" i="4" a="1"/>
  <c r="AV5" i="6" a="1"/>
  <c r="EU5" i="4" a="1"/>
  <c r="EL5" i="4" a="1"/>
  <c r="AH5" i="6" a="1"/>
  <c r="AS8" i="3"/>
  <c r="AW15" i="3"/>
  <c r="AW37" i="3"/>
  <c r="AZ21" i="3"/>
  <c r="AZ46" i="3"/>
  <c r="AY35" i="3"/>
  <c r="AZ12" i="3"/>
  <c r="AY20" i="3"/>
  <c r="AT15" i="3"/>
  <c r="AF46" i="3"/>
  <c r="AV32" i="3"/>
  <c r="AT26" i="3"/>
  <c r="AT46" i="3"/>
  <c r="AV17" i="3"/>
  <c r="AX13" i="3"/>
  <c r="AS32" i="3"/>
  <c r="AZ31" i="3"/>
  <c r="AF29" i="3"/>
  <c r="AS39" i="3"/>
  <c r="AY27" i="3"/>
  <c r="AT42" i="3"/>
  <c r="AF6" i="3"/>
  <c r="AX36" i="3"/>
  <c r="AV36" i="3"/>
  <c r="AW35" i="3"/>
  <c r="AX30" i="3"/>
  <c r="AS18" i="3"/>
  <c r="AY22" i="3"/>
  <c r="AZ40" i="3"/>
  <c r="AS29" i="3"/>
  <c r="AV15" i="3"/>
  <c r="AT38" i="3"/>
  <c r="AU21" i="3"/>
  <c r="AW40" i="3"/>
  <c r="AS36" i="3"/>
  <c r="AW14" i="3"/>
  <c r="AS23" i="3"/>
  <c r="AF26" i="3"/>
  <c r="AS37" i="3"/>
  <c r="AX34" i="3"/>
  <c r="AS19" i="3"/>
  <c r="AU35" i="3"/>
  <c r="AS16" i="3"/>
  <c r="AP7" i="3"/>
  <c r="AY5" i="3"/>
  <c r="AX7" i="3"/>
  <c r="AY15" i="3"/>
  <c r="AW42" i="3"/>
  <c r="AU42" i="3"/>
  <c r="AF30" i="3"/>
  <c r="AS45" i="3"/>
  <c r="AX45" i="3"/>
  <c r="AV37" i="3"/>
  <c r="AZ28" i="3"/>
  <c r="AW34" i="3"/>
  <c r="AZ15" i="3"/>
  <c r="AU8" i="3"/>
  <c r="AZ38" i="3"/>
  <c r="AV27" i="3"/>
  <c r="AF15" i="3"/>
  <c r="AW32" i="3"/>
  <c r="AV39" i="3"/>
  <c r="AT17" i="3"/>
  <c r="AU23" i="3"/>
  <c r="AW17" i="3"/>
  <c r="AZ27" i="3"/>
  <c r="AS11" i="3"/>
  <c r="AS10" i="3"/>
  <c r="C5" i="3"/>
  <c r="AT21" i="3"/>
  <c r="AW24" i="3"/>
  <c r="AV33" i="3"/>
  <c r="AS6" i="3"/>
  <c r="AY18" i="3"/>
  <c r="AZ5" i="3"/>
  <c r="AT37" i="3"/>
  <c r="AF17" i="3"/>
  <c r="AW10" i="3"/>
  <c r="AZ33" i="3"/>
  <c r="AF19" i="3"/>
  <c r="AW38" i="3"/>
  <c r="AW45" i="3"/>
  <c r="AT36" i="3"/>
  <c r="AU16" i="3"/>
  <c r="AV30" i="3"/>
  <c r="AZ25" i="3"/>
  <c r="AT39" i="3"/>
  <c r="AX20" i="3"/>
  <c r="AY40" i="3"/>
  <c r="AX9" i="3"/>
  <c r="AY13" i="3"/>
  <c r="AY21" i="3"/>
  <c r="AW27" i="3"/>
  <c r="AW11" i="3"/>
  <c r="AF5" i="3"/>
  <c r="AV26" i="3"/>
  <c r="AX40" i="3"/>
  <c r="AT25" i="3"/>
  <c r="AY14" i="3"/>
  <c r="AF33" i="3"/>
  <c r="AX15" i="3"/>
  <c r="AF35" i="3"/>
  <c r="AZ24" i="3"/>
  <c r="AX23" i="3"/>
  <c r="AX27" i="3"/>
  <c r="AT45" i="3"/>
  <c r="AZ18" i="3"/>
  <c r="AT35" i="3"/>
  <c r="AW20" i="3"/>
  <c r="AF39" i="3"/>
  <c r="AT20" i="3"/>
  <c r="AB5" i="3"/>
  <c r="AU34" i="3"/>
  <c r="AS40" i="3"/>
  <c r="AU20" i="3"/>
  <c r="AV28" i="3"/>
  <c r="AS38" i="3"/>
  <c r="AF42" i="3"/>
  <c r="AY41" i="3"/>
  <c r="AF37" i="3"/>
  <c r="AT18" i="3"/>
  <c r="AT31" i="3"/>
  <c r="AX10" i="3"/>
  <c r="AU7" i="3"/>
  <c r="AW30" i="3"/>
  <c r="AF23" i="3"/>
  <c r="AX16" i="3"/>
  <c r="AX37" i="3"/>
  <c r="AS7" i="3"/>
  <c r="AZ20" i="3"/>
  <c r="AV22" i="3"/>
  <c r="AT13" i="3"/>
  <c r="AT14" i="3"/>
  <c r="AW28" i="3"/>
  <c r="AW23" i="3"/>
  <c r="AY39" i="3"/>
  <c r="AS20" i="3"/>
  <c r="AZ13" i="3"/>
  <c r="AY16" i="3"/>
  <c r="AT6" i="3"/>
  <c r="AU38" i="3"/>
  <c r="AT11" i="3"/>
  <c r="AV24" i="3"/>
  <c r="AU25" i="3"/>
  <c r="F46" i="3"/>
  <c r="AS15" i="3"/>
  <c r="AX31" i="3"/>
  <c r="AY33" i="3"/>
  <c r="AV45" i="3"/>
  <c r="AS33" i="3"/>
  <c r="AU39" i="3"/>
  <c r="AX17" i="3"/>
  <c r="AU40" i="3"/>
  <c r="AF38" i="3"/>
  <c r="AV34" i="3"/>
  <c r="AF45" i="3"/>
  <c r="AP5" i="3"/>
  <c r="AS42" i="3"/>
  <c r="AW26" i="3"/>
  <c r="AU37" i="3"/>
  <c r="AU9" i="3"/>
  <c r="AZ8" i="3"/>
  <c r="AZ36" i="3"/>
  <c r="AX14" i="3"/>
  <c r="AU36" i="3"/>
  <c r="F45" i="3"/>
  <c r="AZ42" i="3"/>
  <c r="AZ39" i="3"/>
  <c r="AS17" i="3"/>
  <c r="AW9" i="3"/>
  <c r="AW46" i="3"/>
  <c r="AY23" i="3"/>
  <c r="AV46" i="3"/>
  <c r="AV18" i="3"/>
  <c r="AV13" i="3"/>
  <c r="AT19" i="3"/>
  <c r="AU41" i="3"/>
  <c r="AS14" i="3"/>
  <c r="AY9" i="3"/>
  <c r="AU22" i="3"/>
  <c r="AY8" i="3"/>
  <c r="AR6" i="3"/>
  <c r="AY36" i="3"/>
  <c r="AS26" i="3"/>
  <c r="AS35" i="3"/>
  <c r="AS24" i="3"/>
  <c r="AU11" i="3"/>
  <c r="AW7" i="3"/>
  <c r="AX25" i="3"/>
  <c r="AU18" i="3"/>
  <c r="AF28" i="3"/>
  <c r="AZ11" i="3"/>
  <c r="AY17" i="3"/>
  <c r="AF31" i="3"/>
  <c r="AZ26" i="3"/>
  <c r="AY19" i="3"/>
  <c r="AX19" i="3"/>
  <c r="AV8" i="3"/>
  <c r="AF34" i="3"/>
  <c r="AU5" i="3"/>
  <c r="AT33" i="3"/>
  <c r="AW39" i="3"/>
  <c r="AX32" i="3"/>
  <c r="AY42" i="3"/>
  <c r="AZ23" i="3"/>
  <c r="AF27" i="3"/>
  <c r="AF8" i="3"/>
  <c r="AV9" i="3"/>
  <c r="AF18" i="3"/>
  <c r="AF11" i="3"/>
  <c r="AV42" i="3"/>
  <c r="AV20" i="3"/>
  <c r="AT30" i="3"/>
  <c r="AT5" i="3"/>
  <c r="AX39" i="3"/>
  <c r="AF14" i="3"/>
  <c r="AU46" i="3"/>
  <c r="AU32" i="3"/>
  <c r="AS30" i="3"/>
  <c r="AX22" i="3"/>
  <c r="AZ17" i="3"/>
  <c r="AV16" i="3"/>
  <c r="AV41" i="3"/>
  <c r="AW12" i="3"/>
  <c r="AV29" i="3"/>
  <c r="AX24" i="3"/>
  <c r="AZ34" i="3"/>
  <c r="AY12" i="3"/>
  <c r="AY38" i="3"/>
  <c r="AZ14" i="3"/>
  <c r="AX41" i="3"/>
  <c r="AX8" i="3"/>
  <c r="AW36" i="3"/>
  <c r="AF10" i="3"/>
  <c r="AY26" i="3"/>
  <c r="AV19" i="3"/>
  <c r="AZ37" i="3"/>
  <c r="AW31" i="3"/>
  <c r="AU13" i="3"/>
  <c r="AV31" i="3"/>
  <c r="AT40" i="3"/>
  <c r="AW25" i="3"/>
  <c r="AU27" i="3"/>
  <c r="AW13" i="3"/>
  <c r="AY6" i="3"/>
  <c r="AY37" i="3"/>
  <c r="AU10" i="3"/>
  <c r="AF40" i="3"/>
  <c r="AU30" i="3"/>
  <c r="AV23" i="3"/>
  <c r="AT32" i="3"/>
  <c r="AF22" i="3"/>
  <c r="AY11" i="3"/>
  <c r="AT22" i="3"/>
  <c r="AZ45" i="3"/>
  <c r="AW29" i="3"/>
  <c r="AV12" i="3"/>
  <c r="AW5" i="3"/>
  <c r="AS31" i="3"/>
  <c r="AV38" i="3"/>
  <c r="AT28" i="3"/>
  <c r="AY24" i="3"/>
  <c r="AZ6" i="3"/>
  <c r="AY28" i="3"/>
  <c r="AU14" i="3"/>
  <c r="AY25" i="3"/>
  <c r="AX35" i="3"/>
  <c r="AS46" i="3"/>
  <c r="AF16" i="3"/>
  <c r="AZ32" i="3"/>
  <c r="AW22" i="3"/>
  <c r="AV6" i="3"/>
  <c r="AF32" i="3"/>
  <c r="AT23" i="3"/>
  <c r="AZ29" i="3"/>
  <c r="AX5" i="3"/>
  <c r="AY32" i="3"/>
  <c r="AX26" i="3"/>
  <c r="AS13" i="3"/>
  <c r="AF25" i="3"/>
  <c r="AY10" i="3"/>
  <c r="AW18" i="3"/>
  <c r="AT29" i="3"/>
  <c r="AF41" i="3"/>
  <c r="AU31" i="3"/>
  <c r="AT12" i="3"/>
  <c r="AZ7" i="3"/>
  <c r="AT9" i="3"/>
  <c r="AT41" i="3"/>
  <c r="AW16" i="3"/>
  <c r="AX33" i="3"/>
  <c r="AU12" i="3"/>
  <c r="AY7" i="3"/>
  <c r="AS34" i="3"/>
  <c r="AX42" i="3"/>
  <c r="AZ16" i="3"/>
  <c r="AT7" i="3"/>
  <c r="AU19" i="3"/>
  <c r="AF9" i="3"/>
  <c r="AX18" i="3"/>
  <c r="AZ9" i="3"/>
  <c r="AF36" i="3"/>
  <c r="AZ41" i="3"/>
  <c r="AW21" i="3"/>
  <c r="AS25" i="3"/>
  <c r="AW33" i="3"/>
  <c r="AS41" i="3"/>
  <c r="AV7" i="3"/>
  <c r="AU33" i="3"/>
  <c r="AX21" i="3"/>
  <c r="AX6" i="3"/>
  <c r="AF24" i="3"/>
  <c r="AS21" i="3"/>
  <c r="AY30" i="3"/>
  <c r="AR5" i="3"/>
  <c r="AU28" i="3"/>
  <c r="AS22" i="3"/>
  <c r="AW8" i="3"/>
  <c r="AV14" i="3"/>
  <c r="AU6" i="3"/>
  <c r="AF12" i="3"/>
  <c r="AU15" i="3"/>
  <c r="AX12" i="3"/>
  <c r="AF7" i="3"/>
  <c r="AX29" i="3"/>
  <c r="AS5" i="3"/>
  <c r="AX38" i="3"/>
  <c r="AZ19" i="3"/>
  <c r="AX11" i="3"/>
  <c r="AT27" i="3"/>
  <c r="AZ22" i="3"/>
  <c r="AZ30" i="3"/>
  <c r="AT16" i="3"/>
  <c r="AT34" i="3"/>
  <c r="AY31" i="3"/>
  <c r="AZ35" i="3"/>
  <c r="AU26" i="3"/>
  <c r="AV35" i="3"/>
  <c r="AR7" i="3"/>
  <c r="AV25" i="3"/>
  <c r="AS12" i="3"/>
  <c r="AP6" i="3"/>
  <c r="AY45" i="3"/>
  <c r="AX46" i="3"/>
  <c r="AS9" i="3"/>
  <c r="AU29" i="3"/>
  <c r="AU45" i="3"/>
  <c r="AW19" i="3"/>
  <c r="AV11" i="3"/>
  <c r="AF13" i="3"/>
  <c r="AF20" i="3"/>
  <c r="AZ10" i="3"/>
  <c r="AV5" i="3"/>
  <c r="AS27" i="3"/>
  <c r="AY46" i="3"/>
  <c r="AW6" i="3"/>
  <c r="AY34" i="3"/>
  <c r="AU24" i="3"/>
  <c r="AT24" i="3"/>
  <c r="AU17" i="3"/>
  <c r="AV40" i="3"/>
  <c r="AT10" i="3"/>
  <c r="AX28" i="3"/>
  <c r="AS28" i="3"/>
  <c r="AV21" i="3"/>
  <c r="AT8" i="3"/>
  <c r="AF21" i="3"/>
  <c r="AW41" i="3"/>
  <c r="CG219" i="1" l="1"/>
  <c r="CG221" i="1" s="1"/>
  <c r="CG78" i="1"/>
  <c r="CG92" i="1"/>
  <c r="Z233" i="1"/>
  <c r="Z231" i="1" s="1"/>
  <c r="Z78" i="1"/>
  <c r="Z219" i="1"/>
  <c r="Z221" i="1" s="1"/>
  <c r="Z225" i="1" s="1"/>
  <c r="Z239" i="1" s="1"/>
  <c r="Z80" i="1"/>
  <c r="CM66" i="1"/>
  <c r="CL78" i="1"/>
  <c r="CL92" i="1"/>
  <c r="CN66" i="1"/>
  <c r="Y260" i="1"/>
  <c r="CY29" i="1"/>
  <c r="CZ26" i="1" s="1"/>
  <c r="CK160" i="1"/>
  <c r="CL59" i="1" s="1"/>
  <c r="CM157" i="1"/>
  <c r="CN157" i="1" s="1"/>
  <c r="CO66" i="1"/>
  <c r="CP66" i="1" s="1"/>
  <c r="CQ66" i="1" s="1"/>
  <c r="CR66" i="1" s="1"/>
  <c r="CY37" i="1"/>
  <c r="CY8" i="1"/>
  <c r="Y69" i="1"/>
  <c r="CZ29" i="1"/>
  <c r="DA26" i="1" s="1"/>
  <c r="DA7" i="1"/>
  <c r="DA15" i="1"/>
  <c r="DA17" i="1" s="1"/>
  <c r="AE22" i="1"/>
  <c r="DB5" i="1"/>
  <c r="AD21" i="1"/>
  <c r="AD7" i="1"/>
  <c r="AD11" i="1"/>
  <c r="CZ34" i="1"/>
  <c r="CZ36" i="1" s="1"/>
  <c r="Y74" i="1"/>
  <c r="Y80" i="1" s="1"/>
  <c r="Y68" i="1"/>
  <c r="Y271" i="1" s="1"/>
  <c r="CJ219" i="1"/>
  <c r="CJ221" i="1" s="1"/>
  <c r="CJ80" i="1"/>
  <c r="CJ92" i="1"/>
  <c r="CQ166" i="1"/>
  <c r="CQ228" i="1" s="1"/>
  <c r="CT71" i="1"/>
  <c r="CU71" i="1" s="1"/>
  <c r="CV71" i="1" s="1"/>
  <c r="CW71" i="1" s="1"/>
  <c r="AB72" i="1"/>
  <c r="CT72" i="1"/>
  <c r="CU72" i="1" s="1"/>
  <c r="CV72" i="1" s="1"/>
  <c r="CW72" i="1" s="1"/>
  <c r="AB71" i="1"/>
  <c r="CH78" i="1"/>
  <c r="CH92" i="1"/>
  <c r="CO211" i="1"/>
  <c r="CP210" i="1"/>
  <c r="CK164" i="1"/>
  <c r="CK229" i="1" s="1"/>
  <c r="CK227" i="1" s="1"/>
  <c r="CN208" i="1"/>
  <c r="CN212" i="1" s="1"/>
  <c r="CO207" i="1"/>
  <c r="CQ151" i="1"/>
  <c r="CP154" i="1"/>
  <c r="CP275" i="1" s="1"/>
  <c r="CO232" i="1"/>
  <c r="BY48" i="1"/>
  <c r="CA35" i="1"/>
  <c r="CE48" i="1"/>
  <c r="CA48" i="1"/>
  <c r="CF48" i="1"/>
  <c r="CD48" i="1"/>
  <c r="BZ48" i="1"/>
  <c r="BL48" i="1"/>
  <c r="CC48" i="1"/>
  <c r="CB48" i="1"/>
  <c r="CF35" i="1"/>
  <c r="CD35" i="1"/>
  <c r="BY35" i="1"/>
  <c r="CE35" i="1"/>
  <c r="BZ35" i="1"/>
  <c r="CC35" i="1"/>
  <c r="CB35" i="1"/>
  <c r="BL35" i="1"/>
  <c r="X219" i="1"/>
  <c r="X221" i="1" s="1"/>
  <c r="X78" i="1"/>
  <c r="X80" i="1"/>
  <c r="CD51" i="1"/>
  <c r="CC71" i="1"/>
  <c r="CA34" i="1"/>
  <c r="CA257" i="1" s="1"/>
  <c r="CD65" i="1"/>
  <c r="AH7" i="6" s="1"/>
  <c r="CD61" i="1"/>
  <c r="CF62" i="1"/>
  <c r="BY71" i="1"/>
  <c r="BL71" i="1"/>
  <c r="CD72" i="1"/>
  <c r="AV7" i="6" s="1"/>
  <c r="CB46" i="1"/>
  <c r="R7" i="6" s="1"/>
  <c r="X7" i="6" s="1"/>
  <c r="CD71" i="1"/>
  <c r="CD41" i="1"/>
  <c r="V7" i="6" s="1"/>
  <c r="BY41" i="1"/>
  <c r="CB34" i="1"/>
  <c r="CB257" i="1" s="1"/>
  <c r="BY77" i="1"/>
  <c r="BL34" i="1"/>
  <c r="AW7" i="6" s="1"/>
  <c r="BY47" i="1"/>
  <c r="CA39" i="1"/>
  <c r="CB49" i="1"/>
  <c r="BZ62" i="1"/>
  <c r="O7" i="6" s="1"/>
  <c r="BL73" i="1"/>
  <c r="AQ7" i="6" s="1"/>
  <c r="CF34" i="1"/>
  <c r="CF8" i="1" s="1"/>
  <c r="JJ9" i="4" s="1"/>
  <c r="BY72" i="1"/>
  <c r="AM7" i="6" s="1"/>
  <c r="JM16" i="4" s="1"/>
  <c r="CF73" i="1"/>
  <c r="CA50" i="1"/>
  <c r="BL49" i="1"/>
  <c r="BL72" i="1"/>
  <c r="CF61" i="1"/>
  <c r="BL62" i="1"/>
  <c r="BZ71" i="1"/>
  <c r="CC51" i="1"/>
  <c r="CC47" i="1"/>
  <c r="JM9" i="4" s="1"/>
  <c r="CA47" i="1"/>
  <c r="JL16" i="4" s="1"/>
  <c r="BZ50" i="1"/>
  <c r="CB47" i="1"/>
  <c r="CC39" i="1"/>
  <c r="JK16" i="4" s="1"/>
  <c r="CA77" i="1"/>
  <c r="BZ40" i="1"/>
  <c r="CE41" i="1"/>
  <c r="CC40" i="1"/>
  <c r="C7" i="6" s="1"/>
  <c r="T7" i="6" s="1"/>
  <c r="BY50" i="1"/>
  <c r="CC72" i="1"/>
  <c r="CC34" i="1"/>
  <c r="CC257" i="1" s="1"/>
  <c r="CB61" i="1"/>
  <c r="JL9" i="4" s="1"/>
  <c r="CF65" i="1"/>
  <c r="AL7" i="6" s="1"/>
  <c r="BZ58" i="1"/>
  <c r="BZ220" i="1" s="1"/>
  <c r="BZ61" i="1"/>
  <c r="J7" i="6" s="1"/>
  <c r="BY73" i="1"/>
  <c r="Z7" i="6" s="1"/>
  <c r="BL46" i="1"/>
  <c r="CF39" i="1"/>
  <c r="CF49" i="1"/>
  <c r="BZ39" i="1"/>
  <c r="CA41" i="1"/>
  <c r="CD40" i="1"/>
  <c r="BL47" i="1"/>
  <c r="BY40" i="1"/>
  <c r="CE58" i="1"/>
  <c r="CE220" i="1" s="1"/>
  <c r="AD7" i="6" s="1"/>
  <c r="CF51" i="1"/>
  <c r="CE46" i="1"/>
  <c r="CA73" i="1"/>
  <c r="CD62" i="1"/>
  <c r="CB50" i="1"/>
  <c r="CD73" i="1"/>
  <c r="AP7" i="6" s="1"/>
  <c r="Y7" i="6" s="1"/>
  <c r="CA51" i="1"/>
  <c r="AA7" i="6" s="1"/>
  <c r="AJ7" i="6" s="1"/>
  <c r="BY34" i="1"/>
  <c r="BY49" i="1"/>
  <c r="CB65" i="1"/>
  <c r="CE51" i="1"/>
  <c r="I7" i="6" s="1"/>
  <c r="AK7" i="6" s="1"/>
  <c r="CE40" i="1"/>
  <c r="K7" i="6" s="1"/>
  <c r="F7" i="6" s="1"/>
  <c r="CB71" i="1"/>
  <c r="CF50" i="1"/>
  <c r="AC7" i="6" s="1"/>
  <c r="AE7" i="6" s="1"/>
  <c r="M7" i="6" s="1"/>
  <c r="Q7" i="6" s="1"/>
  <c r="CA72" i="1"/>
  <c r="BZ72" i="1"/>
  <c r="CA62" i="1"/>
  <c r="CF72" i="1"/>
  <c r="AU7" i="6" s="1"/>
  <c r="BL41" i="1"/>
  <c r="CE50" i="1"/>
  <c r="CB58" i="1"/>
  <c r="CB220" i="1" s="1"/>
  <c r="CC73" i="1"/>
  <c r="CC77" i="1"/>
  <c r="AX7" i="6" s="1"/>
  <c r="BZ49" i="1"/>
  <c r="AT7" i="6" s="1"/>
  <c r="S7" i="6" s="1"/>
  <c r="BY39" i="1"/>
  <c r="CE61" i="1"/>
  <c r="CA71" i="1"/>
  <c r="CB73" i="1"/>
  <c r="CA61" i="1"/>
  <c r="CF77" i="1"/>
  <c r="CF47" i="1"/>
  <c r="CA46" i="1"/>
  <c r="AN7" i="6" s="1"/>
  <c r="CE72" i="1"/>
  <c r="CC41" i="1"/>
  <c r="CE77" i="1"/>
  <c r="CF41" i="1"/>
  <c r="G7" i="6" s="1"/>
  <c r="BL58" i="1"/>
  <c r="AF7" i="6" s="1"/>
  <c r="CC46" i="1"/>
  <c r="CD46" i="1"/>
  <c r="JJ16" i="4" s="1"/>
  <c r="BY51" i="1"/>
  <c r="CB72" i="1"/>
  <c r="CE34" i="1"/>
  <c r="CE8" i="1" s="1"/>
  <c r="AB7" i="6" s="1"/>
  <c r="BL40" i="1"/>
  <c r="CD77" i="1"/>
  <c r="BY46" i="1"/>
  <c r="BZ41" i="1"/>
  <c r="CD47" i="1"/>
  <c r="L7" i="6" s="1"/>
  <c r="BL65" i="1"/>
  <c r="BZ34" i="1"/>
  <c r="BZ257" i="1" s="1"/>
  <c r="CA58" i="1"/>
  <c r="BZ65" i="1"/>
  <c r="BY58" i="1"/>
  <c r="BY220" i="1" s="1"/>
  <c r="AI7" i="6" s="1"/>
  <c r="CC65" i="1"/>
  <c r="D7" i="6" s="1"/>
  <c r="BZ47" i="1"/>
  <c r="AG7" i="6" s="1"/>
  <c r="BZ46" i="1"/>
  <c r="BL77" i="1"/>
  <c r="W7" i="6" s="1"/>
  <c r="CB77" i="1"/>
  <c r="CE73" i="1"/>
  <c r="CF46" i="1"/>
  <c r="CC49" i="1"/>
  <c r="CD49" i="1"/>
  <c r="CE39" i="1"/>
  <c r="BY61" i="1"/>
  <c r="CC61" i="1"/>
  <c r="BZ77" i="1"/>
  <c r="AS7" i="6" s="1"/>
  <c r="BZ73" i="1"/>
  <c r="CE62" i="1"/>
  <c r="CD39" i="1"/>
  <c r="BL61" i="1"/>
  <c r="CB40" i="1"/>
  <c r="CC58" i="1"/>
  <c r="CC220" i="1" s="1"/>
  <c r="BY65" i="1"/>
  <c r="H7" i="6" s="1"/>
  <c r="CA49" i="1"/>
  <c r="BZ51" i="1"/>
  <c r="CD34" i="1"/>
  <c r="AR7" i="6" s="1"/>
  <c r="CF40" i="1"/>
  <c r="BL39" i="1"/>
  <c r="BL50" i="1"/>
  <c r="JK9" i="4" s="1"/>
  <c r="AO7" i="6" s="1"/>
  <c r="CA65" i="1"/>
  <c r="BL51" i="1"/>
  <c r="CA40" i="1"/>
  <c r="CE71" i="1"/>
  <c r="CD50" i="1"/>
  <c r="P7" i="6" s="1"/>
  <c r="E7" i="6" s="1"/>
  <c r="U7" i="6" s="1"/>
  <c r="CC50" i="1"/>
  <c r="AY7" i="6" s="1"/>
  <c r="CD58" i="1"/>
  <c r="CB41" i="1"/>
  <c r="CC62" i="1"/>
  <c r="CB62" i="1"/>
  <c r="CE49" i="1"/>
  <c r="CE47" i="1"/>
  <c r="CF58" i="1"/>
  <c r="CF220" i="1" s="1"/>
  <c r="CB51" i="1"/>
  <c r="BY62" i="1"/>
  <c r="CF71" i="1"/>
  <c r="N7" i="6" s="1"/>
  <c r="CQ43" i="1"/>
  <c r="CI155" i="1"/>
  <c r="CI118" i="1"/>
  <c r="CS150" i="1"/>
  <c r="CR206" i="1"/>
  <c r="CR209" i="1"/>
  <c r="CR205" i="1"/>
  <c r="CJ233" i="1"/>
  <c r="CJ231" i="1" s="1"/>
  <c r="CJ81" i="1"/>
  <c r="CI233" i="1"/>
  <c r="CI231" i="1" s="1"/>
  <c r="AF88" i="3"/>
  <c r="AX81" i="3"/>
  <c r="AZ60" i="3"/>
  <c r="AZ75" i="3"/>
  <c r="C59" i="3"/>
  <c r="C95" i="3"/>
  <c r="AZ56" i="3"/>
  <c r="AY64" i="3"/>
  <c r="AV47" i="3"/>
  <c r="AY63" i="3"/>
  <c r="AF67" i="3"/>
  <c r="AS55" i="3"/>
  <c r="AZ57" i="3"/>
  <c r="AV57" i="3"/>
  <c r="AS71" i="3"/>
  <c r="AT80" i="3"/>
  <c r="AZ65" i="3"/>
  <c r="AX68" i="3"/>
  <c r="AY75" i="3"/>
  <c r="C64" i="3"/>
  <c r="AZ80" i="3"/>
  <c r="AV74" i="3"/>
  <c r="AT86" i="3"/>
  <c r="AX83" i="3"/>
  <c r="AT75" i="3"/>
  <c r="AZ70" i="3"/>
  <c r="AZ74" i="3"/>
  <c r="AF72" i="3"/>
  <c r="AV71" i="3"/>
  <c r="AF90" i="3"/>
  <c r="AT90" i="3"/>
  <c r="AY84" i="3"/>
  <c r="AU79" i="3"/>
  <c r="AW80" i="3"/>
  <c r="AF60" i="3"/>
  <c r="AX82" i="3"/>
  <c r="AY57" i="3"/>
  <c r="AF85" i="3"/>
  <c r="AX94" i="3"/>
  <c r="AW94" i="3"/>
  <c r="AV59" i="3"/>
  <c r="AS97" i="3"/>
  <c r="AV81" i="3"/>
  <c r="C60" i="3"/>
  <c r="AU77" i="3"/>
  <c r="AS89" i="3"/>
  <c r="AV69" i="3"/>
  <c r="C94" i="3"/>
  <c r="C69" i="3"/>
  <c r="AV88" i="3"/>
  <c r="AF93" i="3"/>
  <c r="AS59" i="3"/>
  <c r="AS87" i="3"/>
  <c r="AF86" i="3"/>
  <c r="AU88" i="3"/>
  <c r="AU47" i="3"/>
  <c r="AY62" i="3"/>
  <c r="AS72" i="3"/>
  <c r="AT49" i="3"/>
  <c r="C75" i="3"/>
  <c r="AZ76" i="3"/>
  <c r="AX80" i="3"/>
  <c r="AU85" i="3"/>
  <c r="AT62" i="3"/>
  <c r="AX59" i="3"/>
  <c r="AT63" i="3"/>
  <c r="C81" i="3"/>
  <c r="AF81" i="3"/>
  <c r="AX74" i="3"/>
  <c r="AF62" i="3"/>
  <c r="AF83" i="3"/>
  <c r="AV95" i="3"/>
  <c r="AF82" i="3"/>
  <c r="AU64" i="3"/>
  <c r="AY70" i="3"/>
  <c r="C77" i="3"/>
  <c r="AS48" i="3"/>
  <c r="AV62" i="3"/>
  <c r="AW74" i="3"/>
  <c r="AT91" i="3"/>
  <c r="AV84" i="3"/>
  <c r="AT88" i="3"/>
  <c r="AV90" i="3"/>
  <c r="AZ68" i="3"/>
  <c r="AT50" i="3"/>
  <c r="AV97" i="3"/>
  <c r="AX65" i="3"/>
  <c r="AW62" i="3"/>
  <c r="AV48" i="3"/>
  <c r="AY96" i="3"/>
  <c r="AX78" i="3"/>
  <c r="AF49" i="3"/>
  <c r="C83" i="3"/>
  <c r="AY49" i="3"/>
  <c r="AY71" i="3"/>
  <c r="AT54" i="3"/>
  <c r="AW67" i="3"/>
  <c r="C63" i="3"/>
  <c r="AU76" i="3"/>
  <c r="AT85" i="3"/>
  <c r="AX77" i="3"/>
  <c r="AY94" i="3"/>
  <c r="AF57" i="3"/>
  <c r="AX95" i="3"/>
  <c r="C82" i="3"/>
  <c r="AZ79" i="3"/>
  <c r="AX69" i="3"/>
  <c r="AW71" i="3"/>
  <c r="AF64" i="3"/>
  <c r="AX47" i="3"/>
  <c r="AZ95" i="3"/>
  <c r="C87" i="3"/>
  <c r="AY83" i="3"/>
  <c r="AX66" i="3"/>
  <c r="AZ78" i="3"/>
  <c r="AF58" i="3"/>
  <c r="AW81" i="3"/>
  <c r="AT77" i="3"/>
  <c r="AU68" i="3"/>
  <c r="C74" i="3"/>
  <c r="AU73" i="3"/>
  <c r="AS56" i="3"/>
  <c r="AV75" i="3"/>
  <c r="AW85" i="3"/>
  <c r="AV89" i="3"/>
  <c r="AF61" i="3"/>
  <c r="AU83" i="3"/>
  <c r="AY79" i="3"/>
  <c r="AW82" i="3"/>
  <c r="AS81" i="3"/>
  <c r="AZ63" i="3"/>
  <c r="C84" i="3"/>
  <c r="AZ89" i="3"/>
  <c r="AZ97" i="3"/>
  <c r="AY48" i="3"/>
  <c r="AF95" i="3"/>
  <c r="AX49" i="3"/>
  <c r="AZ66" i="3"/>
  <c r="C61" i="3"/>
  <c r="AF80" i="3"/>
  <c r="AY93" i="3"/>
  <c r="AU86" i="3"/>
  <c r="AV77" i="3"/>
  <c r="AW88" i="3"/>
  <c r="AW83" i="3"/>
  <c r="AF87" i="3"/>
  <c r="AT92" i="3"/>
  <c r="AF54" i="3"/>
  <c r="AW75" i="3"/>
  <c r="AX89" i="3"/>
  <c r="AS83" i="3"/>
  <c r="AW66" i="3"/>
  <c r="C55" i="3"/>
  <c r="AW65" i="3"/>
  <c r="AU91" i="3"/>
  <c r="AW58" i="3"/>
  <c r="AV80" i="3"/>
  <c r="AX70" i="3"/>
  <c r="AZ86" i="3"/>
  <c r="AX91" i="3"/>
  <c r="AZ72" i="3"/>
  <c r="AS63" i="3"/>
  <c r="C67" i="3"/>
  <c r="AT83" i="3"/>
  <c r="AV50" i="3"/>
  <c r="C54" i="3"/>
  <c r="AF55" i="3"/>
  <c r="AT65" i="3"/>
  <c r="AY68" i="3"/>
  <c r="AS66" i="3"/>
  <c r="AW89" i="3"/>
  <c r="AX87" i="3"/>
  <c r="AF76" i="3"/>
  <c r="AS93" i="3"/>
  <c r="C76" i="3"/>
  <c r="AX76" i="3"/>
  <c r="AY50" i="3"/>
  <c r="AU82" i="3"/>
  <c r="AT79" i="3"/>
  <c r="AF66" i="3"/>
  <c r="AY66" i="3"/>
  <c r="AV83" i="3"/>
  <c r="C62" i="3"/>
  <c r="AT64" i="3"/>
  <c r="C57" i="3"/>
  <c r="AY72" i="3"/>
  <c r="AU59" i="3"/>
  <c r="AX96" i="3"/>
  <c r="AY82" i="3"/>
  <c r="AV76" i="3"/>
  <c r="AS65" i="3"/>
  <c r="AZ55" i="3"/>
  <c r="AT70" i="3"/>
  <c r="C79" i="3"/>
  <c r="AZ81" i="3"/>
  <c r="AV64" i="3"/>
  <c r="AF96" i="3"/>
  <c r="AX57" i="3"/>
  <c r="AU54" i="3"/>
  <c r="AW70" i="3"/>
  <c r="AY47" i="3"/>
  <c r="AV93" i="3"/>
  <c r="AZ67" i="3"/>
  <c r="AW60" i="3"/>
  <c r="AW91" i="3"/>
  <c r="AT66" i="3"/>
  <c r="AT68" i="3"/>
  <c r="AY56" i="3"/>
  <c r="AF92" i="3"/>
  <c r="AW77" i="3"/>
  <c r="AX73" i="3"/>
  <c r="C97" i="3"/>
  <c r="AT56" i="3"/>
  <c r="AV92" i="3"/>
  <c r="AV85" i="3"/>
  <c r="AV60" i="3"/>
  <c r="C80" i="3"/>
  <c r="AX92" i="3"/>
  <c r="C70" i="3"/>
  <c r="C50" i="3"/>
  <c r="AX97" i="3"/>
  <c r="AF70" i="3"/>
  <c r="AZ92" i="3"/>
  <c r="AS67" i="3"/>
  <c r="AT76" i="3"/>
  <c r="AX61" i="3"/>
  <c r="AU81" i="3"/>
  <c r="AS94" i="3"/>
  <c r="AS82" i="3"/>
  <c r="AZ71" i="3"/>
  <c r="AT59" i="3"/>
  <c r="AU87" i="3"/>
  <c r="AT57" i="3"/>
  <c r="C71" i="3"/>
  <c r="AX90" i="3"/>
  <c r="AZ93" i="3"/>
  <c r="AS62" i="3"/>
  <c r="AU56" i="3"/>
  <c r="AW93" i="3"/>
  <c r="AX58" i="3"/>
  <c r="AS80" i="3"/>
  <c r="AS70" i="3"/>
  <c r="AU50" i="3"/>
  <c r="C58" i="3"/>
  <c r="AY86" i="3"/>
  <c r="AU97" i="3"/>
  <c r="AX56" i="3"/>
  <c r="AS58" i="3"/>
  <c r="AU75" i="3"/>
  <c r="AF59" i="3"/>
  <c r="AV63" i="3"/>
  <c r="AF65" i="3"/>
  <c r="AX86" i="3"/>
  <c r="AT48" i="3"/>
  <c r="AY89" i="3"/>
  <c r="AW87" i="3"/>
  <c r="AZ50" i="3"/>
  <c r="AY90" i="3"/>
  <c r="AT74" i="3"/>
  <c r="AF69" i="3"/>
  <c r="AW90" i="3"/>
  <c r="C56" i="3"/>
  <c r="AZ91" i="3"/>
  <c r="AY76" i="3"/>
  <c r="AY58" i="3"/>
  <c r="AF77" i="3"/>
  <c r="AS90" i="3"/>
  <c r="AT87" i="3"/>
  <c r="AF89" i="3"/>
  <c r="C88" i="3"/>
  <c r="AX71" i="3"/>
  <c r="AZ73" i="3"/>
  <c r="AU89" i="3"/>
  <c r="AX63" i="3"/>
  <c r="AZ88" i="3"/>
  <c r="AT84" i="3"/>
  <c r="AS96" i="3"/>
  <c r="AX85" i="3"/>
  <c r="AT69" i="3"/>
  <c r="AT97" i="3"/>
  <c r="AF68" i="3"/>
  <c r="AX64" i="3"/>
  <c r="AW47" i="3"/>
  <c r="AU62" i="3"/>
  <c r="AY95" i="3"/>
  <c r="AV66" i="3"/>
  <c r="AU90" i="3"/>
  <c r="AW86" i="3"/>
  <c r="AU74" i="3"/>
  <c r="AS57" i="3"/>
  <c r="AT82" i="3"/>
  <c r="AY87" i="3"/>
  <c r="AS86" i="3"/>
  <c r="AZ49" i="3"/>
  <c r="AT81" i="3"/>
  <c r="AU96" i="3"/>
  <c r="C68" i="3"/>
  <c r="AZ77" i="3"/>
  <c r="AY92" i="3"/>
  <c r="AV65" i="3"/>
  <c r="AU48" i="3"/>
  <c r="AW50" i="3"/>
  <c r="AZ83" i="3"/>
  <c r="AW61" i="3"/>
  <c r="C78" i="3"/>
  <c r="AZ62" i="3"/>
  <c r="AS54" i="3"/>
  <c r="AF91" i="3"/>
  <c r="AX60" i="3"/>
  <c r="C92" i="3"/>
  <c r="AY78" i="3"/>
  <c r="C85" i="3"/>
  <c r="AT58" i="3"/>
  <c r="C89" i="3"/>
  <c r="C65" i="3"/>
  <c r="AS85" i="3"/>
  <c r="AV68" i="3"/>
  <c r="AT95" i="3"/>
  <c r="AT73" i="3"/>
  <c r="AY55" i="3"/>
  <c r="AW95" i="3"/>
  <c r="AS50" i="3"/>
  <c r="AY77" i="3"/>
  <c r="AF79" i="3"/>
  <c r="AS91" i="3"/>
  <c r="C72" i="3"/>
  <c r="AS69" i="3"/>
  <c r="AU49" i="3"/>
  <c r="AW84" i="3"/>
  <c r="AT72" i="3"/>
  <c r="AV87" i="3"/>
  <c r="AT78" i="3"/>
  <c r="AF73" i="3"/>
  <c r="AW96" i="3"/>
  <c r="AV67" i="3"/>
  <c r="AY67" i="3"/>
  <c r="AX84" i="3"/>
  <c r="AW78" i="3"/>
  <c r="AV78" i="3"/>
  <c r="AZ82" i="3"/>
  <c r="AZ85" i="3"/>
  <c r="AU63" i="3"/>
  <c r="AW54" i="3"/>
  <c r="AV58" i="3"/>
  <c r="AV72" i="3"/>
  <c r="AX48" i="3"/>
  <c r="AU71" i="3"/>
  <c r="AY74" i="3"/>
  <c r="AT96" i="3"/>
  <c r="AY61" i="3"/>
  <c r="AS79" i="3"/>
  <c r="AY85" i="3"/>
  <c r="AY81" i="3"/>
  <c r="AW59" i="3"/>
  <c r="AY60" i="3"/>
  <c r="AW64" i="3"/>
  <c r="AF97" i="3"/>
  <c r="AU92" i="3"/>
  <c r="AZ94" i="3"/>
  <c r="AX88" i="3"/>
  <c r="C96" i="3"/>
  <c r="AZ87" i="3"/>
  <c r="AY91" i="3"/>
  <c r="AW69" i="3"/>
  <c r="AV94" i="3"/>
  <c r="AY65" i="3"/>
  <c r="AV49" i="3"/>
  <c r="AU61" i="3"/>
  <c r="AX54" i="3"/>
  <c r="AW92" i="3"/>
  <c r="AZ59" i="3"/>
  <c r="AX72" i="3"/>
  <c r="AS78" i="3"/>
  <c r="AV54" i="3"/>
  <c r="AS95" i="3"/>
  <c r="AV56" i="3"/>
  <c r="AV96" i="3"/>
  <c r="AU70" i="3"/>
  <c r="AY54" i="3"/>
  <c r="AT93" i="3"/>
  <c r="AZ48" i="3"/>
  <c r="C93" i="3"/>
  <c r="AU58" i="3"/>
  <c r="AT89" i="3"/>
  <c r="AS75" i="3"/>
  <c r="AW76" i="3"/>
  <c r="AZ58" i="3"/>
  <c r="AW57" i="3"/>
  <c r="AT71" i="3"/>
  <c r="AY69" i="3"/>
  <c r="AW73" i="3"/>
  <c r="AV55" i="3"/>
  <c r="AS68" i="3"/>
  <c r="AS73" i="3"/>
  <c r="AX50" i="3"/>
  <c r="AU84" i="3"/>
  <c r="AU60" i="3"/>
  <c r="AS64" i="3"/>
  <c r="AW72" i="3"/>
  <c r="AX75" i="3"/>
  <c r="AW56" i="3"/>
  <c r="AW97" i="3"/>
  <c r="AZ96" i="3"/>
  <c r="AU93" i="3"/>
  <c r="AY73" i="3"/>
  <c r="AF56" i="3"/>
  <c r="AV82" i="3"/>
  <c r="AS77" i="3"/>
  <c r="AW68" i="3"/>
  <c r="AT94" i="3"/>
  <c r="AU95" i="3"/>
  <c r="AW49" i="3"/>
  <c r="AX55" i="3"/>
  <c r="AF74" i="3"/>
  <c r="AZ47" i="3"/>
  <c r="AU55" i="3"/>
  <c r="AF84" i="3"/>
  <c r="AS88" i="3"/>
  <c r="AZ90" i="3"/>
  <c r="AS76" i="3"/>
  <c r="C66" i="3"/>
  <c r="AZ69" i="3"/>
  <c r="AU80" i="3"/>
  <c r="C91" i="3"/>
  <c r="AU66" i="3"/>
  <c r="AT61" i="3"/>
  <c r="AV61" i="3"/>
  <c r="AS74" i="3"/>
  <c r="AW55" i="3"/>
  <c r="AZ61" i="3"/>
  <c r="AW48" i="3"/>
  <c r="AX79" i="3"/>
  <c r="AV73" i="3"/>
  <c r="AY97" i="3"/>
  <c r="AV79" i="3"/>
  <c r="AU94" i="3"/>
  <c r="AV91" i="3"/>
  <c r="AV86" i="3"/>
  <c r="AF47" i="3"/>
  <c r="AT67" i="3"/>
  <c r="C90" i="3"/>
  <c r="AW63" i="3"/>
  <c r="AT55" i="3"/>
  <c r="AU65" i="3"/>
  <c r="AZ64" i="3"/>
  <c r="AT60" i="3"/>
  <c r="AU72" i="3"/>
  <c r="AS61" i="3"/>
  <c r="AU78" i="3"/>
  <c r="AF75" i="3"/>
  <c r="AY80" i="3"/>
  <c r="AX93" i="3"/>
  <c r="AS60" i="3"/>
  <c r="AX62" i="3"/>
  <c r="AU57" i="3"/>
  <c r="AX67" i="3"/>
  <c r="AZ54" i="3"/>
  <c r="AZ84" i="3"/>
  <c r="AU69" i="3"/>
  <c r="C86" i="3"/>
  <c r="AY88" i="3"/>
  <c r="C73" i="3"/>
  <c r="AY59" i="3"/>
  <c r="AW79" i="3"/>
  <c r="AF94" i="3"/>
  <c r="AS92" i="3"/>
  <c r="AF78" i="3"/>
  <c r="AF63" i="3"/>
  <c r="AF71" i="3"/>
  <c r="AU67" i="3"/>
  <c r="AS84" i="3"/>
  <c r="AT47" i="3"/>
  <c r="AV70" i="3"/>
  <c r="Z236" i="1" l="1"/>
  <c r="Z237" i="1" s="1"/>
  <c r="CL95" i="1"/>
  <c r="CO157" i="1"/>
  <c r="CP157" i="1" s="1"/>
  <c r="CQ157" i="1" s="1"/>
  <c r="CR157" i="1" s="1"/>
  <c r="AA157" i="1"/>
  <c r="CJ95" i="1"/>
  <c r="Y233" i="1"/>
  <c r="Y231" i="1" s="1"/>
  <c r="Y219" i="1"/>
  <c r="Y221" i="1" s="1"/>
  <c r="Y225" i="1" s="1"/>
  <c r="Y239" i="1" s="1"/>
  <c r="DA34" i="1"/>
  <c r="DA28" i="1"/>
  <c r="DA29" i="1" s="1"/>
  <c r="DB26" i="1" s="1"/>
  <c r="Y78" i="1"/>
  <c r="DB7" i="1"/>
  <c r="DB15" i="1"/>
  <c r="CZ37" i="1"/>
  <c r="CZ38" i="1"/>
  <c r="CZ8" i="1"/>
  <c r="DD5" i="1"/>
  <c r="DD15" i="1" s="1"/>
  <c r="DD17" i="1" s="1"/>
  <c r="DC5" i="1"/>
  <c r="CR166" i="1"/>
  <c r="AB166" i="1" s="1"/>
  <c r="CK95" i="1"/>
  <c r="CD257" i="1"/>
  <c r="CD8" i="1"/>
  <c r="CX72" i="1"/>
  <c r="CY72" i="1" s="1"/>
  <c r="CZ72" i="1" s="1"/>
  <c r="DA72" i="1" s="1"/>
  <c r="AC71" i="1"/>
  <c r="AC72" i="1"/>
  <c r="CX71" i="1"/>
  <c r="CY71" i="1" s="1"/>
  <c r="CZ71" i="1" s="1"/>
  <c r="DA71" i="1" s="1"/>
  <c r="CQ210" i="1"/>
  <c r="CP211" i="1"/>
  <c r="CO208" i="1"/>
  <c r="CO212" i="1" s="1"/>
  <c r="CP207" i="1"/>
  <c r="CR151" i="1"/>
  <c r="AB151" i="1" s="1"/>
  <c r="CQ154" i="1"/>
  <c r="CQ275" i="1" s="1"/>
  <c r="CP232" i="1"/>
  <c r="BZ151" i="1"/>
  <c r="CA151" i="1" s="1"/>
  <c r="BL99" i="1"/>
  <c r="CF100" i="1"/>
  <c r="CB172" i="1"/>
  <c r="CC172" i="1" s="1"/>
  <c r="CD179" i="1"/>
  <c r="CD209" i="1" s="1"/>
  <c r="CE209" i="1" s="1"/>
  <c r="CB190" i="1"/>
  <c r="CC190" i="1" s="1"/>
  <c r="BL150" i="1"/>
  <c r="BM150" i="1" s="1"/>
  <c r="CD159" i="1"/>
  <c r="CD150" i="1"/>
  <c r="CE150" i="1" s="1"/>
  <c r="CF153" i="1"/>
  <c r="CG153" i="1" s="1"/>
  <c r="CB153" i="1"/>
  <c r="CC153" i="1" s="1"/>
  <c r="CB178" i="1"/>
  <c r="CC178" i="1" s="1"/>
  <c r="CB170" i="1"/>
  <c r="CB205" i="1" s="1"/>
  <c r="CC205" i="1" s="1"/>
  <c r="BZ179" i="1"/>
  <c r="BZ209" i="1" s="1"/>
  <c r="CA209" i="1" s="1"/>
  <c r="BZ190" i="1"/>
  <c r="CA190" i="1" s="1"/>
  <c r="BZ180" i="1"/>
  <c r="CA180" i="1" s="1"/>
  <c r="BZ186" i="1"/>
  <c r="BZ176" i="1"/>
  <c r="CA176" i="1" s="1"/>
  <c r="BZ158" i="1"/>
  <c r="BL171" i="1"/>
  <c r="BL206" i="1" s="1"/>
  <c r="BM206" i="1" s="1"/>
  <c r="BL179" i="1"/>
  <c r="BL209" i="1" s="1"/>
  <c r="BM209" i="1" s="1"/>
  <c r="BL148" i="1"/>
  <c r="BM148" i="1" s="1"/>
  <c r="CA99" i="1"/>
  <c r="CF99" i="1"/>
  <c r="CF172" i="1"/>
  <c r="CG172" i="1" s="1"/>
  <c r="CF159" i="1"/>
  <c r="CB100" i="1"/>
  <c r="CF170" i="1"/>
  <c r="CF205" i="1" s="1"/>
  <c r="CG205" i="1" s="1"/>
  <c r="CG170" i="1" s="1"/>
  <c r="CF148" i="1"/>
  <c r="CG148" i="1" s="1"/>
  <c r="CB175" i="1"/>
  <c r="CC175" i="1" s="1"/>
  <c r="CF190" i="1"/>
  <c r="CG190" i="1" s="1"/>
  <c r="CB151" i="1"/>
  <c r="CC151" i="1" s="1"/>
  <c r="CB189" i="1"/>
  <c r="CC189" i="1" s="1"/>
  <c r="CD100" i="1"/>
  <c r="CB185" i="1"/>
  <c r="CD171" i="1"/>
  <c r="CD206" i="1" s="1"/>
  <c r="CE206" i="1" s="1"/>
  <c r="CD148" i="1"/>
  <c r="CE148" i="1" s="1"/>
  <c r="BL151" i="1"/>
  <c r="CD157" i="1"/>
  <c r="CD177" i="1"/>
  <c r="CE177" i="1" s="1"/>
  <c r="CD185" i="1"/>
  <c r="CD168" i="1"/>
  <c r="CE168" i="1" s="1"/>
  <c r="CF166" i="1"/>
  <c r="CF152" i="1"/>
  <c r="CG152" i="1" s="1"/>
  <c r="CB168" i="1"/>
  <c r="CC168" i="1" s="1"/>
  <c r="BL180" i="1"/>
  <c r="BM180" i="1" s="1"/>
  <c r="BL189" i="1"/>
  <c r="BM189" i="1" s="1"/>
  <c r="BL190" i="1"/>
  <c r="CB152" i="1"/>
  <c r="CC152" i="1" s="1"/>
  <c r="CE100" i="1"/>
  <c r="BZ185" i="1"/>
  <c r="BZ189" i="1"/>
  <c r="CA189" i="1" s="1"/>
  <c r="BZ145" i="1"/>
  <c r="BZ153" i="1"/>
  <c r="CA153" i="1" s="1"/>
  <c r="CF171" i="1"/>
  <c r="CF206" i="1" s="1"/>
  <c r="CG206" i="1" s="1"/>
  <c r="CG171" i="1" s="1"/>
  <c r="CF158" i="1"/>
  <c r="CF175" i="1"/>
  <c r="CB145" i="1"/>
  <c r="CB171" i="1"/>
  <c r="CB206" i="1" s="1"/>
  <c r="CC206" i="1" s="1"/>
  <c r="CD186" i="1"/>
  <c r="CD178" i="1"/>
  <c r="CE178" i="1" s="1"/>
  <c r="CB99" i="1"/>
  <c r="BZ181" i="1"/>
  <c r="CA181" i="1" s="1"/>
  <c r="BZ159" i="1"/>
  <c r="BZ143" i="1"/>
  <c r="BZ173" i="1"/>
  <c r="CA173" i="1" s="1"/>
  <c r="BZ100" i="1"/>
  <c r="BZ150" i="1"/>
  <c r="CA150" i="1" s="1"/>
  <c r="BZ152" i="1"/>
  <c r="CA152" i="1" s="1"/>
  <c r="BZ168" i="1"/>
  <c r="CA168" i="1" s="1"/>
  <c r="BZ157" i="1"/>
  <c r="BL159" i="1"/>
  <c r="BL175" i="1"/>
  <c r="BM175" i="1" s="1"/>
  <c r="CF150" i="1"/>
  <c r="CF179" i="1"/>
  <c r="CF209" i="1" s="1"/>
  <c r="CG209" i="1" s="1"/>
  <c r="CG179" i="1" s="1"/>
  <c r="CD180" i="1"/>
  <c r="CE180" i="1" s="1"/>
  <c r="CF180" i="1"/>
  <c r="CG180" i="1" s="1"/>
  <c r="CB157" i="1"/>
  <c r="CB180" i="1"/>
  <c r="CC180" i="1" s="1"/>
  <c r="BY100" i="1"/>
  <c r="CD189" i="1"/>
  <c r="CE189" i="1" s="1"/>
  <c r="CD161" i="1"/>
  <c r="CE161" i="1" s="1"/>
  <c r="BL186" i="1"/>
  <c r="CB179" i="1"/>
  <c r="CB209" i="1" s="1"/>
  <c r="CC209" i="1" s="1"/>
  <c r="CB144" i="1"/>
  <c r="CC144" i="1" s="1"/>
  <c r="BL176" i="1"/>
  <c r="BM176" i="1" s="1"/>
  <c r="CD153" i="1"/>
  <c r="CE153" i="1" s="1"/>
  <c r="CD173" i="1"/>
  <c r="CE173" i="1" s="1"/>
  <c r="CD145" i="1"/>
  <c r="CD172" i="1"/>
  <c r="CE172" i="1" s="1"/>
  <c r="CD181" i="1"/>
  <c r="CE181" i="1" s="1"/>
  <c r="CD166" i="1"/>
  <c r="CE166" i="1" s="1"/>
  <c r="CF143" i="1"/>
  <c r="CF144" i="1"/>
  <c r="CG144" i="1" s="1"/>
  <c r="CF177" i="1"/>
  <c r="CG177" i="1" s="1"/>
  <c r="CF189" i="1"/>
  <c r="CG189" i="1" s="1"/>
  <c r="CB186" i="1"/>
  <c r="CB166" i="1"/>
  <c r="AI100" i="1"/>
  <c r="BL173" i="1"/>
  <c r="BM173" i="1" s="1"/>
  <c r="BL161" i="1"/>
  <c r="BM161" i="1" s="1"/>
  <c r="BL152" i="1"/>
  <c r="BM152" i="1" s="1"/>
  <c r="CB150" i="1"/>
  <c r="CC150" i="1" s="1"/>
  <c r="BL172" i="1"/>
  <c r="BM172" i="1" s="1"/>
  <c r="BZ161" i="1"/>
  <c r="CA161" i="1" s="1"/>
  <c r="BZ99" i="1"/>
  <c r="BL178" i="1"/>
  <c r="BM178" i="1" s="1"/>
  <c r="CB158" i="1"/>
  <c r="CF173" i="1"/>
  <c r="CG173" i="1" s="1"/>
  <c r="CB173" i="1"/>
  <c r="CC173" i="1" s="1"/>
  <c r="CD99" i="1"/>
  <c r="CC100" i="1"/>
  <c r="CD144" i="1"/>
  <c r="CE144" i="1" s="1"/>
  <c r="BL145" i="1"/>
  <c r="CD151" i="1"/>
  <c r="CE151" i="1" s="1"/>
  <c r="CF185" i="1"/>
  <c r="CF178" i="1"/>
  <c r="CG178" i="1" s="1"/>
  <c r="CE99" i="1"/>
  <c r="BZ171" i="1"/>
  <c r="BZ206" i="1" s="1"/>
  <c r="CA206" i="1" s="1"/>
  <c r="BZ148" i="1"/>
  <c r="CA148" i="1" s="1"/>
  <c r="BZ170" i="1"/>
  <c r="BZ205" i="1" s="1"/>
  <c r="CA205" i="1" s="1"/>
  <c r="BZ144" i="1"/>
  <c r="CA144" i="1" s="1"/>
  <c r="BZ175" i="1"/>
  <c r="BZ177" i="1"/>
  <c r="CA177" i="1" s="1"/>
  <c r="BZ172" i="1"/>
  <c r="CA172" i="1" s="1"/>
  <c r="BZ166" i="1"/>
  <c r="CA166" i="1" s="1"/>
  <c r="BZ178" i="1"/>
  <c r="CA178" i="1" s="1"/>
  <c r="BL181" i="1"/>
  <c r="BM181" i="1" s="1"/>
  <c r="BL170" i="1"/>
  <c r="BL205" i="1" s="1"/>
  <c r="BM205" i="1" s="1"/>
  <c r="BL157" i="1"/>
  <c r="BL158" i="1"/>
  <c r="CA100" i="1"/>
  <c r="CF181" i="1"/>
  <c r="CG181" i="1" s="1"/>
  <c r="CF176" i="1"/>
  <c r="CG176" i="1" s="1"/>
  <c r="CF186" i="1"/>
  <c r="CB143" i="1"/>
  <c r="CC143" i="1" s="1"/>
  <c r="CF157" i="1"/>
  <c r="CF145" i="1"/>
  <c r="CG145" i="1" s="1"/>
  <c r="CF151" i="1"/>
  <c r="CG151" i="1" s="1"/>
  <c r="CD152" i="1"/>
  <c r="CE152" i="1" s="1"/>
  <c r="CB181" i="1"/>
  <c r="CC181" i="1" s="1"/>
  <c r="CB161" i="1"/>
  <c r="CC161" i="1" s="1"/>
  <c r="CB177" i="1"/>
  <c r="CC177" i="1" s="1"/>
  <c r="CD143" i="1"/>
  <c r="BL166" i="1"/>
  <c r="CB159" i="1"/>
  <c r="BL153" i="1"/>
  <c r="BM153" i="1" s="1"/>
  <c r="CD158" i="1"/>
  <c r="CD170" i="1"/>
  <c r="CD205" i="1" s="1"/>
  <c r="CE205" i="1" s="1"/>
  <c r="CD176" i="1"/>
  <c r="CE176" i="1" s="1"/>
  <c r="CD175" i="1"/>
  <c r="CE175" i="1" s="1"/>
  <c r="CD190" i="1"/>
  <c r="CE190" i="1" s="1"/>
  <c r="CF161" i="1"/>
  <c r="CG161" i="1" s="1"/>
  <c r="CF168" i="1"/>
  <c r="CG168" i="1" s="1"/>
  <c r="CC99" i="1"/>
  <c r="CB176" i="1"/>
  <c r="CC176" i="1" s="1"/>
  <c r="CB148" i="1"/>
  <c r="CC148" i="1" s="1"/>
  <c r="BL185" i="1"/>
  <c r="BL143" i="1"/>
  <c r="BM143" i="1" s="1"/>
  <c r="BL177" i="1"/>
  <c r="BM177" i="1" s="1"/>
  <c r="BL168" i="1"/>
  <c r="BM168" i="1" s="1"/>
  <c r="BL144" i="1"/>
  <c r="BM144" i="1" s="1"/>
  <c r="BL279" i="1"/>
  <c r="CH124" i="1"/>
  <c r="CH125" i="1" s="1"/>
  <c r="CB163" i="1"/>
  <c r="CC163" i="1" s="1"/>
  <c r="CF163" i="1"/>
  <c r="CG163" i="1" s="1"/>
  <c r="CD163" i="1"/>
  <c r="CE163" i="1" s="1"/>
  <c r="BL163" i="1"/>
  <c r="BM163" i="1" s="1"/>
  <c r="BZ163" i="1"/>
  <c r="CA163" i="1" s="1"/>
  <c r="BL169" i="1"/>
  <c r="CD169" i="1"/>
  <c r="CB169" i="1"/>
  <c r="CF169" i="1"/>
  <c r="BZ169" i="1"/>
  <c r="CA278" i="1"/>
  <c r="JJ21" i="4"/>
  <c r="CD103" i="1" s="1"/>
  <c r="CA36" i="1"/>
  <c r="CA42" i="1" s="1"/>
  <c r="CA43" i="1" s="1"/>
  <c r="JK14" i="4"/>
  <c r="BL36" i="1"/>
  <c r="BL42" i="1" s="1"/>
  <c r="BY36" i="1"/>
  <c r="BY42" i="1" s="1"/>
  <c r="BL220" i="1"/>
  <c r="CF36" i="1"/>
  <c r="CF278" i="1"/>
  <c r="JL21" i="4"/>
  <c r="CF103" i="1" s="1"/>
  <c r="CF124" i="1"/>
  <c r="CF125" i="1" s="1"/>
  <c r="CB52" i="1"/>
  <c r="CE257" i="1"/>
  <c r="CC279" i="1"/>
  <c r="CA52" i="1"/>
  <c r="CE278" i="1"/>
  <c r="CC278" i="1"/>
  <c r="JM7" i="4"/>
  <c r="CA279" i="1"/>
  <c r="JJ8" i="4"/>
  <c r="CF52" i="1"/>
  <c r="BZ278" i="1"/>
  <c r="BZ36" i="1"/>
  <c r="CA220" i="1"/>
  <c r="CD279" i="1"/>
  <c r="CB124" i="1"/>
  <c r="CB125" i="1" s="1"/>
  <c r="JK21" i="4"/>
  <c r="CE103" i="1" s="1"/>
  <c r="JK15" i="4"/>
  <c r="CD278" i="1"/>
  <c r="JL14" i="4"/>
  <c r="CC52" i="1"/>
  <c r="BY52" i="1"/>
  <c r="CI124" i="1"/>
  <c r="CI125" i="1" s="1"/>
  <c r="CI128" i="1" s="1"/>
  <c r="CF257" i="1"/>
  <c r="BY279" i="1"/>
  <c r="JL8" i="4"/>
  <c r="CE52" i="1"/>
  <c r="BL278" i="1"/>
  <c r="CE124" i="1"/>
  <c r="CE125" i="1" s="1"/>
  <c r="CD36" i="1"/>
  <c r="CD42" i="1" s="1"/>
  <c r="CH44" i="1" s="1"/>
  <c r="CC36" i="1"/>
  <c r="CD220" i="1"/>
  <c r="CE36" i="1"/>
  <c r="CG124" i="1"/>
  <c r="CG125" i="1" s="1"/>
  <c r="CD124" i="1"/>
  <c r="CD125" i="1" s="1"/>
  <c r="CB36" i="1"/>
  <c r="Z84" i="1" s="1"/>
  <c r="CB278" i="1"/>
  <c r="CC124" i="1"/>
  <c r="CC125" i="1" s="1"/>
  <c r="JJ15" i="4"/>
  <c r="CB279" i="1"/>
  <c r="BY278" i="1"/>
  <c r="CD52" i="1"/>
  <c r="JM8" i="4"/>
  <c r="JL7" i="4"/>
  <c r="CF279" i="1"/>
  <c r="JJ7" i="4"/>
  <c r="JK8" i="4"/>
  <c r="JM21" i="4"/>
  <c r="CG103" i="1" s="1"/>
  <c r="BZ279" i="1"/>
  <c r="CE279" i="1"/>
  <c r="JK7" i="4"/>
  <c r="BL52" i="1"/>
  <c r="JL15" i="4"/>
  <c r="BZ52" i="1"/>
  <c r="JM14" i="4"/>
  <c r="JM15" i="4"/>
  <c r="JJ14" i="4"/>
  <c r="CJ111" i="1"/>
  <c r="CI120" i="1"/>
  <c r="CI122" i="1"/>
  <c r="CI121" i="1"/>
  <c r="CR43" i="1"/>
  <c r="CS43" i="1" s="1"/>
  <c r="CS206" i="1"/>
  <c r="CS209" i="1"/>
  <c r="CS205" i="1"/>
  <c r="CT150" i="1"/>
  <c r="CJ112" i="1"/>
  <c r="CJ113" i="1"/>
  <c r="U34" i="1"/>
  <c r="V34" i="1"/>
  <c r="W34" i="1"/>
  <c r="CS166" i="1" l="1"/>
  <c r="CS228" i="1" s="1"/>
  <c r="CL112" i="1"/>
  <c r="CL111" i="1"/>
  <c r="CL113" i="1"/>
  <c r="CB42" i="1"/>
  <c r="CK113" i="1"/>
  <c r="CS157" i="1"/>
  <c r="CT157" i="1" s="1"/>
  <c r="CU157" i="1" s="1"/>
  <c r="CV157" i="1" s="1"/>
  <c r="AB157" i="1"/>
  <c r="Y236" i="1"/>
  <c r="Y237" i="1" s="1"/>
  <c r="CR228" i="1"/>
  <c r="DB34" i="1"/>
  <c r="DB36" i="1" s="1"/>
  <c r="DB37" i="1" s="1"/>
  <c r="DB28" i="1"/>
  <c r="DB29" i="1" s="1"/>
  <c r="DC26" i="1" s="1"/>
  <c r="DA36" i="1"/>
  <c r="DA8" i="1"/>
  <c r="CK112" i="1"/>
  <c r="CK111" i="1"/>
  <c r="DB17" i="1"/>
  <c r="DC7" i="1"/>
  <c r="DC28" i="1" s="1"/>
  <c r="DC15" i="1"/>
  <c r="DC17" i="1" s="1"/>
  <c r="AE5" i="1"/>
  <c r="DD7" i="1"/>
  <c r="DD28" i="1" s="1"/>
  <c r="AD71" i="1"/>
  <c r="DB71" i="1"/>
  <c r="DC71" i="1" s="1"/>
  <c r="DD71" i="1" s="1"/>
  <c r="DB72" i="1"/>
  <c r="DC72" i="1" s="1"/>
  <c r="DD72" i="1" s="1"/>
  <c r="AD72" i="1"/>
  <c r="CQ211" i="1"/>
  <c r="CR210" i="1"/>
  <c r="CP208" i="1"/>
  <c r="CP212" i="1" s="1"/>
  <c r="CQ207" i="1"/>
  <c r="CS151" i="1"/>
  <c r="CR154" i="1"/>
  <c r="CQ232" i="1"/>
  <c r="BZ187" i="1"/>
  <c r="BL187" i="1"/>
  <c r="CB228" i="1"/>
  <c r="CA143" i="1"/>
  <c r="BZ146" i="1"/>
  <c r="BZ118" i="1" s="1"/>
  <c r="BL146" i="1"/>
  <c r="BL118" i="1" s="1"/>
  <c r="CB187" i="1"/>
  <c r="CC235" i="1" s="1"/>
  <c r="CG150" i="1"/>
  <c r="CG154" i="1" s="1"/>
  <c r="CF154" i="1"/>
  <c r="CD160" i="1"/>
  <c r="CE59" i="1" s="1"/>
  <c r="CC166" i="1"/>
  <c r="CD228" i="1" s="1"/>
  <c r="CE143" i="1"/>
  <c r="CD146" i="1"/>
  <c r="CD118" i="1" s="1"/>
  <c r="CD120" i="1" s="1"/>
  <c r="BM166" i="1"/>
  <c r="BM228" i="1" s="1"/>
  <c r="CD187" i="1"/>
  <c r="CF228" i="1"/>
  <c r="CE154" i="1"/>
  <c r="BM151" i="1"/>
  <c r="BM154" i="1" s="1"/>
  <c r="BL154" i="1"/>
  <c r="CG166" i="1"/>
  <c r="CG175" i="1"/>
  <c r="CG182" i="1" s="1"/>
  <c r="CF182" i="1"/>
  <c r="CF211" i="1" s="1"/>
  <c r="CF210" i="1" s="1"/>
  <c r="CG143" i="1"/>
  <c r="CG146" i="1" s="1"/>
  <c r="CF146" i="1"/>
  <c r="CF118" i="1" s="1"/>
  <c r="CF120" i="1" s="1"/>
  <c r="CA175" i="1"/>
  <c r="BZ182" i="1"/>
  <c r="BZ211" i="1" s="1"/>
  <c r="BZ210" i="1" s="1"/>
  <c r="BZ160" i="1"/>
  <c r="BZ164" i="1" s="1"/>
  <c r="CA154" i="1"/>
  <c r="CB160" i="1"/>
  <c r="CF187" i="1"/>
  <c r="BL160" i="1"/>
  <c r="CF160" i="1"/>
  <c r="CF164" i="1" s="1"/>
  <c r="CC154" i="1"/>
  <c r="CB154" i="1"/>
  <c r="CE228" i="1"/>
  <c r="BZ154" i="1"/>
  <c r="CB182" i="1"/>
  <c r="CB211" i="1" s="1"/>
  <c r="CB210" i="1" s="1"/>
  <c r="BL182" i="1"/>
  <c r="BL211" i="1" s="1"/>
  <c r="BL210" i="1" s="1"/>
  <c r="CD182" i="1"/>
  <c r="CD211" i="1" s="1"/>
  <c r="CD210" i="1" s="1"/>
  <c r="CB146" i="1"/>
  <c r="CD154" i="1"/>
  <c r="CH128" i="1"/>
  <c r="CH129" i="1"/>
  <c r="CH130" i="1"/>
  <c r="BM169" i="1"/>
  <c r="BL174" i="1"/>
  <c r="CE169" i="1"/>
  <c r="CD174" i="1"/>
  <c r="CC169" i="1"/>
  <c r="CB174" i="1"/>
  <c r="CG169" i="1"/>
  <c r="CG174" i="1" s="1"/>
  <c r="CG208" i="1" s="1"/>
  <c r="CG207" i="1" s="1"/>
  <c r="CF174" i="1"/>
  <c r="CA169" i="1"/>
  <c r="BZ174" i="1"/>
  <c r="CD128" i="1"/>
  <c r="CA53" i="1"/>
  <c r="CA38" i="1"/>
  <c r="JK19" i="4"/>
  <c r="CE104" i="1" s="1"/>
  <c r="BL53" i="1"/>
  <c r="CC37" i="1"/>
  <c r="CC53" i="1"/>
  <c r="CI251" i="1"/>
  <c r="CF42" i="1"/>
  <c r="CF54" i="1" s="1"/>
  <c r="CG38" i="1"/>
  <c r="CJ37" i="1"/>
  <c r="BY53" i="1"/>
  <c r="JL20" i="4"/>
  <c r="CF105" i="1" s="1"/>
  <c r="CF130" i="1" s="1"/>
  <c r="BZ42" i="1"/>
  <c r="CD44" i="1" s="1"/>
  <c r="CF53" i="1"/>
  <c r="Y84" i="1"/>
  <c r="JJ19" i="4"/>
  <c r="CD104" i="1" s="1"/>
  <c r="CD133" i="1" s="1"/>
  <c r="JM20" i="4"/>
  <c r="CG105" i="1" s="1"/>
  <c r="CD53" i="1"/>
  <c r="JM19" i="4"/>
  <c r="CG104" i="1" s="1"/>
  <c r="CE179" i="1"/>
  <c r="CE182" i="1" s="1"/>
  <c r="CE211" i="1" s="1"/>
  <c r="CE210" i="1" s="1"/>
  <c r="CF128" i="1"/>
  <c r="JJ20" i="4"/>
  <c r="CD105" i="1" s="1"/>
  <c r="CD134" i="1" s="1"/>
  <c r="JL19" i="4"/>
  <c r="CF104" i="1" s="1"/>
  <c r="JK20" i="4"/>
  <c r="CE105" i="1" s="1"/>
  <c r="CE134" i="1" s="1"/>
  <c r="CA54" i="1"/>
  <c r="CA258" i="1" s="1"/>
  <c r="CA259" i="1" s="1"/>
  <c r="CD214" i="1"/>
  <c r="CD37" i="1"/>
  <c r="BZ38" i="1"/>
  <c r="CD251" i="1"/>
  <c r="BZ53" i="1"/>
  <c r="CE170" i="1"/>
  <c r="CE214" i="1"/>
  <c r="CG214" i="1"/>
  <c r="CF37" i="1"/>
  <c r="CH251" i="1"/>
  <c r="CJ214" i="1"/>
  <c r="CE53" i="1"/>
  <c r="CC42" i="1"/>
  <c r="CF251" i="1"/>
  <c r="CB38" i="1"/>
  <c r="CH270" i="1"/>
  <c r="CE37" i="1"/>
  <c r="CG128" i="1"/>
  <c r="CE128" i="1"/>
  <c r="CG251" i="1"/>
  <c r="CF38" i="1"/>
  <c r="CF214" i="1"/>
  <c r="CE251" i="1"/>
  <c r="CC38" i="1"/>
  <c r="CC251" i="1"/>
  <c r="CE171" i="1"/>
  <c r="CB53" i="1"/>
  <c r="CD54" i="1"/>
  <c r="CH56" i="1" s="1"/>
  <c r="CD38" i="1"/>
  <c r="CH37" i="1"/>
  <c r="CI214" i="1"/>
  <c r="CI129" i="1"/>
  <c r="CE42" i="1"/>
  <c r="CE45" i="1" s="1"/>
  <c r="CI37" i="1"/>
  <c r="CD43" i="1"/>
  <c r="CI130" i="1"/>
  <c r="CG37" i="1"/>
  <c r="CE38" i="1"/>
  <c r="CH214" i="1"/>
  <c r="CA228" i="1"/>
  <c r="BL43" i="1"/>
  <c r="BL54" i="1"/>
  <c r="BY43" i="1"/>
  <c r="BY54" i="1"/>
  <c r="CS66" i="1"/>
  <c r="CT43" i="1"/>
  <c r="CU43" i="1" s="1"/>
  <c r="CT166" i="1"/>
  <c r="CT228" i="1" s="1"/>
  <c r="CT205" i="1"/>
  <c r="CT209" i="1"/>
  <c r="CU150" i="1"/>
  <c r="CT206" i="1"/>
  <c r="V257" i="1"/>
  <c r="W257" i="1"/>
  <c r="U257" i="1"/>
  <c r="Z85" i="1" l="1"/>
  <c r="CC45" i="1"/>
  <c r="CB43" i="1"/>
  <c r="CB54" i="1"/>
  <c r="CB45" i="1"/>
  <c r="CW157" i="1"/>
  <c r="CX157" i="1" s="1"/>
  <c r="CY157" i="1" s="1"/>
  <c r="CZ157" i="1" s="1"/>
  <c r="AC157" i="1"/>
  <c r="DB38" i="1"/>
  <c r="DC34" i="1"/>
  <c r="DC36" i="1" s="1"/>
  <c r="DC38" i="1" s="1"/>
  <c r="DC29" i="1"/>
  <c r="DD26" i="1" s="1"/>
  <c r="DD29" i="1" s="1"/>
  <c r="DA37" i="1"/>
  <c r="DA38" i="1"/>
  <c r="CC228" i="1"/>
  <c r="AE15" i="1"/>
  <c r="AE17" i="1" s="1"/>
  <c r="AE7" i="1"/>
  <c r="AE11" i="1"/>
  <c r="DC8" i="1"/>
  <c r="DD34" i="1"/>
  <c r="DD36" i="1" s="1"/>
  <c r="DD37" i="1" s="1"/>
  <c r="AE71" i="1"/>
  <c r="AE72" i="1"/>
  <c r="CR275" i="1"/>
  <c r="AB154" i="1"/>
  <c r="CS210" i="1"/>
  <c r="CR211" i="1"/>
  <c r="CG275" i="1"/>
  <c r="CQ208" i="1"/>
  <c r="CQ212" i="1" s="1"/>
  <c r="CR207" i="1"/>
  <c r="CH228" i="1"/>
  <c r="CG228" i="1"/>
  <c r="CA235" i="1"/>
  <c r="BZ274" i="1"/>
  <c r="CT151" i="1"/>
  <c r="CS154" i="1"/>
  <c r="CS275" i="1" s="1"/>
  <c r="CD232" i="1"/>
  <c r="CF275" i="1"/>
  <c r="BM235" i="1"/>
  <c r="BL274" i="1"/>
  <c r="CF232" i="1"/>
  <c r="CF155" i="1"/>
  <c r="CR232" i="1"/>
  <c r="BL155" i="1"/>
  <c r="BL194" i="1"/>
  <c r="BL135" i="1" s="1"/>
  <c r="CA59" i="1"/>
  <c r="CA160" i="1"/>
  <c r="CB164" i="1"/>
  <c r="CC59" i="1"/>
  <c r="CC160" i="1"/>
  <c r="BZ194" i="1"/>
  <c r="BZ155" i="1"/>
  <c r="CF121" i="1"/>
  <c r="CD164" i="1"/>
  <c r="CE160" i="1"/>
  <c r="CE235" i="1"/>
  <c r="CD274" i="1"/>
  <c r="CA275" i="1"/>
  <c r="CA232" i="1"/>
  <c r="BM232" i="1"/>
  <c r="BM275" i="1"/>
  <c r="CH233" i="1"/>
  <c r="CG118" i="1"/>
  <c r="CG121" i="1" s="1"/>
  <c r="CG233" i="1"/>
  <c r="CG235" i="1"/>
  <c r="CF194" i="1"/>
  <c r="CF274" i="1"/>
  <c r="BM160" i="1"/>
  <c r="BM164" i="1" s="1"/>
  <c r="BL164" i="1"/>
  <c r="BL272" i="1" s="1"/>
  <c r="CG59" i="1"/>
  <c r="CG160" i="1"/>
  <c r="CH275" i="1"/>
  <c r="CH277" i="1" s="1"/>
  <c r="CH232" i="1"/>
  <c r="CG155" i="1"/>
  <c r="CG232" i="1"/>
  <c r="CB275" i="1"/>
  <c r="CB155" i="1"/>
  <c r="CB194" i="1"/>
  <c r="CB232" i="1"/>
  <c r="CB118" i="1"/>
  <c r="CB274" i="1"/>
  <c r="CC275" i="1"/>
  <c r="CC232" i="1"/>
  <c r="CE232" i="1"/>
  <c r="CD275" i="1"/>
  <c r="CD155" i="1"/>
  <c r="CD194" i="1"/>
  <c r="CE275" i="1"/>
  <c r="BL208" i="1"/>
  <c r="BL183" i="1"/>
  <c r="CD208" i="1"/>
  <c r="CD183" i="1"/>
  <c r="CB208" i="1"/>
  <c r="CB183" i="1"/>
  <c r="CF208" i="1"/>
  <c r="CF183" i="1"/>
  <c r="CF191" i="1" s="1"/>
  <c r="BZ208" i="1"/>
  <c r="BZ183" i="1"/>
  <c r="BZ191" i="1" s="1"/>
  <c r="CE129" i="1"/>
  <c r="CE133" i="1"/>
  <c r="BZ45" i="1"/>
  <c r="BZ54" i="1"/>
  <c r="BZ43" i="1"/>
  <c r="CA45" i="1"/>
  <c r="CG211" i="1"/>
  <c r="CH223" i="1"/>
  <c r="CG223" i="1"/>
  <c r="CJ44" i="1"/>
  <c r="CF43" i="1"/>
  <c r="CG45" i="1"/>
  <c r="CF44" i="1"/>
  <c r="BZ272" i="1"/>
  <c r="CF272" i="1"/>
  <c r="CF270" i="1"/>
  <c r="CF134" i="1"/>
  <c r="CF122" i="1"/>
  <c r="CG134" i="1"/>
  <c r="CG130" i="1"/>
  <c r="CG133" i="1"/>
  <c r="CG129" i="1"/>
  <c r="CF133" i="1"/>
  <c r="CF129" i="1"/>
  <c r="CG57" i="1"/>
  <c r="CI138" i="1"/>
  <c r="CG44" i="1"/>
  <c r="CC43" i="1"/>
  <c r="Y85" i="1"/>
  <c r="CC54" i="1"/>
  <c r="CD45" i="1"/>
  <c r="CC44" i="1"/>
  <c r="CD122" i="1"/>
  <c r="CD129" i="1"/>
  <c r="CE174" i="1"/>
  <c r="CD121" i="1"/>
  <c r="CE223" i="1"/>
  <c r="CG222" i="1"/>
  <c r="CD130" i="1"/>
  <c r="CF223" i="1"/>
  <c r="CA60" i="1"/>
  <c r="CA64" i="1" s="1"/>
  <c r="CA67" i="1" s="1"/>
  <c r="CA74" i="1" s="1"/>
  <c r="CA219" i="1" s="1"/>
  <c r="CA221" i="1" s="1"/>
  <c r="CI252" i="1"/>
  <c r="CA55" i="1"/>
  <c r="CG276" i="1"/>
  <c r="CE130" i="1"/>
  <c r="CF55" i="1"/>
  <c r="CF258" i="1"/>
  <c r="CF259" i="1" s="1"/>
  <c r="CJ56" i="1"/>
  <c r="CF60" i="1"/>
  <c r="CF18" i="1" s="1"/>
  <c r="CG183" i="1"/>
  <c r="CH222" i="1"/>
  <c r="CD55" i="1"/>
  <c r="CD258" i="1"/>
  <c r="CD259" i="1" s="1"/>
  <c r="CD60" i="1"/>
  <c r="CF45" i="1"/>
  <c r="CE44" i="1"/>
  <c r="CI44" i="1"/>
  <c r="CE54" i="1"/>
  <c r="CG252" i="1" s="1"/>
  <c r="CE43" i="1"/>
  <c r="BY60" i="1"/>
  <c r="BY64" i="1" s="1"/>
  <c r="BY55" i="1"/>
  <c r="BL60" i="1"/>
  <c r="BL64" i="1" s="1"/>
  <c r="BL55" i="1"/>
  <c r="CT66" i="1"/>
  <c r="CV43" i="1"/>
  <c r="CU205" i="1"/>
  <c r="CV150" i="1"/>
  <c r="AC150" i="1" s="1"/>
  <c r="CU206" i="1"/>
  <c r="CU209" i="1"/>
  <c r="CU166" i="1"/>
  <c r="A1" i="1"/>
  <c r="CB55" i="1" l="1"/>
  <c r="CB258" i="1"/>
  <c r="CB259" i="1" s="1"/>
  <c r="CB60" i="1"/>
  <c r="CB64" i="1" s="1"/>
  <c r="CB57" i="1"/>
  <c r="CB276" i="1"/>
  <c r="CF56" i="1"/>
  <c r="Z86" i="1"/>
  <c r="CC60" i="1"/>
  <c r="CC64" i="1" s="1"/>
  <c r="DA157" i="1"/>
  <c r="DB157" i="1" s="1"/>
  <c r="DC157" i="1" s="1"/>
  <c r="DD157" i="1" s="1"/>
  <c r="AE157" i="1" s="1"/>
  <c r="AD157" i="1"/>
  <c r="DC37" i="1"/>
  <c r="AE21" i="1"/>
  <c r="DD8" i="1"/>
  <c r="DD38" i="1"/>
  <c r="CD64" i="1"/>
  <c r="CD67" i="1" s="1"/>
  <c r="CD260" i="1" s="1"/>
  <c r="CD18" i="1"/>
  <c r="CF192" i="1"/>
  <c r="CS211" i="1"/>
  <c r="CT210" i="1"/>
  <c r="CG277" i="1"/>
  <c r="CR208" i="1"/>
  <c r="CR212" i="1" s="1"/>
  <c r="CS207" i="1"/>
  <c r="CA164" i="1"/>
  <c r="CB59" i="1"/>
  <c r="CB191" i="1"/>
  <c r="CB192" i="1" s="1"/>
  <c r="CD191" i="1"/>
  <c r="CD192" i="1" s="1"/>
  <c r="CU151" i="1"/>
  <c r="CT154" i="1"/>
  <c r="CT275" i="1" s="1"/>
  <c r="CB272" i="1"/>
  <c r="CB270" i="1"/>
  <c r="CE164" i="1"/>
  <c r="CF59" i="1"/>
  <c r="CS232" i="1"/>
  <c r="CB277" i="1"/>
  <c r="CG231" i="1"/>
  <c r="BZ192" i="1"/>
  <c r="CD59" i="1"/>
  <c r="CC164" i="1"/>
  <c r="BZ135" i="1"/>
  <c r="CA63" i="1"/>
  <c r="CD270" i="1"/>
  <c r="CD272" i="1"/>
  <c r="CH231" i="1"/>
  <c r="CG120" i="1"/>
  <c r="CG122" i="1"/>
  <c r="CF135" i="1"/>
  <c r="CG63" i="1"/>
  <c r="CH59" i="1"/>
  <c r="CG164" i="1"/>
  <c r="CB135" i="1"/>
  <c r="CC63" i="1"/>
  <c r="CD135" i="1"/>
  <c r="CE63" i="1"/>
  <c r="CF207" i="1"/>
  <c r="CF212" i="1"/>
  <c r="CJ215" i="1" s="1"/>
  <c r="BL212" i="1"/>
  <c r="BL207" i="1"/>
  <c r="CD212" i="1"/>
  <c r="CD207" i="1"/>
  <c r="CB212" i="1"/>
  <c r="CB207" i="1"/>
  <c r="BZ207" i="1"/>
  <c r="BZ212" i="1"/>
  <c r="CG224" i="1"/>
  <c r="CG225" i="1" s="1"/>
  <c r="BZ55" i="1"/>
  <c r="BZ60" i="1"/>
  <c r="CA276" i="1"/>
  <c r="CA277" i="1" s="1"/>
  <c r="CA57" i="1"/>
  <c r="BZ258" i="1"/>
  <c r="BZ259" i="1" s="1"/>
  <c r="CD56" i="1"/>
  <c r="BZ57" i="1"/>
  <c r="BZ276" i="1"/>
  <c r="CB138" i="1"/>
  <c r="CH224" i="1"/>
  <c r="CH225" i="1" s="1"/>
  <c r="CD138" i="1"/>
  <c r="CC276" i="1"/>
  <c r="CC277" i="1" s="1"/>
  <c r="CE222" i="1"/>
  <c r="CE224" i="1" s="1"/>
  <c r="CE183" i="1"/>
  <c r="CG210" i="1"/>
  <c r="CG212" i="1"/>
  <c r="CC258" i="1"/>
  <c r="CC259" i="1" s="1"/>
  <c r="CG56" i="1"/>
  <c r="Y86" i="1"/>
  <c r="CC55" i="1"/>
  <c r="CC252" i="1"/>
  <c r="CD276" i="1"/>
  <c r="CD277" i="1" s="1"/>
  <c r="CC138" i="1"/>
  <c r="CD252" i="1"/>
  <c r="CC57" i="1"/>
  <c r="CD57" i="1"/>
  <c r="CC56" i="1"/>
  <c r="CF64" i="1"/>
  <c r="CI81" i="1"/>
  <c r="CE208" i="1"/>
  <c r="CF222" i="1"/>
  <c r="CF224" i="1" s="1"/>
  <c r="CA66" i="1"/>
  <c r="CA92" i="1"/>
  <c r="CA145" i="1"/>
  <c r="CA146" i="1" s="1"/>
  <c r="CA118" i="1" s="1"/>
  <c r="CA78" i="1"/>
  <c r="CA260" i="1"/>
  <c r="CA68" i="1"/>
  <c r="CA271" i="1" s="1"/>
  <c r="CF138" i="1"/>
  <c r="CE57" i="1"/>
  <c r="CE138" i="1"/>
  <c r="CE252" i="1"/>
  <c r="CB66" i="1"/>
  <c r="CB67" i="1"/>
  <c r="CE276" i="1"/>
  <c r="CE277" i="1" s="1"/>
  <c r="CF276" i="1"/>
  <c r="CF277" i="1" s="1"/>
  <c r="CE258" i="1"/>
  <c r="CE259" i="1" s="1"/>
  <c r="CE56" i="1"/>
  <c r="CH138" i="1"/>
  <c r="CE55" i="1"/>
  <c r="CG138" i="1"/>
  <c r="CE60" i="1"/>
  <c r="CE18" i="1" s="1"/>
  <c r="CH252" i="1"/>
  <c r="CF57" i="1"/>
  <c r="CI56" i="1"/>
  <c r="CF252" i="1"/>
  <c r="BL67" i="1"/>
  <c r="BL66" i="1"/>
  <c r="BY66" i="1"/>
  <c r="BY67" i="1"/>
  <c r="CU66" i="1"/>
  <c r="CV66" i="1" s="1"/>
  <c r="CW43" i="1"/>
  <c r="CX43" i="1" s="1"/>
  <c r="CV166" i="1"/>
  <c r="AC166" i="1" s="1"/>
  <c r="CW150" i="1"/>
  <c r="CV205" i="1"/>
  <c r="CV209" i="1"/>
  <c r="CU228" i="1"/>
  <c r="CV206" i="1"/>
  <c r="CC67" i="1" l="1"/>
  <c r="CD81" i="1"/>
  <c r="CC66" i="1"/>
  <c r="CD68" i="1"/>
  <c r="CD271" i="1" s="1"/>
  <c r="CD66" i="1"/>
  <c r="CD74" i="1"/>
  <c r="CD78" i="1" s="1"/>
  <c r="CH69" i="1"/>
  <c r="CU210" i="1"/>
  <c r="CT211" i="1"/>
  <c r="CD137" i="1"/>
  <c r="CD140" i="1" s="1"/>
  <c r="CD136" i="1"/>
  <c r="CD139" i="1" s="1"/>
  <c r="CS208" i="1"/>
  <c r="CS212" i="1" s="1"/>
  <c r="CT207" i="1"/>
  <c r="CA229" i="1"/>
  <c r="CA227" i="1" s="1"/>
  <c r="CB229" i="1"/>
  <c r="CB227" i="1" s="1"/>
  <c r="CE229" i="1"/>
  <c r="CE227" i="1" s="1"/>
  <c r="CF229" i="1"/>
  <c r="CF227" i="1" s="1"/>
  <c r="CH229" i="1"/>
  <c r="CH227" i="1" s="1"/>
  <c r="CH239" i="1" s="1"/>
  <c r="CG229" i="1"/>
  <c r="CG227" i="1" s="1"/>
  <c r="CV151" i="1"/>
  <c r="AC151" i="1" s="1"/>
  <c r="CU154" i="1"/>
  <c r="CU275" i="1" s="1"/>
  <c r="CT232" i="1"/>
  <c r="CD229" i="1"/>
  <c r="CD227" i="1" s="1"/>
  <c r="CC229" i="1"/>
  <c r="CC227" i="1" s="1"/>
  <c r="CF215" i="1"/>
  <c r="CF136" i="1"/>
  <c r="CF139" i="1" s="1"/>
  <c r="CF137" i="1"/>
  <c r="CF140" i="1" s="1"/>
  <c r="CD215" i="1"/>
  <c r="CH215" i="1"/>
  <c r="BZ64" i="1"/>
  <c r="CB81" i="1"/>
  <c r="CD253" i="1"/>
  <c r="CF67" i="1"/>
  <c r="CF260" i="1" s="1"/>
  <c r="CF66" i="1"/>
  <c r="CC69" i="1"/>
  <c r="CG69" i="1"/>
  <c r="CC260" i="1"/>
  <c r="CC74" i="1"/>
  <c r="CC68" i="1"/>
  <c r="CC271" i="1" s="1"/>
  <c r="CD70" i="1"/>
  <c r="CE207" i="1"/>
  <c r="CE212" i="1"/>
  <c r="CA233" i="1"/>
  <c r="CA231" i="1" s="1"/>
  <c r="CA155" i="1"/>
  <c r="CC70" i="1"/>
  <c r="Y87" i="1"/>
  <c r="CH139" i="1"/>
  <c r="CH140" i="1"/>
  <c r="CF81" i="1"/>
  <c r="CH81" i="1"/>
  <c r="CG81" i="1"/>
  <c r="CE64" i="1"/>
  <c r="CB74" i="1"/>
  <c r="CB70" i="1"/>
  <c r="CB260" i="1"/>
  <c r="CB68" i="1"/>
  <c r="CB271" i="1" s="1"/>
  <c r="BL74" i="1"/>
  <c r="BL68" i="1"/>
  <c r="BL271" i="1" s="1"/>
  <c r="CM90" i="1"/>
  <c r="CN90" i="1" s="1"/>
  <c r="BY68" i="1"/>
  <c r="BY271" i="1" s="1"/>
  <c r="BY74" i="1"/>
  <c r="CW66" i="1"/>
  <c r="CX66" i="1" s="1"/>
  <c r="CY43" i="1"/>
  <c r="CX150" i="1"/>
  <c r="CW206" i="1"/>
  <c r="CW205" i="1"/>
  <c r="CW166" i="1"/>
  <c r="CW209" i="1"/>
  <c r="CV228" i="1"/>
  <c r="CD219" i="1" l="1"/>
  <c r="CD221" i="1" s="1"/>
  <c r="CD92" i="1"/>
  <c r="CZ43" i="1"/>
  <c r="DA43" i="1" s="1"/>
  <c r="CO90" i="1"/>
  <c r="CP90" i="1" s="1"/>
  <c r="CQ90" i="1" s="1"/>
  <c r="CR90" i="1" s="1"/>
  <c r="AA90" i="1"/>
  <c r="Z90" i="1" s="1"/>
  <c r="Y90" i="1" s="1"/>
  <c r="X90" i="1" s="1"/>
  <c r="W90" i="1" s="1"/>
  <c r="V90" i="1" s="1"/>
  <c r="U90" i="1" s="1"/>
  <c r="T90" i="1" s="1"/>
  <c r="S90" i="1" s="1"/>
  <c r="R90" i="1" s="1"/>
  <c r="Q90" i="1" s="1"/>
  <c r="P90" i="1" s="1"/>
  <c r="O90" i="1" s="1"/>
  <c r="N90" i="1" s="1"/>
  <c r="M90" i="1" s="1"/>
  <c r="L90" i="1" s="1"/>
  <c r="K90" i="1" s="1"/>
  <c r="J90" i="1" s="1"/>
  <c r="I90" i="1" s="1"/>
  <c r="H90" i="1" s="1"/>
  <c r="G90" i="1" s="1"/>
  <c r="F90" i="1" s="1"/>
  <c r="E90" i="1" s="1"/>
  <c r="CV210" i="1"/>
  <c r="CU211" i="1"/>
  <c r="CG239" i="1"/>
  <c r="CG236" i="1"/>
  <c r="CG186" i="1" s="1"/>
  <c r="CG187" i="1" s="1"/>
  <c r="CG237" i="1" s="1"/>
  <c r="CT208" i="1"/>
  <c r="CT212" i="1" s="1"/>
  <c r="CU207" i="1"/>
  <c r="CW151" i="1"/>
  <c r="CV154" i="1"/>
  <c r="CU232" i="1"/>
  <c r="CF69" i="1"/>
  <c r="CF68" i="1"/>
  <c r="CF271" i="1" s="1"/>
  <c r="BZ67" i="1"/>
  <c r="BZ66" i="1"/>
  <c r="CJ69" i="1"/>
  <c r="CG70" i="1"/>
  <c r="CI253" i="1"/>
  <c r="CF74" i="1"/>
  <c r="CD80" i="1"/>
  <c r="CC78" i="1"/>
  <c r="CC145" i="1"/>
  <c r="CC146" i="1" s="1"/>
  <c r="CC92" i="1"/>
  <c r="CC219" i="1"/>
  <c r="CC221" i="1" s="1"/>
  <c r="CB92" i="1"/>
  <c r="CB78" i="1"/>
  <c r="CB219" i="1"/>
  <c r="CB221" i="1" s="1"/>
  <c r="CB233" i="1"/>
  <c r="CB231" i="1" s="1"/>
  <c r="CE67" i="1"/>
  <c r="Z87" i="1" s="1"/>
  <c r="CE66" i="1"/>
  <c r="BY219" i="1"/>
  <c r="BY221" i="1" s="1"/>
  <c r="BY78" i="1"/>
  <c r="BY92" i="1"/>
  <c r="BL219" i="1"/>
  <c r="BL221" i="1" s="1"/>
  <c r="BL92" i="1"/>
  <c r="BL78" i="1"/>
  <c r="CY66" i="1"/>
  <c r="CX209" i="1"/>
  <c r="CX206" i="1"/>
  <c r="CX205" i="1"/>
  <c r="CX166" i="1"/>
  <c r="CY150" i="1"/>
  <c r="CW228" i="1"/>
  <c r="DB43" i="1" l="1"/>
  <c r="DC43" i="1" s="1"/>
  <c r="CV275" i="1"/>
  <c r="AC154" i="1"/>
  <c r="CS90" i="1"/>
  <c r="CT90" i="1" s="1"/>
  <c r="CU90" i="1" s="1"/>
  <c r="CV90" i="1" s="1"/>
  <c r="AB90" i="1"/>
  <c r="CZ66" i="1"/>
  <c r="DA66" i="1" s="1"/>
  <c r="DB66" i="1" s="1"/>
  <c r="CW210" i="1"/>
  <c r="CV211" i="1"/>
  <c r="CU208" i="1"/>
  <c r="CU212" i="1" s="1"/>
  <c r="CV207" i="1"/>
  <c r="CX151" i="1"/>
  <c r="CW154" i="1"/>
  <c r="CW275" i="1" s="1"/>
  <c r="CV232" i="1"/>
  <c r="AA34" i="1"/>
  <c r="CD95" i="1"/>
  <c r="CD112" i="1" s="1"/>
  <c r="BZ68" i="1"/>
  <c r="BZ271" i="1" s="1"/>
  <c r="BZ70" i="1"/>
  <c r="CC253" i="1"/>
  <c r="BZ74" i="1"/>
  <c r="CC80" i="1" s="1"/>
  <c r="BZ260" i="1"/>
  <c r="CD69" i="1"/>
  <c r="CA70" i="1"/>
  <c r="CG274" i="1"/>
  <c r="CH235" i="1"/>
  <c r="CH236" i="1" s="1"/>
  <c r="CH237" i="1" s="1"/>
  <c r="CG270" i="1"/>
  <c r="CG272" i="1"/>
  <c r="CG191" i="1"/>
  <c r="CG192" i="1" s="1"/>
  <c r="CG194" i="1"/>
  <c r="CF219" i="1"/>
  <c r="CF221" i="1" s="1"/>
  <c r="CF225" i="1" s="1"/>
  <c r="CF239" i="1" s="1"/>
  <c r="CF78" i="1"/>
  <c r="CF92" i="1"/>
  <c r="CI95" i="1" s="1"/>
  <c r="CI80" i="1"/>
  <c r="CC118" i="1"/>
  <c r="CC155" i="1"/>
  <c r="CC81" i="1" s="1"/>
  <c r="CC233" i="1"/>
  <c r="CC231" i="1" s="1"/>
  <c r="CD233" i="1"/>
  <c r="CD231" i="1" s="1"/>
  <c r="CG253" i="1"/>
  <c r="CI69" i="1"/>
  <c r="CH253" i="1"/>
  <c r="CE70" i="1"/>
  <c r="CE68" i="1"/>
  <c r="CE271" i="1" s="1"/>
  <c r="CE69" i="1"/>
  <c r="CF70" i="1"/>
  <c r="CE74" i="1"/>
  <c r="CF253" i="1"/>
  <c r="CE253" i="1"/>
  <c r="CE260" i="1"/>
  <c r="CY206" i="1"/>
  <c r="CZ150" i="1"/>
  <c r="AD150" i="1" s="1"/>
  <c r="CY205" i="1"/>
  <c r="CY166" i="1"/>
  <c r="CY228" i="1" s="1"/>
  <c r="CX228" i="1"/>
  <c r="CY209" i="1"/>
  <c r="AA8" i="1" l="1"/>
  <c r="AA28" i="1"/>
  <c r="DC66" i="1"/>
  <c r="DD66" i="1" s="1"/>
  <c r="CW90" i="1"/>
  <c r="CX90" i="1" s="1"/>
  <c r="CY90" i="1" s="1"/>
  <c r="CZ90" i="1" s="1"/>
  <c r="AC90" i="1"/>
  <c r="DD43" i="1"/>
  <c r="CX210" i="1"/>
  <c r="CW211" i="1"/>
  <c r="CV208" i="1"/>
  <c r="CV212" i="1" s="1"/>
  <c r="CW207" i="1"/>
  <c r="CY151" i="1"/>
  <c r="CX154" i="1"/>
  <c r="CX275" i="1" s="1"/>
  <c r="CW232" i="1"/>
  <c r="CD111" i="1"/>
  <c r="CD113" i="1"/>
  <c r="CB80" i="1"/>
  <c r="BZ92" i="1"/>
  <c r="BZ78" i="1"/>
  <c r="BZ219" i="1"/>
  <c r="BZ221" i="1" s="1"/>
  <c r="CH63" i="1"/>
  <c r="CG135" i="1"/>
  <c r="CI113" i="1"/>
  <c r="CI111" i="1"/>
  <c r="CI112" i="1"/>
  <c r="CL116" i="1" s="1"/>
  <c r="CE78" i="1"/>
  <c r="CE145" i="1"/>
  <c r="CE146" i="1" s="1"/>
  <c r="CE80" i="1" s="1"/>
  <c r="CE219" i="1"/>
  <c r="CE221" i="1" s="1"/>
  <c r="CE225" i="1" s="1"/>
  <c r="CE239" i="1" s="1"/>
  <c r="CE92" i="1"/>
  <c r="CF80" i="1"/>
  <c r="CG80" i="1"/>
  <c r="CH80" i="1"/>
  <c r="DA150" i="1"/>
  <c r="CZ166" i="1"/>
  <c r="CZ209" i="1"/>
  <c r="CZ206" i="1"/>
  <c r="CZ205" i="1"/>
  <c r="AA29" i="1" l="1"/>
  <c r="AB26" i="1" s="1"/>
  <c r="CZ228" i="1"/>
  <c r="AD166" i="1"/>
  <c r="DA90" i="1"/>
  <c r="DB90" i="1" s="1"/>
  <c r="DC90" i="1" s="1"/>
  <c r="DD90" i="1" s="1"/>
  <c r="AE90" i="1" s="1"/>
  <c r="AD90" i="1"/>
  <c r="CY210" i="1"/>
  <c r="CX211" i="1"/>
  <c r="CW208" i="1"/>
  <c r="CW212" i="1" s="1"/>
  <c r="CX207" i="1"/>
  <c r="CZ151" i="1"/>
  <c r="AD151" i="1" s="1"/>
  <c r="CY154" i="1"/>
  <c r="CY275" i="1" s="1"/>
  <c r="CX232" i="1"/>
  <c r="CC95" i="1"/>
  <c r="CB95" i="1"/>
  <c r="CG137" i="1"/>
  <c r="CG140" i="1" s="1"/>
  <c r="CG136" i="1"/>
  <c r="CG139" i="1" s="1"/>
  <c r="CF95" i="1"/>
  <c r="CH95" i="1"/>
  <c r="CL96" i="1" s="1"/>
  <c r="CG95" i="1"/>
  <c r="CK96" i="1" s="1"/>
  <c r="CE95" i="1"/>
  <c r="CE118" i="1"/>
  <c r="CF233" i="1"/>
  <c r="CF231" i="1" s="1"/>
  <c r="CE155" i="1"/>
  <c r="CE81" i="1" s="1"/>
  <c r="CE233" i="1"/>
  <c r="CE231" i="1" s="1"/>
  <c r="CE236" i="1" s="1"/>
  <c r="CE186" i="1" s="1"/>
  <c r="CE187" i="1" s="1"/>
  <c r="CE191" i="1" s="1"/>
  <c r="DA205" i="1"/>
  <c r="DA206" i="1"/>
  <c r="DA166" i="1"/>
  <c r="DB166" i="1" s="1"/>
  <c r="DA209" i="1"/>
  <c r="DB150" i="1"/>
  <c r="DC150" i="1" s="1"/>
  <c r="DD150" i="1" s="1"/>
  <c r="AE150" i="1" s="1"/>
  <c r="BY257" i="1"/>
  <c r="DB228" i="1" l="1"/>
  <c r="DC166" i="1"/>
  <c r="DC228" i="1" s="1"/>
  <c r="CZ210" i="1"/>
  <c r="CY211" i="1"/>
  <c r="DA151" i="1"/>
  <c r="CZ154" i="1"/>
  <c r="AD154" i="1" s="1"/>
  <c r="CX208" i="1"/>
  <c r="CX212" i="1" s="1"/>
  <c r="CY207" i="1"/>
  <c r="CY232" i="1"/>
  <c r="CE120" i="1"/>
  <c r="CE121" i="1"/>
  <c r="CE122" i="1"/>
  <c r="CE270" i="1"/>
  <c r="CE111" i="1"/>
  <c r="CE112" i="1"/>
  <c r="CI96" i="1"/>
  <c r="CE113" i="1"/>
  <c r="CE274" i="1"/>
  <c r="CG96" i="1"/>
  <c r="CG111" i="1"/>
  <c r="CG113" i="1"/>
  <c r="CG112" i="1"/>
  <c r="CE194" i="1"/>
  <c r="CE135" i="1" s="1"/>
  <c r="CE137" i="1" s="1"/>
  <c r="CE140" i="1" s="1"/>
  <c r="CF235" i="1"/>
  <c r="CF236" i="1" s="1"/>
  <c r="CF237" i="1" s="1"/>
  <c r="CE272" i="1"/>
  <c r="CH96" i="1"/>
  <c r="CH112" i="1"/>
  <c r="CK116" i="1" s="1"/>
  <c r="CH111" i="1"/>
  <c r="CH113" i="1"/>
  <c r="CE237" i="1"/>
  <c r="CF96" i="1"/>
  <c r="CJ96" i="1"/>
  <c r="CF113" i="1"/>
  <c r="CF111" i="1"/>
  <c r="CF112" i="1"/>
  <c r="DA228" i="1"/>
  <c r="DB206" i="1"/>
  <c r="DC206" i="1" s="1"/>
  <c r="DB205" i="1"/>
  <c r="DC205" i="1" s="1"/>
  <c r="DB209" i="1"/>
  <c r="DC209" i="1" s="1"/>
  <c r="CE192" i="1"/>
  <c r="DD205" i="1" l="1"/>
  <c r="DD206" i="1"/>
  <c r="DD166" i="1"/>
  <c r="AE166" i="1" s="1"/>
  <c r="DD209" i="1"/>
  <c r="DA210" i="1"/>
  <c r="CZ211" i="1"/>
  <c r="DA154" i="1"/>
  <c r="DB151" i="1"/>
  <c r="CZ232" i="1"/>
  <c r="CZ275" i="1"/>
  <c r="CY208" i="1"/>
  <c r="CY212" i="1" s="1"/>
  <c r="CZ207" i="1"/>
  <c r="CJ116" i="1"/>
  <c r="CH116" i="1"/>
  <c r="CF63" i="1"/>
  <c r="CI116" i="1"/>
  <c r="CG116" i="1"/>
  <c r="CE136" i="1"/>
  <c r="CE139" i="1" s="1"/>
  <c r="BY258" i="1"/>
  <c r="BY259" i="1" s="1"/>
  <c r="DD228" i="1" l="1"/>
  <c r="DB154" i="1"/>
  <c r="DB232" i="1" s="1"/>
  <c r="DC151" i="1"/>
  <c r="DB210" i="1"/>
  <c r="DA211" i="1"/>
  <c r="DA232" i="1"/>
  <c r="DA275" i="1"/>
  <c r="CZ208" i="1"/>
  <c r="CZ212" i="1" s="1"/>
  <c r="DA207" i="1"/>
  <c r="BY260" i="1"/>
  <c r="DC154" i="1" l="1"/>
  <c r="DD151" i="1"/>
  <c r="DB275" i="1"/>
  <c r="DB211" i="1"/>
  <c r="DC210" i="1"/>
  <c r="DA208" i="1"/>
  <c r="DA212" i="1" s="1"/>
  <c r="DB207" i="1"/>
  <c r="DD210" i="1" l="1"/>
  <c r="DD211" i="1" s="1"/>
  <c r="DC211" i="1"/>
  <c r="DD154" i="1"/>
  <c r="AE151" i="1"/>
  <c r="DB208" i="1"/>
  <c r="DB212" i="1" s="1"/>
  <c r="DC207" i="1"/>
  <c r="DC275" i="1"/>
  <c r="DC232" i="1"/>
  <c r="BI91" i="1"/>
  <c r="AT91" i="1"/>
  <c r="BT91" i="1"/>
  <c r="AV91" i="1"/>
  <c r="AX91" i="1"/>
  <c r="AR91" i="1"/>
  <c r="DD207" i="1" l="1"/>
  <c r="DD208" i="1" s="1"/>
  <c r="DD212" i="1" s="1"/>
  <c r="DC208" i="1"/>
  <c r="DC212" i="1" s="1"/>
  <c r="AE154" i="1"/>
  <c r="DD275" i="1"/>
  <c r="DD232" i="1"/>
  <c r="AO91" i="1"/>
  <c r="BK91" i="1"/>
  <c r="AN91" i="1"/>
  <c r="AW91" i="1"/>
  <c r="BB91" i="1"/>
  <c r="BM91" i="1"/>
  <c r="BQ91" i="1"/>
  <c r="AJ91" i="1"/>
  <c r="BS91" i="1"/>
  <c r="BR91" i="1"/>
  <c r="BO91" i="1"/>
  <c r="AM91" i="1"/>
  <c r="AI91" i="1"/>
  <c r="AP91" i="1"/>
  <c r="AZ91" i="1"/>
  <c r="AS91" i="1"/>
  <c r="BN91" i="1"/>
  <c r="BU91" i="1"/>
  <c r="BA91" i="1"/>
  <c r="BC91" i="1"/>
  <c r="AU91" i="1"/>
  <c r="BW91" i="1"/>
  <c r="BP91" i="1"/>
  <c r="BJ91" i="1"/>
  <c r="BH91" i="1"/>
  <c r="BX91" i="1"/>
  <c r="BG91" i="1"/>
  <c r="AQ91" i="1"/>
  <c r="AY91" i="1"/>
  <c r="AK91" i="1"/>
  <c r="BE91" i="1"/>
  <c r="BD91" i="1"/>
  <c r="BV91" i="1"/>
  <c r="BF91" i="1"/>
  <c r="AA228" i="1"/>
  <c r="BL257" i="1" l="1"/>
  <c r="CN103" i="1" l="1"/>
  <c r="AA103" i="1" s="1"/>
  <c r="AB228" i="1"/>
  <c r="CO103" i="1" l="1"/>
  <c r="CL220" i="1"/>
  <c r="CM89" i="1"/>
  <c r="CP103" i="1" l="1"/>
  <c r="CN89" i="1"/>
  <c r="AA89" i="1" s="1"/>
  <c r="Z89" i="1" s="1"/>
  <c r="Z91" i="1" s="1"/>
  <c r="CM91" i="1"/>
  <c r="AT14" i="4" a="1"/>
  <c r="AQ12" i="4" a="1"/>
  <c r="DT7" i="4" a="1"/>
  <c r="BG5" i="4" a="1"/>
  <c r="O7" i="4" a="1"/>
  <c r="CR9" i="4" a="1"/>
  <c r="CZ16" i="4" a="1"/>
  <c r="CW14" i="4" a="1"/>
  <c r="DW6" i="4" a="1"/>
  <c r="N9" i="4" a="1"/>
  <c r="AB13" i="4" a="1"/>
  <c r="CV12" i="4" a="1"/>
  <c r="BP8" i="4" a="1"/>
  <c r="DL9" i="4" a="1"/>
  <c r="DR16" i="4" a="1"/>
  <c r="K14" i="4" a="1"/>
  <c r="BL13" i="4" a="1"/>
  <c r="DG11" i="4" a="1"/>
  <c r="CP12" i="4" a="1"/>
  <c r="CZ8" i="4" a="1"/>
  <c r="EF7" i="4" a="1"/>
  <c r="AE9" i="4" a="1"/>
  <c r="S5" i="4" a="1"/>
  <c r="J9" i="4" a="1"/>
  <c r="J7" i="4" a="1"/>
  <c r="CC13" i="4" a="1"/>
  <c r="BP7" i="4" a="1"/>
  <c r="CM6" i="4" a="1"/>
  <c r="AZ6" i="4" a="1"/>
  <c r="DN6" i="4" a="1"/>
  <c r="AV5" i="4" a="1"/>
  <c r="CV7" i="4" a="1"/>
  <c r="BN16" i="4" a="1"/>
  <c r="AR12" i="4" a="1"/>
  <c r="BY14" i="4" a="1"/>
  <c r="DZ14" i="4" a="1"/>
  <c r="CJ9" i="4" a="1"/>
  <c r="DM12" i="4" a="1"/>
  <c r="CQ14" i="4" a="1"/>
  <c r="DK13" i="4" a="1"/>
  <c r="DB14" i="4" a="1"/>
  <c r="BD5" i="4" a="1"/>
  <c r="AU16" i="4" a="1"/>
  <c r="BW7" i="4" a="1"/>
  <c r="CN16" i="4" a="1"/>
  <c r="EJ7" i="4" a="1"/>
  <c r="AT6" i="4" a="1"/>
  <c r="AR9" i="4" a="1"/>
  <c r="AL12" i="4" a="1"/>
  <c r="P14" i="4" a="1"/>
  <c r="AE12" i="4" a="1"/>
  <c r="CM13" i="4" a="1"/>
  <c r="AX11" i="4" a="1"/>
  <c r="DH8" i="4" a="1"/>
  <c r="DA11" i="4" a="1"/>
  <c r="EG14" i="4" a="1"/>
  <c r="DI16" i="4" a="1"/>
  <c r="BS15" i="4" a="1"/>
  <c r="BR12" i="4" a="1"/>
  <c r="BA9" i="4" a="1"/>
  <c r="ED9" i="4" a="1"/>
  <c r="AZ14" i="4" a="1"/>
  <c r="BC12" i="4" a="1"/>
  <c r="CK14" i="4" a="1"/>
  <c r="DV15" i="4" a="1"/>
  <c r="AJ14" i="4" a="1"/>
  <c r="AO5" i="4" a="1"/>
  <c r="CF7" i="4" a="1"/>
  <c r="X5" i="4" a="1"/>
  <c r="AN11" i="4" a="1"/>
  <c r="D11" i="4" a="1"/>
  <c r="BC14" i="4" a="1"/>
  <c r="AJ8" i="4" a="1"/>
  <c r="AR7" i="4" a="1"/>
  <c r="DE11" i="4" a="1"/>
  <c r="DL13" i="4" a="1"/>
  <c r="CS7" i="4" a="1"/>
  <c r="DF5" i="4" a="1"/>
  <c r="BS12" i="4" a="1"/>
  <c r="D9" i="4" a="1"/>
  <c r="EB16" i="4" a="1"/>
  <c r="CE11" i="4" a="1"/>
  <c r="BZ14" i="4" a="1"/>
  <c r="BM15" i="4" a="1"/>
  <c r="CF6" i="4" a="1"/>
  <c r="DH6" i="4" a="1"/>
  <c r="CM12" i="4" a="1"/>
  <c r="DQ8" i="4" a="1"/>
  <c r="BZ5" i="4" a="1"/>
  <c r="AC16" i="4" a="1"/>
  <c r="CF12" i="4" a="1"/>
  <c r="DV7" i="4" a="1"/>
  <c r="BI7" i="4" a="1"/>
  <c r="DO9" i="4" a="1"/>
  <c r="CD9" i="4" a="1"/>
  <c r="DR5" i="4" a="1"/>
  <c r="DU5" i="4" a="1"/>
  <c r="AB5" i="4" a="1"/>
  <c r="EA9" i="4" a="1"/>
  <c r="AK11" i="4" a="1"/>
  <c r="DE15" i="4" a="1"/>
  <c r="CH14" i="4" a="1"/>
  <c r="CQ8" i="4" a="1"/>
  <c r="DB12" i="4" a="1"/>
  <c r="X14" i="4" a="1"/>
  <c r="BY16" i="4" a="1"/>
  <c r="CC12" i="4" a="1"/>
  <c r="CK16" i="4" a="1"/>
  <c r="AS12" i="4" a="1"/>
  <c r="DM14" i="4" a="1"/>
  <c r="W9" i="4" a="1"/>
  <c r="DV14" i="4" a="1"/>
  <c r="BQ11" i="4" a="1"/>
  <c r="AX14" i="4" a="1"/>
  <c r="Q8" i="4" a="1"/>
  <c r="DO13" i="4" a="1"/>
  <c r="EH11" i="4" a="1"/>
  <c r="BO6" i="4" a="1"/>
  <c r="BN13" i="4" a="1"/>
  <c r="CH11" i="4" a="1"/>
  <c r="BO12" i="4" a="1"/>
  <c r="F9" i="4" a="1"/>
  <c r="AH13" i="4" a="1"/>
  <c r="BL12" i="4" a="1"/>
  <c r="BN7" i="4" a="1"/>
  <c r="V15" i="4" a="1"/>
  <c r="AF9" i="4" a="1"/>
  <c r="CR13" i="4" a="1"/>
  <c r="DG13" i="4" a="1"/>
  <c r="AU11" i="4" a="1"/>
  <c r="BY7" i="4" a="1"/>
  <c r="DQ16" i="4" a="1"/>
  <c r="AC12" i="4" a="1"/>
  <c r="DE16" i="4" a="1"/>
  <c r="BO14" i="4" a="1"/>
  <c r="CX14" i="4" a="1"/>
  <c r="AV16" i="4" a="1"/>
  <c r="DL15" i="4" a="1"/>
  <c r="AD5" i="4" a="1"/>
  <c r="U5" i="4" a="1"/>
  <c r="AU5" i="4" a="1"/>
  <c r="CQ5" i="4" a="1"/>
  <c r="CQ7" i="4" a="1"/>
  <c r="R9" i="4" a="1"/>
  <c r="AK8" i="4" a="1"/>
  <c r="DL11" i="4" a="1"/>
  <c r="EE16" i="4" a="1"/>
  <c r="DH12" i="4" a="1"/>
  <c r="EE12" i="4" a="1"/>
  <c r="DS5" i="4" a="1"/>
  <c r="CQ11" i="4" a="1"/>
  <c r="AL7" i="4" a="1"/>
  <c r="CZ5" i="4" a="1"/>
  <c r="CN8" i="4" a="1"/>
  <c r="EG6" i="4" a="1"/>
  <c r="AA6" i="4" a="1"/>
  <c r="CB7" i="4" a="1"/>
  <c r="AK13" i="4" a="1"/>
  <c r="BA5" i="4" a="1"/>
  <c r="DJ14" i="4" a="1"/>
  <c r="CS14" i="4" a="1"/>
  <c r="DG5" i="4" a="1"/>
  <c r="CK6" i="4" a="1"/>
  <c r="AS5" i="4" a="1"/>
  <c r="EG16" i="4" a="1"/>
  <c r="CA9" i="4" a="1"/>
  <c r="AJ9" i="4" a="1"/>
  <c r="CV14" i="4" a="1"/>
  <c r="BX9" i="4" a="1"/>
  <c r="AM5" i="4" a="1"/>
  <c r="BC8" i="4" a="1"/>
  <c r="AD12" i="4" a="1"/>
  <c r="AG16" i="4" a="1"/>
  <c r="DW7" i="4" a="1"/>
  <c r="BZ12" i="4" a="1"/>
  <c r="EF16" i="4" a="1"/>
  <c r="AJ11" i="4" a="1"/>
  <c r="DT8" i="4" a="1"/>
  <c r="CK9" i="4" a="1"/>
  <c r="AF12" i="4" a="1"/>
  <c r="AR6" i="4" a="1"/>
  <c r="CK5" i="4" a="1"/>
  <c r="DL14" i="4" a="1"/>
  <c r="DU8" i="4" a="1"/>
  <c r="CC11" i="4" a="1"/>
  <c r="AP9" i="4" a="1"/>
  <c r="DX13" i="4" a="1"/>
  <c r="DM6" i="4" a="1"/>
  <c r="P7" i="4" a="1"/>
  <c r="BE6" i="4" a="1"/>
  <c r="EC15" i="4" a="1"/>
  <c r="S15" i="4" a="1"/>
  <c r="CU8" i="4" a="1"/>
  <c r="EJ14" i="4" a="1"/>
  <c r="BW15" i="4" a="1"/>
  <c r="M14" i="4" a="1"/>
  <c r="BE11" i="4" a="1"/>
  <c r="BF12" i="4" a="1"/>
  <c r="H6" i="4" a="1"/>
  <c r="DO16" i="4" a="1"/>
  <c r="DC11" i="4" a="1"/>
  <c r="BL7" i="4" a="1"/>
  <c r="F14" i="4" a="1"/>
  <c r="DS12" i="4" a="1"/>
  <c r="EA13" i="4" a="1"/>
  <c r="DP7" i="4" a="1"/>
  <c r="AH8" i="4" a="1"/>
  <c r="CM7" i="4" a="1"/>
  <c r="EI12" i="4" a="1"/>
  <c r="V8" i="4" a="1"/>
  <c r="DR14" i="4" a="1"/>
  <c r="DO5" i="4" a="1"/>
  <c r="DC12" i="4" a="1"/>
  <c r="DZ6" i="4" a="1"/>
  <c r="AN13" i="4" a="1"/>
  <c r="S11" i="4" a="1"/>
  <c r="BT13" i="4" a="1"/>
  <c r="J5" i="4" a="1"/>
  <c r="DP5" i="4" a="1"/>
  <c r="BG8" i="4" a="1"/>
  <c r="AZ8" i="4" a="1"/>
  <c r="AR8" i="4" a="1"/>
  <c r="F7" i="4" a="1"/>
  <c r="AE6" i="4" a="1"/>
  <c r="AY12" i="4" a="1"/>
  <c r="DJ16" i="4" a="1"/>
  <c r="BW6" i="4" a="1"/>
  <c r="BU12" i="4" a="1"/>
  <c r="BZ9" i="4" a="1"/>
  <c r="CK11" i="4" a="1"/>
  <c r="DU11" i="4" a="1"/>
  <c r="DQ7" i="4" a="1"/>
  <c r="AN12" i="4" a="1"/>
  <c r="CX8" i="4" a="1"/>
  <c r="BS5" i="4" a="1"/>
  <c r="DZ5" i="4" a="1"/>
  <c r="CH9" i="4" a="1"/>
  <c r="EI8" i="4" a="1"/>
  <c r="CN6" i="4" a="1"/>
  <c r="O5" i="4" a="1"/>
  <c r="CZ12" i="4" a="1"/>
  <c r="G14" i="4" a="1"/>
  <c r="I8" i="4" a="1"/>
  <c r="EB11" i="4" a="1"/>
  <c r="CS16" i="4" a="1"/>
  <c r="AM16" i="4" a="1"/>
  <c r="AI12" i="4" a="1"/>
  <c r="DI12" i="4" a="1"/>
  <c r="AU9" i="4" a="1"/>
  <c r="DS6" i="4" a="1"/>
  <c r="P6" i="4" a="1"/>
  <c r="CO14" i="4" a="1"/>
  <c r="BH8" i="4" a="1"/>
  <c r="AQ14" i="4" a="1"/>
  <c r="J6" i="4" a="1"/>
  <c r="DW16" i="4" a="1"/>
  <c r="AA15" i="4" a="1"/>
  <c r="CR15" i="4" a="1"/>
  <c r="EE7" i="4" a="1"/>
  <c r="AK7" i="4" a="1"/>
  <c r="BM9" i="4" a="1"/>
  <c r="CI13" i="4" a="1"/>
  <c r="BP12" i="4" a="1"/>
  <c r="EE15" i="4" a="1"/>
  <c r="BD9" i="4" a="1"/>
  <c r="BR9" i="4" a="1"/>
  <c r="DB5" i="4" a="1"/>
  <c r="AW6" i="4" a="1"/>
  <c r="DU12" i="4" a="1"/>
  <c r="DN5" i="4" a="1"/>
  <c r="BB16" i="4" a="1"/>
  <c r="DF14" i="4" a="1"/>
  <c r="BZ7" i="4" a="1"/>
  <c r="CV11" i="4" a="1"/>
  <c r="AP6" i="4" a="1"/>
  <c r="EI15" i="4" a="1"/>
  <c r="DT15" i="4" a="1"/>
  <c r="DR12" i="4" a="1"/>
  <c r="BU7" i="4" a="1"/>
  <c r="V14" i="4" a="1"/>
  <c r="BV14" i="4" a="1"/>
  <c r="EE14" i="4" a="1"/>
  <c r="EF13" i="4" a="1"/>
  <c r="BT7" i="4" a="1"/>
  <c r="CJ5" i="4" a="1"/>
  <c r="G12" i="4" a="1"/>
  <c r="J8" i="4" a="1"/>
  <c r="EK15" i="4" a="1"/>
  <c r="F16" i="4" a="1"/>
  <c r="CY15" i="4" a="1"/>
  <c r="CT14" i="4" a="1"/>
  <c r="X15" i="4" a="1"/>
  <c r="L9" i="4" a="1"/>
  <c r="EK8" i="4" a="1"/>
  <c r="BI9" i="4" a="1"/>
  <c r="CD15" i="4" a="1"/>
  <c r="BP9" i="4" a="1"/>
  <c r="EB15" i="4" a="1"/>
  <c r="EH6" i="4" a="1"/>
  <c r="Q12" i="4" a="1"/>
  <c r="EI6" i="4" a="1"/>
  <c r="AV8" i="4" a="1"/>
  <c r="M7" i="4" a="1"/>
  <c r="DA8" i="4" a="1"/>
  <c r="BH16" i="4" a="1"/>
  <c r="F13" i="4" a="1"/>
  <c r="BR7" i="4" a="1"/>
  <c r="DM5" i="4" a="1"/>
  <c r="BT9" i="4" a="1"/>
  <c r="T12" i="4" a="1"/>
  <c r="BW12" i="4" a="1"/>
  <c r="AD8" i="4" a="1"/>
  <c r="BV7" i="4" a="1"/>
  <c r="M5" i="4" a="1"/>
  <c r="CS12" i="4" a="1"/>
  <c r="CQ13" i="4" a="1"/>
  <c r="AY6" i="4" a="1"/>
  <c r="DM13" i="4" a="1"/>
  <c r="BS7" i="4" a="1"/>
  <c r="EJ16" i="4" a="1"/>
  <c r="AA16" i="4" a="1"/>
  <c r="L11" i="4" a="1"/>
  <c r="DK5" i="4" a="1"/>
  <c r="CU9" i="4" a="1"/>
  <c r="BM13" i="4" a="1"/>
  <c r="X9" i="4" a="1"/>
  <c r="T9" i="4" a="1"/>
  <c r="DI5" i="4" a="1"/>
  <c r="AO13" i="4" a="1"/>
  <c r="DV11" i="4" a="1"/>
  <c r="EC6" i="4" a="1"/>
  <c r="W11" i="4" a="1"/>
  <c r="DA7" i="4" a="1"/>
  <c r="CT11" i="4" a="1"/>
  <c r="Q14" i="4" a="1"/>
  <c r="DZ12" i="4" a="1"/>
  <c r="BS6" i="4" a="1"/>
  <c r="I11" i="4" a="1"/>
  <c r="CR5" i="4" a="1"/>
  <c r="DH14" i="4" a="1"/>
  <c r="CA15" i="4" a="1"/>
  <c r="X8" i="4" a="1"/>
  <c r="Y5" i="4" a="1"/>
  <c r="AK14" i="4" a="1"/>
  <c r="AX6" i="4" a="1"/>
  <c r="EC7" i="4" a="1"/>
  <c r="AP16" i="4" a="1"/>
  <c r="DF12" i="4" a="1"/>
  <c r="BJ15" i="4" a="1"/>
  <c r="DX9" i="4" a="1"/>
  <c r="BN8" i="4" a="1"/>
  <c r="CZ11" i="4" a="1"/>
  <c r="AZ7" i="4" a="1"/>
  <c r="CS15" i="4" a="1"/>
  <c r="CL12" i="4" a="1"/>
  <c r="BK6" i="4" a="1"/>
  <c r="CE6" i="4" a="1"/>
  <c r="BS14" i="4" a="1"/>
  <c r="EE6" i="4" a="1"/>
  <c r="AF11" i="4" a="1"/>
  <c r="AK9" i="4" a="1"/>
  <c r="CA8" i="4" a="1"/>
  <c r="BA7" i="4" a="1"/>
  <c r="E9" i="4" a="1"/>
  <c r="BL9" i="4" a="1"/>
  <c r="BU6" i="4" a="1"/>
  <c r="AF7" i="4" a="1"/>
  <c r="DC7" i="4" a="1"/>
  <c r="W8" i="4" a="1"/>
  <c r="U16" i="4" a="1"/>
  <c r="BK15" i="4" a="1"/>
  <c r="DP8" i="4" a="1"/>
  <c r="DO14" i="4" a="1"/>
  <c r="BP11" i="4" a="1"/>
  <c r="BX5" i="4" a="1"/>
  <c r="AA13" i="4" a="1"/>
  <c r="CQ15" i="4" a="1"/>
  <c r="BD6" i="4" a="1"/>
  <c r="CN7" i="4" a="1"/>
  <c r="BL16" i="4" a="1"/>
  <c r="CT15" i="4" a="1"/>
  <c r="CL11" i="4" a="1"/>
  <c r="I9" i="4" a="1"/>
  <c r="E15" i="4" a="1"/>
  <c r="CJ16" i="4" a="1"/>
  <c r="W16" i="4" a="1"/>
  <c r="AH14" i="4" a="1"/>
  <c r="R12" i="4" a="1"/>
  <c r="CW12" i="4" a="1"/>
  <c r="BY12" i="4" a="1"/>
  <c r="C8" i="4" a="1"/>
  <c r="AX13" i="4" a="1"/>
  <c r="AV12" i="4" a="1"/>
  <c r="CS13" i="4" a="1"/>
  <c r="Z13" i="4" a="1"/>
  <c r="R15" i="4" a="1"/>
  <c r="AJ6" i="4" a="1"/>
  <c r="BG9" i="4" a="1"/>
  <c r="CU15" i="4" a="1"/>
  <c r="I13" i="4" a="1"/>
  <c r="CK13" i="4" a="1"/>
  <c r="DW13" i="4" a="1"/>
  <c r="H16" i="4" a="1"/>
  <c r="BW8" i="4" a="1"/>
  <c r="Y13" i="4" a="1"/>
  <c r="CV13" i="4" a="1"/>
  <c r="BN5" i="4" a="1"/>
  <c r="BA13" i="4" a="1"/>
  <c r="BH11" i="4" a="1"/>
  <c r="DI13" i="4" a="1"/>
  <c r="DM11" i="4" a="1"/>
  <c r="D15" i="4" a="1"/>
  <c r="DD12" i="4" a="1"/>
  <c r="AQ9" i="4" a="1"/>
  <c r="BV6" i="4" a="1"/>
  <c r="X12" i="4" a="1"/>
  <c r="CV8" i="4" a="1"/>
  <c r="N8" i="4" a="1"/>
  <c r="EG15" i="4" a="1"/>
  <c r="T14" i="4" a="1"/>
  <c r="BV16" i="4" a="1"/>
  <c r="U6" i="4" a="1"/>
  <c r="CY9" i="4" a="1"/>
  <c r="T13" i="4" a="1"/>
  <c r="DY9" i="4" a="1"/>
  <c r="CD14" i="4" a="1"/>
  <c r="DK11" i="4" a="1"/>
  <c r="DQ15" i="4" a="1"/>
  <c r="BA15" i="4" a="1"/>
  <c r="CG14" i="4" a="1"/>
  <c r="U8" i="4" a="1"/>
  <c r="EK14" i="4" a="1"/>
  <c r="BB8" i="4" a="1"/>
  <c r="AM7" i="4" a="1"/>
  <c r="DV5" i="4" a="1"/>
  <c r="BX16" i="4" a="1"/>
  <c r="X6" i="4" a="1"/>
  <c r="AD9" i="4" a="1"/>
  <c r="K7" i="4" a="1"/>
  <c r="BR5" i="4" a="1"/>
  <c r="BE15" i="4" a="1"/>
  <c r="AD11" i="4" a="1"/>
  <c r="DF13" i="4" a="1"/>
  <c r="BJ12" i="4" a="1"/>
  <c r="DN9" i="4" a="1"/>
  <c r="BL8" i="4" a="1"/>
  <c r="DG15" i="4" a="1"/>
  <c r="EA15" i="4" a="1"/>
  <c r="K9" i="4" a="1"/>
  <c r="CY8" i="4" a="1"/>
  <c r="BP14" i="4" a="1"/>
  <c r="BB12" i="4" a="1"/>
  <c r="DI9" i="4" a="1"/>
  <c r="DM15" i="4" a="1"/>
  <c r="CH8" i="4" a="1"/>
  <c r="CY6" i="4" a="1"/>
  <c r="BH6" i="4" a="1"/>
  <c r="D7" i="4" a="1"/>
  <c r="BV11" i="4" a="1"/>
  <c r="AB6" i="4" a="1"/>
  <c r="K6" i="4" a="1"/>
  <c r="AS6" i="4" a="1"/>
  <c r="DP16" i="4" a="1"/>
  <c r="DJ6" i="4" a="1"/>
  <c r="Y12" i="4" a="1"/>
  <c r="T7" i="4" a="1"/>
  <c r="AN7" i="4" a="1"/>
  <c r="AI9" i="4" a="1"/>
  <c r="P9" i="4" a="1"/>
  <c r="CX7" i="4" a="1"/>
  <c r="D13" i="4" a="1"/>
  <c r="BJ9" i="4" a="1"/>
  <c r="AB15" i="4" a="1"/>
  <c r="AO12" i="4" a="1"/>
  <c r="Y8" i="4" a="1"/>
  <c r="DC15" i="4" a="1"/>
  <c r="AL13" i="4" a="1"/>
  <c r="CP15" i="4" a="1"/>
  <c r="BB13" i="4" a="1"/>
  <c r="AH15" i="4" a="1"/>
  <c r="BC15" i="4" a="1"/>
  <c r="C13" i="4" a="1"/>
  <c r="DK6" i="4" a="1"/>
  <c r="DV12" i="4" a="1"/>
  <c r="P15" i="4" a="1"/>
  <c r="AJ15" i="4" a="1"/>
  <c r="DN8" i="4" a="1"/>
  <c r="AF5" i="4" a="1"/>
  <c r="BI12" i="4" a="1"/>
  <c r="C7" i="4" a="1"/>
  <c r="AU13" i="4" a="1"/>
  <c r="DG7" i="4" a="1"/>
  <c r="CT9" i="4" a="1"/>
  <c r="C14" i="4" a="1"/>
  <c r="AN5" i="4" a="1"/>
  <c r="CW8" i="4" a="1"/>
  <c r="CI11" i="4" a="1"/>
  <c r="S13" i="4" a="1"/>
  <c r="Q9" i="4" a="1"/>
  <c r="AV15" i="4" a="1"/>
  <c r="N7" i="4" a="1"/>
  <c r="O9" i="4" a="1"/>
  <c r="CU16" i="4" a="1"/>
  <c r="BR16" i="4" a="1"/>
  <c r="BT11" i="4" a="1"/>
  <c r="CM14" i="4" a="1"/>
  <c r="H9" i="4" a="1"/>
  <c r="AE8" i="4" a="1"/>
  <c r="DI7" i="4" a="1"/>
  <c r="BM14" i="4" a="1"/>
  <c r="BP15" i="4" a="1"/>
  <c r="DW15" i="4" a="1"/>
  <c r="BJ7" i="4" a="1"/>
  <c r="AA8" i="4" a="1"/>
  <c r="T5" i="4" a="1"/>
  <c r="CZ13" i="4" a="1"/>
  <c r="AS7" i="4" a="1"/>
  <c r="EB7" i="4" a="1"/>
  <c r="CN5" i="4" a="1"/>
  <c r="CN14" i="4" a="1"/>
  <c r="EH13" i="4" a="1"/>
  <c r="G6" i="4" a="1"/>
  <c r="AX8" i="4" a="1"/>
  <c r="DC9" i="4" a="1"/>
  <c r="AG12" i="4" a="1"/>
  <c r="AA12" i="4" a="1"/>
  <c r="AP15" i="4" a="1"/>
  <c r="E16" i="4" a="1"/>
  <c r="CQ6" i="4" a="1"/>
  <c r="BE8" i="4" a="1"/>
  <c r="D8" i="4" a="1"/>
  <c r="AC14" i="4" a="1"/>
  <c r="AK5" i="4" a="1"/>
  <c r="DK7" i="4" a="1"/>
  <c r="CY16" i="4" a="1"/>
  <c r="AF8" i="4" a="1"/>
  <c r="EA5" i="4" a="1"/>
  <c r="F8" i="4" a="1"/>
  <c r="AR13" i="4" a="1"/>
  <c r="BB11" i="4" a="1"/>
  <c r="CD11" i="4" a="1"/>
  <c r="CK15" i="4" a="1"/>
  <c r="T16" i="4" a="1"/>
  <c r="AN8" i="4" a="1"/>
  <c r="DL6" i="4" a="1"/>
  <c r="CE5" i="4" a="1"/>
  <c r="BY8" i="4" a="1"/>
  <c r="CM8" i="4" a="1"/>
  <c r="CB9" i="4" a="1"/>
  <c r="BF7" i="4" a="1"/>
  <c r="CS8" i="4" a="1"/>
  <c r="BY15" i="4" a="1"/>
  <c r="E14" i="4" a="1"/>
  <c r="X7" i="4" a="1"/>
  <c r="AH5" i="4" a="1"/>
  <c r="CX6" i="4" a="1"/>
  <c r="BG11" i="4" a="1"/>
  <c r="CD6" i="4" a="1"/>
  <c r="CI12" i="4" a="1"/>
  <c r="BR14" i="4" a="1"/>
  <c r="O12" i="4" a="1"/>
  <c r="ED16" i="4" a="1"/>
  <c r="V12" i="4" a="1"/>
  <c r="CT12" i="4" a="1"/>
  <c r="DG12" i="4" a="1"/>
  <c r="CX15" i="4" a="1"/>
  <c r="AW14" i="4" a="1"/>
  <c r="G11" i="4" a="1"/>
  <c r="C16" i="4" a="1"/>
  <c r="BT14" i="4" a="1"/>
  <c r="AI11" i="4" a="1"/>
  <c r="BK12" i="4" a="1"/>
  <c r="L6" i="4" a="1"/>
  <c r="AX15" i="4" a="1"/>
  <c r="ED14" i="4" a="1"/>
  <c r="BO8" i="4" a="1"/>
  <c r="AC11" i="4" a="1"/>
  <c r="DD13" i="4" a="1"/>
  <c r="AV9" i="4" a="1"/>
  <c r="BI6" i="4" a="1"/>
  <c r="CJ11" i="4" a="1"/>
  <c r="AS9" i="4" a="1"/>
  <c r="DT12" i="4" a="1"/>
  <c r="DD9" i="4" a="1"/>
  <c r="DG14" i="4" a="1"/>
  <c r="BU14" i="4" a="1"/>
  <c r="CN12" i="4" a="1"/>
  <c r="AB11" i="4" a="1"/>
  <c r="BS16" i="4" a="1"/>
  <c r="BV5" i="4" a="1"/>
  <c r="AJ13" i="4" a="1"/>
  <c r="CD12" i="4" a="1"/>
  <c r="W7" i="4" a="1"/>
  <c r="P13" i="4" a="1"/>
  <c r="BQ14" i="4" a="1"/>
  <c r="S6" i="4" a="1"/>
  <c r="BE13" i="4" a="1"/>
  <c r="I6" i="4" a="1"/>
  <c r="CP11" i="4" a="1"/>
  <c r="O11" i="4" a="1"/>
  <c r="BJ5" i="4" a="1"/>
  <c r="G7" i="4" a="1"/>
  <c r="D16" i="4" a="1"/>
  <c r="CG9" i="4" a="1"/>
  <c r="DM9" i="4" a="1"/>
  <c r="CE12" i="4" a="1"/>
  <c r="CQ12" i="4" a="1"/>
  <c r="BU5" i="4" a="1"/>
  <c r="AJ12" i="4" a="1"/>
  <c r="BN11" i="4" a="1"/>
  <c r="BZ8" i="4" a="1"/>
  <c r="AC15" i="4" a="1"/>
  <c r="ED6" i="4" a="1"/>
  <c r="CI15" i="4" a="1"/>
  <c r="EH16" i="4" a="1"/>
  <c r="DQ9" i="4" a="1"/>
  <c r="BZ15" i="4" a="1"/>
  <c r="DI8" i="4" a="1"/>
  <c r="DQ14" i="4" a="1"/>
  <c r="R16" i="4" a="1"/>
  <c r="DU7" i="4" a="1"/>
  <c r="AG15" i="4" a="1"/>
  <c r="CI14" i="4" a="1"/>
  <c r="BH12" i="4" a="1"/>
  <c r="CT7" i="4" a="1"/>
  <c r="T6" i="4" a="1"/>
  <c r="BO15" i="4" a="1"/>
  <c r="CO5" i="4" a="1"/>
  <c r="S9" i="4" a="1"/>
  <c r="CI7" i="4" a="1"/>
  <c r="P16" i="4" a="1"/>
  <c r="AI5" i="4" a="1"/>
  <c r="EG12" i="4" a="1"/>
  <c r="AL5" i="4" a="1"/>
  <c r="DL5" i="4" a="1"/>
  <c r="CS5" i="4" a="1"/>
  <c r="R5" i="4" a="1"/>
  <c r="AH7" i="4" a="1"/>
  <c r="DP9" i="4" a="1"/>
  <c r="T8" i="4" a="1"/>
  <c r="U12" i="4" a="1"/>
  <c r="D12" i="4" a="1"/>
  <c r="DQ13" i="4" a="1"/>
  <c r="J16" i="4" a="1"/>
  <c r="BK13" i="4" a="1"/>
  <c r="G8" i="4" a="1"/>
  <c r="EJ12" i="4" a="1"/>
  <c r="BP5" i="4" a="1"/>
  <c r="CN11" i="4" a="1"/>
  <c r="BE7" i="4" a="1"/>
  <c r="DX6" i="4" a="1"/>
  <c r="DY14" i="4" a="1"/>
  <c r="R14" i="4" a="1"/>
  <c r="DB6" i="4" a="1"/>
  <c r="EI7" i="4" a="1"/>
  <c r="DI15" i="4" a="1"/>
  <c r="AG6" i="4" a="1"/>
  <c r="Z7" i="4" a="1"/>
  <c r="H15" i="4" a="1"/>
  <c r="AE14" i="4" a="1"/>
  <c r="AC7" i="4" a="1"/>
  <c r="DK8" i="4" a="1"/>
  <c r="CH6" i="4" a="1"/>
  <c r="I12" i="4" a="1"/>
  <c r="J15" i="4" a="1"/>
  <c r="EA12" i="4" a="1"/>
  <c r="BK16" i="4" a="1"/>
  <c r="ED8" i="4" a="1"/>
  <c r="BF6" i="4" a="1"/>
  <c r="AJ16" i="4" a="1"/>
  <c r="CL16" i="4" a="1"/>
  <c r="BS11" i="4" a="1"/>
  <c r="CD7" i="4" a="1"/>
  <c r="CZ7" i="4" a="1"/>
  <c r="DN13" i="4" a="1"/>
  <c r="DA16" i="4" a="1"/>
  <c r="CI16" i="4" a="1"/>
  <c r="CG6" i="4" a="1"/>
  <c r="CC7" i="4" a="1"/>
  <c r="DU15" i="4" a="1"/>
  <c r="BX14" i="4" a="1"/>
  <c r="AE7" i="4" a="1"/>
  <c r="BD12" i="4" a="1"/>
  <c r="AY16" i="4" a="1"/>
  <c r="BT16" i="4" a="1"/>
  <c r="DD6" i="4" a="1"/>
  <c r="DD5" i="4" a="1"/>
  <c r="CF5" i="4" a="1"/>
  <c r="CG7" i="4" a="1"/>
  <c r="AB16" i="4" a="1"/>
  <c r="CI5" i="4" a="1"/>
  <c r="BN12" i="4" a="1"/>
  <c r="AH16" i="4" a="1"/>
  <c r="BO11" i="4" a="1"/>
  <c r="E7" i="4" a="1"/>
  <c r="DA12" i="4" a="1"/>
  <c r="BM7" i="4" a="1"/>
  <c r="CM5" i="4" a="1"/>
  <c r="BC11" i="4" a="1"/>
  <c r="CS11" i="4" a="1"/>
  <c r="EH5" i="4" a="1"/>
  <c r="BJ11" i="4" a="1"/>
  <c r="I14" i="4" a="1"/>
  <c r="CV6" i="4" a="1"/>
  <c r="M8" i="4" a="1"/>
  <c r="N12" i="4" a="1"/>
  <c r="Z15" i="4" a="1"/>
  <c r="CF9" i="4" a="1"/>
  <c r="EB8" i="4" a="1"/>
  <c r="BQ9" i="4" a="1"/>
  <c r="V6" i="4" a="1"/>
  <c r="AY7" i="4" a="1"/>
  <c r="CW5" i="4" a="1"/>
  <c r="BY6" i="4" a="1"/>
  <c r="Y14" i="4" a="1"/>
  <c r="Q11" i="4" a="1"/>
  <c r="BM16" i="4" a="1"/>
  <c r="EA14" i="4" a="1"/>
  <c r="BU11" i="4" a="1"/>
  <c r="AV13" i="4" a="1"/>
  <c r="CX5" i="4" a="1"/>
  <c r="Z16" i="4" a="1"/>
  <c r="N11" i="4" a="1"/>
  <c r="R7" i="4" a="1"/>
  <c r="O15" i="4" a="1"/>
  <c r="CG15" i="4" a="1"/>
  <c r="CU12" i="4" a="1"/>
  <c r="BL6" i="4" a="1"/>
  <c r="F11" i="4" a="1"/>
  <c r="BZ13" i="4" a="1"/>
  <c r="DZ11" i="4" a="1"/>
  <c r="AQ16" i="4" a="1"/>
  <c r="AW15" i="4" a="1"/>
  <c r="DY12" i="4" a="1"/>
  <c r="DG6" i="4" a="1"/>
  <c r="AP12" i="4" a="1"/>
  <c r="J14" i="4" a="1"/>
  <c r="DU16" i="4" a="1"/>
  <c r="BC7" i="4" a="1"/>
  <c r="AO16" i="4" a="1"/>
  <c r="DZ8" i="4" a="1"/>
  <c r="AK6" i="4" a="1"/>
  <c r="DC14" i="4" a="1"/>
  <c r="DT6" i="4" a="1"/>
  <c r="H14" i="4" a="1"/>
  <c r="EC13" i="4" a="1"/>
  <c r="CX13" i="4" a="1"/>
  <c r="AO14" i="4" a="1"/>
  <c r="AE11" i="4" a="1"/>
  <c r="EE8" i="4" a="1"/>
  <c r="AZ16" i="4" a="1"/>
  <c r="EF12" i="4" a="1"/>
  <c r="DL8" i="4" a="1"/>
  <c r="EH12" i="4" a="1"/>
  <c r="BB9" i="4" a="1"/>
  <c r="T11" i="4" a="1"/>
  <c r="CE14" i="4" a="1"/>
  <c r="CE9" i="4" a="1"/>
  <c r="EC12" i="4" a="1"/>
  <c r="DZ7" i="4" a="1"/>
  <c r="Y7" i="4" a="1"/>
  <c r="AW9" i="4" a="1"/>
  <c r="Z14" i="4" a="1"/>
  <c r="DJ7" i="4" a="1"/>
  <c r="BM12" i="4" a="1"/>
  <c r="BW16" i="4" a="1"/>
  <c r="DU13" i="4" a="1"/>
  <c r="DE12" i="4" a="1"/>
  <c r="CV16" i="4" a="1"/>
  <c r="AG8" i="4" a="1"/>
  <c r="M6" i="4" a="1"/>
  <c r="BW11" i="4" a="1"/>
  <c r="AI7" i="4" a="1"/>
  <c r="BE12" i="4" a="1"/>
  <c r="U9" i="4" a="1"/>
  <c r="BH15" i="4" a="1"/>
  <c r="BD11" i="4" a="1"/>
  <c r="BD15" i="4" a="1"/>
  <c r="AM6" i="4" a="1"/>
  <c r="BM8" i="4" a="1"/>
  <c r="BX12" i="4" a="1"/>
  <c r="CD5" i="4" a="1"/>
  <c r="DX8" i="4" a="1"/>
  <c r="BA14" i="4" a="1"/>
  <c r="DA15" i="4" a="1"/>
  <c r="CW6" i="4" a="1"/>
  <c r="DW8" i="4" a="1"/>
  <c r="AO9" i="4" a="1"/>
  <c r="K8" i="4" a="1"/>
  <c r="DD7" i="4" a="1"/>
  <c r="CT13" i="4" a="1"/>
  <c r="DQ12" i="4" a="1"/>
  <c r="F15" i="4" a="1"/>
  <c r="DC16" i="4" a="1"/>
  <c r="L14" i="4" a="1"/>
  <c r="CL8" i="4" a="1"/>
  <c r="U13" i="4" a="1"/>
  <c r="DI11" i="4" a="1"/>
  <c r="AL9" i="4" a="1"/>
  <c r="C15" i="4" a="1"/>
  <c r="CE7" i="4" a="1"/>
  <c r="U14" i="4" a="1"/>
  <c r="AP13" i="4" a="1"/>
  <c r="AR15" i="4" a="1"/>
  <c r="CU7" i="4" a="1"/>
  <c r="AL11" i="4" a="1"/>
  <c r="C12" i="4" a="1"/>
  <c r="BF11" i="4" a="1"/>
  <c r="BI14" i="4" a="1"/>
  <c r="CW13" i="4" a="1"/>
  <c r="EG8" i="4" a="1"/>
  <c r="CC15" i="4" a="1"/>
  <c r="Z6" i="4" a="1"/>
  <c r="DF11" i="4" a="1"/>
  <c r="CF11" i="4" a="1"/>
  <c r="BF13" i="4" a="1"/>
  <c r="CB14" i="4" a="1"/>
  <c r="BM6" i="4" a="1"/>
  <c r="BL14" i="4" a="1"/>
  <c r="AT12" i="4" a="1"/>
  <c r="BI13" i="4" a="1"/>
  <c r="EG7" i="4" a="1"/>
  <c r="AT5" i="4" a="1"/>
  <c r="BD16" i="4" a="1"/>
  <c r="BG13" i="4" a="1"/>
  <c r="BP6" i="4" a="1"/>
  <c r="E11" i="4" a="1"/>
  <c r="CC16" i="4" a="1"/>
  <c r="P5" i="4" a="1"/>
  <c r="AB8" i="4" a="1"/>
  <c r="CE13" i="4" a="1"/>
  <c r="CA12" i="4" a="1"/>
  <c r="AO8" i="4" a="1"/>
  <c r="DX15" i="4" a="1"/>
  <c r="BD14" i="4" a="1"/>
  <c r="EB12" i="4" a="1"/>
  <c r="CM16" i="4" a="1"/>
  <c r="AW16" i="4" a="1"/>
  <c r="DL7" i="4" a="1"/>
  <c r="AM12" i="4" a="1"/>
  <c r="O13" i="4" a="1"/>
  <c r="DW9" i="4" a="1"/>
  <c r="CB5" i="4" a="1"/>
  <c r="BX15" i="4" a="1"/>
  <c r="EK7" i="4" a="1"/>
  <c r="AT16" i="4" a="1"/>
  <c r="DY11" i="4" a="1"/>
  <c r="DE14" i="4" a="1"/>
  <c r="CZ15" i="4" a="1"/>
  <c r="AX16" i="4" a="1"/>
  <c r="AL6" i="4" a="1"/>
  <c r="CB13" i="4" a="1"/>
  <c r="AZ15" i="4" a="1"/>
  <c r="BZ11" i="4" a="1"/>
  <c r="D14" i="4" a="1"/>
  <c r="CB12" i="4" a="1"/>
  <c r="CG12" i="4" a="1"/>
  <c r="EF14" i="4" a="1"/>
  <c r="DD11" i="4" a="1"/>
  <c r="CJ15" i="4" a="1"/>
  <c r="Q15" i="4" a="1"/>
  <c r="BF8" i="4" a="1"/>
  <c r="CJ12" i="4" a="1"/>
  <c r="AY14" i="4" a="1"/>
  <c r="AM14" i="4" a="1"/>
  <c r="DN14" i="4" a="1"/>
  <c r="DW11" i="4" a="1"/>
  <c r="AJ5" i="4" a="1"/>
  <c r="DJ9" i="4" a="1"/>
  <c r="AX12" i="4" a="1"/>
  <c r="CO8" i="4" a="1"/>
  <c r="DS11" i="4" a="1"/>
  <c r="AT11" i="4" a="1"/>
  <c r="EG11" i="4" a="1"/>
  <c r="DY16" i="4" a="1"/>
  <c r="CD16" i="4" a="1"/>
  <c r="DX7" i="4" a="1"/>
  <c r="V9" i="4" a="1"/>
  <c r="AI6" i="4" a="1"/>
  <c r="H7" i="4" a="1"/>
  <c r="BK7" i="4" a="1"/>
  <c r="CC6" i="4" a="1"/>
  <c r="AF16" i="4" a="1"/>
  <c r="AO7" i="4" a="1"/>
  <c r="AK16" i="4" a="1"/>
  <c r="AY8" i="4" a="1"/>
  <c r="BG14" i="4" a="1"/>
  <c r="ED13" i="4" a="1"/>
  <c r="BO13" i="4" a="1"/>
  <c r="O8" i="4" a="1"/>
  <c r="DH15" i="4" a="1"/>
  <c r="AN15" i="4" a="1"/>
  <c r="BW13" i="4" a="1"/>
  <c r="DC5" i="4" a="1"/>
  <c r="N5" i="4" a="1"/>
  <c r="AR11" i="4" a="1"/>
  <c r="AH12" i="4" a="1"/>
  <c r="DZ9" i="4" a="1"/>
  <c r="M11" i="4" a="1"/>
  <c r="ED15" i="4" a="1"/>
  <c r="BD8" i="4" a="1"/>
  <c r="Z11" i="4" a="1"/>
  <c r="L16" i="4" a="1"/>
  <c r="BY9" i="4" a="1"/>
  <c r="EB14" i="4" a="1"/>
  <c r="DO11" i="4" a="1"/>
  <c r="DE8" i="4" a="1"/>
  <c r="L15" i="4" a="1"/>
  <c r="EG13" i="4" a="1"/>
  <c r="R6" i="4" a="1"/>
  <c r="CO13" i="4" a="1"/>
  <c r="DP11" i="4" a="1"/>
  <c r="EJ5" i="4" a="1"/>
  <c r="AD16" i="4" a="1"/>
  <c r="DV16" i="4" a="1"/>
  <c r="AE15" i="4" a="1"/>
  <c r="BI5" i="4" a="1"/>
  <c r="CO6" i="4" a="1"/>
  <c r="EJ13" i="4" a="1"/>
  <c r="BQ7" i="4" a="1"/>
  <c r="CM15" i="4" a="1"/>
  <c r="BU8" i="4" a="1"/>
  <c r="DB7" i="4" a="1"/>
  <c r="U7" i="4" a="1"/>
  <c r="DN11" i="4" a="1"/>
  <c r="CL14" i="4" a="1"/>
  <c r="AM11" i="4" a="1"/>
  <c r="DY8" i="4" a="1"/>
  <c r="BI16" i="4" a="1"/>
  <c r="BU13" i="4" a="1"/>
  <c r="DG8" i="4" a="1"/>
  <c r="CH15" i="4" a="1"/>
  <c r="AG7" i="4" a="1"/>
  <c r="CC14" i="4" a="1"/>
  <c r="BH14" i="4" a="1"/>
  <c r="K15" i="4" a="1"/>
  <c r="AK12" i="4" a="1"/>
  <c r="BV13" i="4" a="1"/>
  <c r="EB5" i="4" a="1"/>
  <c r="DO12" i="4" a="1"/>
  <c r="DT11" i="4" a="1"/>
  <c r="BT12" i="4" a="1"/>
  <c r="DD16" i="4" a="1"/>
  <c r="EK13" i="4" a="1"/>
  <c r="BB15" i="4" a="1"/>
  <c r="DX12" i="4" a="1"/>
  <c r="CH5" i="4" a="1"/>
  <c r="BA12" i="4" a="1"/>
  <c r="AS14" i="4" a="1"/>
  <c r="K16" i="4" a="1"/>
  <c r="W6" i="4" a="1"/>
  <c r="AB14" i="4" a="1"/>
  <c r="CA7" i="4" a="1"/>
  <c r="EK6" i="4" a="1"/>
  <c r="AH9" i="4" a="1"/>
  <c r="K5" i="4" a="1"/>
  <c r="DV9" i="4" a="1"/>
  <c r="N13" i="4" a="1"/>
  <c r="AG14" i="4" a="1"/>
  <c r="CM9" i="4" a="1"/>
  <c r="DY6" i="4" a="1"/>
  <c r="BU16" i="4" a="1"/>
  <c r="BV12" i="4" a="1"/>
  <c r="AD6" i="4" a="1"/>
  <c r="AD7" i="4" a="1"/>
  <c r="AZ9" i="4" a="1"/>
  <c r="CW11" i="4" a="1"/>
  <c r="AB7" i="4" a="1"/>
  <c r="BP13" i="4" a="1"/>
  <c r="AZ11" i="4" a="1"/>
  <c r="CJ8" i="4" a="1"/>
  <c r="DS13" i="4" a="1"/>
  <c r="BR13" i="4" a="1"/>
  <c r="E6" i="4" a="1"/>
  <c r="CU5" i="4" a="1"/>
  <c r="EF9" i="4" a="1"/>
  <c r="CA13" i="4" a="1"/>
  <c r="EC11" i="4" a="1"/>
  <c r="BJ8" i="4" a="1"/>
  <c r="DY5" i="4" a="1"/>
  <c r="CX12" i="4" a="1"/>
  <c r="CX9" i="4" a="1"/>
  <c r="CX11" i="4" a="1"/>
  <c r="W14" i="4" a="1"/>
  <c r="M16" i="4" a="1"/>
  <c r="DH9" i="4" a="1"/>
  <c r="CI6" i="4" a="1"/>
  <c r="DK15" i="4" a="1"/>
  <c r="CF8" i="4" a="1"/>
  <c r="AM15" i="4" a="1"/>
  <c r="P11" i="4" a="1"/>
  <c r="DR15" i="4" a="1"/>
  <c r="CF14" i="4" a="1"/>
  <c r="AS13" i="4" a="1"/>
  <c r="ED12" i="4" a="1"/>
  <c r="CZ9" i="4" a="1"/>
  <c r="DE13" i="4" a="1"/>
  <c r="AK15" i="4" a="1"/>
  <c r="EH9" i="4" a="1"/>
  <c r="AC9" i="4" a="1"/>
  <c r="CO12" i="4" a="1"/>
  <c r="AG9" i="4" a="1"/>
  <c r="DU6" i="4" a="1"/>
  <c r="Q26" i="2"/>
  <c r="X34" i="2"/>
  <c r="R12" i="2"/>
  <c r="V27" i="2"/>
  <c r="F16" i="2"/>
  <c r="J36" i="2"/>
  <c r="P14" i="2"/>
  <c r="E19" i="2"/>
  <c r="P35" i="2"/>
  <c r="D16" i="2"/>
  <c r="H27" i="2"/>
  <c r="L24" i="2"/>
  <c r="K21" i="2"/>
  <c r="L35" i="2"/>
  <c r="N5" i="2"/>
  <c r="J14" i="2"/>
  <c r="C35" i="2"/>
  <c r="N17" i="2"/>
  <c r="L33" i="2"/>
  <c r="S8" i="2"/>
  <c r="I8" i="2"/>
  <c r="L13" i="2"/>
  <c r="F30" i="2"/>
  <c r="Q25" i="2"/>
  <c r="W26" i="2"/>
  <c r="I32" i="2"/>
  <c r="R54" i="2"/>
  <c r="U21" i="2"/>
  <c r="E18" i="2"/>
  <c r="C59" i="2"/>
  <c r="X28" i="2"/>
  <c r="G20" i="2"/>
  <c r="L29" i="2"/>
  <c r="D6" i="4" a="1"/>
  <c r="BC5" i="4" a="1"/>
  <c r="CG8" i="4" a="1"/>
  <c r="EG5" i="4" a="1"/>
  <c r="CI8" i="4" a="1"/>
  <c r="F12" i="4" a="1"/>
  <c r="BH5" i="4" a="1"/>
  <c r="AU15" i="4" a="1"/>
  <c r="Q5" i="4" a="1"/>
  <c r="AO11" i="4" a="1"/>
  <c r="Y16" i="4" a="1"/>
  <c r="DW5" i="4" a="1"/>
  <c r="CU6" i="4" a="1"/>
  <c r="CR16" i="4" a="1"/>
  <c r="DN12" i="4" a="1"/>
  <c r="N14" i="4" a="1"/>
  <c r="DH7" i="4" a="1"/>
  <c r="DO7" i="4" a="1"/>
  <c r="DA5" i="4" a="1"/>
  <c r="BC13" i="4" a="1"/>
  <c r="DR6" i="4" a="1"/>
  <c r="AG13" i="4" a="1"/>
  <c r="S16" i="4" a="1"/>
  <c r="X11" i="4" a="1"/>
  <c r="AP7" i="4" a="1"/>
  <c r="Z9" i="4" a="1"/>
  <c r="DY7" i="4" a="1"/>
  <c r="CW15" i="4" a="1"/>
  <c r="DJ8" i="4" a="1"/>
  <c r="CU11" i="4" a="1"/>
  <c r="Q6" i="4" a="1"/>
  <c r="AL15" i="4" a="1"/>
  <c r="BF14" i="4" a="1"/>
  <c r="DA13" i="4" a="1"/>
  <c r="CR7" i="4" a="1"/>
  <c r="DC6" i="4" a="1"/>
  <c r="EE5" i="4" a="1"/>
  <c r="N6" i="4" a="1"/>
  <c r="V5" i="4" a="1"/>
  <c r="CF13" i="4" a="1"/>
  <c r="DL12" i="4" a="1"/>
  <c r="DS9" i="4" a="1"/>
  <c r="Q16" i="4" a="1"/>
  <c r="DI14" i="4" a="1"/>
  <c r="BJ6" i="4" a="1"/>
  <c r="EK12" i="4" a="1"/>
  <c r="EE11" i="4" a="1"/>
  <c r="AS8" i="4" a="1"/>
  <c r="DR7" i="4" a="1"/>
  <c r="AQ8" i="4" a="1"/>
  <c r="DG16" i="4" a="1"/>
  <c r="CL9" i="4" a="1"/>
  <c r="CA11" i="4" a="1"/>
  <c r="CM11" i="4" a="1"/>
  <c r="BF5" i="4" a="1"/>
  <c r="BH13" i="4" a="1"/>
  <c r="CI9" i="4" a="1"/>
  <c r="DF8" i="4" a="1"/>
  <c r="I15" i="4" a="1"/>
  <c r="S14" i="4" a="1"/>
  <c r="CS9" i="4" a="1"/>
  <c r="CK7" i="4" a="1"/>
  <c r="AP14" i="4" a="1"/>
  <c r="F6" i="4" a="1"/>
  <c r="E5" i="4" a="1"/>
  <c r="BF16" i="4" a="1"/>
  <c r="AT13" i="4" a="1"/>
  <c r="BK9" i="4" a="1"/>
  <c r="CB15" i="4" a="1"/>
  <c r="CE15" i="4" a="1"/>
  <c r="Y11" i="4" a="1"/>
  <c r="AQ6" i="4" a="1"/>
  <c r="BX6" i="4" a="1"/>
  <c r="Q7" i="4" a="1"/>
  <c r="EF15" i="4" a="1"/>
  <c r="P29" i="2"/>
  <c r="H16" i="2"/>
  <c r="C24" i="2"/>
  <c r="W36" i="2"/>
  <c r="T32" i="2"/>
  <c r="L22" i="2"/>
  <c r="X22" i="2"/>
  <c r="V23" i="2"/>
  <c r="R17" i="2"/>
  <c r="I16" i="2"/>
  <c r="L6" i="2"/>
  <c r="T28" i="2"/>
  <c r="C27" i="2"/>
  <c r="L16" i="2"/>
  <c r="X14" i="2"/>
  <c r="J30" i="2"/>
  <c r="O10" i="2"/>
  <c r="G30" i="2"/>
  <c r="C28" i="2"/>
  <c r="V19" i="2"/>
  <c r="T30" i="2"/>
  <c r="H99" i="2"/>
  <c r="K34" i="2"/>
  <c r="N13" i="2"/>
  <c r="W27" i="2"/>
  <c r="R24" i="2"/>
  <c r="E14" i="2"/>
  <c r="BY13" i="4" a="1"/>
  <c r="EF5" i="4" a="1"/>
  <c r="DZ16" i="4" a="1"/>
  <c r="DM16" i="4" a="1"/>
  <c r="CT8" i="4" a="1"/>
  <c r="AQ13" i="4" a="1"/>
  <c r="DC8" i="4" a="1"/>
  <c r="AY11" i="4" a="1"/>
  <c r="AI16" i="4" a="1"/>
  <c r="Z8" i="4" a="1"/>
  <c r="U11" i="4" a="1"/>
  <c r="W13" i="4" a="1"/>
  <c r="DG9" i="4" a="1"/>
  <c r="EA8" i="4" a="1"/>
  <c r="AY5" i="4" a="1"/>
  <c r="CW16" i="4" a="1"/>
  <c r="DM7" i="4" a="1"/>
  <c r="BN14" i="4" a="1"/>
  <c r="BM5" i="4" a="1"/>
  <c r="EF8" i="4" a="1"/>
  <c r="AF15" i="4" a="1"/>
  <c r="DD14" i="4" a="1"/>
  <c r="EH7" i="4" a="1"/>
  <c r="CL15" i="4" a="1"/>
  <c r="BX7" i="4" a="1"/>
  <c r="DJ15" i="4" a="1"/>
  <c r="DX14" i="4" a="1"/>
  <c r="AX5" i="4" a="1"/>
  <c r="BW5" i="4" a="1"/>
  <c r="BG7" i="4" a="1"/>
  <c r="AB12" i="4" a="1"/>
  <c r="CP9" i="4" a="1"/>
  <c r="BT6" i="4" a="1"/>
  <c r="EC16" i="4" a="1"/>
  <c r="EI13" i="4" a="1"/>
  <c r="CE16" i="4" a="1"/>
  <c r="BW14" i="4" a="1"/>
  <c r="DF16" i="4" a="1"/>
  <c r="AC5" i="4" a="1"/>
  <c r="AW13" i="4" a="1"/>
  <c r="O14" i="4" a="1"/>
  <c r="J13" i="4" a="1"/>
  <c r="DK16" i="4" a="1"/>
  <c r="BV9" i="4" a="1"/>
  <c r="BJ14" i="4" a="1"/>
  <c r="CN15" i="4" a="1"/>
  <c r="BN9" i="4" a="1"/>
  <c r="BR15" i="4" a="1"/>
  <c r="DN7" i="4" a="1"/>
  <c r="V16" i="4" a="1"/>
  <c r="P8" i="4" a="1"/>
  <c r="AV11" i="4" a="1"/>
  <c r="CN13" i="4" a="1"/>
  <c r="CH12" i="4" a="1"/>
  <c r="S8" i="4" a="1"/>
  <c r="CY7" i="4" a="1"/>
  <c r="DP13" i="4" a="1"/>
  <c r="CB6" i="4" a="1"/>
  <c r="DI6" i="4" a="1"/>
  <c r="DB11" i="4" a="1"/>
  <c r="CT6" i="4" a="1"/>
  <c r="BR8" i="4" a="1"/>
  <c r="EI16" i="4" a="1"/>
  <c r="H8" i="4" a="1"/>
  <c r="DY15" i="4" a="1"/>
  <c r="ED7" i="4" a="1"/>
  <c r="BF15" i="4" a="1"/>
  <c r="DH13" i="4" a="1"/>
  <c r="DA6" i="4" a="1"/>
  <c r="E12" i="4" a="1"/>
  <c r="CN9" i="4" a="1"/>
  <c r="H12" i="4" a="1"/>
  <c r="H13" i="4" a="1"/>
  <c r="AR5" i="4" a="1"/>
  <c r="DP12" i="4" a="1"/>
  <c r="C29" i="2"/>
  <c r="P19" i="2"/>
  <c r="H19" i="2"/>
  <c r="S27" i="2"/>
  <c r="C16" i="2"/>
  <c r="CP14" i="4" a="1"/>
  <c r="EC14" i="4" a="1"/>
  <c r="W5" i="4" a="1"/>
  <c r="CC8" i="4" a="1"/>
  <c r="CO7" i="4" a="1"/>
  <c r="CJ13" i="4" a="1"/>
  <c r="DF15" i="4" a="1"/>
  <c r="AI14" i="4" a="1"/>
  <c r="DW14" i="4" a="1"/>
  <c r="AB9" i="4" a="1"/>
  <c r="BV15" i="4" a="1"/>
  <c r="DP6" i="4" a="1"/>
  <c r="AX7" i="4" a="1"/>
  <c r="D5" i="4" a="1"/>
  <c r="AM13" i="4" a="1"/>
  <c r="DF7" i="4" a="1"/>
  <c r="T15" i="4" a="1"/>
  <c r="AW11" i="4" a="1"/>
  <c r="L12" i="4" a="1"/>
  <c r="CG13" i="4" a="1"/>
  <c r="CG16" i="4" a="1"/>
  <c r="R8" i="4" a="1"/>
  <c r="P12" i="4" a="1"/>
  <c r="F5" i="4" a="1"/>
  <c r="EJ11" i="4" a="1"/>
  <c r="CU14" i="4" a="1"/>
  <c r="AA14" i="4" a="1"/>
  <c r="CF16" i="4" a="1"/>
  <c r="CT5" i="4" a="1"/>
  <c r="C9" i="4" a="1"/>
  <c r="AR16" i="4" a="1"/>
  <c r="BT8" i="4" a="1"/>
  <c r="CL13" i="4" a="1"/>
  <c r="G9" i="4" a="1"/>
  <c r="AI13" i="4" a="1"/>
  <c r="AY9" i="4" a="1"/>
  <c r="AV14" i="4" a="1"/>
  <c r="BE5" i="4" a="1"/>
  <c r="DP14" i="4" a="1"/>
  <c r="CR8" i="4" a="1"/>
  <c r="EC9" i="4" a="1"/>
  <c r="DQ11" i="4" a="1"/>
  <c r="W12" i="4" a="1"/>
  <c r="BN6" i="4" a="1"/>
  <c r="CL7" i="4" a="1"/>
  <c r="AZ13" i="4" a="1"/>
  <c r="DU14" i="4" a="1"/>
  <c r="DB16" i="4" a="1"/>
  <c r="DB13" i="4" a="1"/>
  <c r="CJ7" i="4" a="1"/>
  <c r="AF6" i="4" a="1"/>
  <c r="AP8" i="4" a="1"/>
  <c r="AE16" i="4" a="1"/>
  <c r="J12" i="4" a="1"/>
  <c r="EJ6" i="4" a="1"/>
  <c r="BM11" i="4" a="1"/>
  <c r="BI8" i="4" a="1"/>
  <c r="X16" i="4" a="1"/>
  <c r="CT16" i="4" a="1"/>
  <c r="AL8" i="4" a="1"/>
  <c r="DT16" i="4" a="1"/>
  <c r="CO9" i="4" a="1"/>
  <c r="BT15" i="4" a="1"/>
  <c r="BG6" i="4" a="1"/>
  <c r="EI11" i="4" a="1"/>
  <c r="BE14" i="4" a="1"/>
  <c r="DJ12" i="4" a="1"/>
  <c r="CG11" i="4" a="1"/>
  <c r="AT15" i="4" a="1"/>
  <c r="CS6" i="4" a="1"/>
  <c r="CA5" i="4" a="1"/>
  <c r="DB9" i="4" a="1"/>
  <c r="M12" i="4" a="1"/>
  <c r="AS15" i="4" a="1"/>
  <c r="AF13" i="4" a="1"/>
  <c r="DA14" i="4" a="1"/>
  <c r="CV5" i="4" a="1"/>
  <c r="CG5" i="4" a="1"/>
  <c r="AS16" i="4" a="1"/>
  <c r="DB8" i="4" a="1"/>
  <c r="BR11" i="4" a="1"/>
  <c r="CJ14" i="4" a="1"/>
  <c r="CB8" i="4" a="1"/>
  <c r="AU14" i="4" a="1"/>
  <c r="K11" i="4" a="1"/>
  <c r="DV13" i="4" a="1"/>
  <c r="AZ12" i="4" a="1"/>
  <c r="AO6" i="4" a="1"/>
  <c r="BQ12" i="4" a="1"/>
  <c r="CU13" i="4" a="1"/>
  <c r="CR12" i="4" a="1"/>
  <c r="DA9" i="4" a="1"/>
  <c r="Y6" i="4" a="1"/>
  <c r="BG12" i="4" a="1"/>
  <c r="EB6" i="4" a="1"/>
  <c r="BC9" i="4" a="1"/>
  <c r="CH7" i="4" a="1"/>
  <c r="CV9" i="4" a="1"/>
  <c r="DQ5" i="4" a="1"/>
  <c r="AA11" i="4" a="1"/>
  <c r="AE13" i="4" a="1"/>
  <c r="AG5" i="4" a="1"/>
  <c r="CX16" i="4" a="1"/>
  <c r="AQ11" i="4" a="1"/>
  <c r="DP15" i="4" a="1"/>
  <c r="BX13" i="4" a="1"/>
  <c r="AM8" i="4" a="1"/>
  <c r="K13" i="4" a="1"/>
  <c r="CK12" i="4" a="1"/>
  <c r="CP13" i="4" a="1"/>
  <c r="K12" i="4" a="1"/>
  <c r="DQ6" i="4" a="1"/>
  <c r="DE6" i="4" a="1"/>
  <c r="DH11" i="4" a="1"/>
  <c r="EA11" i="4" a="1"/>
  <c r="AU6" i="4" a="1"/>
  <c r="DV6" i="4" a="1"/>
  <c r="I7" i="4" a="1"/>
  <c r="DR11" i="4" a="1"/>
  <c r="EH8" i="4" a="1"/>
  <c r="U15" i="4" a="1"/>
  <c r="BA11" i="4" a="1"/>
  <c r="AA5" i="4" a="1"/>
  <c r="DE5" i="4" a="1"/>
  <c r="BA8" i="4" a="1"/>
  <c r="Q13" i="4" a="1"/>
  <c r="W15" i="4" a="1"/>
  <c r="CJ6" i="4" a="1"/>
  <c r="CB16" i="4" a="1"/>
  <c r="DU9" i="4" a="1"/>
  <c r="BK8" i="4" a="1"/>
  <c r="BI15" i="4" a="1"/>
  <c r="AU12" i="4" a="1"/>
  <c r="BJ16" i="4" a="1"/>
  <c r="BT5" i="4" a="1"/>
  <c r="EE13" i="4" a="1"/>
  <c r="BJ13" i="4" a="1"/>
  <c r="AT8" i="4" a="1"/>
  <c r="DC13" i="4" a="1"/>
  <c r="DM8" i="4" a="1"/>
  <c r="V13" i="4" a="1"/>
  <c r="L8" i="4" a="1"/>
  <c r="AL14" i="4" a="1"/>
  <c r="AC13" i="4" a="1"/>
  <c r="BG15" i="4" a="1"/>
  <c r="BI11" i="4" a="1"/>
  <c r="AD14" i="4" a="1"/>
  <c r="BK14" i="4" a="1"/>
  <c r="BN15" i="4" a="1"/>
  <c r="AF14" i="4" a="1"/>
  <c r="L7" i="4" a="1"/>
  <c r="CZ14" i="4" a="1"/>
  <c r="DH5" i="4" a="1"/>
  <c r="CL5" i="4" a="1"/>
  <c r="AI8" i="4" a="1"/>
  <c r="DS16" i="4" a="1"/>
  <c r="EG9" i="4" a="1"/>
  <c r="G16" i="4" a="1"/>
  <c r="AM9" i="4" a="1"/>
  <c r="N15" i="4" a="1"/>
  <c r="EK9" i="4" a="1"/>
  <c r="DT13" i="4" a="1"/>
  <c r="EK16" i="4" a="1"/>
  <c r="H24" i="2"/>
  <c r="E13" i="2"/>
  <c r="P31" i="2"/>
  <c r="M27" i="2"/>
  <c r="W24" i="2"/>
  <c r="U6" i="2"/>
  <c r="V25" i="2"/>
  <c r="D18" i="2"/>
  <c r="R19" i="2"/>
  <c r="W5" i="2"/>
  <c r="H10" i="2"/>
  <c r="J27" i="2"/>
  <c r="S29" i="2"/>
  <c r="S31" i="2"/>
  <c r="S30" i="2"/>
  <c r="C9" i="2"/>
  <c r="X23" i="2"/>
  <c r="X7" i="2"/>
  <c r="E34" i="2"/>
  <c r="M31" i="2"/>
  <c r="C34" i="2"/>
  <c r="J23" i="2"/>
  <c r="K31" i="2"/>
  <c r="Q17" i="2"/>
  <c r="S33" i="2"/>
  <c r="G12" i="2"/>
  <c r="C32" i="2"/>
  <c r="X13" i="4" a="1"/>
  <c r="BF9" i="4" a="1"/>
  <c r="M9" i="4" a="1"/>
  <c r="BB6" i="4" a="1"/>
  <c r="CP8" i="4" a="1"/>
  <c r="DN15" i="4" a="1"/>
  <c r="BX8" i="4" a="1"/>
  <c r="CW7" i="4" a="1"/>
  <c r="AQ15" i="4" a="1"/>
  <c r="BH7" i="4" a="1"/>
  <c r="BE9" i="4" a="1"/>
  <c r="BD13" i="4" a="1"/>
  <c r="CY12" i="4" a="1"/>
  <c r="AL16" i="4" a="1"/>
  <c r="EI9" i="4" a="1"/>
  <c r="BQ16" i="4" a="1"/>
  <c r="CR11" i="4" a="1"/>
  <c r="EK11" i="4" a="1"/>
  <c r="DW12" i="4" a="1"/>
  <c r="L5" i="4" a="1"/>
  <c r="CF15" i="4" a="1"/>
  <c r="CE8" i="4" a="1"/>
  <c r="CY5" i="4" a="1"/>
  <c r="EB9" i="4" a="1"/>
  <c r="V7" i="4" a="1"/>
  <c r="DE7" i="4" a="1"/>
  <c r="BS13" i="4" a="1"/>
  <c r="DO6" i="4" a="1"/>
  <c r="AX9" i="4" a="1"/>
  <c r="AY13" i="4" a="1"/>
  <c r="BL15" i="4" a="1"/>
  <c r="BU15" i="4" a="1"/>
  <c r="AV7" i="4" a="1"/>
  <c r="CZ6" i="4" a="1"/>
  <c r="DK14" i="4" a="1"/>
  <c r="E8" i="4" a="1"/>
  <c r="BZ16" i="4" a="1"/>
  <c r="CY11" i="4" a="1"/>
  <c r="DR9" i="4" a="1"/>
  <c r="EI14" i="4" a="1"/>
  <c r="AG11" i="4" a="1"/>
  <c r="CY14" i="4" a="1"/>
  <c r="I16" i="4" a="1"/>
  <c r="BO9" i="4" a="1"/>
  <c r="AP5" i="4" a="1"/>
  <c r="BU9" i="4" a="1"/>
  <c r="CW9" i="4" a="1"/>
  <c r="EA6" i="4" a="1"/>
  <c r="E13" i="4" a="1"/>
  <c r="DJ5" i="4" a="1"/>
  <c r="DZ15" i="4" a="1"/>
  <c r="BD7" i="4" a="1"/>
  <c r="DS7" i="4" a="1"/>
  <c r="DL16" i="4" a="1"/>
  <c r="DR13" i="4" a="1"/>
  <c r="CR14" i="4" a="1"/>
  <c r="CA14" i="4" a="1"/>
  <c r="CK8" i="4" a="1"/>
  <c r="CO11" i="4" a="1"/>
  <c r="AW12" i="4" a="1"/>
  <c r="N16" i="4" a="1"/>
  <c r="EC8" i="4" a="1"/>
  <c r="CP5" i="4" a="1"/>
  <c r="CO16" i="4" a="1"/>
  <c r="DV8" i="4" a="1"/>
  <c r="Z12" i="4" a="1"/>
  <c r="DT14" i="4" a="1"/>
  <c r="BA16" i="4" a="1"/>
  <c r="AD13" i="4" a="1"/>
  <c r="H11" i="4" a="1"/>
  <c r="AA7" i="4" a="1"/>
  <c r="ED5" i="4" a="1"/>
  <c r="N29" i="2"/>
  <c r="H17" i="2"/>
  <c r="E36" i="2"/>
  <c r="BB14" i="4" a="1"/>
  <c r="BE16" i="4" a="1"/>
  <c r="R11" i="4" a="1"/>
  <c r="Z5" i="4" a="1"/>
  <c r="EH14" i="4" a="1"/>
  <c r="G15" i="4" a="1"/>
  <c r="CL6" i="4" a="1"/>
  <c r="BL5" i="4" a="1"/>
  <c r="EJ9" i="4" a="1"/>
  <c r="AH11" i="4" a="1"/>
  <c r="EH15" i="4" a="1"/>
  <c r="AE5" i="4" a="1"/>
  <c r="J29" i="2"/>
  <c r="S32" i="2"/>
  <c r="S62" i="2"/>
  <c r="T7" i="2"/>
  <c r="S6" i="2"/>
  <c r="M14" i="2"/>
  <c r="Q57" i="2"/>
  <c r="Q28" i="2"/>
  <c r="F18" i="2"/>
  <c r="G7" i="2"/>
  <c r="L10" i="2"/>
  <c r="F34" i="2"/>
  <c r="H49" i="2"/>
  <c r="E24" i="2"/>
  <c r="H26" i="2"/>
  <c r="W16" i="2"/>
  <c r="H20" i="2"/>
  <c r="D26" i="2"/>
  <c r="R18" i="2"/>
  <c r="N16" i="2"/>
  <c r="F31" i="2"/>
  <c r="K7" i="2"/>
  <c r="N36" i="2"/>
  <c r="R7" i="2"/>
  <c r="W28" i="2"/>
  <c r="N30" i="2"/>
  <c r="H31" i="2"/>
  <c r="R6" i="2"/>
  <c r="O16" i="2"/>
  <c r="T17" i="2"/>
  <c r="M17" i="2"/>
  <c r="I14" i="2"/>
  <c r="F9" i="2"/>
  <c r="K33" i="2"/>
  <c r="X29" i="2"/>
  <c r="L31" i="2"/>
  <c r="C8" i="2"/>
  <c r="P25" i="2"/>
  <c r="V9" i="2"/>
  <c r="P30" i="2"/>
  <c r="Q6" i="2"/>
  <c r="X27" i="2"/>
  <c r="Q54" i="2"/>
  <c r="T10" i="2"/>
  <c r="H9" i="2"/>
  <c r="J32" i="2"/>
  <c r="R33" i="2"/>
  <c r="T15" i="2"/>
  <c r="D10" i="2"/>
  <c r="H36" i="2"/>
  <c r="G16" i="2"/>
  <c r="L21" i="2"/>
  <c r="V35" i="2"/>
  <c r="T21" i="2"/>
  <c r="D6" i="2"/>
  <c r="I18" i="2"/>
  <c r="R32" i="2"/>
  <c r="J12" i="2"/>
  <c r="W20" i="2"/>
  <c r="G35" i="2"/>
  <c r="O25" i="2"/>
  <c r="X17" i="2"/>
  <c r="J35" i="2"/>
  <c r="M22" i="2"/>
  <c r="R16" i="2"/>
  <c r="R29" i="2"/>
  <c r="G9" i="2"/>
  <c r="P23" i="2"/>
  <c r="U23" i="2"/>
  <c r="E12" i="2"/>
  <c r="S25" i="2"/>
  <c r="C65" i="2"/>
  <c r="N10" i="2"/>
  <c r="Q32" i="2"/>
  <c r="C18" i="2"/>
  <c r="H54" i="2"/>
  <c r="X8" i="2"/>
  <c r="T9" i="2"/>
  <c r="N28" i="2"/>
  <c r="R31" i="2"/>
  <c r="P26" i="2"/>
  <c r="F22" i="2"/>
  <c r="T34" i="2"/>
  <c r="D22" i="2"/>
  <c r="O35" i="2"/>
  <c r="H33" i="2"/>
  <c r="D14" i="2"/>
  <c r="S9" i="2"/>
  <c r="E17" i="2"/>
  <c r="N19" i="2"/>
  <c r="E7" i="2"/>
  <c r="G25" i="2"/>
  <c r="C10" i="2"/>
  <c r="W19" i="2"/>
  <c r="D31" i="2"/>
  <c r="C36" i="2"/>
  <c r="F25" i="2"/>
  <c r="T22" i="2"/>
  <c r="M32" i="2"/>
  <c r="Q20" i="2"/>
  <c r="I17" i="2"/>
  <c r="U18" i="2"/>
  <c r="K14" i="2"/>
  <c r="G29" i="2"/>
  <c r="C23" i="2"/>
  <c r="CH13" i="4" a="1"/>
  <c r="BO5" i="4" a="1"/>
  <c r="AC6" i="4" a="1"/>
  <c r="BV8" i="4" a="1"/>
  <c r="BO16" i="4" a="1"/>
  <c r="BX11" i="4" a="1"/>
  <c r="DK9" i="4" a="1"/>
  <c r="DB15" i="4" a="1"/>
  <c r="CV15" i="4" a="1"/>
  <c r="EC5" i="4" a="1"/>
  <c r="M15" i="4" a="1"/>
  <c r="DN16" i="4" a="1"/>
  <c r="S14" i="2"/>
  <c r="R35" i="2"/>
  <c r="F11" i="2"/>
  <c r="L15" i="2"/>
  <c r="Q29" i="2"/>
  <c r="L17" i="2"/>
  <c r="D25" i="2"/>
  <c r="W25" i="2"/>
  <c r="O13" i="2"/>
  <c r="K28" i="2"/>
  <c r="V33" i="2"/>
  <c r="X10" i="2"/>
  <c r="W32" i="2"/>
  <c r="R27" i="2"/>
  <c r="V16" i="2"/>
  <c r="E45" i="2"/>
  <c r="N26" i="2"/>
  <c r="U22" i="2"/>
  <c r="V26" i="2"/>
  <c r="O15" i="2"/>
  <c r="W17" i="2"/>
  <c r="X11" i="2"/>
  <c r="R11" i="2"/>
  <c r="K17" i="2"/>
  <c r="W11" i="2"/>
  <c r="C14" i="2"/>
  <c r="F20" i="2"/>
  <c r="E23" i="2"/>
  <c r="Q55" i="2"/>
  <c r="R26" i="2"/>
  <c r="Q35" i="2"/>
  <c r="O36" i="2"/>
  <c r="T26" i="2"/>
  <c r="N15" i="2"/>
  <c r="G5" i="2"/>
  <c r="M26" i="2"/>
  <c r="P10" i="2"/>
  <c r="M6" i="2"/>
  <c r="Q24" i="2"/>
  <c r="E21" i="2"/>
  <c r="P21" i="2"/>
  <c r="H11" i="2"/>
  <c r="L19" i="2"/>
  <c r="U14" i="2"/>
  <c r="P6" i="2"/>
  <c r="H12" i="2"/>
  <c r="K36" i="2"/>
  <c r="K26" i="2"/>
  <c r="I15" i="2"/>
  <c r="X19" i="2"/>
  <c r="J21" i="2"/>
  <c r="C26" i="2"/>
  <c r="Q30" i="2"/>
  <c r="G11" i="2"/>
  <c r="E8" i="2"/>
  <c r="BH9" i="4" a="1"/>
  <c r="AJ7" i="4" a="1"/>
  <c r="BR6" i="4" a="1"/>
  <c r="DO8" i="4" a="1"/>
  <c r="BY5" i="4" a="1"/>
  <c r="AT7" i="4" a="1"/>
  <c r="DY13" i="4" a="1"/>
  <c r="DD15" i="4" a="1"/>
  <c r="BQ6" i="4" a="1"/>
  <c r="CP16" i="4" a="1"/>
  <c r="AN9" i="4" a="1"/>
  <c r="AZ5" i="4" a="1"/>
  <c r="E32" i="2"/>
  <c r="G22" i="2"/>
  <c r="X15" i="2"/>
  <c r="X92" i="2"/>
  <c r="Q7" i="2"/>
  <c r="D20" i="2"/>
  <c r="F35" i="2"/>
  <c r="O26" i="2"/>
  <c r="O9" i="2"/>
  <c r="S36" i="2"/>
  <c r="J6" i="2"/>
  <c r="E29" i="2"/>
  <c r="I30" i="2"/>
  <c r="V15" i="2"/>
  <c r="S24" i="2"/>
  <c r="Q11" i="2"/>
  <c r="O18" i="2"/>
  <c r="M25" i="2"/>
  <c r="W10" i="2"/>
  <c r="S28" i="2"/>
  <c r="S22" i="2"/>
  <c r="F29" i="2"/>
  <c r="H23" i="2"/>
  <c r="T35" i="2"/>
  <c r="V30" i="2"/>
  <c r="S18" i="2"/>
  <c r="X18" i="2"/>
  <c r="J9" i="2"/>
  <c r="C17" i="2"/>
  <c r="U15" i="2"/>
  <c r="E27" i="2"/>
  <c r="D7" i="2"/>
  <c r="K18" i="2"/>
  <c r="O22" i="2"/>
  <c r="F17" i="2"/>
  <c r="U33" i="2"/>
  <c r="G33" i="2"/>
  <c r="U19" i="2"/>
  <c r="R13" i="2"/>
  <c r="J16" i="2"/>
  <c r="D24" i="2"/>
  <c r="J5" i="2"/>
  <c r="K11" i="2"/>
  <c r="N14" i="2"/>
  <c r="P22" i="2"/>
  <c r="L27" i="2"/>
  <c r="J7" i="2"/>
  <c r="J22" i="2"/>
  <c r="E20" i="2"/>
  <c r="X30" i="2"/>
  <c r="J25" i="2"/>
  <c r="N25" i="2"/>
  <c r="M5" i="2"/>
  <c r="V13" i="2"/>
  <c r="K35" i="2"/>
  <c r="M20" i="2"/>
  <c r="P13" i="2"/>
  <c r="I6" i="2"/>
  <c r="Q23" i="2"/>
  <c r="S26" i="2"/>
  <c r="N31" i="2"/>
  <c r="G24" i="2"/>
  <c r="U20" i="2"/>
  <c r="Q58" i="2"/>
  <c r="U36" i="2"/>
  <c r="I21" i="2"/>
  <c r="G23" i="2"/>
  <c r="F21" i="2"/>
  <c r="X35" i="2"/>
  <c r="H8" i="2"/>
  <c r="Q78" i="2"/>
  <c r="W30" i="2"/>
  <c r="P7" i="2"/>
  <c r="G14" i="2"/>
  <c r="J11" i="4" a="1"/>
  <c r="EA7" i="4" a="1"/>
  <c r="AQ7" i="4" a="1"/>
  <c r="CO15" i="4" a="1"/>
  <c r="AU7" i="4" a="1"/>
  <c r="CQ9" i="4" a="1"/>
  <c r="DH16" i="4" a="1"/>
  <c r="BQ13" i="4" a="1"/>
  <c r="AN14" i="4" a="1"/>
  <c r="BQ5" i="4" a="1"/>
  <c r="EI5" i="4" a="1"/>
  <c r="DZ13" i="4" a="1"/>
  <c r="J13" i="2"/>
  <c r="R28" i="2"/>
  <c r="H34" i="2"/>
  <c r="H28" i="2"/>
  <c r="X24" i="2"/>
  <c r="R21" i="2"/>
  <c r="Q8" i="2"/>
  <c r="H5" i="4" a="1"/>
  <c r="V11" i="4" a="1"/>
  <c r="DR8" i="4" a="1"/>
  <c r="CD8" i="4" a="1"/>
  <c r="BQ15" i="4" a="1"/>
  <c r="DF6" i="4" a="1"/>
  <c r="Y9" i="4" a="1"/>
  <c r="CC9" i="4" a="1"/>
  <c r="G5" i="4" a="1"/>
  <c r="R13" i="4" a="1"/>
  <c r="DT5" i="4" a="1"/>
  <c r="AU8" i="4" a="1"/>
  <c r="H30" i="2"/>
  <c r="F7" i="2"/>
  <c r="Q10" i="2"/>
  <c r="X32" i="2"/>
  <c r="F8" i="2"/>
  <c r="V36" i="2"/>
  <c r="K9" i="2"/>
  <c r="V14" i="2"/>
  <c r="X66" i="2"/>
  <c r="W18" i="2"/>
  <c r="T27" i="2"/>
  <c r="M12" i="2"/>
  <c r="W7" i="2"/>
  <c r="O17" i="2"/>
  <c r="U12" i="2"/>
  <c r="K25" i="2"/>
  <c r="D36" i="2"/>
  <c r="I29" i="2"/>
  <c r="U10" i="2"/>
  <c r="J28" i="2"/>
  <c r="L26" i="2"/>
  <c r="V34" i="2"/>
  <c r="H7" i="2"/>
  <c r="X20" i="2"/>
  <c r="P34" i="2"/>
  <c r="T19" i="2"/>
  <c r="K19" i="2"/>
  <c r="T14" i="2"/>
  <c r="EB13" i="4" a="1"/>
  <c r="AD15" i="4" a="1"/>
  <c r="S7" i="4" a="1"/>
  <c r="AP11" i="4" a="1"/>
  <c r="CR6" i="4" a="1"/>
  <c r="BK11" i="4" a="1"/>
  <c r="DX11" i="4" a="1"/>
  <c r="BC16" i="4" a="1"/>
  <c r="BS9" i="4" a="1"/>
  <c r="DT9" i="4" a="1"/>
  <c r="M13" i="4" a="1"/>
  <c r="DJ13" i="4" a="1"/>
  <c r="C21" i="2"/>
  <c r="O33" i="2"/>
  <c r="F12" i="2"/>
  <c r="F33" i="2"/>
  <c r="V29" i="2"/>
  <c r="S10" i="2"/>
  <c r="M30" i="2"/>
  <c r="U28" i="2"/>
  <c r="E35" i="2"/>
  <c r="F5" i="2"/>
  <c r="X25" i="2"/>
  <c r="M29" i="2"/>
  <c r="L11" i="2"/>
  <c r="O21" i="2"/>
  <c r="K10" i="2"/>
  <c r="P8" i="2"/>
  <c r="I10" i="2"/>
  <c r="P11" i="2"/>
  <c r="K43" i="2"/>
  <c r="L30" i="2"/>
  <c r="O24" i="2"/>
  <c r="F36" i="2"/>
  <c r="D8" i="2"/>
  <c r="V8" i="2"/>
  <c r="O27" i="2"/>
  <c r="L7" i="2"/>
  <c r="Q22" i="2"/>
  <c r="M23" i="2"/>
  <c r="R15" i="2"/>
  <c r="L9" i="2"/>
  <c r="H22" i="2"/>
  <c r="L20" i="2"/>
  <c r="U5" i="2"/>
  <c r="W21" i="2"/>
  <c r="X26" i="2"/>
  <c r="D13" i="2"/>
  <c r="K32" i="2"/>
  <c r="N6" i="2"/>
  <c r="H25" i="2"/>
  <c r="U11" i="2"/>
  <c r="K13" i="2"/>
  <c r="I25" i="2"/>
  <c r="Q56" i="2"/>
  <c r="W46" i="2"/>
  <c r="I26" i="2"/>
  <c r="O34" i="2"/>
  <c r="J15" i="2"/>
  <c r="M24" i="2"/>
  <c r="M7" i="2"/>
  <c r="U7" i="2"/>
  <c r="Q69" i="2"/>
  <c r="J17" i="2"/>
  <c r="I23" i="2"/>
  <c r="X9" i="2"/>
  <c r="G21" i="2"/>
  <c r="P69" i="2"/>
  <c r="O28" i="2"/>
  <c r="P20" i="2"/>
  <c r="S17" i="2"/>
  <c r="E5" i="2"/>
  <c r="G31" i="2"/>
  <c r="Q5" i="2"/>
  <c r="O12" i="2"/>
  <c r="Q36" i="2"/>
  <c r="E28" i="2"/>
  <c r="W70" i="2"/>
  <c r="U34" i="2"/>
  <c r="P28" i="2"/>
  <c r="M9" i="2"/>
  <c r="T13" i="2"/>
  <c r="EA16" i="4" a="1"/>
  <c r="Y15" i="4" a="1"/>
  <c r="AV6" i="4" a="1"/>
  <c r="AQ5" i="4" a="1"/>
  <c r="BB5" i="4" a="1"/>
  <c r="CH16" i="4" a="1"/>
  <c r="L13" i="4" a="1"/>
  <c r="CP7" i="4" a="1"/>
  <c r="EK5" i="4" a="1"/>
  <c r="S12" i="4" a="1"/>
  <c r="BO7" i="4" a="1"/>
  <c r="BW9" i="4" a="1"/>
  <c r="G36" i="2"/>
  <c r="C19" i="2"/>
  <c r="X31" i="2"/>
  <c r="F15" i="2"/>
  <c r="G6" i="2"/>
  <c r="C12" i="2"/>
  <c r="O14" i="2"/>
  <c r="N20" i="2"/>
  <c r="K8" i="2"/>
  <c r="D23" i="2"/>
  <c r="P24" i="2"/>
  <c r="H21" i="2"/>
  <c r="Q34" i="2"/>
  <c r="D5" i="2"/>
  <c r="G32" i="2"/>
  <c r="V22" i="2"/>
  <c r="L28" i="2"/>
  <c r="T16" i="2"/>
  <c r="L25" i="2"/>
  <c r="O31" i="2"/>
  <c r="U24" i="2"/>
  <c r="I7" i="2"/>
  <c r="I20" i="2"/>
  <c r="M18" i="2"/>
  <c r="T33" i="2"/>
  <c r="G15" i="2"/>
  <c r="V17" i="2"/>
  <c r="D33" i="2"/>
  <c r="P36" i="2"/>
  <c r="X36" i="2"/>
  <c r="L34" i="2"/>
  <c r="V11" i="2"/>
  <c r="AS11" i="4" a="1"/>
  <c r="CB11" i="4" a="1"/>
  <c r="EE9" i="4" a="1"/>
  <c r="CA6" i="4" a="1"/>
  <c r="BL11" i="4" a="1"/>
  <c r="DS15" i="4" a="1"/>
  <c r="BQ8" i="4" a="1"/>
  <c r="DO15" i="4" a="1"/>
  <c r="I5" i="4" a="1"/>
  <c r="C11" i="4" a="1"/>
  <c r="AN16" i="4" a="1"/>
  <c r="AA9" i="4" a="1"/>
  <c r="I12" i="2"/>
  <c r="E25" i="2"/>
  <c r="E6" i="2"/>
  <c r="J24" i="2"/>
  <c r="F89" i="2"/>
  <c r="O32" i="2"/>
  <c r="O6" i="2"/>
  <c r="G17" i="2"/>
  <c r="D21" i="2"/>
  <c r="M35" i="2"/>
  <c r="E11" i="2"/>
  <c r="M10" i="2"/>
  <c r="C15" i="2"/>
  <c r="F14" i="2"/>
  <c r="G27" i="2"/>
  <c r="T6" i="2"/>
  <c r="Q15" i="2"/>
  <c r="I36" i="2"/>
  <c r="W22" i="2"/>
  <c r="W34" i="2"/>
  <c r="E9" i="2"/>
  <c r="L5" i="2"/>
  <c r="L18" i="2"/>
  <c r="I9" i="2"/>
  <c r="S34" i="2"/>
  <c r="M33" i="2"/>
  <c r="R25" i="2"/>
  <c r="C33" i="2"/>
  <c r="K6" i="2"/>
  <c r="K24" i="2"/>
  <c r="D15" i="2"/>
  <c r="R34" i="2"/>
  <c r="E22" i="2"/>
  <c r="H6" i="2"/>
  <c r="J33" i="2"/>
  <c r="M21" i="2"/>
  <c r="J19" i="2"/>
  <c r="D32" i="2"/>
  <c r="Q19" i="2"/>
  <c r="C30" i="2"/>
  <c r="Q27" i="2"/>
  <c r="H35" i="2"/>
  <c r="C22" i="2"/>
  <c r="Q33" i="2"/>
  <c r="Q21" i="2"/>
  <c r="F75" i="2"/>
  <c r="N7" i="2"/>
  <c r="T29" i="2"/>
  <c r="C11" i="2"/>
  <c r="M15" i="2"/>
  <c r="V24" i="2"/>
  <c r="J34" i="2"/>
  <c r="L36" i="2"/>
  <c r="BA6" i="4" a="1"/>
  <c r="DS8" i="4" a="1"/>
  <c r="DX16" i="4" a="1"/>
  <c r="AO15" i="4" a="1"/>
  <c r="DX5" i="4" a="1"/>
  <c r="S23" i="2"/>
  <c r="G13" i="4" a="1"/>
  <c r="DE9" i="4" a="1"/>
  <c r="BC6" i="4" a="1"/>
  <c r="BZ6" i="4" a="1"/>
  <c r="CC5" i="4" a="1"/>
  <c r="CQ16" i="4" a="1"/>
  <c r="AW5" i="4" a="1"/>
  <c r="EJ15" i="4" a="1"/>
  <c r="DK12" i="4" a="1"/>
  <c r="CY13" i="4" a="1"/>
  <c r="DF9" i="4" a="1"/>
  <c r="CA16" i="4" a="1"/>
  <c r="CP6" i="4" a="1"/>
  <c r="BY11" i="4" a="1"/>
  <c r="BP16" i="4" a="1"/>
  <c r="BK5" i="4" a="1"/>
  <c r="AC8" i="4" a="1"/>
  <c r="ED11" i="4" a="1"/>
  <c r="O20" i="2"/>
  <c r="J8" i="2"/>
  <c r="D30" i="2"/>
  <c r="J10" i="2"/>
  <c r="R5" i="2"/>
  <c r="M13" i="2"/>
  <c r="V5" i="2"/>
  <c r="I19" i="2"/>
  <c r="N23" i="2"/>
  <c r="S21" i="2"/>
  <c r="T25" i="2"/>
  <c r="X41" i="2"/>
  <c r="G19" i="2"/>
  <c r="F23" i="2"/>
  <c r="R10" i="2"/>
  <c r="N9" i="2"/>
  <c r="T23" i="2"/>
  <c r="V32" i="2"/>
  <c r="I27" i="2"/>
  <c r="D9" i="2"/>
  <c r="N24" i="2"/>
  <c r="F10" i="2"/>
  <c r="F26" i="2"/>
  <c r="T24" i="2"/>
  <c r="X5" i="2"/>
  <c r="G26" i="2"/>
  <c r="W23" i="2"/>
  <c r="J18" i="2"/>
  <c r="M34" i="2"/>
  <c r="C25" i="2"/>
  <c r="T18" i="2"/>
  <c r="V31" i="2"/>
  <c r="K87" i="2"/>
  <c r="W15" i="2"/>
  <c r="Q16" i="2"/>
  <c r="U30" i="2"/>
  <c r="H15" i="2"/>
  <c r="N35" i="2"/>
  <c r="M36" i="2"/>
  <c r="N18" i="2"/>
  <c r="O23" i="2"/>
  <c r="L12" i="2"/>
  <c r="P32" i="2"/>
  <c r="R22" i="2"/>
  <c r="W29" i="2"/>
  <c r="W31" i="2"/>
  <c r="D11" i="2"/>
  <c r="J26" i="2"/>
  <c r="P33" i="2"/>
  <c r="DS14" i="4" a="1"/>
  <c r="EF6" i="4" a="1"/>
  <c r="AN6" i="4" a="1"/>
  <c r="CD13" i="4" a="1"/>
  <c r="BB7" i="4" a="1"/>
  <c r="AR14" i="4" a="1"/>
  <c r="DD8" i="4" a="1"/>
  <c r="EF11" i="4" a="1"/>
  <c r="BG16" i="4" a="1"/>
  <c r="O6" i="4" a="1"/>
  <c r="AI15" i="4" a="1"/>
  <c r="I5" i="2"/>
  <c r="N32" i="2"/>
  <c r="P27" i="2"/>
  <c r="D17" i="2"/>
  <c r="F28" i="2"/>
  <c r="P5" i="2"/>
  <c r="G28" i="2"/>
  <c r="S15" i="2"/>
  <c r="N12" i="2"/>
  <c r="W74" i="2"/>
  <c r="S11" i="2"/>
  <c r="T36" i="2"/>
  <c r="D34" i="2"/>
  <c r="L23" i="2"/>
  <c r="N27" i="2"/>
  <c r="T12" i="2"/>
  <c r="E16" i="2"/>
  <c r="U17" i="2"/>
  <c r="H29" i="2"/>
  <c r="V12" i="2"/>
  <c r="W13" i="2"/>
  <c r="C6" i="2"/>
  <c r="I34" i="2"/>
  <c r="I22" i="2"/>
  <c r="K30" i="2"/>
  <c r="O5" i="2"/>
  <c r="E30" i="2"/>
  <c r="V7" i="2"/>
  <c r="C13" i="2"/>
  <c r="T31" i="2"/>
  <c r="U8" i="2"/>
  <c r="J11" i="2"/>
  <c r="S16" i="2"/>
  <c r="N8" i="2"/>
  <c r="U13" i="2"/>
  <c r="W35" i="2"/>
  <c r="T8" i="2"/>
  <c r="X63" i="2"/>
  <c r="L8" i="2"/>
  <c r="H13" i="2"/>
  <c r="F32" i="2"/>
  <c r="K23" i="2"/>
  <c r="BS8" i="4" a="1"/>
  <c r="N34" i="2"/>
  <c r="I33" i="2"/>
  <c r="F13" i="2"/>
  <c r="E33" i="2"/>
  <c r="M19" i="2"/>
  <c r="O7" i="2"/>
  <c r="P18" i="2"/>
  <c r="E15" i="2"/>
  <c r="X12" i="2"/>
  <c r="Q59" i="2"/>
  <c r="U9" i="2"/>
  <c r="O11" i="2"/>
  <c r="I28" i="2"/>
  <c r="I13" i="2"/>
  <c r="T5" i="2"/>
  <c r="W14" i="2"/>
  <c r="H32" i="2"/>
  <c r="Q31" i="2"/>
  <c r="V10" i="2"/>
  <c r="V28" i="2"/>
  <c r="W9" i="2"/>
  <c r="L32" i="2"/>
  <c r="U29" i="2"/>
  <c r="K16" i="2"/>
  <c r="U27" i="2"/>
  <c r="K29" i="2"/>
  <c r="S12" i="2"/>
  <c r="N33" i="2"/>
  <c r="G18" i="2"/>
  <c r="R14" i="2"/>
  <c r="D19" i="2"/>
  <c r="EJ8" i="4" a="1"/>
  <c r="K12" i="2"/>
  <c r="R30" i="2"/>
  <c r="R9" i="2"/>
  <c r="U35" i="2"/>
  <c r="W8" i="2"/>
  <c r="M28" i="2"/>
  <c r="H14" i="2"/>
  <c r="J31" i="2"/>
  <c r="Q9" i="2"/>
  <c r="N11" i="2"/>
  <c r="N22" i="2"/>
  <c r="X33" i="2"/>
  <c r="D12" i="2"/>
  <c r="P17" i="2"/>
  <c r="O29" i="2"/>
  <c r="U25" i="2"/>
  <c r="D47" i="2"/>
  <c r="D27" i="2"/>
  <c r="F24" i="2"/>
  <c r="I31" i="2"/>
  <c r="D29" i="2"/>
  <c r="E31" i="2"/>
  <c r="W12" i="2"/>
  <c r="S5" i="2"/>
  <c r="J20" i="2"/>
  <c r="Q12" i="2"/>
  <c r="C7" i="2"/>
  <c r="M11" i="2"/>
  <c r="P12" i="2"/>
  <c r="U32" i="2"/>
  <c r="O8" i="2"/>
  <c r="X13" i="2"/>
  <c r="S20" i="2"/>
  <c r="K59" i="2"/>
  <c r="Q14" i="2"/>
  <c r="P15" i="2"/>
  <c r="I11" i="2"/>
  <c r="H5" i="2"/>
  <c r="Q13" i="2"/>
  <c r="F6" i="2"/>
  <c r="X16" i="2"/>
  <c r="I35" i="2"/>
  <c r="H18" i="2"/>
  <c r="AT9" i="4" a="1"/>
  <c r="M8" i="2"/>
  <c r="D28" i="2"/>
  <c r="F27" i="2"/>
  <c r="S7" i="2"/>
  <c r="L14" i="2"/>
  <c r="K22" i="2"/>
  <c r="O16" i="4" a="1"/>
  <c r="V21" i="2"/>
  <c r="I24" i="2"/>
  <c r="DJ11" i="4" a="1"/>
  <c r="C31" i="2"/>
  <c r="V18" i="2"/>
  <c r="G13" i="2"/>
  <c r="O30" i="2"/>
  <c r="F19" i="2"/>
  <c r="AY15" i="4" a="1"/>
  <c r="C20" i="2"/>
  <c r="M16" i="2"/>
  <c r="D35" i="2"/>
  <c r="U26" i="2"/>
  <c r="S13" i="2"/>
  <c r="T20" i="2"/>
  <c r="T11" i="2"/>
  <c r="K20" i="2"/>
  <c r="AW7" i="4" a="1"/>
  <c r="E26" i="2"/>
  <c r="P9" i="2"/>
  <c r="G34" i="2"/>
  <c r="Q18" i="2"/>
  <c r="K5" i="2"/>
  <c r="R36" i="2"/>
  <c r="U31" i="2"/>
  <c r="R20" i="2"/>
  <c r="W33" i="2"/>
  <c r="G8" i="2"/>
  <c r="S19" i="2"/>
  <c r="R8" i="2"/>
  <c r="X21" i="2"/>
  <c r="AW8" i="4" a="1"/>
  <c r="G10" i="2"/>
  <c r="AH6" i="4" a="1"/>
  <c r="K15" i="2"/>
  <c r="N21" i="2"/>
  <c r="E10" i="2"/>
  <c r="P16" i="2"/>
  <c r="U16" i="2"/>
  <c r="R23" i="2"/>
  <c r="S35" i="2"/>
  <c r="O19" i="2"/>
  <c r="V20" i="2"/>
  <c r="K27" i="2"/>
  <c r="Q46" i="2"/>
  <c r="G24" i="3"/>
  <c r="AR77" i="3"/>
  <c r="E12" i="3"/>
  <c r="H45" i="3"/>
  <c r="K46" i="3"/>
  <c r="G19" i="3"/>
  <c r="G6" i="3"/>
  <c r="F8" i="3"/>
  <c r="R45" i="3"/>
  <c r="E25" i="3"/>
  <c r="F23" i="3"/>
  <c r="E9" i="3"/>
  <c r="AR87" i="3"/>
  <c r="G22" i="3"/>
  <c r="E20" i="3"/>
  <c r="E13" i="3"/>
  <c r="D41" i="3"/>
  <c r="D17" i="3"/>
  <c r="M45" i="3"/>
  <c r="AR49" i="3"/>
  <c r="F38" i="3"/>
  <c r="E17" i="3"/>
  <c r="D36" i="3"/>
  <c r="G13" i="3"/>
  <c r="AR90" i="3"/>
  <c r="M46" i="3"/>
  <c r="O45" i="3"/>
  <c r="D8" i="3"/>
  <c r="AR10" i="3"/>
  <c r="AR16" i="3"/>
  <c r="F28" i="3"/>
  <c r="AR30" i="3"/>
  <c r="C45" i="3"/>
  <c r="AR39" i="3"/>
  <c r="AR50" i="3"/>
  <c r="F34" i="3"/>
  <c r="G15" i="3"/>
  <c r="AD12" i="3"/>
  <c r="E8" i="3"/>
  <c r="F21" i="3"/>
  <c r="AR66" i="3"/>
  <c r="D21" i="3"/>
  <c r="E18" i="3"/>
  <c r="D22" i="3"/>
  <c r="Q46" i="3"/>
  <c r="AR61" i="3"/>
  <c r="AB45" i="3"/>
  <c r="O46" i="3"/>
  <c r="AR72" i="3"/>
  <c r="F41" i="3"/>
  <c r="F6" i="3"/>
  <c r="F19" i="3"/>
  <c r="E38" i="3"/>
  <c r="AR94" i="3"/>
  <c r="F11" i="3"/>
  <c r="AR67" i="3"/>
  <c r="AR41" i="3"/>
  <c r="D35" i="3"/>
  <c r="S45" i="3"/>
  <c r="AR11" i="3"/>
  <c r="F35" i="3"/>
  <c r="AD45" i="3"/>
  <c r="F37" i="3"/>
  <c r="AR54" i="3"/>
  <c r="G28" i="3"/>
  <c r="G8" i="3"/>
  <c r="F22" i="3"/>
  <c r="AR27" i="3"/>
  <c r="J45" i="3"/>
  <c r="AR68" i="3"/>
  <c r="G21" i="3"/>
  <c r="AF48" i="3"/>
  <c r="AR70" i="3"/>
  <c r="F18" i="3"/>
  <c r="AO45" i="3"/>
  <c r="F25" i="3"/>
  <c r="AO46" i="3"/>
  <c r="G16" i="3"/>
  <c r="E33" i="3"/>
  <c r="D46" i="3"/>
  <c r="AR20" i="3"/>
  <c r="AR71" i="3"/>
  <c r="AR36" i="3"/>
  <c r="D30" i="3"/>
  <c r="AR45" i="3"/>
  <c r="AE46" i="3"/>
  <c r="E26" i="3"/>
  <c r="F36" i="3"/>
  <c r="AR89" i="3"/>
  <c r="G45" i="3"/>
  <c r="E30" i="3"/>
  <c r="AR23" i="3"/>
  <c r="AR8" i="3"/>
  <c r="E22" i="3"/>
  <c r="D24" i="3"/>
  <c r="AR59" i="3"/>
  <c r="D34" i="3"/>
  <c r="X46" i="3"/>
  <c r="E41" i="3"/>
  <c r="E40" i="3"/>
  <c r="AP45" i="3"/>
  <c r="H46" i="3"/>
  <c r="D18" i="3"/>
  <c r="E46" i="3"/>
  <c r="AN46" i="3"/>
  <c r="D14" i="3"/>
  <c r="Y46" i="3"/>
  <c r="AR55" i="3"/>
  <c r="AD14" i="3"/>
  <c r="P45" i="3"/>
  <c r="AR46" i="3"/>
  <c r="G30" i="3"/>
  <c r="E29" i="3"/>
  <c r="V45" i="3"/>
  <c r="G46" i="3"/>
  <c r="AR86" i="3"/>
  <c r="T46" i="3"/>
  <c r="D26" i="3"/>
  <c r="AD5" i="3"/>
  <c r="AR81" i="3"/>
  <c r="AD86" i="3"/>
  <c r="AD57" i="3"/>
  <c r="AD68" i="3"/>
  <c r="AD77" i="3"/>
  <c r="AD71" i="3"/>
  <c r="AL45" i="3"/>
  <c r="G26" i="3"/>
  <c r="V46" i="3"/>
  <c r="D29" i="3"/>
  <c r="AJ45" i="3"/>
  <c r="X45" i="3"/>
  <c r="E27" i="3"/>
  <c r="E36" i="3"/>
  <c r="AR24" i="3"/>
  <c r="L46" i="3"/>
  <c r="AD6" i="3"/>
  <c r="D33" i="3"/>
  <c r="AR75" i="3"/>
  <c r="AR91" i="3"/>
  <c r="AM45" i="3"/>
  <c r="G27" i="3"/>
  <c r="AG45" i="3"/>
  <c r="AA46" i="3"/>
  <c r="AK46" i="3"/>
  <c r="AR26" i="3"/>
  <c r="AO6" i="3"/>
  <c r="AR29" i="3"/>
  <c r="D42" i="3"/>
  <c r="AH45" i="3"/>
  <c r="F16" i="3"/>
  <c r="F40" i="3"/>
  <c r="AR25" i="3"/>
  <c r="AR28" i="3"/>
  <c r="E5" i="3"/>
  <c r="D32" i="3"/>
  <c r="AS49" i="3"/>
  <c r="S46" i="3"/>
  <c r="E32" i="3"/>
  <c r="AD17" i="3"/>
  <c r="AR31" i="3"/>
  <c r="E96" i="3"/>
  <c r="AE45" i="3"/>
  <c r="AR79" i="3"/>
  <c r="D23" i="3"/>
  <c r="AK45" i="3"/>
  <c r="E73" i="3"/>
  <c r="E61" i="3"/>
  <c r="AD70" i="3"/>
  <c r="G31" i="3"/>
  <c r="AD97" i="3"/>
  <c r="AD63" i="3"/>
  <c r="AQ46" i="3"/>
  <c r="AR82" i="3"/>
  <c r="F13" i="3"/>
  <c r="D39" i="3"/>
  <c r="F20" i="3"/>
  <c r="AA45" i="3"/>
  <c r="E37" i="3"/>
  <c r="P46" i="3"/>
  <c r="G10" i="3"/>
  <c r="AR21" i="3"/>
  <c r="AD7" i="3"/>
  <c r="F30" i="3"/>
  <c r="E10" i="3"/>
  <c r="AR22" i="3"/>
  <c r="AP46" i="3"/>
  <c r="AG46" i="3"/>
  <c r="AD13" i="3"/>
  <c r="E23" i="3"/>
  <c r="G23" i="3"/>
  <c r="D20" i="3"/>
  <c r="F15" i="3"/>
  <c r="E45" i="3"/>
  <c r="F17" i="3"/>
  <c r="AM46" i="3"/>
  <c r="W46" i="3"/>
  <c r="D38" i="3"/>
  <c r="E19" i="3"/>
  <c r="AD9" i="3"/>
  <c r="AR92" i="3"/>
  <c r="F29" i="3"/>
  <c r="AR37" i="3"/>
  <c r="D15" i="3"/>
  <c r="L45" i="3"/>
  <c r="E16" i="3"/>
  <c r="AR85" i="3"/>
  <c r="E14" i="3"/>
  <c r="D37" i="3"/>
  <c r="E42" i="3"/>
  <c r="U45" i="3"/>
  <c r="AR56" i="3"/>
  <c r="AB46" i="3"/>
  <c r="AN45" i="3"/>
  <c r="G7" i="3"/>
  <c r="G9" i="3"/>
  <c r="AR88" i="3"/>
  <c r="K45" i="3"/>
  <c r="F10" i="3"/>
  <c r="AR74" i="3"/>
  <c r="AR42" i="3"/>
  <c r="I46" i="3"/>
  <c r="AR69" i="3"/>
  <c r="AC46" i="3"/>
  <c r="F7" i="3"/>
  <c r="R46" i="3"/>
  <c r="AR40" i="3"/>
  <c r="E11" i="3"/>
  <c r="AR58" i="3"/>
  <c r="T45" i="3"/>
  <c r="D12" i="3"/>
  <c r="AR60" i="3"/>
  <c r="J46" i="3"/>
  <c r="F12" i="3"/>
  <c r="F26" i="3"/>
  <c r="G12" i="3"/>
  <c r="N46" i="3"/>
  <c r="E82" i="3"/>
  <c r="G25" i="3"/>
  <c r="AR33" i="3"/>
  <c r="Z45" i="3"/>
  <c r="AR34" i="3"/>
  <c r="E94" i="3"/>
  <c r="AD11" i="3"/>
  <c r="AR83" i="3"/>
  <c r="F33" i="3"/>
  <c r="AR73" i="3"/>
  <c r="AR17" i="3"/>
  <c r="F24" i="3"/>
  <c r="AR80" i="3"/>
  <c r="E15" i="3"/>
  <c r="AD46" i="3"/>
  <c r="E84" i="3"/>
  <c r="E88" i="3"/>
  <c r="E59" i="3"/>
  <c r="AD8" i="3"/>
  <c r="AH46" i="3"/>
  <c r="D7" i="3"/>
  <c r="E74" i="3"/>
  <c r="AD76" i="3"/>
  <c r="AD82" i="3"/>
  <c r="AD92" i="3"/>
  <c r="E83" i="3"/>
  <c r="E71" i="3"/>
  <c r="E76" i="3"/>
  <c r="E86" i="3"/>
  <c r="AD83" i="3"/>
  <c r="E56" i="3"/>
  <c r="E87" i="3"/>
  <c r="AD94" i="3"/>
  <c r="AD55" i="3"/>
  <c r="AD65" i="3"/>
  <c r="E60" i="3"/>
  <c r="AD69" i="3"/>
  <c r="AD60" i="3"/>
  <c r="E95" i="3"/>
  <c r="AD61" i="3"/>
  <c r="AD64" i="3"/>
  <c r="AD62" i="3"/>
  <c r="AD72" i="3"/>
  <c r="AD54" i="3"/>
  <c r="AD79" i="3"/>
  <c r="F32" i="3"/>
  <c r="AJ46" i="3"/>
  <c r="AR78" i="3"/>
  <c r="G20" i="3"/>
  <c r="AQ45" i="3"/>
  <c r="G29" i="3"/>
  <c r="AR64" i="3"/>
  <c r="AR93" i="3"/>
  <c r="F14" i="3"/>
  <c r="D45" i="3"/>
  <c r="D9" i="3"/>
  <c r="E35" i="3"/>
  <c r="U46" i="3"/>
  <c r="E6" i="3"/>
  <c r="W45" i="3"/>
  <c r="E7" i="3"/>
  <c r="F27" i="3"/>
  <c r="AF50" i="3"/>
  <c r="D16" i="3"/>
  <c r="D6" i="3"/>
  <c r="G5" i="3"/>
  <c r="AR97" i="3"/>
  <c r="E39" i="3"/>
  <c r="E21" i="3"/>
  <c r="AR47" i="3"/>
  <c r="I45" i="3"/>
  <c r="D10" i="3"/>
  <c r="AR96" i="3"/>
  <c r="D5" i="3"/>
  <c r="C46" i="3"/>
  <c r="AR19" i="3"/>
  <c r="G18" i="3"/>
  <c r="AI46" i="3"/>
  <c r="E65" i="3"/>
  <c r="AR12" i="3"/>
  <c r="D93" i="3"/>
  <c r="D81" i="3"/>
  <c r="G56" i="3"/>
  <c r="AR57" i="3"/>
  <c r="AR9" i="3"/>
  <c r="Q45" i="3"/>
  <c r="AC45" i="3"/>
  <c r="E31" i="3"/>
  <c r="D70" i="3"/>
  <c r="AD18" i="3"/>
  <c r="E80" i="3"/>
  <c r="E64" i="3"/>
  <c r="G78" i="3"/>
  <c r="AD58" i="3"/>
  <c r="D92" i="3"/>
  <c r="E70" i="3"/>
  <c r="AD96" i="3"/>
  <c r="G63" i="3"/>
  <c r="AD93" i="3"/>
  <c r="G60" i="3"/>
  <c r="E78" i="3"/>
  <c r="G58" i="3"/>
  <c r="G71" i="3"/>
  <c r="G97" i="3"/>
  <c r="AD91" i="3"/>
  <c r="AD73" i="3"/>
  <c r="AD74" i="3"/>
  <c r="AR13" i="3"/>
  <c r="F9" i="3"/>
  <c r="G17" i="3"/>
  <c r="AL46" i="3"/>
  <c r="AD15" i="3"/>
  <c r="D27" i="3"/>
  <c r="AR14" i="3"/>
  <c r="E24" i="3"/>
  <c r="Y45" i="3"/>
  <c r="AR76" i="3"/>
  <c r="AR48" i="3"/>
  <c r="AR62" i="3"/>
  <c r="D19" i="3"/>
  <c r="AR32" i="3"/>
  <c r="E34" i="3"/>
  <c r="AR63" i="3"/>
  <c r="E28" i="3"/>
  <c r="AR38" i="3"/>
  <c r="D31" i="3"/>
  <c r="AI45" i="3"/>
  <c r="AR84" i="3"/>
  <c r="F5" i="3"/>
  <c r="N45" i="3"/>
  <c r="F42" i="3"/>
  <c r="AS47" i="3"/>
  <c r="AD16" i="3"/>
  <c r="AQ6" i="3"/>
  <c r="D11" i="3"/>
  <c r="D28" i="3"/>
  <c r="F31" i="3"/>
  <c r="D40" i="3"/>
  <c r="D25" i="3"/>
  <c r="AD10" i="3"/>
  <c r="G14" i="3"/>
  <c r="AR18" i="3"/>
  <c r="E62" i="3"/>
  <c r="AR15" i="3"/>
  <c r="AR65" i="3"/>
  <c r="AR35" i="3"/>
  <c r="E63" i="3"/>
  <c r="AR95" i="3"/>
  <c r="F39" i="3"/>
  <c r="G11" i="3"/>
  <c r="G84" i="3"/>
  <c r="Z46" i="3"/>
  <c r="G59" i="3"/>
  <c r="G85" i="3"/>
  <c r="D13" i="3"/>
  <c r="AD95" i="3"/>
  <c r="AD90" i="3"/>
  <c r="E93" i="3"/>
  <c r="E92" i="3"/>
  <c r="E57" i="3"/>
  <c r="E89" i="3"/>
  <c r="G82" i="3"/>
  <c r="G70" i="3"/>
  <c r="D75" i="3"/>
  <c r="F78" i="3"/>
  <c r="F64" i="3"/>
  <c r="Z92" i="1" l="1"/>
  <c r="Z125" i="1"/>
  <c r="Z134" i="1"/>
  <c r="Z137" i="1" s="1"/>
  <c r="Z140" i="1" s="1"/>
  <c r="Z118" i="1"/>
  <c r="Z133" i="1"/>
  <c r="Z136" i="1" s="1"/>
  <c r="Z139" i="1" s="1"/>
  <c r="E91" i="3"/>
  <c r="G55" i="3"/>
  <c r="D74" i="3"/>
  <c r="G80" i="3"/>
  <c r="AD67" i="3"/>
  <c r="AD66" i="3"/>
  <c r="E67" i="3"/>
  <c r="E58" i="3"/>
  <c r="G73" i="3"/>
  <c r="G77" i="3"/>
  <c r="G88" i="3"/>
  <c r="D86" i="3"/>
  <c r="F80" i="3"/>
  <c r="F67" i="3"/>
  <c r="D71" i="3"/>
  <c r="G86" i="3"/>
  <c r="F57" i="3"/>
  <c r="D65" i="3"/>
  <c r="AD85" i="3"/>
  <c r="AD59" i="3"/>
  <c r="E54" i="3"/>
  <c r="E97" i="3"/>
  <c r="G96" i="3"/>
  <c r="G62" i="3"/>
  <c r="G54" i="3"/>
  <c r="D62" i="3"/>
  <c r="F77" i="3"/>
  <c r="D79" i="3"/>
  <c r="E66" i="3"/>
  <c r="F54" i="3"/>
  <c r="G68" i="3"/>
  <c r="AD89" i="3"/>
  <c r="AD87" i="3"/>
  <c r="AD56" i="3"/>
  <c r="AD88" i="3"/>
  <c r="E90" i="3"/>
  <c r="E75" i="3"/>
  <c r="G95" i="3"/>
  <c r="G67" i="3"/>
  <c r="G81" i="3"/>
  <c r="D87" i="3"/>
  <c r="F90" i="3"/>
  <c r="G76" i="3"/>
  <c r="E79" i="3"/>
  <c r="G94" i="3"/>
  <c r="AD80" i="3"/>
  <c r="AD81" i="3"/>
  <c r="E69" i="3"/>
  <c r="E55" i="3"/>
  <c r="E85" i="3"/>
  <c r="G92" i="3"/>
  <c r="G64" i="3"/>
  <c r="G83" i="3"/>
  <c r="D77" i="3"/>
  <c r="F47" i="3"/>
  <c r="E77" i="3"/>
  <c r="G66" i="3"/>
  <c r="AD75" i="3"/>
  <c r="AD84" i="3"/>
  <c r="AD78" i="3"/>
  <c r="E81" i="3"/>
  <c r="E68" i="3"/>
  <c r="E72" i="3"/>
  <c r="G79" i="3"/>
  <c r="G91" i="3"/>
  <c r="G65" i="3"/>
  <c r="D96" i="3"/>
  <c r="F92" i="3"/>
  <c r="G93" i="3"/>
  <c r="G69" i="3"/>
  <c r="D72" i="3"/>
  <c r="D67" i="3"/>
  <c r="D91" i="3"/>
  <c r="D63" i="3"/>
  <c r="D56" i="3"/>
  <c r="D57" i="3"/>
  <c r="F59" i="3"/>
  <c r="F71" i="3"/>
  <c r="F56" i="3"/>
  <c r="F85" i="3"/>
  <c r="F91" i="3"/>
  <c r="F73" i="3"/>
  <c r="F75" i="3"/>
  <c r="G74" i="3"/>
  <c r="G87" i="3"/>
  <c r="D73" i="3"/>
  <c r="D78" i="3"/>
  <c r="D64" i="3"/>
  <c r="D61" i="3"/>
  <c r="D80" i="3"/>
  <c r="D59" i="3"/>
  <c r="F84" i="3"/>
  <c r="F65" i="3"/>
  <c r="F74" i="3"/>
  <c r="F49" i="3"/>
  <c r="F50" i="3"/>
  <c r="F97" i="3"/>
  <c r="F58" i="3"/>
  <c r="F63" i="3"/>
  <c r="G57" i="3"/>
  <c r="G89" i="3"/>
  <c r="D55" i="3"/>
  <c r="D66" i="3"/>
  <c r="D82" i="3"/>
  <c r="D58" i="3"/>
  <c r="D76" i="3"/>
  <c r="D84" i="3"/>
  <c r="F61" i="3"/>
  <c r="F96" i="3"/>
  <c r="F94" i="3"/>
  <c r="F68" i="3"/>
  <c r="F62" i="3"/>
  <c r="F48" i="3"/>
  <c r="F82" i="3"/>
  <c r="G72" i="3"/>
  <c r="G90" i="3"/>
  <c r="D60" i="3"/>
  <c r="D97" i="3"/>
  <c r="D90" i="3"/>
  <c r="D85" i="3"/>
  <c r="D94" i="3"/>
  <c r="D54" i="3"/>
  <c r="F60" i="3"/>
  <c r="F66" i="3"/>
  <c r="F86" i="3"/>
  <c r="F87" i="3"/>
  <c r="F69" i="3"/>
  <c r="F83" i="3"/>
  <c r="F95" i="3"/>
  <c r="F79" i="3"/>
  <c r="G75" i="3"/>
  <c r="G61" i="3"/>
  <c r="D69" i="3"/>
  <c r="D88" i="3"/>
  <c r="D95" i="3"/>
  <c r="D83" i="3"/>
  <c r="D89" i="3"/>
  <c r="D68" i="3"/>
  <c r="F81" i="3"/>
  <c r="F93" i="3"/>
  <c r="F89" i="3"/>
  <c r="F72" i="3"/>
  <c r="F76" i="3"/>
  <c r="F88" i="3"/>
  <c r="F55" i="3"/>
  <c r="F70" i="3"/>
  <c r="BJ169" i="1"/>
  <c r="BJ151" i="1"/>
  <c r="BK151" i="1" s="1"/>
  <c r="BJ161" i="1"/>
  <c r="BK161" i="1" s="1"/>
  <c r="BJ166" i="1"/>
  <c r="BK166" i="1" s="1"/>
  <c r="BL228" i="1" s="1"/>
  <c r="BJ150" i="1"/>
  <c r="BK150" i="1" s="1"/>
  <c r="BJ152" i="1"/>
  <c r="BK152" i="1" s="1"/>
  <c r="BJ180" i="1"/>
  <c r="BK180" i="1" s="1"/>
  <c r="BJ175" i="1"/>
  <c r="BJ157" i="1"/>
  <c r="J58" i="1"/>
  <c r="N48" i="1"/>
  <c r="R77" i="1"/>
  <c r="Q61" i="1"/>
  <c r="J49" i="1"/>
  <c r="R48" i="1"/>
  <c r="V72" i="1"/>
  <c r="P51" i="1"/>
  <c r="S39" i="1"/>
  <c r="R50" i="1"/>
  <c r="C77" i="1"/>
  <c r="BJ190" i="1"/>
  <c r="E48" i="1"/>
  <c r="N65" i="1"/>
  <c r="F50" i="1"/>
  <c r="U51" i="1"/>
  <c r="HS16" i="4" s="1"/>
  <c r="K46" i="1"/>
  <c r="R35" i="1"/>
  <c r="E58" i="1"/>
  <c r="E220" i="1" s="1"/>
  <c r="G51" i="1"/>
  <c r="H77" i="1"/>
  <c r="E34" i="1"/>
  <c r="P50" i="1"/>
  <c r="H39" i="1"/>
  <c r="O49" i="1"/>
  <c r="P46" i="1"/>
  <c r="W50" i="1"/>
  <c r="T71" i="1"/>
  <c r="O41" i="1"/>
  <c r="L39" i="1"/>
  <c r="B35" i="1"/>
  <c r="P41" i="1"/>
  <c r="V41" i="1"/>
  <c r="C73" i="1"/>
  <c r="C58" i="1"/>
  <c r="C220" i="1" s="1"/>
  <c r="C150" i="1"/>
  <c r="T62" i="1"/>
  <c r="N73" i="1"/>
  <c r="O47" i="1"/>
  <c r="C41" i="1"/>
  <c r="W72" i="1"/>
  <c r="M39" i="1"/>
  <c r="G46" i="1"/>
  <c r="T77" i="1"/>
  <c r="Q65" i="1"/>
  <c r="J41" i="1"/>
  <c r="C48" i="1"/>
  <c r="Q46" i="1"/>
  <c r="F51" i="1"/>
  <c r="M72" i="1"/>
  <c r="R41" i="1"/>
  <c r="J73" i="1"/>
  <c r="T58" i="1"/>
  <c r="T220" i="1" s="1"/>
  <c r="T73" i="1"/>
  <c r="K71" i="1"/>
  <c r="G71" i="1"/>
  <c r="V46" i="1"/>
  <c r="H50" i="1"/>
  <c r="N39" i="1"/>
  <c r="W41" i="1"/>
  <c r="D49" i="1"/>
  <c r="O51" i="1"/>
  <c r="N35" i="1"/>
  <c r="L48" i="1"/>
  <c r="D72" i="1"/>
  <c r="E50" i="1"/>
  <c r="H72" i="1"/>
  <c r="J61" i="1"/>
  <c r="E71" i="1"/>
  <c r="G50" i="1"/>
  <c r="W158" i="1"/>
  <c r="V77" i="1"/>
  <c r="T50" i="1"/>
  <c r="I39" i="1"/>
  <c r="B50" i="1"/>
  <c r="U35" i="1"/>
  <c r="U36" i="1" s="1"/>
  <c r="U124" i="1" s="1"/>
  <c r="D65" i="1"/>
  <c r="J65" i="1"/>
  <c r="B34" i="1"/>
  <c r="B257" i="1" s="1"/>
  <c r="V50" i="1"/>
  <c r="U41" i="1"/>
  <c r="G73" i="1"/>
  <c r="T47" i="1"/>
  <c r="S41" i="1"/>
  <c r="M58" i="1"/>
  <c r="M220" i="1" s="1"/>
  <c r="K61" i="1"/>
  <c r="R39" i="1"/>
  <c r="M41" i="1"/>
  <c r="R49" i="1"/>
  <c r="C47" i="1"/>
  <c r="O58" i="1"/>
  <c r="O220" i="1" s="1"/>
  <c r="M71" i="1"/>
  <c r="BJ159" i="1"/>
  <c r="BJ148" i="1"/>
  <c r="BK148" i="1" s="1"/>
  <c r="O72" i="1"/>
  <c r="C39" i="1"/>
  <c r="V73" i="1"/>
  <c r="O71" i="1"/>
  <c r="K41" i="1"/>
  <c r="N61" i="1"/>
  <c r="M51" i="1"/>
  <c r="M77" i="1"/>
  <c r="G49" i="1"/>
  <c r="T65" i="1"/>
  <c r="V49" i="1"/>
  <c r="S51" i="1"/>
  <c r="B62" i="1"/>
  <c r="B278" i="1" s="1"/>
  <c r="I51" i="1"/>
  <c r="V61" i="1"/>
  <c r="H58" i="1"/>
  <c r="H220" i="1" s="1"/>
  <c r="U71" i="1"/>
  <c r="S61" i="1"/>
  <c r="E61" i="1"/>
  <c r="F48" i="1"/>
  <c r="W143" i="1"/>
  <c r="S62" i="1"/>
  <c r="M61" i="1"/>
  <c r="H48" i="1"/>
  <c r="L50" i="1"/>
  <c r="C65" i="1"/>
  <c r="BJ144" i="1"/>
  <c r="BK144" i="1" s="1"/>
  <c r="BJ158" i="1"/>
  <c r="R61" i="1"/>
  <c r="BJ176" i="1"/>
  <c r="BK176" i="1" s="1"/>
  <c r="L49" i="1"/>
  <c r="B39" i="1"/>
  <c r="S73" i="1"/>
  <c r="M35" i="1"/>
  <c r="E185" i="1"/>
  <c r="P72" i="1"/>
  <c r="G77" i="1"/>
  <c r="P58" i="1"/>
  <c r="P220" i="1" s="1"/>
  <c r="B65" i="1"/>
  <c r="P48" i="1"/>
  <c r="C71" i="1"/>
  <c r="I48" i="1"/>
  <c r="I72" i="1"/>
  <c r="G34" i="1"/>
  <c r="G257" i="1" s="1"/>
  <c r="C49" i="1"/>
  <c r="J34" i="1"/>
  <c r="J257" i="1" s="1"/>
  <c r="B72" i="1"/>
  <c r="Q62" i="1"/>
  <c r="L72" i="1"/>
  <c r="K51" i="1"/>
  <c r="P49" i="1"/>
  <c r="S34" i="1"/>
  <c r="S257" i="1" s="1"/>
  <c r="F58" i="1"/>
  <c r="F220" i="1" s="1"/>
  <c r="E46" i="1"/>
  <c r="B49" i="1"/>
  <c r="D39" i="1"/>
  <c r="L77" i="1"/>
  <c r="F47" i="1"/>
  <c r="N34" i="1"/>
  <c r="N257" i="1" s="1"/>
  <c r="N71" i="1"/>
  <c r="D34" i="1"/>
  <c r="D62" i="1"/>
  <c r="H41" i="1"/>
  <c r="U39" i="1"/>
  <c r="C72" i="1"/>
  <c r="U47" i="1"/>
  <c r="F49" i="1"/>
  <c r="S72" i="1"/>
  <c r="L51" i="1"/>
  <c r="H35" i="1"/>
  <c r="K62" i="1"/>
  <c r="F71" i="1"/>
  <c r="C61" i="1"/>
  <c r="N46" i="1"/>
  <c r="B41" i="1"/>
  <c r="F34" i="1"/>
  <c r="E49" i="1"/>
  <c r="B48" i="1"/>
  <c r="S50" i="1"/>
  <c r="N41" i="1"/>
  <c r="R47" i="1"/>
  <c r="H61" i="1"/>
  <c r="I47" i="1"/>
  <c r="T35" i="1"/>
  <c r="L35" i="1"/>
  <c r="I49" i="1"/>
  <c r="P153" i="1"/>
  <c r="H62" i="1"/>
  <c r="J50" i="1"/>
  <c r="T39" i="1"/>
  <c r="G62" i="1"/>
  <c r="M34" i="1"/>
  <c r="M257" i="1" s="1"/>
  <c r="J71" i="1"/>
  <c r="C50" i="1"/>
  <c r="Q49" i="1"/>
  <c r="L61" i="1"/>
  <c r="K35" i="1"/>
  <c r="N58" i="1"/>
  <c r="N220" i="1" s="1"/>
  <c r="K65" i="1"/>
  <c r="J145" i="1"/>
  <c r="O39" i="1"/>
  <c r="K39" i="1"/>
  <c r="L73" i="1"/>
  <c r="W62" i="1"/>
  <c r="W278" i="1" s="1"/>
  <c r="D77" i="1"/>
  <c r="L65" i="1"/>
  <c r="U73" i="1"/>
  <c r="E72" i="1"/>
  <c r="E41" i="1"/>
  <c r="N72" i="1"/>
  <c r="BJ189" i="1"/>
  <c r="BK189" i="1" s="1"/>
  <c r="S46" i="1"/>
  <c r="J48" i="1"/>
  <c r="S48" i="1"/>
  <c r="G35" i="1"/>
  <c r="H73" i="1"/>
  <c r="J62" i="1"/>
  <c r="T41" i="1"/>
  <c r="N47" i="1"/>
  <c r="V35" i="1"/>
  <c r="V36" i="1" s="1"/>
  <c r="V124" i="1" s="1"/>
  <c r="L41" i="1"/>
  <c r="S58" i="1"/>
  <c r="S220" i="1" s="1"/>
  <c r="V51" i="1"/>
  <c r="U46" i="1"/>
  <c r="W71" i="1"/>
  <c r="E35" i="1"/>
  <c r="G65" i="1"/>
  <c r="BJ186" i="1"/>
  <c r="I50" i="1"/>
  <c r="AL168" i="1"/>
  <c r="AM168" i="1" s="1"/>
  <c r="F46" i="1"/>
  <c r="O35" i="1"/>
  <c r="V65" i="1"/>
  <c r="P186" i="1"/>
  <c r="W77" i="1"/>
  <c r="F61" i="1"/>
  <c r="P61" i="1"/>
  <c r="H34" i="1"/>
  <c r="H257" i="1" s="1"/>
  <c r="O50" i="1"/>
  <c r="J77" i="1"/>
  <c r="U50" i="1"/>
  <c r="M62" i="1"/>
  <c r="I62" i="1"/>
  <c r="W65" i="1"/>
  <c r="I35" i="1"/>
  <c r="K58" i="1"/>
  <c r="K220" i="1" s="1"/>
  <c r="M46" i="1"/>
  <c r="J39" i="1"/>
  <c r="Q50" i="1"/>
  <c r="T48" i="1"/>
  <c r="F72" i="1"/>
  <c r="T72" i="1"/>
  <c r="E47" i="1"/>
  <c r="J51" i="1"/>
  <c r="C35" i="1"/>
  <c r="D58" i="1"/>
  <c r="D220" i="1" s="1"/>
  <c r="T49" i="1"/>
  <c r="B47" i="1"/>
  <c r="W51" i="1"/>
  <c r="R51" i="1"/>
  <c r="U65" i="1"/>
  <c r="S77" i="1"/>
  <c r="G61" i="1"/>
  <c r="E73" i="1"/>
  <c r="L62" i="1"/>
  <c r="N51" i="1"/>
  <c r="P39" i="1"/>
  <c r="U49" i="1"/>
  <c r="H65" i="1"/>
  <c r="D73" i="1"/>
  <c r="I34" i="1"/>
  <c r="I257" i="1" s="1"/>
  <c r="E77" i="1"/>
  <c r="P35" i="1"/>
  <c r="W49" i="1"/>
  <c r="D71" i="1"/>
  <c r="F39" i="1"/>
  <c r="P65" i="1"/>
  <c r="W48" i="1"/>
  <c r="H49" i="1"/>
  <c r="G41" i="1"/>
  <c r="O34" i="1"/>
  <c r="O257" i="1" s="1"/>
  <c r="T46" i="1"/>
  <c r="K48" i="1"/>
  <c r="G39" i="1"/>
  <c r="L34" i="1"/>
  <c r="L257" i="1" s="1"/>
  <c r="M49" i="1"/>
  <c r="P77" i="1"/>
  <c r="D61" i="1"/>
  <c r="B46" i="1"/>
  <c r="V39" i="1"/>
  <c r="J47" i="1"/>
  <c r="Q39" i="1"/>
  <c r="W39" i="1"/>
  <c r="V47" i="1"/>
  <c r="N49" i="1"/>
  <c r="D148" i="1"/>
  <c r="Q58" i="1"/>
  <c r="V71" i="1"/>
  <c r="U72" i="1"/>
  <c r="N50" i="1"/>
  <c r="V62" i="1"/>
  <c r="V278" i="1" s="1"/>
  <c r="C62" i="1"/>
  <c r="K47" i="1"/>
  <c r="P73" i="1"/>
  <c r="K49" i="1"/>
  <c r="E39" i="1"/>
  <c r="Q77" i="1"/>
  <c r="R46" i="1"/>
  <c r="AJ181" i="1"/>
  <c r="AK181" i="1" s="1"/>
  <c r="BJ145" i="1"/>
  <c r="B61" i="1"/>
  <c r="F73" i="1"/>
  <c r="J46" i="1"/>
  <c r="T51" i="1"/>
  <c r="H47" i="1"/>
  <c r="L71" i="1"/>
  <c r="E62" i="1"/>
  <c r="V48" i="1"/>
  <c r="F62" i="1"/>
  <c r="D35" i="1"/>
  <c r="M48" i="1"/>
  <c r="D47" i="1"/>
  <c r="C46" i="1"/>
  <c r="G72" i="1"/>
  <c r="N77" i="1"/>
  <c r="G179" i="1"/>
  <c r="B51" i="1"/>
  <c r="P71" i="1"/>
  <c r="R62" i="1"/>
  <c r="D41" i="1"/>
  <c r="T61" i="1"/>
  <c r="O61" i="1"/>
  <c r="Q73" i="1"/>
  <c r="I77" i="1"/>
  <c r="W47" i="1"/>
  <c r="N62" i="1"/>
  <c r="F77" i="1"/>
  <c r="I41" i="1"/>
  <c r="Q71" i="1"/>
  <c r="H51" i="1"/>
  <c r="C34" i="1"/>
  <c r="C257" i="1" s="1"/>
  <c r="U77" i="1"/>
  <c r="S49" i="1"/>
  <c r="Q72" i="1"/>
  <c r="I71" i="1"/>
  <c r="P179" i="1"/>
  <c r="W58" i="1"/>
  <c r="W279" i="1" s="1"/>
  <c r="P34" i="1"/>
  <c r="O65" i="1"/>
  <c r="O62" i="1"/>
  <c r="W73" i="1"/>
  <c r="J72" i="1"/>
  <c r="H46" i="1"/>
  <c r="L47" i="1"/>
  <c r="S47" i="1"/>
  <c r="Q34" i="1"/>
  <c r="Q257" i="1" s="1"/>
  <c r="M65" i="1"/>
  <c r="Q35" i="1"/>
  <c r="J35" i="1"/>
  <c r="Q51" i="1"/>
  <c r="G189" i="1"/>
  <c r="F35" i="1"/>
  <c r="E51" i="1"/>
  <c r="P181" i="1"/>
  <c r="L46" i="1"/>
  <c r="R34" i="1"/>
  <c r="S35" i="1"/>
  <c r="R71" i="1"/>
  <c r="I73" i="1"/>
  <c r="G47" i="1"/>
  <c r="M73" i="1"/>
  <c r="BJ181" i="1"/>
  <c r="BK181" i="1" s="1"/>
  <c r="BJ171" i="1"/>
  <c r="BX170" i="1"/>
  <c r="JF9" i="4" s="1"/>
  <c r="IK16" i="4" s="1"/>
  <c r="IG9" i="4" s="1"/>
  <c r="BJ51" i="1"/>
  <c r="B71" i="1"/>
  <c r="F41" i="1"/>
  <c r="R72" i="1"/>
  <c r="P47" i="1"/>
  <c r="I61" i="1"/>
  <c r="W35" i="1"/>
  <c r="W36" i="1" s="1"/>
  <c r="W124" i="1" s="1"/>
  <c r="W61" i="1"/>
  <c r="R65" i="1"/>
  <c r="R73" i="1"/>
  <c r="I58" i="1"/>
  <c r="I220" i="1" s="1"/>
  <c r="Q48" i="1"/>
  <c r="C51" i="1"/>
  <c r="U62" i="1"/>
  <c r="U278" i="1" s="1"/>
  <c r="T34" i="1"/>
  <c r="T257" i="1" s="1"/>
  <c r="L58" i="1"/>
  <c r="D50" i="1"/>
  <c r="AJ159" i="1"/>
  <c r="AL62" i="1"/>
  <c r="IV16" i="4" s="1"/>
  <c r="AM41" i="1"/>
  <c r="AJ73" i="1"/>
  <c r="IW9" i="4" s="1"/>
  <c r="AK50" i="1"/>
  <c r="AJ61" i="1"/>
  <c r="BX185" i="1"/>
  <c r="IC16" i="4" s="1"/>
  <c r="IC15" i="4" s="1"/>
  <c r="IS9" i="4" s="1"/>
  <c r="IA8" i="4" s="1"/>
  <c r="HV16" i="4" s="1"/>
  <c r="IR7" i="4" s="1"/>
  <c r="IE9" i="4" s="1"/>
  <c r="BX47" i="1"/>
  <c r="AL51" i="1"/>
  <c r="BX169" i="1"/>
  <c r="BY169" i="1" s="1"/>
  <c r="IP16" i="4" s="1"/>
  <c r="BX190" i="1"/>
  <c r="BY190" i="1" s="1"/>
  <c r="IY15" i="4" s="1"/>
  <c r="BX159" i="1"/>
  <c r="R58" i="1"/>
  <c r="R220" i="1" s="1"/>
  <c r="G48" i="1"/>
  <c r="O48" i="1"/>
  <c r="B73" i="1"/>
  <c r="BX72" i="1"/>
  <c r="BX144" i="1"/>
  <c r="BY144" i="1" s="1"/>
  <c r="IY9" i="4" s="1"/>
  <c r="BJ47" i="1"/>
  <c r="JA16" i="4" s="1"/>
  <c r="BX176" i="1"/>
  <c r="BY176" i="1" s="1"/>
  <c r="D46" i="1"/>
  <c r="V58" i="1"/>
  <c r="M50" i="1"/>
  <c r="S65" i="1"/>
  <c r="U48" i="1"/>
  <c r="F65" i="1"/>
  <c r="I65" i="1"/>
  <c r="W46" i="1"/>
  <c r="B58" i="1"/>
  <c r="K34" i="1"/>
  <c r="Q47" i="1"/>
  <c r="U61" i="1"/>
  <c r="S71" i="1"/>
  <c r="O73" i="1"/>
  <c r="BX186" i="1"/>
  <c r="II9" i="4" s="1"/>
  <c r="IQ9" i="4" s="1"/>
  <c r="IR9" i="4" s="1"/>
  <c r="IY16" i="4" s="1"/>
  <c r="JC9" i="4" s="1"/>
  <c r="AM48" i="1"/>
  <c r="BX50" i="1"/>
  <c r="IT16" i="4" s="1"/>
  <c r="BJ41" i="1"/>
  <c r="BX157" i="1"/>
  <c r="K73" i="1"/>
  <c r="D51" i="1"/>
  <c r="Q179" i="1"/>
  <c r="H71" i="1"/>
  <c r="P62" i="1"/>
  <c r="E65" i="1"/>
  <c r="K50" i="1"/>
  <c r="K72" i="1"/>
  <c r="M47" i="1"/>
  <c r="B77" i="1"/>
  <c r="I46" i="1"/>
  <c r="K77" i="1"/>
  <c r="G58" i="1"/>
  <c r="O77" i="1"/>
  <c r="D48" i="1"/>
  <c r="O46" i="1"/>
  <c r="U58" i="1"/>
  <c r="U279" i="1" s="1"/>
  <c r="Q41" i="1"/>
  <c r="AJ170" i="1"/>
  <c r="AL175" i="1"/>
  <c r="AM175" i="1" s="1"/>
  <c r="BX71" i="1"/>
  <c r="JD9" i="4" s="1"/>
  <c r="IO7" i="4" s="1"/>
  <c r="IX16" i="4" s="1"/>
  <c r="BX51" i="1"/>
  <c r="HX16" i="4" s="1"/>
  <c r="AM62" i="1"/>
  <c r="HR16" i="4" s="1"/>
  <c r="IB7" i="4" s="1"/>
  <c r="JE16" i="4" s="1"/>
  <c r="IZ9" i="4" s="1"/>
  <c r="AM49" i="1"/>
  <c r="BX40" i="1"/>
  <c r="AM58" i="1"/>
  <c r="AM220" i="1" s="1"/>
  <c r="AK65" i="1"/>
  <c r="BJ39" i="1"/>
  <c r="HU9" i="4" s="1"/>
  <c r="AJ62" i="1"/>
  <c r="IX14" i="4" s="1"/>
  <c r="AL72" i="1"/>
  <c r="AM51" i="1"/>
  <c r="IK9" i="4" s="1"/>
  <c r="IP9" i="4" s="1"/>
  <c r="BY99" i="1"/>
  <c r="BX41" i="1"/>
  <c r="IL16" i="4" s="1"/>
  <c r="IE16" i="4" s="1"/>
  <c r="BJ49" i="1"/>
  <c r="II16" i="4" s="1"/>
  <c r="AJ72" i="1"/>
  <c r="IG7" i="4" s="1"/>
  <c r="AM40" i="1"/>
  <c r="AL73" i="1"/>
  <c r="JB9" i="4" s="1"/>
  <c r="AL41" i="1"/>
  <c r="AL40" i="1"/>
  <c r="BX148" i="1"/>
  <c r="BY148" i="1" s="1"/>
  <c r="HY15" i="4" s="1"/>
  <c r="AJ40" i="1"/>
  <c r="HT16" i="4" s="1"/>
  <c r="BX189" i="1"/>
  <c r="BY189" i="1" s="1"/>
  <c r="AJ49" i="1"/>
  <c r="JH16" i="4" s="1"/>
  <c r="AJ58" i="1"/>
  <c r="AJ39" i="1"/>
  <c r="BX145" i="1"/>
  <c r="BY145" i="1" s="1"/>
  <c r="AK41" i="1"/>
  <c r="JA9" i="4" s="1"/>
  <c r="BX58" i="1"/>
  <c r="IX9" i="4" s="1"/>
  <c r="IC9" i="4" s="1"/>
  <c r="ID9" i="4" s="1"/>
  <c r="AJ41" i="1"/>
  <c r="AL34" i="1"/>
  <c r="BX158" i="1"/>
  <c r="BX62" i="1"/>
  <c r="IH7" i="4" s="1"/>
  <c r="AJ51" i="1"/>
  <c r="BX77" i="1"/>
  <c r="BX161" i="1"/>
  <c r="BY161" i="1" s="1"/>
  <c r="AK48" i="1"/>
  <c r="BX163" i="1"/>
  <c r="BY163" i="1" s="1"/>
  <c r="AL39" i="1"/>
  <c r="BJ46" i="1"/>
  <c r="AL46" i="1"/>
  <c r="HP8" i="4" s="1"/>
  <c r="BX153" i="1"/>
  <c r="BY153" i="1" s="1"/>
  <c r="IB15" i="4" s="1"/>
  <c r="AL77" i="1"/>
  <c r="AJ77" i="1"/>
  <c r="JE15" i="4" s="1"/>
  <c r="AK51" i="1"/>
  <c r="AJ34" i="1"/>
  <c r="AJ257" i="1" s="1"/>
  <c r="JB16" i="4" s="1"/>
  <c r="BX65" i="1"/>
  <c r="AJ46" i="1"/>
  <c r="AJ48" i="1"/>
  <c r="BX172" i="1"/>
  <c r="BY172" i="1" s="1"/>
  <c r="BX73" i="1"/>
  <c r="AJ71" i="1"/>
  <c r="BX143" i="1"/>
  <c r="BY143" i="1" s="1"/>
  <c r="HX9" i="4" s="1"/>
  <c r="BX177" i="1"/>
  <c r="BY177" i="1" s="1"/>
  <c r="AL48" i="1"/>
  <c r="BL100" i="1"/>
  <c r="IF15" i="4" s="1"/>
  <c r="JC15" i="4" s="1"/>
  <c r="JE9" i="4" s="1"/>
  <c r="HQ9" i="4" s="1"/>
  <c r="IS7" i="4" s="1"/>
  <c r="AK77" i="1"/>
  <c r="HU16" i="4" s="1"/>
  <c r="BJ40" i="1"/>
  <c r="IB16" i="4" s="1"/>
  <c r="AM50" i="1"/>
  <c r="AL71" i="1"/>
  <c r="AK49" i="1"/>
  <c r="BX100" i="1"/>
  <c r="AK58" i="1"/>
  <c r="AK220" i="1" s="1"/>
  <c r="BX173" i="1"/>
  <c r="BY173" i="1" s="1"/>
  <c r="AK46" i="1"/>
  <c r="BX151" i="1"/>
  <c r="BY151" i="1" s="1"/>
  <c r="HV9" i="4" s="1"/>
  <c r="IU9" i="4" s="1"/>
  <c r="AJ50" i="1"/>
  <c r="HW16" i="4" s="1"/>
  <c r="IL7" i="4" s="1"/>
  <c r="AL58" i="1"/>
  <c r="AL220" i="1" s="1"/>
  <c r="BX180" i="1"/>
  <c r="BY180" i="1" s="1"/>
  <c r="AK71" i="1"/>
  <c r="BX46" i="1"/>
  <c r="IL9" i="4" s="1"/>
  <c r="IH16" i="4" s="1"/>
  <c r="BX39" i="1"/>
  <c r="IP15" i="4" s="1"/>
  <c r="HR9" i="4" s="1"/>
  <c r="BX34" i="1"/>
  <c r="AL65" i="1"/>
  <c r="BX152" i="1"/>
  <c r="BY152" i="1" s="1"/>
  <c r="HP16" i="4" s="1"/>
  <c r="BJ34" i="1"/>
  <c r="BJ257" i="1" s="1"/>
  <c r="AK34" i="1"/>
  <c r="AK257" i="1" s="1"/>
  <c r="BX181" i="1"/>
  <c r="BY181" i="1" s="1"/>
  <c r="HV14" i="4" s="1"/>
  <c r="AK47" i="1"/>
  <c r="BX150" i="1"/>
  <c r="BY150" i="1" s="1"/>
  <c r="IY14" i="4" s="1"/>
  <c r="IF16" i="4" s="1"/>
  <c r="BX61" i="1"/>
  <c r="BX99" i="1"/>
  <c r="HZ8" i="4" s="1"/>
  <c r="AK72" i="1"/>
  <c r="IJ7" i="4" s="1"/>
  <c r="BX179" i="1"/>
  <c r="JG15" i="4" s="1"/>
  <c r="AL47" i="1"/>
  <c r="HT7" i="4" s="1"/>
  <c r="AJ47" i="1"/>
  <c r="IB9" i="4" s="1"/>
  <c r="JD8" i="4" s="1"/>
  <c r="AL49" i="1"/>
  <c r="JE7" i="4" s="1"/>
  <c r="HY16" i="4" s="1"/>
  <c r="IG8" i="4" s="1"/>
  <c r="AK73" i="1"/>
  <c r="HZ9" i="4" s="1"/>
  <c r="AL50" i="1"/>
  <c r="AJ35" i="1"/>
  <c r="AK35" i="1"/>
  <c r="AM61" i="1"/>
  <c r="JG16" i="4" s="1"/>
  <c r="AK61" i="1"/>
  <c r="HT9" i="4" s="1"/>
  <c r="ID16" i="4" s="1"/>
  <c r="BX178" i="1"/>
  <c r="BY178" i="1" s="1"/>
  <c r="AL61" i="1"/>
  <c r="BX175" i="1"/>
  <c r="BY175" i="1" s="1"/>
  <c r="AM65" i="1"/>
  <c r="AK39" i="1"/>
  <c r="HP9" i="4" s="1"/>
  <c r="AK62" i="1"/>
  <c r="BX49" i="1"/>
  <c r="JC8" i="4" s="1"/>
  <c r="AM35" i="1"/>
  <c r="JF16" i="4" s="1"/>
  <c r="AJ65" i="1"/>
  <c r="BJ50" i="1"/>
  <c r="BX168" i="1"/>
  <c r="BY168" i="1" s="1"/>
  <c r="BX35" i="1"/>
  <c r="BX48" i="1"/>
  <c r="IL15" i="4" s="1"/>
  <c r="AM34" i="1"/>
  <c r="AM257" i="1" s="1"/>
  <c r="AM47" i="1"/>
  <c r="AM39" i="1"/>
  <c r="IT14" i="4" s="1"/>
  <c r="IJ16" i="4" s="1"/>
  <c r="AK40" i="1"/>
  <c r="IV7" i="4" s="1"/>
  <c r="IK7" i="4" s="1"/>
  <c r="AL35" i="1"/>
  <c r="IK8" i="4" s="1"/>
  <c r="BX166" i="1"/>
  <c r="BY166" i="1" s="1"/>
  <c r="BZ228" i="1" s="1"/>
  <c r="IT9" i="4" s="1"/>
  <c r="BX171" i="1"/>
  <c r="AM46" i="1"/>
  <c r="AK36" i="1"/>
  <c r="IC14" i="4"/>
  <c r="IK15" i="4"/>
  <c r="IN8" i="4"/>
  <c r="IZ8" i="4"/>
  <c r="IJ8" i="4"/>
  <c r="IV15" i="4"/>
  <c r="CL229" i="1"/>
  <c r="CL227" i="1" s="1"/>
  <c r="CM58" i="1"/>
  <c r="CQ103" i="1"/>
  <c r="CN91" i="1"/>
  <c r="AA91" i="1" s="1"/>
  <c r="CO89" i="1"/>
  <c r="B36" i="1" l="1"/>
  <c r="F278" i="1"/>
  <c r="Z95" i="1"/>
  <c r="Z94" i="1"/>
  <c r="Z129" i="1"/>
  <c r="Z128" i="1"/>
  <c r="Z130" i="1"/>
  <c r="Z120" i="1"/>
  <c r="Z121" i="1"/>
  <c r="Z122" i="1"/>
  <c r="BJ163" i="1"/>
  <c r="BK163" i="1" s="1"/>
  <c r="BJ185" i="1"/>
  <c r="BJ187" i="1" s="1"/>
  <c r="BK235" i="1" s="1"/>
  <c r="BJ173" i="1"/>
  <c r="BK173" i="1" s="1"/>
  <c r="BJ143" i="1"/>
  <c r="BJ178" i="1"/>
  <c r="BK178" i="1" s="1"/>
  <c r="BJ168" i="1"/>
  <c r="BK168" i="1" s="1"/>
  <c r="BJ172" i="1"/>
  <c r="BK172" i="1" s="1"/>
  <c r="BJ170" i="1"/>
  <c r="BJ177" i="1"/>
  <c r="BK177" i="1" s="1"/>
  <c r="BJ179" i="1"/>
  <c r="AL166" i="1"/>
  <c r="AM166" i="1" s="1"/>
  <c r="AM228" i="1" s="1"/>
  <c r="AJ176" i="1"/>
  <c r="AK176" i="1" s="1"/>
  <c r="AJ166" i="1"/>
  <c r="AK166" i="1" s="1"/>
  <c r="AL185" i="1"/>
  <c r="AJ163" i="1"/>
  <c r="AK163" i="1" s="1"/>
  <c r="AJ150" i="1"/>
  <c r="AK150" i="1" s="1"/>
  <c r="BJ153" i="1"/>
  <c r="BK153" i="1" s="1"/>
  <c r="AL181" i="1"/>
  <c r="AM181" i="1" s="1"/>
  <c r="P36" i="1"/>
  <c r="P124" i="1" s="1"/>
  <c r="AL144" i="1"/>
  <c r="AM144" i="1" s="1"/>
  <c r="AJ178" i="1"/>
  <c r="AK178" i="1" s="1"/>
  <c r="B279" i="1"/>
  <c r="AL152" i="1"/>
  <c r="AM152" i="1" s="1"/>
  <c r="AJ189" i="1"/>
  <c r="AK189" i="1" s="1"/>
  <c r="JB21" i="4"/>
  <c r="BV103" i="1" s="1"/>
  <c r="IQ8" i="4" s="1"/>
  <c r="Q278" i="1"/>
  <c r="F279" i="1"/>
  <c r="R52" i="1"/>
  <c r="R278" i="1"/>
  <c r="Q209" i="1"/>
  <c r="P278" i="1"/>
  <c r="HU21" i="4"/>
  <c r="AO103" i="1" s="1"/>
  <c r="IF7" i="4" s="1"/>
  <c r="W220" i="1"/>
  <c r="C279" i="1"/>
  <c r="P209" i="1"/>
  <c r="P257" i="1"/>
  <c r="U220" i="1"/>
  <c r="BK143" i="1"/>
  <c r="BK175" i="1"/>
  <c r="BK169" i="1"/>
  <c r="AL228" i="1"/>
  <c r="AK228" i="1"/>
  <c r="J52" i="1"/>
  <c r="AJ185" i="1"/>
  <c r="AL150" i="1"/>
  <c r="AM150" i="1" s="1"/>
  <c r="AL161" i="1"/>
  <c r="AM161" i="1" s="1"/>
  <c r="AJ179" i="1"/>
  <c r="AL153" i="1"/>
  <c r="AM153" i="1" s="1"/>
  <c r="D36" i="1"/>
  <c r="D42" i="1" s="1"/>
  <c r="AJ153" i="1"/>
  <c r="AK153" i="1" s="1"/>
  <c r="HW9" i="4" s="1"/>
  <c r="JG9" i="4" s="1"/>
  <c r="JG21" i="4" s="1"/>
  <c r="CA103" i="1" s="1"/>
  <c r="CA120" i="1" s="1"/>
  <c r="B52" i="1"/>
  <c r="AL179" i="1"/>
  <c r="IJ9" i="4" s="1"/>
  <c r="AJ143" i="1"/>
  <c r="AK143" i="1" s="1"/>
  <c r="C52" i="1"/>
  <c r="AL173" i="1"/>
  <c r="AM173" i="1" s="1"/>
  <c r="AJ152" i="1"/>
  <c r="AK152" i="1" s="1"/>
  <c r="AJ171" i="1"/>
  <c r="AJ161" i="1"/>
  <c r="AK161" i="1" s="1"/>
  <c r="JI15" i="4" s="1"/>
  <c r="F52" i="1"/>
  <c r="AL172" i="1"/>
  <c r="AM172" i="1" s="1"/>
  <c r="AL145" i="1"/>
  <c r="U52" i="1"/>
  <c r="N52" i="1"/>
  <c r="AJ158" i="1"/>
  <c r="IM9" i="4" s="1"/>
  <c r="AJ148" i="1"/>
  <c r="AK148" i="1" s="1"/>
  <c r="AJ177" i="1"/>
  <c r="AK177" i="1" s="1"/>
  <c r="AJ151" i="1"/>
  <c r="AK151" i="1" s="1"/>
  <c r="AL170" i="1"/>
  <c r="AL177" i="1"/>
  <c r="AM177" i="1" s="1"/>
  <c r="IO9" i="4" s="1"/>
  <c r="I52" i="1"/>
  <c r="AL190" i="1"/>
  <c r="AM190" i="1" s="1"/>
  <c r="AJ186" i="1"/>
  <c r="M52" i="1"/>
  <c r="T52" i="1"/>
  <c r="AL178" i="1"/>
  <c r="AM178" i="1" s="1"/>
  <c r="AJ168" i="1"/>
  <c r="AK168" i="1" s="1"/>
  <c r="ID7" i="4" s="1"/>
  <c r="IH9" i="4" s="1"/>
  <c r="IH21" i="4" s="1"/>
  <c r="BB103" i="1" s="1"/>
  <c r="V52" i="1"/>
  <c r="V53" i="1" s="1"/>
  <c r="AJ175" i="1"/>
  <c r="AK175" i="1" s="1"/>
  <c r="AJ173" i="1"/>
  <c r="AK173" i="1" s="1"/>
  <c r="O278" i="1"/>
  <c r="H52" i="1"/>
  <c r="L52" i="1"/>
  <c r="S52" i="1"/>
  <c r="S36" i="1"/>
  <c r="AJ157" i="1"/>
  <c r="HQ15" i="4" s="1"/>
  <c r="IG16" i="4" s="1"/>
  <c r="IG21" i="4" s="1"/>
  <c r="BA103" i="1" s="1"/>
  <c r="AL157" i="1"/>
  <c r="AL159" i="1"/>
  <c r="AJ180" i="1"/>
  <c r="AK180" i="1" s="1"/>
  <c r="HW7" i="4" s="1"/>
  <c r="IS16" i="4" s="1"/>
  <c r="HQ16" i="4" s="1"/>
  <c r="IN16" i="4" s="1"/>
  <c r="AL189" i="1"/>
  <c r="AM189" i="1" s="1"/>
  <c r="AJ144" i="1"/>
  <c r="AK144" i="1" s="1"/>
  <c r="AL148" i="1"/>
  <c r="AM148" i="1" s="1"/>
  <c r="AL171" i="1"/>
  <c r="JI16" i="4" s="1"/>
  <c r="JI9" i="4" s="1"/>
  <c r="IA9" i="4" s="1"/>
  <c r="JC16" i="4" s="1"/>
  <c r="AL151" i="1"/>
  <c r="AM151" i="1" s="1"/>
  <c r="D52" i="1"/>
  <c r="O52" i="1"/>
  <c r="AL100" i="1"/>
  <c r="AJ145" i="1"/>
  <c r="AJ172" i="1"/>
  <c r="AK172" i="1" s="1"/>
  <c r="AL180" i="1"/>
  <c r="AM180" i="1" s="1"/>
  <c r="HY9" i="4" s="1"/>
  <c r="JH9" i="4" s="1"/>
  <c r="IX21" i="4"/>
  <c r="BR103" i="1" s="1"/>
  <c r="IQ15" i="4" s="1"/>
  <c r="JD16" i="4" s="1"/>
  <c r="AL158" i="1"/>
  <c r="AL186" i="1"/>
  <c r="AL169" i="1"/>
  <c r="AM169" i="1" s="1"/>
  <c r="AJ169" i="1"/>
  <c r="AK169" i="1" s="1"/>
  <c r="AL176" i="1"/>
  <c r="AM176" i="1" s="1"/>
  <c r="AL99" i="1"/>
  <c r="IO16" i="4" s="1"/>
  <c r="II14" i="4" s="1"/>
  <c r="IR8" i="4" s="1"/>
  <c r="JE8" i="4" s="1"/>
  <c r="JE20" i="4" s="1"/>
  <c r="BY105" i="1" s="1"/>
  <c r="BY134" i="1" s="1"/>
  <c r="IU16" i="4" s="1"/>
  <c r="HS9" i="4" s="1"/>
  <c r="AJ190" i="1"/>
  <c r="IE21" i="4"/>
  <c r="AY103" i="1" s="1"/>
  <c r="IQ16" i="4" s="1"/>
  <c r="IW16" i="4" s="1"/>
  <c r="IP7" i="4" s="1"/>
  <c r="IR16" i="4" s="1"/>
  <c r="HZ16" i="4" s="1"/>
  <c r="JA21" i="4"/>
  <c r="BU103" i="1" s="1"/>
  <c r="HQ7" i="4" s="1"/>
  <c r="G36" i="1"/>
  <c r="P279" i="1"/>
  <c r="M278" i="1"/>
  <c r="N36" i="1"/>
  <c r="W52" i="1"/>
  <c r="W53" i="1" s="1"/>
  <c r="H36" i="1"/>
  <c r="H42" i="1" s="1"/>
  <c r="H43" i="1" s="1"/>
  <c r="J36" i="1"/>
  <c r="J124" i="1" s="1"/>
  <c r="C278" i="1"/>
  <c r="G209" i="1"/>
  <c r="Q52" i="1"/>
  <c r="G52" i="1"/>
  <c r="P52" i="1"/>
  <c r="IY21" i="4"/>
  <c r="BS103" i="1" s="1"/>
  <c r="G278" i="1"/>
  <c r="L36" i="1"/>
  <c r="L42" i="1" s="1"/>
  <c r="B42" i="1"/>
  <c r="B43" i="1" s="1"/>
  <c r="M36" i="1"/>
  <c r="BX160" i="1"/>
  <c r="BY160" i="1" s="1"/>
  <c r="W42" i="1"/>
  <c r="X44" i="1" s="1"/>
  <c r="T279" i="1"/>
  <c r="S279" i="1"/>
  <c r="T36" i="1"/>
  <c r="S278" i="1"/>
  <c r="L220" i="1"/>
  <c r="I278" i="1"/>
  <c r="I36" i="1"/>
  <c r="T278" i="1"/>
  <c r="X214" i="1"/>
  <c r="K279" i="1"/>
  <c r="AJ228" i="1"/>
  <c r="AL163" i="1"/>
  <c r="AM163" i="1" s="1"/>
  <c r="AL143" i="1"/>
  <c r="AM143" i="1" s="1"/>
  <c r="BY154" i="1"/>
  <c r="AM52" i="1"/>
  <c r="BX187" i="1"/>
  <c r="BY235" i="1" s="1"/>
  <c r="AL205" i="1"/>
  <c r="AM205" i="1" s="1"/>
  <c r="BK154" i="1"/>
  <c r="BY146" i="1"/>
  <c r="BY118" i="1" s="1"/>
  <c r="BJ160" i="1"/>
  <c r="BJ164" i="1" s="1"/>
  <c r="BY228" i="1"/>
  <c r="BJ174" i="1"/>
  <c r="H278" i="1"/>
  <c r="IU14" i="4"/>
  <c r="HU15" i="4"/>
  <c r="AL278" i="1"/>
  <c r="E52" i="1"/>
  <c r="JA7" i="4"/>
  <c r="J278" i="1"/>
  <c r="HW21" i="4"/>
  <c r="AQ103" i="1" s="1"/>
  <c r="JH15" i="4"/>
  <c r="D53" i="1"/>
  <c r="JD14" i="4"/>
  <c r="IS15" i="4"/>
  <c r="BJ146" i="1"/>
  <c r="BJ118" i="1" s="1"/>
  <c r="D257" i="1"/>
  <c r="O36" i="1"/>
  <c r="O124" i="1" s="1"/>
  <c r="JF21" i="4"/>
  <c r="BZ103" i="1" s="1"/>
  <c r="BZ120" i="1" s="1"/>
  <c r="JB14" i="4"/>
  <c r="II21" i="4"/>
  <c r="BC103" i="1" s="1"/>
  <c r="H279" i="1"/>
  <c r="Q36" i="1"/>
  <c r="IW14" i="4"/>
  <c r="IT8" i="4"/>
  <c r="HT8" i="4"/>
  <c r="IZ15" i="4"/>
  <c r="W37" i="1"/>
  <c r="I279" i="1"/>
  <c r="JB15" i="4"/>
  <c r="M279" i="1"/>
  <c r="O279" i="1"/>
  <c r="HZ7" i="4"/>
  <c r="D278" i="1"/>
  <c r="IF8" i="4"/>
  <c r="HR8" i="4"/>
  <c r="D279" i="1"/>
  <c r="JI7" i="4"/>
  <c r="AL174" i="1"/>
  <c r="BY164" i="1"/>
  <c r="BZ229" i="1" s="1"/>
  <c r="BZ227" i="1" s="1"/>
  <c r="BX36" i="1"/>
  <c r="HY21" i="4"/>
  <c r="AS103" i="1" s="1"/>
  <c r="BJ154" i="1"/>
  <c r="BJ155" i="1" s="1"/>
  <c r="IO15" i="4"/>
  <c r="IU21" i="4"/>
  <c r="BO103" i="1" s="1"/>
  <c r="IG15" i="4"/>
  <c r="AL154" i="1"/>
  <c r="IL21" i="4"/>
  <c r="BF103" i="1" s="1"/>
  <c r="IJ14" i="4"/>
  <c r="IJ19" i="4" s="1"/>
  <c r="BD104" i="1" s="1"/>
  <c r="BD133" i="1" s="1"/>
  <c r="W214" i="1"/>
  <c r="BX154" i="1"/>
  <c r="BX209" i="1"/>
  <c r="BY209" i="1" s="1"/>
  <c r="IH15" i="4"/>
  <c r="V37" i="1"/>
  <c r="HZ15" i="4"/>
  <c r="HZ20" i="4" s="1"/>
  <c r="AT105" i="1" s="1"/>
  <c r="AT134" i="1" s="1"/>
  <c r="BX278" i="1"/>
  <c r="IA14" i="4"/>
  <c r="JC20" i="4"/>
  <c r="BW105" i="1" s="1"/>
  <c r="BW134" i="1" s="1"/>
  <c r="JD7" i="4"/>
  <c r="JF14" i="4"/>
  <c r="V42" i="1"/>
  <c r="V43" i="1" s="1"/>
  <c r="JG7" i="4"/>
  <c r="IL14" i="4"/>
  <c r="IL19" i="4" s="1"/>
  <c r="BF104" i="1" s="1"/>
  <c r="BF133" i="1" s="1"/>
  <c r="U42" i="1"/>
  <c r="U43" i="1" s="1"/>
  <c r="IT15" i="4"/>
  <c r="AK42" i="1"/>
  <c r="AJ52" i="1"/>
  <c r="BX182" i="1"/>
  <c r="BX211" i="1" s="1"/>
  <c r="BX52" i="1"/>
  <c r="ID21" i="4"/>
  <c r="AX103" i="1" s="1"/>
  <c r="IV14" i="4"/>
  <c r="IV19" i="4" s="1"/>
  <c r="BP104" i="1" s="1"/>
  <c r="BP133" i="1" s="1"/>
  <c r="AK52" i="1"/>
  <c r="AK53" i="1" s="1"/>
  <c r="HP15" i="4"/>
  <c r="HP20" i="4" s="1"/>
  <c r="AJ105" i="1" s="1"/>
  <c r="AL52" i="1"/>
  <c r="IK14" i="4"/>
  <c r="HY8" i="4"/>
  <c r="HY20" i="4" s="1"/>
  <c r="AS105" i="1" s="1"/>
  <c r="AS134" i="1" s="1"/>
  <c r="IS8" i="4"/>
  <c r="IE14" i="4"/>
  <c r="JC14" i="4"/>
  <c r="BK228" i="1"/>
  <c r="V214" i="1"/>
  <c r="AM279" i="1"/>
  <c r="IK19" i="4"/>
  <c r="BE104" i="1" s="1"/>
  <c r="BE133" i="1" s="1"/>
  <c r="IK20" i="4"/>
  <c r="BE105" i="1" s="1"/>
  <c r="BE134" i="1" s="1"/>
  <c r="AM124" i="1"/>
  <c r="AM125" i="1" s="1"/>
  <c r="AJ205" i="1"/>
  <c r="BX206" i="1"/>
  <c r="BY206" i="1" s="1"/>
  <c r="HP7" i="4"/>
  <c r="HP21" i="4"/>
  <c r="AJ103" i="1" s="1"/>
  <c r="AJ220" i="1"/>
  <c r="AJ59" i="1"/>
  <c r="HT21" i="4"/>
  <c r="AN103" i="1" s="1"/>
  <c r="IQ7" i="4"/>
  <c r="IN15" i="4"/>
  <c r="IN20" i="4" s="1"/>
  <c r="BH105" i="1" s="1"/>
  <c r="BH134" i="1" s="1"/>
  <c r="ID15" i="4"/>
  <c r="IR14" i="4"/>
  <c r="IR19" i="4" s="1"/>
  <c r="BL104" i="1" s="1"/>
  <c r="BL133" i="1" s="1"/>
  <c r="BL136" i="1" s="1"/>
  <c r="Q220" i="1"/>
  <c r="Q279" i="1"/>
  <c r="IX8" i="4"/>
  <c r="E257" i="1"/>
  <c r="E36" i="1"/>
  <c r="AL257" i="1"/>
  <c r="JA8" i="4"/>
  <c r="IW15" i="4"/>
  <c r="IR15" i="4"/>
  <c r="IR20" i="4" s="1"/>
  <c r="BL105" i="1" s="1"/>
  <c r="R257" i="1"/>
  <c r="R36" i="1"/>
  <c r="ID8" i="4"/>
  <c r="HW15" i="4"/>
  <c r="IP21" i="4"/>
  <c r="BJ103" i="1" s="1"/>
  <c r="ID14" i="4"/>
  <c r="ID19" i="4" s="1"/>
  <c r="AX104" i="1" s="1"/>
  <c r="AX133" i="1" s="1"/>
  <c r="IY7" i="4"/>
  <c r="IY19" i="4" s="1"/>
  <c r="BS104" i="1" s="1"/>
  <c r="BS133" i="1" s="1"/>
  <c r="AJ36" i="1"/>
  <c r="AJ42" i="1" s="1"/>
  <c r="AJ43" i="1" s="1"/>
  <c r="AL36" i="1"/>
  <c r="AL42" i="1" s="1"/>
  <c r="AL43" i="1" s="1"/>
  <c r="JA14" i="4"/>
  <c r="IN7" i="4"/>
  <c r="CA124" i="1"/>
  <c r="CA125" i="1" s="1"/>
  <c r="BX257" i="1"/>
  <c r="IB21" i="4"/>
  <c r="AV103" i="1" s="1"/>
  <c r="IV8" i="4"/>
  <c r="IV20" i="4" s="1"/>
  <c r="BP105" i="1" s="1"/>
  <c r="BP134" i="1" s="1"/>
  <c r="HS7" i="4"/>
  <c r="JF8" i="4"/>
  <c r="IH8" i="4"/>
  <c r="G220" i="1"/>
  <c r="G279" i="1"/>
  <c r="BX205" i="1"/>
  <c r="BY205" i="1" s="1"/>
  <c r="JG8" i="4"/>
  <c r="JG20" i="4" s="1"/>
  <c r="CA105" i="1" s="1"/>
  <c r="BJ206" i="1"/>
  <c r="BK206" i="1" s="1"/>
  <c r="F257" i="1"/>
  <c r="F36" i="1"/>
  <c r="IZ14" i="4"/>
  <c r="IQ14" i="4"/>
  <c r="HR7" i="4"/>
  <c r="IH14" i="4"/>
  <c r="IH19" i="4" s="1"/>
  <c r="BB104" i="1" s="1"/>
  <c r="BB133" i="1" s="1"/>
  <c r="V220" i="1"/>
  <c r="V279" i="1"/>
  <c r="JH8" i="4"/>
  <c r="HU8" i="4"/>
  <c r="IK21" i="4"/>
  <c r="BE103" i="1" s="1"/>
  <c r="IX15" i="4"/>
  <c r="AL279" i="1"/>
  <c r="II15" i="4"/>
  <c r="JB8" i="4"/>
  <c r="IE15" i="4"/>
  <c r="IM8" i="4"/>
  <c r="IP14" i="4"/>
  <c r="IY8" i="4"/>
  <c r="IY20" i="4" s="1"/>
  <c r="BS105" i="1" s="1"/>
  <c r="BS134" i="1" s="1"/>
  <c r="JI14" i="4"/>
  <c r="BX146" i="1"/>
  <c r="BX118" i="1" s="1"/>
  <c r="IW7" i="4"/>
  <c r="HV8" i="4"/>
  <c r="IB8" i="4"/>
  <c r="IB20" i="4" s="1"/>
  <c r="AV105" i="1" s="1"/>
  <c r="AV134" i="1" s="1"/>
  <c r="IX7" i="4"/>
  <c r="IX19" i="4" s="1"/>
  <c r="BR104" i="1" s="1"/>
  <c r="BR133" i="1" s="1"/>
  <c r="JE14" i="4"/>
  <c r="JE19" i="4" s="1"/>
  <c r="BY104" i="1" s="1"/>
  <c r="BY133" i="1" s="1"/>
  <c r="J220" i="1"/>
  <c r="J279" i="1"/>
  <c r="JD15" i="4"/>
  <c r="JD20" i="4" s="1"/>
  <c r="BX105" i="1" s="1"/>
  <c r="BX134" i="1" s="1"/>
  <c r="IO8" i="4"/>
  <c r="JF15" i="4"/>
  <c r="HP14" i="4"/>
  <c r="IM14" i="4"/>
  <c r="IU7" i="4"/>
  <c r="HR15" i="4"/>
  <c r="IT21" i="4"/>
  <c r="BN103" i="1" s="1"/>
  <c r="HU14" i="4"/>
  <c r="HS15" i="4"/>
  <c r="IT7" i="4"/>
  <c r="IT19" i="4" s="1"/>
  <c r="BN104" i="1" s="1"/>
  <c r="BN133" i="1" s="1"/>
  <c r="BJ205" i="1"/>
  <c r="BK205" i="1" s="1"/>
  <c r="AM36" i="1"/>
  <c r="AM42" i="1" s="1"/>
  <c r="N279" i="1"/>
  <c r="X37" i="1"/>
  <c r="CM130" i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DC130" i="1" s="1"/>
  <c r="DD130" i="1" s="1"/>
  <c r="CM129" i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DC129" i="1" s="1"/>
  <c r="DD129" i="1" s="1"/>
  <c r="IG14" i="4"/>
  <c r="IG19" i="4" s="1"/>
  <c r="BA104" i="1" s="1"/>
  <c r="BA133" i="1" s="1"/>
  <c r="HV15" i="4"/>
  <c r="HQ14" i="4"/>
  <c r="IS14" i="4"/>
  <c r="IS19" i="4" s="1"/>
  <c r="BM104" i="1" s="1"/>
  <c r="BM133" i="1" s="1"/>
  <c r="HV7" i="4"/>
  <c r="HV19" i="4" s="1"/>
  <c r="AP104" i="1" s="1"/>
  <c r="AP133" i="1" s="1"/>
  <c r="HQ8" i="4"/>
  <c r="HR21" i="4"/>
  <c r="AL103" i="1" s="1"/>
  <c r="HX21" i="4"/>
  <c r="AR103" i="1" s="1"/>
  <c r="K257" i="1"/>
  <c r="K36" i="1"/>
  <c r="IC21" i="4"/>
  <c r="AW103" i="1" s="1"/>
  <c r="IJ15" i="4"/>
  <c r="IJ20" i="4" s="1"/>
  <c r="BD105" i="1" s="1"/>
  <c r="BD134" i="1" s="1"/>
  <c r="K278" i="1"/>
  <c r="BX174" i="1"/>
  <c r="BX208" i="1" s="1"/>
  <c r="R279" i="1"/>
  <c r="AM278" i="1"/>
  <c r="N278" i="1"/>
  <c r="C36" i="1"/>
  <c r="C42" i="1" s="1"/>
  <c r="JH7" i="4"/>
  <c r="IF14" i="4"/>
  <c r="HT14" i="4"/>
  <c r="HT19" i="4" s="1"/>
  <c r="AN104" i="1" s="1"/>
  <c r="AN133" i="1" s="1"/>
  <c r="HZ14" i="4"/>
  <c r="IW8" i="4"/>
  <c r="BX220" i="1"/>
  <c r="BX279" i="1"/>
  <c r="IN14" i="4"/>
  <c r="JF7" i="4"/>
  <c r="K52" i="1"/>
  <c r="IC8" i="4"/>
  <c r="IC20" i="4" s="1"/>
  <c r="AW105" i="1" s="1"/>
  <c r="AW134" i="1" s="1"/>
  <c r="L279" i="1"/>
  <c r="IM15" i="4"/>
  <c r="HX8" i="4"/>
  <c r="HY7" i="4"/>
  <c r="HS8" i="4"/>
  <c r="II7" i="4"/>
  <c r="IB14" i="4"/>
  <c r="IB19" i="4" s="1"/>
  <c r="AV104" i="1" s="1"/>
  <c r="AV133" i="1" s="1"/>
  <c r="JB7" i="4"/>
  <c r="AJ63" i="1"/>
  <c r="IO14" i="4"/>
  <c r="IO19" i="4" s="1"/>
  <c r="BI104" i="1" s="1"/>
  <c r="BI133" i="1" s="1"/>
  <c r="L278" i="1"/>
  <c r="IM7" i="4"/>
  <c r="IU15" i="4"/>
  <c r="JE21" i="4"/>
  <c r="BY103" i="1" s="1"/>
  <c r="HX15" i="4"/>
  <c r="HT15" i="4"/>
  <c r="IZ7" i="4"/>
  <c r="HY14" i="4"/>
  <c r="HW14" i="4"/>
  <c r="HR14" i="4"/>
  <c r="JH14" i="4"/>
  <c r="HX14" i="4"/>
  <c r="IU8" i="4"/>
  <c r="IL8" i="4"/>
  <c r="IL20" i="4" s="1"/>
  <c r="BF105" i="1" s="1"/>
  <c r="BF134" i="1" s="1"/>
  <c r="JG14" i="4"/>
  <c r="IE7" i="4"/>
  <c r="HV21" i="4"/>
  <c r="AP103" i="1" s="1"/>
  <c r="IC7" i="4"/>
  <c r="IC19" i="4" s="1"/>
  <c r="AW104" i="1" s="1"/>
  <c r="AW133" i="1" s="1"/>
  <c r="IE8" i="4"/>
  <c r="Y89" i="1"/>
  <c r="CM220" i="1"/>
  <c r="CM158" i="1"/>
  <c r="CM160" i="1" s="1"/>
  <c r="CM164" i="1" s="1"/>
  <c r="CM229" i="1" s="1"/>
  <c r="CM227" i="1" s="1"/>
  <c r="CR103" i="1"/>
  <c r="AB103" i="1" s="1"/>
  <c r="AC228" i="1"/>
  <c r="CO91" i="1"/>
  <c r="CP89" i="1"/>
  <c r="CQ89" i="1" s="1"/>
  <c r="P42" i="1" l="1"/>
  <c r="P43" i="1" s="1"/>
  <c r="D43" i="1"/>
  <c r="BJ182" i="1"/>
  <c r="BJ211" i="1" s="1"/>
  <c r="R37" i="1"/>
  <c r="Z112" i="1"/>
  <c r="Z111" i="1"/>
  <c r="Z113" i="1"/>
  <c r="AL187" i="1"/>
  <c r="AJ160" i="1"/>
  <c r="AK59" i="1" s="1"/>
  <c r="AL160" i="1"/>
  <c r="AM160" i="1" s="1"/>
  <c r="AM164" i="1" s="1"/>
  <c r="BY122" i="1"/>
  <c r="AM154" i="1"/>
  <c r="AJ174" i="1"/>
  <c r="AJ187" i="1"/>
  <c r="AK235" i="1" s="1"/>
  <c r="JI21" i="4"/>
  <c r="CC103" i="1" s="1"/>
  <c r="AJ154" i="1"/>
  <c r="AJ146" i="1"/>
  <c r="BX210" i="1"/>
  <c r="IF20" i="4"/>
  <c r="AZ105" i="1" s="1"/>
  <c r="AZ134" i="1" s="1"/>
  <c r="AJ206" i="1"/>
  <c r="AK206" i="1" s="1"/>
  <c r="BJ209" i="1"/>
  <c r="BK209" i="1" s="1"/>
  <c r="IE20" i="4"/>
  <c r="AY105" i="1" s="1"/>
  <c r="AY134" i="1" s="1"/>
  <c r="AL209" i="1"/>
  <c r="AM209" i="1" s="1"/>
  <c r="AJ209" i="1"/>
  <c r="JC21" i="4"/>
  <c r="BW103" i="1" s="1"/>
  <c r="HV20" i="4"/>
  <c r="AP105" i="1" s="1"/>
  <c r="AP134" i="1" s="1"/>
  <c r="HQ19" i="4"/>
  <c r="AK104" i="1" s="1"/>
  <c r="IQ20" i="4"/>
  <c r="BK105" i="1" s="1"/>
  <c r="BK134" i="1" s="1"/>
  <c r="IW21" i="4"/>
  <c r="BQ103" i="1" s="1"/>
  <c r="IS21" i="4"/>
  <c r="BM103" i="1" s="1"/>
  <c r="T42" i="1"/>
  <c r="IS20" i="4"/>
  <c r="BM105" i="1" s="1"/>
  <c r="BM134" i="1" s="1"/>
  <c r="AL182" i="1"/>
  <c r="AL211" i="1" s="1"/>
  <c r="IG20" i="4"/>
  <c r="BA105" i="1" s="1"/>
  <c r="BA134" i="1" s="1"/>
  <c r="HQ20" i="4"/>
  <c r="AK105" i="1" s="1"/>
  <c r="K37" i="1"/>
  <c r="HQ21" i="4"/>
  <c r="AK103" i="1" s="1"/>
  <c r="C54" i="1"/>
  <c r="IF19" i="4"/>
  <c r="AZ104" i="1" s="1"/>
  <c r="AZ133" i="1" s="1"/>
  <c r="HZ19" i="4"/>
  <c r="AT104" i="1" s="1"/>
  <c r="AT133" i="1" s="1"/>
  <c r="IO21" i="4"/>
  <c r="BI103" i="1" s="1"/>
  <c r="HZ21" i="4"/>
  <c r="AT103" i="1" s="1"/>
  <c r="II19" i="4"/>
  <c r="BC104" i="1" s="1"/>
  <c r="BC133" i="1" s="1"/>
  <c r="JD21" i="4"/>
  <c r="BX103" i="1" s="1"/>
  <c r="AL38" i="1"/>
  <c r="AJ182" i="1"/>
  <c r="AJ211" i="1" s="1"/>
  <c r="BX212" i="1"/>
  <c r="CB215" i="1" s="1"/>
  <c r="JF19" i="4"/>
  <c r="BZ104" i="1" s="1"/>
  <c r="BY120" i="1"/>
  <c r="HT20" i="4"/>
  <c r="AN105" i="1" s="1"/>
  <c r="AN134" i="1" s="1"/>
  <c r="CA122" i="1"/>
  <c r="CA134" i="1"/>
  <c r="IH20" i="4"/>
  <c r="BB105" i="1" s="1"/>
  <c r="BB134" i="1" s="1"/>
  <c r="IJ21" i="4"/>
  <c r="BD103" i="1" s="1"/>
  <c r="HS14" i="4"/>
  <c r="HS19" i="4" s="1"/>
  <c r="AM104" i="1" s="1"/>
  <c r="AK154" i="1"/>
  <c r="HU7" i="4"/>
  <c r="HU19" i="4" s="1"/>
  <c r="AO104" i="1" s="1"/>
  <c r="AO133" i="1" s="1"/>
  <c r="JH21" i="4"/>
  <c r="CB103" i="1" s="1"/>
  <c r="IA15" i="4"/>
  <c r="HS21" i="4"/>
  <c r="AM103" i="1" s="1"/>
  <c r="AM128" i="1" s="1"/>
  <c r="HW8" i="4"/>
  <c r="HW20" i="4" s="1"/>
  <c r="AQ105" i="1" s="1"/>
  <c r="AQ134" i="1" s="1"/>
  <c r="AI222" i="1"/>
  <c r="AI224" i="1" s="1"/>
  <c r="AK190" i="1"/>
  <c r="IM16" i="4" s="1"/>
  <c r="G42" i="1"/>
  <c r="G124" i="1"/>
  <c r="IZ20" i="4"/>
  <c r="BT105" i="1" s="1"/>
  <c r="BT134" i="1" s="1"/>
  <c r="JD19" i="4"/>
  <c r="BX104" i="1" s="1"/>
  <c r="IT20" i="4"/>
  <c r="BN105" i="1" s="1"/>
  <c r="BN134" i="1" s="1"/>
  <c r="BX53" i="1"/>
  <c r="JA19" i="4"/>
  <c r="BU104" i="1" s="1"/>
  <c r="BU133" i="1" s="1"/>
  <c r="CA128" i="1"/>
  <c r="AL206" i="1"/>
  <c r="AM206" i="1" s="1"/>
  <c r="IQ21" i="4"/>
  <c r="BK103" i="1" s="1"/>
  <c r="JH20" i="4"/>
  <c r="CB105" i="1" s="1"/>
  <c r="CB122" i="1" s="1"/>
  <c r="HU20" i="4"/>
  <c r="AO105" i="1" s="1"/>
  <c r="AO134" i="1" s="1"/>
  <c r="AL146" i="1"/>
  <c r="JB20" i="4"/>
  <c r="BV105" i="1" s="1"/>
  <c r="BV134" i="1" s="1"/>
  <c r="IP19" i="4"/>
  <c r="BJ104" i="1" s="1"/>
  <c r="BJ133" i="1" s="1"/>
  <c r="JI19" i="4"/>
  <c r="CC104" i="1" s="1"/>
  <c r="IW19" i="4"/>
  <c r="BQ104" i="1" s="1"/>
  <c r="BQ133" i="1" s="1"/>
  <c r="IU19" i="4"/>
  <c r="BO104" i="1" s="1"/>
  <c r="BO133" i="1" s="1"/>
  <c r="HR20" i="4"/>
  <c r="AL105" i="1" s="1"/>
  <c r="AL134" i="1" s="1"/>
  <c r="HS20" i="4"/>
  <c r="AM105" i="1" s="1"/>
  <c r="AM134" i="1" s="1"/>
  <c r="S37" i="1"/>
  <c r="HW19" i="4"/>
  <c r="AQ104" i="1" s="1"/>
  <c r="AQ133" i="1" s="1"/>
  <c r="IR21" i="4"/>
  <c r="BL103" i="1" s="1"/>
  <c r="BL120" i="1" s="1"/>
  <c r="IE19" i="4"/>
  <c r="AY104" i="1" s="1"/>
  <c r="AY133" i="1" s="1"/>
  <c r="H37" i="1"/>
  <c r="I37" i="1"/>
  <c r="BY232" i="1"/>
  <c r="H124" i="1"/>
  <c r="U37" i="1"/>
  <c r="P214" i="1"/>
  <c r="M37" i="1"/>
  <c r="B53" i="1"/>
  <c r="BZ59" i="1"/>
  <c r="BX164" i="1"/>
  <c r="BY59" i="1"/>
  <c r="N37" i="1"/>
  <c r="W44" i="1"/>
  <c r="J214" i="1"/>
  <c r="N124" i="1"/>
  <c r="C214" i="1"/>
  <c r="M42" i="1"/>
  <c r="M43" i="1" s="1"/>
  <c r="AM54" i="1"/>
  <c r="AM258" i="1" s="1"/>
  <c r="AM259" i="1" s="1"/>
  <c r="N214" i="1"/>
  <c r="T214" i="1"/>
  <c r="O214" i="1"/>
  <c r="M124" i="1"/>
  <c r="O37" i="1"/>
  <c r="O42" i="1"/>
  <c r="O43" i="1" s="1"/>
  <c r="J37" i="1"/>
  <c r="J42" i="1"/>
  <c r="J43" i="1" s="1"/>
  <c r="P37" i="1"/>
  <c r="H214" i="1"/>
  <c r="W54" i="1"/>
  <c r="W258" i="1" s="1"/>
  <c r="W259" i="1" s="1"/>
  <c r="T37" i="1"/>
  <c r="N42" i="1"/>
  <c r="I214" i="1"/>
  <c r="B54" i="1"/>
  <c r="B55" i="1" s="1"/>
  <c r="I124" i="1"/>
  <c r="W43" i="1"/>
  <c r="I42" i="1"/>
  <c r="I43" i="1" s="1"/>
  <c r="BZ232" i="1"/>
  <c r="M214" i="1"/>
  <c r="Q37" i="1"/>
  <c r="BY275" i="1"/>
  <c r="Q42" i="1"/>
  <c r="Q43" i="1" s="1"/>
  <c r="BZ275" i="1"/>
  <c r="BZ277" i="1" s="1"/>
  <c r="L124" i="1"/>
  <c r="U214" i="1"/>
  <c r="Q124" i="1"/>
  <c r="Q214" i="1"/>
  <c r="T124" i="1"/>
  <c r="V54" i="1"/>
  <c r="V55" i="1" s="1"/>
  <c r="BX207" i="1"/>
  <c r="S124" i="1"/>
  <c r="AM53" i="1"/>
  <c r="S42" i="1"/>
  <c r="S43" i="1" s="1"/>
  <c r="BX194" i="1"/>
  <c r="BY63" i="1" s="1"/>
  <c r="AM43" i="1"/>
  <c r="BL232" i="1"/>
  <c r="BL275" i="1"/>
  <c r="BJ274" i="1"/>
  <c r="AM59" i="1"/>
  <c r="AL164" i="1"/>
  <c r="AK160" i="1"/>
  <c r="AJ164" i="1"/>
  <c r="BJ208" i="1"/>
  <c r="BJ183" i="1"/>
  <c r="AL208" i="1"/>
  <c r="L43" i="1"/>
  <c r="BL121" i="1"/>
  <c r="D54" i="1"/>
  <c r="C44" i="1"/>
  <c r="CA251" i="1"/>
  <c r="JB19" i="4"/>
  <c r="BV104" i="1" s="1"/>
  <c r="BV133" i="1" s="1"/>
  <c r="AL53" i="1"/>
  <c r="CA130" i="1"/>
  <c r="AL45" i="1"/>
  <c r="BJ272" i="1"/>
  <c r="BK160" i="1"/>
  <c r="BK164" i="1" s="1"/>
  <c r="BL229" i="1" s="1"/>
  <c r="BL227" i="1" s="1"/>
  <c r="BY155" i="1"/>
  <c r="BZ233" i="1"/>
  <c r="BX183" i="1"/>
  <c r="JG19" i="4"/>
  <c r="CA104" i="1" s="1"/>
  <c r="CA121" i="1" s="1"/>
  <c r="AJ53" i="1"/>
  <c r="BK275" i="1"/>
  <c r="L214" i="1"/>
  <c r="HR19" i="4"/>
  <c r="AL104" i="1" s="1"/>
  <c r="AL133" i="1" s="1"/>
  <c r="BL122" i="1"/>
  <c r="BL134" i="1"/>
  <c r="BL137" i="1" s="1"/>
  <c r="IU20" i="4"/>
  <c r="BO105" i="1" s="1"/>
  <c r="BO134" i="1" s="1"/>
  <c r="IW20" i="4"/>
  <c r="BQ105" i="1" s="1"/>
  <c r="BQ134" i="1" s="1"/>
  <c r="AL54" i="1"/>
  <c r="BK232" i="1"/>
  <c r="JH19" i="4"/>
  <c r="CB104" i="1" s="1"/>
  <c r="BX42" i="1"/>
  <c r="CC214" i="1"/>
  <c r="CB37" i="1"/>
  <c r="BY38" i="1"/>
  <c r="IQ19" i="4"/>
  <c r="BK104" i="1" s="1"/>
  <c r="BK133" i="1" s="1"/>
  <c r="AK43" i="1"/>
  <c r="BJ194" i="1"/>
  <c r="BJ135" i="1" s="1"/>
  <c r="AM251" i="1"/>
  <c r="IZ19" i="4"/>
  <c r="BT104" i="1" s="1"/>
  <c r="BT133" i="1" s="1"/>
  <c r="BY121" i="1"/>
  <c r="AK54" i="1"/>
  <c r="AM38" i="1"/>
  <c r="AK38" i="1"/>
  <c r="V44" i="1"/>
  <c r="AM45" i="1"/>
  <c r="HY19" i="4"/>
  <c r="AS104" i="1" s="1"/>
  <c r="AS133" i="1" s="1"/>
  <c r="JF20" i="4"/>
  <c r="BZ105" i="1" s="1"/>
  <c r="IO20" i="4"/>
  <c r="BI105" i="1" s="1"/>
  <c r="BI134" i="1" s="1"/>
  <c r="AJ54" i="1"/>
  <c r="AJ55" i="1" s="1"/>
  <c r="AK45" i="1"/>
  <c r="C53" i="1"/>
  <c r="IM20" i="4"/>
  <c r="BG105" i="1" s="1"/>
  <c r="BG134" i="1" s="1"/>
  <c r="IX20" i="4"/>
  <c r="BR105" i="1" s="1"/>
  <c r="BR134" i="1" s="1"/>
  <c r="F124" i="1"/>
  <c r="F42" i="1"/>
  <c r="F214" i="1"/>
  <c r="F37" i="1"/>
  <c r="G214" i="1"/>
  <c r="G37" i="1"/>
  <c r="E37" i="1"/>
  <c r="E124" i="1"/>
  <c r="E42" i="1"/>
  <c r="E214" i="1"/>
  <c r="D37" i="1"/>
  <c r="IN19" i="4"/>
  <c r="BH104" i="1" s="1"/>
  <c r="BH133" i="1" s="1"/>
  <c r="E53" i="1"/>
  <c r="IM19" i="4"/>
  <c r="BG104" i="1" s="1"/>
  <c r="BG133" i="1" s="1"/>
  <c r="K42" i="1"/>
  <c r="K124" i="1"/>
  <c r="BX274" i="1"/>
  <c r="D214" i="1"/>
  <c r="HP19" i="4"/>
  <c r="AJ104" i="1" s="1"/>
  <c r="BX155" i="1"/>
  <c r="R124" i="1"/>
  <c r="R42" i="1"/>
  <c r="R43" i="1" s="1"/>
  <c r="C37" i="1"/>
  <c r="C43" i="1"/>
  <c r="ID20" i="4"/>
  <c r="AX105" i="1" s="1"/>
  <c r="AX134" i="1" s="1"/>
  <c r="R214" i="1"/>
  <c r="D44" i="1"/>
  <c r="BY115" i="1"/>
  <c r="L37" i="1"/>
  <c r="S214" i="1"/>
  <c r="HX20" i="4"/>
  <c r="AR105" i="1" s="1"/>
  <c r="AR134" i="1" s="1"/>
  <c r="BY233" i="1"/>
  <c r="BX122" i="1"/>
  <c r="K214" i="1"/>
  <c r="BJ120" i="1"/>
  <c r="AK258" i="1"/>
  <c r="AK259" i="1" s="1"/>
  <c r="AL57" i="1"/>
  <c r="AK55" i="1"/>
  <c r="AK60" i="1"/>
  <c r="AK64" i="1" s="1"/>
  <c r="X89" i="1"/>
  <c r="Y91" i="1"/>
  <c r="CN58" i="1"/>
  <c r="AA58" i="1" s="1"/>
  <c r="AA220" i="1" s="1"/>
  <c r="CS103" i="1"/>
  <c r="CP91" i="1"/>
  <c r="CB251" i="1"/>
  <c r="BQ1" i="1"/>
  <c r="BR1" i="1" s="1"/>
  <c r="BS1" i="1" s="1"/>
  <c r="BT1" i="1" s="1"/>
  <c r="AM138" i="1" l="1"/>
  <c r="AJ208" i="1"/>
  <c r="AJ194" i="1"/>
  <c r="AK63" i="1" s="1"/>
  <c r="AL194" i="1"/>
  <c r="AM235" i="1"/>
  <c r="AL274" i="1"/>
  <c r="CC111" i="1"/>
  <c r="CC128" i="1"/>
  <c r="CC120" i="1"/>
  <c r="AM232" i="1"/>
  <c r="AM275" i="1"/>
  <c r="AJ155" i="1"/>
  <c r="AJ232" i="1"/>
  <c r="BJ210" i="1"/>
  <c r="T44" i="1"/>
  <c r="AL276" i="1"/>
  <c r="AM252" i="1"/>
  <c r="D55" i="1"/>
  <c r="D60" i="1"/>
  <c r="D64" i="1" s="1"/>
  <c r="D258" i="1"/>
  <c r="D259" i="1" s="1"/>
  <c r="D276" i="1"/>
  <c r="D138" i="1"/>
  <c r="C55" i="1"/>
  <c r="D56" i="1"/>
  <c r="AJ223" i="1"/>
  <c r="U44" i="1"/>
  <c r="T43" i="1"/>
  <c r="AL183" i="1"/>
  <c r="AJ183" i="1"/>
  <c r="AL210" i="1"/>
  <c r="BX120" i="1"/>
  <c r="BZ121" i="1"/>
  <c r="BZ115" i="1"/>
  <c r="BZ133" i="1"/>
  <c r="BZ136" i="1" s="1"/>
  <c r="CA129" i="1"/>
  <c r="BX135" i="1"/>
  <c r="BX137" i="1" s="1"/>
  <c r="V60" i="1"/>
  <c r="V64" i="1" s="1"/>
  <c r="V67" i="1" s="1"/>
  <c r="V258" i="1"/>
  <c r="V259" i="1" s="1"/>
  <c r="V138" i="1"/>
  <c r="BL59" i="1"/>
  <c r="AM229" i="1"/>
  <c r="AM227" i="1" s="1"/>
  <c r="AK164" i="1"/>
  <c r="AL59" i="1"/>
  <c r="AJ229" i="1"/>
  <c r="AJ227" i="1" s="1"/>
  <c r="BJ212" i="1"/>
  <c r="BJ207" i="1"/>
  <c r="AL212" i="1"/>
  <c r="CB111" i="1"/>
  <c r="CB128" i="1"/>
  <c r="CB120" i="1"/>
  <c r="IA20" i="4"/>
  <c r="AU105" i="1" s="1"/>
  <c r="AU134" i="1" s="1"/>
  <c r="IP8" i="4"/>
  <c r="IM21" i="4"/>
  <c r="BG103" i="1" s="1"/>
  <c r="IF9" i="4"/>
  <c r="IF21" i="4" s="1"/>
  <c r="AZ103" i="1" s="1"/>
  <c r="IA7" i="4" s="1"/>
  <c r="H44" i="1"/>
  <c r="G43" i="1"/>
  <c r="CC112" i="1"/>
  <c r="CF116" i="1" s="1"/>
  <c r="CC129" i="1"/>
  <c r="CC133" i="1"/>
  <c r="CC121" i="1"/>
  <c r="AJ222" i="1"/>
  <c r="AL118" i="1"/>
  <c r="BX133" i="1"/>
  <c r="BX115" i="1"/>
  <c r="CB130" i="1"/>
  <c r="AM133" i="1"/>
  <c r="BX121" i="1"/>
  <c r="O44" i="1"/>
  <c r="AM130" i="1"/>
  <c r="BY231" i="1"/>
  <c r="N43" i="1"/>
  <c r="BY229" i="1"/>
  <c r="BY227" i="1" s="1"/>
  <c r="P44" i="1"/>
  <c r="AM60" i="1"/>
  <c r="AM64" i="1" s="1"/>
  <c r="AM66" i="1" s="1"/>
  <c r="AM57" i="1"/>
  <c r="M44" i="1"/>
  <c r="B138" i="1"/>
  <c r="Q44" i="1"/>
  <c r="J44" i="1"/>
  <c r="I44" i="1"/>
  <c r="BJ121" i="1"/>
  <c r="C56" i="1"/>
  <c r="AL232" i="1"/>
  <c r="AL155" i="1"/>
  <c r="CA133" i="1"/>
  <c r="BJ136" i="1"/>
  <c r="AL275" i="1"/>
  <c r="AK232" i="1"/>
  <c r="CB113" i="1"/>
  <c r="BZ231" i="1"/>
  <c r="AM129" i="1"/>
  <c r="CB134" i="1"/>
  <c r="CB137" i="1" s="1"/>
  <c r="CB140" i="1" s="1"/>
  <c r="BX272" i="1"/>
  <c r="W276" i="1"/>
  <c r="W60" i="1"/>
  <c r="W64" i="1" s="1"/>
  <c r="W67" i="1" s="1"/>
  <c r="AM55" i="1"/>
  <c r="BX191" i="1"/>
  <c r="AM276" i="1"/>
  <c r="N44" i="1"/>
  <c r="K44" i="1"/>
  <c r="W138" i="1"/>
  <c r="W55" i="1"/>
  <c r="X276" i="1"/>
  <c r="X56" i="1"/>
  <c r="W56" i="1"/>
  <c r="AL272" i="1"/>
  <c r="AL207" i="1"/>
  <c r="C276" i="1"/>
  <c r="AJ258" i="1"/>
  <c r="AJ259" i="1" s="1"/>
  <c r="AL55" i="1"/>
  <c r="AL60" i="1"/>
  <c r="AL64" i="1" s="1"/>
  <c r="CB133" i="1"/>
  <c r="CB136" i="1" s="1"/>
  <c r="CB139" i="1" s="1"/>
  <c r="CB121" i="1"/>
  <c r="AJ60" i="1"/>
  <c r="AJ64" i="1" s="1"/>
  <c r="AJ66" i="1" s="1"/>
  <c r="CB112" i="1"/>
  <c r="CE116" i="1" s="1"/>
  <c r="BX54" i="1"/>
  <c r="CB44" i="1"/>
  <c r="BX43" i="1"/>
  <c r="BY45" i="1"/>
  <c r="BZ122" i="1"/>
  <c r="BZ134" i="1"/>
  <c r="BZ137" i="1" s="1"/>
  <c r="AK57" i="1"/>
  <c r="AL258" i="1"/>
  <c r="AL259" i="1" s="1"/>
  <c r="CB129" i="1"/>
  <c r="F44" i="1"/>
  <c r="E43" i="1"/>
  <c r="E44" i="1"/>
  <c r="E54" i="1"/>
  <c r="L44" i="1"/>
  <c r="K43" i="1"/>
  <c r="R44" i="1"/>
  <c r="S44" i="1"/>
  <c r="F43" i="1"/>
  <c r="G44" i="1"/>
  <c r="AK67" i="1"/>
  <c r="AK66" i="1"/>
  <c r="CN158" i="1"/>
  <c r="Y134" i="1"/>
  <c r="Y137" i="1" s="1"/>
  <c r="Y140" i="1" s="1"/>
  <c r="Y133" i="1"/>
  <c r="Y136" i="1" s="1"/>
  <c r="Y139" i="1" s="1"/>
  <c r="Y118" i="1"/>
  <c r="Y125" i="1"/>
  <c r="Y92" i="1"/>
  <c r="W89" i="1"/>
  <c r="V89" i="1" s="1"/>
  <c r="U89" i="1" s="1"/>
  <c r="T89" i="1" s="1"/>
  <c r="S89" i="1" s="1"/>
  <c r="R89" i="1" s="1"/>
  <c r="Q89" i="1" s="1"/>
  <c r="P89" i="1" s="1"/>
  <c r="O89" i="1" s="1"/>
  <c r="N89" i="1" s="1"/>
  <c r="M89" i="1" s="1"/>
  <c r="L89" i="1" s="1"/>
  <c r="K89" i="1" s="1"/>
  <c r="J89" i="1" s="1"/>
  <c r="I89" i="1" s="1"/>
  <c r="H89" i="1" s="1"/>
  <c r="G89" i="1" s="1"/>
  <c r="F89" i="1" s="1"/>
  <c r="E89" i="1" s="1"/>
  <c r="X91" i="1"/>
  <c r="CT103" i="1"/>
  <c r="CQ91" i="1"/>
  <c r="CR89" i="1"/>
  <c r="AB89" i="1" s="1"/>
  <c r="BU1" i="1"/>
  <c r="Q53" i="1"/>
  <c r="P53" i="1"/>
  <c r="O53" i="1"/>
  <c r="I53" i="1"/>
  <c r="H53" i="1"/>
  <c r="G53" i="1"/>
  <c r="U53" i="1"/>
  <c r="T53" i="1"/>
  <c r="S53" i="1"/>
  <c r="R53" i="1"/>
  <c r="N53" i="1"/>
  <c r="M53" i="1"/>
  <c r="L53" i="1"/>
  <c r="K53" i="1"/>
  <c r="J53" i="1"/>
  <c r="F53" i="1"/>
  <c r="D67" i="1" l="1"/>
  <c r="D66" i="1"/>
  <c r="AM67" i="1"/>
  <c r="AM68" i="1" s="1"/>
  <c r="AM271" i="1" s="1"/>
  <c r="AM277" i="1"/>
  <c r="AM63" i="1"/>
  <c r="AL135" i="1"/>
  <c r="AJ191" i="1"/>
  <c r="AJ192" i="1" s="1"/>
  <c r="AL191" i="1"/>
  <c r="AJ224" i="1"/>
  <c r="AL122" i="1"/>
  <c r="AL277" i="1"/>
  <c r="AL192" i="1"/>
  <c r="V66" i="1"/>
  <c r="AK229" i="1"/>
  <c r="AK227" i="1" s="1"/>
  <c r="AL229" i="1"/>
  <c r="AL227" i="1" s="1"/>
  <c r="V68" i="1"/>
  <c r="V271" i="1" s="1"/>
  <c r="V74" i="1"/>
  <c r="IP20" i="4"/>
  <c r="BJ105" i="1" s="1"/>
  <c r="JA15" i="4"/>
  <c r="IA19" i="4"/>
  <c r="AU104" i="1" s="1"/>
  <c r="AU133" i="1" s="1"/>
  <c r="IA16" i="4"/>
  <c r="IA21" i="4" s="1"/>
  <c r="AU103" i="1" s="1"/>
  <c r="JI8" i="4" s="1"/>
  <c r="AL121" i="1"/>
  <c r="AL120" i="1"/>
  <c r="BX136" i="1"/>
  <c r="BX192" i="1"/>
  <c r="W66" i="1"/>
  <c r="W74" i="1"/>
  <c r="W78" i="1" s="1"/>
  <c r="W260" i="1"/>
  <c r="W68" i="1"/>
  <c r="W271" i="1" s="1"/>
  <c r="W69" i="1"/>
  <c r="X69" i="1"/>
  <c r="BX55" i="1"/>
  <c r="BX60" i="1"/>
  <c r="BX258" i="1"/>
  <c r="BX259" i="1" s="1"/>
  <c r="CB56" i="1"/>
  <c r="CA138" i="1"/>
  <c r="BY57" i="1"/>
  <c r="BY276" i="1"/>
  <c r="BY277" i="1" s="1"/>
  <c r="AL67" i="1"/>
  <c r="AL70" i="1" s="1"/>
  <c r="AL66" i="1"/>
  <c r="AJ67" i="1"/>
  <c r="E55" i="1"/>
  <c r="E56" i="1"/>
  <c r="CN160" i="1"/>
  <c r="CO58" i="1" s="1"/>
  <c r="CO220" i="1" s="1"/>
  <c r="AA158" i="1"/>
  <c r="AA160" i="1" s="1"/>
  <c r="AK260" i="1"/>
  <c r="AK74" i="1"/>
  <c r="AK145" i="1" s="1"/>
  <c r="AK146" i="1" s="1"/>
  <c r="AK155" i="1" s="1"/>
  <c r="AK68" i="1"/>
  <c r="D68" i="1"/>
  <c r="D74" i="1"/>
  <c r="X125" i="1"/>
  <c r="X133" i="1"/>
  <c r="X136" i="1" s="1"/>
  <c r="X139" i="1" s="1"/>
  <c r="X118" i="1"/>
  <c r="X134" i="1"/>
  <c r="X137" i="1" s="1"/>
  <c r="X140" i="1" s="1"/>
  <c r="X92" i="1"/>
  <c r="Y94" i="1"/>
  <c r="Y95" i="1"/>
  <c r="Z96" i="1" s="1"/>
  <c r="Y129" i="1"/>
  <c r="Y128" i="1"/>
  <c r="Y130" i="1"/>
  <c r="Y121" i="1"/>
  <c r="Y120" i="1"/>
  <c r="Y122" i="1"/>
  <c r="CN220" i="1"/>
  <c r="CU103" i="1"/>
  <c r="CR91" i="1"/>
  <c r="AB91" i="1" s="1"/>
  <c r="CS89" i="1"/>
  <c r="BV1" i="1"/>
  <c r="BW1" i="1" s="1"/>
  <c r="BX1" i="1" s="1"/>
  <c r="AM260" i="1"/>
  <c r="B258" i="1"/>
  <c r="B259" i="1" s="1"/>
  <c r="BL258" i="1"/>
  <c r="BL259" i="1" s="1"/>
  <c r="G54" i="1"/>
  <c r="O54" i="1"/>
  <c r="H54" i="1"/>
  <c r="P54" i="1"/>
  <c r="I54" i="1"/>
  <c r="Q54" i="1"/>
  <c r="J54" i="1"/>
  <c r="R54" i="1"/>
  <c r="K54" i="1"/>
  <c r="S54" i="1"/>
  <c r="L54" i="1"/>
  <c r="T54" i="1"/>
  <c r="M54" i="1"/>
  <c r="U54" i="1"/>
  <c r="F54" i="1"/>
  <c r="F276" i="1" s="1"/>
  <c r="N54" i="1"/>
  <c r="D260" i="1" l="1"/>
  <c r="AL136" i="1"/>
  <c r="AL137" i="1"/>
  <c r="BJ122" i="1"/>
  <c r="BJ134" i="1"/>
  <c r="BJ137" i="1" s="1"/>
  <c r="JA20" i="4"/>
  <c r="BU105" i="1" s="1"/>
  <c r="BU134" i="1" s="1"/>
  <c r="IV9" i="4"/>
  <c r="JI20" i="4"/>
  <c r="CC105" i="1" s="1"/>
  <c r="JC7" i="4"/>
  <c r="AM253" i="1"/>
  <c r="CN164" i="1"/>
  <c r="CN229" i="1" s="1"/>
  <c r="CN227" i="1" s="1"/>
  <c r="CO158" i="1"/>
  <c r="CO160" i="1" s="1"/>
  <c r="AL68" i="1"/>
  <c r="AL271" i="1" s="1"/>
  <c r="AM70" i="1"/>
  <c r="AL74" i="1"/>
  <c r="AL260" i="1"/>
  <c r="AK70" i="1"/>
  <c r="BX64" i="1"/>
  <c r="CA81" i="1"/>
  <c r="AJ68" i="1"/>
  <c r="AJ74" i="1"/>
  <c r="AJ260" i="1"/>
  <c r="T276" i="1"/>
  <c r="P276" i="1"/>
  <c r="D219" i="1"/>
  <c r="D221" i="1" s="1"/>
  <c r="D78" i="1"/>
  <c r="AK219" i="1"/>
  <c r="AK221" i="1" s="1"/>
  <c r="AK92" i="1"/>
  <c r="AK78" i="1"/>
  <c r="M276" i="1"/>
  <c r="R276" i="1"/>
  <c r="I276" i="1"/>
  <c r="K276" i="1"/>
  <c r="G276" i="1"/>
  <c r="H276" i="1"/>
  <c r="L276" i="1"/>
  <c r="S276" i="1"/>
  <c r="O276" i="1"/>
  <c r="J276" i="1"/>
  <c r="N276" i="1"/>
  <c r="U276" i="1"/>
  <c r="V276" i="1"/>
  <c r="Q276" i="1"/>
  <c r="R138" i="1"/>
  <c r="S56" i="1"/>
  <c r="T138" i="1"/>
  <c r="U56" i="1"/>
  <c r="Y111" i="1"/>
  <c r="Y112" i="1"/>
  <c r="Y113" i="1"/>
  <c r="U138" i="1"/>
  <c r="V56" i="1"/>
  <c r="P138" i="1"/>
  <c r="Q56" i="1"/>
  <c r="Q138" i="1"/>
  <c r="R56" i="1"/>
  <c r="I138" i="1"/>
  <c r="J56" i="1"/>
  <c r="S138" i="1"/>
  <c r="T56" i="1"/>
  <c r="H138" i="1"/>
  <c r="I56" i="1"/>
  <c r="X95" i="1"/>
  <c r="Y96" i="1" s="1"/>
  <c r="X94" i="1"/>
  <c r="E138" i="1"/>
  <c r="F56" i="1"/>
  <c r="L138" i="1"/>
  <c r="M56" i="1"/>
  <c r="O138" i="1"/>
  <c r="P56" i="1"/>
  <c r="N138" i="1"/>
  <c r="O56" i="1"/>
  <c r="K138" i="1"/>
  <c r="L56" i="1"/>
  <c r="F138" i="1"/>
  <c r="G56" i="1"/>
  <c r="G138" i="1"/>
  <c r="H56" i="1"/>
  <c r="X121" i="1"/>
  <c r="X120" i="1"/>
  <c r="X122" i="1"/>
  <c r="M138" i="1"/>
  <c r="N56" i="1"/>
  <c r="J138" i="1"/>
  <c r="K56" i="1"/>
  <c r="X130" i="1"/>
  <c r="X129" i="1"/>
  <c r="X128" i="1"/>
  <c r="CV103" i="1"/>
  <c r="AC103" i="1" s="1"/>
  <c r="AD228" i="1"/>
  <c r="CT89" i="1"/>
  <c r="CS91" i="1"/>
  <c r="C138" i="1"/>
  <c r="BY1" i="1"/>
  <c r="L55" i="1"/>
  <c r="N55" i="1"/>
  <c r="F55" i="1"/>
  <c r="O55" i="1"/>
  <c r="U60" i="1"/>
  <c r="U64" i="1" s="1"/>
  <c r="U55" i="1"/>
  <c r="G55" i="1"/>
  <c r="S55" i="1"/>
  <c r="M55" i="1"/>
  <c r="R55" i="1"/>
  <c r="J55" i="1"/>
  <c r="I55" i="1"/>
  <c r="P55" i="1"/>
  <c r="H55" i="1"/>
  <c r="K55" i="1"/>
  <c r="T55" i="1"/>
  <c r="Q55" i="1"/>
  <c r="T258" i="1"/>
  <c r="T259" i="1" s="1"/>
  <c r="Q258" i="1"/>
  <c r="Q259" i="1" s="1"/>
  <c r="K258" i="1"/>
  <c r="K259" i="1" s="1"/>
  <c r="O258" i="1"/>
  <c r="O259" i="1" s="1"/>
  <c r="U258" i="1"/>
  <c r="U259" i="1" s="1"/>
  <c r="L258" i="1"/>
  <c r="L259" i="1" s="1"/>
  <c r="C258" i="1"/>
  <c r="C259" i="1" s="1"/>
  <c r="I258" i="1"/>
  <c r="I259" i="1" s="1"/>
  <c r="G258" i="1"/>
  <c r="G259" i="1" s="1"/>
  <c r="R258" i="1"/>
  <c r="R259" i="1" s="1"/>
  <c r="P258" i="1"/>
  <c r="P259" i="1" s="1"/>
  <c r="F258" i="1"/>
  <c r="F259" i="1" s="1"/>
  <c r="M258" i="1"/>
  <c r="M259" i="1" s="1"/>
  <c r="N258" i="1"/>
  <c r="N259" i="1" s="1"/>
  <c r="E258" i="1"/>
  <c r="E259" i="1" s="1"/>
  <c r="S258" i="1"/>
  <c r="S259" i="1" s="1"/>
  <c r="J258" i="1"/>
  <c r="J259" i="1" s="1"/>
  <c r="H258" i="1"/>
  <c r="H259" i="1" s="1"/>
  <c r="B60" i="1"/>
  <c r="L60" i="1"/>
  <c r="Q60" i="1"/>
  <c r="T60" i="1"/>
  <c r="N60" i="1"/>
  <c r="S60" i="1"/>
  <c r="F60" i="1"/>
  <c r="K60" i="1"/>
  <c r="H60" i="1"/>
  <c r="I60" i="1"/>
  <c r="P60" i="1"/>
  <c r="C60" i="1"/>
  <c r="O60" i="1"/>
  <c r="R60" i="1"/>
  <c r="M60" i="1"/>
  <c r="G60" i="1"/>
  <c r="E60" i="1"/>
  <c r="J60" i="1"/>
  <c r="IV21" i="4" l="1"/>
  <c r="BP103" i="1" s="1"/>
  <c r="II8" i="4"/>
  <c r="CC134" i="1"/>
  <c r="CC113" i="1"/>
  <c r="CC130" i="1"/>
  <c r="CC122" i="1"/>
  <c r="JC19" i="4"/>
  <c r="BW104" i="1" s="1"/>
  <c r="BW133" i="1" s="1"/>
  <c r="IN9" i="4"/>
  <c r="AJ92" i="1"/>
  <c r="AJ219" i="1"/>
  <c r="AJ221" i="1" s="1"/>
  <c r="AJ225" i="1" s="1"/>
  <c r="AJ239" i="1" s="1"/>
  <c r="AJ78" i="1"/>
  <c r="AJ233" i="1"/>
  <c r="AJ231" i="1" s="1"/>
  <c r="AL92" i="1"/>
  <c r="AL78" i="1"/>
  <c r="AL219" i="1"/>
  <c r="AL221" i="1" s="1"/>
  <c r="BX66" i="1"/>
  <c r="BX67" i="1"/>
  <c r="AK233" i="1"/>
  <c r="AK231" i="1" s="1"/>
  <c r="AL233" i="1"/>
  <c r="AL231" i="1" s="1"/>
  <c r="X111" i="1"/>
  <c r="X113" i="1"/>
  <c r="X112" i="1"/>
  <c r="BK190" i="1"/>
  <c r="BM190" i="1"/>
  <c r="CO164" i="1"/>
  <c r="CP58" i="1"/>
  <c r="CW103" i="1"/>
  <c r="AE228" i="1"/>
  <c r="CT91" i="1"/>
  <c r="CU89" i="1"/>
  <c r="BZ1" i="1"/>
  <c r="U67" i="1"/>
  <c r="V69" i="1" s="1"/>
  <c r="U66" i="1"/>
  <c r="P64" i="1"/>
  <c r="P67" i="1" s="1"/>
  <c r="R64" i="1"/>
  <c r="R67" i="1" s="1"/>
  <c r="E64" i="1"/>
  <c r="S64" i="1"/>
  <c r="S66" i="1" s="1"/>
  <c r="G64" i="1"/>
  <c r="G67" i="1" s="1"/>
  <c r="K64" i="1"/>
  <c r="K67" i="1" s="1"/>
  <c r="B64" i="1"/>
  <c r="O64" i="1"/>
  <c r="O67" i="1" s="1"/>
  <c r="H64" i="1"/>
  <c r="H67" i="1" s="1"/>
  <c r="N64" i="1"/>
  <c r="N67" i="1" s="1"/>
  <c r="L64" i="1"/>
  <c r="L66" i="1" s="1"/>
  <c r="C64" i="1"/>
  <c r="M64" i="1"/>
  <c r="M66" i="1" s="1"/>
  <c r="T64" i="1"/>
  <c r="T67" i="1" s="1"/>
  <c r="F64" i="1"/>
  <c r="F66" i="1" s="1"/>
  <c r="J64" i="1"/>
  <c r="J66" i="1" s="1"/>
  <c r="I64" i="1"/>
  <c r="I66" i="1" s="1"/>
  <c r="Q64" i="1"/>
  <c r="Q67" i="1" s="1"/>
  <c r="V260" i="1"/>
  <c r="II20" i="4" l="1"/>
  <c r="BC105" i="1" s="1"/>
  <c r="BC134" i="1" s="1"/>
  <c r="HX7" i="4"/>
  <c r="HX19" i="4" s="1"/>
  <c r="AR104" i="1" s="1"/>
  <c r="AR133" i="1" s="1"/>
  <c r="IN21" i="4"/>
  <c r="BH103" i="1" s="1"/>
  <c r="IZ16" i="4"/>
  <c r="IZ21" i="4" s="1"/>
  <c r="BT103" i="1" s="1"/>
  <c r="AJ236" i="1"/>
  <c r="AJ237" i="1" s="1"/>
  <c r="BX260" i="1"/>
  <c r="BX74" i="1"/>
  <c r="CB69" i="1"/>
  <c r="BX68" i="1"/>
  <c r="BX271" i="1" s="1"/>
  <c r="BY70" i="1"/>
  <c r="R69" i="1"/>
  <c r="U69" i="1"/>
  <c r="O69" i="1"/>
  <c r="B67" i="1"/>
  <c r="B66" i="1"/>
  <c r="C67" i="1"/>
  <c r="C66" i="1"/>
  <c r="E67" i="1"/>
  <c r="E74" i="1" s="1"/>
  <c r="E66" i="1"/>
  <c r="P69" i="1"/>
  <c r="H69" i="1"/>
  <c r="Q69" i="1"/>
  <c r="BJ191" i="1"/>
  <c r="BJ192" i="1" s="1"/>
  <c r="BL191" i="1"/>
  <c r="BL192" i="1" s="1"/>
  <c r="CP220" i="1"/>
  <c r="CP158" i="1"/>
  <c r="CO229" i="1"/>
  <c r="CO227" i="1" s="1"/>
  <c r="CX103" i="1"/>
  <c r="CV89" i="1"/>
  <c r="AC89" i="1" s="1"/>
  <c r="CU91" i="1"/>
  <c r="CA1" i="1"/>
  <c r="CB1" i="1" s="1"/>
  <c r="O66" i="1"/>
  <c r="BL260" i="1"/>
  <c r="S67" i="1"/>
  <c r="U68" i="1"/>
  <c r="U271" i="1" s="1"/>
  <c r="P68" i="1"/>
  <c r="P271" i="1" s="1"/>
  <c r="Q74" i="1"/>
  <c r="Q68" i="1"/>
  <c r="Q271" i="1" s="1"/>
  <c r="L67" i="1"/>
  <c r="P66" i="1"/>
  <c r="H68" i="1"/>
  <c r="H271" i="1" s="1"/>
  <c r="G68" i="1"/>
  <c r="G271" i="1" s="1"/>
  <c r="U74" i="1"/>
  <c r="N68" i="1"/>
  <c r="N271" i="1" s="1"/>
  <c r="R68" i="1"/>
  <c r="R271" i="1" s="1"/>
  <c r="K68" i="1"/>
  <c r="K271" i="1" s="1"/>
  <c r="O74" i="1"/>
  <c r="O68" i="1"/>
  <c r="O271" i="1" s="1"/>
  <c r="T74" i="1"/>
  <c r="T68" i="1"/>
  <c r="T271" i="1" s="1"/>
  <c r="R66" i="1"/>
  <c r="K66" i="1"/>
  <c r="N66" i="1"/>
  <c r="G66" i="1"/>
  <c r="H66" i="1"/>
  <c r="J67" i="1"/>
  <c r="K69" i="1" s="1"/>
  <c r="M67" i="1"/>
  <c r="N69" i="1" s="1"/>
  <c r="T66" i="1"/>
  <c r="F67" i="1"/>
  <c r="G69" i="1" s="1"/>
  <c r="I67" i="1"/>
  <c r="I69" i="1" s="1"/>
  <c r="O260" i="1"/>
  <c r="Q66" i="1"/>
  <c r="P260" i="1"/>
  <c r="P74" i="1"/>
  <c r="K260" i="1"/>
  <c r="K74" i="1"/>
  <c r="H260" i="1"/>
  <c r="H74" i="1"/>
  <c r="R74" i="1"/>
  <c r="N74" i="1"/>
  <c r="G74" i="1"/>
  <c r="G260" i="1"/>
  <c r="R260" i="1"/>
  <c r="N260" i="1"/>
  <c r="Q260" i="1"/>
  <c r="U260" i="1"/>
  <c r="T260" i="1"/>
  <c r="V78" i="1"/>
  <c r="V219" i="1"/>
  <c r="V221" i="1" s="1"/>
  <c r="BX78" i="1" l="1"/>
  <c r="CA80" i="1"/>
  <c r="BX219" i="1"/>
  <c r="BX221" i="1" s="1"/>
  <c r="BX92" i="1"/>
  <c r="CA95" i="1" s="1"/>
  <c r="E260" i="1"/>
  <c r="E68" i="1"/>
  <c r="E271" i="1" s="1"/>
  <c r="E69" i="1"/>
  <c r="D69" i="1"/>
  <c r="C68" i="1"/>
  <c r="B68" i="1"/>
  <c r="C69" i="1"/>
  <c r="F69" i="1"/>
  <c r="M69" i="1"/>
  <c r="S68" i="1"/>
  <c r="S271" i="1" s="1"/>
  <c r="T69" i="1"/>
  <c r="L69" i="1"/>
  <c r="J69" i="1"/>
  <c r="S69" i="1"/>
  <c r="I91" i="1"/>
  <c r="I125" i="1" s="1"/>
  <c r="Q91" i="1"/>
  <c r="Q125" i="1" s="1"/>
  <c r="U91" i="1"/>
  <c r="U125" i="1" s="1"/>
  <c r="F91" i="1"/>
  <c r="F125" i="1" s="1"/>
  <c r="R91" i="1"/>
  <c r="R125" i="1" s="1"/>
  <c r="J91" i="1"/>
  <c r="N91" i="1"/>
  <c r="N92" i="1" s="1"/>
  <c r="N95" i="1" s="1"/>
  <c r="T91" i="1"/>
  <c r="E91" i="1"/>
  <c r="E125" i="1" s="1"/>
  <c r="H91" i="1"/>
  <c r="H125" i="1" s="1"/>
  <c r="S91" i="1"/>
  <c r="V91" i="1"/>
  <c r="V125" i="1" s="1"/>
  <c r="P91" i="1"/>
  <c r="G91" i="1"/>
  <c r="G92" i="1" s="1"/>
  <c r="G95" i="1" s="1"/>
  <c r="L91" i="1"/>
  <c r="K91" i="1"/>
  <c r="CP160" i="1"/>
  <c r="CY103" i="1"/>
  <c r="CV91" i="1"/>
  <c r="AC91" i="1" s="1"/>
  <c r="CW89" i="1"/>
  <c r="CC1" i="1"/>
  <c r="K78" i="1"/>
  <c r="G78" i="1"/>
  <c r="E78" i="1"/>
  <c r="S74" i="1"/>
  <c r="S260" i="1"/>
  <c r="L260" i="1"/>
  <c r="L74" i="1"/>
  <c r="O219" i="1"/>
  <c r="O221" i="1" s="1"/>
  <c r="O78" i="1"/>
  <c r="B260" i="1"/>
  <c r="B74" i="1"/>
  <c r="M74" i="1"/>
  <c r="M68" i="1"/>
  <c r="M271" i="1" s="1"/>
  <c r="C260" i="1"/>
  <c r="I74" i="1"/>
  <c r="I68" i="1"/>
  <c r="I271" i="1" s="1"/>
  <c r="J74" i="1"/>
  <c r="J68" i="1"/>
  <c r="J271" i="1" s="1"/>
  <c r="F74" i="1"/>
  <c r="F68" i="1"/>
  <c r="F271" i="1" s="1"/>
  <c r="L68" i="1"/>
  <c r="L271" i="1" s="1"/>
  <c r="J260" i="1"/>
  <c r="E219" i="1"/>
  <c r="E221" i="1" s="1"/>
  <c r="R219" i="1"/>
  <c r="R221" i="1" s="1"/>
  <c r="M260" i="1"/>
  <c r="R78" i="1"/>
  <c r="I260" i="1"/>
  <c r="H78" i="1"/>
  <c r="H219" i="1"/>
  <c r="H221" i="1" s="1"/>
  <c r="F260" i="1"/>
  <c r="C74" i="1"/>
  <c r="N219" i="1"/>
  <c r="N221" i="1" s="1"/>
  <c r="N78" i="1"/>
  <c r="G219" i="1"/>
  <c r="G221" i="1" s="1"/>
  <c r="P78" i="1"/>
  <c r="K219" i="1"/>
  <c r="K221" i="1" s="1"/>
  <c r="P219" i="1"/>
  <c r="P221" i="1" s="1"/>
  <c r="U78" i="1"/>
  <c r="U219" i="1"/>
  <c r="U221" i="1" s="1"/>
  <c r="Q78" i="1"/>
  <c r="Q219" i="1"/>
  <c r="Q221" i="1" s="1"/>
  <c r="T78" i="1"/>
  <c r="T219" i="1"/>
  <c r="T221" i="1" s="1"/>
  <c r="CA113" i="1" l="1"/>
  <c r="CA111" i="1"/>
  <c r="CA112" i="1"/>
  <c r="CD116" i="1" s="1"/>
  <c r="CE96" i="1"/>
  <c r="BW115" i="1"/>
  <c r="R92" i="1"/>
  <c r="R95" i="1" s="1"/>
  <c r="K125" i="1"/>
  <c r="L125" i="1"/>
  <c r="T125" i="1"/>
  <c r="P125" i="1"/>
  <c r="G125" i="1"/>
  <c r="S125" i="1"/>
  <c r="J125" i="1"/>
  <c r="N125" i="1"/>
  <c r="H92" i="1"/>
  <c r="U92" i="1"/>
  <c r="U95" i="1" s="1"/>
  <c r="V92" i="1"/>
  <c r="E92" i="1"/>
  <c r="Q92" i="1"/>
  <c r="T92" i="1"/>
  <c r="T95" i="1" s="1"/>
  <c r="M91" i="1"/>
  <c r="M92" i="1" s="1"/>
  <c r="M95" i="1" s="1"/>
  <c r="O91" i="1"/>
  <c r="O125" i="1" s="1"/>
  <c r="W91" i="1"/>
  <c r="W125" i="1" s="1"/>
  <c r="K92" i="1"/>
  <c r="P92" i="1"/>
  <c r="P95" i="1" s="1"/>
  <c r="CP164" i="1"/>
  <c r="CP229" i="1" s="1"/>
  <c r="CP227" i="1" s="1"/>
  <c r="CQ58" i="1"/>
  <c r="CZ103" i="1"/>
  <c r="AD103" i="1" s="1"/>
  <c r="CX89" i="1"/>
  <c r="CW91" i="1"/>
  <c r="AA275" i="1"/>
  <c r="CD1" i="1"/>
  <c r="CE1" i="1" s="1"/>
  <c r="CF1" i="1" s="1"/>
  <c r="CG1" i="1" s="1"/>
  <c r="CH1" i="1" s="1"/>
  <c r="CI1" i="1" s="1"/>
  <c r="CJ1" i="1" s="1"/>
  <c r="CK1" i="1" s="1"/>
  <c r="L219" i="1"/>
  <c r="L221" i="1" s="1"/>
  <c r="J219" i="1"/>
  <c r="J221" i="1" s="1"/>
  <c r="J92" i="1"/>
  <c r="J95" i="1" s="1"/>
  <c r="M219" i="1"/>
  <c r="M221" i="1" s="1"/>
  <c r="B78" i="1"/>
  <c r="F78" i="1"/>
  <c r="F92" i="1"/>
  <c r="F95" i="1" s="1"/>
  <c r="I78" i="1"/>
  <c r="I92" i="1"/>
  <c r="C78" i="1"/>
  <c r="L78" i="1"/>
  <c r="L92" i="1"/>
  <c r="S92" i="1"/>
  <c r="S78" i="1"/>
  <c r="J78" i="1"/>
  <c r="S219" i="1"/>
  <c r="S221" i="1" s="1"/>
  <c r="M78" i="1"/>
  <c r="I219" i="1"/>
  <c r="I221" i="1" s="1"/>
  <c r="F219" i="1"/>
  <c r="F221" i="1" s="1"/>
  <c r="C219" i="1"/>
  <c r="C221" i="1" s="1"/>
  <c r="K95" i="1" l="1"/>
  <c r="Q95" i="1"/>
  <c r="U96" i="1"/>
  <c r="M125" i="1"/>
  <c r="H95" i="1"/>
  <c r="E95" i="1"/>
  <c r="V95" i="1"/>
  <c r="O92" i="1"/>
  <c r="W92" i="1"/>
  <c r="CQ220" i="1"/>
  <c r="CQ158" i="1"/>
  <c r="DA103" i="1"/>
  <c r="CX91" i="1"/>
  <c r="CY8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AA232" i="1"/>
  <c r="N96" i="1"/>
  <c r="G96" i="1"/>
  <c r="S95" i="1"/>
  <c r="I95" i="1"/>
  <c r="J96" i="1" s="1"/>
  <c r="L95" i="1"/>
  <c r="P94" i="2"/>
  <c r="W94" i="2"/>
  <c r="L42" i="2"/>
  <c r="D92" i="2"/>
  <c r="H96" i="2"/>
  <c r="T73" i="2"/>
  <c r="D49" i="2"/>
  <c r="V91" i="2"/>
  <c r="M97" i="2"/>
  <c r="J84" i="2"/>
  <c r="I67" i="2"/>
  <c r="E69" i="2"/>
  <c r="F62" i="2"/>
  <c r="Q67" i="2"/>
  <c r="E105" i="2"/>
  <c r="R90" i="2"/>
  <c r="P98" i="2"/>
  <c r="K76" i="2"/>
  <c r="U83" i="2"/>
  <c r="E78" i="2"/>
  <c r="K83" i="2"/>
  <c r="D51" i="2"/>
  <c r="R49" i="2"/>
  <c r="G111" i="2"/>
  <c r="I50" i="2"/>
  <c r="M65" i="2"/>
  <c r="Q105" i="2"/>
  <c r="D93" i="2"/>
  <c r="G93" i="2"/>
  <c r="E61" i="2"/>
  <c r="P86" i="2"/>
  <c r="H65" i="2"/>
  <c r="K57" i="2"/>
  <c r="T99" i="2"/>
  <c r="M110" i="2"/>
  <c r="J70" i="2"/>
  <c r="C62" i="2"/>
  <c r="X109" i="2"/>
  <c r="F81" i="2"/>
  <c r="V77" i="2"/>
  <c r="C52" i="2"/>
  <c r="G110" i="2"/>
  <c r="P66" i="2"/>
  <c r="S74" i="2"/>
  <c r="E85" i="2"/>
  <c r="G109" i="2"/>
  <c r="S94" i="2"/>
  <c r="L87" i="2"/>
  <c r="U95" i="2"/>
  <c r="K97" i="2"/>
  <c r="H92" i="2"/>
  <c r="D48" i="2"/>
  <c r="N75" i="2"/>
  <c r="P79" i="2"/>
  <c r="I111" i="2"/>
  <c r="V113" i="2"/>
  <c r="H59" i="2"/>
  <c r="W56" i="2"/>
  <c r="X85" i="2"/>
  <c r="X72" i="2"/>
  <c r="K82" i="2"/>
  <c r="R107" i="2"/>
  <c r="S54" i="2"/>
  <c r="C67" i="2"/>
  <c r="F104" i="2"/>
  <c r="G91" i="2"/>
  <c r="R50" i="2"/>
  <c r="W84" i="2"/>
  <c r="P89" i="2"/>
  <c r="I68" i="2"/>
  <c r="M49" i="2"/>
  <c r="N44" i="2"/>
  <c r="G97" i="2"/>
  <c r="D55" i="2"/>
  <c r="G45" i="2"/>
  <c r="G68" i="2"/>
  <c r="F88" i="2"/>
  <c r="F52" i="2"/>
  <c r="O64" i="2"/>
  <c r="X75" i="2"/>
  <c r="X110" i="2"/>
  <c r="G96" i="2"/>
  <c r="W67" i="2"/>
  <c r="E90" i="2"/>
  <c r="F70" i="2"/>
  <c r="N96" i="2"/>
  <c r="C86" i="2"/>
  <c r="R52" i="2"/>
  <c r="V84" i="2"/>
  <c r="M80" i="2"/>
  <c r="V104" i="2"/>
  <c r="H113" i="2"/>
  <c r="R70" i="2"/>
  <c r="H53" i="2"/>
  <c r="U110" i="2"/>
  <c r="W77" i="2"/>
  <c r="K41" i="2"/>
  <c r="G84" i="2"/>
  <c r="H112" i="2"/>
  <c r="Q61" i="2"/>
  <c r="R45" i="2"/>
  <c r="N97" i="2"/>
  <c r="C89" i="2"/>
  <c r="C108" i="2"/>
  <c r="W104" i="2"/>
  <c r="M95" i="2"/>
  <c r="L48" i="2"/>
  <c r="S70" i="2"/>
  <c r="P44" i="2"/>
  <c r="K91" i="2"/>
  <c r="O85" i="2"/>
  <c r="W76" i="2"/>
  <c r="G113" i="2"/>
  <c r="R47" i="2"/>
  <c r="V42" i="2"/>
  <c r="P72" i="2"/>
  <c r="D58" i="2"/>
  <c r="V98" i="2"/>
  <c r="U58" i="2"/>
  <c r="E59" i="2"/>
  <c r="M96" i="2"/>
  <c r="E66" i="2"/>
  <c r="R88" i="2"/>
  <c r="H55" i="2"/>
  <c r="C109" i="2"/>
  <c r="N68" i="2"/>
  <c r="Q112" i="2"/>
  <c r="S57" i="2"/>
  <c r="T47" i="2"/>
  <c r="K80" i="2"/>
  <c r="D59" i="2"/>
  <c r="K79" i="2"/>
  <c r="T87" i="2"/>
  <c r="W63" i="2"/>
  <c r="P83" i="2"/>
  <c r="O105" i="2"/>
  <c r="E97" i="2"/>
  <c r="Q60" i="2"/>
  <c r="J72" i="2"/>
  <c r="U93" i="2"/>
  <c r="U48" i="2"/>
  <c r="C79" i="2"/>
  <c r="F90" i="2"/>
  <c r="P109" i="2"/>
  <c r="X43" i="2"/>
  <c r="W55" i="2"/>
  <c r="K86" i="2"/>
  <c r="D82" i="2"/>
  <c r="R91" i="2"/>
  <c r="P87" i="2"/>
  <c r="U64" i="2"/>
  <c r="R76" i="2"/>
  <c r="F59" i="2"/>
  <c r="F113" i="2"/>
  <c r="N69" i="2"/>
  <c r="X98" i="2"/>
  <c r="S111" i="2"/>
  <c r="C96" i="2"/>
  <c r="E112" i="2"/>
  <c r="O53" i="2"/>
  <c r="D69" i="2"/>
  <c r="E40" i="2"/>
  <c r="O43" i="2"/>
  <c r="X74" i="2"/>
  <c r="S55" i="2"/>
  <c r="M88" i="2"/>
  <c r="L53" i="2"/>
  <c r="M54" i="2"/>
  <c r="N54" i="2"/>
  <c r="Q70" i="2"/>
  <c r="V106" i="2"/>
  <c r="U94" i="2"/>
  <c r="U78" i="2"/>
  <c r="I95" i="2"/>
  <c r="R113" i="2"/>
  <c r="T98" i="2"/>
  <c r="N85" i="2"/>
  <c r="I48" i="2"/>
  <c r="X44" i="2"/>
  <c r="W50" i="2"/>
  <c r="N73" i="2"/>
  <c r="W65" i="2"/>
  <c r="O80" i="2"/>
  <c r="O107" i="2"/>
  <c r="K68" i="2"/>
  <c r="L113" i="2"/>
  <c r="X91" i="2"/>
  <c r="Q109" i="2"/>
  <c r="S41" i="2"/>
  <c r="G73" i="2"/>
  <c r="U99" i="2"/>
  <c r="F72" i="2"/>
  <c r="K73" i="2"/>
  <c r="E77" i="2"/>
  <c r="F65" i="2"/>
  <c r="F98" i="2"/>
  <c r="F74" i="2"/>
  <c r="C64" i="2"/>
  <c r="F73" i="2"/>
  <c r="Q41" i="2"/>
  <c r="U97" i="2"/>
  <c r="D64" i="2"/>
  <c r="L88" i="2"/>
  <c r="F64" i="2"/>
  <c r="X46" i="2"/>
  <c r="T112" i="2"/>
  <c r="W90" i="2"/>
  <c r="H61" i="2"/>
  <c r="S104" i="2"/>
  <c r="S69" i="2"/>
  <c r="X113" i="2"/>
  <c r="N63" i="2"/>
  <c r="M53" i="2"/>
  <c r="X64" i="2"/>
  <c r="N71" i="2"/>
  <c r="P75" i="2"/>
  <c r="P96" i="2"/>
  <c r="R96" i="2"/>
  <c r="D88" i="2"/>
  <c r="K107" i="2"/>
  <c r="N53" i="2"/>
  <c r="C85" i="2"/>
  <c r="I58" i="2"/>
  <c r="V105" i="2"/>
  <c r="F109" i="2"/>
  <c r="L112" i="2"/>
  <c r="H90" i="2"/>
  <c r="E106" i="2"/>
  <c r="I78" i="2"/>
  <c r="O84" i="2"/>
  <c r="H84" i="2"/>
  <c r="G65" i="2"/>
  <c r="W89" i="2"/>
  <c r="U91" i="2"/>
  <c r="E91" i="2"/>
  <c r="P97" i="2"/>
  <c r="P110" i="2"/>
  <c r="N41" i="2"/>
  <c r="U98" i="2"/>
  <c r="L76" i="2"/>
  <c r="R46" i="2"/>
  <c r="J113" i="2"/>
  <c r="R58" i="2"/>
  <c r="K113" i="2"/>
  <c r="Q81" i="2"/>
  <c r="E110" i="2"/>
  <c r="W48" i="2"/>
  <c r="K67" i="2"/>
  <c r="K74" i="2"/>
  <c r="T86" i="2"/>
  <c r="H78" i="2"/>
  <c r="L70" i="2"/>
  <c r="I70" i="2"/>
  <c r="D81" i="2"/>
  <c r="D74" i="2"/>
  <c r="L57" i="2"/>
  <c r="T76" i="2"/>
  <c r="N47" i="2"/>
  <c r="G71" i="2"/>
  <c r="W87" i="2"/>
  <c r="V81" i="2"/>
  <c r="T74" i="2"/>
  <c r="J95" i="2"/>
  <c r="P82" i="2"/>
  <c r="X70" i="2"/>
  <c r="K51" i="2"/>
  <c r="R56" i="2"/>
  <c r="R48" i="2"/>
  <c r="I87" i="2"/>
  <c r="F53" i="2"/>
  <c r="I54" i="2"/>
  <c r="C83" i="2"/>
  <c r="O41" i="2"/>
  <c r="H58" i="2"/>
  <c r="F97" i="2"/>
  <c r="V73" i="2"/>
  <c r="W41" i="2"/>
  <c r="J45" i="2"/>
  <c r="G104" i="2"/>
  <c r="E111" i="2"/>
  <c r="M73" i="2"/>
  <c r="C68" i="2"/>
  <c r="L66" i="2"/>
  <c r="H93" i="2"/>
  <c r="N61" i="2"/>
  <c r="C72" i="2"/>
  <c r="W40" i="2"/>
  <c r="T80" i="2"/>
  <c r="D41" i="2"/>
  <c r="E98" i="2"/>
  <c r="C46" i="2"/>
  <c r="T60" i="2"/>
  <c r="Q90" i="2"/>
  <c r="C45" i="2"/>
  <c r="P92" i="2"/>
  <c r="C104" i="2"/>
  <c r="G55" i="2"/>
  <c r="F51" i="2"/>
  <c r="I113" i="2"/>
  <c r="Q80" i="2"/>
  <c r="E96" i="2"/>
  <c r="O63" i="2"/>
  <c r="R71" i="2"/>
  <c r="J99" i="2"/>
  <c r="W91" i="2"/>
  <c r="N83" i="2"/>
  <c r="C73" i="2"/>
  <c r="V82" i="2"/>
  <c r="S60" i="2"/>
  <c r="W110" i="2"/>
  <c r="N104" i="2"/>
  <c r="P52" i="2"/>
  <c r="S89" i="2"/>
  <c r="H80" i="2"/>
  <c r="M76" i="2"/>
  <c r="L84" i="2"/>
  <c r="S84" i="2"/>
  <c r="L97" i="2"/>
  <c r="F95" i="2"/>
  <c r="J104" i="2"/>
  <c r="H45" i="2"/>
  <c r="L47" i="2"/>
  <c r="H75" i="2"/>
  <c r="K65" i="2"/>
  <c r="O57" i="2"/>
  <c r="J107" i="2"/>
  <c r="K81" i="2"/>
  <c r="Q49" i="2"/>
  <c r="M108" i="2"/>
  <c r="H111" i="2"/>
  <c r="E99" i="2"/>
  <c r="V80" i="2"/>
  <c r="R72" i="2"/>
  <c r="S109" i="2"/>
  <c r="V75" i="2"/>
  <c r="K49" i="2"/>
  <c r="O50" i="2"/>
  <c r="I61" i="2"/>
  <c r="L98" i="2"/>
  <c r="N43" i="2"/>
  <c r="L67" i="2"/>
  <c r="Q52" i="2"/>
  <c r="G79" i="2"/>
  <c r="P80" i="2"/>
  <c r="G108" i="2"/>
  <c r="S76" i="2"/>
  <c r="J41" i="2"/>
  <c r="P53" i="2"/>
  <c r="L111" i="2"/>
  <c r="P51" i="2"/>
  <c r="K53" i="2"/>
  <c r="U105" i="2"/>
  <c r="M48" i="2"/>
  <c r="Q94" i="2"/>
  <c r="W44" i="2"/>
  <c r="T62" i="2"/>
  <c r="H105" i="2"/>
  <c r="X60" i="2"/>
  <c r="W72" i="2"/>
  <c r="G57" i="2"/>
  <c r="V63" i="2"/>
  <c r="F54" i="2"/>
  <c r="I108" i="2"/>
  <c r="N64" i="2"/>
  <c r="O82" i="2"/>
  <c r="Q88" i="2"/>
  <c r="O67" i="2"/>
  <c r="I73" i="2"/>
  <c r="U113" i="2"/>
  <c r="N99" i="2"/>
  <c r="U111" i="2"/>
  <c r="U80" i="2"/>
  <c r="D91" i="2"/>
  <c r="D86" i="2"/>
  <c r="T42" i="2"/>
  <c r="V61" i="2"/>
  <c r="N59" i="2"/>
  <c r="L105" i="2"/>
  <c r="J47" i="2"/>
  <c r="X45" i="2"/>
  <c r="F112" i="2"/>
  <c r="G42" i="2"/>
  <c r="O96" i="2"/>
  <c r="Q45" i="2"/>
  <c r="W64" i="2"/>
  <c r="O92" i="2"/>
  <c r="E44" i="2"/>
  <c r="C97" i="2"/>
  <c r="M106" i="2"/>
  <c r="U49" i="2"/>
  <c r="H104" i="2"/>
  <c r="M99" i="2"/>
  <c r="R69" i="2"/>
  <c r="W51" i="2"/>
  <c r="O89" i="2"/>
  <c r="M74" i="2"/>
  <c r="E47" i="2"/>
  <c r="D43" i="2"/>
  <c r="U71" i="2"/>
  <c r="P104" i="2"/>
  <c r="Q106" i="2"/>
  <c r="D107" i="2"/>
  <c r="D105" i="2"/>
  <c r="R68" i="2"/>
  <c r="K45" i="2"/>
  <c r="X73" i="2"/>
  <c r="X51" i="2"/>
  <c r="I80" i="2"/>
  <c r="D79" i="2"/>
  <c r="O42" i="2"/>
  <c r="L83" i="2"/>
  <c r="I59" i="2"/>
  <c r="I60" i="2"/>
  <c r="V44" i="2"/>
  <c r="R66" i="2"/>
  <c r="V96" i="2"/>
  <c r="G80" i="2"/>
  <c r="R85" i="2"/>
  <c r="N51" i="2"/>
  <c r="P76" i="2"/>
  <c r="H79" i="2"/>
  <c r="V93" i="2"/>
  <c r="Q91" i="2"/>
  <c r="T65" i="2"/>
  <c r="M45" i="2"/>
  <c r="E104" i="2"/>
  <c r="J93" i="2"/>
  <c r="H67" i="2"/>
  <c r="H106" i="2"/>
  <c r="F69" i="2"/>
  <c r="U65" i="2"/>
  <c r="I96" i="2"/>
  <c r="N87" i="2"/>
  <c r="M52" i="2"/>
  <c r="C50" i="2"/>
  <c r="W58" i="2"/>
  <c r="C70" i="2"/>
  <c r="V112" i="2"/>
  <c r="W43" i="2"/>
  <c r="G85" i="2"/>
  <c r="L59" i="2"/>
  <c r="I93" i="2"/>
  <c r="V92" i="2"/>
  <c r="U79" i="2"/>
  <c r="K109" i="2"/>
  <c r="H40" i="2"/>
  <c r="V110" i="2"/>
  <c r="W79" i="2"/>
  <c r="F87" i="2"/>
  <c r="F105" i="2"/>
  <c r="U77" i="2"/>
  <c r="X93" i="2"/>
  <c r="E51" i="2"/>
  <c r="H81" i="2"/>
  <c r="V57" i="2"/>
  <c r="X58" i="2"/>
  <c r="I109" i="2"/>
  <c r="N46" i="2"/>
  <c r="X47" i="2"/>
  <c r="K61" i="2"/>
  <c r="Q44" i="2"/>
  <c r="M69" i="2"/>
  <c r="S44" i="2"/>
  <c r="P88" i="2"/>
  <c r="Q79" i="2"/>
  <c r="H77" i="2"/>
  <c r="O106" i="2"/>
  <c r="W68" i="2"/>
  <c r="R51" i="2"/>
  <c r="L69" i="2"/>
  <c r="F106" i="2"/>
  <c r="C95" i="2"/>
  <c r="I88" i="2"/>
  <c r="Q86" i="2"/>
  <c r="K54" i="2"/>
  <c r="J108" i="2"/>
  <c r="G75" i="2"/>
  <c r="E76" i="2"/>
  <c r="O112" i="2"/>
  <c r="F94" i="2"/>
  <c r="X80" i="2"/>
  <c r="V58" i="2"/>
  <c r="I79" i="2"/>
  <c r="M44" i="2"/>
  <c r="L75" i="2"/>
  <c r="V76" i="2"/>
  <c r="E75" i="2"/>
  <c r="G112" i="2"/>
  <c r="G51" i="2"/>
  <c r="W62" i="2"/>
  <c r="X50" i="2"/>
  <c r="L96" i="2"/>
  <c r="E79" i="2"/>
  <c r="E83" i="2"/>
  <c r="I72" i="2"/>
  <c r="I94" i="2"/>
  <c r="M107" i="2"/>
  <c r="P112" i="2"/>
  <c r="S95" i="2"/>
  <c r="W49" i="2"/>
  <c r="W71" i="2"/>
  <c r="K64" i="2"/>
  <c r="I53" i="2"/>
  <c r="M50" i="2"/>
  <c r="S52" i="2"/>
  <c r="I62" i="2"/>
  <c r="R99" i="2"/>
  <c r="R108" i="2"/>
  <c r="L109" i="2"/>
  <c r="S105" i="2"/>
  <c r="D111" i="2"/>
  <c r="C82" i="2"/>
  <c r="P73" i="2"/>
  <c r="J91" i="2"/>
  <c r="X84" i="2"/>
  <c r="E58" i="2"/>
  <c r="S86" i="2"/>
  <c r="X107" i="2"/>
  <c r="H85" i="2"/>
  <c r="E88" i="2"/>
  <c r="N80" i="2"/>
  <c r="V64" i="2"/>
  <c r="J86" i="2"/>
  <c r="V51" i="2"/>
  <c r="V95" i="2"/>
  <c r="C99" i="2"/>
  <c r="G61" i="2"/>
  <c r="R60" i="2"/>
  <c r="X95" i="2"/>
  <c r="D70" i="2"/>
  <c r="T88" i="2"/>
  <c r="X87" i="2"/>
  <c r="G47" i="2"/>
  <c r="S93" i="2"/>
  <c r="R111" i="2"/>
  <c r="D71" i="2"/>
  <c r="R73" i="2"/>
  <c r="L108" i="2"/>
  <c r="T109" i="2"/>
  <c r="K62" i="2"/>
  <c r="X78" i="2"/>
  <c r="J62" i="2"/>
  <c r="O46" i="2"/>
  <c r="Q110" i="2"/>
  <c r="D77" i="2"/>
  <c r="X40" i="2"/>
  <c r="M64" i="2"/>
  <c r="N82" i="2"/>
  <c r="J112" i="2"/>
  <c r="F107" i="2"/>
  <c r="H82" i="2"/>
  <c r="S110" i="2"/>
  <c r="J75" i="2"/>
  <c r="J65" i="2"/>
  <c r="X111" i="2"/>
  <c r="L81" i="2"/>
  <c r="J94" i="2"/>
  <c r="M70" i="2"/>
  <c r="O111" i="2"/>
  <c r="H57" i="2"/>
  <c r="G40" i="2"/>
  <c r="S67" i="2"/>
  <c r="T64" i="2"/>
  <c r="D76" i="2"/>
  <c r="H60" i="2"/>
  <c r="O61" i="2"/>
  <c r="G98" i="2"/>
  <c r="K52" i="2"/>
  <c r="K108" i="2"/>
  <c r="R89" i="2"/>
  <c r="R80" i="2"/>
  <c r="M47" i="2"/>
  <c r="G66" i="2"/>
  <c r="R81" i="2"/>
  <c r="I49" i="2"/>
  <c r="J97" i="2"/>
  <c r="F110" i="2"/>
  <c r="L90" i="2"/>
  <c r="V53" i="2"/>
  <c r="X105" i="2"/>
  <c r="R104" i="2"/>
  <c r="M59" i="2"/>
  <c r="D75" i="2"/>
  <c r="P45" i="2"/>
  <c r="P59" i="2"/>
  <c r="C44" i="2"/>
  <c r="P106" i="2"/>
  <c r="X54" i="2"/>
  <c r="L89" i="2"/>
  <c r="C92" i="2"/>
  <c r="C43" i="2"/>
  <c r="X49" i="2"/>
  <c r="Q75" i="2"/>
  <c r="T44" i="2"/>
  <c r="E55" i="2"/>
  <c r="J92" i="2"/>
  <c r="U47" i="2"/>
  <c r="F71" i="2"/>
  <c r="U59" i="2"/>
  <c r="N52" i="2"/>
  <c r="I81" i="2"/>
  <c r="V69" i="2"/>
  <c r="I71" i="2"/>
  <c r="O97" i="2"/>
  <c r="W81" i="2"/>
  <c r="T111" i="2"/>
  <c r="N74" i="2"/>
  <c r="K60" i="2"/>
  <c r="H51" i="2"/>
  <c r="E108" i="2"/>
  <c r="U82" i="2"/>
  <c r="V74" i="2"/>
  <c r="S56" i="2"/>
  <c r="C49" i="2"/>
  <c r="H71" i="2"/>
  <c r="T83" i="2"/>
  <c r="K78" i="2"/>
  <c r="G67" i="2"/>
  <c r="J42" i="2"/>
  <c r="V67" i="2"/>
  <c r="D54" i="2"/>
  <c r="N81" i="2"/>
  <c r="S91" i="2"/>
  <c r="C107" i="2"/>
  <c r="F63" i="2"/>
  <c r="C75" i="2"/>
  <c r="V78" i="2"/>
  <c r="D113" i="2"/>
  <c r="U45" i="2"/>
  <c r="O76" i="2"/>
  <c r="U69" i="2"/>
  <c r="Q96" i="2"/>
  <c r="R94" i="2"/>
  <c r="P111" i="2"/>
  <c r="I76" i="2"/>
  <c r="P48" i="2"/>
  <c r="V65" i="2"/>
  <c r="X96" i="2"/>
  <c r="F85" i="2"/>
  <c r="J88" i="2"/>
  <c r="G69" i="2"/>
  <c r="G106" i="2"/>
  <c r="K93" i="2"/>
  <c r="S77" i="2"/>
  <c r="M94" i="2"/>
  <c r="W60" i="2"/>
  <c r="X62" i="2"/>
  <c r="P46" i="2"/>
  <c r="T90" i="2"/>
  <c r="P70" i="2"/>
  <c r="T110" i="2"/>
  <c r="H109" i="2"/>
  <c r="F108" i="2"/>
  <c r="O78" i="2"/>
  <c r="R84" i="2"/>
  <c r="P55" i="2"/>
  <c r="I85" i="2"/>
  <c r="R42" i="2"/>
  <c r="S73" i="2"/>
  <c r="L78" i="2"/>
  <c r="L93" i="2"/>
  <c r="U68" i="2"/>
  <c r="O95" i="2"/>
  <c r="K88" i="2"/>
  <c r="T113" i="2"/>
  <c r="I64" i="2"/>
  <c r="F78" i="2"/>
  <c r="O94" i="2"/>
  <c r="Q97" i="2"/>
  <c r="J52" i="2"/>
  <c r="W109" i="2"/>
  <c r="S68" i="2"/>
  <c r="C55" i="2"/>
  <c r="G70" i="2"/>
  <c r="E93" i="2"/>
  <c r="X104" i="2"/>
  <c r="U104" i="2"/>
  <c r="M84" i="2"/>
  <c r="O70" i="2"/>
  <c r="U51" i="2"/>
  <c r="M58" i="2"/>
  <c r="U74" i="2"/>
  <c r="P56" i="2"/>
  <c r="P64" i="2"/>
  <c r="X59" i="2"/>
  <c r="J59" i="2"/>
  <c r="L106" i="2"/>
  <c r="L71" i="2"/>
  <c r="H43" i="2"/>
  <c r="U50" i="2"/>
  <c r="T92" i="2"/>
  <c r="F86" i="2"/>
  <c r="P67" i="2"/>
  <c r="M83" i="2"/>
  <c r="D66" i="2"/>
  <c r="T81" i="2"/>
  <c r="O48" i="2"/>
  <c r="S49" i="2"/>
  <c r="R55" i="2"/>
  <c r="S83" i="2"/>
  <c r="G88" i="2"/>
  <c r="G41" i="2"/>
  <c r="V41" i="2"/>
  <c r="Q104" i="2"/>
  <c r="C80" i="2"/>
  <c r="T104" i="2"/>
  <c r="G43" i="2"/>
  <c r="N86" i="2"/>
  <c r="I97" i="2"/>
  <c r="I89" i="2"/>
  <c r="E84" i="2"/>
  <c r="V48" i="2"/>
  <c r="S40" i="2"/>
  <c r="E109" i="2"/>
  <c r="I75" i="2"/>
  <c r="D85" i="2"/>
  <c r="E54" i="2"/>
  <c r="D62" i="2"/>
  <c r="W42" i="2"/>
  <c r="J83" i="2"/>
  <c r="K47" i="2"/>
  <c r="R57" i="2"/>
  <c r="H72" i="2"/>
  <c r="V90" i="2"/>
  <c r="E41" i="2"/>
  <c r="X56" i="2"/>
  <c r="C56" i="2"/>
  <c r="U107" i="2"/>
  <c r="W113" i="2"/>
  <c r="H70" i="2"/>
  <c r="S42" i="2"/>
  <c r="R77" i="2"/>
  <c r="H64" i="2"/>
  <c r="N70" i="2"/>
  <c r="D53" i="2"/>
  <c r="H97" i="2"/>
  <c r="I66" i="2"/>
  <c r="J73" i="2"/>
  <c r="S61" i="2"/>
  <c r="D44" i="2"/>
  <c r="D84" i="2"/>
  <c r="N62" i="2"/>
  <c r="J74" i="2"/>
  <c r="V89" i="2"/>
  <c r="D104" i="2"/>
  <c r="O77" i="2"/>
  <c r="U76" i="2"/>
  <c r="U54" i="2"/>
  <c r="C77" i="2"/>
  <c r="O81" i="2"/>
  <c r="L50" i="2"/>
  <c r="U75" i="2"/>
  <c r="X112" i="2"/>
  <c r="R98" i="2"/>
  <c r="I51" i="2"/>
  <c r="G49" i="2"/>
  <c r="O104" i="2"/>
  <c r="T50" i="2"/>
  <c r="V86" i="2"/>
  <c r="T55" i="2"/>
  <c r="F68" i="2"/>
  <c r="F50" i="2"/>
  <c r="O98" i="2"/>
  <c r="N93" i="2"/>
  <c r="R75" i="2"/>
  <c r="R97" i="2"/>
  <c r="N48" i="2"/>
  <c r="C105" i="2"/>
  <c r="N78" i="2"/>
  <c r="U44" i="2"/>
  <c r="E52" i="2"/>
  <c r="S90" i="2"/>
  <c r="P41" i="2"/>
  <c r="S66" i="2"/>
  <c r="I65" i="2"/>
  <c r="M60" i="2"/>
  <c r="D94" i="2"/>
  <c r="M56" i="2"/>
  <c r="T58" i="2"/>
  <c r="D68" i="2"/>
  <c r="C47" i="2"/>
  <c r="S50" i="2"/>
  <c r="D57" i="2"/>
  <c r="D110" i="2"/>
  <c r="I77" i="2"/>
  <c r="G72" i="2"/>
  <c r="L64" i="2"/>
  <c r="X42" i="2"/>
  <c r="K42" i="2"/>
  <c r="R86" i="2"/>
  <c r="I104" i="2"/>
  <c r="W73" i="2"/>
  <c r="P84" i="2"/>
  <c r="M51" i="2"/>
  <c r="W112" i="2"/>
  <c r="J79" i="2"/>
  <c r="X67" i="2"/>
  <c r="N107" i="2"/>
  <c r="I43" i="2"/>
  <c r="G89" i="2"/>
  <c r="P63" i="2"/>
  <c r="L43" i="2"/>
  <c r="L54" i="2"/>
  <c r="S87" i="2"/>
  <c r="E94" i="2"/>
  <c r="U42" i="2"/>
  <c r="E60" i="2"/>
  <c r="E46" i="2"/>
  <c r="L56" i="2"/>
  <c r="M67" i="2"/>
  <c r="L60" i="2"/>
  <c r="P93" i="2"/>
  <c r="T54" i="2"/>
  <c r="G59" i="2"/>
  <c r="M40" i="2"/>
  <c r="S106" i="2"/>
  <c r="L86" i="2"/>
  <c r="H83" i="2"/>
  <c r="T106" i="2"/>
  <c r="K46" i="2"/>
  <c r="X83" i="2"/>
  <c r="S112" i="2"/>
  <c r="C58" i="2"/>
  <c r="R105" i="2"/>
  <c r="J50" i="2"/>
  <c r="S71" i="2"/>
  <c r="J60" i="2"/>
  <c r="X89" i="2"/>
  <c r="N66" i="2"/>
  <c r="U62" i="2"/>
  <c r="X77" i="2"/>
  <c r="D112" i="2"/>
  <c r="L45" i="2"/>
  <c r="H63" i="2"/>
  <c r="F45" i="2"/>
  <c r="V66" i="2"/>
  <c r="L79" i="2"/>
  <c r="X79" i="2"/>
  <c r="W59" i="2"/>
  <c r="J44" i="2"/>
  <c r="U43" i="2"/>
  <c r="N108" i="2"/>
  <c r="N72" i="2"/>
  <c r="K98" i="2"/>
  <c r="P74" i="2"/>
  <c r="T75" i="2"/>
  <c r="N79" i="2"/>
  <c r="M92" i="2"/>
  <c r="I69" i="2"/>
  <c r="D99" i="2"/>
  <c r="S72" i="2"/>
  <c r="F77" i="2"/>
  <c r="F55" i="2"/>
  <c r="M81" i="2"/>
  <c r="H110" i="2"/>
  <c r="P81" i="2"/>
  <c r="E50" i="2"/>
  <c r="G63" i="2"/>
  <c r="J49" i="2"/>
  <c r="N106" i="2"/>
  <c r="O75" i="2"/>
  <c r="N76" i="2"/>
  <c r="I47" i="2"/>
  <c r="Q113" i="2"/>
  <c r="V111" i="2"/>
  <c r="V40" i="2"/>
  <c r="M91" i="2"/>
  <c r="W107" i="2"/>
  <c r="N77" i="2"/>
  <c r="N113" i="2"/>
  <c r="F47" i="2"/>
  <c r="S81" i="2"/>
  <c r="I63" i="2"/>
  <c r="F60" i="2"/>
  <c r="E68" i="2"/>
  <c r="N95" i="2"/>
  <c r="S80" i="2"/>
  <c r="N55" i="2"/>
  <c r="C41" i="2"/>
  <c r="F76" i="2"/>
  <c r="Q108" i="2"/>
  <c r="J96" i="2"/>
  <c r="G48" i="2"/>
  <c r="J68" i="2"/>
  <c r="S59" i="2"/>
  <c r="I56" i="2"/>
  <c r="R83" i="2"/>
  <c r="U85" i="2"/>
  <c r="F46" i="2"/>
  <c r="L85" i="2"/>
  <c r="J46" i="2"/>
  <c r="H94" i="2"/>
  <c r="X52" i="2"/>
  <c r="M68" i="2"/>
  <c r="T51" i="2"/>
  <c r="M41" i="2"/>
  <c r="X90" i="2"/>
  <c r="R64" i="2"/>
  <c r="K71" i="2"/>
  <c r="W80" i="2"/>
  <c r="Q47" i="2"/>
  <c r="H48" i="2"/>
  <c r="Q92" i="2"/>
  <c r="F91" i="2"/>
  <c r="N111" i="2"/>
  <c r="N49" i="2"/>
  <c r="U112" i="2"/>
  <c r="R109" i="2"/>
  <c r="U40" i="2"/>
  <c r="U53" i="2"/>
  <c r="P40" i="2"/>
  <c r="D65" i="2"/>
  <c r="J98" i="2"/>
  <c r="W95" i="2"/>
  <c r="V46" i="2"/>
  <c r="K94" i="2"/>
  <c r="Q98" i="2"/>
  <c r="O55" i="2"/>
  <c r="E42" i="2"/>
  <c r="N67" i="2"/>
  <c r="S65" i="2"/>
  <c r="U106" i="2"/>
  <c r="T91" i="2"/>
  <c r="D52" i="2"/>
  <c r="X97" i="2"/>
  <c r="G52" i="2"/>
  <c r="X99" i="2"/>
  <c r="R82" i="2"/>
  <c r="I41" i="2"/>
  <c r="N56" i="2"/>
  <c r="V54" i="2"/>
  <c r="P65" i="2"/>
  <c r="K99" i="2"/>
  <c r="V107" i="2"/>
  <c r="V68" i="2"/>
  <c r="T69" i="2"/>
  <c r="T52" i="2"/>
  <c r="U63" i="2"/>
  <c r="N94" i="2"/>
  <c r="V70" i="2"/>
  <c r="T67" i="2"/>
  <c r="K40" i="2"/>
  <c r="M82" i="2"/>
  <c r="C53" i="2"/>
  <c r="J82" i="2"/>
  <c r="T85" i="2"/>
  <c r="H107" i="2"/>
  <c r="O68" i="2"/>
  <c r="L40" i="2"/>
  <c r="W78" i="2"/>
  <c r="I42" i="2"/>
  <c r="M43" i="2"/>
  <c r="E89" i="2"/>
  <c r="V79" i="2"/>
  <c r="L41" i="2"/>
  <c r="J81" i="2"/>
  <c r="K63" i="2"/>
  <c r="F111" i="2"/>
  <c r="H98" i="2"/>
  <c r="T53" i="2"/>
  <c r="Q43" i="2"/>
  <c r="U67" i="2"/>
  <c r="C91" i="2"/>
  <c r="D63" i="2"/>
  <c r="D80" i="2"/>
  <c r="D40" i="2"/>
  <c r="P68" i="2"/>
  <c r="J71" i="2"/>
  <c r="X65" i="2"/>
  <c r="O62" i="2"/>
  <c r="D46" i="2"/>
  <c r="R43" i="2"/>
  <c r="V50" i="2"/>
  <c r="F57" i="2"/>
  <c r="S75" i="2"/>
  <c r="U70" i="2"/>
  <c r="M104" i="2"/>
  <c r="W85" i="2"/>
  <c r="K92" i="2"/>
  <c r="E81" i="2"/>
  <c r="M85" i="2"/>
  <c r="T105" i="2"/>
  <c r="Q62" i="2"/>
  <c r="D56" i="2"/>
  <c r="I52" i="2"/>
  <c r="M98" i="2"/>
  <c r="V109" i="2"/>
  <c r="C40" i="2"/>
  <c r="M63" i="2"/>
  <c r="X61" i="2"/>
  <c r="N88" i="2"/>
  <c r="I106" i="2"/>
  <c r="H56" i="2"/>
  <c r="W52" i="2"/>
  <c r="Q89" i="2"/>
  <c r="J87" i="2"/>
  <c r="O93" i="2"/>
  <c r="Q99" i="2"/>
  <c r="Q71" i="2"/>
  <c r="Q64" i="2"/>
  <c r="D98" i="2"/>
  <c r="D50" i="2"/>
  <c r="K111" i="2"/>
  <c r="M78" i="2"/>
  <c r="K48" i="2"/>
  <c r="P42" i="2"/>
  <c r="L46" i="2"/>
  <c r="Q83" i="2"/>
  <c r="G82" i="2"/>
  <c r="D109" i="2"/>
  <c r="T68" i="2"/>
  <c r="H42" i="2"/>
  <c r="O45" i="2"/>
  <c r="J55" i="2"/>
  <c r="J40" i="2"/>
  <c r="P91" i="2"/>
  <c r="G87" i="2"/>
  <c r="I82" i="2"/>
  <c r="G92" i="2"/>
  <c r="R93" i="2"/>
  <c r="O49" i="2"/>
  <c r="T63" i="2"/>
  <c r="C81" i="2"/>
  <c r="X71" i="2"/>
  <c r="J110" i="2"/>
  <c r="G105" i="2"/>
  <c r="V71" i="2"/>
  <c r="X108" i="2"/>
  <c r="Q51" i="2"/>
  <c r="L44" i="2"/>
  <c r="U96" i="2"/>
  <c r="G56" i="2"/>
  <c r="S113" i="2"/>
  <c r="F96" i="2"/>
  <c r="E74" i="2"/>
  <c r="O83" i="2"/>
  <c r="T93" i="2"/>
  <c r="T59" i="2"/>
  <c r="P57" i="2"/>
  <c r="L80" i="2"/>
  <c r="O69" i="2"/>
  <c r="S51" i="2"/>
  <c r="I45" i="2"/>
  <c r="L73" i="2"/>
  <c r="N60" i="2"/>
  <c r="V55" i="2"/>
  <c r="O87" i="2"/>
  <c r="P50" i="2"/>
  <c r="O90" i="2"/>
  <c r="G53" i="2"/>
  <c r="C76" i="2"/>
  <c r="I112" i="2"/>
  <c r="C110" i="2"/>
  <c r="K75" i="2"/>
  <c r="T70" i="2"/>
  <c r="T49" i="2"/>
  <c r="N84" i="2"/>
  <c r="U87" i="2"/>
  <c r="F61" i="2"/>
  <c r="H52" i="2"/>
  <c r="C57" i="2"/>
  <c r="L52" i="2"/>
  <c r="T84" i="2"/>
  <c r="K72" i="2"/>
  <c r="O110" i="2"/>
  <c r="S92" i="2"/>
  <c r="G99" i="2"/>
  <c r="M62" i="2"/>
  <c r="K89" i="2"/>
  <c r="P60" i="2"/>
  <c r="S79" i="2"/>
  <c r="M77" i="2"/>
  <c r="X94" i="2"/>
  <c r="O44" i="2"/>
  <c r="U84" i="2"/>
  <c r="H89" i="2"/>
  <c r="Q84" i="2"/>
  <c r="K56" i="2"/>
  <c r="P54" i="2"/>
  <c r="R65" i="2"/>
  <c r="L72" i="2"/>
  <c r="L104" i="2"/>
  <c r="U55" i="2"/>
  <c r="V49" i="2"/>
  <c r="V56" i="2"/>
  <c r="V99" i="2"/>
  <c r="P90" i="2"/>
  <c r="L107" i="2"/>
  <c r="G58" i="2"/>
  <c r="E82" i="2"/>
  <c r="J43" i="2"/>
  <c r="Q107" i="2"/>
  <c r="O109" i="2"/>
  <c r="U41" i="2"/>
  <c r="M90" i="2"/>
  <c r="T45" i="2"/>
  <c r="W88" i="2"/>
  <c r="E48" i="2"/>
  <c r="D78" i="2"/>
  <c r="M89" i="2"/>
  <c r="T94" i="2"/>
  <c r="S43" i="2"/>
  <c r="K110" i="2"/>
  <c r="I99" i="2"/>
  <c r="T41" i="2"/>
  <c r="W54" i="2"/>
  <c r="P95" i="2"/>
  <c r="H41" i="2"/>
  <c r="F40" i="2"/>
  <c r="Q82" i="2"/>
  <c r="G90" i="2"/>
  <c r="E67" i="2"/>
  <c r="X82" i="2"/>
  <c r="S88" i="2"/>
  <c r="F83" i="2"/>
  <c r="U56" i="2"/>
  <c r="T40" i="2"/>
  <c r="P49" i="2"/>
  <c r="E53" i="2"/>
  <c r="M93" i="2"/>
  <c r="W69" i="2"/>
  <c r="P107" i="2"/>
  <c r="W53" i="2"/>
  <c r="P43" i="2"/>
  <c r="O72" i="2"/>
  <c r="Q111" i="2"/>
  <c r="N57" i="2"/>
  <c r="H91" i="2"/>
  <c r="M66" i="2"/>
  <c r="U108" i="2"/>
  <c r="R95" i="2"/>
  <c r="T82" i="2"/>
  <c r="Q65" i="2"/>
  <c r="U52" i="2"/>
  <c r="O51" i="2"/>
  <c r="K44" i="2"/>
  <c r="O54" i="2"/>
  <c r="I55" i="2"/>
  <c r="F79" i="2"/>
  <c r="O86" i="2"/>
  <c r="J76" i="2"/>
  <c r="H62" i="2"/>
  <c r="C93" i="2"/>
  <c r="D42" i="2"/>
  <c r="U109" i="2"/>
  <c r="I46" i="2"/>
  <c r="V43" i="2"/>
  <c r="S98" i="2"/>
  <c r="M86" i="2"/>
  <c r="T43" i="2"/>
  <c r="M61" i="2"/>
  <c r="L63" i="2"/>
  <c r="N89" i="2"/>
  <c r="V83" i="2"/>
  <c r="O58" i="2"/>
  <c r="H47" i="2"/>
  <c r="V94" i="2"/>
  <c r="S53" i="2"/>
  <c r="X69" i="2"/>
  <c r="T78" i="2"/>
  <c r="M57" i="2"/>
  <c r="E49" i="2"/>
  <c r="W47" i="2"/>
  <c r="I83" i="2"/>
  <c r="L51" i="2"/>
  <c r="N40" i="2"/>
  <c r="K112" i="2"/>
  <c r="I84" i="2"/>
  <c r="K58" i="2"/>
  <c r="J57" i="2"/>
  <c r="H68" i="2"/>
  <c r="R74" i="2"/>
  <c r="L95" i="2"/>
  <c r="R62" i="2"/>
  <c r="C94" i="2"/>
  <c r="F48" i="2"/>
  <c r="V62" i="2"/>
  <c r="U81" i="2"/>
  <c r="I40" i="2"/>
  <c r="M55" i="2"/>
  <c r="E72" i="2"/>
  <c r="P47" i="2"/>
  <c r="W105" i="2"/>
  <c r="U72" i="2"/>
  <c r="C98" i="2"/>
  <c r="M105" i="2"/>
  <c r="T107" i="2"/>
  <c r="J63" i="2"/>
  <c r="U61" i="2"/>
  <c r="X68" i="2"/>
  <c r="T89" i="2"/>
  <c r="M112" i="2"/>
  <c r="E57" i="2"/>
  <c r="S45" i="2"/>
  <c r="I74" i="2"/>
  <c r="D89" i="2"/>
  <c r="F80" i="2"/>
  <c r="Q66" i="2"/>
  <c r="F58" i="2"/>
  <c r="D96" i="2"/>
  <c r="W45" i="2"/>
  <c r="W111" i="2"/>
  <c r="C54" i="2"/>
  <c r="E73" i="2"/>
  <c r="J54" i="2"/>
  <c r="D61" i="2"/>
  <c r="G46" i="2"/>
  <c r="J109" i="2"/>
  <c r="Q68" i="2"/>
  <c r="Q42" i="2"/>
  <c r="F92" i="2"/>
  <c r="F84" i="2"/>
  <c r="D95" i="2"/>
  <c r="Q95" i="2"/>
  <c r="J80" i="2"/>
  <c r="R40" i="2"/>
  <c r="J51" i="2"/>
  <c r="O60" i="2"/>
  <c r="N91" i="2"/>
  <c r="V72" i="2"/>
  <c r="J90" i="2"/>
  <c r="Q73" i="2"/>
  <c r="T71" i="2"/>
  <c r="K85" i="2"/>
  <c r="L110" i="2"/>
  <c r="T66" i="2"/>
  <c r="J106" i="2"/>
  <c r="L92" i="2"/>
  <c r="X86" i="2"/>
  <c r="D108" i="2"/>
  <c r="S107" i="2"/>
  <c r="F44" i="2"/>
  <c r="P77" i="2"/>
  <c r="D45" i="2"/>
  <c r="X48" i="2"/>
  <c r="J53" i="2"/>
  <c r="X53" i="2"/>
  <c r="J61" i="2"/>
  <c r="U57" i="2"/>
  <c r="T72" i="2"/>
  <c r="U73" i="2"/>
  <c r="H46" i="2"/>
  <c r="J58" i="2"/>
  <c r="F93" i="2"/>
  <c r="J56" i="2"/>
  <c r="U66" i="2"/>
  <c r="W93" i="2"/>
  <c r="K55" i="2"/>
  <c r="G74" i="2"/>
  <c r="L91" i="2"/>
  <c r="I91" i="2"/>
  <c r="M113" i="2"/>
  <c r="C71" i="2"/>
  <c r="Q63" i="2"/>
  <c r="X81" i="2"/>
  <c r="G60" i="2"/>
  <c r="S63" i="2"/>
  <c r="U46" i="2"/>
  <c r="K106" i="2"/>
  <c r="V85" i="2"/>
  <c r="L82" i="2"/>
  <c r="G77" i="2"/>
  <c r="R78" i="2"/>
  <c r="S108" i="2"/>
  <c r="N110" i="2"/>
  <c r="U88" i="2"/>
  <c r="X57" i="2"/>
  <c r="O52" i="2"/>
  <c r="L74" i="2"/>
  <c r="H95" i="2"/>
  <c r="E95" i="2"/>
  <c r="G62" i="2"/>
  <c r="J48" i="2"/>
  <c r="C87" i="2"/>
  <c r="G94" i="2"/>
  <c r="C61" i="2"/>
  <c r="M109" i="2"/>
  <c r="N45" i="2"/>
  <c r="I57" i="2"/>
  <c r="O59" i="2"/>
  <c r="R112" i="2"/>
  <c r="C78" i="2"/>
  <c r="M46" i="2"/>
  <c r="J64" i="2"/>
  <c r="O71" i="2"/>
  <c r="T61" i="2"/>
  <c r="R53" i="2"/>
  <c r="O99" i="2"/>
  <c r="T77" i="2"/>
  <c r="E56" i="2"/>
  <c r="E80" i="2"/>
  <c r="P99" i="2"/>
  <c r="O91" i="2"/>
  <c r="C48" i="2"/>
  <c r="L49" i="2"/>
  <c r="F66" i="2"/>
  <c r="J89" i="2"/>
  <c r="O108" i="2"/>
  <c r="T97" i="2"/>
  <c r="H88" i="2"/>
  <c r="H108" i="2"/>
  <c r="G44" i="2"/>
  <c r="W61" i="2"/>
  <c r="O66" i="2"/>
  <c r="X76" i="2"/>
  <c r="P58" i="2"/>
  <c r="D60" i="2"/>
  <c r="E92" i="2"/>
  <c r="T46" i="2"/>
  <c r="O40" i="2"/>
  <c r="W97" i="2"/>
  <c r="M42" i="2"/>
  <c r="N109" i="2"/>
  <c r="U89" i="2"/>
  <c r="V88" i="2"/>
  <c r="Q40" i="2"/>
  <c r="K95" i="2"/>
  <c r="C60" i="2"/>
  <c r="S47" i="2"/>
  <c r="O73" i="2"/>
  <c r="R44" i="2"/>
  <c r="N42" i="2"/>
  <c r="H86" i="2"/>
  <c r="U60" i="2"/>
  <c r="I107" i="2"/>
  <c r="L94" i="2"/>
  <c r="W83" i="2"/>
  <c r="G50" i="2"/>
  <c r="R87" i="2"/>
  <c r="V59" i="2"/>
  <c r="S82" i="2"/>
  <c r="N65" i="2"/>
  <c r="P71" i="2"/>
  <c r="S96" i="2"/>
  <c r="W57" i="2"/>
  <c r="L62" i="2"/>
  <c r="W75" i="2"/>
  <c r="K66" i="2"/>
  <c r="Q48" i="2"/>
  <c r="D83" i="2"/>
  <c r="K69" i="2"/>
  <c r="U90" i="2"/>
  <c r="R63" i="2"/>
  <c r="K104" i="2"/>
  <c r="N50" i="2"/>
  <c r="E62" i="2"/>
  <c r="J105" i="2"/>
  <c r="E71" i="2"/>
  <c r="T56" i="2"/>
  <c r="C69" i="2"/>
  <c r="H73" i="2"/>
  <c r="G107" i="2"/>
  <c r="J111" i="2"/>
  <c r="U92" i="2"/>
  <c r="P62" i="2"/>
  <c r="D106" i="2"/>
  <c r="P78" i="2"/>
  <c r="L61" i="2"/>
  <c r="H74" i="2"/>
  <c r="M75" i="2"/>
  <c r="J78" i="2"/>
  <c r="E113" i="2"/>
  <c r="O47" i="2"/>
  <c r="V47" i="2"/>
  <c r="K90" i="2"/>
  <c r="V52" i="2"/>
  <c r="D73" i="2"/>
  <c r="V60" i="2"/>
  <c r="C90" i="2"/>
  <c r="G83" i="2"/>
  <c r="F49" i="2"/>
  <c r="I110" i="2"/>
  <c r="F67" i="2"/>
  <c r="D97" i="2"/>
  <c r="L99" i="2"/>
  <c r="H44" i="2"/>
  <c r="T79" i="2"/>
  <c r="O79" i="2"/>
  <c r="K50" i="2"/>
  <c r="E63" i="2"/>
  <c r="Q50" i="2"/>
  <c r="Q85" i="2"/>
  <c r="L58" i="2"/>
  <c r="N90" i="2"/>
  <c r="J77" i="2"/>
  <c r="G76" i="2"/>
  <c r="F82" i="2"/>
  <c r="E65" i="2"/>
  <c r="R92" i="2"/>
  <c r="O65" i="2"/>
  <c r="F41" i="2"/>
  <c r="E86" i="2"/>
  <c r="J66" i="2"/>
  <c r="L68" i="2"/>
  <c r="E43" i="2"/>
  <c r="K70" i="2"/>
  <c r="G81" i="2"/>
  <c r="I98" i="2"/>
  <c r="L77" i="2"/>
  <c r="C74" i="2"/>
  <c r="C63" i="2"/>
  <c r="C51" i="2"/>
  <c r="S99" i="2"/>
  <c r="C66" i="2"/>
  <c r="E64" i="2"/>
  <c r="E87" i="2"/>
  <c r="D90" i="2"/>
  <c r="W86" i="2"/>
  <c r="S64" i="2"/>
  <c r="U86" i="2"/>
  <c r="Q53" i="2"/>
  <c r="P113" i="2"/>
  <c r="I92" i="2"/>
  <c r="R79" i="2"/>
  <c r="H76" i="2"/>
  <c r="W82" i="2"/>
  <c r="K96" i="2"/>
  <c r="W66" i="2"/>
  <c r="M79" i="2"/>
  <c r="W96" i="2"/>
  <c r="D72" i="2"/>
  <c r="G64" i="2"/>
  <c r="M111" i="2"/>
  <c r="V87" i="2"/>
  <c r="C84" i="2"/>
  <c r="S78" i="2"/>
  <c r="L55" i="2"/>
  <c r="R106" i="2"/>
  <c r="K84" i="2"/>
  <c r="T48" i="2"/>
  <c r="X55" i="2"/>
  <c r="X88" i="2"/>
  <c r="E70" i="2"/>
  <c r="O88" i="2"/>
  <c r="J69" i="2"/>
  <c r="C106" i="2"/>
  <c r="C42" i="2"/>
  <c r="Q72" i="2"/>
  <c r="T95" i="2"/>
  <c r="M71" i="2"/>
  <c r="F56" i="2"/>
  <c r="V45" i="2"/>
  <c r="D67" i="2"/>
  <c r="J85" i="2"/>
  <c r="R110" i="2"/>
  <c r="W98" i="2"/>
  <c r="I86" i="2"/>
  <c r="S97" i="2"/>
  <c r="M87" i="2"/>
  <c r="H50" i="2"/>
  <c r="P105" i="2"/>
  <c r="S46" i="2"/>
  <c r="I105" i="2"/>
  <c r="Q87" i="2"/>
  <c r="L65" i="2"/>
  <c r="Q74" i="2"/>
  <c r="N105" i="2"/>
  <c r="N92" i="2"/>
  <c r="G95" i="2"/>
  <c r="X106" i="2"/>
  <c r="S85" i="2"/>
  <c r="W92" i="2"/>
  <c r="N58" i="2"/>
  <c r="E107" i="2"/>
  <c r="G86" i="2"/>
  <c r="R41" i="2"/>
  <c r="G54" i="2"/>
  <c r="W106" i="2"/>
  <c r="T57" i="2"/>
  <c r="P85" i="2"/>
  <c r="T108" i="2"/>
  <c r="K105" i="2"/>
  <c r="H87" i="2"/>
  <c r="F99" i="2"/>
  <c r="P108" i="2"/>
  <c r="G78" i="2"/>
  <c r="S48" i="2"/>
  <c r="O113" i="2"/>
  <c r="O56" i="2"/>
  <c r="V108" i="2"/>
  <c r="T96" i="2"/>
  <c r="W108" i="2"/>
  <c r="Q77" i="2"/>
  <c r="F43" i="2"/>
  <c r="H69" i="2"/>
  <c r="I44" i="2"/>
  <c r="P61" i="2"/>
  <c r="W99" i="2"/>
  <c r="N98" i="2"/>
  <c r="Q93" i="2"/>
  <c r="J67" i="2"/>
  <c r="S58" i="2"/>
  <c r="C88" i="2"/>
  <c r="O74" i="2"/>
  <c r="R61" i="2"/>
  <c r="V97" i="2"/>
  <c r="D87" i="2"/>
  <c r="K77" i="2"/>
  <c r="Q76" i="2"/>
  <c r="M72" i="2"/>
  <c r="R67" i="2"/>
  <c r="N112" i="2"/>
  <c r="F42" i="2"/>
  <c r="H66" i="2"/>
  <c r="I90" i="2"/>
  <c r="R59" i="2"/>
  <c r="V16" i="3"/>
  <c r="AK5" i="3"/>
  <c r="L18" i="3"/>
  <c r="M26" i="3"/>
  <c r="AB38" i="3"/>
  <c r="I20" i="3"/>
  <c r="S21" i="3"/>
  <c r="AB81" i="3"/>
  <c r="AB29" i="3"/>
  <c r="T36" i="3"/>
  <c r="P42" i="3"/>
  <c r="J39" i="3"/>
  <c r="C27" i="3"/>
  <c r="R11" i="3"/>
  <c r="AP94" i="3"/>
  <c r="L10" i="3"/>
  <c r="AP14" i="3"/>
  <c r="J28" i="3"/>
  <c r="AG25" i="3"/>
  <c r="P30" i="3"/>
  <c r="T22" i="3"/>
  <c r="X42" i="3"/>
  <c r="AI21" i="3"/>
  <c r="AE36" i="3"/>
  <c r="H30" i="3"/>
  <c r="C12" i="3"/>
  <c r="W27" i="3"/>
  <c r="AM36" i="3"/>
  <c r="AQ14" i="3"/>
  <c r="AA25" i="3"/>
  <c r="AP48" i="3"/>
  <c r="AM25" i="3"/>
  <c r="W21" i="3"/>
  <c r="AP55" i="3"/>
  <c r="AB13" i="3"/>
  <c r="AB10" i="3"/>
  <c r="AK38" i="3"/>
  <c r="K13" i="3"/>
  <c r="AK21" i="3"/>
  <c r="AN5" i="3"/>
  <c r="AA27" i="3"/>
  <c r="S18" i="3"/>
  <c r="C37" i="3"/>
  <c r="AI27" i="3"/>
  <c r="AQ17" i="3"/>
  <c r="S6" i="3"/>
  <c r="AP56" i="3"/>
  <c r="E48" i="3"/>
  <c r="Z17" i="3"/>
  <c r="K20" i="3"/>
  <c r="AB72" i="3"/>
  <c r="E50" i="3"/>
  <c r="G33" i="3"/>
  <c r="AP25" i="3"/>
  <c r="J41" i="3"/>
  <c r="W9" i="3"/>
  <c r="AO34" i="3"/>
  <c r="U31" i="3"/>
  <c r="U27" i="3"/>
  <c r="AI25" i="3"/>
  <c r="AP71" i="3"/>
  <c r="V7" i="3"/>
  <c r="AN13" i="3"/>
  <c r="AB28" i="3"/>
  <c r="AP35" i="3"/>
  <c r="AN14" i="3"/>
  <c r="Q8" i="3"/>
  <c r="AD37" i="3"/>
  <c r="AN9" i="3"/>
  <c r="U12" i="3"/>
  <c r="AM19" i="3"/>
  <c r="AB15" i="3"/>
  <c r="AC36" i="3"/>
  <c r="AC7" i="3"/>
  <c r="W30" i="3"/>
  <c r="V41" i="3"/>
  <c r="AG31" i="3"/>
  <c r="AK23" i="3"/>
  <c r="M7" i="3"/>
  <c r="M8" i="3"/>
  <c r="V37" i="3"/>
  <c r="Y10" i="3"/>
  <c r="AN32" i="3"/>
  <c r="AB19" i="3"/>
  <c r="AL9" i="3"/>
  <c r="L6" i="3"/>
  <c r="I9" i="3"/>
  <c r="AP59" i="3"/>
  <c r="O30" i="3"/>
  <c r="AB31" i="3"/>
  <c r="I14" i="3"/>
  <c r="V9" i="3"/>
  <c r="N6" i="3"/>
  <c r="AM41" i="3"/>
  <c r="Y9" i="3"/>
  <c r="AP37" i="3"/>
  <c r="AI22" i="3"/>
  <c r="AP18" i="3"/>
  <c r="AG33" i="3"/>
  <c r="K38" i="3"/>
  <c r="Y33" i="3"/>
  <c r="AD31" i="3"/>
  <c r="AQ33" i="3"/>
  <c r="K40" i="3"/>
  <c r="AM23" i="3"/>
  <c r="V13" i="3"/>
  <c r="AA32" i="3"/>
  <c r="AQ29" i="3"/>
  <c r="AC20" i="3"/>
  <c r="W10" i="3"/>
  <c r="O6" i="3"/>
  <c r="M32" i="3"/>
  <c r="AL18" i="3"/>
  <c r="AI8" i="3"/>
  <c r="AB56" i="3"/>
  <c r="AP17" i="3"/>
  <c r="AA38" i="3"/>
  <c r="I27" i="3"/>
  <c r="AQ28" i="3"/>
  <c r="C9" i="3"/>
  <c r="R16" i="3"/>
  <c r="AH14" i="3"/>
  <c r="AL12" i="3"/>
  <c r="C15" i="3"/>
  <c r="AK26" i="3"/>
  <c r="AN30" i="3"/>
  <c r="W7" i="3"/>
  <c r="L28" i="3"/>
  <c r="O33" i="3"/>
  <c r="H27" i="3"/>
  <c r="Z32" i="3"/>
  <c r="AB94" i="3"/>
  <c r="AP81" i="3"/>
  <c r="P35" i="3"/>
  <c r="O15" i="3"/>
  <c r="P41" i="3"/>
  <c r="O10" i="3"/>
  <c r="G32" i="3"/>
  <c r="Q41" i="3"/>
  <c r="AI31" i="3"/>
  <c r="M19" i="3"/>
  <c r="AC14" i="3"/>
  <c r="O16" i="3"/>
  <c r="AG26" i="3"/>
  <c r="W20" i="3"/>
  <c r="AB32" i="3"/>
  <c r="R25" i="3"/>
  <c r="AN37" i="3"/>
  <c r="V22" i="3"/>
  <c r="AG16" i="3"/>
  <c r="R22" i="3"/>
  <c r="H40" i="3"/>
  <c r="AB16" i="3"/>
  <c r="S36" i="3"/>
  <c r="M37" i="3"/>
  <c r="R20" i="3"/>
  <c r="AA11" i="3"/>
  <c r="R24" i="3"/>
  <c r="Y20" i="3"/>
  <c r="AH6" i="3"/>
  <c r="AH38" i="3"/>
  <c r="K8" i="3"/>
  <c r="H28" i="3"/>
  <c r="P20" i="3"/>
  <c r="O18" i="3"/>
  <c r="H13" i="3"/>
  <c r="AP67" i="3"/>
  <c r="I18" i="3"/>
  <c r="AD49" i="3"/>
  <c r="R9" i="3"/>
  <c r="V18" i="3"/>
  <c r="C29" i="3"/>
  <c r="AA36" i="3"/>
  <c r="AA28" i="3"/>
  <c r="Y11" i="3"/>
  <c r="AA7" i="3"/>
  <c r="U26" i="3"/>
  <c r="S20" i="3"/>
  <c r="AA12" i="3"/>
  <c r="H23" i="3"/>
  <c r="R27" i="3"/>
  <c r="Y7" i="3"/>
  <c r="AL30" i="3"/>
  <c r="AA34" i="3"/>
  <c r="V29" i="3"/>
  <c r="AH7" i="3"/>
  <c r="U11" i="3"/>
  <c r="C28" i="3"/>
  <c r="AK20" i="3"/>
  <c r="AO8" i="3"/>
  <c r="AM37" i="3"/>
  <c r="R30" i="3"/>
  <c r="AQ25" i="3"/>
  <c r="AM39" i="3"/>
  <c r="K37" i="3"/>
  <c r="AH22" i="3"/>
  <c r="AJ26" i="3"/>
  <c r="I24" i="3"/>
  <c r="AP70" i="3"/>
  <c r="N34" i="3"/>
  <c r="AN38" i="3"/>
  <c r="W23" i="3"/>
  <c r="AA10" i="3"/>
  <c r="Y13" i="3"/>
  <c r="AK35" i="3"/>
  <c r="AP87" i="3"/>
  <c r="AL34" i="3"/>
  <c r="AN8" i="3"/>
  <c r="Y34" i="3"/>
  <c r="X10" i="3"/>
  <c r="M17" i="3"/>
  <c r="Z29" i="3"/>
  <c r="AG8" i="3"/>
  <c r="N33" i="3"/>
  <c r="M22" i="3"/>
  <c r="AJ33" i="3"/>
  <c r="AB36" i="3"/>
  <c r="V24" i="3"/>
  <c r="AE9" i="3"/>
  <c r="G41" i="3"/>
  <c r="AI20" i="3"/>
  <c r="H42" i="3"/>
  <c r="AB33" i="3"/>
  <c r="N24" i="3"/>
  <c r="Z26" i="3"/>
  <c r="Q25" i="3"/>
  <c r="AP34" i="3"/>
  <c r="R18" i="3"/>
  <c r="AO38" i="3"/>
  <c r="AP63" i="3"/>
  <c r="J15" i="3"/>
  <c r="O31" i="3"/>
  <c r="Z41" i="3"/>
  <c r="R13" i="3"/>
  <c r="P36" i="3"/>
  <c r="AB65" i="3"/>
  <c r="N17" i="3"/>
  <c r="AD41" i="3"/>
  <c r="AP19" i="3"/>
  <c r="N21" i="3"/>
  <c r="AJ15" i="3"/>
  <c r="AI15" i="3"/>
  <c r="H41" i="3"/>
  <c r="P19" i="3"/>
  <c r="AL11" i="3"/>
  <c r="Q21" i="3"/>
  <c r="N20" i="3"/>
  <c r="O14" i="3"/>
  <c r="G40" i="3"/>
  <c r="U40" i="3"/>
  <c r="P8" i="3"/>
  <c r="C31" i="3"/>
  <c r="AC28" i="3"/>
  <c r="C47" i="3"/>
  <c r="X14" i="3"/>
  <c r="L42" i="3"/>
  <c r="R34" i="3"/>
  <c r="Y23" i="3"/>
  <c r="AL37" i="3"/>
  <c r="AM7" i="3"/>
  <c r="AB85" i="3"/>
  <c r="AO41" i="3"/>
  <c r="X30" i="3"/>
  <c r="V38" i="3"/>
  <c r="G37" i="3"/>
  <c r="J8" i="3"/>
  <c r="P6" i="3"/>
  <c r="R32" i="3"/>
  <c r="T25" i="3"/>
  <c r="J29" i="3"/>
  <c r="AK15" i="3"/>
  <c r="AN36" i="3"/>
  <c r="AB21" i="3"/>
  <c r="U7" i="3"/>
  <c r="AI10" i="3"/>
  <c r="G36" i="3"/>
  <c r="AD32" i="3"/>
  <c r="AA20" i="3"/>
  <c r="AJ39" i="3"/>
  <c r="AB49" i="3"/>
  <c r="U24" i="3"/>
  <c r="J5" i="3"/>
  <c r="V26" i="3"/>
  <c r="J13" i="3"/>
  <c r="AB34" i="3"/>
  <c r="AC12" i="3"/>
  <c r="AJ38" i="3"/>
  <c r="W41" i="3"/>
  <c r="AD20" i="3"/>
  <c r="Z25" i="3"/>
  <c r="M20" i="3"/>
  <c r="Q34" i="3"/>
  <c r="X41" i="3"/>
  <c r="P15" i="3"/>
  <c r="X29" i="3"/>
  <c r="V34" i="3"/>
  <c r="AK22" i="3"/>
  <c r="S10" i="3"/>
  <c r="P17" i="3"/>
  <c r="H14" i="3"/>
  <c r="X9" i="3"/>
  <c r="V19" i="3"/>
  <c r="AK31" i="3"/>
  <c r="AJ7" i="3"/>
  <c r="J6" i="3"/>
  <c r="H12" i="3"/>
  <c r="AB90" i="3"/>
  <c r="AC8" i="3"/>
  <c r="AN29" i="3"/>
  <c r="AN34" i="3"/>
  <c r="H21" i="3"/>
  <c r="AB95" i="3"/>
  <c r="N9" i="3"/>
  <c r="AQ27" i="3"/>
  <c r="Y42" i="3"/>
  <c r="H22" i="3"/>
  <c r="AK8" i="3"/>
  <c r="AO17" i="3"/>
  <c r="AI6" i="3"/>
  <c r="K27" i="3"/>
  <c r="O22" i="3"/>
  <c r="K34" i="3"/>
  <c r="I13" i="3"/>
  <c r="K6" i="3"/>
  <c r="AE40" i="3"/>
  <c r="X34" i="3"/>
  <c r="Q15" i="3"/>
  <c r="AO39" i="3"/>
  <c r="AH27" i="3"/>
  <c r="M39" i="3"/>
  <c r="AI26" i="3"/>
  <c r="AP27" i="3"/>
  <c r="O27" i="3"/>
  <c r="I8" i="3"/>
  <c r="M18" i="3"/>
  <c r="AP22" i="3"/>
  <c r="I39" i="3"/>
  <c r="Z42" i="3"/>
  <c r="AL25" i="3"/>
  <c r="AP83" i="3"/>
  <c r="M9" i="3"/>
  <c r="AL7" i="3"/>
  <c r="AJ14" i="3"/>
  <c r="AB74" i="3"/>
  <c r="C18" i="3"/>
  <c r="AL42" i="3"/>
  <c r="Q11" i="3"/>
  <c r="AG30" i="3"/>
  <c r="AK9" i="3"/>
  <c r="AA22" i="3"/>
  <c r="AK16" i="3"/>
  <c r="G47" i="3"/>
  <c r="AK32" i="3"/>
  <c r="AM15" i="3"/>
  <c r="V35" i="3"/>
  <c r="V21" i="3"/>
  <c r="O41" i="3"/>
  <c r="M6" i="3"/>
  <c r="AK40" i="3"/>
  <c r="E49" i="3"/>
  <c r="AE30" i="3"/>
  <c r="K5" i="3"/>
  <c r="I36" i="3"/>
  <c r="I12" i="3"/>
  <c r="AC33" i="3"/>
  <c r="N8" i="3"/>
  <c r="AN33" i="3"/>
  <c r="AJ42" i="3"/>
  <c r="AK64" i="3"/>
  <c r="J50" i="3"/>
  <c r="AK94" i="3"/>
  <c r="J83" i="3"/>
  <c r="AN58" i="3"/>
  <c r="AN77" i="3"/>
  <c r="J62" i="3"/>
  <c r="AN96" i="3"/>
  <c r="K90" i="3"/>
  <c r="AK93" i="3"/>
  <c r="AK57" i="3"/>
  <c r="AK67" i="3"/>
  <c r="K56" i="3"/>
  <c r="K65" i="3"/>
  <c r="K88" i="3"/>
  <c r="J65" i="3"/>
  <c r="AK73" i="3"/>
  <c r="AN71" i="3"/>
  <c r="AP93" i="3"/>
  <c r="N40" i="3"/>
  <c r="O17" i="3"/>
  <c r="AB78" i="3"/>
  <c r="H37" i="3"/>
  <c r="H9" i="3"/>
  <c r="AI7" i="3"/>
  <c r="M41" i="3"/>
  <c r="P10" i="3"/>
  <c r="U23" i="3"/>
  <c r="AP21" i="3"/>
  <c r="P38" i="3"/>
  <c r="R29" i="3"/>
  <c r="AG36" i="3"/>
  <c r="AQ20" i="3"/>
  <c r="AK14" i="3"/>
  <c r="K41" i="3"/>
  <c r="AK36" i="3"/>
  <c r="O34" i="3"/>
  <c r="AH8" i="3"/>
  <c r="AB58" i="3"/>
  <c r="I40" i="3"/>
  <c r="AL17" i="3"/>
  <c r="H36" i="3"/>
  <c r="R31" i="3"/>
  <c r="AO24" i="3"/>
  <c r="AI40" i="3"/>
  <c r="AQ7" i="3"/>
  <c r="Y24" i="3"/>
  <c r="K18" i="3"/>
  <c r="AM31" i="3"/>
  <c r="O29" i="3"/>
  <c r="J25" i="3"/>
  <c r="AK27" i="3"/>
  <c r="AH16" i="3"/>
  <c r="AB61" i="3"/>
  <c r="AI32" i="3"/>
  <c r="AN41" i="3"/>
  <c r="AH10" i="3"/>
  <c r="Y18" i="3"/>
  <c r="T7" i="3"/>
  <c r="W40" i="3"/>
  <c r="U10" i="3"/>
  <c r="L29" i="3"/>
  <c r="T19" i="3"/>
  <c r="AL15" i="3"/>
  <c r="AE37" i="3"/>
  <c r="L25" i="3"/>
  <c r="Z23" i="3"/>
  <c r="AA19" i="3"/>
  <c r="AI23" i="3"/>
  <c r="AI24" i="3"/>
  <c r="H15" i="3"/>
  <c r="AB79" i="3"/>
  <c r="I16" i="3"/>
  <c r="AO20" i="3"/>
  <c r="AP91" i="3"/>
  <c r="D50" i="3"/>
  <c r="Z9" i="3"/>
  <c r="T39" i="3"/>
  <c r="AH31" i="3"/>
  <c r="H38" i="3"/>
  <c r="P11" i="3"/>
  <c r="AA35" i="3"/>
  <c r="AD39" i="3"/>
  <c r="C23" i="3"/>
  <c r="AE41" i="3"/>
  <c r="S13" i="3"/>
  <c r="AG5" i="3"/>
  <c r="AP97" i="3"/>
  <c r="AN19" i="3"/>
  <c r="AJ21" i="3"/>
  <c r="AP88" i="3"/>
  <c r="AB50" i="3"/>
  <c r="AQ41" i="3"/>
  <c r="X39" i="3"/>
  <c r="I15" i="3"/>
  <c r="C13" i="3"/>
  <c r="AB42" i="3"/>
  <c r="AJ27" i="3"/>
  <c r="X6" i="3"/>
  <c r="S37" i="3"/>
  <c r="U25" i="3"/>
  <c r="T18" i="3"/>
  <c r="AP66" i="3"/>
  <c r="AB93" i="3"/>
  <c r="L23" i="3"/>
  <c r="C22" i="3"/>
  <c r="W33" i="3"/>
  <c r="V32" i="3"/>
  <c r="V23" i="3"/>
  <c r="C40" i="3"/>
  <c r="C34" i="3"/>
  <c r="N12" i="3"/>
  <c r="Q22" i="3"/>
  <c r="AH42" i="3"/>
  <c r="AA6" i="3"/>
  <c r="K17" i="3"/>
  <c r="D49" i="3"/>
  <c r="AQ13" i="3"/>
  <c r="AB37" i="3"/>
  <c r="T37" i="3"/>
  <c r="AC30" i="3"/>
  <c r="W38" i="3"/>
  <c r="AK29" i="3"/>
  <c r="AM38" i="3"/>
  <c r="O21" i="3"/>
  <c r="AB82" i="3"/>
  <c r="Q33" i="3"/>
  <c r="AI30" i="3"/>
  <c r="AB64" i="3"/>
  <c r="G39" i="3"/>
  <c r="L16" i="3"/>
  <c r="H31" i="3"/>
  <c r="O38" i="3"/>
  <c r="AD28" i="3"/>
  <c r="AC26" i="3"/>
  <c r="C16" i="3"/>
  <c r="AH39" i="3"/>
  <c r="AL41" i="3"/>
  <c r="R10" i="3"/>
  <c r="W37" i="3"/>
  <c r="R19" i="3"/>
  <c r="AB62" i="3"/>
  <c r="AE5" i="3"/>
  <c r="S14" i="3"/>
  <c r="AE24" i="3"/>
  <c r="C49" i="3"/>
  <c r="AK7" i="3"/>
  <c r="AC34" i="3"/>
  <c r="Q38" i="3"/>
  <c r="AQ35" i="3"/>
  <c r="U30" i="3"/>
  <c r="AK37" i="3"/>
  <c r="AH41" i="3"/>
  <c r="AN17" i="3"/>
  <c r="AM12" i="3"/>
  <c r="N38" i="3"/>
  <c r="AG12" i="3"/>
  <c r="AB91" i="3"/>
  <c r="S24" i="3"/>
  <c r="AE12" i="3"/>
  <c r="K11" i="3"/>
  <c r="Q10" i="3"/>
  <c r="K15" i="3"/>
  <c r="AB9" i="3"/>
  <c r="AK30" i="3"/>
  <c r="AN28" i="3"/>
  <c r="O24" i="3"/>
  <c r="U38" i="3"/>
  <c r="AH18" i="3"/>
  <c r="Q5" i="3"/>
  <c r="AJ8" i="3"/>
  <c r="AE22" i="3"/>
  <c r="AG15" i="3"/>
  <c r="J40" i="3"/>
  <c r="AP38" i="3"/>
  <c r="W13" i="3"/>
  <c r="AG20" i="3"/>
  <c r="AO27" i="3"/>
  <c r="P34" i="3"/>
  <c r="C24" i="3"/>
  <c r="AP47" i="3"/>
  <c r="AP85" i="3"/>
  <c r="AQ12" i="3"/>
  <c r="AP16" i="3"/>
  <c r="U19" i="3"/>
  <c r="AN40" i="3"/>
  <c r="Q23" i="3"/>
  <c r="Z40" i="3"/>
  <c r="AL39" i="3"/>
  <c r="Y27" i="3"/>
  <c r="AE20" i="3"/>
  <c r="I41" i="3"/>
  <c r="Q19" i="3"/>
  <c r="T29" i="3"/>
  <c r="AN26" i="3"/>
  <c r="AH21" i="3"/>
  <c r="AH37" i="3"/>
  <c r="T9" i="3"/>
  <c r="AC38" i="3"/>
  <c r="AG24" i="3"/>
  <c r="AN27" i="3"/>
  <c r="AP74" i="3"/>
  <c r="AP77" i="3"/>
  <c r="T26" i="3"/>
  <c r="K23" i="3"/>
  <c r="M11" i="3"/>
  <c r="G38" i="3"/>
  <c r="AN6" i="3"/>
  <c r="V30" i="3"/>
  <c r="O11" i="3"/>
  <c r="AD22" i="3"/>
  <c r="AH32" i="3"/>
  <c r="AH35" i="3"/>
  <c r="AC19" i="3"/>
  <c r="AN39" i="3"/>
  <c r="P14" i="3"/>
  <c r="AO15" i="3"/>
  <c r="AQ36" i="3"/>
  <c r="Y35" i="3"/>
  <c r="T38" i="3"/>
  <c r="AC41" i="3"/>
  <c r="AC13" i="3"/>
  <c r="Q32" i="3"/>
  <c r="U15" i="3"/>
  <c r="AQ24" i="3"/>
  <c r="J12" i="3"/>
  <c r="N35" i="3"/>
  <c r="Y38" i="3"/>
  <c r="V12" i="3"/>
  <c r="AL33" i="3"/>
  <c r="AC5" i="3"/>
  <c r="L41" i="3"/>
  <c r="AH19" i="3"/>
  <c r="Q29" i="3"/>
  <c r="Q13" i="3"/>
  <c r="AM26" i="3"/>
  <c r="AO36" i="3"/>
  <c r="AN20" i="3"/>
  <c r="Y26" i="3"/>
  <c r="O25" i="3"/>
  <c r="AB77" i="3"/>
  <c r="L33" i="3"/>
  <c r="AL29" i="3"/>
  <c r="N7" i="3"/>
  <c r="U36" i="3"/>
  <c r="X28" i="3"/>
  <c r="W42" i="3"/>
  <c r="AB86" i="3"/>
  <c r="Y37" i="3"/>
  <c r="L32" i="3"/>
  <c r="AB11" i="3"/>
  <c r="AD34" i="3"/>
  <c r="Z10" i="3"/>
  <c r="AO5" i="3"/>
  <c r="AP9" i="3"/>
  <c r="U14" i="3"/>
  <c r="AP60" i="3"/>
  <c r="S7" i="3"/>
  <c r="P16" i="3"/>
  <c r="AI38" i="3"/>
  <c r="AJ41" i="3"/>
  <c r="I33" i="3"/>
  <c r="U37" i="3"/>
  <c r="P7" i="3"/>
  <c r="AO25" i="3"/>
  <c r="AE13" i="3"/>
  <c r="AJ28" i="3"/>
  <c r="N29" i="3"/>
  <c r="M31" i="3"/>
  <c r="AL5" i="3"/>
  <c r="AK19" i="3"/>
  <c r="V42" i="3"/>
  <c r="AH11" i="3"/>
  <c r="AQ5" i="3"/>
  <c r="AQ34" i="3"/>
  <c r="AP75" i="3"/>
  <c r="J34" i="3"/>
  <c r="U20" i="3"/>
  <c r="S32" i="3"/>
  <c r="X32" i="3"/>
  <c r="AQ37" i="3"/>
  <c r="U21" i="3"/>
  <c r="AP12" i="3"/>
  <c r="AC18" i="3"/>
  <c r="AJ11" i="3"/>
  <c r="J7" i="3"/>
  <c r="W34" i="3"/>
  <c r="AB7" i="3"/>
  <c r="W35" i="3"/>
  <c r="AC10" i="3"/>
  <c r="AJ34" i="3"/>
  <c r="K33" i="3"/>
  <c r="AD47" i="3"/>
  <c r="N13" i="3"/>
  <c r="Y16" i="3"/>
  <c r="AG14" i="3"/>
  <c r="AG35" i="3"/>
  <c r="AL19" i="3"/>
  <c r="T41" i="3"/>
  <c r="AA18" i="3"/>
  <c r="AK18" i="3"/>
  <c r="G42" i="3"/>
  <c r="AK11" i="3"/>
  <c r="H33" i="3"/>
  <c r="P25" i="3"/>
  <c r="Z20" i="3"/>
  <c r="AL13" i="3"/>
  <c r="U41" i="3"/>
  <c r="AP62" i="3"/>
  <c r="AL38" i="3"/>
  <c r="I38" i="3"/>
  <c r="AB57" i="3"/>
  <c r="P37" i="3"/>
  <c r="AB71" i="3"/>
  <c r="AE33" i="3"/>
  <c r="M16" i="3"/>
  <c r="AP96" i="3"/>
  <c r="X23" i="3"/>
  <c r="Y32" i="3"/>
  <c r="AQ26" i="3"/>
  <c r="AG13" i="3"/>
  <c r="Q27" i="3"/>
  <c r="X26" i="3"/>
  <c r="X24" i="3"/>
  <c r="AJ6" i="3"/>
  <c r="M42" i="3"/>
  <c r="AO19" i="3"/>
  <c r="I42" i="3"/>
  <c r="N19" i="3"/>
  <c r="R12" i="3"/>
  <c r="T13" i="3"/>
  <c r="W25" i="3"/>
  <c r="K10" i="3"/>
  <c r="AH28" i="3"/>
  <c r="Q26" i="3"/>
  <c r="W8" i="3"/>
  <c r="AB54" i="3"/>
  <c r="Q20" i="3"/>
  <c r="AA30" i="3"/>
  <c r="Y19" i="3"/>
  <c r="AM34" i="3"/>
  <c r="U6" i="3"/>
  <c r="C8" i="3"/>
  <c r="H20" i="3"/>
  <c r="S38" i="3"/>
  <c r="V14" i="3"/>
  <c r="AE42" i="3"/>
  <c r="C30" i="3"/>
  <c r="L11" i="3"/>
  <c r="P27" i="3"/>
  <c r="Q31" i="3"/>
  <c r="AI9" i="3"/>
  <c r="AJ5" i="3"/>
  <c r="J38" i="3"/>
  <c r="AN42" i="3"/>
  <c r="AK28" i="3"/>
  <c r="AP20" i="3"/>
  <c r="K12" i="3"/>
  <c r="T28" i="3"/>
  <c r="U34" i="3"/>
  <c r="K19" i="3"/>
  <c r="AA26" i="3"/>
  <c r="AB30" i="3"/>
  <c r="V10" i="3"/>
  <c r="O40" i="3"/>
  <c r="U35" i="3"/>
  <c r="L40" i="3"/>
  <c r="AG41" i="3"/>
  <c r="AN11" i="3"/>
  <c r="S42" i="3"/>
  <c r="R28" i="3"/>
  <c r="AI37" i="3"/>
  <c r="AI36" i="3"/>
  <c r="AP31" i="3"/>
  <c r="K42" i="3"/>
  <c r="AD40" i="3"/>
  <c r="AP15" i="3"/>
  <c r="AM40" i="3"/>
  <c r="M40" i="3"/>
  <c r="AG34" i="3"/>
  <c r="Z11" i="3"/>
  <c r="Q37" i="3"/>
  <c r="I22" i="3"/>
  <c r="AC6" i="3"/>
  <c r="AP24" i="3"/>
  <c r="Y21" i="3"/>
  <c r="AQ79" i="3"/>
  <c r="AE94" i="3"/>
  <c r="Q79" i="3"/>
  <c r="AN64" i="3"/>
  <c r="Q67" i="3"/>
  <c r="AJ59" i="3"/>
  <c r="AK65" i="3"/>
  <c r="AJ95" i="3"/>
  <c r="AO79" i="3"/>
  <c r="AL74" i="3"/>
  <c r="AE73" i="3"/>
  <c r="AO74" i="3"/>
  <c r="AJ77" i="3"/>
  <c r="K48" i="3"/>
  <c r="K95" i="3"/>
  <c r="AQ54" i="3"/>
  <c r="AG49" i="3"/>
  <c r="AQ82" i="3"/>
  <c r="AJ97" i="3"/>
  <c r="J58" i="3"/>
  <c r="K73" i="3"/>
  <c r="AN92" i="3"/>
  <c r="AC61" i="3"/>
  <c r="AK58" i="3"/>
  <c r="Q90" i="3"/>
  <c r="AG61" i="3"/>
  <c r="AO71" i="3"/>
  <c r="AG75" i="3"/>
  <c r="AK48" i="3"/>
  <c r="AK47" i="3"/>
  <c r="AG91" i="3"/>
  <c r="AQ59" i="3"/>
  <c r="AK71" i="3"/>
  <c r="AO59" i="3"/>
  <c r="AL92" i="3"/>
  <c r="Q84" i="3"/>
  <c r="J63" i="3"/>
  <c r="AE75" i="3"/>
  <c r="AN97" i="3"/>
  <c r="K50" i="3"/>
  <c r="J95" i="3"/>
  <c r="T33" i="3"/>
  <c r="L14" i="3"/>
  <c r="Z6" i="3"/>
  <c r="AO26" i="3"/>
  <c r="AM13" i="3"/>
  <c r="J27" i="3"/>
  <c r="M25" i="3"/>
  <c r="S5" i="3"/>
  <c r="AM21" i="3"/>
  <c r="AA29" i="3"/>
  <c r="AB23" i="3"/>
  <c r="N26" i="3"/>
  <c r="AE34" i="3"/>
  <c r="N31" i="3"/>
  <c r="AE17" i="3"/>
  <c r="AL32" i="3"/>
  <c r="AM32" i="3"/>
  <c r="J17" i="3"/>
  <c r="AN10" i="3"/>
  <c r="AB55" i="3"/>
  <c r="U8" i="3"/>
  <c r="T42" i="3"/>
  <c r="AC40" i="3"/>
  <c r="R36" i="3"/>
  <c r="N16" i="3"/>
  <c r="AC22" i="3"/>
  <c r="U13" i="3"/>
  <c r="AB80" i="3"/>
  <c r="AG27" i="3"/>
  <c r="Q28" i="3"/>
  <c r="R15" i="3"/>
  <c r="P26" i="3"/>
  <c r="J37" i="3"/>
  <c r="Y5" i="3"/>
  <c r="L19" i="3"/>
  <c r="O32" i="3"/>
  <c r="AK33" i="3"/>
  <c r="I31" i="3"/>
  <c r="P40" i="3"/>
  <c r="U32" i="3"/>
  <c r="W36" i="3"/>
  <c r="P31" i="3"/>
  <c r="AE25" i="3"/>
  <c r="AP54" i="3"/>
  <c r="AO32" i="3"/>
  <c r="V8" i="3"/>
  <c r="R39" i="3"/>
  <c r="N25" i="3"/>
  <c r="N42" i="3"/>
  <c r="Q42" i="3"/>
  <c r="L38" i="3"/>
  <c r="AB84" i="3"/>
  <c r="W31" i="3"/>
  <c r="L30" i="3"/>
  <c r="AP65" i="3"/>
  <c r="N10" i="3"/>
  <c r="AA14" i="3"/>
  <c r="M30" i="3"/>
  <c r="AQ10" i="3"/>
  <c r="G35" i="3"/>
  <c r="Z5" i="3"/>
  <c r="J16" i="3"/>
  <c r="AN21" i="3"/>
  <c r="K30" i="3"/>
  <c r="AL35" i="3"/>
  <c r="T21" i="3"/>
  <c r="O8" i="3"/>
  <c r="V31" i="3"/>
  <c r="I34" i="3"/>
  <c r="P29" i="3"/>
  <c r="AD27" i="3"/>
  <c r="AJ37" i="3"/>
  <c r="C14" i="3"/>
  <c r="AB40" i="3"/>
  <c r="J20" i="3"/>
  <c r="AE6" i="3"/>
  <c r="AO28" i="3"/>
  <c r="AC23" i="3"/>
  <c r="T31" i="3"/>
  <c r="R23" i="3"/>
  <c r="S35" i="3"/>
  <c r="M34" i="3"/>
  <c r="AJ36" i="3"/>
  <c r="U29" i="3"/>
  <c r="AM33" i="3"/>
  <c r="I5" i="3"/>
  <c r="AB89" i="3"/>
  <c r="J35" i="3"/>
  <c r="AA16" i="3"/>
  <c r="AI13" i="3"/>
  <c r="AC17" i="3"/>
  <c r="H5" i="3"/>
  <c r="AK13" i="3"/>
  <c r="M13" i="3"/>
  <c r="AO42" i="3"/>
  <c r="S23" i="3"/>
  <c r="AL24" i="3"/>
  <c r="T14" i="3"/>
  <c r="AG21" i="3"/>
  <c r="T16" i="3"/>
  <c r="W14" i="3"/>
  <c r="AG38" i="3"/>
  <c r="J42" i="3"/>
  <c r="AP72" i="3"/>
  <c r="AK41" i="3"/>
  <c r="AP13" i="3"/>
  <c r="I25" i="3"/>
  <c r="H35" i="3"/>
  <c r="AA13" i="3"/>
  <c r="X38" i="3"/>
  <c r="P9" i="3"/>
  <c r="AI5" i="3"/>
  <c r="Z16" i="3"/>
  <c r="L20" i="3"/>
  <c r="L37" i="3"/>
  <c r="AG32" i="3"/>
  <c r="C32" i="3"/>
  <c r="AH36" i="3"/>
  <c r="C38" i="3"/>
  <c r="AB6" i="3"/>
  <c r="AM28" i="3"/>
  <c r="AO33" i="3"/>
  <c r="U16" i="3"/>
  <c r="AP92" i="3"/>
  <c r="AA39" i="3"/>
  <c r="AM18" i="3"/>
  <c r="AG9" i="3"/>
  <c r="AI35" i="3"/>
  <c r="AB18" i="3"/>
  <c r="AO35" i="3"/>
  <c r="AB60" i="3"/>
  <c r="Z34" i="3"/>
  <c r="AB26" i="3"/>
  <c r="J33" i="3"/>
  <c r="N15" i="3"/>
  <c r="C26" i="3"/>
  <c r="AB66" i="3"/>
  <c r="C35" i="3"/>
  <c r="O13" i="3"/>
  <c r="T27" i="3"/>
  <c r="I11" i="3"/>
  <c r="W16" i="3"/>
  <c r="AQ31" i="3"/>
  <c r="AC24" i="3"/>
  <c r="T15" i="3"/>
  <c r="K24" i="3"/>
  <c r="G34" i="3"/>
  <c r="AJ18" i="3"/>
  <c r="AG40" i="3"/>
  <c r="H18" i="3"/>
  <c r="AP32" i="3"/>
  <c r="J11" i="3"/>
  <c r="X37" i="3"/>
  <c r="AQ39" i="3"/>
  <c r="AL22" i="3"/>
  <c r="AL21" i="3"/>
  <c r="AQ32" i="3"/>
  <c r="AD38" i="3"/>
  <c r="T40" i="3"/>
  <c r="AE10" i="3"/>
  <c r="AC11" i="3"/>
  <c r="R40" i="3"/>
  <c r="AO37" i="3"/>
  <c r="U9" i="3"/>
  <c r="W11" i="3"/>
  <c r="AD50" i="3"/>
  <c r="P12" i="3"/>
  <c r="AJ29" i="3"/>
  <c r="M5" i="3"/>
  <c r="P28" i="3"/>
  <c r="S33" i="3"/>
  <c r="L17" i="3"/>
  <c r="S17" i="3"/>
  <c r="P18" i="3"/>
  <c r="I23" i="3"/>
  <c r="AP76" i="3"/>
  <c r="R41" i="3"/>
  <c r="AA8" i="3"/>
  <c r="S15" i="3"/>
  <c r="AA15" i="3"/>
  <c r="AA42" i="3"/>
  <c r="AQ88" i="3"/>
  <c r="Y57" i="3"/>
  <c r="Q80" i="3"/>
  <c r="AJ85" i="3"/>
  <c r="I63" i="3"/>
  <c r="J87" i="3"/>
  <c r="AO48" i="3"/>
  <c r="M89" i="3"/>
  <c r="AK62" i="3"/>
  <c r="AL82" i="3"/>
  <c r="Y62" i="3"/>
  <c r="AO70" i="3"/>
  <c r="J84" i="3"/>
  <c r="AK86" i="3"/>
  <c r="AN85" i="3"/>
  <c r="Z59" i="3"/>
  <c r="Q69" i="3"/>
  <c r="AO81" i="3"/>
  <c r="AO78" i="3"/>
  <c r="Y63" i="3"/>
  <c r="AC80" i="3"/>
  <c r="AI56" i="3"/>
  <c r="Y55" i="3"/>
  <c r="AI66" i="3"/>
  <c r="AQ97" i="3"/>
  <c r="I54" i="3"/>
  <c r="AC69" i="3"/>
  <c r="AO93" i="3"/>
  <c r="S92" i="3"/>
  <c r="AK70" i="3"/>
  <c r="J68" i="3"/>
  <c r="Y88" i="3"/>
  <c r="AI60" i="3"/>
  <c r="I92" i="3"/>
  <c r="AK69" i="3"/>
  <c r="K81" i="3"/>
  <c r="AL96" i="3"/>
  <c r="AQ62" i="3"/>
  <c r="M93" i="3"/>
  <c r="Q76" i="3"/>
  <c r="Y74" i="3"/>
  <c r="AN89" i="3"/>
  <c r="AL59" i="3"/>
  <c r="Z72" i="3"/>
  <c r="AL55" i="3"/>
  <c r="AI75" i="3"/>
  <c r="AO94" i="3"/>
  <c r="AO68" i="3"/>
  <c r="AG79" i="3"/>
  <c r="AL67" i="3"/>
  <c r="S48" i="3"/>
  <c r="AQ74" i="3"/>
  <c r="J81" i="3"/>
  <c r="M79" i="3"/>
  <c r="J92" i="3"/>
  <c r="I62" i="3"/>
  <c r="AC29" i="3"/>
  <c r="N18" i="3"/>
  <c r="AD24" i="3"/>
  <c r="AP49" i="3"/>
  <c r="AE23" i="3"/>
  <c r="AQ42" i="3"/>
  <c r="R6" i="3"/>
  <c r="AJ17" i="3"/>
  <c r="AL31" i="3"/>
  <c r="AA5" i="3"/>
  <c r="L26" i="3"/>
  <c r="R17" i="3"/>
  <c r="AL16" i="3"/>
  <c r="AO11" i="3"/>
  <c r="AO13" i="3"/>
  <c r="L5" i="3"/>
  <c r="X12" i="3"/>
  <c r="AQ21" i="3"/>
  <c r="G50" i="3"/>
  <c r="L13" i="3"/>
  <c r="H16" i="3"/>
  <c r="AL36" i="3"/>
  <c r="S26" i="3"/>
  <c r="O26" i="3"/>
  <c r="AQ9" i="3"/>
  <c r="AJ12" i="3"/>
  <c r="K21" i="3"/>
  <c r="AH9" i="3"/>
  <c r="N23" i="3"/>
  <c r="J26" i="3"/>
  <c r="AP36" i="3"/>
  <c r="O9" i="3"/>
  <c r="Q36" i="3"/>
  <c r="K16" i="3"/>
  <c r="O20" i="3"/>
  <c r="U22" i="3"/>
  <c r="S11" i="3"/>
  <c r="S8" i="3"/>
  <c r="M23" i="3"/>
  <c r="J30" i="3"/>
  <c r="Z12" i="3"/>
  <c r="AL27" i="3"/>
  <c r="O35" i="3"/>
  <c r="AP86" i="3"/>
  <c r="X18" i="3"/>
  <c r="AG7" i="3"/>
  <c r="AM8" i="3"/>
  <c r="AJ24" i="3"/>
  <c r="L36" i="3"/>
  <c r="AK12" i="3"/>
  <c r="AC15" i="3"/>
  <c r="AI16" i="3"/>
  <c r="AK10" i="3"/>
  <c r="V15" i="3"/>
  <c r="AE31" i="3"/>
  <c r="AM20" i="3"/>
  <c r="AJ23" i="3"/>
  <c r="Y40" i="3"/>
  <c r="AJ20" i="3"/>
  <c r="X33" i="3"/>
  <c r="AB63" i="3"/>
  <c r="M21" i="3"/>
  <c r="K9" i="3"/>
  <c r="K32" i="3"/>
  <c r="G48" i="3"/>
  <c r="AJ19" i="3"/>
  <c r="P22" i="3"/>
  <c r="AE27" i="3"/>
  <c r="AC39" i="3"/>
  <c r="AA40" i="3"/>
  <c r="AP58" i="3"/>
  <c r="S28" i="3"/>
  <c r="Z28" i="3"/>
  <c r="W12" i="3"/>
  <c r="AN12" i="3"/>
  <c r="X21" i="3"/>
  <c r="M29" i="3"/>
  <c r="C6" i="3"/>
  <c r="R35" i="3"/>
  <c r="AB73" i="3"/>
  <c r="AP50" i="3"/>
  <c r="AQ8" i="3"/>
  <c r="N30" i="3"/>
  <c r="AI29" i="3"/>
  <c r="Q16" i="3"/>
  <c r="L24" i="3"/>
  <c r="X31" i="3"/>
  <c r="O5" i="3"/>
  <c r="AB97" i="3"/>
  <c r="Z27" i="3"/>
  <c r="AP69" i="3"/>
  <c r="J10" i="3"/>
  <c r="S22" i="3"/>
  <c r="V20" i="3"/>
  <c r="AC27" i="3"/>
  <c r="AN15" i="3"/>
  <c r="AP64" i="3"/>
  <c r="H11" i="3"/>
  <c r="Q40" i="3"/>
  <c r="AE16" i="3"/>
  <c r="N39" i="3"/>
  <c r="AG11" i="3"/>
  <c r="AH33" i="3"/>
  <c r="W24" i="3"/>
  <c r="AB76" i="3"/>
  <c r="V40" i="3"/>
  <c r="P32" i="3"/>
  <c r="T34" i="3"/>
  <c r="AH23" i="3"/>
  <c r="N32" i="3"/>
  <c r="K35" i="3"/>
  <c r="J9" i="3"/>
  <c r="S16" i="3"/>
  <c r="AA33" i="3"/>
  <c r="AQ19" i="3"/>
  <c r="AI42" i="3"/>
  <c r="W15" i="3"/>
  <c r="AJ32" i="3"/>
  <c r="S30" i="3"/>
  <c r="AJ25" i="3"/>
  <c r="AD19" i="3"/>
  <c r="AO14" i="3"/>
  <c r="I32" i="3"/>
  <c r="AA23" i="3"/>
  <c r="AL23" i="3"/>
  <c r="AG18" i="3"/>
  <c r="V27" i="3"/>
  <c r="R14" i="3"/>
  <c r="AH20" i="3"/>
  <c r="AB24" i="3"/>
  <c r="X16" i="3"/>
  <c r="M10" i="3"/>
  <c r="D48" i="3"/>
  <c r="C25" i="3"/>
  <c r="AI12" i="3"/>
  <c r="P13" i="3"/>
  <c r="H10" i="3"/>
  <c r="S25" i="3"/>
  <c r="M15" i="3"/>
  <c r="O37" i="3"/>
  <c r="X7" i="3"/>
  <c r="S27" i="3"/>
  <c r="P39" i="3"/>
  <c r="AM42" i="3"/>
  <c r="AP10" i="3"/>
  <c r="AJ16" i="3"/>
  <c r="O12" i="3"/>
  <c r="O23" i="3"/>
  <c r="X15" i="3"/>
  <c r="I6" i="3"/>
  <c r="AB17" i="3"/>
  <c r="AE39" i="3"/>
  <c r="Y6" i="3"/>
  <c r="AH17" i="3"/>
  <c r="X5" i="3"/>
  <c r="S31" i="3"/>
  <c r="P33" i="3"/>
  <c r="Y17" i="3"/>
  <c r="Y28" i="3"/>
  <c r="H8" i="3"/>
  <c r="K31" i="3"/>
  <c r="N11" i="3"/>
  <c r="AO40" i="3"/>
  <c r="C21" i="3"/>
  <c r="AI41" i="3"/>
  <c r="Z21" i="3"/>
  <c r="V25" i="3"/>
  <c r="O7" i="3"/>
  <c r="J32" i="3"/>
  <c r="AQ11" i="3"/>
  <c r="Z15" i="3"/>
  <c r="M36" i="3"/>
  <c r="AP30" i="3"/>
  <c r="H26" i="3"/>
  <c r="X22" i="3"/>
  <c r="T17" i="3"/>
  <c r="Y8" i="3"/>
  <c r="AI17" i="3"/>
  <c r="Q17" i="3"/>
  <c r="AP89" i="3"/>
  <c r="Y29" i="3"/>
  <c r="H25" i="3"/>
  <c r="Z7" i="3"/>
  <c r="AM22" i="3"/>
  <c r="AI19" i="3"/>
  <c r="L12" i="3"/>
  <c r="AB69" i="3"/>
  <c r="AO9" i="3"/>
  <c r="S40" i="3"/>
  <c r="AM9" i="3"/>
  <c r="Q39" i="3"/>
  <c r="AH29" i="3"/>
  <c r="R26" i="3"/>
  <c r="AB96" i="3"/>
  <c r="AD48" i="3"/>
  <c r="J22" i="3"/>
  <c r="AC32" i="3"/>
  <c r="AD21" i="3"/>
  <c r="R38" i="3"/>
  <c r="AG47" i="3"/>
  <c r="O77" i="3"/>
  <c r="Q58" i="3"/>
  <c r="AI64" i="3"/>
  <c r="S69" i="3"/>
  <c r="O80" i="3"/>
  <c r="L76" i="3"/>
  <c r="AE97" i="3"/>
  <c r="Q48" i="3"/>
  <c r="AL75" i="3"/>
  <c r="O89" i="3"/>
  <c r="K70" i="3"/>
  <c r="M60" i="3"/>
  <c r="AK80" i="3"/>
  <c r="I85" i="3"/>
  <c r="AE82" i="3"/>
  <c r="Q50" i="3"/>
  <c r="M97" i="3"/>
  <c r="AA47" i="3"/>
  <c r="AJ79" i="3"/>
  <c r="AI81" i="3"/>
  <c r="AL61" i="3"/>
  <c r="AA93" i="3"/>
  <c r="AA61" i="3"/>
  <c r="AC72" i="3"/>
  <c r="AC94" i="3"/>
  <c r="AC76" i="3"/>
  <c r="X57" i="3"/>
  <c r="I50" i="3"/>
  <c r="AG48" i="3"/>
  <c r="Q54" i="3"/>
  <c r="L56" i="3"/>
  <c r="AI55" i="3"/>
  <c r="L94" i="3"/>
  <c r="J93" i="3"/>
  <c r="AN83" i="3"/>
  <c r="AG66" i="3"/>
  <c r="AO54" i="3"/>
  <c r="S61" i="3"/>
  <c r="Z95" i="3"/>
  <c r="Q82" i="3"/>
  <c r="AC89" i="3"/>
  <c r="AE59" i="3"/>
  <c r="H47" i="3"/>
  <c r="AJ61" i="3"/>
  <c r="K82" i="3"/>
  <c r="M61" i="3"/>
  <c r="J76" i="3"/>
  <c r="AQ73" i="3"/>
  <c r="M78" i="3"/>
  <c r="AC86" i="3"/>
  <c r="X56" i="3"/>
  <c r="M76" i="3"/>
  <c r="X55" i="3"/>
  <c r="Z74" i="3"/>
  <c r="S78" i="3"/>
  <c r="AN50" i="3"/>
  <c r="Z79" i="3"/>
  <c r="AQ68" i="3"/>
  <c r="O81" i="3"/>
  <c r="AG57" i="3"/>
  <c r="M95" i="3"/>
  <c r="Y83" i="3"/>
  <c r="M94" i="3"/>
  <c r="Z54" i="3"/>
  <c r="K79" i="3"/>
  <c r="AK49" i="3"/>
  <c r="AN65" i="3"/>
  <c r="AN81" i="3"/>
  <c r="Q59" i="3"/>
  <c r="X64" i="3"/>
  <c r="J88" i="3"/>
  <c r="AN70" i="3"/>
  <c r="X87" i="3"/>
  <c r="AC82" i="3"/>
  <c r="M59" i="3"/>
  <c r="AG85" i="3"/>
  <c r="L69" i="3"/>
  <c r="L64" i="3"/>
  <c r="AI72" i="3"/>
  <c r="I65" i="3"/>
  <c r="AQ66" i="3"/>
  <c r="AE74" i="3"/>
  <c r="K47" i="3"/>
  <c r="AO88" i="3"/>
  <c r="M66" i="3"/>
  <c r="Q62" i="3"/>
  <c r="AL89" i="3"/>
  <c r="O56" i="3"/>
  <c r="L78" i="3"/>
  <c r="H69" i="3"/>
  <c r="AE69" i="3"/>
  <c r="AN66" i="3"/>
  <c r="M75" i="3"/>
  <c r="AN78" i="3"/>
  <c r="AC79" i="3"/>
  <c r="AC70" i="3"/>
  <c r="AC83" i="3"/>
  <c r="AQ70" i="3"/>
  <c r="O61" i="3"/>
  <c r="AJ74" i="3"/>
  <c r="AC78" i="3"/>
  <c r="S86" i="3"/>
  <c r="AL10" i="3"/>
  <c r="AH34" i="3"/>
  <c r="AD42" i="3"/>
  <c r="W17" i="3"/>
  <c r="AL26" i="3"/>
  <c r="V5" i="3"/>
  <c r="Q30" i="3"/>
  <c r="AQ30" i="3"/>
  <c r="AP33" i="3"/>
  <c r="AB25" i="3"/>
  <c r="Z22" i="3"/>
  <c r="AM16" i="3"/>
  <c r="AA24" i="3"/>
  <c r="AP84" i="3"/>
  <c r="Z8" i="3"/>
  <c r="W28" i="3"/>
  <c r="AH24" i="3"/>
  <c r="AG42" i="3"/>
  <c r="AM6" i="3"/>
  <c r="AB88" i="3"/>
  <c r="AC35" i="3"/>
  <c r="C20" i="3"/>
  <c r="X27" i="3"/>
  <c r="AK42" i="3"/>
  <c r="X40" i="3"/>
  <c r="AB27" i="3"/>
  <c r="G49" i="3"/>
  <c r="AJ9" i="3"/>
  <c r="C48" i="3"/>
  <c r="AA41" i="3"/>
  <c r="AI39" i="3"/>
  <c r="AG19" i="3"/>
  <c r="I26" i="3"/>
  <c r="AE15" i="3"/>
  <c r="AP23" i="3"/>
  <c r="N14" i="3"/>
  <c r="V11" i="3"/>
  <c r="R8" i="3"/>
  <c r="Z39" i="3"/>
  <c r="AM30" i="3"/>
  <c r="X25" i="3"/>
  <c r="T23" i="3"/>
  <c r="T32" i="3"/>
  <c r="AB67" i="3"/>
  <c r="J31" i="3"/>
  <c r="AI11" i="3"/>
  <c r="W6" i="3"/>
  <c r="N27" i="3"/>
  <c r="AL8" i="3"/>
  <c r="AH5" i="3"/>
  <c r="L7" i="3"/>
  <c r="AA21" i="3"/>
  <c r="AD23" i="3"/>
  <c r="C7" i="3"/>
  <c r="AK6" i="3"/>
  <c r="AI14" i="3"/>
  <c r="X19" i="3"/>
  <c r="R5" i="3"/>
  <c r="AO22" i="3"/>
  <c r="AP73" i="3"/>
  <c r="U39" i="3"/>
  <c r="AH30" i="3"/>
  <c r="AB8" i="3"/>
  <c r="AE35" i="3"/>
  <c r="AD29" i="3"/>
  <c r="AP95" i="3"/>
  <c r="V17" i="3"/>
  <c r="AK17" i="3"/>
  <c r="Y30" i="3"/>
  <c r="Z13" i="3"/>
  <c r="AD33" i="3"/>
  <c r="Y36" i="3"/>
  <c r="N28" i="3"/>
  <c r="Y12" i="3"/>
  <c r="W22" i="3"/>
  <c r="AB12" i="3"/>
  <c r="AB22" i="3"/>
  <c r="AO30" i="3"/>
  <c r="AP26" i="3"/>
  <c r="AG23" i="3"/>
  <c r="C39" i="3"/>
  <c r="P21" i="3"/>
  <c r="T6" i="3"/>
  <c r="AL6" i="3"/>
  <c r="N22" i="3"/>
  <c r="M27" i="3"/>
  <c r="I17" i="3"/>
  <c r="W29" i="3"/>
  <c r="AI18" i="3"/>
  <c r="AB20" i="3"/>
  <c r="Y14" i="3"/>
  <c r="AQ40" i="3"/>
  <c r="J18" i="3"/>
  <c r="X17" i="3"/>
  <c r="R21" i="3"/>
  <c r="AB59" i="3"/>
  <c r="J19" i="3"/>
  <c r="V6" i="3"/>
  <c r="W32" i="3"/>
  <c r="AG39" i="3"/>
  <c r="Z91" i="3"/>
  <c r="V75" i="3"/>
  <c r="AC87" i="3"/>
  <c r="M50" i="3"/>
  <c r="Y73" i="3"/>
  <c r="AH97" i="3"/>
  <c r="AL83" i="3"/>
  <c r="AI91" i="3"/>
  <c r="AC73" i="3"/>
  <c r="J55" i="3"/>
  <c r="K54" i="3"/>
  <c r="K80" i="3"/>
  <c r="Y96" i="3"/>
  <c r="AI87" i="3"/>
  <c r="J61" i="3"/>
  <c r="AO84" i="3"/>
  <c r="X80" i="3"/>
  <c r="AN72" i="3"/>
  <c r="AL73" i="3"/>
  <c r="Z88" i="3"/>
  <c r="AN74" i="3"/>
  <c r="L87" i="3"/>
  <c r="AN86" i="3"/>
  <c r="AE56" i="3"/>
  <c r="M91" i="3"/>
  <c r="AK60" i="3"/>
  <c r="AL64" i="3"/>
  <c r="S62" i="3"/>
  <c r="AO80" i="3"/>
  <c r="O62" i="3"/>
  <c r="AE64" i="3"/>
  <c r="Z69" i="3"/>
  <c r="Q57" i="3"/>
  <c r="AC97" i="3"/>
  <c r="M87" i="3"/>
  <c r="AG17" i="3"/>
  <c r="I28" i="3"/>
  <c r="S19" i="3"/>
  <c r="N37" i="3"/>
  <c r="K14" i="3"/>
  <c r="AM24" i="3"/>
  <c r="Y41" i="3"/>
  <c r="AJ30" i="3"/>
  <c r="AK34" i="3"/>
  <c r="M33" i="3"/>
  <c r="X13" i="3"/>
  <c r="AM17" i="3"/>
  <c r="L9" i="3"/>
  <c r="AC25" i="3"/>
  <c r="P23" i="3"/>
  <c r="H7" i="3"/>
  <c r="Z18" i="3"/>
  <c r="AP8" i="3"/>
  <c r="U33" i="3"/>
  <c r="AE8" i="3"/>
  <c r="J36" i="3"/>
  <c r="T20" i="3"/>
  <c r="AP42" i="3"/>
  <c r="AC21" i="3"/>
  <c r="K39" i="3"/>
  <c r="J23" i="3"/>
  <c r="T24" i="3"/>
  <c r="K29" i="3"/>
  <c r="H19" i="3"/>
  <c r="AA17" i="3"/>
  <c r="Q6" i="3"/>
  <c r="L27" i="3"/>
  <c r="AL14" i="3"/>
  <c r="C33" i="3"/>
  <c r="Q14" i="3"/>
  <c r="I7" i="3"/>
  <c r="C17" i="3"/>
  <c r="N5" i="3"/>
  <c r="AD36" i="3"/>
  <c r="AJ22" i="3"/>
  <c r="U17" i="3"/>
  <c r="AB83" i="3"/>
  <c r="Z36" i="3"/>
  <c r="I94" i="3"/>
  <c r="AH89" i="3"/>
  <c r="AN61" i="3"/>
  <c r="X74" i="3"/>
  <c r="R78" i="3"/>
  <c r="AQ83" i="3"/>
  <c r="I74" i="3"/>
  <c r="AC64" i="3"/>
  <c r="M63" i="3"/>
  <c r="J64" i="3"/>
  <c r="AC95" i="3"/>
  <c r="AE76" i="3"/>
  <c r="AQ72" i="3"/>
  <c r="AA83" i="3"/>
  <c r="AC75" i="3"/>
  <c r="AO83" i="3"/>
  <c r="Y93" i="3"/>
  <c r="X86" i="3"/>
  <c r="O72" i="3"/>
  <c r="AC92" i="3"/>
  <c r="H29" i="3"/>
  <c r="I29" i="3"/>
  <c r="Z30" i="3"/>
  <c r="AC37" i="3"/>
  <c r="AM5" i="3"/>
  <c r="AC42" i="3"/>
  <c r="C10" i="3"/>
  <c r="AJ10" i="3"/>
  <c r="C11" i="3"/>
  <c r="C36" i="3"/>
  <c r="AQ22" i="3"/>
  <c r="Y15" i="3"/>
  <c r="C19" i="3"/>
  <c r="X20" i="3"/>
  <c r="AM29" i="3"/>
  <c r="AB47" i="3"/>
  <c r="AC16" i="3"/>
  <c r="Y31" i="3"/>
  <c r="AC31" i="3"/>
  <c r="H34" i="3"/>
  <c r="AD35" i="3"/>
  <c r="M35" i="3"/>
  <c r="AI28" i="3"/>
  <c r="AP78" i="3"/>
  <c r="AL40" i="3"/>
  <c r="C4" i="3"/>
  <c r="T30" i="3"/>
  <c r="T11" i="3"/>
  <c r="AO31" i="3"/>
  <c r="AP68" i="3"/>
  <c r="V36" i="3"/>
  <c r="AI33" i="3"/>
  <c r="Q24" i="3"/>
  <c r="AM27" i="3"/>
  <c r="AB92" i="3"/>
  <c r="AJ40" i="3"/>
  <c r="J24" i="3"/>
  <c r="AP29" i="3"/>
  <c r="Q12" i="3"/>
  <c r="AG28" i="3"/>
  <c r="H17" i="3"/>
  <c r="AE18" i="3"/>
  <c r="AE26" i="3"/>
  <c r="Z56" i="3"/>
  <c r="K85" i="3"/>
  <c r="AN82" i="3"/>
  <c r="AE88" i="3"/>
  <c r="AH78" i="3"/>
  <c r="L83" i="3"/>
  <c r="AC93" i="3"/>
  <c r="K62" i="3"/>
  <c r="AK55" i="3"/>
  <c r="I96" i="3"/>
  <c r="AH95" i="3"/>
  <c r="S84" i="3"/>
  <c r="Z71" i="3"/>
  <c r="AN48" i="3"/>
  <c r="M84" i="3"/>
  <c r="I69" i="3"/>
  <c r="AK92" i="3"/>
  <c r="H55" i="3"/>
  <c r="Q61" i="3"/>
  <c r="AG60" i="3"/>
  <c r="AP40" i="3"/>
  <c r="W18" i="3"/>
  <c r="J14" i="3"/>
  <c r="L35" i="3"/>
  <c r="T35" i="3"/>
  <c r="I19" i="3"/>
  <c r="AD26" i="3"/>
  <c r="AN24" i="3"/>
  <c r="Z31" i="3"/>
  <c r="AN18" i="3"/>
  <c r="X8" i="3"/>
  <c r="AN22" i="3"/>
  <c r="R7" i="3"/>
  <c r="L34" i="3"/>
  <c r="AB75" i="3"/>
  <c r="AO23" i="3"/>
  <c r="AB41" i="3"/>
  <c r="AL20" i="3"/>
  <c r="AP61" i="3"/>
  <c r="AP82" i="3"/>
  <c r="AP90" i="3"/>
  <c r="I37" i="3"/>
  <c r="C42" i="3"/>
  <c r="AN7" i="3"/>
  <c r="S34" i="3"/>
  <c r="C41" i="3"/>
  <c r="S12" i="3"/>
  <c r="AP80" i="3"/>
  <c r="AA31" i="3"/>
  <c r="H24" i="3"/>
  <c r="AQ38" i="3"/>
  <c r="AE21" i="3"/>
  <c r="AB87" i="3"/>
  <c r="AL28" i="3"/>
  <c r="T8" i="3"/>
  <c r="L8" i="3"/>
  <c r="Z19" i="3"/>
  <c r="AB70" i="3"/>
  <c r="K36" i="3"/>
  <c r="X36" i="3"/>
  <c r="M24" i="3"/>
  <c r="Z33" i="3"/>
  <c r="AP28" i="3"/>
  <c r="K25" i="3"/>
  <c r="Q7" i="3"/>
  <c r="AH13" i="3"/>
  <c r="M28" i="3"/>
  <c r="K26" i="3"/>
  <c r="AG29" i="3"/>
  <c r="Z14" i="3"/>
  <c r="AP79" i="3"/>
  <c r="L15" i="3"/>
  <c r="M12" i="3"/>
  <c r="AB68" i="3"/>
  <c r="AK25" i="3"/>
  <c r="D47" i="3"/>
  <c r="Z37" i="3"/>
  <c r="T5" i="3"/>
  <c r="O42" i="3"/>
  <c r="E47" i="3"/>
  <c r="AE19" i="3"/>
  <c r="AK39" i="3"/>
  <c r="L39" i="3"/>
  <c r="R42" i="3"/>
  <c r="AO10" i="3"/>
  <c r="AN35" i="3"/>
  <c r="L21" i="3"/>
  <c r="AQ16" i="3"/>
  <c r="AE14" i="3"/>
  <c r="AG37" i="3"/>
  <c r="AD25" i="3"/>
  <c r="AE7" i="3"/>
  <c r="O28" i="3"/>
  <c r="AE32" i="3"/>
  <c r="AO7" i="3"/>
  <c r="H39" i="3"/>
  <c r="AQ15" i="3"/>
  <c r="AM14" i="3"/>
  <c r="AC9" i="3"/>
  <c r="N41" i="3"/>
  <c r="AP57" i="3"/>
  <c r="AJ31" i="3"/>
  <c r="O36" i="3"/>
  <c r="AN25" i="3"/>
  <c r="AE29" i="3"/>
  <c r="AK61" i="3"/>
  <c r="AE71" i="3"/>
  <c r="J86" i="3"/>
  <c r="AH94" i="3"/>
  <c r="Q97" i="3"/>
  <c r="AM82" i="3"/>
  <c r="L95" i="3"/>
  <c r="AH48" i="3"/>
  <c r="N82" i="3"/>
  <c r="AE63" i="3"/>
  <c r="AN69" i="3"/>
  <c r="AI47" i="3"/>
  <c r="S96" i="3"/>
  <c r="J90" i="3"/>
  <c r="AL84" i="3"/>
  <c r="AN63" i="3"/>
  <c r="T58" i="3"/>
  <c r="L55" i="3"/>
  <c r="O86" i="3"/>
  <c r="M58" i="3"/>
  <c r="AL63" i="3"/>
  <c r="L88" i="3"/>
  <c r="AM75" i="3"/>
  <c r="AL70" i="3"/>
  <c r="AI48" i="3"/>
  <c r="AK97" i="3"/>
  <c r="J60" i="3"/>
  <c r="AK66" i="3"/>
  <c r="K96" i="3"/>
  <c r="T57" i="3"/>
  <c r="AG67" i="3"/>
  <c r="AH90" i="3"/>
  <c r="AC85" i="3"/>
  <c r="X78" i="3"/>
  <c r="AK81" i="3"/>
  <c r="AG55" i="3"/>
  <c r="AE70" i="3"/>
  <c r="Z47" i="3"/>
  <c r="AC57" i="3"/>
  <c r="AC63" i="3"/>
  <c r="L72" i="3"/>
  <c r="O85" i="3"/>
  <c r="AE67" i="3"/>
  <c r="Z62" i="3"/>
  <c r="AO55" i="3"/>
  <c r="AJ54" i="3"/>
  <c r="AN80" i="3"/>
  <c r="K86" i="3"/>
  <c r="I78" i="3"/>
  <c r="Q72" i="3"/>
  <c r="S65" i="3"/>
  <c r="X88" i="3"/>
  <c r="AH60" i="3"/>
  <c r="AQ55" i="3"/>
  <c r="Y79" i="3"/>
  <c r="AO49" i="3"/>
  <c r="O55" i="3"/>
  <c r="I76" i="3"/>
  <c r="Q73" i="3"/>
  <c r="J70" i="3"/>
  <c r="X60" i="3"/>
  <c r="AO16" i="3"/>
  <c r="Y39" i="3"/>
  <c r="U5" i="3"/>
  <c r="I21" i="3"/>
  <c r="AN16" i="3"/>
  <c r="O19" i="3"/>
  <c r="W26" i="3"/>
  <c r="Q9" i="3"/>
  <c r="AI34" i="3"/>
  <c r="AE11" i="3"/>
  <c r="U18" i="3"/>
  <c r="AD30" i="3"/>
  <c r="AM11" i="3"/>
  <c r="AP39" i="3"/>
  <c r="AO29" i="3"/>
  <c r="I10" i="3"/>
  <c r="AN31" i="3"/>
  <c r="T12" i="3"/>
  <c r="AQ23" i="3"/>
  <c r="AP11" i="3"/>
  <c r="AB48" i="3"/>
  <c r="P24" i="3"/>
  <c r="V33" i="3"/>
  <c r="I35" i="3"/>
  <c r="Q18" i="3"/>
  <c r="AM10" i="3"/>
  <c r="AN23" i="3"/>
  <c r="AE38" i="3"/>
  <c r="U28" i="3"/>
  <c r="AG6" i="3"/>
  <c r="S39" i="3"/>
  <c r="AE28" i="3"/>
  <c r="M14" i="3"/>
  <c r="Z38" i="3"/>
  <c r="K22" i="3"/>
  <c r="O39" i="3"/>
  <c r="H6" i="3"/>
  <c r="AB14" i="3"/>
  <c r="W39" i="3"/>
  <c r="AG10" i="3"/>
  <c r="AO18" i="3"/>
  <c r="J21" i="3"/>
  <c r="U42" i="3"/>
  <c r="AA37" i="3"/>
  <c r="Z84" i="3"/>
  <c r="AH66" i="3"/>
  <c r="Y49" i="3"/>
  <c r="S63" i="3"/>
  <c r="AE96" i="3"/>
  <c r="AE77" i="3"/>
  <c r="L73" i="3"/>
  <c r="AH47" i="3"/>
  <c r="AC59" i="3"/>
  <c r="AC77" i="3"/>
  <c r="U66" i="3"/>
  <c r="AL72" i="3"/>
  <c r="AN76" i="3"/>
  <c r="Y56" i="3"/>
  <c r="Q78" i="3"/>
  <c r="Y78" i="3"/>
  <c r="J75" i="3"/>
  <c r="M81" i="3"/>
  <c r="AL93" i="3"/>
  <c r="L58" i="3"/>
  <c r="K59" i="3"/>
  <c r="S67" i="3"/>
  <c r="Y58" i="3"/>
  <c r="AG89" i="3"/>
  <c r="S66" i="3"/>
  <c r="AE91" i="3"/>
  <c r="K92" i="3"/>
  <c r="AJ76" i="3"/>
  <c r="AC60" i="3"/>
  <c r="U71" i="3"/>
  <c r="I79" i="3"/>
  <c r="K74" i="3"/>
  <c r="J72" i="3"/>
  <c r="AG56" i="3"/>
  <c r="AO87" i="3"/>
  <c r="AQ56" i="3"/>
  <c r="U73" i="3"/>
  <c r="K58" i="3"/>
  <c r="U84" i="3"/>
  <c r="X72" i="3"/>
  <c r="AI79" i="3"/>
  <c r="AQ85" i="3"/>
  <c r="AQ95" i="3"/>
  <c r="K89" i="3"/>
  <c r="AL49" i="3"/>
  <c r="AH71" i="3"/>
  <c r="Z73" i="3"/>
  <c r="X54" i="3"/>
  <c r="AJ89" i="3"/>
  <c r="AO58" i="3"/>
  <c r="AG69" i="3"/>
  <c r="Q93" i="3"/>
  <c r="AE65" i="3"/>
  <c r="AE84" i="3"/>
  <c r="Y97" i="3"/>
  <c r="AI95" i="3"/>
  <c r="AO67" i="3"/>
  <c r="AK59" i="3"/>
  <c r="T10" i="3"/>
  <c r="X35" i="3"/>
  <c r="V39" i="3"/>
  <c r="Z24" i="3"/>
  <c r="Y25" i="3"/>
  <c r="L31" i="3"/>
  <c r="Q35" i="3"/>
  <c r="X11" i="3"/>
  <c r="AG22" i="3"/>
  <c r="N36" i="3"/>
  <c r="W19" i="3"/>
  <c r="K7" i="3"/>
  <c r="P5" i="3"/>
  <c r="Z35" i="3"/>
  <c r="AH26" i="3"/>
  <c r="AH40" i="3"/>
  <c r="AH15" i="3"/>
  <c r="AB35" i="3"/>
  <c r="S41" i="3"/>
  <c r="AJ13" i="3"/>
  <c r="AQ18" i="3"/>
  <c r="W5" i="3"/>
  <c r="V28" i="3"/>
  <c r="Y22" i="3"/>
  <c r="AM35" i="3"/>
  <c r="AJ35" i="3"/>
  <c r="AP41" i="3"/>
  <c r="M38" i="3"/>
  <c r="L22" i="3"/>
  <c r="AA9" i="3"/>
  <c r="AH12" i="3"/>
  <c r="I30" i="3"/>
  <c r="AK24" i="3"/>
  <c r="AO12" i="3"/>
  <c r="K28" i="3"/>
  <c r="R33" i="3"/>
  <c r="S29" i="3"/>
  <c r="S9" i="3"/>
  <c r="R37" i="3"/>
  <c r="AO21" i="3"/>
  <c r="H32" i="3"/>
  <c r="AH25" i="3"/>
  <c r="Y65" i="3"/>
  <c r="AI94" i="3"/>
  <c r="AK79" i="3"/>
  <c r="K75" i="3"/>
  <c r="K83" i="3"/>
  <c r="I93" i="3"/>
  <c r="O78" i="3"/>
  <c r="O76" i="3"/>
  <c r="Q70" i="3"/>
  <c r="AE60" i="3"/>
  <c r="Z87" i="3"/>
  <c r="AJ63" i="3"/>
  <c r="AG70" i="3"/>
  <c r="AH73" i="3"/>
  <c r="K69" i="3"/>
  <c r="U91" i="3"/>
  <c r="U88" i="3"/>
  <c r="AO60" i="3"/>
  <c r="Z68" i="3"/>
  <c r="W88" i="3"/>
  <c r="AG84" i="3"/>
  <c r="L82" i="3"/>
  <c r="W76" i="3"/>
  <c r="AL71" i="3"/>
  <c r="I60" i="3"/>
  <c r="J73" i="3"/>
  <c r="AG77" i="3"/>
  <c r="AG96" i="3"/>
  <c r="AH68" i="3"/>
  <c r="AK50" i="3"/>
  <c r="AJ47" i="3"/>
  <c r="L89" i="3"/>
  <c r="K97" i="3"/>
  <c r="I95" i="3"/>
  <c r="O47" i="3"/>
  <c r="AO64" i="3"/>
  <c r="W75" i="3"/>
  <c r="AH63" i="3"/>
  <c r="AO63" i="3"/>
  <c r="AH72" i="3"/>
  <c r="K55" i="3"/>
  <c r="I83" i="3"/>
  <c r="P62" i="3"/>
  <c r="AI63" i="3"/>
  <c r="O74" i="3"/>
  <c r="Q89" i="3"/>
  <c r="AI50" i="3"/>
  <c r="X83" i="3"/>
  <c r="M82" i="3"/>
  <c r="Q60" i="3"/>
  <c r="AI70" i="3"/>
  <c r="AL57" i="3"/>
  <c r="I72" i="3"/>
  <c r="AE93" i="3"/>
  <c r="AN62" i="3"/>
  <c r="AN79" i="3"/>
  <c r="P54" i="3"/>
  <c r="AG65" i="3"/>
  <c r="AG64" i="3"/>
  <c r="AG58" i="3"/>
  <c r="AG76" i="3"/>
  <c r="AE85" i="3"/>
  <c r="AE48" i="3"/>
  <c r="Q96" i="3"/>
  <c r="Q92" i="3"/>
  <c r="Q49" i="3"/>
  <c r="Q56" i="3"/>
  <c r="Q85" i="3"/>
  <c r="Q83" i="3"/>
  <c r="AC88" i="3"/>
  <c r="AC62" i="3"/>
  <c r="AC47" i="3"/>
  <c r="AC68" i="3"/>
  <c r="AC50" i="3"/>
  <c r="AC84" i="3"/>
  <c r="AC49" i="3"/>
  <c r="AC96" i="3"/>
  <c r="AC58" i="3"/>
  <c r="AO96" i="3"/>
  <c r="AO86" i="3"/>
  <c r="AO56" i="3"/>
  <c r="AO89" i="3"/>
  <c r="AO65" i="3"/>
  <c r="AO66" i="3"/>
  <c r="AL78" i="3"/>
  <c r="AL54" i="3"/>
  <c r="AQ94" i="3"/>
  <c r="AQ49" i="3"/>
  <c r="AQ58" i="3"/>
  <c r="AQ90" i="3"/>
  <c r="AJ78" i="3"/>
  <c r="AJ68" i="3"/>
  <c r="AJ87" i="3"/>
  <c r="AJ96" i="3"/>
  <c r="AJ55" i="3"/>
  <c r="AJ65" i="3"/>
  <c r="S71" i="3"/>
  <c r="S91" i="3"/>
  <c r="S90" i="3"/>
  <c r="S88" i="3"/>
  <c r="S76" i="3"/>
  <c r="S95" i="3"/>
  <c r="S57" i="3"/>
  <c r="S89" i="3"/>
  <c r="S94" i="3"/>
  <c r="S55" i="3"/>
  <c r="S70" i="3"/>
  <c r="Y86" i="3"/>
  <c r="Y76" i="3"/>
  <c r="Y50" i="3"/>
  <c r="Y81" i="3"/>
  <c r="Y71" i="3"/>
  <c r="Y89" i="3"/>
  <c r="Z70" i="3"/>
  <c r="Z89" i="3"/>
  <c r="Z67" i="3"/>
  <c r="Z65" i="3"/>
  <c r="Z92" i="3"/>
  <c r="Z61" i="3"/>
  <c r="Z93" i="3"/>
  <c r="I55" i="3"/>
  <c r="I71" i="3"/>
  <c r="I56" i="3"/>
  <c r="I64" i="3"/>
  <c r="I91" i="3"/>
  <c r="I59" i="3"/>
  <c r="I77" i="3"/>
  <c r="I90" i="3"/>
  <c r="I81" i="3"/>
  <c r="I88" i="3"/>
  <c r="I87" i="3"/>
  <c r="AI62" i="3"/>
  <c r="AI84" i="3"/>
  <c r="AI85" i="3"/>
  <c r="AI89" i="3"/>
  <c r="AI73" i="3"/>
  <c r="AI93" i="3"/>
  <c r="AI57" i="3"/>
  <c r="AI83" i="3"/>
  <c r="M80" i="3"/>
  <c r="M88" i="3"/>
  <c r="M85" i="3"/>
  <c r="M55" i="3"/>
  <c r="M77" i="3"/>
  <c r="M67" i="3"/>
  <c r="M70" i="3"/>
  <c r="M96" i="3"/>
  <c r="M68" i="3"/>
  <c r="M56" i="3"/>
  <c r="M62" i="3"/>
  <c r="M83" i="3"/>
  <c r="L92" i="3"/>
  <c r="L91" i="3"/>
  <c r="L97" i="3"/>
  <c r="L79" i="3"/>
  <c r="L63" i="3"/>
  <c r="L50" i="3"/>
  <c r="L84" i="3"/>
  <c r="L61" i="3"/>
  <c r="L75" i="3"/>
  <c r="L60" i="3"/>
  <c r="L81" i="3"/>
  <c r="L96" i="3"/>
  <c r="L77" i="3"/>
  <c r="L54" i="3"/>
  <c r="L80" i="3"/>
  <c r="L85" i="3"/>
  <c r="L74" i="3"/>
  <c r="L62" i="3"/>
  <c r="L90" i="3"/>
  <c r="L47" i="3"/>
  <c r="L57" i="3"/>
  <c r="L59" i="3"/>
  <c r="O66" i="3"/>
  <c r="O68" i="3"/>
  <c r="O49" i="3"/>
  <c r="O54" i="3"/>
  <c r="O91" i="3"/>
  <c r="O48" i="3"/>
  <c r="O75" i="3"/>
  <c r="O67" i="3"/>
  <c r="O60" i="3"/>
  <c r="O83" i="3"/>
  <c r="O95" i="3"/>
  <c r="O88" i="3"/>
  <c r="O58" i="3"/>
  <c r="O64" i="3"/>
  <c r="O93" i="3"/>
  <c r="O82" i="3"/>
  <c r="O97" i="3"/>
  <c r="O96" i="3"/>
  <c r="O69" i="3"/>
  <c r="X63" i="3"/>
  <c r="X58" i="3"/>
  <c r="X79" i="3"/>
  <c r="X61" i="3"/>
  <c r="X47" i="3"/>
  <c r="X94" i="3"/>
  <c r="X71" i="3"/>
  <c r="X66" i="3"/>
  <c r="X85" i="3"/>
  <c r="X84" i="3"/>
  <c r="X97" i="3"/>
  <c r="X67" i="3"/>
  <c r="X77" i="3"/>
  <c r="X90" i="3"/>
  <c r="X91" i="3"/>
  <c r="X73" i="3"/>
  <c r="X92" i="3"/>
  <c r="X68" i="3"/>
  <c r="X65" i="3"/>
  <c r="X89" i="3"/>
  <c r="AH59" i="3"/>
  <c r="AH77" i="3"/>
  <c r="AH86" i="3"/>
  <c r="AH57" i="3"/>
  <c r="AH91" i="3"/>
  <c r="AH75" i="3"/>
  <c r="AH85" i="3"/>
  <c r="AH79" i="3"/>
  <c r="AH74" i="3"/>
  <c r="AH65" i="3"/>
  <c r="AH61" i="3"/>
  <c r="AH50" i="3"/>
  <c r="AH69" i="3"/>
  <c r="AH84" i="3"/>
  <c r="AH80" i="3"/>
  <c r="AH87" i="3"/>
  <c r="AH54" i="3"/>
  <c r="AH93" i="3"/>
  <c r="AH67" i="3"/>
  <c r="AH83" i="3"/>
  <c r="AH96" i="3"/>
  <c r="AH82" i="3"/>
  <c r="AH56" i="3"/>
  <c r="U49" i="3"/>
  <c r="U93" i="3"/>
  <c r="U83" i="3"/>
  <c r="U64" i="3"/>
  <c r="U86" i="3"/>
  <c r="U75" i="3"/>
  <c r="U59" i="3"/>
  <c r="U90" i="3"/>
  <c r="U65" i="3"/>
  <c r="U70" i="3"/>
  <c r="U95" i="3"/>
  <c r="U55" i="3"/>
  <c r="U57" i="3"/>
  <c r="U74" i="3"/>
  <c r="U92" i="3"/>
  <c r="U60" i="3"/>
  <c r="U68" i="3"/>
  <c r="U89" i="3"/>
  <c r="U94" i="3"/>
  <c r="U61" i="3"/>
  <c r="U48" i="3"/>
  <c r="U62" i="3"/>
  <c r="U80" i="3"/>
  <c r="U87" i="3"/>
  <c r="U76" i="3"/>
  <c r="U81" i="3"/>
  <c r="U58" i="3"/>
  <c r="U50" i="3"/>
  <c r="U54" i="3"/>
  <c r="U85" i="3"/>
  <c r="U78" i="3"/>
  <c r="U77" i="3"/>
  <c r="U69" i="3"/>
  <c r="U63" i="3"/>
  <c r="U97" i="3"/>
  <c r="U56" i="3"/>
  <c r="U72" i="3"/>
  <c r="U67" i="3"/>
  <c r="U82" i="3"/>
  <c r="U47" i="3"/>
  <c r="U96" i="3"/>
  <c r="U79" i="3"/>
  <c r="P74" i="3"/>
  <c r="P84" i="3"/>
  <c r="P73" i="3"/>
  <c r="P78" i="3"/>
  <c r="P95" i="3"/>
  <c r="P50" i="3"/>
  <c r="P49" i="3"/>
  <c r="P57" i="3"/>
  <c r="P81" i="3"/>
  <c r="P77" i="3"/>
  <c r="P70" i="3"/>
  <c r="P65" i="3"/>
  <c r="P96" i="3"/>
  <c r="P93" i="3"/>
  <c r="P88" i="3"/>
  <c r="P97" i="3"/>
  <c r="P63" i="3"/>
  <c r="P66" i="3"/>
  <c r="P64" i="3"/>
  <c r="P89" i="3"/>
  <c r="P61" i="3"/>
  <c r="P76" i="3"/>
  <c r="P69" i="3"/>
  <c r="P60" i="3"/>
  <c r="P58" i="3"/>
  <c r="P68" i="3"/>
  <c r="P90" i="3"/>
  <c r="P55" i="3"/>
  <c r="P85" i="3"/>
  <c r="P79" i="3"/>
  <c r="P92" i="3"/>
  <c r="P82" i="3"/>
  <c r="P47" i="3"/>
  <c r="P67" i="3"/>
  <c r="P71" i="3"/>
  <c r="P80" i="3"/>
  <c r="P91" i="3"/>
  <c r="P59" i="3"/>
  <c r="P83" i="3"/>
  <c r="P72" i="3"/>
  <c r="P87" i="3"/>
  <c r="P94" i="3"/>
  <c r="P86" i="3"/>
  <c r="P75" i="3"/>
  <c r="P48" i="3"/>
  <c r="P56" i="3"/>
  <c r="W47" i="3"/>
  <c r="W72" i="3"/>
  <c r="W84" i="3"/>
  <c r="W86" i="3"/>
  <c r="W79" i="3"/>
  <c r="W78" i="3"/>
  <c r="W93" i="3"/>
  <c r="W66" i="3"/>
  <c r="W69" i="3"/>
  <c r="W94" i="3"/>
  <c r="W67" i="3"/>
  <c r="W65" i="3"/>
  <c r="W61" i="3"/>
  <c r="W58" i="3"/>
  <c r="W74" i="3"/>
  <c r="W73" i="3"/>
  <c r="W82" i="3"/>
  <c r="W96" i="3"/>
  <c r="W97" i="3"/>
  <c r="W70" i="3"/>
  <c r="W63" i="3"/>
  <c r="W57" i="3"/>
  <c r="W71" i="3"/>
  <c r="W77" i="3"/>
  <c r="W64" i="3"/>
  <c r="W83" i="3"/>
  <c r="W49" i="3"/>
  <c r="W85" i="3"/>
  <c r="W92" i="3"/>
  <c r="W54" i="3"/>
  <c r="W95" i="3"/>
  <c r="W87" i="3"/>
  <c r="O79" i="3" l="1"/>
  <c r="R95" i="3"/>
  <c r="AM84" i="3"/>
  <c r="AH70" i="3"/>
  <c r="O59" i="3"/>
  <c r="AH58" i="3"/>
  <c r="X62" i="3"/>
  <c r="X59" i="3"/>
  <c r="O84" i="3"/>
  <c r="J82" i="3"/>
  <c r="Y77" i="3"/>
  <c r="J74" i="3"/>
  <c r="H95" i="3"/>
  <c r="AI67" i="3"/>
  <c r="H70" i="3"/>
  <c r="J49" i="3"/>
  <c r="AJ67" i="3"/>
  <c r="S54" i="3"/>
  <c r="Q91" i="3"/>
  <c r="AE57" i="3"/>
  <c r="AK68" i="3"/>
  <c r="AC67" i="3"/>
  <c r="Z90" i="3"/>
  <c r="AG74" i="3"/>
  <c r="H54" i="3"/>
  <c r="AL69" i="3"/>
  <c r="AK89" i="3"/>
  <c r="K76" i="3"/>
  <c r="AE68" i="3"/>
  <c r="AJ80" i="3"/>
  <c r="I61" i="3"/>
  <c r="Q63" i="3"/>
  <c r="H64" i="3"/>
  <c r="AJ50" i="3"/>
  <c r="Z96" i="3"/>
  <c r="AE89" i="3"/>
  <c r="AG59" i="3"/>
  <c r="I89" i="3"/>
  <c r="AQ63" i="3"/>
  <c r="I68" i="3"/>
  <c r="I49" i="3"/>
  <c r="AE83" i="3"/>
  <c r="S59" i="3"/>
  <c r="AN59" i="3"/>
  <c r="Z76" i="3"/>
  <c r="Q87" i="3"/>
  <c r="AQ80" i="3"/>
  <c r="I97" i="3"/>
  <c r="AI54" i="3"/>
  <c r="AI76" i="3"/>
  <c r="K60" i="3"/>
  <c r="J56" i="3"/>
  <c r="Q64" i="3"/>
  <c r="AE95" i="3"/>
  <c r="AO75" i="3"/>
  <c r="Z94" i="3"/>
  <c r="AI58" i="3"/>
  <c r="AG62" i="3"/>
  <c r="AK82" i="3"/>
  <c r="Q68" i="3"/>
  <c r="H48" i="3"/>
  <c r="AG78" i="3"/>
  <c r="H88" i="3"/>
  <c r="H77" i="3"/>
  <c r="AG90" i="3"/>
  <c r="Y54" i="3"/>
  <c r="AL65" i="3"/>
  <c r="AC48" i="3"/>
  <c r="AE79" i="3"/>
  <c r="AJ58" i="3"/>
  <c r="AN84" i="3"/>
  <c r="S80" i="3"/>
  <c r="AI68" i="3"/>
  <c r="AN87" i="3"/>
  <c r="AC74" i="3"/>
  <c r="Y91" i="3"/>
  <c r="Y70" i="3"/>
  <c r="AE80" i="3"/>
  <c r="AO85" i="3"/>
  <c r="AG50" i="3"/>
  <c r="AC55" i="3"/>
  <c r="K84" i="3"/>
  <c r="S85" i="3"/>
  <c r="Q71" i="3"/>
  <c r="AO76" i="3"/>
  <c r="AA74" i="3"/>
  <c r="J94" i="3"/>
  <c r="J96" i="3"/>
  <c r="Y90" i="3"/>
  <c r="AE92" i="3"/>
  <c r="AE50" i="3"/>
  <c r="AN54" i="3"/>
  <c r="AI90" i="3"/>
  <c r="AK76" i="3"/>
  <c r="AA76" i="3"/>
  <c r="AK54" i="3"/>
  <c r="Q74" i="3"/>
  <c r="AA97" i="3"/>
  <c r="AN93" i="3"/>
  <c r="AN57" i="3"/>
  <c r="AG92" i="3"/>
  <c r="AK75" i="3"/>
  <c r="AQ92" i="3"/>
  <c r="AE62" i="3"/>
  <c r="I66" i="3"/>
  <c r="I47" i="3"/>
  <c r="AJ94" i="3"/>
  <c r="AE55" i="3"/>
  <c r="AQ78" i="3"/>
  <c r="AQ84" i="3"/>
  <c r="AH76" i="3"/>
  <c r="AI77" i="3"/>
  <c r="AH88" i="3"/>
  <c r="Q77" i="3"/>
  <c r="Y84" i="3"/>
  <c r="AN67" i="3"/>
  <c r="AG93" i="3"/>
  <c r="AO61" i="3"/>
  <c r="N61" i="3"/>
  <c r="R47" i="3"/>
  <c r="K94" i="3"/>
  <c r="AC65" i="3"/>
  <c r="AE86" i="3"/>
  <c r="AE58" i="3"/>
  <c r="K67" i="3"/>
  <c r="AI82" i="3"/>
  <c r="S60" i="3"/>
  <c r="AK78" i="3"/>
  <c r="J47" i="3"/>
  <c r="V95" i="3"/>
  <c r="Z63" i="3"/>
  <c r="I48" i="3"/>
  <c r="J57" i="3"/>
  <c r="N97" i="3"/>
  <c r="N63" i="3"/>
  <c r="R96" i="3"/>
  <c r="H56" i="3"/>
  <c r="AQ69" i="3"/>
  <c r="AQ89" i="3"/>
  <c r="AM65" i="3"/>
  <c r="AQ75" i="3"/>
  <c r="AH49" i="3"/>
  <c r="N72" i="3"/>
  <c r="I80" i="3"/>
  <c r="H71" i="3"/>
  <c r="AJ72" i="3"/>
  <c r="AK72" i="3"/>
  <c r="AE49" i="3"/>
  <c r="S93" i="3"/>
  <c r="I82" i="3"/>
  <c r="K66" i="3"/>
  <c r="Q55" i="3"/>
  <c r="H78" i="3"/>
  <c r="AK77" i="3"/>
  <c r="AC90" i="3"/>
  <c r="AN56" i="3"/>
  <c r="AK91" i="3"/>
  <c r="H94" i="3"/>
  <c r="H68" i="3"/>
  <c r="J78" i="3"/>
  <c r="J69" i="3"/>
  <c r="AN49" i="3"/>
  <c r="AL95" i="3"/>
  <c r="Y82" i="3"/>
  <c r="AK83" i="3"/>
  <c r="AL91" i="3"/>
  <c r="Y69" i="3"/>
  <c r="AQ47" i="3"/>
  <c r="K91" i="3"/>
  <c r="S79" i="3"/>
  <c r="AK56" i="3"/>
  <c r="AA96" i="3"/>
  <c r="J97" i="3"/>
  <c r="Z57" i="3"/>
  <c r="H89" i="3"/>
  <c r="AL66" i="3"/>
  <c r="Q94" i="3"/>
  <c r="AL86" i="3"/>
  <c r="AJ84" i="3"/>
  <c r="H75" i="3"/>
  <c r="AJ90" i="3"/>
  <c r="I58" i="3"/>
  <c r="S75" i="3"/>
  <c r="AQ61" i="3"/>
  <c r="I67" i="3"/>
  <c r="AA48" i="3"/>
  <c r="AL47" i="3"/>
  <c r="AL87" i="3"/>
  <c r="AN55" i="3"/>
  <c r="AI86" i="3"/>
  <c r="AL97" i="3"/>
  <c r="R76" i="3"/>
  <c r="AN94" i="3"/>
  <c r="J59" i="3"/>
  <c r="AC91" i="3"/>
  <c r="AH55" i="3"/>
  <c r="AK84" i="3"/>
  <c r="AJ75" i="3"/>
  <c r="AK85" i="3"/>
  <c r="AH81" i="3"/>
  <c r="AO97" i="3"/>
  <c r="AQ86" i="3"/>
  <c r="AO95" i="3"/>
  <c r="K63" i="3"/>
  <c r="K78" i="3"/>
  <c r="AH62" i="3"/>
  <c r="AO82" i="3"/>
  <c r="AL50" i="3"/>
  <c r="Y47" i="3"/>
  <c r="N48" i="3"/>
  <c r="Q88" i="3"/>
  <c r="K71" i="3"/>
  <c r="AN95" i="3"/>
  <c r="J77" i="3"/>
  <c r="R93" i="3"/>
  <c r="AL90" i="3"/>
  <c r="AH92" i="3"/>
  <c r="Y48" i="3"/>
  <c r="R50" i="3"/>
  <c r="AA88" i="3"/>
  <c r="AJ73" i="3"/>
  <c r="S47" i="3"/>
  <c r="AI61" i="3"/>
  <c r="AH64" i="3"/>
  <c r="AO50" i="3"/>
  <c r="Z86" i="3"/>
  <c r="V68" i="3"/>
  <c r="Z48" i="3"/>
  <c r="AG54" i="3"/>
  <c r="J54" i="3"/>
  <c r="AO69" i="3"/>
  <c r="AO77" i="3"/>
  <c r="N49" i="3"/>
  <c r="AQ96" i="3"/>
  <c r="AO90" i="3"/>
  <c r="H79" i="3"/>
  <c r="AA95" i="3"/>
  <c r="AA59" i="3"/>
  <c r="AA91" i="3"/>
  <c r="AA86" i="3"/>
  <c r="AA80" i="3"/>
  <c r="R49" i="3"/>
  <c r="H93" i="3"/>
  <c r="V72" i="3"/>
  <c r="AA67" i="3"/>
  <c r="N88" i="3"/>
  <c r="V63" i="3"/>
  <c r="R89" i="3"/>
  <c r="H57" i="3"/>
  <c r="N67" i="3"/>
  <c r="N89" i="3"/>
  <c r="V96" i="3"/>
  <c r="H58" i="3"/>
  <c r="R79" i="3"/>
  <c r="H86" i="3"/>
  <c r="AA73" i="3"/>
  <c r="N77" i="3"/>
  <c r="N59" i="3"/>
  <c r="N74" i="3"/>
  <c r="R80" i="3"/>
  <c r="AA70" i="3"/>
  <c r="AA63" i="3"/>
  <c r="R58" i="3"/>
  <c r="AA71" i="3"/>
  <c r="V55" i="3"/>
  <c r="AA58" i="3"/>
  <c r="AA85" i="3"/>
  <c r="R66" i="3"/>
  <c r="N80" i="3"/>
  <c r="AA57" i="3"/>
  <c r="R92" i="3"/>
  <c r="V65" i="3"/>
  <c r="R85" i="3"/>
  <c r="H92" i="3"/>
  <c r="AA66" i="3"/>
  <c r="H76" i="3"/>
  <c r="R88" i="3"/>
  <c r="H67" i="3"/>
  <c r="N93" i="3"/>
  <c r="R71" i="3"/>
  <c r="H96" i="3"/>
  <c r="H81" i="3"/>
  <c r="H74" i="3"/>
  <c r="H62" i="3"/>
  <c r="H73" i="3"/>
  <c r="H84" i="3"/>
  <c r="H63" i="3"/>
  <c r="H50" i="3"/>
  <c r="H72" i="3"/>
  <c r="H82" i="3"/>
  <c r="H65" i="3"/>
  <c r="H61" i="3"/>
  <c r="H66" i="3"/>
  <c r="AA84" i="3"/>
  <c r="AA60" i="3"/>
  <c r="AA56" i="3"/>
  <c r="AA81" i="3"/>
  <c r="AA55" i="3"/>
  <c r="AA87" i="3"/>
  <c r="AA90" i="3"/>
  <c r="AA72" i="3"/>
  <c r="AA77" i="3"/>
  <c r="AA75" i="3"/>
  <c r="AA62" i="3"/>
  <c r="AA50" i="3"/>
  <c r="AA65" i="3"/>
  <c r="AA79" i="3"/>
  <c r="AA54" i="3"/>
  <c r="AA68" i="3"/>
  <c r="AA89" i="3"/>
  <c r="AA92" i="3"/>
  <c r="AA69" i="3"/>
  <c r="AA78" i="3"/>
  <c r="V88" i="3"/>
  <c r="V71" i="3"/>
  <c r="V83" i="3"/>
  <c r="V50" i="3"/>
  <c r="V70" i="3"/>
  <c r="V64" i="3"/>
  <c r="V93" i="3"/>
  <c r="V86" i="3"/>
  <c r="V84" i="3"/>
  <c r="V49" i="3"/>
  <c r="V61" i="3"/>
  <c r="V77" i="3"/>
  <c r="V97" i="3"/>
  <c r="V78" i="3"/>
  <c r="V47" i="3"/>
  <c r="V85" i="3"/>
  <c r="V62" i="3"/>
  <c r="V87" i="3"/>
  <c r="V89" i="3"/>
  <c r="V73" i="3"/>
  <c r="V94" i="3"/>
  <c r="V60" i="3"/>
  <c r="V82" i="3"/>
  <c r="V56" i="3"/>
  <c r="V69" i="3"/>
  <c r="V59" i="3"/>
  <c r="V79" i="3"/>
  <c r="V90" i="3"/>
  <c r="V58" i="3"/>
  <c r="R65" i="3"/>
  <c r="R63" i="3"/>
  <c r="R59" i="3"/>
  <c r="R67" i="3"/>
  <c r="R55" i="3"/>
  <c r="R81" i="3"/>
  <c r="R69" i="3"/>
  <c r="R70" i="3"/>
  <c r="R57" i="3"/>
  <c r="R87" i="3"/>
  <c r="R90" i="3"/>
  <c r="R82" i="3"/>
  <c r="R86" i="3"/>
  <c r="R60" i="3"/>
  <c r="R56" i="3"/>
  <c r="R62" i="3"/>
  <c r="R77" i="3"/>
  <c r="R91" i="3"/>
  <c r="R64" i="3"/>
  <c r="R74" i="3"/>
  <c r="R84" i="3"/>
  <c r="R83" i="3"/>
  <c r="R72" i="3"/>
  <c r="R61" i="3"/>
  <c r="R73" i="3"/>
  <c r="R68" i="3"/>
  <c r="R75" i="3"/>
  <c r="R48" i="3"/>
  <c r="R54" i="3"/>
  <c r="R97" i="3"/>
  <c r="R94" i="3"/>
  <c r="N91" i="3"/>
  <c r="N68" i="3"/>
  <c r="N54" i="3"/>
  <c r="N71" i="3"/>
  <c r="N96" i="3"/>
  <c r="N85" i="3"/>
  <c r="N92" i="3"/>
  <c r="N47" i="3"/>
  <c r="N66" i="3"/>
  <c r="N62" i="3"/>
  <c r="N78" i="3"/>
  <c r="N75" i="3"/>
  <c r="N56" i="3"/>
  <c r="N57" i="3"/>
  <c r="N94" i="3"/>
  <c r="N95" i="3"/>
  <c r="N58" i="3"/>
  <c r="N84" i="3"/>
  <c r="N69" i="3"/>
  <c r="N64" i="3"/>
  <c r="N50" i="3"/>
  <c r="N83" i="3"/>
  <c r="N79" i="3"/>
  <c r="N70" i="3"/>
  <c r="N86" i="3"/>
  <c r="N87" i="3"/>
  <c r="N90" i="3"/>
  <c r="N73" i="3"/>
  <c r="N81" i="3"/>
  <c r="N65" i="3"/>
  <c r="N55" i="3"/>
  <c r="N76" i="3"/>
  <c r="N60" i="3"/>
  <c r="AG63" i="3"/>
  <c r="Y61" i="3"/>
  <c r="AG81" i="3"/>
  <c r="AO62" i="3"/>
  <c r="M86" i="3"/>
  <c r="AI92" i="3"/>
  <c r="AE72" i="3"/>
  <c r="AK96" i="3"/>
  <c r="AI65" i="3"/>
  <c r="AJ62" i="3"/>
  <c r="H85" i="3"/>
  <c r="M73" i="3"/>
  <c r="AE47" i="3"/>
  <c r="Z49" i="3"/>
  <c r="M72" i="3"/>
  <c r="AN47" i="3"/>
  <c r="Q66" i="3"/>
  <c r="M71" i="3"/>
  <c r="S50" i="3"/>
  <c r="AK88" i="3"/>
  <c r="AN88" i="3"/>
  <c r="AN73" i="3"/>
  <c r="AL94" i="3"/>
  <c r="S77" i="3"/>
  <c r="Y95" i="3"/>
  <c r="AI97" i="3"/>
  <c r="AL56" i="3"/>
  <c r="Z60" i="3"/>
  <c r="AO57" i="3"/>
  <c r="AQ50" i="3"/>
  <c r="K64" i="3"/>
  <c r="AQ65" i="3"/>
  <c r="Z55" i="3"/>
  <c r="AC54" i="3"/>
  <c r="Z66" i="3"/>
  <c r="AN75" i="3"/>
  <c r="AL88" i="3"/>
  <c r="Y60" i="3"/>
  <c r="K77" i="3"/>
  <c r="AL81" i="3"/>
  <c r="S74" i="3"/>
  <c r="Y64" i="3"/>
  <c r="AQ87" i="3"/>
  <c r="M65" i="3"/>
  <c r="J89" i="3"/>
  <c r="AK87" i="3"/>
  <c r="Q65" i="3"/>
  <c r="AQ71" i="3"/>
  <c r="AN68" i="3"/>
  <c r="AK90" i="3"/>
  <c r="M54" i="3"/>
  <c r="Y59" i="3"/>
  <c r="AQ81" i="3"/>
  <c r="AQ64" i="3"/>
  <c r="J48" i="3"/>
  <c r="AG80" i="3"/>
  <c r="AL79" i="3"/>
  <c r="AG86" i="3"/>
  <c r="Z77" i="3"/>
  <c r="AL76" i="3"/>
  <c r="AL58" i="3"/>
  <c r="Y80" i="3"/>
  <c r="AJ48" i="3"/>
  <c r="AJ93" i="3"/>
  <c r="M47" i="3"/>
  <c r="AJ66" i="3"/>
  <c r="AC56" i="3"/>
  <c r="Y87" i="3"/>
  <c r="AJ70" i="3"/>
  <c r="AO91" i="3"/>
  <c r="AQ77" i="3"/>
  <c r="AL48" i="3"/>
  <c r="L67" i="3"/>
  <c r="AI78" i="3"/>
  <c r="L48" i="3"/>
  <c r="S56" i="3"/>
  <c r="K57" i="3"/>
  <c r="AQ91" i="3"/>
  <c r="AI49" i="3"/>
  <c r="AI59" i="3"/>
  <c r="X82" i="3"/>
  <c r="Z85" i="3"/>
  <c r="Q81" i="3"/>
  <c r="AK63" i="3"/>
  <c r="AL68" i="3"/>
  <c r="AE54" i="3"/>
  <c r="Y72" i="3"/>
  <c r="K68" i="3"/>
  <c r="AE78" i="3"/>
  <c r="H60" i="3"/>
  <c r="AJ82" i="3"/>
  <c r="I84" i="3"/>
  <c r="L65" i="3"/>
  <c r="AG83" i="3"/>
  <c r="I73" i="3"/>
  <c r="AJ57" i="3"/>
  <c r="J91" i="3"/>
  <c r="M48" i="3"/>
  <c r="AJ49" i="3"/>
  <c r="AI69" i="3"/>
  <c r="AG71" i="3"/>
  <c r="X70" i="3"/>
  <c r="AQ93" i="3"/>
  <c r="AG72" i="3"/>
  <c r="X96" i="3"/>
  <c r="S81" i="3"/>
  <c r="O92" i="3"/>
  <c r="AJ83" i="3"/>
  <c r="AG88" i="3"/>
  <c r="AJ81" i="3"/>
  <c r="AN60" i="3"/>
  <c r="AG87" i="3"/>
  <c r="I86" i="3"/>
  <c r="M90" i="3"/>
  <c r="J80" i="3"/>
  <c r="V92" i="3"/>
  <c r="AQ60" i="3"/>
  <c r="O90" i="3"/>
  <c r="AL85" i="3"/>
  <c r="AN91" i="3"/>
  <c r="AA94" i="3"/>
  <c r="S64" i="3"/>
  <c r="AC71" i="3"/>
  <c r="AQ76" i="3"/>
  <c r="AJ91" i="3"/>
  <c r="AE61" i="3"/>
  <c r="Y92" i="3"/>
  <c r="O70" i="3"/>
  <c r="V67" i="3"/>
  <c r="AG94" i="3"/>
  <c r="AJ86" i="3"/>
  <c r="K61" i="3"/>
  <c r="AN90" i="3"/>
  <c r="AE90" i="3"/>
  <c r="I57" i="3"/>
  <c r="X93" i="3"/>
  <c r="M49" i="3"/>
  <c r="O65" i="3"/>
  <c r="V57" i="3"/>
  <c r="M64" i="3"/>
  <c r="H83" i="3"/>
  <c r="AL62" i="3"/>
  <c r="AM71" i="3"/>
  <c r="K87" i="3"/>
  <c r="V48" i="3"/>
  <c r="AC66" i="3"/>
  <c r="Z83" i="3"/>
  <c r="AO92" i="3"/>
  <c r="J85" i="3"/>
  <c r="O87" i="3"/>
  <c r="S83" i="3"/>
  <c r="M57" i="3"/>
  <c r="X50" i="3"/>
  <c r="AI71" i="3"/>
  <c r="T84" i="3"/>
  <c r="AI88" i="3"/>
  <c r="AQ67" i="3"/>
  <c r="V76" i="3"/>
  <c r="O71" i="3"/>
  <c r="J79" i="3"/>
  <c r="AL80" i="3"/>
  <c r="X76" i="3"/>
  <c r="X81" i="3"/>
  <c r="AO73" i="3"/>
  <c r="AJ56" i="3"/>
  <c r="L68" i="3"/>
  <c r="X69" i="3"/>
  <c r="AG73" i="3"/>
  <c r="S68" i="3"/>
  <c r="AK95" i="3"/>
  <c r="K72" i="3"/>
  <c r="L66" i="3"/>
  <c r="AO72" i="3"/>
  <c r="AJ64" i="3"/>
  <c r="S49" i="3"/>
  <c r="L86" i="3"/>
  <c r="AI80" i="3"/>
  <c r="AJ71" i="3"/>
  <c r="O50" i="3"/>
  <c r="X75" i="3"/>
  <c r="H59" i="3"/>
  <c r="O94" i="3"/>
  <c r="J67" i="3"/>
  <c r="V74" i="3"/>
  <c r="Q95" i="3"/>
  <c r="I75" i="3"/>
  <c r="Q75" i="3"/>
  <c r="S82" i="3"/>
  <c r="AG68" i="3"/>
  <c r="AA64" i="3"/>
  <c r="AG82" i="3"/>
  <c r="Z97" i="3"/>
  <c r="S97" i="3"/>
  <c r="Y85" i="3"/>
  <c r="AE87" i="3"/>
  <c r="AL60" i="3"/>
  <c r="K93" i="3"/>
  <c r="AO47" i="3"/>
  <c r="K49" i="3"/>
  <c r="AG97" i="3"/>
  <c r="Z58" i="3"/>
  <c r="AJ92" i="3"/>
  <c r="AJ88" i="3"/>
  <c r="AQ57" i="3"/>
  <c r="AK74" i="3"/>
  <c r="L70" i="3"/>
  <c r="X95" i="3"/>
  <c r="Z75" i="3"/>
  <c r="AQ48" i="3"/>
  <c r="AE81" i="3"/>
  <c r="J66" i="3"/>
  <c r="AJ69" i="3"/>
  <c r="AE66" i="3"/>
  <c r="M74" i="3"/>
  <c r="AC81" i="3"/>
  <c r="V81" i="3"/>
  <c r="J71" i="3"/>
  <c r="T68" i="3"/>
  <c r="M69" i="3"/>
  <c r="AJ60" i="3"/>
  <c r="T82" i="3"/>
  <c r="H49" i="3"/>
  <c r="O73" i="3"/>
  <c r="Q47" i="3"/>
  <c r="AL77" i="3"/>
  <c r="V54" i="3"/>
  <c r="X49" i="3"/>
  <c r="Q86" i="3"/>
  <c r="AG95" i="3"/>
  <c r="Z82" i="3"/>
  <c r="Z78" i="3"/>
  <c r="H87" i="3"/>
  <c r="I70" i="3"/>
  <c r="H97" i="3"/>
  <c r="X48" i="3"/>
  <c r="AA49" i="3"/>
  <c r="Z50" i="3"/>
  <c r="Y67" i="3"/>
  <c r="S87" i="3"/>
  <c r="V91" i="3"/>
  <c r="V80" i="3"/>
  <c r="Y75" i="3"/>
  <c r="Y68" i="3"/>
  <c r="Y66" i="3"/>
  <c r="L49" i="3"/>
  <c r="O63" i="3"/>
  <c r="Y94" i="3"/>
  <c r="M92" i="3"/>
  <c r="V66" i="3"/>
  <c r="S73" i="3"/>
  <c r="Z81" i="3"/>
  <c r="H90" i="3"/>
  <c r="L71" i="3"/>
  <c r="AM63" i="3"/>
  <c r="H91" i="3"/>
  <c r="S72" i="3"/>
  <c r="AA82" i="3"/>
  <c r="Z64" i="3"/>
  <c r="AI74" i="3"/>
  <c r="AI96" i="3"/>
  <c r="Z80" i="3"/>
  <c r="H80" i="3"/>
  <c r="L93" i="3"/>
  <c r="S58" i="3"/>
  <c r="O57" i="3"/>
  <c r="AM64" i="3"/>
  <c r="T76" i="3"/>
  <c r="T74" i="3"/>
  <c r="T59" i="3"/>
  <c r="AM85" i="3"/>
  <c r="T62" i="3"/>
  <c r="AM68" i="3"/>
  <c r="T79" i="3"/>
  <c r="T89" i="3"/>
  <c r="AM81" i="3"/>
  <c r="T81" i="3"/>
  <c r="AM60" i="3"/>
  <c r="AM72" i="3"/>
  <c r="AM74" i="3"/>
  <c r="AM87" i="3"/>
  <c r="AM92" i="3"/>
  <c r="AM62" i="3"/>
  <c r="AM93" i="3"/>
  <c r="AM55" i="3"/>
  <c r="AM78" i="3"/>
  <c r="AM61" i="3"/>
  <c r="AM91" i="3"/>
  <c r="AM47" i="3"/>
  <c r="AM95" i="3"/>
  <c r="AM88" i="3"/>
  <c r="AM83" i="3"/>
  <c r="AM90" i="3"/>
  <c r="AM80" i="3"/>
  <c r="AM79" i="3"/>
  <c r="AM66" i="3"/>
  <c r="AM94" i="3"/>
  <c r="AM77" i="3"/>
  <c r="AM96" i="3"/>
  <c r="AM49" i="3"/>
  <c r="AM89" i="3"/>
  <c r="AM69" i="3"/>
  <c r="AM50" i="3"/>
  <c r="AM67" i="3"/>
  <c r="AM54" i="3"/>
  <c r="AM59" i="3"/>
  <c r="AM97" i="3"/>
  <c r="AM86" i="3"/>
  <c r="AM73" i="3"/>
  <c r="AM58" i="3"/>
  <c r="AM57" i="3"/>
  <c r="AM70" i="3"/>
  <c r="AM56" i="3"/>
  <c r="AM76" i="3"/>
  <c r="AM48" i="3"/>
  <c r="T90" i="3"/>
  <c r="T78" i="3"/>
  <c r="T73" i="3"/>
  <c r="T63" i="3"/>
  <c r="T56" i="3"/>
  <c r="T97" i="3"/>
  <c r="T77" i="3"/>
  <c r="T91" i="3"/>
  <c r="T87" i="3"/>
  <c r="T85" i="3"/>
  <c r="T61" i="3"/>
  <c r="T80" i="3"/>
  <c r="T70" i="3"/>
  <c r="T47" i="3"/>
  <c r="T67" i="3"/>
  <c r="T54" i="3"/>
  <c r="T88" i="3"/>
  <c r="T64" i="3"/>
  <c r="T92" i="3"/>
  <c r="T75" i="3"/>
  <c r="T60" i="3"/>
  <c r="T83" i="3"/>
  <c r="T71" i="3"/>
  <c r="T93" i="3"/>
  <c r="T69" i="3"/>
  <c r="T96" i="3"/>
  <c r="T65" i="3"/>
  <c r="T72" i="3"/>
  <c r="T66" i="3"/>
  <c r="T55" i="3"/>
  <c r="T50" i="3"/>
  <c r="T48" i="3"/>
  <c r="T86" i="3"/>
  <c r="T95" i="3"/>
  <c r="T49" i="3"/>
  <c r="T94" i="3"/>
  <c r="W81" i="3"/>
  <c r="W56" i="3"/>
  <c r="W91" i="3"/>
  <c r="W68" i="3"/>
  <c r="W59" i="3"/>
  <c r="W62" i="3"/>
  <c r="W90" i="3"/>
  <c r="W80" i="3"/>
  <c r="W48" i="3"/>
  <c r="W60" i="3"/>
  <c r="W50" i="3"/>
  <c r="W55" i="3"/>
  <c r="W89" i="3"/>
  <c r="E144" i="1"/>
  <c r="M99" i="1"/>
  <c r="Q163" i="1"/>
  <c r="L168" i="1"/>
  <c r="P170" i="1"/>
  <c r="P205" i="1" s="1"/>
  <c r="J171" i="1"/>
  <c r="J206" i="1" s="1"/>
  <c r="C152" i="1"/>
  <c r="C180" i="1" s="1"/>
  <c r="I163" i="1"/>
  <c r="P198" i="1"/>
  <c r="E145" i="1"/>
  <c r="P171" i="1"/>
  <c r="P206" i="1" s="1"/>
  <c r="V105" i="1"/>
  <c r="U105" i="1"/>
  <c r="U113" i="1" s="1"/>
  <c r="N153" i="1"/>
  <c r="N100" i="1"/>
  <c r="R151" i="1"/>
  <c r="BE48" i="1"/>
  <c r="F186" i="1"/>
  <c r="O105" i="1"/>
  <c r="G152" i="1"/>
  <c r="G180" i="1" s="1"/>
  <c r="S105" i="1"/>
  <c r="O196" i="1"/>
  <c r="S181" i="1"/>
  <c r="V103" i="1"/>
  <c r="V128" i="1" s="1"/>
  <c r="F179" i="1"/>
  <c r="F209" i="1" s="1"/>
  <c r="Q143" i="1"/>
  <c r="F161" i="1"/>
  <c r="F157" i="1" s="1"/>
  <c r="D104" i="1"/>
  <c r="R196" i="1"/>
  <c r="W103" i="1"/>
  <c r="W128" i="1" s="1"/>
  <c r="F197" i="1"/>
  <c r="P152" i="1"/>
  <c r="P180" i="1" s="1"/>
  <c r="G175" i="1"/>
  <c r="L152" i="1"/>
  <c r="L180" i="1" s="1"/>
  <c r="H161" i="1"/>
  <c r="H157" i="1" s="1"/>
  <c r="Q93" i="1"/>
  <c r="Q94" i="1" s="1"/>
  <c r="I196" i="1"/>
  <c r="C163" i="1"/>
  <c r="U148" i="1"/>
  <c r="E153" i="1"/>
  <c r="L166" i="1"/>
  <c r="S197" i="1"/>
  <c r="P168" i="1"/>
  <c r="B144" i="1"/>
  <c r="B103" i="1"/>
  <c r="S151" i="1"/>
  <c r="Q103" i="1"/>
  <c r="Q128" i="1" s="1"/>
  <c r="R186" i="1"/>
  <c r="U152" i="1"/>
  <c r="U180" i="1" s="1"/>
  <c r="F159" i="1"/>
  <c r="C168" i="1"/>
  <c r="L172" i="1"/>
  <c r="G170" i="1"/>
  <c r="G205" i="1" s="1"/>
  <c r="Q172" i="1"/>
  <c r="O100" i="1"/>
  <c r="T161" i="1"/>
  <c r="T157" i="1" s="1"/>
  <c r="R159" i="1"/>
  <c r="V161" i="1"/>
  <c r="V157" i="1" s="1"/>
  <c r="D152" i="1"/>
  <c r="D180" i="1" s="1"/>
  <c r="D159" i="1"/>
  <c r="B176" i="1"/>
  <c r="B158" i="1"/>
  <c r="K171" i="1"/>
  <c r="K206" i="1" s="1"/>
  <c r="D145" i="1"/>
  <c r="K162" i="1"/>
  <c r="D161" i="1"/>
  <c r="E143" i="1"/>
  <c r="F170" i="1"/>
  <c r="F205" i="1" s="1"/>
  <c r="I171" i="1"/>
  <c r="I206" i="1" s="1"/>
  <c r="P196" i="1"/>
  <c r="P175" i="1"/>
  <c r="D158" i="1"/>
  <c r="J175" i="1"/>
  <c r="N172" i="1"/>
  <c r="S172" i="1"/>
  <c r="E163" i="1"/>
  <c r="H93" i="1"/>
  <c r="H94" i="1" s="1"/>
  <c r="E189" i="1"/>
  <c r="F190" i="1"/>
  <c r="C169" i="1"/>
  <c r="U177" i="1"/>
  <c r="U150" i="1"/>
  <c r="N150" i="1"/>
  <c r="D100" i="1"/>
  <c r="I186" i="1"/>
  <c r="L185" i="1"/>
  <c r="O186" i="1"/>
  <c r="C103" i="1"/>
  <c r="F104" i="1"/>
  <c r="G169" i="1"/>
  <c r="S153" i="1"/>
  <c r="D166" i="1"/>
  <c r="D157" i="1"/>
  <c r="D160" i="1" s="1"/>
  <c r="M175" i="1"/>
  <c r="Q158" i="1"/>
  <c r="C190" i="1"/>
  <c r="P151" i="1"/>
  <c r="V185" i="1"/>
  <c r="V181" i="1"/>
  <c r="O166" i="1"/>
  <c r="Q152" i="1"/>
  <c r="Q180" i="1" s="1"/>
  <c r="F175" i="1"/>
  <c r="V190" i="1"/>
  <c r="H104" i="1"/>
  <c r="G161" i="1"/>
  <c r="G157" i="1" s="1"/>
  <c r="M144" i="1"/>
  <c r="N169" i="1"/>
  <c r="BP77" i="1"/>
  <c r="BG77" i="1"/>
  <c r="BK73" i="1"/>
  <c r="R150" i="1"/>
  <c r="J197" i="1"/>
  <c r="L144" i="1"/>
  <c r="W170" i="1"/>
  <c r="G105" i="1"/>
  <c r="G130" i="1" s="1"/>
  <c r="N105" i="1"/>
  <c r="N130" i="1" s="1"/>
  <c r="K189" i="1"/>
  <c r="B151" i="1"/>
  <c r="D173" i="1"/>
  <c r="D153" i="1"/>
  <c r="S171" i="1"/>
  <c r="S206" i="1" s="1"/>
  <c r="N166" i="1"/>
  <c r="I159" i="1"/>
  <c r="B186" i="1"/>
  <c r="Q99" i="1"/>
  <c r="H181" i="1"/>
  <c r="M148" i="1"/>
  <c r="B152" i="1"/>
  <c r="B180" i="1" s="1"/>
  <c r="I151" i="1"/>
  <c r="D197" i="1"/>
  <c r="G197" i="1"/>
  <c r="N177" i="1"/>
  <c r="W181" i="1"/>
  <c r="M93" i="1"/>
  <c r="M94" i="1" s="1"/>
  <c r="R105" i="1"/>
  <c r="Q186" i="1"/>
  <c r="F171" i="1"/>
  <c r="F206" i="1" s="1"/>
  <c r="U196" i="1"/>
  <c r="J103" i="1"/>
  <c r="R158" i="1"/>
  <c r="P158" i="1"/>
  <c r="B166" i="1"/>
  <c r="L100" i="1"/>
  <c r="BI34" i="1"/>
  <c r="BI257" i="1" s="1"/>
  <c r="V198" i="1"/>
  <c r="I153" i="1"/>
  <c r="E198" i="1"/>
  <c r="T169" i="1"/>
  <c r="S168" i="1"/>
  <c r="T181" i="1"/>
  <c r="W151" i="1"/>
  <c r="C148" i="1"/>
  <c r="O171" i="1"/>
  <c r="O206" i="1" s="1"/>
  <c r="R104" i="1"/>
  <c r="C105" i="1"/>
  <c r="W161" i="1"/>
  <c r="W157" i="1" s="1"/>
  <c r="I103" i="1"/>
  <c r="I128" i="1" s="1"/>
  <c r="K93" i="1"/>
  <c r="K94" i="1" s="1"/>
  <c r="J196" i="1"/>
  <c r="S166" i="1"/>
  <c r="P169" i="1"/>
  <c r="U168" i="1"/>
  <c r="I176" i="1"/>
  <c r="I173" i="1"/>
  <c r="P197" i="1"/>
  <c r="C197" i="1"/>
  <c r="P144" i="1"/>
  <c r="P162" i="1"/>
  <c r="I179" i="1"/>
  <c r="I209" i="1" s="1"/>
  <c r="D169" i="1"/>
  <c r="B179" i="1"/>
  <c r="B209" i="1" s="1"/>
  <c r="V148" i="1"/>
  <c r="E173" i="1"/>
  <c r="R148" i="1"/>
  <c r="D181" i="1"/>
  <c r="BJ48" i="1"/>
  <c r="BJ52" i="1" s="1"/>
  <c r="L99" i="1"/>
  <c r="W162" i="1"/>
  <c r="I158" i="1"/>
  <c r="S104" i="1"/>
  <c r="S129" i="1" s="1"/>
  <c r="T168" i="1"/>
  <c r="O150" i="1"/>
  <c r="D168" i="1"/>
  <c r="E151" i="1"/>
  <c r="K197" i="1"/>
  <c r="G162" i="1"/>
  <c r="I181" i="1"/>
  <c r="J99" i="1"/>
  <c r="K176" i="1"/>
  <c r="H190" i="1"/>
  <c r="V150" i="1"/>
  <c r="D189" i="1"/>
  <c r="L181" i="1"/>
  <c r="S186" i="1"/>
  <c r="G150" i="1"/>
  <c r="U190" i="1"/>
  <c r="K158" i="1"/>
  <c r="S145" i="1"/>
  <c r="L161" i="1"/>
  <c r="L157" i="1" s="1"/>
  <c r="U145" i="1"/>
  <c r="C144" i="1"/>
  <c r="B198" i="1"/>
  <c r="I170" i="1"/>
  <c r="I205" i="1" s="1"/>
  <c r="N161" i="1"/>
  <c r="N157" i="1" s="1"/>
  <c r="E172" i="1"/>
  <c r="N179" i="1"/>
  <c r="N209" i="1" s="1"/>
  <c r="N176" i="1"/>
  <c r="T177" i="1"/>
  <c r="Q197" i="1"/>
  <c r="T105" i="1"/>
  <c r="T113" i="1" s="1"/>
  <c r="M181" i="1"/>
  <c r="N168" i="1"/>
  <c r="O145" i="1"/>
  <c r="O104" i="1"/>
  <c r="O129" i="1" s="1"/>
  <c r="L198" i="1"/>
  <c r="O189" i="1"/>
  <c r="T153" i="1"/>
  <c r="E190" i="1"/>
  <c r="BN62" i="1"/>
  <c r="D163" i="1"/>
  <c r="G143" i="1"/>
  <c r="O197" i="1"/>
  <c r="V179" i="1"/>
  <c r="V209" i="1" s="1"/>
  <c r="S143" i="1"/>
  <c r="J93" i="1"/>
  <c r="J94" i="1" s="1"/>
  <c r="R145" i="1"/>
  <c r="C186" i="1"/>
  <c r="D151" i="1"/>
  <c r="S148" i="1"/>
  <c r="T143" i="1"/>
  <c r="P104" i="1"/>
  <c r="I145" i="1"/>
  <c r="K104" i="1"/>
  <c r="U153" i="1"/>
  <c r="U189" i="1"/>
  <c r="K168" i="1"/>
  <c r="O179" i="1"/>
  <c r="O209" i="1" s="1"/>
  <c r="J153" i="1"/>
  <c r="L171" i="1"/>
  <c r="L206" i="1" s="1"/>
  <c r="R172" i="1"/>
  <c r="N93" i="1"/>
  <c r="N94" i="1" s="1"/>
  <c r="J168" i="1"/>
  <c r="K177" i="1"/>
  <c r="B181" i="1"/>
  <c r="G177" i="1"/>
  <c r="T152" i="1"/>
  <c r="T180" i="1" s="1"/>
  <c r="S189" i="1"/>
  <c r="J185" i="1"/>
  <c r="B93" i="1"/>
  <c r="H99" i="1"/>
  <c r="B170" i="1"/>
  <c r="B205" i="1" s="1"/>
  <c r="O175" i="1"/>
  <c r="N152" i="1"/>
  <c r="N180" i="1" s="1"/>
  <c r="K169" i="1"/>
  <c r="H148" i="1"/>
  <c r="R176" i="1"/>
  <c r="BF41" i="1"/>
  <c r="K173" i="1"/>
  <c r="O181" i="1"/>
  <c r="S198" i="1"/>
  <c r="N190" i="1"/>
  <c r="R100" i="1"/>
  <c r="F153" i="1"/>
  <c r="P176" i="1"/>
  <c r="W105" i="1"/>
  <c r="U166" i="1"/>
  <c r="I93" i="1"/>
  <c r="I94" i="1" s="1"/>
  <c r="W166" i="1"/>
  <c r="S158" i="1"/>
  <c r="N189" i="1"/>
  <c r="Q198" i="1"/>
  <c r="F152" i="1"/>
  <c r="F180" i="1" s="1"/>
  <c r="N148" i="1"/>
  <c r="G144" i="1"/>
  <c r="S162" i="1"/>
  <c r="P190" i="1"/>
  <c r="O144" i="1"/>
  <c r="J151" i="1"/>
  <c r="L186" i="1"/>
  <c r="C175" i="1"/>
  <c r="P159" i="1"/>
  <c r="P166" i="1"/>
  <c r="N198" i="1"/>
  <c r="I152" i="1"/>
  <c r="I180" i="1" s="1"/>
  <c r="V177" i="1"/>
  <c r="G153" i="1"/>
  <c r="H103" i="1"/>
  <c r="H128" i="1" s="1"/>
  <c r="L158" i="1"/>
  <c r="H177" i="1"/>
  <c r="C153" i="1"/>
  <c r="L196" i="1"/>
  <c r="V196" i="1"/>
  <c r="R185" i="1"/>
  <c r="AO40" i="1"/>
  <c r="BG50" i="1"/>
  <c r="BK65" i="1"/>
  <c r="E181" i="1"/>
  <c r="U175" i="1"/>
  <c r="Q145" i="1"/>
  <c r="I166" i="1"/>
  <c r="O162" i="1"/>
  <c r="C173" i="1"/>
  <c r="C158" i="1"/>
  <c r="T163" i="1"/>
  <c r="P145" i="1"/>
  <c r="J158" i="1"/>
  <c r="K143" i="1"/>
  <c r="U172" i="1"/>
  <c r="L145" i="1"/>
  <c r="H144" i="1"/>
  <c r="V186" i="1"/>
  <c r="V187" i="1" s="1"/>
  <c r="W235" i="1" s="1"/>
  <c r="N162" i="1"/>
  <c r="G104" i="1"/>
  <c r="S196" i="1"/>
  <c r="S163" i="1"/>
  <c r="T158" i="1"/>
  <c r="S177" i="1"/>
  <c r="U162" i="1"/>
  <c r="U104" i="1"/>
  <c r="U179" i="1"/>
  <c r="U209" i="1" s="1"/>
  <c r="M153" i="1"/>
  <c r="H143" i="1"/>
  <c r="F177" i="1"/>
  <c r="C177" i="1"/>
  <c r="T103" i="1"/>
  <c r="M163" i="1"/>
  <c r="D144" i="1"/>
  <c r="V197" i="1"/>
  <c r="T99" i="1"/>
  <c r="M189" i="1"/>
  <c r="G151" i="1"/>
  <c r="P150" i="1"/>
  <c r="V173" i="1"/>
  <c r="J166" i="1"/>
  <c r="Q159" i="1"/>
  <c r="L143" i="1"/>
  <c r="L146" i="1" s="1"/>
  <c r="L118" i="1" s="1"/>
  <c r="S176" i="1"/>
  <c r="L162" i="1"/>
  <c r="W177" i="1"/>
  <c r="BT62" i="1"/>
  <c r="BM71" i="1"/>
  <c r="K196" i="1"/>
  <c r="T196" i="1"/>
  <c r="Q190" i="1"/>
  <c r="H153" i="1"/>
  <c r="I162" i="1"/>
  <c r="F151" i="1"/>
  <c r="P105" i="1"/>
  <c r="E170" i="1"/>
  <c r="E205" i="1" s="1"/>
  <c r="B143" i="1"/>
  <c r="R173" i="1"/>
  <c r="M197" i="1"/>
  <c r="D162" i="1"/>
  <c r="H158" i="1"/>
  <c r="E150" i="1"/>
  <c r="M100" i="1"/>
  <c r="M171" i="1"/>
  <c r="M206" i="1" s="1"/>
  <c r="V104" i="1"/>
  <c r="V129" i="1" s="1"/>
  <c r="P100" i="1"/>
  <c r="H150" i="1"/>
  <c r="M170" i="1"/>
  <c r="M205" i="1" s="1"/>
  <c r="N185" i="1"/>
  <c r="BB34" i="1"/>
  <c r="M103" i="1"/>
  <c r="M111" i="1" s="1"/>
  <c r="I189" i="1"/>
  <c r="F158" i="1"/>
  <c r="D175" i="1"/>
  <c r="G93" i="1"/>
  <c r="G94" i="1" s="1"/>
  <c r="E171" i="1"/>
  <c r="E206" i="1" s="1"/>
  <c r="R168" i="1"/>
  <c r="M172" i="1"/>
  <c r="S185" i="1"/>
  <c r="M168" i="1"/>
  <c r="M105" i="1"/>
  <c r="T145" i="1"/>
  <c r="W172" i="1"/>
  <c r="K172" i="1"/>
  <c r="E148" i="1"/>
  <c r="G158" i="1"/>
  <c r="K148" i="1"/>
  <c r="C99" i="1"/>
  <c r="W171" i="1"/>
  <c r="R166" i="1"/>
  <c r="I175" i="1"/>
  <c r="R99" i="1"/>
  <c r="W190" i="1"/>
  <c r="S103" i="1"/>
  <c r="S128" i="1" s="1"/>
  <c r="G190" i="1"/>
  <c r="K161" i="1"/>
  <c r="K157" i="1" s="1"/>
  <c r="R103" i="1"/>
  <c r="R128" i="1" s="1"/>
  <c r="S179" i="1"/>
  <c r="S209" i="1" s="1"/>
  <c r="O198" i="1"/>
  <c r="L163" i="1"/>
  <c r="K153" i="1"/>
  <c r="T144" i="1"/>
  <c r="R152" i="1"/>
  <c r="R180" i="1" s="1"/>
  <c r="K179" i="1"/>
  <c r="K209" i="1" s="1"/>
  <c r="K145" i="1"/>
  <c r="O158" i="1"/>
  <c r="H145" i="1"/>
  <c r="M104" i="1"/>
  <c r="W163" i="1"/>
  <c r="I172" i="1"/>
  <c r="V99" i="1"/>
  <c r="L176" i="1"/>
  <c r="V169" i="1"/>
  <c r="Q161" i="1"/>
  <c r="Q157" i="1" s="1"/>
  <c r="J144" i="1"/>
  <c r="W144" i="1"/>
  <c r="K159" i="1"/>
  <c r="F168" i="1"/>
  <c r="H171" i="1"/>
  <c r="H206" i="1" s="1"/>
  <c r="C93" i="1"/>
  <c r="C181" i="1"/>
  <c r="R175" i="1"/>
  <c r="B150" i="1"/>
  <c r="C162" i="1"/>
  <c r="L153" i="1"/>
  <c r="O143" i="1"/>
  <c r="D177" i="1"/>
  <c r="M186" i="1"/>
  <c r="B90" i="1"/>
  <c r="M151" i="1"/>
  <c r="Q185" i="1"/>
  <c r="M198" i="1"/>
  <c r="E175" i="1"/>
  <c r="E162" i="1"/>
  <c r="U161" i="1"/>
  <c r="U157" i="1" s="1"/>
  <c r="S175" i="1"/>
  <c r="F189" i="1"/>
  <c r="H176" i="1"/>
  <c r="W99" i="1"/>
  <c r="T185" i="1"/>
  <c r="K175" i="1"/>
  <c r="B171" i="1"/>
  <c r="B206" i="1" s="1"/>
  <c r="T179" i="1"/>
  <c r="T209" i="1" s="1"/>
  <c r="T170" i="1"/>
  <c r="T205" i="1" s="1"/>
  <c r="N171" i="1"/>
  <c r="N206" i="1" s="1"/>
  <c r="C89" i="1"/>
  <c r="I169" i="1"/>
  <c r="G159" i="1"/>
  <c r="Q171" i="1"/>
  <c r="Q206" i="1" s="1"/>
  <c r="R144" i="1"/>
  <c r="V100" i="1"/>
  <c r="T104" i="1"/>
  <c r="AY50" i="1"/>
  <c r="BA77" i="1"/>
  <c r="B153" i="1"/>
  <c r="W153" i="1"/>
  <c r="D143" i="1"/>
  <c r="G168" i="1"/>
  <c r="Q181" i="1"/>
  <c r="J150" i="1"/>
  <c r="I190" i="1"/>
  <c r="V144" i="1"/>
  <c r="C157" i="1"/>
  <c r="D179" i="1"/>
  <c r="D209" i="1" s="1"/>
  <c r="C196" i="1"/>
  <c r="H185" i="1"/>
  <c r="U151" i="1"/>
  <c r="BH186" i="1"/>
  <c r="AK99" i="1"/>
  <c r="M161" i="1"/>
  <c r="M157" i="1" s="1"/>
  <c r="F145" i="1"/>
  <c r="B173" i="1"/>
  <c r="U143" i="1"/>
  <c r="F143" i="1"/>
  <c r="R190" i="1"/>
  <c r="R189" i="1"/>
  <c r="N151" i="1"/>
  <c r="L190" i="1"/>
  <c r="O163" i="1"/>
  <c r="E161" i="1"/>
  <c r="E157" i="1" s="1"/>
  <c r="T175" i="1"/>
  <c r="G145" i="1"/>
  <c r="K166" i="1"/>
  <c r="K103" i="1"/>
  <c r="K128" i="1" s="1"/>
  <c r="BA47" i="1"/>
  <c r="AS34" i="1"/>
  <c r="AS257" i="1" s="1"/>
  <c r="BV50" i="1"/>
  <c r="BB48" i="1"/>
  <c r="AQ77" i="1"/>
  <c r="BB72" i="1"/>
  <c r="AP48" i="1"/>
  <c r="BV144" i="1"/>
  <c r="BW144" i="1" s="1"/>
  <c r="BS50" i="1"/>
  <c r="O159" i="1"/>
  <c r="O153" i="1"/>
  <c r="T176" i="1"/>
  <c r="D198" i="1"/>
  <c r="R162" i="1"/>
  <c r="I177" i="1"/>
  <c r="E186" i="1"/>
  <c r="E187" i="1" s="1"/>
  <c r="F235" i="1" s="1"/>
  <c r="H159" i="1"/>
  <c r="S100" i="1"/>
  <c r="J152" i="1"/>
  <c r="J180" i="1" s="1"/>
  <c r="N197" i="1"/>
  <c r="T162" i="1"/>
  <c r="K198" i="1"/>
  <c r="K186" i="1"/>
  <c r="R169" i="1"/>
  <c r="Q144" i="1"/>
  <c r="H196" i="1"/>
  <c r="N186" i="1"/>
  <c r="E105" i="1"/>
  <c r="S93" i="1"/>
  <c r="S94" i="1" s="1"/>
  <c r="R171" i="1"/>
  <c r="R206" i="1" s="1"/>
  <c r="J198" i="1"/>
  <c r="F103" i="1"/>
  <c r="E196" i="1"/>
  <c r="O151" i="1"/>
  <c r="H170" i="1"/>
  <c r="N170" i="1"/>
  <c r="N205" i="1" s="1"/>
  <c r="T148" i="1"/>
  <c r="C100" i="1"/>
  <c r="U186" i="1"/>
  <c r="B185" i="1"/>
  <c r="E158" i="1"/>
  <c r="B104" i="1"/>
  <c r="C179" i="1"/>
  <c r="C209" i="1" s="1"/>
  <c r="U163" i="1"/>
  <c r="I144" i="1"/>
  <c r="F163" i="1"/>
  <c r="J186" i="1"/>
  <c r="S190" i="1"/>
  <c r="G166" i="1"/>
  <c r="B189" i="1"/>
  <c r="R153" i="1"/>
  <c r="D105" i="1"/>
  <c r="G176" i="1"/>
  <c r="H166" i="1"/>
  <c r="M177" i="1"/>
  <c r="E166" i="1"/>
  <c r="T150" i="1"/>
  <c r="P185" i="1"/>
  <c r="P187" i="1" s="1"/>
  <c r="Q235" i="1" s="1"/>
  <c r="W189" i="1"/>
  <c r="B145" i="1"/>
  <c r="W179" i="1"/>
  <c r="O103" i="1"/>
  <c r="O128" i="1" s="1"/>
  <c r="BH189" i="1"/>
  <c r="BI189" i="1" s="1"/>
  <c r="AO61" i="1"/>
  <c r="AX58" i="1"/>
  <c r="AX220" i="1" s="1"/>
  <c r="BQ46" i="1"/>
  <c r="AY77" i="1"/>
  <c r="AX73" i="1"/>
  <c r="AV51" i="1"/>
  <c r="BT41" i="1"/>
  <c r="AX48" i="1"/>
  <c r="BK51" i="1"/>
  <c r="BN65" i="1"/>
  <c r="AY47" i="1"/>
  <c r="AW41" i="1"/>
  <c r="BU51" i="1"/>
  <c r="BA72" i="1"/>
  <c r="BR77" i="1"/>
  <c r="O148" i="1"/>
  <c r="C185" i="1"/>
  <c r="E93" i="1"/>
  <c r="E94" i="1" s="1"/>
  <c r="H189" i="1"/>
  <c r="L150" i="1"/>
  <c r="Q173" i="1"/>
  <c r="J105" i="1"/>
  <c r="J130" i="1" s="1"/>
  <c r="J177" i="1"/>
  <c r="C170" i="1"/>
  <c r="C205" i="1" s="1"/>
  <c r="S159" i="1"/>
  <c r="R163" i="1"/>
  <c r="G181" i="1"/>
  <c r="I185" i="1"/>
  <c r="R93" i="1"/>
  <c r="R94" i="1" s="1"/>
  <c r="E104" i="1"/>
  <c r="I99" i="1"/>
  <c r="L159" i="1"/>
  <c r="C171" i="1"/>
  <c r="C206" i="1" s="1"/>
  <c r="P93" i="1"/>
  <c r="P94" i="1" s="1"/>
  <c r="W186" i="1"/>
  <c r="K105" i="1"/>
  <c r="K134" i="1" s="1"/>
  <c r="Q169" i="1"/>
  <c r="C166" i="1"/>
  <c r="R198" i="1"/>
  <c r="F150" i="1"/>
  <c r="W152" i="1"/>
  <c r="W180" i="1" s="1"/>
  <c r="W197" i="1"/>
  <c r="U197" i="1"/>
  <c r="U176" i="1"/>
  <c r="I161" i="1"/>
  <c r="I157" i="1" s="1"/>
  <c r="U159" i="1"/>
  <c r="M173" i="1"/>
  <c r="G196" i="1"/>
  <c r="W104" i="1"/>
  <c r="R161" i="1"/>
  <c r="R157" i="1" s="1"/>
  <c r="O169" i="1"/>
  <c r="Q105" i="1"/>
  <c r="R177" i="1"/>
  <c r="L175" i="1"/>
  <c r="AR47" i="1"/>
  <c r="AI51" i="1"/>
  <c r="AN47" i="1"/>
  <c r="BM39" i="1"/>
  <c r="BB39" i="1"/>
  <c r="BH163" i="1"/>
  <c r="BI163" i="1" s="1"/>
  <c r="BP49" i="1"/>
  <c r="BS49" i="1"/>
  <c r="BD47" i="1"/>
  <c r="BG73" i="1"/>
  <c r="AV58" i="1"/>
  <c r="AV220" i="1" s="1"/>
  <c r="BU48" i="1"/>
  <c r="BA71" i="1"/>
  <c r="BV186" i="1"/>
  <c r="AZ58" i="1"/>
  <c r="J159" i="1"/>
  <c r="V166" i="1"/>
  <c r="V189" i="1"/>
  <c r="R197" i="1"/>
  <c r="O99" i="1"/>
  <c r="L104" i="1"/>
  <c r="H168" i="1"/>
  <c r="D190" i="1"/>
  <c r="D172" i="1"/>
  <c r="W175" i="1"/>
  <c r="F176" i="1"/>
  <c r="F99" i="1"/>
  <c r="D185" i="1"/>
  <c r="U170" i="1"/>
  <c r="U205" i="1" s="1"/>
  <c r="K185" i="1"/>
  <c r="H172" i="1"/>
  <c r="W173" i="1"/>
  <c r="N99" i="1"/>
  <c r="D170" i="1"/>
  <c r="D205" i="1" s="1"/>
  <c r="AQ40" i="1"/>
  <c r="BR62" i="1"/>
  <c r="BP65" i="1"/>
  <c r="BM58" i="1"/>
  <c r="BM220" i="1" s="1"/>
  <c r="BV35" i="1"/>
  <c r="BF77" i="1"/>
  <c r="BH158" i="1"/>
  <c r="BQ58" i="1"/>
  <c r="BQ220" i="1" s="1"/>
  <c r="AV40" i="1"/>
  <c r="BW50" i="1"/>
  <c r="BT77" i="1"/>
  <c r="AP51" i="1"/>
  <c r="AR40" i="1"/>
  <c r="AS51" i="1"/>
  <c r="BJ100" i="1"/>
  <c r="F185" i="1"/>
  <c r="I105" i="1"/>
  <c r="I130" i="1" s="1"/>
  <c r="J179" i="1"/>
  <c r="J209" i="1" s="1"/>
  <c r="P161" i="1"/>
  <c r="P157" i="1" s="1"/>
  <c r="B197" i="1"/>
  <c r="E103" i="1"/>
  <c r="E128" i="1" s="1"/>
  <c r="Q176" i="1"/>
  <c r="V162" i="1"/>
  <c r="N103" i="1"/>
  <c r="N111" i="1" s="1"/>
  <c r="G171" i="1"/>
  <c r="G206" i="1" s="1"/>
  <c r="P172" i="1"/>
  <c r="W150" i="1"/>
  <c r="U181" i="1"/>
  <c r="D176" i="1"/>
  <c r="W198" i="1"/>
  <c r="T171" i="1"/>
  <c r="T206" i="1" s="1"/>
  <c r="E152" i="1"/>
  <c r="E180" i="1" s="1"/>
  <c r="V172" i="1"/>
  <c r="U93" i="1"/>
  <c r="U94" i="1" s="1"/>
  <c r="T172" i="1"/>
  <c r="H198" i="1"/>
  <c r="F196" i="1"/>
  <c r="V145" i="1"/>
  <c r="U99" i="1"/>
  <c r="AW40" i="1"/>
  <c r="BC41" i="1"/>
  <c r="BH49" i="1"/>
  <c r="AR41" i="1"/>
  <c r="BO73" i="1"/>
  <c r="BE49" i="1"/>
  <c r="BK77" i="1"/>
  <c r="AN62" i="1"/>
  <c r="BB49" i="1"/>
  <c r="AI47" i="1"/>
  <c r="B175" i="1"/>
  <c r="L177" i="1"/>
  <c r="M152" i="1"/>
  <c r="G103" i="1"/>
  <c r="G111" i="1" s="1"/>
  <c r="G163" i="1"/>
  <c r="I198" i="1"/>
  <c r="D89" i="1"/>
  <c r="L148" i="1"/>
  <c r="U198" i="1"/>
  <c r="G172" i="1"/>
  <c r="O170" i="1"/>
  <c r="O205" i="1" s="1"/>
  <c r="M176" i="1"/>
  <c r="Q196" i="1"/>
  <c r="F173" i="1"/>
  <c r="K190" i="1"/>
  <c r="N144" i="1"/>
  <c r="C172" i="1"/>
  <c r="H173" i="1"/>
  <c r="W176" i="1"/>
  <c r="W169" i="1"/>
  <c r="J148" i="1"/>
  <c r="Q162" i="1"/>
  <c r="C90" i="1"/>
  <c r="C104" i="1"/>
  <c r="P103" i="1"/>
  <c r="P111" i="1" s="1"/>
  <c r="T166" i="1"/>
  <c r="C145" i="1"/>
  <c r="D150" i="1"/>
  <c r="V176" i="1"/>
  <c r="AW50" i="1"/>
  <c r="BE65" i="1"/>
  <c r="AN35" i="1"/>
  <c r="BD71" i="1"/>
  <c r="BH35" i="1"/>
  <c r="BV65" i="1"/>
  <c r="BV179" i="1"/>
  <c r="BI41" i="1"/>
  <c r="BA34" i="1"/>
  <c r="BA257" i="1" s="1"/>
  <c r="AQ34" i="1"/>
  <c r="AQ257" i="1" s="1"/>
  <c r="AN34" i="1"/>
  <c r="BS71" i="1"/>
  <c r="AW47" i="1"/>
  <c r="BK39" i="1"/>
  <c r="AQ71" i="1"/>
  <c r="BO51" i="1"/>
  <c r="BO47" i="1"/>
  <c r="AW35" i="1"/>
  <c r="AU58" i="1"/>
  <c r="AU220" i="1" s="1"/>
  <c r="BO34" i="1"/>
  <c r="BU47" i="1"/>
  <c r="BC65" i="1"/>
  <c r="AY65" i="1"/>
  <c r="AW73" i="1"/>
  <c r="AZ47" i="1"/>
  <c r="T189" i="1"/>
  <c r="L103" i="1"/>
  <c r="L128" i="1" s="1"/>
  <c r="V159" i="1"/>
  <c r="P148" i="1"/>
  <c r="F144" i="1"/>
  <c r="E99" i="1"/>
  <c r="W148" i="1"/>
  <c r="I150" i="1"/>
  <c r="S144" i="1"/>
  <c r="C161" i="1"/>
  <c r="T173" i="1"/>
  <c r="T100" i="1"/>
  <c r="H169" i="1"/>
  <c r="N163" i="1"/>
  <c r="M159" i="1"/>
  <c r="H105" i="1"/>
  <c r="E179" i="1"/>
  <c r="E209" i="1" s="1"/>
  <c r="U158" i="1"/>
  <c r="F181" i="1"/>
  <c r="V168" i="1"/>
  <c r="L151" i="1"/>
  <c r="O176" i="1"/>
  <c r="I143" i="1"/>
  <c r="R170" i="1"/>
  <c r="R205" i="1" s="1"/>
  <c r="F105" i="1"/>
  <c r="F134" i="1" s="1"/>
  <c r="O173" i="1"/>
  <c r="F172" i="1"/>
  <c r="P177" i="1"/>
  <c r="K163" i="1"/>
  <c r="M145" i="1"/>
  <c r="N175" i="1"/>
  <c r="J189" i="1"/>
  <c r="U185" i="1"/>
  <c r="Q168" i="1"/>
  <c r="U173" i="1"/>
  <c r="L105" i="1"/>
  <c r="L130" i="1" s="1"/>
  <c r="P189" i="1"/>
  <c r="I104" i="1"/>
  <c r="N181" i="1"/>
  <c r="G185" i="1"/>
  <c r="K150" i="1"/>
  <c r="G148" i="1"/>
  <c r="E197" i="1"/>
  <c r="L170" i="1"/>
  <c r="L205" i="1" s="1"/>
  <c r="G173" i="1"/>
  <c r="O177" i="1"/>
  <c r="V93" i="1"/>
  <c r="V94" i="1" s="1"/>
  <c r="B169" i="1"/>
  <c r="M190" i="1"/>
  <c r="BN58" i="1"/>
  <c r="BE77" i="1"/>
  <c r="BR48" i="1"/>
  <c r="AO47" i="1"/>
  <c r="AQ39" i="1"/>
  <c r="AN73" i="1"/>
  <c r="BC62" i="1"/>
  <c r="BH190" i="1"/>
  <c r="BI190" i="1" s="1"/>
  <c r="BJ62" i="1"/>
  <c r="BJ278" i="1" s="1"/>
  <c r="AX40" i="1"/>
  <c r="AN48" i="1"/>
  <c r="BT71" i="1"/>
  <c r="Q166" i="1"/>
  <c r="N158" i="1"/>
  <c r="P173" i="1"/>
  <c r="H100" i="1"/>
  <c r="E176" i="1"/>
  <c r="B89" i="1"/>
  <c r="B148" i="1"/>
  <c r="C143" i="1"/>
  <c r="S173" i="1"/>
  <c r="B168" i="1"/>
  <c r="G198" i="1"/>
  <c r="B162" i="1"/>
  <c r="L169" i="1"/>
  <c r="I148" i="1"/>
  <c r="V143" i="1"/>
  <c r="U169" i="1"/>
  <c r="N143" i="1"/>
  <c r="B190" i="1"/>
  <c r="H179" i="1"/>
  <c r="H209" i="1" s="1"/>
  <c r="H152" i="1"/>
  <c r="H180" i="1" s="1"/>
  <c r="Q151" i="1"/>
  <c r="Q153" i="1"/>
  <c r="J176" i="1"/>
  <c r="I197" i="1"/>
  <c r="V152" i="1"/>
  <c r="V180" i="1" s="1"/>
  <c r="F166" i="1"/>
  <c r="M150" i="1"/>
  <c r="S170" i="1"/>
  <c r="S205" i="1" s="1"/>
  <c r="K181" i="1"/>
  <c r="G186" i="1"/>
  <c r="S161" i="1"/>
  <c r="S157" i="1" s="1"/>
  <c r="J163" i="1"/>
  <c r="V151" i="1"/>
  <c r="D93" i="1"/>
  <c r="J100" i="1"/>
  <c r="I100" i="1"/>
  <c r="K170" i="1"/>
  <c r="K205" i="1" s="1"/>
  <c r="M143" i="1"/>
  <c r="O93" i="1"/>
  <c r="H186" i="1"/>
  <c r="D103" i="1"/>
  <c r="K99" i="1"/>
  <c r="B196" i="1"/>
  <c r="J104" i="1"/>
  <c r="O185" i="1"/>
  <c r="M166" i="1"/>
  <c r="W159" i="1"/>
  <c r="M158" i="1"/>
  <c r="W100" i="1"/>
  <c r="S99" i="1"/>
  <c r="E159" i="1"/>
  <c r="C159" i="1"/>
  <c r="P143" i="1"/>
  <c r="E169" i="1"/>
  <c r="B159" i="1"/>
  <c r="BF50" i="1"/>
  <c r="AO77" i="1"/>
  <c r="BT65" i="1"/>
  <c r="BH181" i="1"/>
  <c r="BI181" i="1" s="1"/>
  <c r="AW49" i="1"/>
  <c r="BW41" i="1"/>
  <c r="AS77" i="1"/>
  <c r="BH152" i="1"/>
  <c r="BI152" i="1" s="1"/>
  <c r="AP41" i="1"/>
  <c r="BP34" i="1"/>
  <c r="BP257" i="1" s="1"/>
  <c r="AN40" i="1"/>
  <c r="BR34" i="1"/>
  <c r="BR257" i="1" s="1"/>
  <c r="AP34" i="1"/>
  <c r="AP257" i="1" s="1"/>
  <c r="AQ58" i="1"/>
  <c r="BD73" i="1"/>
  <c r="D171" i="1"/>
  <c r="D206" i="1" s="1"/>
  <c r="J169" i="1"/>
  <c r="E168" i="1"/>
  <c r="F169" i="1"/>
  <c r="R143" i="1"/>
  <c r="K100" i="1"/>
  <c r="J162" i="1"/>
  <c r="N104" i="1"/>
  <c r="N129" i="1" s="1"/>
  <c r="N173" i="1"/>
  <c r="M169" i="1"/>
  <c r="V175" i="1"/>
  <c r="BB62" i="1"/>
  <c r="AN51" i="1"/>
  <c r="BW73" i="1"/>
  <c r="BK49" i="1"/>
  <c r="BF48" i="1"/>
  <c r="BD61" i="1"/>
  <c r="AN49" i="1"/>
  <c r="AZ34" i="1"/>
  <c r="BV189" i="1"/>
  <c r="BW189" i="1" s="1"/>
  <c r="AV47" i="1"/>
  <c r="BP51" i="1"/>
  <c r="AS46" i="1"/>
  <c r="AY39" i="1"/>
  <c r="BW46" i="1"/>
  <c r="AI48" i="1"/>
  <c r="H151" i="1"/>
  <c r="M196" i="1"/>
  <c r="Q100" i="1"/>
  <c r="H197" i="1"/>
  <c r="T186" i="1"/>
  <c r="U103" i="1"/>
  <c r="U128" i="1" s="1"/>
  <c r="M179" i="1"/>
  <c r="M209" i="1" s="1"/>
  <c r="L179" i="1"/>
  <c r="L209" i="1" s="1"/>
  <c r="N145" i="1"/>
  <c r="D99" i="1"/>
  <c r="E100" i="1"/>
  <c r="Q170" i="1"/>
  <c r="Q205" i="1" s="1"/>
  <c r="T159" i="1"/>
  <c r="O152" i="1"/>
  <c r="O180" i="1" s="1"/>
  <c r="J161" i="1"/>
  <c r="J157" i="1" s="1"/>
  <c r="W145" i="1"/>
  <c r="B172" i="1"/>
  <c r="T151" i="1"/>
  <c r="T198" i="1"/>
  <c r="I168" i="1"/>
  <c r="O190" i="1"/>
  <c r="V158" i="1"/>
  <c r="S152" i="1"/>
  <c r="S180" i="1" s="1"/>
  <c r="J172" i="1"/>
  <c r="J173" i="1"/>
  <c r="S150" i="1"/>
  <c r="R181" i="1"/>
  <c r="P99" i="1"/>
  <c r="M162" i="1"/>
  <c r="AM71" i="1"/>
  <c r="BB71" i="1"/>
  <c r="AV48" i="1"/>
  <c r="BU40" i="1"/>
  <c r="BD65" i="1"/>
  <c r="BH144" i="1"/>
  <c r="BI144" i="1" s="1"/>
  <c r="AV50" i="1"/>
  <c r="AS49" i="1"/>
  <c r="AR48" i="1"/>
  <c r="AT41" i="1"/>
  <c r="AZ50" i="1"/>
  <c r="AW71" i="1"/>
  <c r="BV150" i="1"/>
  <c r="BW150" i="1" s="1"/>
  <c r="AS35" i="1"/>
  <c r="BF62" i="1"/>
  <c r="BR49" i="1"/>
  <c r="BT72" i="1"/>
  <c r="BJ35" i="1"/>
  <c r="BJ36" i="1" s="1"/>
  <c r="BJ42" i="1" s="1"/>
  <c r="BF35" i="1"/>
  <c r="BM61" i="1"/>
  <c r="AV62" i="1"/>
  <c r="BE58" i="1"/>
  <c r="BE220" i="1" s="1"/>
  <c r="BC46" i="1"/>
  <c r="BI40" i="1"/>
  <c r="BK58" i="1"/>
  <c r="BU39" i="1"/>
  <c r="BQ41" i="1"/>
  <c r="BH71" i="1"/>
  <c r="BE47" i="1"/>
  <c r="AO41" i="1"/>
  <c r="AM77" i="1"/>
  <c r="BV73" i="1"/>
  <c r="BQ51" i="1"/>
  <c r="BB73" i="1"/>
  <c r="BG51" i="1"/>
  <c r="AX77" i="1"/>
  <c r="BH99" i="1"/>
  <c r="BM72" i="1"/>
  <c r="AI72" i="1"/>
  <c r="BM49" i="1"/>
  <c r="BG35" i="1"/>
  <c r="BE46" i="1"/>
  <c r="BN47" i="1"/>
  <c r="BH177" i="1"/>
  <c r="BI177" i="1" s="1"/>
  <c r="BO39" i="1"/>
  <c r="BE34" i="1"/>
  <c r="BE257" i="1" s="1"/>
  <c r="AI73" i="1"/>
  <c r="AW34" i="1"/>
  <c r="BP71" i="1"/>
  <c r="BH48" i="1"/>
  <c r="AT50" i="1"/>
  <c r="BI39" i="1"/>
  <c r="BH40" i="1"/>
  <c r="BN40" i="1"/>
  <c r="BC72" i="1"/>
  <c r="BQ50" i="1"/>
  <c r="BH47" i="1"/>
  <c r="AP65" i="1"/>
  <c r="BM34" i="1"/>
  <c r="BC71" i="1"/>
  <c r="AZ62" i="1"/>
  <c r="AO34" i="1"/>
  <c r="BH73" i="1"/>
  <c r="BV157" i="1"/>
  <c r="BP41" i="1"/>
  <c r="AV34" i="1"/>
  <c r="AV257" i="1" s="1"/>
  <c r="BD50" i="1"/>
  <c r="BF71" i="1"/>
  <c r="BI51" i="1"/>
  <c r="BG47" i="1"/>
  <c r="BV40" i="1"/>
  <c r="AU61" i="1"/>
  <c r="BH148" i="1"/>
  <c r="BI148" i="1" s="1"/>
  <c r="BA48" i="1"/>
  <c r="BE40" i="1"/>
  <c r="AU40" i="1"/>
  <c r="BU72" i="1"/>
  <c r="BA58" i="1"/>
  <c r="BA220" i="1" s="1"/>
  <c r="AU77" i="1"/>
  <c r="BH173" i="1"/>
  <c r="BI173" i="1" s="1"/>
  <c r="BP46" i="1"/>
  <c r="BH51" i="1"/>
  <c r="BA35" i="1"/>
  <c r="AT58" i="1"/>
  <c r="AT220" i="1" s="1"/>
  <c r="AP71" i="1"/>
  <c r="BV39" i="1"/>
  <c r="BO72" i="1"/>
  <c r="BE61" i="1"/>
  <c r="BW71" i="1"/>
  <c r="AX71" i="1"/>
  <c r="BS77" i="1"/>
  <c r="AR77" i="1"/>
  <c r="BN41" i="1"/>
  <c r="BD49" i="1"/>
  <c r="BS51" i="1"/>
  <c r="BB77" i="1"/>
  <c r="BI58" i="1"/>
  <c r="AZ41" i="1"/>
  <c r="BV181" i="1"/>
  <c r="BW181" i="1" s="1"/>
  <c r="AT65" i="1"/>
  <c r="AQ65" i="1"/>
  <c r="BP58" i="1"/>
  <c r="BA46" i="1"/>
  <c r="AU49" i="1"/>
  <c r="BU62" i="1"/>
  <c r="AT35" i="1"/>
  <c r="AS50" i="1"/>
  <c r="AW48" i="1"/>
  <c r="BT61" i="1"/>
  <c r="BQ62" i="1"/>
  <c r="BR41" i="1"/>
  <c r="AY62" i="1"/>
  <c r="BS58" i="1"/>
  <c r="BS220" i="1" s="1"/>
  <c r="AN39" i="1"/>
  <c r="BH34" i="1"/>
  <c r="BH257" i="1" s="1"/>
  <c r="BO50" i="1"/>
  <c r="BH157" i="1"/>
  <c r="AV46" i="1"/>
  <c r="BP50" i="1"/>
  <c r="AT48" i="1"/>
  <c r="BQ47" i="1"/>
  <c r="BV148" i="1"/>
  <c r="BW148" i="1" s="1"/>
  <c r="BO40" i="1"/>
  <c r="BA49" i="1"/>
  <c r="AS40" i="1"/>
  <c r="BB47" i="1"/>
  <c r="AT47" i="1"/>
  <c r="AI62" i="1"/>
  <c r="BH176" i="1"/>
  <c r="BI176" i="1" s="1"/>
  <c r="BS39" i="1"/>
  <c r="BF39" i="1"/>
  <c r="BJ71" i="1"/>
  <c r="AR50" i="1"/>
  <c r="BV190" i="1"/>
  <c r="BW190" i="1" s="1"/>
  <c r="BH41" i="1"/>
  <c r="AS39" i="1"/>
  <c r="BP72" i="1"/>
  <c r="AP61" i="1"/>
  <c r="AP50" i="1"/>
  <c r="BD46" i="1"/>
  <c r="BV151" i="1"/>
  <c r="BW151" i="1" s="1"/>
  <c r="BV169" i="1"/>
  <c r="BW169" i="1" s="1"/>
  <c r="BJ65" i="1"/>
  <c r="BC77" i="1"/>
  <c r="AR35" i="1"/>
  <c r="BD58" i="1"/>
  <c r="BD220" i="1" s="1"/>
  <c r="AX51" i="1"/>
  <c r="AW51" i="1"/>
  <c r="BV71" i="1"/>
  <c r="BN35" i="1"/>
  <c r="BF46" i="1"/>
  <c r="AW62" i="1"/>
  <c r="BF49" i="1"/>
  <c r="BK72" i="1"/>
  <c r="BR65" i="1"/>
  <c r="BF73" i="1"/>
  <c r="AX49" i="1"/>
  <c r="BS72" i="1"/>
  <c r="BH166" i="1"/>
  <c r="BI166" i="1" s="1"/>
  <c r="BJ228" i="1" s="1"/>
  <c r="AU62" i="1"/>
  <c r="AN77" i="1"/>
  <c r="BM65" i="1"/>
  <c r="BE73" i="1"/>
  <c r="BO35" i="1"/>
  <c r="BM51" i="1"/>
  <c r="BT35" i="1"/>
  <c r="BV168" i="1"/>
  <c r="BW168" i="1" s="1"/>
  <c r="AO72" i="1"/>
  <c r="BR61" i="1"/>
  <c r="BS73" i="1"/>
  <c r="AQ73" i="1"/>
  <c r="BG61" i="1"/>
  <c r="AN72" i="1"/>
  <c r="AW65" i="1"/>
  <c r="BI48" i="1"/>
  <c r="AO62" i="1"/>
  <c r="AS58" i="1"/>
  <c r="BU49" i="1"/>
  <c r="BF65" i="1"/>
  <c r="BO58" i="1"/>
  <c r="BO220" i="1" s="1"/>
  <c r="BB40" i="1"/>
  <c r="AS47" i="1"/>
  <c r="BD39" i="1"/>
  <c r="AT72" i="1"/>
  <c r="BE71" i="1"/>
  <c r="BP62" i="1"/>
  <c r="BV161" i="1"/>
  <c r="BW161" i="1" s="1"/>
  <c r="AP40" i="1"/>
  <c r="BB58" i="1"/>
  <c r="BV77" i="1"/>
  <c r="BR71" i="1"/>
  <c r="AP77" i="1"/>
  <c r="BA50" i="1"/>
  <c r="BV178" i="1"/>
  <c r="BW178" i="1" s="1"/>
  <c r="BQ72" i="1"/>
  <c r="AS72" i="1"/>
  <c r="BG39" i="1"/>
  <c r="BC50" i="1"/>
  <c r="BC49" i="1"/>
  <c r="BC61" i="1"/>
  <c r="AQ62" i="1"/>
  <c r="BE72" i="1"/>
  <c r="BO77" i="1"/>
  <c r="AZ46" i="1"/>
  <c r="AT71" i="1"/>
  <c r="AZ35" i="1"/>
  <c r="BU50" i="1"/>
  <c r="BV159" i="1"/>
  <c r="BM48" i="1"/>
  <c r="AV49" i="1"/>
  <c r="BV58" i="1"/>
  <c r="BV220" i="1" s="1"/>
  <c r="BP73" i="1"/>
  <c r="AZ49" i="1"/>
  <c r="BJ72" i="1"/>
  <c r="BN72" i="1"/>
  <c r="AY46" i="1"/>
  <c r="BO49" i="1"/>
  <c r="BW62" i="1"/>
  <c r="AY61" i="1"/>
  <c r="AU41" i="1"/>
  <c r="BW51" i="1"/>
  <c r="AQ72" i="1"/>
  <c r="BU77" i="1"/>
  <c r="BT34" i="1"/>
  <c r="BU34" i="1"/>
  <c r="BU257" i="1" s="1"/>
  <c r="BQ34" i="1"/>
  <c r="BQ35" i="1"/>
  <c r="AS41" i="1"/>
  <c r="AI58" i="1"/>
  <c r="AI220" i="1" s="1"/>
  <c r="BV41" i="1"/>
  <c r="AQ61" i="1"/>
  <c r="BA41" i="1"/>
  <c r="BN61" i="1"/>
  <c r="AZ73" i="1"/>
  <c r="BV166" i="1"/>
  <c r="BW166" i="1" s="1"/>
  <c r="BX228" i="1" s="1"/>
  <c r="BB65" i="1"/>
  <c r="AZ71" i="1"/>
  <c r="BV163" i="1"/>
  <c r="BW163" i="1" s="1"/>
  <c r="BG71" i="1"/>
  <c r="AN71" i="1"/>
  <c r="BI47" i="1"/>
  <c r="BJ61" i="1"/>
  <c r="AN61" i="1"/>
  <c r="BW61" i="1"/>
  <c r="BG40" i="1"/>
  <c r="BG46" i="1"/>
  <c r="BN48" i="1"/>
  <c r="AY35" i="1"/>
  <c r="BH159" i="1"/>
  <c r="BG48" i="1"/>
  <c r="BT73" i="1"/>
  <c r="BA73" i="1"/>
  <c r="AP72" i="1"/>
  <c r="AZ65" i="1"/>
  <c r="BE41" i="1"/>
  <c r="BH179" i="1"/>
  <c r="BG58" i="1"/>
  <c r="BG220" i="1" s="1"/>
  <c r="BK35" i="1"/>
  <c r="BM41" i="1"/>
  <c r="AI65" i="1"/>
  <c r="BH72" i="1"/>
  <c r="AZ40" i="1"/>
  <c r="BB51" i="1"/>
  <c r="AW61" i="1"/>
  <c r="BJ99" i="1"/>
  <c r="BK46" i="1"/>
  <c r="BA65" i="1"/>
  <c r="AO51" i="1"/>
  <c r="BV34" i="1"/>
  <c r="BV257" i="1" s="1"/>
  <c r="BV46" i="1"/>
  <c r="BW40" i="1"/>
  <c r="AU51" i="1"/>
  <c r="AN41" i="1"/>
  <c r="AS71" i="1"/>
  <c r="BV173" i="1"/>
  <c r="BW173" i="1" s="1"/>
  <c r="AV35" i="1"/>
  <c r="BN50" i="1"/>
  <c r="AN58" i="1"/>
  <c r="AN220" i="1" s="1"/>
  <c r="BV175" i="1"/>
  <c r="BW175" i="1" s="1"/>
  <c r="O168" i="1"/>
  <c r="U144" i="1"/>
  <c r="Q150" i="1"/>
  <c r="F100" i="1"/>
  <c r="V170" i="1"/>
  <c r="V205" i="1" s="1"/>
  <c r="N196" i="1"/>
  <c r="BI46" i="1"/>
  <c r="BT50" i="1"/>
  <c r="AY72" i="1"/>
  <c r="BF51" i="1"/>
  <c r="AV71" i="1"/>
  <c r="BN34" i="1"/>
  <c r="BR58" i="1"/>
  <c r="BE35" i="1"/>
  <c r="AX61" i="1"/>
  <c r="BM35" i="1"/>
  <c r="BB35" i="1"/>
  <c r="BG41" i="1"/>
  <c r="AO39" i="1"/>
  <c r="AX35" i="1"/>
  <c r="BH178" i="1"/>
  <c r="BI178" i="1" s="1"/>
  <c r="BI61" i="1"/>
  <c r="BC34" i="1"/>
  <c r="BC257" i="1" s="1"/>
  <c r="BM50" i="1"/>
  <c r="AP39" i="1"/>
  <c r="BH46" i="1"/>
  <c r="BU58" i="1"/>
  <c r="BU220" i="1" s="1"/>
  <c r="BK48" i="1"/>
  <c r="BV158" i="1"/>
  <c r="BK34" i="1"/>
  <c r="BO41" i="1"/>
  <c r="BN51" i="1"/>
  <c r="BM46" i="1"/>
  <c r="BN73" i="1"/>
  <c r="AP35" i="1"/>
  <c r="BU65" i="1"/>
  <c r="BT58" i="1"/>
  <c r="AX62" i="1"/>
  <c r="BS65" i="1"/>
  <c r="BC35" i="1"/>
  <c r="AI49" i="1"/>
  <c r="AV61" i="1"/>
  <c r="AQ50" i="1"/>
  <c r="BM73" i="1"/>
  <c r="AW39" i="1"/>
  <c r="AU46" i="1"/>
  <c r="AQ41" i="1"/>
  <c r="BI49" i="1"/>
  <c r="BF72" i="1"/>
  <c r="BK40" i="1"/>
  <c r="AW46" i="1"/>
  <c r="BH180" i="1"/>
  <c r="BI180" i="1" s="1"/>
  <c r="AV65" i="1"/>
  <c r="BM40" i="1"/>
  <c r="AM73" i="1"/>
  <c r="BD35" i="1"/>
  <c r="BO65" i="1"/>
  <c r="AU39" i="1"/>
  <c r="AO71" i="1"/>
  <c r="BI62" i="1"/>
  <c r="BS40" i="1"/>
  <c r="BV185" i="1"/>
  <c r="BT47" i="1"/>
  <c r="AU50" i="1"/>
  <c r="AZ61" i="1"/>
  <c r="AV72" i="1"/>
  <c r="BW34" i="1"/>
  <c r="BV170" i="1"/>
  <c r="BS41" i="1"/>
  <c r="AY40" i="1"/>
  <c r="BV100" i="1"/>
  <c r="BW72" i="1"/>
  <c r="AZ48" i="1"/>
  <c r="BD62" i="1"/>
  <c r="BI71" i="1"/>
  <c r="BR72" i="1"/>
  <c r="AR58" i="1"/>
  <c r="AR220" i="1" s="1"/>
  <c r="AX72" i="1"/>
  <c r="AI99" i="1"/>
  <c r="BE50" i="1"/>
  <c r="AI34" i="1"/>
  <c r="AY49" i="1"/>
  <c r="BQ73" i="1"/>
  <c r="BT48" i="1"/>
  <c r="AI50" i="1"/>
  <c r="AY71" i="1"/>
  <c r="AS65" i="1"/>
  <c r="BH150" i="1"/>
  <c r="BI150" i="1" s="1"/>
  <c r="BR40" i="1"/>
  <c r="AP46" i="1"/>
  <c r="BN49" i="1"/>
  <c r="BD48" i="1"/>
  <c r="AX46" i="1"/>
  <c r="BS47" i="1"/>
  <c r="AX39" i="1"/>
  <c r="BT40" i="1"/>
  <c r="BW58" i="1"/>
  <c r="BW220" i="1" s="1"/>
  <c r="AM72" i="1"/>
  <c r="BC40" i="1"/>
  <c r="AI46" i="1"/>
  <c r="BW39" i="1"/>
  <c r="BA51" i="1"/>
  <c r="BI73" i="1"/>
  <c r="BV47" i="1"/>
  <c r="AI77" i="1"/>
  <c r="BF58" i="1"/>
  <c r="BF220" i="1" s="1"/>
  <c r="BJ58" i="1"/>
  <c r="BJ279" i="1" s="1"/>
  <c r="BH143" i="1"/>
  <c r="BB41" i="1"/>
  <c r="AY58" i="1"/>
  <c r="AY220" i="1" s="1"/>
  <c r="BR51" i="1"/>
  <c r="BG49" i="1"/>
  <c r="AR46" i="1"/>
  <c r="BV145" i="1"/>
  <c r="AU34" i="1"/>
  <c r="AT39" i="1"/>
  <c r="AT49" i="1"/>
  <c r="BH175" i="1"/>
  <c r="BC39" i="1"/>
  <c r="BI35" i="1"/>
  <c r="BV176" i="1"/>
  <c r="BW176" i="1" s="1"/>
  <c r="BK41" i="1"/>
  <c r="BW65" i="1"/>
  <c r="BV152" i="1"/>
  <c r="BW152" i="1" s="1"/>
  <c r="BH171" i="1"/>
  <c r="BV61" i="1"/>
  <c r="AU48" i="1"/>
  <c r="BS61" i="1"/>
  <c r="BQ65" i="1"/>
  <c r="BV171" i="1"/>
  <c r="BH172" i="1"/>
  <c r="BI172" i="1" s="1"/>
  <c r="BK50" i="1"/>
  <c r="BO71" i="1"/>
  <c r="AW77" i="1"/>
  <c r="AO73" i="1"/>
  <c r="AJ99" i="1"/>
  <c r="BV51" i="1"/>
  <c r="AI41" i="1"/>
  <c r="AQ47" i="1"/>
  <c r="AT77" i="1"/>
  <c r="BQ71" i="1"/>
  <c r="BG34" i="1"/>
  <c r="BR35" i="1"/>
  <c r="BN77" i="1"/>
  <c r="AT62" i="1"/>
  <c r="BD41" i="1"/>
  <c r="AS48" i="1"/>
  <c r="AT40" i="1"/>
  <c r="AT34" i="1"/>
  <c r="AI71" i="1"/>
  <c r="BH151" i="1"/>
  <c r="BI151" i="1" s="1"/>
  <c r="AO49" i="1"/>
  <c r="BB61" i="1"/>
  <c r="BP39" i="1"/>
  <c r="BU61" i="1"/>
  <c r="BP35" i="1"/>
  <c r="AR61" i="1"/>
  <c r="AR34" i="1"/>
  <c r="AR257" i="1" s="1"/>
  <c r="AW72" i="1"/>
  <c r="BK62" i="1"/>
  <c r="BC73" i="1"/>
  <c r="BV177" i="1"/>
  <c r="BW177" i="1" s="1"/>
  <c r="K151" i="1"/>
  <c r="L197" i="1"/>
  <c r="B105" i="1"/>
  <c r="Q148" i="1"/>
  <c r="G99" i="1"/>
  <c r="J143" i="1"/>
  <c r="V171" i="1"/>
  <c r="V206" i="1" s="1"/>
  <c r="T93" i="1"/>
  <c r="T94" i="1" s="1"/>
  <c r="G100" i="1"/>
  <c r="L173" i="1"/>
  <c r="Q177" i="1"/>
  <c r="B161" i="1"/>
  <c r="V163" i="1"/>
  <c r="W93" i="1"/>
  <c r="W185" i="1"/>
  <c r="N159" i="1"/>
  <c r="E177" i="1"/>
  <c r="F162" i="1"/>
  <c r="F148" i="1"/>
  <c r="L189" i="1"/>
  <c r="H162" i="1"/>
  <c r="Q175" i="1"/>
  <c r="AR71" i="1"/>
  <c r="BP61" i="1"/>
  <c r="AZ51" i="1"/>
  <c r="BA62" i="1"/>
  <c r="BE39" i="1"/>
  <c r="AI39" i="1"/>
  <c r="BS35" i="1"/>
  <c r="BD34" i="1"/>
  <c r="BH77" i="1"/>
  <c r="BQ61" i="1"/>
  <c r="BB50" i="1"/>
  <c r="AO50" i="1"/>
  <c r="BQ39" i="1"/>
  <c r="AM99" i="1"/>
  <c r="BI77" i="1"/>
  <c r="BO46" i="1"/>
  <c r="BH100" i="1"/>
  <c r="BV153" i="1"/>
  <c r="BW153" i="1" s="1"/>
  <c r="BH50" i="1"/>
  <c r="BI50" i="1"/>
  <c r="BP48" i="1"/>
  <c r="BA40" i="1"/>
  <c r="BE62" i="1"/>
  <c r="BQ40" i="1"/>
  <c r="BT46" i="1"/>
  <c r="BT51" i="1"/>
  <c r="BT49" i="1"/>
  <c r="AI61" i="1"/>
  <c r="BV72" i="1"/>
  <c r="AQ49" i="1"/>
  <c r="BH58" i="1"/>
  <c r="BH220" i="1" s="1"/>
  <c r="BG72" i="1"/>
  <c r="AV73" i="1"/>
  <c r="BQ77" i="1"/>
  <c r="AV41" i="1"/>
  <c r="AX50" i="1"/>
  <c r="AO48" i="1"/>
  <c r="BO62" i="1"/>
  <c r="BD51" i="1"/>
  <c r="AW58" i="1"/>
  <c r="AW220" i="1" s="1"/>
  <c r="AJ100" i="1"/>
  <c r="BU71" i="1"/>
  <c r="BV180" i="1"/>
  <c r="BW180" i="1" s="1"/>
  <c r="BU41" i="1"/>
  <c r="AU72" i="1"/>
  <c r="BU35" i="1"/>
  <c r="BH185" i="1"/>
  <c r="AO46" i="1"/>
  <c r="BV62" i="1"/>
  <c r="BV172" i="1"/>
  <c r="BW172" i="1" s="1"/>
  <c r="BH169" i="1"/>
  <c r="BI169" i="1" s="1"/>
  <c r="AN50" i="1"/>
  <c r="AK100" i="1"/>
  <c r="BR46" i="1"/>
  <c r="BF40" i="1"/>
  <c r="BH161" i="1"/>
  <c r="BI161" i="1" s="1"/>
  <c r="BJ73" i="1"/>
  <c r="BO61" i="1"/>
  <c r="AQ35" i="1"/>
  <c r="BF47" i="1"/>
  <c r="AT46" i="1"/>
  <c r="AI35" i="1"/>
  <c r="BF61" i="1"/>
  <c r="AX47" i="1"/>
  <c r="AS61" i="1"/>
  <c r="AR62" i="1"/>
  <c r="BV143" i="1"/>
  <c r="BW143" i="1" s="1"/>
  <c r="AY34" i="1"/>
  <c r="BS46" i="1"/>
  <c r="BR50" i="1"/>
  <c r="BW47" i="1"/>
  <c r="AR73" i="1"/>
  <c r="AY41" i="1"/>
  <c r="AR65" i="1"/>
  <c r="AZ77" i="1"/>
  <c r="BA39" i="1"/>
  <c r="AY51" i="1"/>
  <c r="BI72" i="1"/>
  <c r="AU35" i="1"/>
  <c r="BE51" i="1"/>
  <c r="BQ48" i="1"/>
  <c r="BN39" i="1"/>
  <c r="BH62" i="1"/>
  <c r="AQ46" i="1"/>
  <c r="BT39" i="1"/>
  <c r="BH39" i="1"/>
  <c r="AP47" i="1"/>
  <c r="AZ72" i="1"/>
  <c r="BN46" i="1"/>
  <c r="BC48" i="1"/>
  <c r="BH153" i="1"/>
  <c r="BI153" i="1" s="1"/>
  <c r="AP62" i="1"/>
  <c r="BS62" i="1"/>
  <c r="BP47" i="1"/>
  <c r="AU65" i="1"/>
  <c r="B163" i="1"/>
  <c r="R179" i="1"/>
  <c r="R209" i="1" s="1"/>
  <c r="Q104" i="1"/>
  <c r="Q115" i="1" s="1"/>
  <c r="W168" i="1"/>
  <c r="W196" i="1"/>
  <c r="V153" i="1"/>
  <c r="U100" i="1"/>
  <c r="O172" i="1"/>
  <c r="M185" i="1"/>
  <c r="C151" i="1"/>
  <c r="T197" i="1"/>
  <c r="K152" i="1"/>
  <c r="K180" i="1" s="1"/>
  <c r="D196" i="1"/>
  <c r="F93" i="1"/>
  <c r="F94" i="1" s="1"/>
  <c r="B177" i="1"/>
  <c r="U171" i="1"/>
  <c r="U206" i="1" s="1"/>
  <c r="B157" i="1"/>
  <c r="L93" i="1"/>
  <c r="L94" i="1" s="1"/>
  <c r="J181" i="1"/>
  <c r="O161" i="1"/>
  <c r="O157" i="1" s="1"/>
  <c r="F198" i="1"/>
  <c r="C198" i="1"/>
  <c r="H175" i="1"/>
  <c r="Q189" i="1"/>
  <c r="C176" i="1"/>
  <c r="J190" i="1"/>
  <c r="D186" i="1"/>
  <c r="T190" i="1"/>
  <c r="J170" i="1"/>
  <c r="J205" i="1" s="1"/>
  <c r="D90" i="1"/>
  <c r="P163" i="1"/>
  <c r="H163" i="1"/>
  <c r="C189" i="1"/>
  <c r="S169" i="1"/>
  <c r="K144" i="1"/>
  <c r="BD72" i="1"/>
  <c r="BG62" i="1"/>
  <c r="AP73" i="1"/>
  <c r="AQ51" i="1"/>
  <c r="BW49" i="1"/>
  <c r="BK47" i="1"/>
  <c r="AX34" i="1"/>
  <c r="AT61" i="1"/>
  <c r="AR72" i="1"/>
  <c r="AI40" i="1"/>
  <c r="BK71" i="1"/>
  <c r="BS34" i="1"/>
  <c r="BS257" i="1" s="1"/>
  <c r="BW77" i="1"/>
  <c r="AQ48" i="1"/>
  <c r="BO48" i="1"/>
  <c r="AT73" i="1"/>
  <c r="AO65" i="1"/>
  <c r="BR47" i="1"/>
  <c r="BD77" i="1"/>
  <c r="BP40" i="1"/>
  <c r="BH61" i="1"/>
  <c r="AO58" i="1"/>
  <c r="AO220" i="1" s="1"/>
  <c r="BH145" i="1"/>
  <c r="BK61" i="1"/>
  <c r="BM62" i="1"/>
  <c r="BG65" i="1"/>
  <c r="AP49" i="1"/>
  <c r="AU71" i="1"/>
  <c r="AP58" i="1"/>
  <c r="BR73" i="1"/>
  <c r="AU73" i="1"/>
  <c r="BV49" i="1"/>
  <c r="BS48" i="1"/>
  <c r="BM77" i="1"/>
  <c r="AR39" i="1"/>
  <c r="BV99" i="1"/>
  <c r="AY73" i="1"/>
  <c r="BQ49" i="1"/>
  <c r="AZ39" i="1"/>
  <c r="BW35" i="1"/>
  <c r="AX41" i="1"/>
  <c r="BC47" i="1"/>
  <c r="AS62" i="1"/>
  <c r="BM47" i="1"/>
  <c r="AX65" i="1"/>
  <c r="AN46" i="1"/>
  <c r="AV77" i="1"/>
  <c r="BC51" i="1"/>
  <c r="BV48" i="1"/>
  <c r="BJ77" i="1"/>
  <c r="BA61" i="1"/>
  <c r="BH65" i="1"/>
  <c r="AV39" i="1"/>
  <c r="BH170" i="1"/>
  <c r="AT51" i="1"/>
  <c r="AM100" i="1"/>
  <c r="AY48" i="1"/>
  <c r="BU73" i="1"/>
  <c r="AN65" i="1"/>
  <c r="AO35" i="1"/>
  <c r="BN71" i="1"/>
  <c r="BW48" i="1"/>
  <c r="BF34" i="1"/>
  <c r="BU46" i="1"/>
  <c r="AS73" i="1"/>
  <c r="BI65" i="1"/>
  <c r="BD40" i="1"/>
  <c r="BH168" i="1"/>
  <c r="BI168" i="1" s="1"/>
  <c r="AR51" i="1"/>
  <c r="AR49" i="1"/>
  <c r="AU47" i="1"/>
  <c r="BR39" i="1"/>
  <c r="BB46" i="1"/>
  <c r="BC58" i="1"/>
  <c r="BC220" i="1" s="1"/>
  <c r="L96" i="1"/>
  <c r="AP172" i="1"/>
  <c r="AQ172" i="1" s="1"/>
  <c r="BI99" i="1"/>
  <c r="BD161" i="1"/>
  <c r="BE161" i="1" s="1"/>
  <c r="BN190" i="1"/>
  <c r="BO190" i="1" s="1"/>
  <c r="BT177" i="1"/>
  <c r="BU177" i="1" s="1"/>
  <c r="BN152" i="1"/>
  <c r="BO152" i="1" s="1"/>
  <c r="AP151" i="1"/>
  <c r="AQ151" i="1" s="1"/>
  <c r="BF180" i="1"/>
  <c r="BG180" i="1" s="1"/>
  <c r="BD173" i="1"/>
  <c r="BE173" i="1" s="1"/>
  <c r="AV161" i="1"/>
  <c r="AW161" i="1" s="1"/>
  <c r="AR190" i="1"/>
  <c r="AS190" i="1" s="1"/>
  <c r="BA99" i="1"/>
  <c r="BN148" i="1"/>
  <c r="BO148" i="1" s="1"/>
  <c r="BF150" i="1"/>
  <c r="BG150" i="1" s="1"/>
  <c r="AW99" i="1"/>
  <c r="BD178" i="1"/>
  <c r="BE178" i="1" s="1"/>
  <c r="BD186" i="1"/>
  <c r="BN178" i="1"/>
  <c r="BO178" i="1" s="1"/>
  <c r="BD175" i="1"/>
  <c r="BE175" i="1" s="1"/>
  <c r="BF190" i="1"/>
  <c r="BG190" i="1" s="1"/>
  <c r="BP168" i="1"/>
  <c r="BQ168" i="1" s="1"/>
  <c r="BT100" i="1"/>
  <c r="AR169" i="1"/>
  <c r="AS169" i="1" s="1"/>
  <c r="BF143" i="1"/>
  <c r="BG143" i="1" s="1"/>
  <c r="BP157" i="1"/>
  <c r="AV170" i="1"/>
  <c r="BW99" i="1"/>
  <c r="BR175" i="1"/>
  <c r="BS175" i="1" s="1"/>
  <c r="BR99" i="1"/>
  <c r="BN151" i="1"/>
  <c r="BO151" i="1" s="1"/>
  <c r="BF158" i="1"/>
  <c r="BP166" i="1"/>
  <c r="BQ166" i="1" s="1"/>
  <c r="AV166" i="1"/>
  <c r="AV176" i="1"/>
  <c r="AW176" i="1" s="1"/>
  <c r="BE100" i="1"/>
  <c r="BT170" i="1"/>
  <c r="AP145" i="1"/>
  <c r="BN172" i="1"/>
  <c r="BO172" i="1" s="1"/>
  <c r="BN158" i="1"/>
  <c r="BD157" i="1"/>
  <c r="BT179" i="1"/>
  <c r="BA100" i="1"/>
  <c r="BR172" i="1"/>
  <c r="BS172" i="1" s="1"/>
  <c r="BC99" i="1"/>
  <c r="BD177" i="1"/>
  <c r="BE177" i="1" s="1"/>
  <c r="BR171" i="1"/>
  <c r="BT185" i="1"/>
  <c r="AV175" i="1"/>
  <c r="AW175" i="1" s="1"/>
  <c r="BN168" i="1"/>
  <c r="BO168" i="1" s="1"/>
  <c r="AP150" i="1"/>
  <c r="AQ150" i="1" s="1"/>
  <c r="BD152" i="1"/>
  <c r="BE152" i="1" s="1"/>
  <c r="AP176" i="1"/>
  <c r="AQ176" i="1" s="1"/>
  <c r="AV185" i="1"/>
  <c r="AV143" i="1"/>
  <c r="AW143" i="1" s="1"/>
  <c r="AR145" i="1"/>
  <c r="AR168" i="1"/>
  <c r="AS168" i="1" s="1"/>
  <c r="AV151" i="1"/>
  <c r="AW151" i="1" s="1"/>
  <c r="AV152" i="1"/>
  <c r="AW152" i="1" s="1"/>
  <c r="AR180" i="1"/>
  <c r="AS180" i="1" s="1"/>
  <c r="AV159" i="1"/>
  <c r="AR144" i="1"/>
  <c r="AS144" i="1" s="1"/>
  <c r="AR178" i="1"/>
  <c r="AS178" i="1" s="1"/>
  <c r="AR150" i="1"/>
  <c r="AV190" i="1"/>
  <c r="AW190" i="1" s="1"/>
  <c r="AR179" i="1"/>
  <c r="AR148" i="1"/>
  <c r="AS148" i="1" s="1"/>
  <c r="AR172" i="1"/>
  <c r="AS172" i="1" s="1"/>
  <c r="AV99" i="1"/>
  <c r="AU99" i="1"/>
  <c r="AR186" i="1"/>
  <c r="AV179" i="1"/>
  <c r="BO100" i="1"/>
  <c r="BT166" i="1"/>
  <c r="AP159" i="1"/>
  <c r="BF176" i="1"/>
  <c r="BG176" i="1" s="1"/>
  <c r="AV186" i="1"/>
  <c r="AR170" i="1"/>
  <c r="AV177" i="1"/>
  <c r="AW177" i="1" s="1"/>
  <c r="AR173" i="1"/>
  <c r="AS173" i="1" s="1"/>
  <c r="BD143" i="1"/>
  <c r="BR161" i="1"/>
  <c r="BS161" i="1" s="1"/>
  <c r="BP179" i="1"/>
  <c r="BN185" i="1"/>
  <c r="BR144" i="1"/>
  <c r="BS144" i="1" s="1"/>
  <c r="BQ100" i="1"/>
  <c r="BD148" i="1"/>
  <c r="BE148" i="1" s="1"/>
  <c r="BT145" i="1"/>
  <c r="BF157" i="1"/>
  <c r="BF179" i="1"/>
  <c r="BF161" i="1"/>
  <c r="BG161" i="1" s="1"/>
  <c r="BD176" i="1"/>
  <c r="BE176" i="1" s="1"/>
  <c r="BN176" i="1"/>
  <c r="BO176" i="1" s="1"/>
  <c r="AQ100" i="1"/>
  <c r="BD172" i="1"/>
  <c r="BE172" i="1" s="1"/>
  <c r="BT161" i="1"/>
  <c r="BU161" i="1" s="1"/>
  <c r="AV180" i="1"/>
  <c r="AW180" i="1" s="1"/>
  <c r="BN100" i="1"/>
  <c r="BE99" i="1"/>
  <c r="BN189" i="1"/>
  <c r="BO189" i="1" s="1"/>
  <c r="BN171" i="1"/>
  <c r="BN180" i="1"/>
  <c r="BO180" i="1" s="1"/>
  <c r="BR168" i="1"/>
  <c r="BS168" i="1" s="1"/>
  <c r="BT186" i="1"/>
  <c r="BP169" i="1"/>
  <c r="BQ169" i="1" s="1"/>
  <c r="AZ144" i="1"/>
  <c r="BA144" i="1" s="1"/>
  <c r="AX168" i="1"/>
  <c r="AY168" i="1" s="1"/>
  <c r="BN173" i="1"/>
  <c r="BO173" i="1" s="1"/>
  <c r="BR159" i="1"/>
  <c r="BR181" i="1"/>
  <c r="BS181" i="1" s="1"/>
  <c r="AP175" i="1"/>
  <c r="AQ175" i="1" s="1"/>
  <c r="AW100" i="1"/>
  <c r="AT171" i="1"/>
  <c r="BD145" i="1"/>
  <c r="BD166" i="1"/>
  <c r="BE166" i="1" s="1"/>
  <c r="AP100" i="1"/>
  <c r="BD168" i="1"/>
  <c r="BE168" i="1" s="1"/>
  <c r="AP148" i="1"/>
  <c r="AQ148" i="1" s="1"/>
  <c r="BN179" i="1"/>
  <c r="BT171" i="1"/>
  <c r="BD179" i="1"/>
  <c r="BT176" i="1"/>
  <c r="BU176" i="1" s="1"/>
  <c r="AP152" i="1"/>
  <c r="AQ152" i="1" s="1"/>
  <c r="AP170" i="1"/>
  <c r="BP151" i="1"/>
  <c r="BQ151" i="1" s="1"/>
  <c r="AV172" i="1"/>
  <c r="AW172" i="1" s="1"/>
  <c r="AR151" i="1"/>
  <c r="AS151" i="1" s="1"/>
  <c r="AR100" i="1"/>
  <c r="BT173" i="1"/>
  <c r="BU173" i="1" s="1"/>
  <c r="BP178" i="1"/>
  <c r="BQ178" i="1" s="1"/>
  <c r="AV100" i="1"/>
  <c r="AP153" i="1"/>
  <c r="AQ153" i="1" s="1"/>
  <c r="AV144" i="1"/>
  <c r="AW144" i="1" s="1"/>
  <c r="AV189" i="1"/>
  <c r="AW189" i="1" s="1"/>
  <c r="AR143" i="1"/>
  <c r="AV150" i="1"/>
  <c r="AR163" i="1"/>
  <c r="AS163" i="1" s="1"/>
  <c r="BI100" i="1"/>
  <c r="AS100" i="1"/>
  <c r="AP186" i="1"/>
  <c r="AV153" i="1"/>
  <c r="AW153" i="1" s="1"/>
  <c r="AR153" i="1"/>
  <c r="AS153" i="1" s="1"/>
  <c r="AV178" i="1"/>
  <c r="AW178" i="1" s="1"/>
  <c r="BQ99" i="1"/>
  <c r="AR175" i="1"/>
  <c r="AS175" i="1" s="1"/>
  <c r="AV168" i="1"/>
  <c r="AW168" i="1" s="1"/>
  <c r="AN158" i="1"/>
  <c r="AR189" i="1"/>
  <c r="AS189" i="1" s="1"/>
  <c r="AV171" i="1"/>
  <c r="AR152" i="1"/>
  <c r="AS152" i="1" s="1"/>
  <c r="BD185" i="1"/>
  <c r="BT158" i="1"/>
  <c r="BT151" i="1"/>
  <c r="BU151" i="1" s="1"/>
  <c r="BT150" i="1"/>
  <c r="AP181" i="1"/>
  <c r="AQ181" i="1" s="1"/>
  <c r="BF178" i="1"/>
  <c r="BG178" i="1" s="1"/>
  <c r="BT181" i="1"/>
  <c r="BU181" i="1" s="1"/>
  <c r="BP176" i="1"/>
  <c r="BQ176" i="1" s="1"/>
  <c r="AV157" i="1"/>
  <c r="BD153" i="1"/>
  <c r="BE153" i="1" s="1"/>
  <c r="BU99" i="1"/>
  <c r="BF172" i="1"/>
  <c r="BG172" i="1" s="1"/>
  <c r="BF153" i="1"/>
  <c r="BG153" i="1" s="1"/>
  <c r="BN166" i="1"/>
  <c r="BR151" i="1"/>
  <c r="BS151" i="1" s="1"/>
  <c r="AZ145" i="1"/>
  <c r="BD144" i="1"/>
  <c r="BE144" i="1" s="1"/>
  <c r="AV158" i="1"/>
  <c r="BN157" i="1"/>
  <c r="BN186" i="1"/>
  <c r="BN144" i="1"/>
  <c r="BO144" i="1" s="1"/>
  <c r="BR186" i="1"/>
  <c r="BF159" i="1"/>
  <c r="BP189" i="1"/>
  <c r="BQ189" i="1" s="1"/>
  <c r="BP173" i="1"/>
  <c r="BQ173" i="1" s="1"/>
  <c r="BM99" i="1"/>
  <c r="BN177" i="1"/>
  <c r="BO177" i="1" s="1"/>
  <c r="BN143" i="1"/>
  <c r="BO143" i="1" s="1"/>
  <c r="BR189" i="1"/>
  <c r="BS189" i="1" s="1"/>
  <c r="BR179" i="1"/>
  <c r="BD181" i="1"/>
  <c r="BE181" i="1" s="1"/>
  <c r="BT159" i="1"/>
  <c r="BN161" i="1"/>
  <c r="BO161" i="1" s="1"/>
  <c r="BF181" i="1"/>
  <c r="BG181" i="1" s="1"/>
  <c r="BD151" i="1"/>
  <c r="BE151" i="1" s="1"/>
  <c r="AP178" i="1"/>
  <c r="AQ178" i="1" s="1"/>
  <c r="BT168" i="1"/>
  <c r="BU168" i="1" s="1"/>
  <c r="AP190" i="1"/>
  <c r="AQ190" i="1" s="1"/>
  <c r="BD180" i="1"/>
  <c r="BE180" i="1" s="1"/>
  <c r="BT189" i="1"/>
  <c r="BU189" i="1" s="1"/>
  <c r="AP161" i="1"/>
  <c r="AQ161" i="1" s="1"/>
  <c r="BP190" i="1"/>
  <c r="BQ190" i="1" s="1"/>
  <c r="AV148" i="1"/>
  <c r="AW148" i="1" s="1"/>
  <c r="AR161" i="1"/>
  <c r="AS161" i="1" s="1"/>
  <c r="AR166" i="1"/>
  <c r="AS166" i="1" s="1"/>
  <c r="AV181" i="1"/>
  <c r="AW181" i="1" s="1"/>
  <c r="AP157" i="1"/>
  <c r="AR158" i="1"/>
  <c r="AR185" i="1"/>
  <c r="AV145" i="1"/>
  <c r="AR171" i="1"/>
  <c r="BT175" i="1"/>
  <c r="BU175" i="1" s="1"/>
  <c r="AR181" i="1"/>
  <c r="AS181" i="1" s="1"/>
  <c r="AO100" i="1"/>
  <c r="AV173" i="1"/>
  <c r="AW173" i="1" s="1"/>
  <c r="AV163" i="1"/>
  <c r="AW163" i="1" s="1"/>
  <c r="AV169" i="1"/>
  <c r="BN163" i="1"/>
  <c r="BO163" i="1" s="1"/>
  <c r="BR163" i="1"/>
  <c r="BS163" i="1" s="1"/>
  <c r="BT169" i="1"/>
  <c r="K112" i="1"/>
  <c r="R96" i="1"/>
  <c r="K96" i="1"/>
  <c r="P115" i="1"/>
  <c r="Q96" i="1"/>
  <c r="H96" i="1"/>
  <c r="F96" i="1"/>
  <c r="H112" i="1"/>
  <c r="U115" i="1"/>
  <c r="V96" i="1"/>
  <c r="O95" i="1"/>
  <c r="CQ160" i="1"/>
  <c r="DB103" i="1"/>
  <c r="DC103" i="1" s="1"/>
  <c r="CY91" i="1"/>
  <c r="CZ89" i="1"/>
  <c r="AD89" i="1" s="1"/>
  <c r="S112" i="1"/>
  <c r="S96" i="1"/>
  <c r="T96" i="1"/>
  <c r="M96" i="1"/>
  <c r="I96" i="1"/>
  <c r="I111" i="1"/>
  <c r="H115" i="1"/>
  <c r="R115" i="1"/>
  <c r="K115" i="1"/>
  <c r="W134" i="1" l="1"/>
  <c r="W130" i="1"/>
  <c r="O228" i="1"/>
  <c r="R134" i="1"/>
  <c r="R130" i="1"/>
  <c r="R113" i="1"/>
  <c r="G115" i="1"/>
  <c r="T134" i="1"/>
  <c r="T130" i="1"/>
  <c r="BN145" i="1"/>
  <c r="BD150" i="1"/>
  <c r="BE150" i="1" s="1"/>
  <c r="BN159" i="1"/>
  <c r="AX190" i="1"/>
  <c r="AY190" i="1" s="1"/>
  <c r="N128" i="1"/>
  <c r="P128" i="1"/>
  <c r="U228" i="1"/>
  <c r="I134" i="1"/>
  <c r="BR152" i="1"/>
  <c r="BS152" i="1" s="1"/>
  <c r="AN143" i="1"/>
  <c r="BF189" i="1"/>
  <c r="BG189" i="1" s="1"/>
  <c r="BT143" i="1"/>
  <c r="BU143" i="1" s="1"/>
  <c r="BN153" i="1"/>
  <c r="BO153" i="1" s="1"/>
  <c r="AX177" i="1"/>
  <c r="AY177" i="1" s="1"/>
  <c r="BP152" i="1"/>
  <c r="BQ152" i="1" s="1"/>
  <c r="AT185" i="1"/>
  <c r="BB279" i="1"/>
  <c r="S187" i="1"/>
  <c r="T235" i="1" s="1"/>
  <c r="BF151" i="1"/>
  <c r="BG151" i="1" s="1"/>
  <c r="AX144" i="1"/>
  <c r="AY144" i="1" s="1"/>
  <c r="AT157" i="1"/>
  <c r="AT177" i="1"/>
  <c r="AU177" i="1" s="1"/>
  <c r="BT172" i="1"/>
  <c r="BU172" i="1" s="1"/>
  <c r="AX100" i="1"/>
  <c r="BR158" i="1"/>
  <c r="BN278" i="1"/>
  <c r="AX36" i="1"/>
  <c r="BB161" i="1"/>
  <c r="BC161" i="1" s="1"/>
  <c r="BT178" i="1"/>
  <c r="BU178" i="1" s="1"/>
  <c r="BF144" i="1"/>
  <c r="BG144" i="1" s="1"/>
  <c r="AX99" i="1"/>
  <c r="AX173" i="1"/>
  <c r="AY173" i="1" s="1"/>
  <c r="AX178" i="1"/>
  <c r="AY178" i="1" s="1"/>
  <c r="BB150" i="1"/>
  <c r="BN181" i="1"/>
  <c r="BO181" i="1" s="1"/>
  <c r="BP145" i="1"/>
  <c r="BB100" i="1"/>
  <c r="AT151" i="1"/>
  <c r="AU151" i="1" s="1"/>
  <c r="BB172" i="1"/>
  <c r="BC172" i="1" s="1"/>
  <c r="AT148" i="1"/>
  <c r="AU148" i="1" s="1"/>
  <c r="BB158" i="1"/>
  <c r="BB152" i="1"/>
  <c r="BC152" i="1" s="1"/>
  <c r="AP166" i="1"/>
  <c r="AN144" i="1"/>
  <c r="AO144" i="1" s="1"/>
  <c r="AN100" i="1"/>
  <c r="AX148" i="1"/>
  <c r="AY148" i="1" s="1"/>
  <c r="AX186" i="1"/>
  <c r="BB145" i="1"/>
  <c r="BR177" i="1"/>
  <c r="BS177" i="1" s="1"/>
  <c r="AT159" i="1"/>
  <c r="AX176" i="1"/>
  <c r="AY176" i="1" s="1"/>
  <c r="BB186" i="1"/>
  <c r="BB153" i="1"/>
  <c r="BC153" i="1" s="1"/>
  <c r="AT170" i="1"/>
  <c r="BR206" i="1"/>
  <c r="BS206" i="1" s="1"/>
  <c r="AP189" i="1"/>
  <c r="AQ189" i="1" s="1"/>
  <c r="AP168" i="1"/>
  <c r="AN163" i="1"/>
  <c r="AO163" i="1" s="1"/>
  <c r="BP185" i="1"/>
  <c r="AN176" i="1"/>
  <c r="AO176" i="1" s="1"/>
  <c r="BB157" i="1"/>
  <c r="AT175" i="1"/>
  <c r="AU175" i="1" s="1"/>
  <c r="AT179" i="1"/>
  <c r="BN99" i="1"/>
  <c r="BB171" i="1"/>
  <c r="AT144" i="1"/>
  <c r="AU144" i="1" s="1"/>
  <c r="AX189" i="1"/>
  <c r="AY189" i="1" s="1"/>
  <c r="BB166" i="1"/>
  <c r="BC166" i="1" s="1"/>
  <c r="BB179" i="1"/>
  <c r="AX181" i="1"/>
  <c r="AY181" i="1" s="1"/>
  <c r="AX157" i="1"/>
  <c r="BN170" i="1"/>
  <c r="AT161" i="1"/>
  <c r="AU161" i="1" s="1"/>
  <c r="AT152" i="1"/>
  <c r="AU152" i="1" s="1"/>
  <c r="AX145" i="1"/>
  <c r="AX161" i="1"/>
  <c r="AY161" i="1" s="1"/>
  <c r="AX171" i="1"/>
  <c r="BR100" i="1"/>
  <c r="BP100" i="1"/>
  <c r="BR190" i="1"/>
  <c r="BS190" i="1" s="1"/>
  <c r="AN190" i="1"/>
  <c r="AO190" i="1" s="1"/>
  <c r="AT176" i="1"/>
  <c r="AO99" i="1"/>
  <c r="AX175" i="1"/>
  <c r="AX158" i="1"/>
  <c r="AX163" i="1"/>
  <c r="AY163" i="1" s="1"/>
  <c r="BN150" i="1"/>
  <c r="BB175" i="1"/>
  <c r="BC175" i="1" s="1"/>
  <c r="AP144" i="1"/>
  <c r="AQ144" i="1" s="1"/>
  <c r="AX152" i="1"/>
  <c r="AY152" i="1" s="1"/>
  <c r="BR176" i="1"/>
  <c r="BS176" i="1" s="1"/>
  <c r="BB148" i="1"/>
  <c r="BC148" i="1" s="1"/>
  <c r="AT153" i="1"/>
  <c r="AU153" i="1" s="1"/>
  <c r="AT181" i="1"/>
  <c r="AU181" i="1" s="1"/>
  <c r="AT172" i="1"/>
  <c r="AU172" i="1" s="1"/>
  <c r="AT180" i="1"/>
  <c r="AU180" i="1" s="1"/>
  <c r="AT143" i="1"/>
  <c r="BB176" i="1"/>
  <c r="BC176" i="1" s="1"/>
  <c r="BG100" i="1"/>
  <c r="BK99" i="1"/>
  <c r="AT169" i="1"/>
  <c r="AU169" i="1" s="1"/>
  <c r="AT145" i="1"/>
  <c r="BB159" i="1"/>
  <c r="BB168" i="1"/>
  <c r="BC168" i="1" s="1"/>
  <c r="BP172" i="1"/>
  <c r="BQ172" i="1" s="1"/>
  <c r="AN172" i="1"/>
  <c r="AO172" i="1" s="1"/>
  <c r="BF152" i="1"/>
  <c r="BG152" i="1" s="1"/>
  <c r="AN189" i="1"/>
  <c r="AO189" i="1" s="1"/>
  <c r="AN177" i="1"/>
  <c r="AO177" i="1" s="1"/>
  <c r="AN161" i="1"/>
  <c r="AO161" i="1" s="1"/>
  <c r="AP99" i="1"/>
  <c r="AN169" i="1"/>
  <c r="AO169" i="1" s="1"/>
  <c r="AN168" i="1"/>
  <c r="AX179" i="1"/>
  <c r="BB99" i="1"/>
  <c r="BR180" i="1"/>
  <c r="BS180" i="1" s="1"/>
  <c r="BK100" i="1"/>
  <c r="AX143" i="1"/>
  <c r="AX180" i="1"/>
  <c r="AY180" i="1" s="1"/>
  <c r="BB151" i="1"/>
  <c r="BC151" i="1" s="1"/>
  <c r="AX150" i="1"/>
  <c r="AT190" i="1"/>
  <c r="AU190" i="1" s="1"/>
  <c r="AT178" i="1"/>
  <c r="AU178" i="1" s="1"/>
  <c r="AT100" i="1"/>
  <c r="BB173" i="1"/>
  <c r="BC173" i="1" s="1"/>
  <c r="AN166" i="1"/>
  <c r="AN159" i="1"/>
  <c r="BT99" i="1"/>
  <c r="AP171" i="1"/>
  <c r="AX185" i="1"/>
  <c r="AX151" i="1"/>
  <c r="AY151" i="1" s="1"/>
  <c r="BB189" i="1"/>
  <c r="BC189" i="1" s="1"/>
  <c r="BR178" i="1"/>
  <c r="BS178" i="1" s="1"/>
  <c r="BB190" i="1"/>
  <c r="BC190" i="1" s="1"/>
  <c r="BT190" i="1"/>
  <c r="BU190" i="1" s="1"/>
  <c r="AP158" i="1"/>
  <c r="AX159" i="1"/>
  <c r="AX172" i="1"/>
  <c r="AY172" i="1" s="1"/>
  <c r="BN175" i="1"/>
  <c r="BO175" i="1" s="1"/>
  <c r="BT144" i="1"/>
  <c r="BU144" i="1" s="1"/>
  <c r="AX153" i="1"/>
  <c r="AY153" i="1" s="1"/>
  <c r="AT166" i="1"/>
  <c r="AU166" i="1" s="1"/>
  <c r="AT186" i="1"/>
  <c r="AT150" i="1"/>
  <c r="AU150" i="1" s="1"/>
  <c r="AT168" i="1"/>
  <c r="BB178" i="1"/>
  <c r="BC178" i="1" s="1"/>
  <c r="BU100" i="1"/>
  <c r="AT189" i="1"/>
  <c r="AU189" i="1" s="1"/>
  <c r="AT173" i="1"/>
  <c r="AU173" i="1" s="1"/>
  <c r="BB143" i="1"/>
  <c r="AN171" i="1"/>
  <c r="BP161" i="1"/>
  <c r="BQ161" i="1" s="1"/>
  <c r="AN150" i="1"/>
  <c r="AP143" i="1"/>
  <c r="AQ143" i="1" s="1"/>
  <c r="AN145" i="1"/>
  <c r="AN179" i="1"/>
  <c r="AN170" i="1"/>
  <c r="AN175" i="1"/>
  <c r="AO175" i="1" s="1"/>
  <c r="AN153" i="1"/>
  <c r="AO153" i="1" s="1"/>
  <c r="AN181" i="1"/>
  <c r="AO181" i="1" s="1"/>
  <c r="AN157" i="1"/>
  <c r="AT158" i="1"/>
  <c r="AT99" i="1"/>
  <c r="AN151" i="1"/>
  <c r="AO151" i="1" s="1"/>
  <c r="AP163" i="1"/>
  <c r="AQ163" i="1" s="1"/>
  <c r="AT163" i="1"/>
  <c r="AU163" i="1" s="1"/>
  <c r="BP163" i="1"/>
  <c r="BQ163" i="1" s="1"/>
  <c r="BF169" i="1"/>
  <c r="AX169" i="1"/>
  <c r="BN169" i="1"/>
  <c r="E111" i="1"/>
  <c r="I113" i="1"/>
  <c r="AX166" i="1"/>
  <c r="AY166" i="1" s="1"/>
  <c r="AX170" i="1"/>
  <c r="BM100" i="1"/>
  <c r="F160" i="1"/>
  <c r="F59" i="1" s="1"/>
  <c r="B187" i="1"/>
  <c r="C235" i="1" s="1"/>
  <c r="G228" i="1"/>
  <c r="M228" i="1"/>
  <c r="BP279" i="1"/>
  <c r="BP36" i="1"/>
  <c r="BD36" i="1"/>
  <c r="BH187" i="1"/>
  <c r="AP278" i="1"/>
  <c r="M187" i="1"/>
  <c r="C154" i="1"/>
  <c r="D199" i="1"/>
  <c r="C199" i="1"/>
  <c r="F187" i="1"/>
  <c r="L187" i="1"/>
  <c r="R187" i="1"/>
  <c r="U134" i="1"/>
  <c r="U130" i="1"/>
  <c r="O130" i="1"/>
  <c r="O134" i="1"/>
  <c r="V130" i="1"/>
  <c r="V134" i="1"/>
  <c r="S134" i="1"/>
  <c r="S130" i="1"/>
  <c r="BT157" i="1"/>
  <c r="BW100" i="1"/>
  <c r="BR153" i="1"/>
  <c r="BS153" i="1" s="1"/>
  <c r="BF177" i="1"/>
  <c r="BG177" i="1" s="1"/>
  <c r="BP150" i="1"/>
  <c r="BQ150" i="1" s="1"/>
  <c r="AY100" i="1"/>
  <c r="BR170" i="1"/>
  <c r="AT205" i="1"/>
  <c r="AU205" i="1" s="1"/>
  <c r="AT209" i="1"/>
  <c r="AU209" i="1" s="1"/>
  <c r="BT153" i="1"/>
  <c r="BU153" i="1" s="1"/>
  <c r="BP209" i="1"/>
  <c r="BQ209" i="1" s="1"/>
  <c r="BP177" i="1"/>
  <c r="BQ177" i="1" s="1"/>
  <c r="BF148" i="1"/>
  <c r="BG148" i="1" s="1"/>
  <c r="BF166" i="1"/>
  <c r="BG166" i="1" s="1"/>
  <c r="AP179" i="1"/>
  <c r="BP159" i="1"/>
  <c r="AN173" i="1"/>
  <c r="AO173" i="1" s="1"/>
  <c r="BR145" i="1"/>
  <c r="BR143" i="1"/>
  <c r="BF99" i="1"/>
  <c r="BI175" i="1"/>
  <c r="BT163" i="1"/>
  <c r="BU163" i="1" s="1"/>
  <c r="BR169" i="1"/>
  <c r="AI209" i="1"/>
  <c r="AI211" i="1"/>
  <c r="AI208" i="1"/>
  <c r="BW279" i="1"/>
  <c r="AL124" i="1"/>
  <c r="AL125" i="1" s="1"/>
  <c r="AL130" i="1" s="1"/>
  <c r="AT278" i="1"/>
  <c r="AI206" i="1"/>
  <c r="BT220" i="1"/>
  <c r="BK257" i="1"/>
  <c r="AU257" i="1"/>
  <c r="BZ124" i="1"/>
  <c r="BZ125" i="1" s="1"/>
  <c r="AQ220" i="1"/>
  <c r="BJ220" i="1"/>
  <c r="BG257" i="1"/>
  <c r="AI205" i="1"/>
  <c r="AI257" i="1"/>
  <c r="D115" i="1"/>
  <c r="M129" i="1"/>
  <c r="V111" i="1"/>
  <c r="V113" i="1"/>
  <c r="O94" i="1"/>
  <c r="S113" i="1"/>
  <c r="C187" i="1"/>
  <c r="K228" i="1"/>
  <c r="P160" i="1"/>
  <c r="B199" i="1"/>
  <c r="Q199" i="1"/>
  <c r="AW36" i="1"/>
  <c r="AW42" i="1" s="1"/>
  <c r="I146" i="1"/>
  <c r="B91" i="1"/>
  <c r="BP278" i="1"/>
  <c r="AZ36" i="1"/>
  <c r="BK36" i="1"/>
  <c r="O174" i="1"/>
  <c r="U146" i="1"/>
  <c r="Q154" i="1"/>
  <c r="BM52" i="1"/>
  <c r="BE278" i="1"/>
  <c r="AY278" i="1"/>
  <c r="S174" i="1"/>
  <c r="K146" i="1"/>
  <c r="AP279" i="1"/>
  <c r="BS52" i="1"/>
  <c r="BQ52" i="1"/>
  <c r="T228" i="1"/>
  <c r="I187" i="1"/>
  <c r="J235" i="1" s="1"/>
  <c r="G134" i="1"/>
  <c r="O187" i="1"/>
  <c r="G113" i="1"/>
  <c r="N113" i="1"/>
  <c r="N134" i="1"/>
  <c r="T187" i="1"/>
  <c r="U235" i="1" s="1"/>
  <c r="N160" i="1"/>
  <c r="C160" i="1"/>
  <c r="H146" i="1"/>
  <c r="H118" i="1" s="1"/>
  <c r="L160" i="1"/>
  <c r="J128" i="1"/>
  <c r="J111" i="1"/>
  <c r="S133" i="1"/>
  <c r="S115" i="1"/>
  <c r="S160" i="1"/>
  <c r="B160" i="1"/>
  <c r="H187" i="1"/>
  <c r="C91" i="1"/>
  <c r="C174" i="1"/>
  <c r="K187" i="1"/>
  <c r="D187" i="1"/>
  <c r="T160" i="1"/>
  <c r="T59" i="1" s="1"/>
  <c r="M199" i="1"/>
  <c r="O154" i="1"/>
  <c r="L228" i="1"/>
  <c r="N199" i="1"/>
  <c r="D91" i="1"/>
  <c r="D133" i="1" s="1"/>
  <c r="F174" i="1"/>
  <c r="J187" i="1"/>
  <c r="G146" i="1"/>
  <c r="D228" i="1"/>
  <c r="W154" i="1"/>
  <c r="W199" i="1"/>
  <c r="E228" i="1"/>
  <c r="E160" i="1"/>
  <c r="V199" i="1"/>
  <c r="P154" i="1"/>
  <c r="Q187" i="1"/>
  <c r="E154" i="1"/>
  <c r="M160" i="1"/>
  <c r="K160" i="1"/>
  <c r="J199" i="1"/>
  <c r="G154" i="1"/>
  <c r="H228" i="1"/>
  <c r="F199" i="1"/>
  <c r="O160" i="1"/>
  <c r="Q129" i="1"/>
  <c r="Q133" i="1"/>
  <c r="Q130" i="1"/>
  <c r="Q134" i="1"/>
  <c r="J115" i="1"/>
  <c r="Q112" i="1"/>
  <c r="E113" i="1"/>
  <c r="T133" i="1"/>
  <c r="AZ179" i="1"/>
  <c r="AZ180" i="1"/>
  <c r="BA180" i="1" s="1"/>
  <c r="BP181" i="1"/>
  <c r="BQ181" i="1" s="1"/>
  <c r="BP99" i="1"/>
  <c r="BR185" i="1"/>
  <c r="BF100" i="1"/>
  <c r="AZ178" i="1"/>
  <c r="BA178" i="1" s="1"/>
  <c r="AZ143" i="1"/>
  <c r="BA143" i="1" s="1"/>
  <c r="BF173" i="1"/>
  <c r="BG173" i="1" s="1"/>
  <c r="AZ157" i="1"/>
  <c r="AP169" i="1"/>
  <c r="AQ169" i="1" s="1"/>
  <c r="AQ99" i="1"/>
  <c r="BP153" i="1"/>
  <c r="BQ153" i="1" s="1"/>
  <c r="AZ186" i="1"/>
  <c r="BG99" i="1"/>
  <c r="AZ168" i="1"/>
  <c r="BA168" i="1" s="1"/>
  <c r="BP170" i="1"/>
  <c r="BP205" i="1" s="1"/>
  <c r="BQ205" i="1" s="1"/>
  <c r="AZ161" i="1"/>
  <c r="BA161" i="1" s="1"/>
  <c r="AZ173" i="1"/>
  <c r="BA173" i="1" s="1"/>
  <c r="BD100" i="1"/>
  <c r="AN148" i="1"/>
  <c r="AO148" i="1" s="1"/>
  <c r="AZ171" i="1"/>
  <c r="AZ206" i="1" s="1"/>
  <c r="BA206" i="1" s="1"/>
  <c r="BP171" i="1"/>
  <c r="BP206" i="1" s="1"/>
  <c r="BQ206" i="1" s="1"/>
  <c r="AZ170" i="1"/>
  <c r="AZ205" i="1" s="1"/>
  <c r="BA205" i="1" s="1"/>
  <c r="BP143" i="1"/>
  <c r="BQ143" i="1" s="1"/>
  <c r="BP158" i="1"/>
  <c r="BD190" i="1"/>
  <c r="BE190" i="1" s="1"/>
  <c r="AZ166" i="1"/>
  <c r="BA166" i="1" s="1"/>
  <c r="AN186" i="1"/>
  <c r="AN152" i="1"/>
  <c r="AO152" i="1" s="1"/>
  <c r="AR99" i="1"/>
  <c r="BP175" i="1"/>
  <c r="BQ175" i="1" s="1"/>
  <c r="BO99" i="1"/>
  <c r="BF186" i="1"/>
  <c r="AZ152" i="1"/>
  <c r="BA152" i="1" s="1"/>
  <c r="BF171" i="1"/>
  <c r="BS99" i="1"/>
  <c r="AZ148" i="1"/>
  <c r="BA148" i="1" s="1"/>
  <c r="BD189" i="1"/>
  <c r="BE189" i="1" s="1"/>
  <c r="BB180" i="1"/>
  <c r="BC180" i="1" s="1"/>
  <c r="AZ159" i="1"/>
  <c r="AZ181" i="1"/>
  <c r="BA181" i="1" s="1"/>
  <c r="AZ153" i="1"/>
  <c r="BA153" i="1" s="1"/>
  <c r="AY99" i="1"/>
  <c r="BB177" i="1"/>
  <c r="BC177" i="1" s="1"/>
  <c r="AZ177" i="1"/>
  <c r="BA177" i="1" s="1"/>
  <c r="BF168" i="1"/>
  <c r="BG168" i="1" s="1"/>
  <c r="BD171" i="1"/>
  <c r="BT180" i="1"/>
  <c r="BU180" i="1" s="1"/>
  <c r="AZ158" i="1"/>
  <c r="AS99" i="1"/>
  <c r="AT206" i="1"/>
  <c r="AU206" i="1" s="1"/>
  <c r="AZ189" i="1"/>
  <c r="BA189" i="1" s="1"/>
  <c r="AZ176" i="1"/>
  <c r="BA176" i="1" s="1"/>
  <c r="BF145" i="1"/>
  <c r="AZ190" i="1"/>
  <c r="BA190" i="1" s="1"/>
  <c r="BP148" i="1"/>
  <c r="BQ148" i="1" s="1"/>
  <c r="AZ175" i="1"/>
  <c r="BA175" i="1" s="1"/>
  <c r="AN185" i="1"/>
  <c r="AZ163" i="1"/>
  <c r="BA163" i="1" s="1"/>
  <c r="AN178" i="1"/>
  <c r="AO178" i="1" s="1"/>
  <c r="BD99" i="1"/>
  <c r="AR176" i="1"/>
  <c r="AS176" i="1" s="1"/>
  <c r="AN180" i="1"/>
  <c r="AO180" i="1" s="1"/>
  <c r="BP180" i="1"/>
  <c r="BQ180" i="1" s="1"/>
  <c r="BS100" i="1"/>
  <c r="BR150" i="1"/>
  <c r="BS150" i="1" s="1"/>
  <c r="AZ172" i="1"/>
  <c r="BA172" i="1" s="1"/>
  <c r="BF170" i="1"/>
  <c r="BR166" i="1"/>
  <c r="AZ150" i="1"/>
  <c r="BA150" i="1" s="1"/>
  <c r="BD170" i="1"/>
  <c r="BB170" i="1"/>
  <c r="AZ100" i="1"/>
  <c r="BD159" i="1"/>
  <c r="BF175" i="1"/>
  <c r="BG175" i="1" s="1"/>
  <c r="BP186" i="1"/>
  <c r="BR173" i="1"/>
  <c r="BS173" i="1" s="1"/>
  <c r="BR148" i="1"/>
  <c r="BS148" i="1" s="1"/>
  <c r="BB185" i="1"/>
  <c r="BR157" i="1"/>
  <c r="BB181" i="1"/>
  <c r="BC181" i="1" s="1"/>
  <c r="AZ185" i="1"/>
  <c r="AP177" i="1"/>
  <c r="AQ177" i="1" s="1"/>
  <c r="AZ151" i="1"/>
  <c r="BA151" i="1" s="1"/>
  <c r="BP144" i="1"/>
  <c r="BQ144" i="1" s="1"/>
  <c r="BF185" i="1"/>
  <c r="BT148" i="1"/>
  <c r="BU148" i="1" s="1"/>
  <c r="BT152" i="1"/>
  <c r="BU152" i="1" s="1"/>
  <c r="AU100" i="1"/>
  <c r="BB144" i="1"/>
  <c r="BC144" i="1" s="1"/>
  <c r="AZ99" i="1"/>
  <c r="AR159" i="1"/>
  <c r="AP185" i="1"/>
  <c r="AP173" i="1"/>
  <c r="AQ173" i="1" s="1"/>
  <c r="AR157" i="1"/>
  <c r="BD158" i="1"/>
  <c r="AP180" i="1"/>
  <c r="AQ180" i="1" s="1"/>
  <c r="AR177" i="1"/>
  <c r="AS177" i="1" s="1"/>
  <c r="AN99" i="1"/>
  <c r="BF163" i="1"/>
  <c r="BG163" i="1" s="1"/>
  <c r="BD163" i="1"/>
  <c r="BE163" i="1" s="1"/>
  <c r="BB163" i="1"/>
  <c r="BC163" i="1" s="1"/>
  <c r="BB169" i="1"/>
  <c r="BD169" i="1"/>
  <c r="AZ169" i="1"/>
  <c r="BK278" i="1"/>
  <c r="AT257" i="1"/>
  <c r="AM74" i="1"/>
  <c r="AZ257" i="1"/>
  <c r="AR279" i="1"/>
  <c r="AZ278" i="1"/>
  <c r="BR36" i="1"/>
  <c r="AW279" i="1"/>
  <c r="K113" i="1"/>
  <c r="AT279" i="1"/>
  <c r="BK279" i="1"/>
  <c r="BK220" i="1"/>
  <c r="BK59" i="1"/>
  <c r="BK229" i="1"/>
  <c r="BK227" i="1" s="1"/>
  <c r="BI220" i="1"/>
  <c r="AZ279" i="1"/>
  <c r="AZ220" i="1"/>
  <c r="BG36" i="1"/>
  <c r="AW278" i="1"/>
  <c r="AW257" i="1"/>
  <c r="Q113" i="1"/>
  <c r="E112" i="1"/>
  <c r="L112" i="1"/>
  <c r="C182" i="1"/>
  <c r="H160" i="1"/>
  <c r="H164" i="1" s="1"/>
  <c r="R160" i="1"/>
  <c r="V160" i="1"/>
  <c r="P199" i="1"/>
  <c r="N154" i="1"/>
  <c r="Q182" i="1"/>
  <c r="M146" i="1"/>
  <c r="M201" i="1" s="1"/>
  <c r="B154" i="1"/>
  <c r="I154" i="1"/>
  <c r="C228" i="1"/>
  <c r="P146" i="1"/>
  <c r="V154" i="1"/>
  <c r="C146" i="1"/>
  <c r="L199" i="1"/>
  <c r="N182" i="1"/>
  <c r="N211" i="1" s="1"/>
  <c r="N210" i="1" s="1"/>
  <c r="I182" i="1"/>
  <c r="M154" i="1"/>
  <c r="L122" i="1"/>
  <c r="BT278" i="1"/>
  <c r="H154" i="1"/>
  <c r="T146" i="1"/>
  <c r="R182" i="1"/>
  <c r="Q160" i="1"/>
  <c r="J146" i="1"/>
  <c r="R146" i="1"/>
  <c r="R118" i="1" s="1"/>
  <c r="D146" i="1"/>
  <c r="J154" i="1"/>
  <c r="F146" i="1"/>
  <c r="AP52" i="1"/>
  <c r="Q146" i="1"/>
  <c r="H199" i="1"/>
  <c r="U187" i="1"/>
  <c r="V235" i="1" s="1"/>
  <c r="B146" i="1"/>
  <c r="U160" i="1"/>
  <c r="W228" i="1"/>
  <c r="BH160" i="1"/>
  <c r="AN278" i="1"/>
  <c r="H174" i="1"/>
  <c r="G199" i="1"/>
  <c r="I199" i="1"/>
  <c r="G187" i="1"/>
  <c r="W160" i="1"/>
  <c r="J174" i="1"/>
  <c r="BF278" i="1"/>
  <c r="BF36" i="1"/>
  <c r="BN124" i="1"/>
  <c r="BN125" i="1" s="1"/>
  <c r="AR124" i="1"/>
  <c r="AR125" i="1" s="1"/>
  <c r="BA36" i="1"/>
  <c r="BA42" i="1" s="1"/>
  <c r="BA52" i="1"/>
  <c r="BQ278" i="1"/>
  <c r="BP52" i="1"/>
  <c r="BR124" i="1"/>
  <c r="BR125" i="1" s="1"/>
  <c r="BN52" i="1"/>
  <c r="AP36" i="1"/>
  <c r="BC36" i="1"/>
  <c r="BI278" i="1"/>
  <c r="BW36" i="1"/>
  <c r="BI154" i="1"/>
  <c r="AI52" i="1"/>
  <c r="BH146" i="1"/>
  <c r="BH118" i="1" s="1"/>
  <c r="BH122" i="1" s="1"/>
  <c r="AU278" i="1"/>
  <c r="BW154" i="1"/>
  <c r="BA278" i="1"/>
  <c r="BO52" i="1"/>
  <c r="BU36" i="1"/>
  <c r="BF52" i="1"/>
  <c r="T199" i="1"/>
  <c r="T115" i="1"/>
  <c r="T111" i="1"/>
  <c r="T128" i="1"/>
  <c r="P133" i="1"/>
  <c r="P112" i="1"/>
  <c r="P129" i="1"/>
  <c r="W129" i="1"/>
  <c r="W133" i="1"/>
  <c r="L133" i="1"/>
  <c r="L129" i="1"/>
  <c r="L115" i="1"/>
  <c r="E129" i="1"/>
  <c r="E115" i="1"/>
  <c r="E133" i="1"/>
  <c r="M134" i="1"/>
  <c r="M113" i="1"/>
  <c r="K130" i="1"/>
  <c r="R133" i="1"/>
  <c r="R129" i="1"/>
  <c r="R112" i="1"/>
  <c r="H205" i="1"/>
  <c r="M115" i="1"/>
  <c r="M133" i="1"/>
  <c r="M112" i="1"/>
  <c r="J134" i="1"/>
  <c r="J113" i="1"/>
  <c r="R199" i="1"/>
  <c r="J228" i="1"/>
  <c r="I228" i="1"/>
  <c r="N133" i="1"/>
  <c r="F133" i="1"/>
  <c r="F115" i="1"/>
  <c r="F129" i="1"/>
  <c r="F112" i="1"/>
  <c r="F128" i="1"/>
  <c r="F111" i="1"/>
  <c r="E134" i="1"/>
  <c r="E130" i="1"/>
  <c r="P134" i="1"/>
  <c r="P113" i="1"/>
  <c r="P130" i="1"/>
  <c r="U112" i="1"/>
  <c r="U133" i="1"/>
  <c r="U129" i="1"/>
  <c r="K133" i="1"/>
  <c r="K129" i="1"/>
  <c r="I133" i="1"/>
  <c r="I115" i="1"/>
  <c r="I129" i="1"/>
  <c r="U199" i="1"/>
  <c r="F228" i="1"/>
  <c r="X228" i="1"/>
  <c r="J133" i="1"/>
  <c r="J129" i="1"/>
  <c r="J112" i="1"/>
  <c r="H134" i="1"/>
  <c r="H130" i="1"/>
  <c r="M180" i="1"/>
  <c r="G133" i="1"/>
  <c r="G129" i="1"/>
  <c r="G112" i="1"/>
  <c r="BT205" i="1"/>
  <c r="BU205" i="1" s="1"/>
  <c r="BT209" i="1"/>
  <c r="BU209" i="1" s="1"/>
  <c r="BF209" i="1"/>
  <c r="BG209" i="1" s="1"/>
  <c r="BT206" i="1"/>
  <c r="BU206" i="1" s="1"/>
  <c r="BC100" i="1"/>
  <c r="AI63" i="1"/>
  <c r="AP220" i="1"/>
  <c r="BO278" i="1"/>
  <c r="BC124" i="1"/>
  <c r="BC125" i="1" s="1"/>
  <c r="BQ257" i="1"/>
  <c r="BB220" i="1"/>
  <c r="BN257" i="1"/>
  <c r="BK52" i="1"/>
  <c r="BU278" i="1"/>
  <c r="AI229" i="1"/>
  <c r="AI227" i="1" s="1"/>
  <c r="BO36" i="1"/>
  <c r="AT36" i="1"/>
  <c r="BO257" i="1"/>
  <c r="AT52" i="1"/>
  <c r="BT279" i="1"/>
  <c r="AI36" i="1"/>
  <c r="AY52" i="1"/>
  <c r="AU36" i="1"/>
  <c r="BE36" i="1"/>
  <c r="BM59" i="1"/>
  <c r="BR220" i="1"/>
  <c r="AU279" i="1"/>
  <c r="BF279" i="1"/>
  <c r="AI59" i="1"/>
  <c r="BH36" i="1"/>
  <c r="AX279" i="1"/>
  <c r="BH205" i="1"/>
  <c r="BI205" i="1" s="1"/>
  <c r="AN36" i="1"/>
  <c r="AN257" i="1"/>
  <c r="AN124" i="1"/>
  <c r="AN125" i="1" s="1"/>
  <c r="BO279" i="1"/>
  <c r="AO52" i="1"/>
  <c r="BN59" i="1"/>
  <c r="BN220" i="1"/>
  <c r="AQ279" i="1"/>
  <c r="BB257" i="1"/>
  <c r="BB36" i="1"/>
  <c r="BF257" i="1"/>
  <c r="AN279" i="1"/>
  <c r="BC278" i="1"/>
  <c r="BB278" i="1"/>
  <c r="BG278" i="1"/>
  <c r="AX257" i="1"/>
  <c r="BT257" i="1"/>
  <c r="BT36" i="1"/>
  <c r="AS220" i="1"/>
  <c r="H113" i="1"/>
  <c r="M130" i="1"/>
  <c r="M128" i="1"/>
  <c r="V112" i="1"/>
  <c r="I112" i="1"/>
  <c r="S111" i="1"/>
  <c r="L111" i="1"/>
  <c r="R228" i="1"/>
  <c r="AX52" i="1"/>
  <c r="AR52" i="1"/>
  <c r="AQ52" i="1"/>
  <c r="BD52" i="1"/>
  <c r="BB124" i="1"/>
  <c r="BB125" i="1" s="1"/>
  <c r="BB128" i="1" s="1"/>
  <c r="BE279" i="1"/>
  <c r="AP124" i="1"/>
  <c r="AP125" i="1" s="1"/>
  <c r="AO124" i="1"/>
  <c r="AO125" i="1" s="1"/>
  <c r="BR279" i="1"/>
  <c r="BM279" i="1"/>
  <c r="BU124" i="1"/>
  <c r="BU125" i="1" s="1"/>
  <c r="BG124" i="1"/>
  <c r="BG125" i="1" s="1"/>
  <c r="BK63" i="1"/>
  <c r="AX278" i="1"/>
  <c r="BI52" i="1"/>
  <c r="BM36" i="1"/>
  <c r="BH279" i="1"/>
  <c r="BM229" i="1"/>
  <c r="BM227" i="1" s="1"/>
  <c r="BH278" i="1"/>
  <c r="AS52" i="1"/>
  <c r="AW52" i="1"/>
  <c r="BG52" i="1"/>
  <c r="BW278" i="1"/>
  <c r="BC52" i="1"/>
  <c r="BU52" i="1"/>
  <c r="BC279" i="1"/>
  <c r="BI124" i="1"/>
  <c r="BI125" i="1" s="1"/>
  <c r="BI129" i="1" s="1"/>
  <c r="BR278" i="1"/>
  <c r="BH206" i="1"/>
  <c r="BI206" i="1" s="1"/>
  <c r="BH124" i="1"/>
  <c r="BH125" i="1" s="1"/>
  <c r="BH129" i="1" s="1"/>
  <c r="AO278" i="1"/>
  <c r="BR209" i="1"/>
  <c r="BS209" i="1" s="1"/>
  <c r="BB206" i="1"/>
  <c r="BC206" i="1" s="1"/>
  <c r="BH209" i="1"/>
  <c r="BI209" i="1" s="1"/>
  <c r="AQ124" i="1"/>
  <c r="AQ125" i="1" s="1"/>
  <c r="AQ130" i="1" s="1"/>
  <c r="BI279" i="1"/>
  <c r="BK124" i="1"/>
  <c r="BK125" i="1" s="1"/>
  <c r="BK130" i="1" s="1"/>
  <c r="BQ124" i="1"/>
  <c r="BQ125" i="1" s="1"/>
  <c r="BQ128" i="1" s="1"/>
  <c r="BD257" i="1"/>
  <c r="BO124" i="1"/>
  <c r="BO125" i="1" s="1"/>
  <c r="BO128" i="1" s="1"/>
  <c r="BN279" i="1"/>
  <c r="BT52" i="1"/>
  <c r="BV52" i="1"/>
  <c r="BJ54" i="1"/>
  <c r="BJ55" i="1" s="1"/>
  <c r="BW52" i="1"/>
  <c r="AN52" i="1"/>
  <c r="AO257" i="1"/>
  <c r="BE124" i="1"/>
  <c r="BE125" i="1" s="1"/>
  <c r="BE130" i="1" s="1"/>
  <c r="BW257" i="1"/>
  <c r="BF124" i="1"/>
  <c r="BF125" i="1" s="1"/>
  <c r="BF130" i="1" s="1"/>
  <c r="BM124" i="1"/>
  <c r="BM125" i="1" s="1"/>
  <c r="BM130" i="1" s="1"/>
  <c r="AQ278" i="1"/>
  <c r="BQ279" i="1"/>
  <c r="BD124" i="1"/>
  <c r="BD125" i="1" s="1"/>
  <c r="BD129" i="1" s="1"/>
  <c r="BI36" i="1"/>
  <c r="AZ124" i="1"/>
  <c r="AZ125" i="1" s="1"/>
  <c r="AZ128" i="1" s="1"/>
  <c r="BD279" i="1"/>
  <c r="BP124" i="1"/>
  <c r="BP125" i="1" s="1"/>
  <c r="BP130" i="1" s="1"/>
  <c r="BQ36" i="1"/>
  <c r="BQ42" i="1" s="1"/>
  <c r="AO279" i="1"/>
  <c r="AN59" i="1"/>
  <c r="AY36" i="1"/>
  <c r="BN209" i="1"/>
  <c r="BO209" i="1" s="1"/>
  <c r="AO36" i="1"/>
  <c r="BD278" i="1"/>
  <c r="BH52" i="1"/>
  <c r="BA124" i="1"/>
  <c r="BA125" i="1" s="1"/>
  <c r="BA129" i="1" s="1"/>
  <c r="AP205" i="1"/>
  <c r="AQ205" i="1" s="1"/>
  <c r="BN205" i="1"/>
  <c r="BO205" i="1" s="1"/>
  <c r="BB52" i="1"/>
  <c r="BM278" i="1"/>
  <c r="AQ36" i="1"/>
  <c r="AQ42" i="1" s="1"/>
  <c r="AV52" i="1"/>
  <c r="BN36" i="1"/>
  <c r="BE52" i="1"/>
  <c r="AZ52" i="1"/>
  <c r="AS279" i="1"/>
  <c r="BL124" i="1"/>
  <c r="BL125" i="1" s="1"/>
  <c r="BL128" i="1" s="1"/>
  <c r="AY257" i="1"/>
  <c r="BT124" i="1"/>
  <c r="BT125" i="1" s="1"/>
  <c r="BT128" i="1" s="1"/>
  <c r="BM257" i="1"/>
  <c r="BJ124" i="1"/>
  <c r="BJ125" i="1" s="1"/>
  <c r="BJ128" i="1" s="1"/>
  <c r="BD209" i="1"/>
  <c r="BE209" i="1" s="1"/>
  <c r="BD206" i="1"/>
  <c r="BE206" i="1" s="1"/>
  <c r="BN206" i="1"/>
  <c r="BO206" i="1" s="1"/>
  <c r="AU52" i="1"/>
  <c r="BI143" i="1"/>
  <c r="BI228" i="1"/>
  <c r="BV146" i="1"/>
  <c r="BV118" i="1" s="1"/>
  <c r="BV154" i="1"/>
  <c r="BV174" i="1"/>
  <c r="BV208" i="1" s="1"/>
  <c r="BV187" i="1"/>
  <c r="BW235" i="1" s="1"/>
  <c r="BW228" i="1"/>
  <c r="BH228" i="1"/>
  <c r="BV160" i="1"/>
  <c r="BV164" i="1" s="1"/>
  <c r="U182" i="1"/>
  <c r="J182" i="1"/>
  <c r="J211" i="1" s="1"/>
  <c r="T182" i="1"/>
  <c r="T211" i="1" s="1"/>
  <c r="T210" i="1" s="1"/>
  <c r="H111" i="1"/>
  <c r="BA279" i="1"/>
  <c r="AS124" i="1"/>
  <c r="AS125" i="1" s="1"/>
  <c r="AS130" i="1" s="1"/>
  <c r="BS278" i="1"/>
  <c r="AU124" i="1"/>
  <c r="AU125" i="1" s="1"/>
  <c r="AU129" i="1" s="1"/>
  <c r="AR205" i="1"/>
  <c r="AS205" i="1" s="1"/>
  <c r="I174" i="1"/>
  <c r="I208" i="1" s="1"/>
  <c r="I207" i="1" s="1"/>
  <c r="H182" i="1"/>
  <c r="H211" i="1" s="1"/>
  <c r="H210" i="1" s="1"/>
  <c r="S228" i="1"/>
  <c r="V182" i="1"/>
  <c r="V211" i="1" s="1"/>
  <c r="Q174" i="1"/>
  <c r="O182" i="1"/>
  <c r="O211" i="1" s="1"/>
  <c r="D154" i="1"/>
  <c r="N146" i="1"/>
  <c r="I160" i="1"/>
  <c r="R174" i="1"/>
  <c r="B174" i="1"/>
  <c r="G160" i="1"/>
  <c r="L113" i="1"/>
  <c r="AR36" i="1"/>
  <c r="AR42" i="1" s="1"/>
  <c r="B182" i="1"/>
  <c r="B211" i="1" s="1"/>
  <c r="B210" i="1" s="1"/>
  <c r="P182" i="1"/>
  <c r="P211" i="1" s="1"/>
  <c r="P210" i="1" s="1"/>
  <c r="G182" i="1"/>
  <c r="G211" i="1" s="1"/>
  <c r="AS278" i="1"/>
  <c r="Q111" i="1"/>
  <c r="BP220" i="1"/>
  <c r="BS36" i="1"/>
  <c r="AV206" i="1"/>
  <c r="AW206" i="1" s="1"/>
  <c r="F130" i="1"/>
  <c r="V228" i="1"/>
  <c r="AV124" i="1"/>
  <c r="AV125" i="1" s="1"/>
  <c r="AV128" i="1" s="1"/>
  <c r="BU279" i="1"/>
  <c r="AX124" i="1"/>
  <c r="AX125" i="1" s="1"/>
  <c r="AX130" i="1" s="1"/>
  <c r="BV124" i="1"/>
  <c r="BV125" i="1" s="1"/>
  <c r="BV130" i="1" s="1"/>
  <c r="BM63" i="1"/>
  <c r="AR209" i="1"/>
  <c r="F113" i="1"/>
  <c r="L154" i="1"/>
  <c r="BR52" i="1"/>
  <c r="E174" i="1"/>
  <c r="V146" i="1"/>
  <c r="P174" i="1"/>
  <c r="T154" i="1"/>
  <c r="E199" i="1"/>
  <c r="K199" i="1"/>
  <c r="J160" i="1"/>
  <c r="Q228" i="1"/>
  <c r="K174" i="1"/>
  <c r="U154" i="1"/>
  <c r="O199" i="1"/>
  <c r="S146" i="1"/>
  <c r="U174" i="1"/>
  <c r="U208" i="1" s="1"/>
  <c r="G174" i="1"/>
  <c r="G208" i="1" s="1"/>
  <c r="G207" i="1" s="1"/>
  <c r="S199" i="1"/>
  <c r="AT124" i="1"/>
  <c r="AT125" i="1" s="1"/>
  <c r="AT129" i="1" s="1"/>
  <c r="BG279" i="1"/>
  <c r="L174" i="1"/>
  <c r="AV279" i="1"/>
  <c r="AV278" i="1"/>
  <c r="AR278" i="1"/>
  <c r="AY279" i="1"/>
  <c r="O115" i="1"/>
  <c r="R154" i="1"/>
  <c r="R63" i="1" s="1"/>
  <c r="AW124" i="1"/>
  <c r="AW125" i="1" s="1"/>
  <c r="AW129" i="1" s="1"/>
  <c r="BS124" i="1"/>
  <c r="BS125" i="1" s="1"/>
  <c r="BS128" i="1" s="1"/>
  <c r="O133" i="1"/>
  <c r="N228" i="1"/>
  <c r="K111" i="1"/>
  <c r="AY124" i="1"/>
  <c r="AY125" i="1" s="1"/>
  <c r="AY130" i="1" s="1"/>
  <c r="AV209" i="1"/>
  <c r="AW209" i="1" s="1"/>
  <c r="V133" i="1"/>
  <c r="AS36" i="1"/>
  <c r="AS42" i="1" s="1"/>
  <c r="BS279" i="1"/>
  <c r="AV36" i="1"/>
  <c r="D182" i="1"/>
  <c r="S182" i="1"/>
  <c r="K182" i="1"/>
  <c r="BV206" i="1"/>
  <c r="BW206" i="1" s="1"/>
  <c r="BV205" i="1"/>
  <c r="BW205" i="1" s="1"/>
  <c r="BJ53" i="1"/>
  <c r="BX124" i="1"/>
  <c r="BX125" i="1" s="1"/>
  <c r="BX129" i="1" s="1"/>
  <c r="BJ43" i="1"/>
  <c r="BV182" i="1"/>
  <c r="BV211" i="1" s="1"/>
  <c r="BV279" i="1"/>
  <c r="BH154" i="1"/>
  <c r="BH182" i="1"/>
  <c r="BH211" i="1" s="1"/>
  <c r="L182" i="1"/>
  <c r="L211" i="1" s="1"/>
  <c r="L210" i="1" s="1"/>
  <c r="E182" i="1"/>
  <c r="F182" i="1"/>
  <c r="F211" i="1" s="1"/>
  <c r="F210" i="1" s="1"/>
  <c r="BY124" i="1"/>
  <c r="BY125" i="1" s="1"/>
  <c r="BY128" i="1" s="1"/>
  <c r="BV278" i="1"/>
  <c r="BV209" i="1"/>
  <c r="BW209" i="1" s="1"/>
  <c r="BW124" i="1"/>
  <c r="BW125" i="1" s="1"/>
  <c r="BW129" i="1" s="1"/>
  <c r="BV36" i="1"/>
  <c r="BV42" i="1" s="1"/>
  <c r="N112" i="1"/>
  <c r="V174" i="1"/>
  <c r="L134" i="1"/>
  <c r="H133" i="1"/>
  <c r="H129" i="1"/>
  <c r="AV205" i="1"/>
  <c r="AW205" i="1" s="1"/>
  <c r="T174" i="1"/>
  <c r="M174" i="1"/>
  <c r="M208" i="1" s="1"/>
  <c r="M207" i="1" s="1"/>
  <c r="E146" i="1"/>
  <c r="BH174" i="1"/>
  <c r="BH208" i="1" s="1"/>
  <c r="D174" i="1"/>
  <c r="U111" i="1"/>
  <c r="S154" i="1"/>
  <c r="S63" i="1" s="1"/>
  <c r="G128" i="1"/>
  <c r="F154" i="1"/>
  <c r="F63" i="1" s="1"/>
  <c r="P228" i="1"/>
  <c r="R111" i="1"/>
  <c r="N174" i="1"/>
  <c r="N187" i="1"/>
  <c r="K154" i="1"/>
  <c r="T129" i="1"/>
  <c r="T112" i="1"/>
  <c r="O146" i="1"/>
  <c r="L201" i="1"/>
  <c r="L80" i="1"/>
  <c r="L120" i="1"/>
  <c r="L121" i="1"/>
  <c r="DD103" i="1"/>
  <c r="BD187" i="1"/>
  <c r="BE235" i="1" s="1"/>
  <c r="D59" i="1"/>
  <c r="D164" i="1"/>
  <c r="AV187" i="1"/>
  <c r="AW235" i="1" s="1"/>
  <c r="BN187" i="1"/>
  <c r="BO235" i="1" s="1"/>
  <c r="BT187" i="1"/>
  <c r="BU235" i="1" s="1"/>
  <c r="BE154" i="1"/>
  <c r="AR187" i="1"/>
  <c r="AS235" i="1" s="1"/>
  <c r="AQ166" i="1"/>
  <c r="AW166" i="1"/>
  <c r="AS150" i="1"/>
  <c r="AS154" i="1" s="1"/>
  <c r="AR154" i="1"/>
  <c r="AS143" i="1"/>
  <c r="AR146" i="1"/>
  <c r="BO166" i="1"/>
  <c r="BN228" i="1"/>
  <c r="BF160" i="1"/>
  <c r="AV160" i="1"/>
  <c r="AR206" i="1"/>
  <c r="AS206" i="1" s="1"/>
  <c r="AR174" i="1"/>
  <c r="AR208" i="1" s="1"/>
  <c r="AO143" i="1"/>
  <c r="BC150" i="1"/>
  <c r="BU166" i="1"/>
  <c r="BV228" i="1" s="1"/>
  <c r="BE143" i="1"/>
  <c r="BD146" i="1"/>
  <c r="AU176" i="1"/>
  <c r="AY175" i="1"/>
  <c r="BO150" i="1"/>
  <c r="BO154" i="1" s="1"/>
  <c r="BN154" i="1"/>
  <c r="AW150" i="1"/>
  <c r="AW154" i="1" s="1"/>
  <c r="AV154" i="1"/>
  <c r="BU150" i="1"/>
  <c r="AQ154" i="1"/>
  <c r="BN160" i="1"/>
  <c r="BB160" i="1"/>
  <c r="BN146" i="1"/>
  <c r="AS228" i="1"/>
  <c r="BF154" i="1"/>
  <c r="BE228" i="1"/>
  <c r="BQ228" i="1"/>
  <c r="AP154" i="1"/>
  <c r="BD182" i="1"/>
  <c r="BD211" i="1" s="1"/>
  <c r="BG154" i="1"/>
  <c r="AV182" i="1"/>
  <c r="AV211" i="1" s="1"/>
  <c r="BD154" i="1"/>
  <c r="AV146" i="1"/>
  <c r="AU154" i="1"/>
  <c r="AW169" i="1"/>
  <c r="AV174" i="1"/>
  <c r="BU169" i="1"/>
  <c r="BT174" i="1"/>
  <c r="AU228" i="1"/>
  <c r="AV228" i="1"/>
  <c r="BC228" i="1"/>
  <c r="BD228" i="1"/>
  <c r="AX42" i="1"/>
  <c r="P96" i="1"/>
  <c r="N115" i="1"/>
  <c r="O112" i="1"/>
  <c r="O113" i="1"/>
  <c r="O96" i="1"/>
  <c r="O111" i="1"/>
  <c r="CQ164" i="1"/>
  <c r="CR58" i="1"/>
  <c r="AB58" i="1" s="1"/>
  <c r="AB220" i="1" s="1"/>
  <c r="AB275" i="1"/>
  <c r="CZ91" i="1"/>
  <c r="AD91" i="1" s="1"/>
  <c r="DA89" i="1"/>
  <c r="BR53" i="1" l="1"/>
  <c r="P222" i="1"/>
  <c r="BP42" i="1"/>
  <c r="BP37" i="1"/>
  <c r="BI235" i="1"/>
  <c r="AX205" i="1"/>
  <c r="BB209" i="1"/>
  <c r="AX206" i="1"/>
  <c r="AY206" i="1" s="1"/>
  <c r="AX209" i="1"/>
  <c r="AY209" i="1" s="1"/>
  <c r="AP206" i="1"/>
  <c r="AQ206" i="1" s="1"/>
  <c r="AN206" i="1"/>
  <c r="AO206" i="1" s="1"/>
  <c r="AN209" i="1"/>
  <c r="AO209" i="1" s="1"/>
  <c r="AN205" i="1"/>
  <c r="AO205" i="1" s="1"/>
  <c r="AZ42" i="1"/>
  <c r="AW54" i="1"/>
  <c r="BG53" i="1"/>
  <c r="BR205" i="1"/>
  <c r="BS205" i="1" s="1"/>
  <c r="BD205" i="1"/>
  <c r="BE205" i="1" s="1"/>
  <c r="BQ54" i="1"/>
  <c r="AZ38" i="1"/>
  <c r="AP209" i="1"/>
  <c r="AQ209" i="1" s="1"/>
  <c r="AZ53" i="1"/>
  <c r="BI232" i="1"/>
  <c r="B134" i="1"/>
  <c r="B133" i="1"/>
  <c r="D80" i="1"/>
  <c r="D201" i="1"/>
  <c r="V222" i="1"/>
  <c r="D233" i="1"/>
  <c r="F164" i="1"/>
  <c r="B92" i="1"/>
  <c r="B94" i="1" s="1"/>
  <c r="C155" i="1"/>
  <c r="C81" i="1" s="1"/>
  <c r="C80" i="1"/>
  <c r="I194" i="1"/>
  <c r="I135" i="1" s="1"/>
  <c r="H59" i="1"/>
  <c r="P235" i="1"/>
  <c r="R59" i="1"/>
  <c r="M233" i="1"/>
  <c r="R201" i="1"/>
  <c r="M80" i="1"/>
  <c r="M118" i="1"/>
  <c r="M120" i="1" s="1"/>
  <c r="AR160" i="1"/>
  <c r="AS160" i="1" s="1"/>
  <c r="R80" i="1"/>
  <c r="C63" i="1"/>
  <c r="C275" i="1"/>
  <c r="C277" i="1" s="1"/>
  <c r="C201" i="1"/>
  <c r="H201" i="1"/>
  <c r="C233" i="1"/>
  <c r="U233" i="1"/>
  <c r="U80" i="1"/>
  <c r="U118" i="1"/>
  <c r="J208" i="1"/>
  <c r="J207" i="1" s="1"/>
  <c r="C183" i="1"/>
  <c r="R233" i="1"/>
  <c r="N164" i="1"/>
  <c r="N59" i="1"/>
  <c r="C59" i="1"/>
  <c r="C164" i="1"/>
  <c r="H80" i="1"/>
  <c r="H233" i="1"/>
  <c r="L59" i="1"/>
  <c r="L164" i="1"/>
  <c r="N235" i="1"/>
  <c r="M274" i="1"/>
  <c r="V63" i="1"/>
  <c r="V194" i="1"/>
  <c r="V135" i="1" s="1"/>
  <c r="S208" i="1"/>
  <c r="T118" i="1"/>
  <c r="T274" i="1"/>
  <c r="T201" i="1"/>
  <c r="T80" i="1"/>
  <c r="I201" i="1"/>
  <c r="I80" i="1"/>
  <c r="I274" i="1"/>
  <c r="I233" i="1"/>
  <c r="I118" i="1"/>
  <c r="U164" i="1"/>
  <c r="U59" i="1"/>
  <c r="S59" i="1"/>
  <c r="S164" i="1"/>
  <c r="I235" i="1"/>
  <c r="H274" i="1"/>
  <c r="C133" i="1"/>
  <c r="C92" i="1"/>
  <c r="C134" i="1"/>
  <c r="E235" i="1"/>
  <c r="G235" i="1"/>
  <c r="F208" i="1"/>
  <c r="K235" i="1"/>
  <c r="G80" i="1"/>
  <c r="G118" i="1"/>
  <c r="G201" i="1"/>
  <c r="R235" i="1"/>
  <c r="P164" i="1"/>
  <c r="P59" i="1"/>
  <c r="Q194" i="1"/>
  <c r="Q135" i="1" s="1"/>
  <c r="BF205" i="1"/>
  <c r="BG205" i="1" s="1"/>
  <c r="R164" i="1"/>
  <c r="E59" i="1"/>
  <c r="E164" i="1"/>
  <c r="C208" i="1"/>
  <c r="C207" i="1" s="1"/>
  <c r="L235" i="1"/>
  <c r="K274" i="1"/>
  <c r="T63" i="1"/>
  <c r="O63" i="1"/>
  <c r="O194" i="1"/>
  <c r="O135" i="1" s="1"/>
  <c r="B63" i="1"/>
  <c r="C232" i="1"/>
  <c r="B194" i="1"/>
  <c r="B135" i="1" s="1"/>
  <c r="K80" i="1"/>
  <c r="L233" i="1"/>
  <c r="K201" i="1"/>
  <c r="K118" i="1"/>
  <c r="C194" i="1"/>
  <c r="C135" i="1" s="1"/>
  <c r="D235" i="1"/>
  <c r="C274" i="1"/>
  <c r="W275" i="1"/>
  <c r="W277" i="1" s="1"/>
  <c r="W232" i="1"/>
  <c r="W63" i="1"/>
  <c r="X275" i="1"/>
  <c r="X277" i="1" s="1"/>
  <c r="X232" i="1"/>
  <c r="U274" i="1"/>
  <c r="U201" i="1"/>
  <c r="M164" i="1"/>
  <c r="M59" i="1"/>
  <c r="S233" i="1"/>
  <c r="S80" i="1"/>
  <c r="S118" i="1"/>
  <c r="H208" i="1"/>
  <c r="D92" i="1"/>
  <c r="D134" i="1"/>
  <c r="K208" i="1"/>
  <c r="K207" i="1" s="1"/>
  <c r="I63" i="1"/>
  <c r="I232" i="1"/>
  <c r="J232" i="1"/>
  <c r="Q118" i="1"/>
  <c r="Q80" i="1"/>
  <c r="Q201" i="1"/>
  <c r="K59" i="1"/>
  <c r="K164" i="1"/>
  <c r="W164" i="1"/>
  <c r="X229" i="1" s="1"/>
  <c r="W59" i="1"/>
  <c r="S235" i="1"/>
  <c r="R274" i="1"/>
  <c r="Q233" i="1"/>
  <c r="L208" i="1"/>
  <c r="L222" i="1"/>
  <c r="P208" i="1"/>
  <c r="O208" i="1"/>
  <c r="O207" i="1" s="1"/>
  <c r="I275" i="1"/>
  <c r="I277" i="1" s="1"/>
  <c r="I155" i="1"/>
  <c r="I81" i="1" s="1"/>
  <c r="Q59" i="1"/>
  <c r="Q164" i="1"/>
  <c r="P118" i="1"/>
  <c r="P201" i="1"/>
  <c r="G155" i="1"/>
  <c r="G81" i="1" s="1"/>
  <c r="G63" i="1"/>
  <c r="G194" i="1"/>
  <c r="G135" i="1" s="1"/>
  <c r="U194" i="1"/>
  <c r="U135" i="1" s="1"/>
  <c r="U63" i="1"/>
  <c r="U155" i="1"/>
  <c r="U81" i="1" s="1"/>
  <c r="V232" i="1"/>
  <c r="S274" i="1"/>
  <c r="S201" i="1"/>
  <c r="Q275" i="1"/>
  <c r="Q277" i="1" s="1"/>
  <c r="R275" i="1"/>
  <c r="R277" i="1" s="1"/>
  <c r="Q232" i="1"/>
  <c r="H222" i="1"/>
  <c r="AX187" i="1"/>
  <c r="AY235" i="1" s="1"/>
  <c r="AX228" i="1"/>
  <c r="AQ168" i="1"/>
  <c r="AU143" i="1"/>
  <c r="AT146" i="1"/>
  <c r="AT118" i="1" s="1"/>
  <c r="AX146" i="1"/>
  <c r="AY143" i="1"/>
  <c r="AY150" i="1"/>
  <c r="AY154" i="1" s="1"/>
  <c r="AX154" i="1"/>
  <c r="BT160" i="1"/>
  <c r="AT160" i="1"/>
  <c r="AP160" i="1"/>
  <c r="AU168" i="1"/>
  <c r="AT174" i="1"/>
  <c r="BC143" i="1"/>
  <c r="AO150" i="1"/>
  <c r="AN146" i="1"/>
  <c r="BC154" i="1"/>
  <c r="BB154" i="1"/>
  <c r="AT182" i="1"/>
  <c r="AT211" i="1" s="1"/>
  <c r="AT210" i="1" s="1"/>
  <c r="AX182" i="1"/>
  <c r="AX211" i="1" s="1"/>
  <c r="AO168" i="1"/>
  <c r="AN174" i="1"/>
  <c r="AO166" i="1"/>
  <c r="AN228" i="1"/>
  <c r="BS143" i="1"/>
  <c r="BR146" i="1"/>
  <c r="BR118" i="1" s="1"/>
  <c r="BF228" i="1"/>
  <c r="AT228" i="1"/>
  <c r="AI212" i="1"/>
  <c r="AN160" i="1"/>
  <c r="AX160" i="1"/>
  <c r="AT187" i="1"/>
  <c r="AU235" i="1" s="1"/>
  <c r="BT146" i="1"/>
  <c r="BR182" i="1"/>
  <c r="BR211" i="1" s="1"/>
  <c r="AP146" i="1"/>
  <c r="AP118" i="1" s="1"/>
  <c r="BN182" i="1"/>
  <c r="BN211" i="1" s="1"/>
  <c r="AT154" i="1"/>
  <c r="AI210" i="1"/>
  <c r="BG169" i="1"/>
  <c r="BO169" i="1"/>
  <c r="BN174" i="1"/>
  <c r="AY169" i="1"/>
  <c r="AX174" i="1"/>
  <c r="BS169" i="1"/>
  <c r="AY228" i="1"/>
  <c r="BK38" i="1"/>
  <c r="BL38" i="1"/>
  <c r="BK42" i="1"/>
  <c r="AM78" i="1"/>
  <c r="AM145" i="1"/>
  <c r="AM146" i="1" s="1"/>
  <c r="AM155" i="1" s="1"/>
  <c r="AM219" i="1"/>
  <c r="AM221" i="1" s="1"/>
  <c r="AM92" i="1"/>
  <c r="AM95" i="1" s="1"/>
  <c r="BD37" i="1"/>
  <c r="BD42" i="1"/>
  <c r="AW43" i="1"/>
  <c r="BR42" i="1"/>
  <c r="BG228" i="1"/>
  <c r="AI207" i="1"/>
  <c r="AL128" i="1"/>
  <c r="AL129" i="1"/>
  <c r="BZ129" i="1"/>
  <c r="BZ128" i="1"/>
  <c r="BZ130" i="1"/>
  <c r="AX38" i="1"/>
  <c r="BG42" i="1"/>
  <c r="H272" i="1"/>
  <c r="H270" i="1"/>
  <c r="D223" i="1"/>
  <c r="S223" i="1"/>
  <c r="BH210" i="1"/>
  <c r="U207" i="1"/>
  <c r="AN187" i="1"/>
  <c r="AO235" i="1" s="1"/>
  <c r="C211" i="1"/>
  <c r="I211" i="1"/>
  <c r="Q211" i="1"/>
  <c r="R223" i="1"/>
  <c r="BR160" i="1"/>
  <c r="BA169" i="1"/>
  <c r="BI160" i="1"/>
  <c r="BH274" i="1"/>
  <c r="BI59" i="1"/>
  <c r="I136" i="1"/>
  <c r="I139" i="1" s="1"/>
  <c r="B59" i="1"/>
  <c r="B164" i="1"/>
  <c r="AZ209" i="1"/>
  <c r="BA209" i="1" s="1"/>
  <c r="BF206" i="1"/>
  <c r="BG206" i="1" s="1"/>
  <c r="BN38" i="1"/>
  <c r="BH164" i="1"/>
  <c r="BW275" i="1"/>
  <c r="U183" i="1"/>
  <c r="U222" i="1"/>
  <c r="F233" i="1"/>
  <c r="D222" i="1"/>
  <c r="K275" i="1"/>
  <c r="K277" i="1" s="1"/>
  <c r="F272" i="1"/>
  <c r="N80" i="1"/>
  <c r="O233" i="1"/>
  <c r="N118" i="1"/>
  <c r="N121" i="1" s="1"/>
  <c r="N201" i="1"/>
  <c r="T164" i="1"/>
  <c r="D275" i="1"/>
  <c r="D277" i="1" s="1"/>
  <c r="R194" i="1"/>
  <c r="R135" i="1" s="1"/>
  <c r="R155" i="1"/>
  <c r="R81" i="1" s="1"/>
  <c r="J222" i="1"/>
  <c r="K222" i="1"/>
  <c r="T233" i="1"/>
  <c r="J59" i="1"/>
  <c r="J164" i="1"/>
  <c r="BS154" i="1"/>
  <c r="P155" i="1"/>
  <c r="P81" i="1" s="1"/>
  <c r="P232" i="1"/>
  <c r="P194" i="1"/>
  <c r="P135" i="1" s="1"/>
  <c r="P275" i="1"/>
  <c r="P277" i="1" s="1"/>
  <c r="P63" i="1"/>
  <c r="H235" i="1"/>
  <c r="G274" i="1"/>
  <c r="T208" i="1"/>
  <c r="T183" i="1"/>
  <c r="F232" i="1"/>
  <c r="E194" i="1"/>
  <c r="E135" i="1" s="1"/>
  <c r="E63" i="1"/>
  <c r="O275" i="1"/>
  <c r="O277" i="1" s="1"/>
  <c r="N155" i="1"/>
  <c r="N81" i="1" s="1"/>
  <c r="N275" i="1"/>
  <c r="N277" i="1" s="1"/>
  <c r="N63" i="1"/>
  <c r="N232" i="1"/>
  <c r="N194" i="1"/>
  <c r="N135" i="1" s="1"/>
  <c r="L194" i="1"/>
  <c r="L135" i="1" s="1"/>
  <c r="L63" i="1"/>
  <c r="P233" i="1"/>
  <c r="P80" i="1"/>
  <c r="P274" i="1"/>
  <c r="B208" i="1"/>
  <c r="C222" i="1"/>
  <c r="O164" i="1"/>
  <c r="O59" i="1"/>
  <c r="M235" i="1"/>
  <c r="L274" i="1"/>
  <c r="V118" i="1"/>
  <c r="V80" i="1"/>
  <c r="V155" i="1"/>
  <c r="V81" i="1" s="1"/>
  <c r="Q63" i="1"/>
  <c r="R122" i="1"/>
  <c r="R120" i="1"/>
  <c r="H121" i="1"/>
  <c r="H122" i="1"/>
  <c r="H120" i="1"/>
  <c r="M63" i="1"/>
  <c r="M155" i="1"/>
  <c r="M81" i="1" s="1"/>
  <c r="M194" i="1"/>
  <c r="M135" i="1" s="1"/>
  <c r="V164" i="1"/>
  <c r="V59" i="1"/>
  <c r="AZ160" i="1"/>
  <c r="BP160" i="1"/>
  <c r="BP187" i="1"/>
  <c r="BQ235" i="1" s="1"/>
  <c r="BB187" i="1"/>
  <c r="AZ187" i="1"/>
  <c r="BA235" i="1" s="1"/>
  <c r="BH120" i="1"/>
  <c r="BH121" i="1"/>
  <c r="BJ60" i="1"/>
  <c r="BJ64" i="1" s="1"/>
  <c r="BJ258" i="1"/>
  <c r="BJ259" i="1" s="1"/>
  <c r="AT42" i="1"/>
  <c r="BB205" i="1"/>
  <c r="BC205" i="1" s="1"/>
  <c r="BW53" i="1"/>
  <c r="BU251" i="1"/>
  <c r="N233" i="1"/>
  <c r="S232" i="1"/>
  <c r="S194" i="1"/>
  <c r="S135" i="1" s="1"/>
  <c r="D274" i="1"/>
  <c r="D194" i="1"/>
  <c r="D135" i="1" s="1"/>
  <c r="D136" i="1" s="1"/>
  <c r="D139" i="1" s="1"/>
  <c r="F118" i="1"/>
  <c r="T194" i="1"/>
  <c r="T135" i="1" s="1"/>
  <c r="O232" i="1"/>
  <c r="J274" i="1"/>
  <c r="G233" i="1"/>
  <c r="J63" i="1"/>
  <c r="J194" i="1"/>
  <c r="J135" i="1" s="1"/>
  <c r="J275" i="1"/>
  <c r="J277" i="1" s="1"/>
  <c r="J155" i="1"/>
  <c r="J81" i="1" s="1"/>
  <c r="H232" i="1"/>
  <c r="H63" i="1"/>
  <c r="H194" i="1"/>
  <c r="H135" i="1" s="1"/>
  <c r="H155" i="1"/>
  <c r="H81" i="1" s="1"/>
  <c r="Q274" i="1"/>
  <c r="V275" i="1"/>
  <c r="V277" i="1" s="1"/>
  <c r="K233" i="1"/>
  <c r="H275" i="1"/>
  <c r="H277" i="1" s="1"/>
  <c r="J201" i="1"/>
  <c r="J118" i="1"/>
  <c r="J80" i="1"/>
  <c r="J233" i="1"/>
  <c r="B201" i="1"/>
  <c r="B80" i="1"/>
  <c r="B274" i="1"/>
  <c r="T155" i="1"/>
  <c r="T81" i="1" s="1"/>
  <c r="B155" i="1"/>
  <c r="B81" i="1" s="1"/>
  <c r="M222" i="1"/>
  <c r="I183" i="1"/>
  <c r="Q183" i="1"/>
  <c r="AP174" i="1"/>
  <c r="AP208" i="1" s="1"/>
  <c r="BF187" i="1"/>
  <c r="BG235" i="1" s="1"/>
  <c r="BD160" i="1"/>
  <c r="R211" i="1"/>
  <c r="BB146" i="1"/>
  <c r="BB118" i="1" s="1"/>
  <c r="AO154" i="1"/>
  <c r="AN154" i="1"/>
  <c r="AX210" i="1"/>
  <c r="BS166" i="1"/>
  <c r="BR228" i="1"/>
  <c r="BU154" i="1"/>
  <c r="BT154" i="1"/>
  <c r="AP187" i="1"/>
  <c r="BT182" i="1"/>
  <c r="BT211" i="1" s="1"/>
  <c r="AZ146" i="1"/>
  <c r="BR187" i="1"/>
  <c r="AR182" i="1"/>
  <c r="BP182" i="1"/>
  <c r="BP211" i="1" s="1"/>
  <c r="BP210" i="1" s="1"/>
  <c r="BP174" i="1"/>
  <c r="BP208" i="1" s="1"/>
  <c r="BP207" i="1" s="1"/>
  <c r="AZ154" i="1"/>
  <c r="BB182" i="1"/>
  <c r="BB211" i="1" s="1"/>
  <c r="BP146" i="1"/>
  <c r="BP118" i="1" s="1"/>
  <c r="BP120" i="1" s="1"/>
  <c r="AN182" i="1"/>
  <c r="AN211" i="1" s="1"/>
  <c r="BP154" i="1"/>
  <c r="BA154" i="1"/>
  <c r="AP182" i="1"/>
  <c r="BF182" i="1"/>
  <c r="BF211" i="1" s="1"/>
  <c r="BF146" i="1"/>
  <c r="BQ154" i="1"/>
  <c r="BR154" i="1"/>
  <c r="AZ182" i="1"/>
  <c r="AZ211" i="1" s="1"/>
  <c r="BK37" i="1"/>
  <c r="BC169" i="1"/>
  <c r="BB174" i="1"/>
  <c r="BF174" i="1"/>
  <c r="BE169" i="1"/>
  <c r="BD174" i="1"/>
  <c r="BR174" i="1"/>
  <c r="AZ174" i="1"/>
  <c r="O84" i="1"/>
  <c r="BB228" i="1"/>
  <c r="BA228" i="1"/>
  <c r="BK53" i="1"/>
  <c r="AW53" i="1"/>
  <c r="AZ228" i="1"/>
  <c r="BE53" i="1"/>
  <c r="AT38" i="1"/>
  <c r="AT53" i="1"/>
  <c r="AP251" i="1"/>
  <c r="AQ38" i="1"/>
  <c r="AP42" i="1"/>
  <c r="AP37" i="1"/>
  <c r="BA53" i="1"/>
  <c r="BQ53" i="1"/>
  <c r="AP53" i="1"/>
  <c r="CB214" i="1"/>
  <c r="X84" i="1"/>
  <c r="BW42" i="1"/>
  <c r="BZ270" i="1"/>
  <c r="CA37" i="1"/>
  <c r="BZ251" i="1"/>
  <c r="BX38" i="1"/>
  <c r="BD38" i="1"/>
  <c r="BG37" i="1"/>
  <c r="BR210" i="1"/>
  <c r="BD210" i="1"/>
  <c r="BC128" i="1"/>
  <c r="BC130" i="1"/>
  <c r="BC129" i="1"/>
  <c r="BF129" i="1"/>
  <c r="AU128" i="1"/>
  <c r="BU128" i="1"/>
  <c r="BH130" i="1"/>
  <c r="BI130" i="1"/>
  <c r="BI128" i="1"/>
  <c r="AW130" i="1"/>
  <c r="AO128" i="1"/>
  <c r="AO130" i="1"/>
  <c r="AO129" i="1"/>
  <c r="BT53" i="1"/>
  <c r="BV53" i="1"/>
  <c r="BJ214" i="1"/>
  <c r="BH53" i="1"/>
  <c r="BB53" i="1"/>
  <c r="U232" i="1"/>
  <c r="M182" i="1"/>
  <c r="M183" i="1" s="1"/>
  <c r="AX251" i="1"/>
  <c r="K223" i="1"/>
  <c r="E183" i="1"/>
  <c r="D232" i="1"/>
  <c r="D155" i="1"/>
  <c r="D81" i="1" s="1"/>
  <c r="D63" i="1"/>
  <c r="E232" i="1"/>
  <c r="O274" i="1"/>
  <c r="F194" i="1"/>
  <c r="F135" i="1" s="1"/>
  <c r="F274" i="1"/>
  <c r="F80" i="1"/>
  <c r="F155" i="1"/>
  <c r="F81" i="1" s="1"/>
  <c r="F201" i="1"/>
  <c r="G222" i="1"/>
  <c r="E208" i="1"/>
  <c r="E207" i="1" s="1"/>
  <c r="F222" i="1"/>
  <c r="G164" i="1"/>
  <c r="G59" i="1"/>
  <c r="I59" i="1"/>
  <c r="I164" i="1"/>
  <c r="T222" i="1"/>
  <c r="F275" i="1"/>
  <c r="F277" i="1" s="1"/>
  <c r="G232" i="1"/>
  <c r="G275" i="1"/>
  <c r="G277" i="1" s="1"/>
  <c r="Q222" i="1"/>
  <c r="Q208" i="1"/>
  <c r="Q207" i="1" s="1"/>
  <c r="R222" i="1"/>
  <c r="I222" i="1"/>
  <c r="M232" i="1"/>
  <c r="L155" i="1"/>
  <c r="L81" i="1" s="1"/>
  <c r="V233" i="1"/>
  <c r="V274" i="1"/>
  <c r="N222" i="1"/>
  <c r="O222" i="1"/>
  <c r="R208" i="1"/>
  <c r="R207" i="1" s="1"/>
  <c r="S222" i="1"/>
  <c r="V201" i="1"/>
  <c r="Q155" i="1"/>
  <c r="Q81" i="1" s="1"/>
  <c r="R232" i="1"/>
  <c r="N208" i="1"/>
  <c r="N183" i="1"/>
  <c r="R121" i="1"/>
  <c r="M275" i="1"/>
  <c r="M277" i="1" s="1"/>
  <c r="R183" i="1"/>
  <c r="BM53" i="1"/>
  <c r="BN129" i="1"/>
  <c r="BN130" i="1"/>
  <c r="BN128" i="1"/>
  <c r="BM251" i="1"/>
  <c r="BM37" i="1"/>
  <c r="BR128" i="1"/>
  <c r="BR130" i="1"/>
  <c r="BR129" i="1"/>
  <c r="BU37" i="1"/>
  <c r="BP129" i="1"/>
  <c r="BU53" i="1"/>
  <c r="BU42" i="1"/>
  <c r="BU130" i="1"/>
  <c r="BU129" i="1"/>
  <c r="BM42" i="1"/>
  <c r="BM38" i="1"/>
  <c r="BA37" i="1"/>
  <c r="BA38" i="1"/>
  <c r="AI53" i="1"/>
  <c r="AW37" i="1"/>
  <c r="BJ37" i="1"/>
  <c r="BF42" i="1"/>
  <c r="BF54" i="1" s="1"/>
  <c r="BC53" i="1"/>
  <c r="AY214" i="1"/>
  <c r="AY205" i="1"/>
  <c r="AS209" i="1"/>
  <c r="BY37" i="1"/>
  <c r="BU214" i="1"/>
  <c r="BE38" i="1"/>
  <c r="BG251" i="1"/>
  <c r="BH37" i="1"/>
  <c r="BD53" i="1"/>
  <c r="BG128" i="1"/>
  <c r="BG130" i="1"/>
  <c r="BG129" i="1"/>
  <c r="BV38" i="1"/>
  <c r="BJ275" i="1"/>
  <c r="BJ232" i="1"/>
  <c r="BO37" i="1"/>
  <c r="BP38" i="1"/>
  <c r="BO53" i="1"/>
  <c r="BO42" i="1"/>
  <c r="BX232" i="1"/>
  <c r="BX275" i="1"/>
  <c r="BW232" i="1"/>
  <c r="BW130" i="1"/>
  <c r="AT37" i="1"/>
  <c r="AW251" i="1"/>
  <c r="AU38" i="1"/>
  <c r="BV37" i="1"/>
  <c r="BS38" i="1"/>
  <c r="BV43" i="1"/>
  <c r="BZ44" i="1"/>
  <c r="N84" i="1"/>
  <c r="AL270" i="1"/>
  <c r="AJ38" i="1"/>
  <c r="AM37" i="1"/>
  <c r="AL251" i="1"/>
  <c r="AI42" i="1"/>
  <c r="BT129" i="1"/>
  <c r="BA54" i="1"/>
  <c r="BA43" i="1"/>
  <c r="BI214" i="1"/>
  <c r="BA44" i="1"/>
  <c r="BP214" i="1"/>
  <c r="BC209" i="1"/>
  <c r="AY37" i="1"/>
  <c r="AU42" i="1"/>
  <c r="AU53" i="1"/>
  <c r="BV194" i="1"/>
  <c r="BS42" i="1"/>
  <c r="BT38" i="1"/>
  <c r="BE42" i="1"/>
  <c r="BE44" i="1" s="1"/>
  <c r="BE214" i="1"/>
  <c r="BF38" i="1"/>
  <c r="BE37" i="1"/>
  <c r="BC42" i="1"/>
  <c r="BC37" i="1"/>
  <c r="BD128" i="1"/>
  <c r="T84" i="1"/>
  <c r="BL214" i="1"/>
  <c r="BH214" i="1"/>
  <c r="BF53" i="1"/>
  <c r="BF251" i="1"/>
  <c r="BF214" i="1"/>
  <c r="BK129" i="1"/>
  <c r="BT214" i="1"/>
  <c r="AY38" i="1"/>
  <c r="BI251" i="1"/>
  <c r="BG38" i="1"/>
  <c r="AZ43" i="1"/>
  <c r="BP53" i="1"/>
  <c r="BZ37" i="1"/>
  <c r="BZ214" i="1"/>
  <c r="BK214" i="1"/>
  <c r="BH251" i="1"/>
  <c r="S84" i="1"/>
  <c r="AS53" i="1"/>
  <c r="AN53" i="1"/>
  <c r="Q84" i="1"/>
  <c r="AP38" i="1"/>
  <c r="BA251" i="1"/>
  <c r="AU214" i="1"/>
  <c r="BJ38" i="1"/>
  <c r="BQ129" i="1"/>
  <c r="AX53" i="1"/>
  <c r="BH207" i="1"/>
  <c r="AQ129" i="1"/>
  <c r="BL129" i="1"/>
  <c r="BB38" i="1"/>
  <c r="BB214" i="1"/>
  <c r="R84" i="1"/>
  <c r="BD251" i="1"/>
  <c r="BB42" i="1"/>
  <c r="BN42" i="1"/>
  <c r="AN128" i="1"/>
  <c r="AN129" i="1"/>
  <c r="AN130" i="1"/>
  <c r="BM129" i="1"/>
  <c r="AR128" i="1"/>
  <c r="AR129" i="1"/>
  <c r="AR130" i="1"/>
  <c r="U84" i="1"/>
  <c r="BE251" i="1"/>
  <c r="AQ128" i="1"/>
  <c r="BX37" i="1"/>
  <c r="BU38" i="1"/>
  <c r="BT42" i="1"/>
  <c r="BY214" i="1"/>
  <c r="BW251" i="1"/>
  <c r="AX214" i="1"/>
  <c r="BB37" i="1"/>
  <c r="AZ251" i="1"/>
  <c r="AV129" i="1"/>
  <c r="AX128" i="1"/>
  <c r="AX37" i="1"/>
  <c r="BC38" i="1"/>
  <c r="BP251" i="1"/>
  <c r="BC251" i="1"/>
  <c r="BB130" i="1"/>
  <c r="BB129" i="1"/>
  <c r="AO37" i="1"/>
  <c r="AS37" i="1"/>
  <c r="BX270" i="1"/>
  <c r="CA214" i="1"/>
  <c r="BW38" i="1"/>
  <c r="BY251" i="1"/>
  <c r="BX251" i="1"/>
  <c r="AV42" i="1"/>
  <c r="AW38" i="1"/>
  <c r="AN37" i="1"/>
  <c r="AO251" i="1"/>
  <c r="AN42" i="1"/>
  <c r="AN38" i="1"/>
  <c r="AN251" i="1"/>
  <c r="AO38" i="1"/>
  <c r="BH42" i="1"/>
  <c r="BL37" i="1"/>
  <c r="BT37" i="1"/>
  <c r="BB251" i="1"/>
  <c r="BO214" i="1"/>
  <c r="BA128" i="1"/>
  <c r="BG214" i="1"/>
  <c r="BJ251" i="1"/>
  <c r="BH38" i="1"/>
  <c r="BW214" i="1"/>
  <c r="AP128" i="1"/>
  <c r="AP130" i="1"/>
  <c r="AP129" i="1"/>
  <c r="BF37" i="1"/>
  <c r="AN214" i="1"/>
  <c r="BO38" i="1"/>
  <c r="BM128" i="1"/>
  <c r="BR214" i="1"/>
  <c r="BN214" i="1"/>
  <c r="BK251" i="1"/>
  <c r="BI37" i="1"/>
  <c r="BI42" i="1"/>
  <c r="BI43" i="1" s="1"/>
  <c r="BO130" i="1"/>
  <c r="BV54" i="1"/>
  <c r="BN251" i="1"/>
  <c r="AS128" i="1"/>
  <c r="BO251" i="1"/>
  <c r="AY129" i="1"/>
  <c r="BQ251" i="1"/>
  <c r="BR37" i="1"/>
  <c r="BN37" i="1"/>
  <c r="BL130" i="1"/>
  <c r="AV251" i="1"/>
  <c r="BD130" i="1"/>
  <c r="BL270" i="1"/>
  <c r="BX128" i="1"/>
  <c r="V84" i="1"/>
  <c r="BV214" i="1"/>
  <c r="BP128" i="1"/>
  <c r="BO129" i="1"/>
  <c r="BQ38" i="1"/>
  <c r="BQ37" i="1"/>
  <c r="BJ130" i="1"/>
  <c r="AY42" i="1"/>
  <c r="AY53" i="1"/>
  <c r="BF128" i="1"/>
  <c r="U211" i="1"/>
  <c r="U210" i="1" s="1"/>
  <c r="AR54" i="1"/>
  <c r="AR55" i="1" s="1"/>
  <c r="BA130" i="1"/>
  <c r="BN53" i="1"/>
  <c r="BI53" i="1"/>
  <c r="BL251" i="1"/>
  <c r="BV128" i="1"/>
  <c r="BJ270" i="1"/>
  <c r="BC214" i="1"/>
  <c r="BI38" i="1"/>
  <c r="BH128" i="1"/>
  <c r="BM214" i="1"/>
  <c r="AY251" i="1"/>
  <c r="BR38" i="1"/>
  <c r="BQ214" i="1"/>
  <c r="BR251" i="1"/>
  <c r="BD214" i="1"/>
  <c r="BS130" i="1"/>
  <c r="BJ129" i="1"/>
  <c r="AT214" i="1"/>
  <c r="AQ53" i="1"/>
  <c r="BW160" i="1"/>
  <c r="AU130" i="1"/>
  <c r="BW59" i="1"/>
  <c r="AV38" i="1"/>
  <c r="AZ37" i="1"/>
  <c r="AV53" i="1"/>
  <c r="AO42" i="1"/>
  <c r="AS44" i="1" s="1"/>
  <c r="AQ37" i="1"/>
  <c r="BE128" i="1"/>
  <c r="AU37" i="1"/>
  <c r="BV251" i="1"/>
  <c r="W84" i="1"/>
  <c r="AZ130" i="1"/>
  <c r="BS37" i="1"/>
  <c r="BX214" i="1"/>
  <c r="BW37" i="1"/>
  <c r="BS251" i="1"/>
  <c r="AT128" i="1"/>
  <c r="BT251" i="1"/>
  <c r="AQ214" i="1"/>
  <c r="AW128" i="1"/>
  <c r="BV183" i="1"/>
  <c r="AQ251" i="1"/>
  <c r="BT130" i="1"/>
  <c r="AS38" i="1"/>
  <c r="BA214" i="1"/>
  <c r="AO53" i="1"/>
  <c r="AO214" i="1"/>
  <c r="AP214" i="1"/>
  <c r="BQ130" i="1"/>
  <c r="AZ214" i="1"/>
  <c r="BE129" i="1"/>
  <c r="AZ129" i="1"/>
  <c r="BK128" i="1"/>
  <c r="BS214" i="1"/>
  <c r="BS53" i="1"/>
  <c r="BW128" i="1"/>
  <c r="BH194" i="1"/>
  <c r="BH155" i="1"/>
  <c r="BH232" i="1"/>
  <c r="AS129" i="1"/>
  <c r="AX129" i="1"/>
  <c r="BX130" i="1"/>
  <c r="BI275" i="1"/>
  <c r="BV274" i="1"/>
  <c r="BS129" i="1"/>
  <c r="AY128" i="1"/>
  <c r="BV129" i="1"/>
  <c r="BV155" i="1"/>
  <c r="V183" i="1"/>
  <c r="Q223" i="1"/>
  <c r="K183" i="1"/>
  <c r="U223" i="1"/>
  <c r="V223" i="1"/>
  <c r="J223" i="1"/>
  <c r="J183" i="1"/>
  <c r="L223" i="1"/>
  <c r="K211" i="1"/>
  <c r="K210" i="1" s="1"/>
  <c r="P183" i="1"/>
  <c r="E223" i="1"/>
  <c r="O183" i="1"/>
  <c r="B183" i="1"/>
  <c r="C223" i="1"/>
  <c r="F183" i="1"/>
  <c r="P223" i="1"/>
  <c r="BY130" i="1"/>
  <c r="AV130" i="1"/>
  <c r="AS214" i="1"/>
  <c r="AT130" i="1"/>
  <c r="AV210" i="1"/>
  <c r="U275" i="1"/>
  <c r="U277" i="1" s="1"/>
  <c r="I223" i="1"/>
  <c r="E155" i="1"/>
  <c r="E81" i="1" s="1"/>
  <c r="K194" i="1"/>
  <c r="K135" i="1" s="1"/>
  <c r="K136" i="1" s="1"/>
  <c r="K139" i="1" s="1"/>
  <c r="BV207" i="1"/>
  <c r="AV214" i="1"/>
  <c r="O223" i="1"/>
  <c r="H183" i="1"/>
  <c r="H191" i="1" s="1"/>
  <c r="K63" i="1"/>
  <c r="P84" i="1"/>
  <c r="AR251" i="1"/>
  <c r="AS251" i="1"/>
  <c r="K155" i="1"/>
  <c r="K81" i="1" s="1"/>
  <c r="L183" i="1"/>
  <c r="AW214" i="1"/>
  <c r="AR53" i="1"/>
  <c r="AV37" i="1"/>
  <c r="AR214" i="1"/>
  <c r="AT251" i="1"/>
  <c r="AU251" i="1"/>
  <c r="G223" i="1"/>
  <c r="L232" i="1"/>
  <c r="K232" i="1"/>
  <c r="AR38" i="1"/>
  <c r="AR37" i="1"/>
  <c r="G183" i="1"/>
  <c r="H223" i="1"/>
  <c r="BY129" i="1"/>
  <c r="BV210" i="1"/>
  <c r="D211" i="1"/>
  <c r="BV212" i="1"/>
  <c r="BZ215" i="1" s="1"/>
  <c r="T223" i="1"/>
  <c r="S211" i="1"/>
  <c r="S210" i="1" s="1"/>
  <c r="S183" i="1"/>
  <c r="F223" i="1"/>
  <c r="BH212" i="1"/>
  <c r="BL215" i="1" s="1"/>
  <c r="E211" i="1"/>
  <c r="E210" i="1" s="1"/>
  <c r="BH183" i="1"/>
  <c r="L275" i="1"/>
  <c r="L277" i="1" s="1"/>
  <c r="T275" i="1"/>
  <c r="T277" i="1" s="1"/>
  <c r="S275" i="1"/>
  <c r="S277" i="1" s="1"/>
  <c r="O118" i="1"/>
  <c r="O201" i="1"/>
  <c r="O80" i="1"/>
  <c r="V208" i="1"/>
  <c r="V207" i="1" s="1"/>
  <c r="O155" i="1"/>
  <c r="O81" i="1" s="1"/>
  <c r="O235" i="1"/>
  <c r="N274" i="1"/>
  <c r="E201" i="1"/>
  <c r="E233" i="1"/>
  <c r="E80" i="1"/>
  <c r="E118" i="1"/>
  <c r="D183" i="1"/>
  <c r="D191" i="1" s="1"/>
  <c r="T232" i="1"/>
  <c r="D208" i="1"/>
  <c r="D207" i="1" s="1"/>
  <c r="E222" i="1"/>
  <c r="S155" i="1"/>
  <c r="S81" i="1" s="1"/>
  <c r="AE103" i="1"/>
  <c r="AW228" i="1"/>
  <c r="AR207" i="1"/>
  <c r="BU228" i="1"/>
  <c r="AR228" i="1"/>
  <c r="AQ228" i="1"/>
  <c r="J210" i="1"/>
  <c r="AV194" i="1"/>
  <c r="AQ275" i="1"/>
  <c r="AV275" i="1"/>
  <c r="AR232" i="1"/>
  <c r="AR275" i="1"/>
  <c r="BC59" i="1"/>
  <c r="BB164" i="1"/>
  <c r="BC160" i="1"/>
  <c r="AV232" i="1"/>
  <c r="V210" i="1"/>
  <c r="BN194" i="1"/>
  <c r="BN155" i="1"/>
  <c r="G212" i="1"/>
  <c r="G210" i="1"/>
  <c r="O210" i="1"/>
  <c r="AS232" i="1"/>
  <c r="AS275" i="1"/>
  <c r="AR194" i="1"/>
  <c r="AS63" i="1" s="1"/>
  <c r="AR155" i="1"/>
  <c r="AR118" i="1"/>
  <c r="BG160" i="1"/>
  <c r="BG59" i="1"/>
  <c r="BF164" i="1"/>
  <c r="AW59" i="1"/>
  <c r="AV164" i="1"/>
  <c r="AW160" i="1"/>
  <c r="BN164" i="1"/>
  <c r="BO160" i="1"/>
  <c r="BO59" i="1"/>
  <c r="BN274" i="1"/>
  <c r="BN118" i="1"/>
  <c r="BF232" i="1"/>
  <c r="AR274" i="1"/>
  <c r="BO228" i="1"/>
  <c r="BP228" i="1"/>
  <c r="BD118" i="1"/>
  <c r="BD274" i="1"/>
  <c r="BO232" i="1"/>
  <c r="BO275" i="1"/>
  <c r="BN275" i="1"/>
  <c r="BN232" i="1"/>
  <c r="AW275" i="1"/>
  <c r="AW232" i="1"/>
  <c r="BD155" i="1"/>
  <c r="BE275" i="1"/>
  <c r="BE232" i="1"/>
  <c r="BD194" i="1"/>
  <c r="AV118" i="1"/>
  <c r="AV274" i="1"/>
  <c r="AQ232" i="1"/>
  <c r="BG275" i="1"/>
  <c r="BH275" i="1"/>
  <c r="BF275" i="1"/>
  <c r="AV155" i="1"/>
  <c r="BG232" i="1"/>
  <c r="AV208" i="1"/>
  <c r="AV212" i="1" s="1"/>
  <c r="AV183" i="1"/>
  <c r="BT208" i="1"/>
  <c r="BV122" i="1"/>
  <c r="BV121" i="1"/>
  <c r="BV120" i="1"/>
  <c r="BQ43" i="1"/>
  <c r="BQ60" i="1"/>
  <c r="BQ64" i="1" s="1"/>
  <c r="BQ55" i="1"/>
  <c r="BQ258" i="1"/>
  <c r="BQ259" i="1" s="1"/>
  <c r="AS164" i="1"/>
  <c r="AT59" i="1"/>
  <c r="AS43" i="1"/>
  <c r="AS54" i="1"/>
  <c r="AW44" i="1"/>
  <c r="AR43" i="1"/>
  <c r="AS45" i="1"/>
  <c r="BP54" i="1"/>
  <c r="BP44" i="1"/>
  <c r="BP43" i="1"/>
  <c r="BQ45" i="1"/>
  <c r="AW258" i="1"/>
  <c r="AW259" i="1" s="1"/>
  <c r="AW55" i="1"/>
  <c r="AW60" i="1"/>
  <c r="AW64" i="1" s="1"/>
  <c r="AX45" i="1"/>
  <c r="AX43" i="1"/>
  <c r="AX54" i="1"/>
  <c r="BV270" i="1"/>
  <c r="BV272" i="1"/>
  <c r="AQ54" i="1"/>
  <c r="AQ44" i="1"/>
  <c r="AQ43" i="1"/>
  <c r="AR45" i="1"/>
  <c r="CR220" i="1"/>
  <c r="CR158" i="1"/>
  <c r="AB158" i="1" s="1"/>
  <c r="AB160" i="1" s="1"/>
  <c r="AB59" i="1" s="1"/>
  <c r="CQ229" i="1"/>
  <c r="CQ227" i="1" s="1"/>
  <c r="AB232" i="1"/>
  <c r="DB89" i="1"/>
  <c r="DA91" i="1"/>
  <c r="P270" i="1" l="1"/>
  <c r="X227" i="1"/>
  <c r="R229" i="1"/>
  <c r="R227" i="1" s="1"/>
  <c r="BA45" i="1"/>
  <c r="AZ54" i="1"/>
  <c r="V224" i="1"/>
  <c r="V225" i="1" s="1"/>
  <c r="P191" i="1"/>
  <c r="F191" i="1"/>
  <c r="P224" i="1"/>
  <c r="P225" i="1" s="1"/>
  <c r="L191" i="1"/>
  <c r="F270" i="1"/>
  <c r="S191" i="1"/>
  <c r="R191" i="1"/>
  <c r="R270" i="1"/>
  <c r="R272" i="1"/>
  <c r="BV44" i="1"/>
  <c r="M122" i="1"/>
  <c r="I137" i="1"/>
  <c r="I140" i="1" s="1"/>
  <c r="B95" i="1"/>
  <c r="M121" i="1"/>
  <c r="P272" i="1"/>
  <c r="AS59" i="1"/>
  <c r="AR164" i="1"/>
  <c r="AR270" i="1" s="1"/>
  <c r="C191" i="1"/>
  <c r="C270" i="1" s="1"/>
  <c r="U121" i="1"/>
  <c r="U122" i="1"/>
  <c r="U120" i="1"/>
  <c r="N272" i="1"/>
  <c r="N270" i="1"/>
  <c r="L270" i="1"/>
  <c r="L272" i="1"/>
  <c r="U270" i="1"/>
  <c r="U272" i="1"/>
  <c r="S272" i="1"/>
  <c r="S270" i="1"/>
  <c r="C94" i="1"/>
  <c r="C95" i="1"/>
  <c r="F207" i="1"/>
  <c r="F212" i="1"/>
  <c r="S207" i="1"/>
  <c r="T120" i="1"/>
  <c r="T121" i="1"/>
  <c r="T122" i="1"/>
  <c r="D229" i="1"/>
  <c r="D227" i="1" s="1"/>
  <c r="V137" i="1"/>
  <c r="V140" i="1" s="1"/>
  <c r="V136" i="1"/>
  <c r="V139" i="1" s="1"/>
  <c r="I120" i="1"/>
  <c r="I122" i="1"/>
  <c r="I121" i="1"/>
  <c r="G122" i="1"/>
  <c r="G121" i="1"/>
  <c r="G120" i="1"/>
  <c r="Q137" i="1"/>
  <c r="Q140" i="1" s="1"/>
  <c r="Q136" i="1"/>
  <c r="Q139" i="1" s="1"/>
  <c r="J212" i="1"/>
  <c r="AY54" i="1"/>
  <c r="AY43" i="1"/>
  <c r="AZ45" i="1"/>
  <c r="AS57" i="1"/>
  <c r="BI54" i="1"/>
  <c r="BJ45" i="1"/>
  <c r="AZ55" i="1"/>
  <c r="AZ258" i="1"/>
  <c r="AZ259" i="1" s="1"/>
  <c r="AZ60" i="1"/>
  <c r="AZ64" i="1" s="1"/>
  <c r="BH54" i="1"/>
  <c r="BH43" i="1"/>
  <c r="BL44" i="1"/>
  <c r="AR258" i="1"/>
  <c r="AR259" i="1" s="1"/>
  <c r="AN54" i="1"/>
  <c r="AN44" i="1"/>
  <c r="AR44" i="1"/>
  <c r="AN45" i="1"/>
  <c r="AN43" i="1"/>
  <c r="AV54" i="1"/>
  <c r="AV43" i="1"/>
  <c r="AW45" i="1"/>
  <c r="AV44" i="1"/>
  <c r="AZ44" i="1"/>
  <c r="AR60" i="1"/>
  <c r="AR64" i="1" s="1"/>
  <c r="AY45" i="1"/>
  <c r="AO43" i="1"/>
  <c r="BH272" i="1"/>
  <c r="BH270" i="1"/>
  <c r="BJ59" i="1"/>
  <c r="BI164" i="1"/>
  <c r="BJ229" i="1" s="1"/>
  <c r="BJ227" i="1" s="1"/>
  <c r="V191" i="1"/>
  <c r="V192" i="1" s="1"/>
  <c r="Q224" i="1"/>
  <c r="Q225" i="1" s="1"/>
  <c r="U224" i="1"/>
  <c r="U225" i="1" s="1"/>
  <c r="J224" i="1"/>
  <c r="J225" i="1" s="1"/>
  <c r="L224" i="1"/>
  <c r="L225" i="1" s="1"/>
  <c r="P192" i="1"/>
  <c r="O191" i="1"/>
  <c r="B191" i="1"/>
  <c r="C224" i="1"/>
  <c r="C225" i="1" s="1"/>
  <c r="F192" i="1"/>
  <c r="H224" i="1"/>
  <c r="H225" i="1" s="1"/>
  <c r="C231" i="1"/>
  <c r="C229" i="1"/>
  <c r="C227" i="1" s="1"/>
  <c r="S229" i="1"/>
  <c r="S227" i="1" s="1"/>
  <c r="G136" i="1"/>
  <c r="G139" i="1" s="1"/>
  <c r="G137" i="1"/>
  <c r="G140" i="1" s="1"/>
  <c r="I231" i="1"/>
  <c r="L229" i="1"/>
  <c r="L227" i="1" s="1"/>
  <c r="E270" i="1"/>
  <c r="E272" i="1"/>
  <c r="F229" i="1"/>
  <c r="F227" i="1" s="1"/>
  <c r="O137" i="1"/>
  <c r="O140" i="1" s="1"/>
  <c r="O136" i="1"/>
  <c r="O139" i="1" s="1"/>
  <c r="B136" i="1"/>
  <c r="B139" i="1" s="1"/>
  <c r="B137" i="1"/>
  <c r="B140" i="1" s="1"/>
  <c r="C136" i="1"/>
  <c r="C139" i="1" s="1"/>
  <c r="C137" i="1"/>
  <c r="C140" i="1" s="1"/>
  <c r="N229" i="1"/>
  <c r="N227" i="1" s="1"/>
  <c r="M229" i="1"/>
  <c r="M227" i="1" s="1"/>
  <c r="M270" i="1"/>
  <c r="M272" i="1"/>
  <c r="E229" i="1"/>
  <c r="E227" i="1" s="1"/>
  <c r="L207" i="1"/>
  <c r="L212" i="1"/>
  <c r="K121" i="1"/>
  <c r="K122" i="1"/>
  <c r="K120" i="1"/>
  <c r="H207" i="1"/>
  <c r="H212" i="1"/>
  <c r="Q231" i="1"/>
  <c r="S121" i="1"/>
  <c r="S120" i="1"/>
  <c r="S122" i="1"/>
  <c r="D95" i="1"/>
  <c r="D94" i="1"/>
  <c r="Q121" i="1"/>
  <c r="Q122" i="1"/>
  <c r="Q120" i="1"/>
  <c r="K270" i="1"/>
  <c r="K272" i="1"/>
  <c r="P120" i="1"/>
  <c r="P121" i="1"/>
  <c r="P122" i="1"/>
  <c r="U136" i="1"/>
  <c r="U139" i="1" s="1"/>
  <c r="U137" i="1"/>
  <c r="U140" i="1" s="1"/>
  <c r="P137" i="1"/>
  <c r="P140" i="1" s="1"/>
  <c r="P136" i="1"/>
  <c r="P139" i="1" s="1"/>
  <c r="L137" i="1"/>
  <c r="L140" i="1" s="1"/>
  <c r="L136" i="1"/>
  <c r="L139" i="1" s="1"/>
  <c r="AN118" i="1"/>
  <c r="AN121" i="1" s="1"/>
  <c r="P212" i="1"/>
  <c r="P207" i="1"/>
  <c r="Q272" i="1"/>
  <c r="Q270" i="1"/>
  <c r="Q229" i="1"/>
  <c r="Q227" i="1" s="1"/>
  <c r="E136" i="1"/>
  <c r="E139" i="1" s="1"/>
  <c r="E137" i="1"/>
  <c r="E140" i="1" s="1"/>
  <c r="N137" i="1"/>
  <c r="N140" i="1" s="1"/>
  <c r="N136" i="1"/>
  <c r="N139" i="1" s="1"/>
  <c r="O272" i="1"/>
  <c r="P229" i="1"/>
  <c r="P227" i="1" s="1"/>
  <c r="AO160" i="1"/>
  <c r="AO59" i="1"/>
  <c r="AN164" i="1"/>
  <c r="BC232" i="1"/>
  <c r="BC275" i="1"/>
  <c r="T212" i="1"/>
  <c r="T207" i="1"/>
  <c r="O229" i="1"/>
  <c r="O227" i="1" s="1"/>
  <c r="O270" i="1"/>
  <c r="N212" i="1"/>
  <c r="N207" i="1"/>
  <c r="O212" i="1"/>
  <c r="AT274" i="1"/>
  <c r="AX118" i="1"/>
  <c r="AX274" i="1"/>
  <c r="BU59" i="1"/>
  <c r="BT164" i="1"/>
  <c r="BU160" i="1"/>
  <c r="AQ160" i="1"/>
  <c r="AP164" i="1"/>
  <c r="AQ59" i="1"/>
  <c r="AT208" i="1"/>
  <c r="AT183" i="1"/>
  <c r="AY160" i="1"/>
  <c r="AX164" i="1"/>
  <c r="AY59" i="1"/>
  <c r="AX232" i="1"/>
  <c r="AX194" i="1"/>
  <c r="AX155" i="1"/>
  <c r="AX275" i="1"/>
  <c r="AT164" i="1"/>
  <c r="AU59" i="1"/>
  <c r="AU160" i="1"/>
  <c r="AN208" i="1"/>
  <c r="AP228" i="1"/>
  <c r="AO228" i="1"/>
  <c r="AT155" i="1"/>
  <c r="AT275" i="1"/>
  <c r="AT232" i="1"/>
  <c r="AT194" i="1"/>
  <c r="BD232" i="1"/>
  <c r="BD275" i="1"/>
  <c r="AU232" i="1"/>
  <c r="AU275" i="1"/>
  <c r="AY232" i="1"/>
  <c r="AY275" i="1"/>
  <c r="BT118" i="1"/>
  <c r="BT274" i="1"/>
  <c r="AP155" i="1"/>
  <c r="AP121" i="1"/>
  <c r="AP120" i="1"/>
  <c r="AP122" i="1"/>
  <c r="AX208" i="1"/>
  <c r="AX183" i="1"/>
  <c r="BN208" i="1"/>
  <c r="BN183" i="1"/>
  <c r="BL45" i="1"/>
  <c r="BK43" i="1"/>
  <c r="BK54" i="1"/>
  <c r="BK45" i="1"/>
  <c r="AM80" i="1"/>
  <c r="AM233" i="1"/>
  <c r="AM231" i="1" s="1"/>
  <c r="AM81" i="1"/>
  <c r="AM118" i="1"/>
  <c r="AM112" i="1"/>
  <c r="AM111" i="1"/>
  <c r="AM113" i="1"/>
  <c r="AT44" i="1"/>
  <c r="AP54" i="1"/>
  <c r="AP44" i="1"/>
  <c r="AP43" i="1"/>
  <c r="AT45" i="1"/>
  <c r="BN210" i="1"/>
  <c r="BD54" i="1"/>
  <c r="BD44" i="1"/>
  <c r="BR54" i="1"/>
  <c r="BR45" i="1"/>
  <c r="BR43" i="1"/>
  <c r="AQ45" i="1"/>
  <c r="BH44" i="1"/>
  <c r="AX44" i="1"/>
  <c r="AT122" i="1"/>
  <c r="AT120" i="1"/>
  <c r="BG45" i="1"/>
  <c r="BG44" i="1"/>
  <c r="BG43" i="1"/>
  <c r="BH45" i="1"/>
  <c r="BK44" i="1"/>
  <c r="BW43" i="1"/>
  <c r="CA44" i="1"/>
  <c r="BX45" i="1"/>
  <c r="BW54" i="1"/>
  <c r="BU45" i="1"/>
  <c r="BT54" i="1"/>
  <c r="BX44" i="1"/>
  <c r="BT43" i="1"/>
  <c r="BT44" i="1"/>
  <c r="BR120" i="1"/>
  <c r="P85" i="1"/>
  <c r="BB54" i="1"/>
  <c r="BF44" i="1"/>
  <c r="BJ67" i="1"/>
  <c r="BD43" i="1"/>
  <c r="AT121" i="1"/>
  <c r="BG54" i="1"/>
  <c r="BW45" i="1"/>
  <c r="X85" i="1"/>
  <c r="BR122" i="1"/>
  <c r="BR121" i="1"/>
  <c r="BB43" i="1"/>
  <c r="R85" i="1"/>
  <c r="BB45" i="1"/>
  <c r="BJ66" i="1"/>
  <c r="M191" i="1"/>
  <c r="C210" i="1"/>
  <c r="C212" i="1"/>
  <c r="BS59" i="1"/>
  <c r="BS160" i="1"/>
  <c r="BR164" i="1"/>
  <c r="AN274" i="1"/>
  <c r="AN272" i="1"/>
  <c r="Q212" i="1"/>
  <c r="Q210" i="1"/>
  <c r="I210" i="1"/>
  <c r="I212" i="1"/>
  <c r="V121" i="1"/>
  <c r="V120" i="1"/>
  <c r="V122" i="1"/>
  <c r="BA160" i="1"/>
  <c r="BA59" i="1"/>
  <c r="AZ164" i="1"/>
  <c r="BQ59" i="1"/>
  <c r="BP164" i="1"/>
  <c r="BQ160" i="1"/>
  <c r="BC235" i="1"/>
  <c r="BT210" i="1"/>
  <c r="BB210" i="1"/>
  <c r="BF210" i="1"/>
  <c r="AZ210" i="1"/>
  <c r="AT43" i="1"/>
  <c r="AT54" i="1"/>
  <c r="AP207" i="1"/>
  <c r="H192" i="1"/>
  <c r="K231" i="1"/>
  <c r="T270" i="1"/>
  <c r="BH191" i="1"/>
  <c r="T231" i="1"/>
  <c r="N120" i="1"/>
  <c r="N122" i="1"/>
  <c r="D224" i="1"/>
  <c r="D225" i="1" s="1"/>
  <c r="O231" i="1"/>
  <c r="T272" i="1"/>
  <c r="T191" i="1"/>
  <c r="H231" i="1"/>
  <c r="U191" i="1"/>
  <c r="U192" i="1" s="1"/>
  <c r="R137" i="1"/>
  <c r="R140" i="1" s="1"/>
  <c r="R136" i="1"/>
  <c r="R139" i="1" s="1"/>
  <c r="W229" i="1"/>
  <c r="W227" i="1" s="1"/>
  <c r="J272" i="1"/>
  <c r="J270" i="1"/>
  <c r="K229" i="1"/>
  <c r="K227" i="1" s="1"/>
  <c r="U229" i="1"/>
  <c r="U227" i="1" s="1"/>
  <c r="T229" i="1"/>
  <c r="T227" i="1" s="1"/>
  <c r="S136" i="1"/>
  <c r="S139" i="1" s="1"/>
  <c r="S137" i="1"/>
  <c r="S140" i="1" s="1"/>
  <c r="F120" i="1"/>
  <c r="F121" i="1"/>
  <c r="F122" i="1"/>
  <c r="S231" i="1"/>
  <c r="D137" i="1"/>
  <c r="D140" i="1" s="1"/>
  <c r="F231" i="1"/>
  <c r="T136" i="1"/>
  <c r="T139" i="1" s="1"/>
  <c r="T137" i="1"/>
  <c r="T140" i="1" s="1"/>
  <c r="J136" i="1"/>
  <c r="J139" i="1" s="1"/>
  <c r="J137" i="1"/>
  <c r="J140" i="1" s="1"/>
  <c r="H137" i="1"/>
  <c r="H140" i="1" s="1"/>
  <c r="H136" i="1"/>
  <c r="H139" i="1" s="1"/>
  <c r="J231" i="1"/>
  <c r="BT155" i="1"/>
  <c r="BB155" i="1"/>
  <c r="BE59" i="1"/>
  <c r="BD164" i="1"/>
  <c r="BB121" i="1"/>
  <c r="BB120" i="1"/>
  <c r="AN275" i="1"/>
  <c r="AN232" i="1"/>
  <c r="AN194" i="1"/>
  <c r="AR183" i="1"/>
  <c r="BF194" i="1"/>
  <c r="BP275" i="1"/>
  <c r="BP194" i="1"/>
  <c r="BR155" i="1"/>
  <c r="BS232" i="1"/>
  <c r="BT228" i="1"/>
  <c r="BS228" i="1"/>
  <c r="BV275" i="1"/>
  <c r="BT194" i="1"/>
  <c r="BT232" i="1"/>
  <c r="AZ275" i="1"/>
  <c r="AZ232" i="1"/>
  <c r="J120" i="1"/>
  <c r="J121" i="1"/>
  <c r="J122" i="1"/>
  <c r="Q191" i="1"/>
  <c r="B212" i="1"/>
  <c r="B207" i="1"/>
  <c r="BB194" i="1"/>
  <c r="P231" i="1"/>
  <c r="M137" i="1"/>
  <c r="M140" i="1" s="1"/>
  <c r="M136" i="1"/>
  <c r="M139" i="1" s="1"/>
  <c r="V229" i="1"/>
  <c r="V227" i="1" s="1"/>
  <c r="V270" i="1"/>
  <c r="V272" i="1"/>
  <c r="BE160" i="1"/>
  <c r="R210" i="1"/>
  <c r="BB122" i="1"/>
  <c r="AO275" i="1"/>
  <c r="AO232" i="1"/>
  <c r="AN155" i="1"/>
  <c r="AR211" i="1"/>
  <c r="BP232" i="1"/>
  <c r="BS275" i="1"/>
  <c r="BR194" i="1"/>
  <c r="BB274" i="1"/>
  <c r="AN183" i="1"/>
  <c r="BU275" i="1"/>
  <c r="BU232" i="1"/>
  <c r="BV232" i="1"/>
  <c r="BT275" i="1"/>
  <c r="AZ194" i="1"/>
  <c r="AZ155" i="1"/>
  <c r="AN210" i="1"/>
  <c r="AP232" i="1"/>
  <c r="AP275" i="1"/>
  <c r="BB232" i="1"/>
  <c r="BA275" i="1"/>
  <c r="BB275" i="1"/>
  <c r="BA232" i="1"/>
  <c r="BP212" i="1"/>
  <c r="BP215" i="1" s="1"/>
  <c r="BR232" i="1"/>
  <c r="AQ235" i="1"/>
  <c r="AP274" i="1"/>
  <c r="AZ118" i="1"/>
  <c r="AZ274" i="1"/>
  <c r="BS235" i="1"/>
  <c r="BR274" i="1"/>
  <c r="BF155" i="1"/>
  <c r="AP194" i="1"/>
  <c r="AP211" i="1"/>
  <c r="AP183" i="1"/>
  <c r="BF118" i="1"/>
  <c r="BF274" i="1"/>
  <c r="BP122" i="1"/>
  <c r="BQ275" i="1"/>
  <c r="BP274" i="1"/>
  <c r="BP155" i="1"/>
  <c r="BP183" i="1"/>
  <c r="BQ232" i="1"/>
  <c r="BP121" i="1"/>
  <c r="BB208" i="1"/>
  <c r="BB183" i="1"/>
  <c r="BD208" i="1"/>
  <c r="BD183" i="1"/>
  <c r="BF208" i="1"/>
  <c r="BF183" i="1"/>
  <c r="BT183" i="1"/>
  <c r="BR208" i="1"/>
  <c r="BR212" i="1" s="1"/>
  <c r="BR183" i="1"/>
  <c r="AZ208" i="1"/>
  <c r="AZ183" i="1"/>
  <c r="BA276" i="1"/>
  <c r="N231" i="1"/>
  <c r="BR275" i="1"/>
  <c r="L231" i="1"/>
  <c r="R224" i="1"/>
  <c r="R225" i="1" s="1"/>
  <c r="M223" i="1"/>
  <c r="M224" i="1" s="1"/>
  <c r="M225" i="1" s="1"/>
  <c r="N223" i="1"/>
  <c r="N224" i="1" s="1"/>
  <c r="N225" i="1" s="1"/>
  <c r="M211" i="1"/>
  <c r="M212" i="1" s="1"/>
  <c r="BH135" i="1"/>
  <c r="BI63" i="1"/>
  <c r="BV60" i="1"/>
  <c r="BV64" i="1" s="1"/>
  <c r="BZ56" i="1"/>
  <c r="BV55" i="1"/>
  <c r="BV258" i="1"/>
  <c r="BV259" i="1" s="1"/>
  <c r="BW164" i="1"/>
  <c r="BX59" i="1"/>
  <c r="BV191" i="1"/>
  <c r="BJ56" i="1"/>
  <c r="I224" i="1"/>
  <c r="I225" i="1" s="1"/>
  <c r="O224" i="1"/>
  <c r="O225" i="1" s="1"/>
  <c r="L192" i="1"/>
  <c r="G224" i="1"/>
  <c r="G225" i="1" s="1"/>
  <c r="G191" i="1"/>
  <c r="G192" i="1" s="1"/>
  <c r="D231" i="1"/>
  <c r="D212" i="1"/>
  <c r="T224" i="1"/>
  <c r="T225" i="1" s="1"/>
  <c r="F224" i="1"/>
  <c r="F225" i="1" s="1"/>
  <c r="E231" i="1"/>
  <c r="M231" i="1"/>
  <c r="U231" i="1"/>
  <c r="N191" i="1"/>
  <c r="N192" i="1" s="1"/>
  <c r="J191" i="1"/>
  <c r="J192" i="1" s="1"/>
  <c r="K224" i="1"/>
  <c r="K225" i="1" s="1"/>
  <c r="R231" i="1"/>
  <c r="V231" i="1"/>
  <c r="S224" i="1"/>
  <c r="S225" i="1" s="1"/>
  <c r="G231" i="1"/>
  <c r="F136" i="1"/>
  <c r="F139" i="1" s="1"/>
  <c r="F137" i="1"/>
  <c r="F140" i="1" s="1"/>
  <c r="E191" i="1"/>
  <c r="E192" i="1" s="1"/>
  <c r="G270" i="1"/>
  <c r="H229" i="1"/>
  <c r="H227" i="1" s="1"/>
  <c r="I270" i="1"/>
  <c r="I272" i="1"/>
  <c r="I191" i="1"/>
  <c r="I192" i="1" s="1"/>
  <c r="G229" i="1"/>
  <c r="G227" i="1" s="1"/>
  <c r="G272" i="1"/>
  <c r="I229" i="1"/>
  <c r="I227" i="1" s="1"/>
  <c r="J229" i="1"/>
  <c r="J227" i="1" s="1"/>
  <c r="K191" i="1"/>
  <c r="K192" i="1" s="1"/>
  <c r="R212" i="1"/>
  <c r="BU44" i="1"/>
  <c r="BU54" i="1"/>
  <c r="BV45" i="1"/>
  <c r="BY44" i="1"/>
  <c r="BU43" i="1"/>
  <c r="BI44" i="1"/>
  <c r="BM43" i="1"/>
  <c r="BQ44" i="1"/>
  <c r="BM54" i="1"/>
  <c r="BM45" i="1"/>
  <c r="BF43" i="1"/>
  <c r="BJ44" i="1"/>
  <c r="BE45" i="1"/>
  <c r="BS45" i="1"/>
  <c r="BE54" i="1"/>
  <c r="BE43" i="1"/>
  <c r="BF45" i="1"/>
  <c r="BC45" i="1"/>
  <c r="BT45" i="1"/>
  <c r="AU44" i="1"/>
  <c r="BW44" i="1"/>
  <c r="Q85" i="1"/>
  <c r="BF55" i="1"/>
  <c r="BF60" i="1"/>
  <c r="BF64" i="1" s="1"/>
  <c r="BF258" i="1"/>
  <c r="BF259" i="1" s="1"/>
  <c r="BO54" i="1"/>
  <c r="V85" i="1"/>
  <c r="BP45" i="1"/>
  <c r="BS44" i="1"/>
  <c r="BO44" i="1"/>
  <c r="BO43" i="1"/>
  <c r="AJ45" i="1"/>
  <c r="AI43" i="1"/>
  <c r="AM44" i="1"/>
  <c r="AI54" i="1"/>
  <c r="N85" i="1"/>
  <c r="BA55" i="1"/>
  <c r="BA258" i="1"/>
  <c r="BA259" i="1" s="1"/>
  <c r="BA60" i="1"/>
  <c r="BA64" i="1" s="1"/>
  <c r="BA56" i="1"/>
  <c r="AU45" i="1"/>
  <c r="AV45" i="1"/>
  <c r="AU54" i="1"/>
  <c r="AY44" i="1"/>
  <c r="AU43" i="1"/>
  <c r="BV135" i="1"/>
  <c r="BW63" i="1"/>
  <c r="BS54" i="1"/>
  <c r="BS43" i="1"/>
  <c r="BD45" i="1"/>
  <c r="S85" i="1"/>
  <c r="BC54" i="1"/>
  <c r="BC43" i="1"/>
  <c r="BC44" i="1"/>
  <c r="BA57" i="1"/>
  <c r="BB44" i="1"/>
  <c r="BN44" i="1"/>
  <c r="BR44" i="1"/>
  <c r="BN54" i="1"/>
  <c r="U85" i="1"/>
  <c r="BN43" i="1"/>
  <c r="BN45" i="1"/>
  <c r="BO45" i="1"/>
  <c r="O85" i="1"/>
  <c r="T85" i="1"/>
  <c r="BM44" i="1"/>
  <c r="U212" i="1"/>
  <c r="BI45" i="1"/>
  <c r="AO54" i="1"/>
  <c r="AO45" i="1"/>
  <c r="AO44" i="1"/>
  <c r="AP45" i="1"/>
  <c r="BH192" i="1"/>
  <c r="K212" i="1"/>
  <c r="D210" i="1"/>
  <c r="E224" i="1"/>
  <c r="E225" i="1" s="1"/>
  <c r="K137" i="1"/>
  <c r="K140" i="1" s="1"/>
  <c r="E212" i="1"/>
  <c r="S212" i="1"/>
  <c r="O120" i="1"/>
  <c r="O122" i="1"/>
  <c r="O121" i="1"/>
  <c r="E122" i="1"/>
  <c r="E120" i="1"/>
  <c r="E121" i="1"/>
  <c r="S192" i="1"/>
  <c r="V212" i="1"/>
  <c r="V215" i="1" s="1"/>
  <c r="V216" i="1" s="1"/>
  <c r="AR272" i="1"/>
  <c r="AR191" i="1"/>
  <c r="AR192" i="1" s="1"/>
  <c r="DB91" i="1"/>
  <c r="DC89" i="1"/>
  <c r="C192" i="1"/>
  <c r="T236" i="1"/>
  <c r="T237" i="1" s="1"/>
  <c r="T239" i="1"/>
  <c r="C113" i="1"/>
  <c r="C111" i="1"/>
  <c r="C112" i="1"/>
  <c r="C96" i="1"/>
  <c r="B115" i="1"/>
  <c r="D192" i="1"/>
  <c r="D270" i="1"/>
  <c r="P236" i="1"/>
  <c r="P237" i="1" s="1"/>
  <c r="D236" i="1"/>
  <c r="D237" i="1" s="1"/>
  <c r="D239" i="1"/>
  <c r="AW63" i="1"/>
  <c r="AV135" i="1"/>
  <c r="BN135" i="1"/>
  <c r="BO63" i="1"/>
  <c r="BN229" i="1"/>
  <c r="BN227" i="1" s="1"/>
  <c r="BN272" i="1"/>
  <c r="BN270" i="1"/>
  <c r="BN122" i="1"/>
  <c r="BN121" i="1"/>
  <c r="BN120" i="1"/>
  <c r="BF272" i="1"/>
  <c r="BF270" i="1"/>
  <c r="BD59" i="1"/>
  <c r="BC164" i="1"/>
  <c r="AW164" i="1"/>
  <c r="AX59" i="1"/>
  <c r="BB272" i="1"/>
  <c r="BB270" i="1"/>
  <c r="BG164" i="1"/>
  <c r="BH59" i="1"/>
  <c r="AV270" i="1"/>
  <c r="AV272" i="1"/>
  <c r="AR120" i="1"/>
  <c r="AR122" i="1"/>
  <c r="AR121" i="1"/>
  <c r="BD121" i="1"/>
  <c r="BD120" i="1"/>
  <c r="BD122" i="1"/>
  <c r="BE63" i="1"/>
  <c r="BD135" i="1"/>
  <c r="AV122" i="1"/>
  <c r="AV120" i="1"/>
  <c r="AV121" i="1"/>
  <c r="AV191" i="1"/>
  <c r="AV192" i="1" s="1"/>
  <c r="BP59" i="1"/>
  <c r="BO164" i="1"/>
  <c r="AV207" i="1"/>
  <c r="BT212" i="1"/>
  <c r="BT207" i="1"/>
  <c r="AS258" i="1"/>
  <c r="AS259" i="1" s="1"/>
  <c r="AS60" i="1"/>
  <c r="AS64" i="1" s="1"/>
  <c r="AW56" i="1"/>
  <c r="AS276" i="1"/>
  <c r="AS277" i="1" s="1"/>
  <c r="AS55" i="1"/>
  <c r="BQ57" i="1"/>
  <c r="BP55" i="1"/>
  <c r="BP56" i="1"/>
  <c r="BP258" i="1"/>
  <c r="BP259" i="1" s="1"/>
  <c r="BP60" i="1"/>
  <c r="BP64" i="1" s="1"/>
  <c r="BQ276" i="1"/>
  <c r="AX276" i="1"/>
  <c r="AX258" i="1"/>
  <c r="AX259" i="1" s="1"/>
  <c r="AX60" i="1"/>
  <c r="AX57" i="1"/>
  <c r="AX55" i="1"/>
  <c r="AQ55" i="1"/>
  <c r="AQ258" i="1"/>
  <c r="AQ259" i="1" s="1"/>
  <c r="AQ60" i="1"/>
  <c r="AQ56" i="1"/>
  <c r="AR57" i="1"/>
  <c r="AR276" i="1"/>
  <c r="AR277" i="1" s="1"/>
  <c r="BQ66" i="1"/>
  <c r="BQ67" i="1"/>
  <c r="AW66" i="1"/>
  <c r="AW67" i="1"/>
  <c r="CR160" i="1"/>
  <c r="V239" i="1" l="1"/>
  <c r="AP59" i="1"/>
  <c r="AO164" i="1"/>
  <c r="AN120" i="1"/>
  <c r="AN122" i="1"/>
  <c r="BB135" i="1"/>
  <c r="BC63" i="1"/>
  <c r="AN191" i="1"/>
  <c r="AN192" i="1" s="1"/>
  <c r="AZ59" i="1"/>
  <c r="AY164" i="1"/>
  <c r="G215" i="1"/>
  <c r="G216" i="1" s="1"/>
  <c r="BP135" i="1"/>
  <c r="BQ63" i="1"/>
  <c r="BB191" i="1"/>
  <c r="BB192" i="1" s="1"/>
  <c r="AP272" i="1"/>
  <c r="AP270" i="1"/>
  <c r="BG63" i="1"/>
  <c r="BF135" i="1"/>
  <c r="BN191" i="1"/>
  <c r="BN192" i="1" s="1"/>
  <c r="AN270" i="1"/>
  <c r="AN229" i="1"/>
  <c r="AN227" i="1" s="1"/>
  <c r="BT272" i="1"/>
  <c r="BT270" i="1"/>
  <c r="BS63" i="1"/>
  <c r="BR135" i="1"/>
  <c r="AN207" i="1"/>
  <c r="AN212" i="1"/>
  <c r="BE164" i="1"/>
  <c r="BF59" i="1"/>
  <c r="BD270" i="1"/>
  <c r="BD272" i="1"/>
  <c r="AX272" i="1"/>
  <c r="AX270" i="1"/>
  <c r="AU63" i="1"/>
  <c r="AT135" i="1"/>
  <c r="AP191" i="1"/>
  <c r="AP192" i="1" s="1"/>
  <c r="BD191" i="1"/>
  <c r="BD192" i="1" s="1"/>
  <c r="AX122" i="1"/>
  <c r="AX121" i="1"/>
  <c r="AX120" i="1"/>
  <c r="BV59" i="1"/>
  <c r="BU164" i="1"/>
  <c r="AQ164" i="1"/>
  <c r="AR59" i="1"/>
  <c r="AT212" i="1"/>
  <c r="AT207" i="1"/>
  <c r="AO63" i="1"/>
  <c r="AN135" i="1"/>
  <c r="AR212" i="1"/>
  <c r="AR210" i="1"/>
  <c r="AV59" i="1"/>
  <c r="AU164" i="1"/>
  <c r="BU63" i="1"/>
  <c r="BT135" i="1"/>
  <c r="P215" i="1"/>
  <c r="P216" i="1" s="1"/>
  <c r="O215" i="1"/>
  <c r="O216" i="1" s="1"/>
  <c r="B112" i="1"/>
  <c r="B111" i="1"/>
  <c r="B113" i="1"/>
  <c r="M192" i="1"/>
  <c r="AZ270" i="1"/>
  <c r="R192" i="1"/>
  <c r="BD56" i="1"/>
  <c r="AT60" i="1"/>
  <c r="AT64" i="1" s="1"/>
  <c r="AT55" i="1"/>
  <c r="AT258" i="1"/>
  <c r="AT259" i="1" s="1"/>
  <c r="BV215" i="1"/>
  <c r="L215" i="1"/>
  <c r="L216" i="1" s="1"/>
  <c r="E239" i="1"/>
  <c r="M210" i="1"/>
  <c r="O192" i="1"/>
  <c r="I215" i="1"/>
  <c r="I216" i="1" s="1"/>
  <c r="C239" i="1"/>
  <c r="BS164" i="1"/>
  <c r="BT59" i="1"/>
  <c r="BR272" i="1"/>
  <c r="J215" i="1"/>
  <c r="J216" i="1" s="1"/>
  <c r="BR191" i="1"/>
  <c r="BR192" i="1" s="1"/>
  <c r="D111" i="1"/>
  <c r="C115" i="1"/>
  <c r="H215" i="1"/>
  <c r="H216" i="1" s="1"/>
  <c r="C215" i="1"/>
  <c r="C216" i="1" s="1"/>
  <c r="BB59" i="1"/>
  <c r="BR59" i="1"/>
  <c r="BQ164" i="1"/>
  <c r="P239" i="1"/>
  <c r="B192" i="1"/>
  <c r="B270" i="1"/>
  <c r="Q239" i="1"/>
  <c r="D96" i="1"/>
  <c r="U239" i="1"/>
  <c r="U236" i="1"/>
  <c r="U237" i="1" s="1"/>
  <c r="Q236" i="1"/>
  <c r="Q237" i="1" s="1"/>
  <c r="M239" i="1"/>
  <c r="N239" i="1"/>
  <c r="H239" i="1"/>
  <c r="N236" i="1"/>
  <c r="N237" i="1" s="1"/>
  <c r="C236" i="1"/>
  <c r="C237" i="1" s="1"/>
  <c r="BR270" i="1"/>
  <c r="Q215" i="1"/>
  <c r="Q216" i="1" s="1"/>
  <c r="L239" i="1"/>
  <c r="D112" i="1"/>
  <c r="D113" i="1"/>
  <c r="E96" i="1"/>
  <c r="BP191" i="1"/>
  <c r="BP192" i="1" s="1"/>
  <c r="BA277" i="1"/>
  <c r="BA164" i="1"/>
  <c r="AZ272" i="1"/>
  <c r="AX191" i="1"/>
  <c r="AX192" i="1" s="1"/>
  <c r="BP272" i="1"/>
  <c r="BP270" i="1"/>
  <c r="AY63" i="1"/>
  <c r="AX135" i="1"/>
  <c r="AT191" i="1"/>
  <c r="AT192" i="1" s="1"/>
  <c r="AT272" i="1"/>
  <c r="AT270" i="1"/>
  <c r="AP135" i="1"/>
  <c r="AQ63" i="1"/>
  <c r="AZ135" i="1"/>
  <c r="BA63" i="1"/>
  <c r="AZ121" i="1"/>
  <c r="AZ122" i="1"/>
  <c r="AZ120" i="1"/>
  <c r="AP212" i="1"/>
  <c r="AP215" i="1" s="1"/>
  <c r="AP210" i="1"/>
  <c r="AX207" i="1"/>
  <c r="AX212" i="1"/>
  <c r="BF207" i="1"/>
  <c r="BF212" i="1"/>
  <c r="BJ215" i="1" s="1"/>
  <c r="BT122" i="1"/>
  <c r="BT121" i="1"/>
  <c r="BT120" i="1"/>
  <c r="BF121" i="1"/>
  <c r="BF122" i="1"/>
  <c r="BF120" i="1"/>
  <c r="BR207" i="1"/>
  <c r="BN207" i="1"/>
  <c r="BN212" i="1"/>
  <c r="BB212" i="1"/>
  <c r="BB207" i="1"/>
  <c r="BD207" i="1"/>
  <c r="BD212" i="1"/>
  <c r="AZ212" i="1"/>
  <c r="AZ215" i="1" s="1"/>
  <c r="AZ207" i="1"/>
  <c r="BA252" i="1"/>
  <c r="BL138" i="1"/>
  <c r="AQ276" i="1"/>
  <c r="AQ277" i="1" s="1"/>
  <c r="AT56" i="1"/>
  <c r="AQ57" i="1"/>
  <c r="BS252" i="1"/>
  <c r="BK56" i="1"/>
  <c r="BK57" i="1"/>
  <c r="BK55" i="1"/>
  <c r="BL57" i="1"/>
  <c r="BK258" i="1"/>
  <c r="BK259" i="1" s="1"/>
  <c r="BK60" i="1"/>
  <c r="BK64" i="1" s="1"/>
  <c r="BK276" i="1"/>
  <c r="BK277" i="1" s="1"/>
  <c r="BL276" i="1"/>
  <c r="BL277" i="1" s="1"/>
  <c r="AM120" i="1"/>
  <c r="AM121" i="1"/>
  <c r="AM122" i="1"/>
  <c r="AY55" i="1"/>
  <c r="AY258" i="1"/>
  <c r="AY259" i="1" s="1"/>
  <c r="AY60" i="1"/>
  <c r="AY64" i="1" s="1"/>
  <c r="AZ276" i="1"/>
  <c r="AZ277" i="1" s="1"/>
  <c r="AZ57" i="1"/>
  <c r="AP55" i="1"/>
  <c r="AP56" i="1"/>
  <c r="AP258" i="1"/>
  <c r="AP259" i="1" s="1"/>
  <c r="AP60" i="1"/>
  <c r="AP64" i="1" s="1"/>
  <c r="BK138" i="1"/>
  <c r="AS229" i="1"/>
  <c r="AS227" i="1" s="1"/>
  <c r="BI258" i="1"/>
  <c r="BI259" i="1" s="1"/>
  <c r="BI60" i="1"/>
  <c r="BI55" i="1"/>
  <c r="BJ57" i="1"/>
  <c r="BJ276" i="1"/>
  <c r="BJ277" i="1" s="1"/>
  <c r="AZ67" i="1"/>
  <c r="AZ66" i="1"/>
  <c r="BA138" i="1"/>
  <c r="AY138" i="1"/>
  <c r="AY252" i="1"/>
  <c r="AY57" i="1"/>
  <c r="AY276" i="1"/>
  <c r="AZ138" i="1"/>
  <c r="BI229" i="1"/>
  <c r="BI227" i="1" s="1"/>
  <c r="AV60" i="1"/>
  <c r="AZ56" i="1"/>
  <c r="AV55" i="1"/>
  <c r="AV258" i="1"/>
  <c r="AV259" i="1" s="1"/>
  <c r="AW276" i="1"/>
  <c r="AW277" i="1" s="1"/>
  <c r="AW57" i="1"/>
  <c r="BL56" i="1"/>
  <c r="BH55" i="1"/>
  <c r="BH60" i="1"/>
  <c r="BH64" i="1" s="1"/>
  <c r="BH258" i="1"/>
  <c r="BH259" i="1" s="1"/>
  <c r="BI276" i="1"/>
  <c r="BI277" i="1" s="1"/>
  <c r="BI57" i="1"/>
  <c r="AN276" i="1"/>
  <c r="AN60" i="1"/>
  <c r="AN57" i="1"/>
  <c r="AN55" i="1"/>
  <c r="AN258" i="1"/>
  <c r="AN259" i="1" s="1"/>
  <c r="AN252" i="1"/>
  <c r="AR56" i="1"/>
  <c r="AN138" i="1"/>
  <c r="AN56" i="1"/>
  <c r="AZ252" i="1"/>
  <c r="AR67" i="1"/>
  <c r="AR66" i="1"/>
  <c r="AV56" i="1"/>
  <c r="BF191" i="1"/>
  <c r="BF192" i="1" s="1"/>
  <c r="BT191" i="1"/>
  <c r="BT192" i="1" s="1"/>
  <c r="AZ191" i="1"/>
  <c r="AZ192" i="1" s="1"/>
  <c r="AT229" i="1"/>
  <c r="AT227" i="1" s="1"/>
  <c r="AT57" i="1"/>
  <c r="AT276" i="1"/>
  <c r="AT277" i="1" s="1"/>
  <c r="AS252" i="1"/>
  <c r="AS138" i="1"/>
  <c r="BL252" i="1"/>
  <c r="BQ277" i="1"/>
  <c r="BD276" i="1"/>
  <c r="BD277" i="1" s="1"/>
  <c r="O86" i="1"/>
  <c r="AP57" i="1"/>
  <c r="BD60" i="1"/>
  <c r="BD64" i="1" s="1"/>
  <c r="BD55" i="1"/>
  <c r="BD258" i="1"/>
  <c r="BD259" i="1" s="1"/>
  <c r="BV56" i="1"/>
  <c r="BR276" i="1"/>
  <c r="BR277" i="1" s="1"/>
  <c r="BR55" i="1"/>
  <c r="BR57" i="1"/>
  <c r="BR258" i="1"/>
  <c r="BR259" i="1" s="1"/>
  <c r="BR60" i="1"/>
  <c r="AY277" i="1"/>
  <c r="BK252" i="1"/>
  <c r="BB252" i="1"/>
  <c r="R86" i="1"/>
  <c r="BG55" i="1"/>
  <c r="T86" i="1"/>
  <c r="BJ138" i="1"/>
  <c r="BG276" i="1"/>
  <c r="BG277" i="1" s="1"/>
  <c r="BI252" i="1"/>
  <c r="BG60" i="1"/>
  <c r="BI138" i="1"/>
  <c r="BG258" i="1"/>
  <c r="BG259" i="1" s="1"/>
  <c r="BJ252" i="1"/>
  <c r="BH57" i="1"/>
  <c r="BG57" i="1"/>
  <c r="BH276" i="1"/>
  <c r="BH277" i="1" s="1"/>
  <c r="BH56" i="1"/>
  <c r="BW57" i="1"/>
  <c r="AX277" i="1"/>
  <c r="BB56" i="1"/>
  <c r="BB60" i="1"/>
  <c r="BF56" i="1"/>
  <c r="BB258" i="1"/>
  <c r="BB259" i="1" s="1"/>
  <c r="BB138" i="1"/>
  <c r="BB55" i="1"/>
  <c r="BB276" i="1"/>
  <c r="BB57" i="1"/>
  <c r="BW258" i="1"/>
  <c r="BW259" i="1" s="1"/>
  <c r="BX57" i="1"/>
  <c r="X86" i="1"/>
  <c r="BW55" i="1"/>
  <c r="BZ138" i="1"/>
  <c r="BZ252" i="1"/>
  <c r="BW276" i="1"/>
  <c r="BW277" i="1" s="1"/>
  <c r="BW60" i="1"/>
  <c r="BY138" i="1"/>
  <c r="CA56" i="1"/>
  <c r="BX276" i="1"/>
  <c r="BX277" i="1" s="1"/>
  <c r="BY252" i="1"/>
  <c r="AT252" i="1"/>
  <c r="P86" i="1"/>
  <c r="AT138" i="1"/>
  <c r="BT60" i="1"/>
  <c r="BT55" i="1"/>
  <c r="BX56" i="1"/>
  <c r="BT258" i="1"/>
  <c r="BT259" i="1" s="1"/>
  <c r="BT56" i="1"/>
  <c r="BJ260" i="1"/>
  <c r="BJ68" i="1"/>
  <c r="BJ271" i="1" s="1"/>
  <c r="BJ74" i="1"/>
  <c r="T192" i="1"/>
  <c r="Q192" i="1"/>
  <c r="AX138" i="1"/>
  <c r="BT138" i="1"/>
  <c r="BT57" i="1"/>
  <c r="AR252" i="1"/>
  <c r="AP252" i="1"/>
  <c r="AP276" i="1"/>
  <c r="AP277" i="1" s="1"/>
  <c r="AP138" i="1"/>
  <c r="BX138" i="1"/>
  <c r="AV138" i="1"/>
  <c r="AN277" i="1"/>
  <c r="AX56" i="1"/>
  <c r="I239" i="1"/>
  <c r="J239" i="1"/>
  <c r="S236" i="1"/>
  <c r="S237" i="1" s="1"/>
  <c r="K239" i="1"/>
  <c r="K236" i="1"/>
  <c r="K237" i="1" s="1"/>
  <c r="S239" i="1"/>
  <c r="H236" i="1"/>
  <c r="H237" i="1" s="1"/>
  <c r="I236" i="1"/>
  <c r="I237" i="1" s="1"/>
  <c r="J236" i="1"/>
  <c r="J237" i="1" s="1"/>
  <c r="M236" i="1"/>
  <c r="M237" i="1" s="1"/>
  <c r="G236" i="1"/>
  <c r="G237" i="1" s="1"/>
  <c r="G239" i="1"/>
  <c r="F239" i="1"/>
  <c r="F236" i="1"/>
  <c r="F237" i="1" s="1"/>
  <c r="V236" i="1"/>
  <c r="V237" i="1" s="1"/>
  <c r="O239" i="1"/>
  <c r="O236" i="1"/>
  <c r="O237" i="1" s="1"/>
  <c r="R236" i="1"/>
  <c r="R237" i="1" s="1"/>
  <c r="R239" i="1"/>
  <c r="L236" i="1"/>
  <c r="L237" i="1" s="1"/>
  <c r="D215" i="1"/>
  <c r="D216" i="1" s="1"/>
  <c r="BO56" i="1"/>
  <c r="BX252" i="1"/>
  <c r="BV138" i="1"/>
  <c r="R215" i="1"/>
  <c r="R216" i="1" s="1"/>
  <c r="BV276" i="1"/>
  <c r="BV277" i="1" s="1"/>
  <c r="BV57" i="1"/>
  <c r="BM138" i="1"/>
  <c r="BM252" i="1"/>
  <c r="BU56" i="1"/>
  <c r="BU55" i="1"/>
  <c r="BU258" i="1"/>
  <c r="BU259" i="1" s="1"/>
  <c r="BY56" i="1"/>
  <c r="BU60" i="1"/>
  <c r="BU64" i="1" s="1"/>
  <c r="S86" i="1"/>
  <c r="U86" i="1"/>
  <c r="BF276" i="1"/>
  <c r="BF277" i="1" s="1"/>
  <c r="BE56" i="1"/>
  <c r="BM60" i="1"/>
  <c r="BM64" i="1" s="1"/>
  <c r="BM55" i="1"/>
  <c r="BQ56" i="1"/>
  <c r="BM57" i="1"/>
  <c r="BM56" i="1"/>
  <c r="BM258" i="1"/>
  <c r="BM259" i="1" s="1"/>
  <c r="BM276" i="1"/>
  <c r="BM277" i="1" s="1"/>
  <c r="BE57" i="1"/>
  <c r="BE276" i="1"/>
  <c r="BE277" i="1" s="1"/>
  <c r="BI56" i="1"/>
  <c r="BE258" i="1"/>
  <c r="BE259" i="1" s="1"/>
  <c r="V86" i="1"/>
  <c r="BR252" i="1"/>
  <c r="BR138" i="1"/>
  <c r="Q86" i="1"/>
  <c r="BD252" i="1"/>
  <c r="BC138" i="1"/>
  <c r="BC252" i="1"/>
  <c r="BH252" i="1"/>
  <c r="BG138" i="1"/>
  <c r="BH138" i="1"/>
  <c r="BV192" i="1"/>
  <c r="E215" i="1"/>
  <c r="E216" i="1" s="1"/>
  <c r="S215" i="1"/>
  <c r="S216" i="1" s="1"/>
  <c r="U215" i="1"/>
  <c r="U216" i="1" s="1"/>
  <c r="M215" i="1"/>
  <c r="M216" i="1" s="1"/>
  <c r="N215" i="1"/>
  <c r="N216" i="1" s="1"/>
  <c r="BX229" i="1"/>
  <c r="BX227" i="1" s="1"/>
  <c r="BW229" i="1"/>
  <c r="BW227" i="1" s="1"/>
  <c r="BH136" i="1"/>
  <c r="BH137" i="1"/>
  <c r="BV66" i="1"/>
  <c r="BV67" i="1"/>
  <c r="BE55" i="1"/>
  <c r="BE60" i="1"/>
  <c r="BE64" i="1" s="1"/>
  <c r="BF57" i="1"/>
  <c r="BF67" i="1"/>
  <c r="BF66" i="1"/>
  <c r="BO55" i="1"/>
  <c r="BO60" i="1"/>
  <c r="BO64" i="1" s="1"/>
  <c r="BO258" i="1"/>
  <c r="BO259" i="1" s="1"/>
  <c r="BP57" i="1"/>
  <c r="BP276" i="1"/>
  <c r="BP277" i="1" s="1"/>
  <c r="AX252" i="1"/>
  <c r="BT276" i="1"/>
  <c r="BT277" i="1" s="1"/>
  <c r="BC57" i="1"/>
  <c r="AJ57" i="1"/>
  <c r="AL138" i="1"/>
  <c r="AI55" i="1"/>
  <c r="AM56" i="1"/>
  <c r="AI60" i="1"/>
  <c r="N86" i="1"/>
  <c r="AL252" i="1"/>
  <c r="AI258" i="1"/>
  <c r="AI259" i="1" s="1"/>
  <c r="AW252" i="1"/>
  <c r="AU252" i="1"/>
  <c r="AW138" i="1"/>
  <c r="AU57" i="1"/>
  <c r="AU276" i="1"/>
  <c r="AU277" i="1" s="1"/>
  <c r="AU138" i="1"/>
  <c r="AV252" i="1"/>
  <c r="AU258" i="1"/>
  <c r="AU259" i="1" s="1"/>
  <c r="AU55" i="1"/>
  <c r="AU60" i="1"/>
  <c r="AU64" i="1" s="1"/>
  <c r="AY56" i="1"/>
  <c r="AV57" i="1"/>
  <c r="AV276" i="1"/>
  <c r="AV277" i="1" s="1"/>
  <c r="AU56" i="1"/>
  <c r="BV136" i="1"/>
  <c r="BV137" i="1"/>
  <c r="BS56" i="1"/>
  <c r="BS60" i="1"/>
  <c r="BS64" i="1" s="1"/>
  <c r="BS55" i="1"/>
  <c r="BS258" i="1"/>
  <c r="BS259" i="1" s="1"/>
  <c r="BS276" i="1"/>
  <c r="BS277" i="1" s="1"/>
  <c r="BD57" i="1"/>
  <c r="BG56" i="1"/>
  <c r="BF138" i="1"/>
  <c r="BC60" i="1"/>
  <c r="BC55" i="1"/>
  <c r="BC258" i="1"/>
  <c r="BC259" i="1" s="1"/>
  <c r="BF252" i="1"/>
  <c r="BC56" i="1"/>
  <c r="BS138" i="1"/>
  <c r="BT252" i="1"/>
  <c r="AQ252" i="1"/>
  <c r="BV252" i="1"/>
  <c r="BS57" i="1"/>
  <c r="BN138" i="1"/>
  <c r="BN252" i="1"/>
  <c r="AQ138" i="1"/>
  <c r="BG252" i="1"/>
  <c r="BW56" i="1"/>
  <c r="AO252" i="1"/>
  <c r="AO138" i="1"/>
  <c r="AO57" i="1"/>
  <c r="BN60" i="1"/>
  <c r="BP252" i="1"/>
  <c r="BO252" i="1"/>
  <c r="BR56" i="1"/>
  <c r="BQ138" i="1"/>
  <c r="BN55" i="1"/>
  <c r="BO57" i="1"/>
  <c r="BN57" i="1"/>
  <c r="BN258" i="1"/>
  <c r="BN259" i="1" s="1"/>
  <c r="BO276" i="1"/>
  <c r="BO277" i="1" s="1"/>
  <c r="BN276" i="1"/>
  <c r="BN277" i="1" s="1"/>
  <c r="BN56" i="1"/>
  <c r="BP138" i="1"/>
  <c r="BQ252" i="1"/>
  <c r="BO138" i="1"/>
  <c r="BD138" i="1"/>
  <c r="BW252" i="1"/>
  <c r="BC276" i="1"/>
  <c r="BC277" i="1" s="1"/>
  <c r="BE252" i="1"/>
  <c r="BE138" i="1"/>
  <c r="AO258" i="1"/>
  <c r="AO259" i="1" s="1"/>
  <c r="AO60" i="1"/>
  <c r="AO64" i="1" s="1"/>
  <c r="AO66" i="1" s="1"/>
  <c r="AR138" i="1"/>
  <c r="AO276" i="1"/>
  <c r="AO277" i="1" s="1"/>
  <c r="AO56" i="1"/>
  <c r="AS56" i="1"/>
  <c r="AO55" i="1"/>
  <c r="BU276" i="1"/>
  <c r="BU277" i="1" s="1"/>
  <c r="BU57" i="1"/>
  <c r="BW138" i="1"/>
  <c r="BU138" i="1"/>
  <c r="BA67" i="1"/>
  <c r="BA66" i="1"/>
  <c r="K215" i="1"/>
  <c r="K216" i="1" s="1"/>
  <c r="E236" i="1"/>
  <c r="E237" i="1" s="1"/>
  <c r="F215" i="1"/>
  <c r="F216" i="1" s="1"/>
  <c r="T215" i="1"/>
  <c r="T216" i="1" s="1"/>
  <c r="DC91" i="1"/>
  <c r="DD89" i="1"/>
  <c r="AV136" i="1"/>
  <c r="AV137" i="1"/>
  <c r="BN137" i="1"/>
  <c r="BN136" i="1"/>
  <c r="BC229" i="1"/>
  <c r="BC227" i="1" s="1"/>
  <c r="BD229" i="1"/>
  <c r="BD227" i="1" s="1"/>
  <c r="AX229" i="1"/>
  <c r="AX227" i="1" s="1"/>
  <c r="AW229" i="1"/>
  <c r="AW227" i="1" s="1"/>
  <c r="BH229" i="1"/>
  <c r="BH227" i="1" s="1"/>
  <c r="BG229" i="1"/>
  <c r="BG227" i="1" s="1"/>
  <c r="BD137" i="1"/>
  <c r="BD136" i="1"/>
  <c r="BO229" i="1"/>
  <c r="BO227" i="1" s="1"/>
  <c r="BP229" i="1"/>
  <c r="BP227" i="1" s="1"/>
  <c r="BT215" i="1"/>
  <c r="BX215" i="1"/>
  <c r="AS66" i="1"/>
  <c r="AS67" i="1"/>
  <c r="BP66" i="1"/>
  <c r="BP67" i="1"/>
  <c r="BQ70" i="1" s="1"/>
  <c r="AX64" i="1"/>
  <c r="AQ64" i="1"/>
  <c r="BQ68" i="1"/>
  <c r="BQ271" i="1" s="1"/>
  <c r="BQ74" i="1"/>
  <c r="BQ260" i="1"/>
  <c r="AW74" i="1"/>
  <c r="AW260" i="1"/>
  <c r="AW68" i="1"/>
  <c r="AW271" i="1" s="1"/>
  <c r="CR164" i="1"/>
  <c r="CS58" i="1"/>
  <c r="AT67" i="1" l="1"/>
  <c r="AT66" i="1"/>
  <c r="BT229" i="1"/>
  <c r="BT227" i="1" s="1"/>
  <c r="BS229" i="1"/>
  <c r="BS227" i="1" s="1"/>
  <c r="AP229" i="1"/>
  <c r="AP227" i="1" s="1"/>
  <c r="AO229" i="1"/>
  <c r="AO227" i="1" s="1"/>
  <c r="BB137" i="1"/>
  <c r="BB136" i="1"/>
  <c r="BP136" i="1"/>
  <c r="BP137" i="1"/>
  <c r="AY229" i="1"/>
  <c r="AY227" i="1" s="1"/>
  <c r="AZ229" i="1"/>
  <c r="AZ227" i="1" s="1"/>
  <c r="BF137" i="1"/>
  <c r="BF136" i="1"/>
  <c r="BB229" i="1"/>
  <c r="BB227" i="1" s="1"/>
  <c r="BA229" i="1"/>
  <c r="BA227" i="1" s="1"/>
  <c r="BR229" i="1"/>
  <c r="BR227" i="1" s="1"/>
  <c r="BQ229" i="1"/>
  <c r="BQ227" i="1" s="1"/>
  <c r="AR229" i="1"/>
  <c r="AR227" i="1" s="1"/>
  <c r="AQ229" i="1"/>
  <c r="AQ227" i="1" s="1"/>
  <c r="AR215" i="1"/>
  <c r="AV215" i="1"/>
  <c r="BR136" i="1"/>
  <c r="BR139" i="1" s="1"/>
  <c r="BR137" i="1"/>
  <c r="BE229" i="1"/>
  <c r="BE227" i="1" s="1"/>
  <c r="BF229" i="1"/>
  <c r="BF227" i="1" s="1"/>
  <c r="AT137" i="1"/>
  <c r="AT136" i="1"/>
  <c r="AN137" i="1"/>
  <c r="AN136" i="1"/>
  <c r="BV229" i="1"/>
  <c r="BV227" i="1" s="1"/>
  <c r="BU229" i="1"/>
  <c r="BU227" i="1" s="1"/>
  <c r="AV229" i="1"/>
  <c r="AV227" i="1" s="1"/>
  <c r="AU229" i="1"/>
  <c r="AU227" i="1" s="1"/>
  <c r="BT137" i="1"/>
  <c r="BT136" i="1"/>
  <c r="AT81" i="1"/>
  <c r="BR140" i="1"/>
  <c r="AN140" i="1"/>
  <c r="AN139" i="1"/>
  <c r="AT215" i="1"/>
  <c r="AX215" i="1"/>
  <c r="BT140" i="1"/>
  <c r="BT139" i="1"/>
  <c r="AX136" i="1"/>
  <c r="AX139" i="1" s="1"/>
  <c r="AX137" i="1"/>
  <c r="AX140" i="1" s="1"/>
  <c r="AP136" i="1"/>
  <c r="AP139" i="1" s="1"/>
  <c r="AP137" i="1"/>
  <c r="AP140" i="1" s="1"/>
  <c r="AZ136" i="1"/>
  <c r="AZ139" i="1" s="1"/>
  <c r="AZ137" i="1"/>
  <c r="AZ140" i="1" s="1"/>
  <c r="BH215" i="1"/>
  <c r="BD215" i="1"/>
  <c r="BN215" i="1"/>
  <c r="BR215" i="1"/>
  <c r="BB215" i="1"/>
  <c r="BF215" i="1"/>
  <c r="BL139" i="1"/>
  <c r="BL140" i="1"/>
  <c r="BK67" i="1"/>
  <c r="BK66" i="1"/>
  <c r="AY66" i="1"/>
  <c r="AY67" i="1"/>
  <c r="AP66" i="1"/>
  <c r="AP67" i="1"/>
  <c r="AP69" i="1" s="1"/>
  <c r="AS70" i="1"/>
  <c r="BI64" i="1"/>
  <c r="BL81" i="1"/>
  <c r="BX139" i="1"/>
  <c r="BX140" i="1"/>
  <c r="AZ260" i="1"/>
  <c r="AZ74" i="1"/>
  <c r="AZ68" i="1"/>
  <c r="AZ271" i="1" s="1"/>
  <c r="AR81" i="1"/>
  <c r="AP81" i="1"/>
  <c r="AO67" i="1"/>
  <c r="AR68" i="1"/>
  <c r="AR271" i="1" s="1"/>
  <c r="AR74" i="1"/>
  <c r="AR260" i="1"/>
  <c r="AZ81" i="1"/>
  <c r="BN64" i="1"/>
  <c r="BH67" i="1"/>
  <c r="BH66" i="1"/>
  <c r="AN81" i="1"/>
  <c r="AN64" i="1"/>
  <c r="AV64" i="1"/>
  <c r="BJ78" i="1"/>
  <c r="BJ219" i="1"/>
  <c r="BJ221" i="1" s="1"/>
  <c r="BJ92" i="1"/>
  <c r="BA260" i="1"/>
  <c r="BA68" i="1"/>
  <c r="BA271" i="1" s="1"/>
  <c r="BA70" i="1"/>
  <c r="BA74" i="1"/>
  <c r="BA69" i="1"/>
  <c r="BB277" i="1"/>
  <c r="BD66" i="1"/>
  <c r="BD67" i="1"/>
  <c r="BR64" i="1"/>
  <c r="BW64" i="1"/>
  <c r="BB64" i="1"/>
  <c r="BB81" i="1"/>
  <c r="BJ139" i="1"/>
  <c r="BY81" i="1"/>
  <c r="BJ81" i="1"/>
  <c r="BH81" i="1"/>
  <c r="BZ81" i="1"/>
  <c r="BT64" i="1"/>
  <c r="BJ140" i="1"/>
  <c r="BZ139" i="1"/>
  <c r="BZ140" i="1"/>
  <c r="BG64" i="1"/>
  <c r="AV139" i="1"/>
  <c r="AV140" i="1"/>
  <c r="BU67" i="1"/>
  <c r="BY69" i="1" s="1"/>
  <c r="BU66" i="1"/>
  <c r="BN81" i="1"/>
  <c r="BM66" i="1"/>
  <c r="BM67" i="1"/>
  <c r="BX81" i="1"/>
  <c r="BV68" i="1"/>
  <c r="BV271" i="1" s="1"/>
  <c r="BV74" i="1"/>
  <c r="BV260" i="1"/>
  <c r="BZ69" i="1"/>
  <c r="BH139" i="1"/>
  <c r="BH140" i="1"/>
  <c r="BS67" i="1"/>
  <c r="BN140" i="1"/>
  <c r="BN139" i="1"/>
  <c r="BD140" i="1"/>
  <c r="BD139" i="1"/>
  <c r="BV139" i="1"/>
  <c r="BE66" i="1"/>
  <c r="BE67" i="1"/>
  <c r="BF260" i="1"/>
  <c r="BF68" i="1"/>
  <c r="BF271" i="1" s="1"/>
  <c r="BF74" i="1"/>
  <c r="BJ69" i="1"/>
  <c r="BD81" i="1"/>
  <c r="BV81" i="1"/>
  <c r="BO67" i="1"/>
  <c r="BO66" i="1"/>
  <c r="AL140" i="1"/>
  <c r="AL139" i="1"/>
  <c r="AI64" i="1"/>
  <c r="AL81" i="1"/>
  <c r="AU67" i="1"/>
  <c r="AU66" i="1"/>
  <c r="BC64" i="1"/>
  <c r="BF81" i="1"/>
  <c r="BR81" i="1"/>
  <c r="BV140" i="1"/>
  <c r="BP81" i="1"/>
  <c r="AV81" i="1"/>
  <c r="AX81" i="1"/>
  <c r="BT81" i="1"/>
  <c r="BS66" i="1"/>
  <c r="AE89" i="1"/>
  <c r="DD91" i="1"/>
  <c r="AE91" i="1" s="1"/>
  <c r="AS74" i="1"/>
  <c r="AS68" i="1"/>
  <c r="AS271" i="1" s="1"/>
  <c r="AS260" i="1"/>
  <c r="AW69" i="1"/>
  <c r="BP74" i="1"/>
  <c r="BP69" i="1"/>
  <c r="BP260" i="1"/>
  <c r="BP68" i="1"/>
  <c r="BP271" i="1" s="1"/>
  <c r="AQ67" i="1"/>
  <c r="AQ66" i="1"/>
  <c r="AX67" i="1"/>
  <c r="AX66" i="1"/>
  <c r="BQ219" i="1"/>
  <c r="BQ221" i="1" s="1"/>
  <c r="BQ145" i="1"/>
  <c r="BQ146" i="1" s="1"/>
  <c r="BQ92" i="1"/>
  <c r="BQ78" i="1"/>
  <c r="AW219" i="1"/>
  <c r="AW221" i="1" s="1"/>
  <c r="AW92" i="1"/>
  <c r="AW145" i="1"/>
  <c r="AW146" i="1" s="1"/>
  <c r="AW78" i="1"/>
  <c r="CS220" i="1"/>
  <c r="CS158" i="1"/>
  <c r="CR229" i="1"/>
  <c r="CR227" i="1" s="1"/>
  <c r="AC275" i="1"/>
  <c r="AT74" i="1" l="1"/>
  <c r="AT260" i="1"/>
  <c r="AT68" i="1"/>
  <c r="AT271" i="1" s="1"/>
  <c r="BB140" i="1"/>
  <c r="BB139" i="1"/>
  <c r="AT140" i="1"/>
  <c r="AT139" i="1"/>
  <c r="BP139" i="1"/>
  <c r="BP140" i="1"/>
  <c r="BF140" i="1"/>
  <c r="BF139" i="1"/>
  <c r="AT70" i="1"/>
  <c r="BL70" i="1"/>
  <c r="BK74" i="1"/>
  <c r="BK68" i="1"/>
  <c r="BK271" i="1" s="1"/>
  <c r="AY260" i="1"/>
  <c r="AY68" i="1"/>
  <c r="AY271" i="1" s="1"/>
  <c r="AT69" i="1"/>
  <c r="AP260" i="1"/>
  <c r="AP74" i="1"/>
  <c r="AP68" i="1"/>
  <c r="AP271" i="1" s="1"/>
  <c r="AZ70" i="1"/>
  <c r="AY74" i="1"/>
  <c r="BU68" i="1"/>
  <c r="BU271" i="1" s="1"/>
  <c r="BU260" i="1"/>
  <c r="BU74" i="1"/>
  <c r="BK70" i="1"/>
  <c r="BK260" i="1"/>
  <c r="BV70" i="1"/>
  <c r="BU69" i="1"/>
  <c r="BI67" i="1"/>
  <c r="BI70" i="1" s="1"/>
  <c r="BI66" i="1"/>
  <c r="BM74" i="1"/>
  <c r="BM70" i="1"/>
  <c r="BM260" i="1"/>
  <c r="BM253" i="1"/>
  <c r="BQ69" i="1"/>
  <c r="BM68" i="1"/>
  <c r="BM271" i="1" s="1"/>
  <c r="BD74" i="1"/>
  <c r="BD260" i="1"/>
  <c r="BD68" i="1"/>
  <c r="BD271" i="1" s="1"/>
  <c r="BD69" i="1"/>
  <c r="AP70" i="1"/>
  <c r="AO74" i="1"/>
  <c r="AZ92" i="1"/>
  <c r="AZ78" i="1"/>
  <c r="AZ219" i="1"/>
  <c r="AZ221" i="1" s="1"/>
  <c r="AO69" i="1"/>
  <c r="AO260" i="1"/>
  <c r="AS69" i="1"/>
  <c r="AO68" i="1"/>
  <c r="AO271" i="1" s="1"/>
  <c r="BN67" i="1"/>
  <c r="BN66" i="1"/>
  <c r="AR78" i="1"/>
  <c r="AR219" i="1"/>
  <c r="AR221" i="1" s="1"/>
  <c r="AR92" i="1"/>
  <c r="AV66" i="1"/>
  <c r="AV67" i="1"/>
  <c r="AN67" i="1"/>
  <c r="AN66" i="1"/>
  <c r="BH74" i="1"/>
  <c r="BL69" i="1"/>
  <c r="BH260" i="1"/>
  <c r="BH68" i="1"/>
  <c r="BH271" i="1" s="1"/>
  <c r="BA78" i="1"/>
  <c r="BA219" i="1"/>
  <c r="BA221" i="1" s="1"/>
  <c r="BA92" i="1"/>
  <c r="BA145" i="1"/>
  <c r="BA146" i="1" s="1"/>
  <c r="BR67" i="1"/>
  <c r="BR66" i="1"/>
  <c r="BH69" i="1"/>
  <c r="BW67" i="1"/>
  <c r="BW66" i="1"/>
  <c r="BT67" i="1"/>
  <c r="BT66" i="1"/>
  <c r="BV219" i="1"/>
  <c r="BV221" i="1" s="1"/>
  <c r="BV92" i="1"/>
  <c r="BV78" i="1"/>
  <c r="BG66" i="1"/>
  <c r="BG67" i="1"/>
  <c r="BB67" i="1"/>
  <c r="BB66" i="1"/>
  <c r="BE68" i="1"/>
  <c r="BE271" i="1" s="1"/>
  <c r="BE74" i="1"/>
  <c r="BE260" i="1"/>
  <c r="BF70" i="1"/>
  <c r="BF78" i="1"/>
  <c r="BF219" i="1"/>
  <c r="BF221" i="1" s="1"/>
  <c r="BF92" i="1"/>
  <c r="BC67" i="1"/>
  <c r="BC66" i="1"/>
  <c r="BS69" i="1"/>
  <c r="BE69" i="1"/>
  <c r="BE70" i="1"/>
  <c r="BO260" i="1"/>
  <c r="BO68" i="1"/>
  <c r="BO271" i="1" s="1"/>
  <c r="BO74" i="1"/>
  <c r="BP70" i="1"/>
  <c r="BO69" i="1"/>
  <c r="AI67" i="1"/>
  <c r="AI66" i="1"/>
  <c r="AU68" i="1"/>
  <c r="AU271" i="1" s="1"/>
  <c r="AU260" i="1"/>
  <c r="AY69" i="1"/>
  <c r="AU74" i="1"/>
  <c r="AU253" i="1"/>
  <c r="AU70" i="1"/>
  <c r="BW69" i="1"/>
  <c r="BS260" i="1"/>
  <c r="BS68" i="1"/>
  <c r="BS271" i="1" s="1"/>
  <c r="BS74" i="1"/>
  <c r="BK78" i="1"/>
  <c r="BK219" i="1"/>
  <c r="BK221" i="1" s="1"/>
  <c r="BK145" i="1"/>
  <c r="BK146" i="1" s="1"/>
  <c r="BS253" i="1"/>
  <c r="AS78" i="1"/>
  <c r="AS145" i="1"/>
  <c r="AS146" i="1" s="1"/>
  <c r="AS219" i="1"/>
  <c r="AS221" i="1" s="1"/>
  <c r="AS92" i="1"/>
  <c r="BP78" i="1"/>
  <c r="BP219" i="1"/>
  <c r="BP221" i="1" s="1"/>
  <c r="BP92" i="1"/>
  <c r="AR70" i="1"/>
  <c r="AQ69" i="1"/>
  <c r="AQ260" i="1"/>
  <c r="AQ74" i="1"/>
  <c r="AQ68" i="1"/>
  <c r="AQ271" i="1" s="1"/>
  <c r="AQ70" i="1"/>
  <c r="AU69" i="1"/>
  <c r="AT253" i="1"/>
  <c r="AS253" i="1"/>
  <c r="AR253" i="1"/>
  <c r="AX74" i="1"/>
  <c r="AX260" i="1"/>
  <c r="AX68" i="1"/>
  <c r="AX271" i="1" s="1"/>
  <c r="AZ253" i="1"/>
  <c r="AX70" i="1"/>
  <c r="AY70" i="1"/>
  <c r="AX69" i="1"/>
  <c r="BA253" i="1"/>
  <c r="BQ233" i="1"/>
  <c r="BQ231" i="1" s="1"/>
  <c r="BQ155" i="1"/>
  <c r="BQ81" i="1" s="1"/>
  <c r="BQ118" i="1"/>
  <c r="AW155" i="1"/>
  <c r="AW81" i="1" s="1"/>
  <c r="AW233" i="1"/>
  <c r="AW231" i="1" s="1"/>
  <c r="AW118" i="1"/>
  <c r="CS160" i="1"/>
  <c r="AC232" i="1"/>
  <c r="CA252" i="1"/>
  <c r="CB252" i="1"/>
  <c r="BU252" i="1"/>
  <c r="AT92" i="1" l="1"/>
  <c r="AT219" i="1"/>
  <c r="AT221" i="1" s="1"/>
  <c r="AT78" i="1"/>
  <c r="BK92" i="1"/>
  <c r="AP219" i="1"/>
  <c r="AP221" i="1" s="1"/>
  <c r="AP92" i="1"/>
  <c r="AP78" i="1"/>
  <c r="BU145" i="1"/>
  <c r="BU146" i="1" s="1"/>
  <c r="BU78" i="1"/>
  <c r="BU219" i="1"/>
  <c r="BU221" i="1" s="1"/>
  <c r="BU92" i="1"/>
  <c r="BS70" i="1"/>
  <c r="AZ69" i="1"/>
  <c r="AV68" i="1"/>
  <c r="AV271" i="1" s="1"/>
  <c r="AV260" i="1"/>
  <c r="AV74" i="1"/>
  <c r="AY253" i="1"/>
  <c r="AW253" i="1"/>
  <c r="AW70" i="1"/>
  <c r="AV69" i="1"/>
  <c r="AV70" i="1"/>
  <c r="AX253" i="1"/>
  <c r="AV253" i="1"/>
  <c r="AY219" i="1"/>
  <c r="AY221" i="1" s="1"/>
  <c r="AY92" i="1"/>
  <c r="AY145" i="1"/>
  <c r="AY146" i="1" s="1"/>
  <c r="AY78" i="1"/>
  <c r="BI69" i="1"/>
  <c r="BK253" i="1"/>
  <c r="BM92" i="1"/>
  <c r="BM78" i="1"/>
  <c r="BM69" i="1"/>
  <c r="BL253" i="1"/>
  <c r="BI74" i="1"/>
  <c r="BI260" i="1"/>
  <c r="BJ70" i="1"/>
  <c r="BI68" i="1"/>
  <c r="BI271" i="1" s="1"/>
  <c r="BM145" i="1"/>
  <c r="BM146" i="1" s="1"/>
  <c r="BM219" i="1"/>
  <c r="BM221" i="1" s="1"/>
  <c r="BE92" i="1"/>
  <c r="BE219" i="1"/>
  <c r="BE221" i="1" s="1"/>
  <c r="BD78" i="1"/>
  <c r="BD219" i="1"/>
  <c r="BD221" i="1" s="1"/>
  <c r="BD92" i="1"/>
  <c r="AO219" i="1"/>
  <c r="AO221" i="1" s="1"/>
  <c r="AO92" i="1"/>
  <c r="AO145" i="1"/>
  <c r="AO146" i="1" s="1"/>
  <c r="AO78" i="1"/>
  <c r="BR68" i="1"/>
  <c r="BR271" i="1" s="1"/>
  <c r="BR260" i="1"/>
  <c r="BR74" i="1"/>
  <c r="BR233" i="1" s="1"/>
  <c r="BR231" i="1" s="1"/>
  <c r="BV69" i="1"/>
  <c r="BR70" i="1"/>
  <c r="BR253" i="1"/>
  <c r="AN68" i="1"/>
  <c r="AN271" i="1" s="1"/>
  <c r="AQ253" i="1"/>
  <c r="AO70" i="1"/>
  <c r="AN253" i="1"/>
  <c r="AN69" i="1"/>
  <c r="AP253" i="1"/>
  <c r="AR69" i="1"/>
  <c r="AO253" i="1"/>
  <c r="AN74" i="1"/>
  <c r="AN70" i="1"/>
  <c r="AN260" i="1"/>
  <c r="BT68" i="1"/>
  <c r="BT271" i="1" s="1"/>
  <c r="BT260" i="1"/>
  <c r="BT74" i="1"/>
  <c r="BU70" i="1"/>
  <c r="BT69" i="1"/>
  <c r="BW253" i="1"/>
  <c r="BV253" i="1"/>
  <c r="BN260" i="1"/>
  <c r="BN74" i="1"/>
  <c r="BN69" i="1"/>
  <c r="BN68" i="1"/>
  <c r="BN271" i="1" s="1"/>
  <c r="BO70" i="1"/>
  <c r="BN253" i="1"/>
  <c r="BQ253" i="1"/>
  <c r="BN70" i="1"/>
  <c r="BO253" i="1"/>
  <c r="BP253" i="1"/>
  <c r="BH78" i="1"/>
  <c r="BH92" i="1"/>
  <c r="BH219" i="1"/>
  <c r="BH221" i="1" s="1"/>
  <c r="BA233" i="1"/>
  <c r="BA231" i="1" s="1"/>
  <c r="BA118" i="1"/>
  <c r="BA155" i="1"/>
  <c r="BA81" i="1" s="1"/>
  <c r="BX69" i="1"/>
  <c r="BR69" i="1"/>
  <c r="BB68" i="1"/>
  <c r="BB271" i="1" s="1"/>
  <c r="BF69" i="1"/>
  <c r="BB260" i="1"/>
  <c r="BB74" i="1"/>
  <c r="BB233" i="1" s="1"/>
  <c r="BB231" i="1" s="1"/>
  <c r="BC70" i="1"/>
  <c r="BD253" i="1"/>
  <c r="BB253" i="1"/>
  <c r="BB70" i="1"/>
  <c r="BC253" i="1"/>
  <c r="BE253" i="1"/>
  <c r="BB69" i="1"/>
  <c r="BT253" i="1"/>
  <c r="BT70" i="1"/>
  <c r="BK69" i="1"/>
  <c r="BH253" i="1"/>
  <c r="BG68" i="1"/>
  <c r="BG271" i="1" s="1"/>
  <c r="BH70" i="1"/>
  <c r="BG253" i="1"/>
  <c r="BG260" i="1"/>
  <c r="BJ253" i="1"/>
  <c r="BG70" i="1"/>
  <c r="BI253" i="1"/>
  <c r="BX253" i="1"/>
  <c r="BW260" i="1"/>
  <c r="BW70" i="1"/>
  <c r="BW74" i="1"/>
  <c r="BY253" i="1"/>
  <c r="CA69" i="1"/>
  <c r="BW68" i="1"/>
  <c r="BW271" i="1" s="1"/>
  <c r="BZ253" i="1"/>
  <c r="BG74" i="1"/>
  <c r="BX70" i="1"/>
  <c r="X87" i="1"/>
  <c r="BE78" i="1"/>
  <c r="BE145" i="1"/>
  <c r="BE146" i="1" s="1"/>
  <c r="BC260" i="1"/>
  <c r="BC68" i="1"/>
  <c r="BC271" i="1" s="1"/>
  <c r="BO78" i="1"/>
  <c r="BO92" i="1"/>
  <c r="BO219" i="1"/>
  <c r="BO221" i="1" s="1"/>
  <c r="BO145" i="1"/>
  <c r="BO146" i="1" s="1"/>
  <c r="AI68" i="1"/>
  <c r="AI260" i="1"/>
  <c r="AJ70" i="1"/>
  <c r="AM69" i="1"/>
  <c r="AI74" i="1"/>
  <c r="AL253" i="1"/>
  <c r="AU78" i="1"/>
  <c r="AU92" i="1"/>
  <c r="AU219" i="1"/>
  <c r="AU221" i="1" s="1"/>
  <c r="AU145" i="1"/>
  <c r="AU146" i="1" s="1"/>
  <c r="BG69" i="1"/>
  <c r="BF253" i="1"/>
  <c r="BD70" i="1"/>
  <c r="BC69" i="1"/>
  <c r="BC74" i="1"/>
  <c r="BQ80" i="1"/>
  <c r="BS219" i="1"/>
  <c r="BS221" i="1" s="1"/>
  <c r="BS78" i="1"/>
  <c r="BS145" i="1"/>
  <c r="BS146" i="1" s="1"/>
  <c r="BS92" i="1"/>
  <c r="BK118" i="1"/>
  <c r="BL233" i="1"/>
  <c r="BL231" i="1" s="1"/>
  <c r="BK233" i="1"/>
  <c r="BK231" i="1" s="1"/>
  <c r="BK155" i="1"/>
  <c r="BK81" i="1" s="1"/>
  <c r="BV233" i="1"/>
  <c r="BV231" i="1" s="1"/>
  <c r="BU233" i="1"/>
  <c r="BU231" i="1" s="1"/>
  <c r="BU118" i="1"/>
  <c r="BU155" i="1"/>
  <c r="BU81" i="1" s="1"/>
  <c r="AS233" i="1"/>
  <c r="AS231" i="1" s="1"/>
  <c r="AS118" i="1"/>
  <c r="AS155" i="1"/>
  <c r="AS81" i="1" s="1"/>
  <c r="AT233" i="1"/>
  <c r="AT231" i="1" s="1"/>
  <c r="AX233" i="1"/>
  <c r="AX231" i="1" s="1"/>
  <c r="BA80" i="1"/>
  <c r="AW80" i="1"/>
  <c r="BN78" i="1"/>
  <c r="BN92" i="1"/>
  <c r="BN219" i="1"/>
  <c r="BN221" i="1" s="1"/>
  <c r="BN80" i="1"/>
  <c r="U87" i="1"/>
  <c r="BP80" i="1"/>
  <c r="AV219" i="1"/>
  <c r="AV221" i="1" s="1"/>
  <c r="AV78" i="1"/>
  <c r="AV92" i="1"/>
  <c r="AV80" i="1"/>
  <c r="Q87" i="1"/>
  <c r="AX80" i="1"/>
  <c r="AX78" i="1"/>
  <c r="AX92" i="1"/>
  <c r="AX219" i="1"/>
  <c r="AX221" i="1" s="1"/>
  <c r="AZ80" i="1"/>
  <c r="AQ145" i="1"/>
  <c r="AQ146" i="1" s="1"/>
  <c r="AQ219" i="1"/>
  <c r="AQ221" i="1" s="1"/>
  <c r="AQ78" i="1"/>
  <c r="AQ92" i="1"/>
  <c r="AS80" i="1"/>
  <c r="AR80" i="1"/>
  <c r="AT80" i="1"/>
  <c r="P87" i="1"/>
  <c r="BG78" i="1"/>
  <c r="BG92" i="1"/>
  <c r="BG145" i="1"/>
  <c r="BG146" i="1" s="1"/>
  <c r="BH80" i="1"/>
  <c r="BG219" i="1"/>
  <c r="BG221" i="1" s="1"/>
  <c r="BQ120" i="1"/>
  <c r="BQ121" i="1"/>
  <c r="BQ122" i="1"/>
  <c r="BA121" i="1"/>
  <c r="BA120" i="1"/>
  <c r="BA122" i="1"/>
  <c r="AW121" i="1"/>
  <c r="AW120" i="1"/>
  <c r="AW122" i="1"/>
  <c r="CS164" i="1"/>
  <c r="CT58" i="1"/>
  <c r="AA164" i="1"/>
  <c r="W85" i="1"/>
  <c r="AU95" i="1" l="1"/>
  <c r="AY118" i="1"/>
  <c r="AY233" i="1"/>
  <c r="AY231" i="1" s="1"/>
  <c r="BO80" i="1"/>
  <c r="BX80" i="1"/>
  <c r="BW145" i="1"/>
  <c r="BW146" i="1" s="1"/>
  <c r="BY80" i="1"/>
  <c r="BW219" i="1"/>
  <c r="BW221" i="1" s="1"/>
  <c r="BW78" i="1"/>
  <c r="BZ80" i="1"/>
  <c r="BW92" i="1"/>
  <c r="BM95" i="1"/>
  <c r="BI115" i="1" s="1"/>
  <c r="BT92" i="1"/>
  <c r="BV95" i="1" s="1"/>
  <c r="BR115" i="1" s="1"/>
  <c r="BK80" i="1"/>
  <c r="AY155" i="1"/>
  <c r="AY81" i="1" s="1"/>
  <c r="AZ233" i="1"/>
  <c r="AZ231" i="1" s="1"/>
  <c r="AO80" i="1"/>
  <c r="BL80" i="1"/>
  <c r="BI78" i="1"/>
  <c r="BI219" i="1"/>
  <c r="BI221" i="1" s="1"/>
  <c r="BI92" i="1"/>
  <c r="BI145" i="1"/>
  <c r="BI146" i="1" s="1"/>
  <c r="BM80" i="1"/>
  <c r="BM233" i="1"/>
  <c r="BM231" i="1" s="1"/>
  <c r="BM155" i="1"/>
  <c r="BM81" i="1" s="1"/>
  <c r="BM118" i="1"/>
  <c r="BF233" i="1"/>
  <c r="BF231" i="1" s="1"/>
  <c r="BE118" i="1"/>
  <c r="BE155" i="1"/>
  <c r="BE81" i="1" s="1"/>
  <c r="BE233" i="1"/>
  <c r="BE231" i="1" s="1"/>
  <c r="BC145" i="1"/>
  <c r="BC146" i="1" s="1"/>
  <c r="BC219" i="1"/>
  <c r="BC221" i="1" s="1"/>
  <c r="BC78" i="1"/>
  <c r="BO233" i="1"/>
  <c r="BO231" i="1" s="1"/>
  <c r="BO155" i="1"/>
  <c r="BO81" i="1" s="1"/>
  <c r="BP233" i="1"/>
  <c r="BP231" i="1" s="1"/>
  <c r="BO118" i="1"/>
  <c r="AI92" i="1"/>
  <c r="AL95" i="1" s="1"/>
  <c r="AI78" i="1"/>
  <c r="AL80" i="1"/>
  <c r="N87" i="1"/>
  <c r="AI233" i="1"/>
  <c r="AI231" i="1" s="1"/>
  <c r="AI219" i="1"/>
  <c r="AI221" i="1" s="1"/>
  <c r="AI225" i="1" s="1"/>
  <c r="AI239" i="1" s="1"/>
  <c r="AU118" i="1"/>
  <c r="AU233" i="1"/>
  <c r="AU231" i="1" s="1"/>
  <c r="AU155" i="1"/>
  <c r="AU81" i="1" s="1"/>
  <c r="AU80" i="1"/>
  <c r="AP233" i="1"/>
  <c r="AP231" i="1" s="1"/>
  <c r="AO118" i="1"/>
  <c r="AO155" i="1"/>
  <c r="AO81" i="1" s="1"/>
  <c r="AO233" i="1"/>
  <c r="AO231" i="1" s="1"/>
  <c r="AV233" i="1"/>
  <c r="AV231" i="1" s="1"/>
  <c r="AY80" i="1"/>
  <c r="BT80" i="1"/>
  <c r="BR78" i="1"/>
  <c r="BR219" i="1"/>
  <c r="BR221" i="1" s="1"/>
  <c r="BR92" i="1"/>
  <c r="BR80" i="1"/>
  <c r="V87" i="1"/>
  <c r="BV80" i="1"/>
  <c r="BN233" i="1"/>
  <c r="BN231" i="1" s="1"/>
  <c r="BU80" i="1"/>
  <c r="BT219" i="1"/>
  <c r="BT221" i="1" s="1"/>
  <c r="BT78" i="1"/>
  <c r="BB92" i="1"/>
  <c r="BB78" i="1"/>
  <c r="BB219" i="1"/>
  <c r="BB221" i="1" s="1"/>
  <c r="BB80" i="1"/>
  <c r="R87" i="1"/>
  <c r="BD80" i="1"/>
  <c r="BE80" i="1"/>
  <c r="BJ80" i="1"/>
  <c r="T87" i="1"/>
  <c r="AN78" i="1"/>
  <c r="AP80" i="1"/>
  <c r="AN92" i="1"/>
  <c r="AN219" i="1"/>
  <c r="AN221" i="1" s="1"/>
  <c r="AN80" i="1"/>
  <c r="O87" i="1"/>
  <c r="AN233" i="1"/>
  <c r="AN231" i="1" s="1"/>
  <c r="BT233" i="1"/>
  <c r="BT231" i="1" s="1"/>
  <c r="BS118" i="1"/>
  <c r="BS155" i="1"/>
  <c r="BS81" i="1" s="1"/>
  <c r="BS233" i="1"/>
  <c r="BS231" i="1" s="1"/>
  <c r="BS80" i="1"/>
  <c r="S87" i="1"/>
  <c r="BF80" i="1"/>
  <c r="BC92" i="1"/>
  <c r="BF95" i="1" s="1"/>
  <c r="BM111" i="1"/>
  <c r="BM113" i="1"/>
  <c r="BM112" i="1"/>
  <c r="BK122" i="1"/>
  <c r="BK120" i="1"/>
  <c r="BK121" i="1"/>
  <c r="BU120" i="1"/>
  <c r="BU122" i="1"/>
  <c r="BU121" i="1"/>
  <c r="AS121" i="1"/>
  <c r="AS122" i="1"/>
  <c r="AS120" i="1"/>
  <c r="BA95" i="1"/>
  <c r="AZ95" i="1"/>
  <c r="AY95" i="1"/>
  <c r="AY112" i="1" s="1"/>
  <c r="AX95" i="1"/>
  <c r="AV95" i="1"/>
  <c r="AW95" i="1"/>
  <c r="AT95" i="1"/>
  <c r="AR95" i="1"/>
  <c r="AS95" i="1"/>
  <c r="BQ95" i="1"/>
  <c r="BO95" i="1"/>
  <c r="BN95" i="1"/>
  <c r="BP95" i="1"/>
  <c r="BG95" i="1"/>
  <c r="BH95" i="1"/>
  <c r="BG233" i="1"/>
  <c r="BG231" i="1" s="1"/>
  <c r="BG155" i="1"/>
  <c r="BG81" i="1" s="1"/>
  <c r="BG118" i="1"/>
  <c r="BG80" i="1"/>
  <c r="BH233" i="1"/>
  <c r="BH231" i="1" s="1"/>
  <c r="AQ155" i="1"/>
  <c r="AQ81" i="1" s="1"/>
  <c r="AQ233" i="1"/>
  <c r="AQ231" i="1" s="1"/>
  <c r="AQ118" i="1"/>
  <c r="AR233" i="1"/>
  <c r="AR231" i="1" s="1"/>
  <c r="AQ80" i="1"/>
  <c r="BW233" i="1"/>
  <c r="BW231" i="1" s="1"/>
  <c r="BX233" i="1"/>
  <c r="BX231" i="1" s="1"/>
  <c r="BW155" i="1"/>
  <c r="BW81" i="1" s="1"/>
  <c r="BW80" i="1"/>
  <c r="BW118" i="1"/>
  <c r="CT220" i="1"/>
  <c r="CT158" i="1"/>
  <c r="CS229" i="1"/>
  <c r="CS227" i="1" s="1"/>
  <c r="AA59" i="1"/>
  <c r="W86" i="1"/>
  <c r="AU113" i="1" l="1"/>
  <c r="AU112" i="1"/>
  <c r="AQ115" i="1"/>
  <c r="AU111" i="1"/>
  <c r="AY120" i="1"/>
  <c r="AY121" i="1"/>
  <c r="AY122" i="1"/>
  <c r="BJ95" i="1"/>
  <c r="BF115" i="1" s="1"/>
  <c r="BI95" i="1"/>
  <c r="BZ95" i="1"/>
  <c r="BX95" i="1"/>
  <c r="BY95" i="1"/>
  <c r="BL95" i="1"/>
  <c r="BK95" i="1"/>
  <c r="BR95" i="1"/>
  <c r="BR112" i="1" s="1"/>
  <c r="BT95" i="1"/>
  <c r="BS95" i="1"/>
  <c r="BI118" i="1"/>
  <c r="BI155" i="1"/>
  <c r="BI81" i="1" s="1"/>
  <c r="BI233" i="1"/>
  <c r="BI231" i="1" s="1"/>
  <c r="BI80" i="1"/>
  <c r="BJ233" i="1"/>
  <c r="BJ231" i="1" s="1"/>
  <c r="AI236" i="1"/>
  <c r="AI237" i="1" s="1"/>
  <c r="BM121" i="1"/>
  <c r="BM122" i="1"/>
  <c r="BM120" i="1"/>
  <c r="BU95" i="1"/>
  <c r="BU111" i="1" s="1"/>
  <c r="BE120" i="1"/>
  <c r="BE122" i="1"/>
  <c r="BE121" i="1"/>
  <c r="BC233" i="1"/>
  <c r="BC231" i="1" s="1"/>
  <c r="BC155" i="1"/>
  <c r="BC81" i="1" s="1"/>
  <c r="BC118" i="1"/>
  <c r="BC80" i="1"/>
  <c r="BD233" i="1"/>
  <c r="BD231" i="1" s="1"/>
  <c r="BO120" i="1"/>
  <c r="BO121" i="1"/>
  <c r="BO122" i="1"/>
  <c r="AL111" i="1"/>
  <c r="AL112" i="1"/>
  <c r="AL113" i="1"/>
  <c r="AU121" i="1"/>
  <c r="AU122" i="1"/>
  <c r="AU120" i="1"/>
  <c r="AO122" i="1"/>
  <c r="AO120" i="1"/>
  <c r="AO121" i="1"/>
  <c r="AQ95" i="1"/>
  <c r="AN95" i="1"/>
  <c r="AP95" i="1"/>
  <c r="AO95" i="1"/>
  <c r="BB95" i="1"/>
  <c r="BW95" i="1"/>
  <c r="BV113" i="1"/>
  <c r="BV112" i="1"/>
  <c r="BV111" i="1"/>
  <c r="BS120" i="1"/>
  <c r="BS121" i="1"/>
  <c r="BS122" i="1"/>
  <c r="BB115" i="1"/>
  <c r="BF111" i="1"/>
  <c r="BF113" i="1"/>
  <c r="BF112" i="1"/>
  <c r="BE95" i="1"/>
  <c r="BE112" i="1" s="1"/>
  <c r="BD95" i="1"/>
  <c r="BC95" i="1"/>
  <c r="BL111" i="1"/>
  <c r="BL112" i="1"/>
  <c r="BN115" i="1"/>
  <c r="BR111" i="1"/>
  <c r="BR113" i="1"/>
  <c r="BV96" i="1"/>
  <c r="BP115" i="1"/>
  <c r="BT113" i="1"/>
  <c r="BT111" i="1"/>
  <c r="BT112" i="1"/>
  <c r="BS113" i="1"/>
  <c r="BO115" i="1"/>
  <c r="BS112" i="1"/>
  <c r="BS111" i="1"/>
  <c r="BH115" i="1"/>
  <c r="BL113" i="1"/>
  <c r="BK111" i="1"/>
  <c r="BK112" i="1"/>
  <c r="BK113" i="1"/>
  <c r="BG115" i="1"/>
  <c r="BT96" i="1"/>
  <c r="BV115" i="1"/>
  <c r="BZ96" i="1"/>
  <c r="BY96" i="1"/>
  <c r="BI121" i="1"/>
  <c r="BI122" i="1"/>
  <c r="BI120" i="1"/>
  <c r="BQ115" i="1"/>
  <c r="BU113" i="1"/>
  <c r="BU112" i="1"/>
  <c r="BC121" i="1"/>
  <c r="BC120" i="1"/>
  <c r="BC122" i="1"/>
  <c r="AW115" i="1"/>
  <c r="BQ112" i="1"/>
  <c r="BM115" i="1"/>
  <c r="BU96" i="1"/>
  <c r="BA113" i="1"/>
  <c r="AX96" i="1"/>
  <c r="CD96" i="1"/>
  <c r="BZ113" i="1"/>
  <c r="BX112" i="1"/>
  <c r="BT115" i="1"/>
  <c r="BX113" i="1"/>
  <c r="CB96" i="1"/>
  <c r="BX111" i="1"/>
  <c r="AN113" i="1"/>
  <c r="AR96" i="1"/>
  <c r="AN112" i="1"/>
  <c r="AN111" i="1"/>
  <c r="BO111" i="1"/>
  <c r="BK115" i="1"/>
  <c r="BO112" i="1"/>
  <c r="BO96" i="1"/>
  <c r="BO113" i="1"/>
  <c r="AP115" i="1"/>
  <c r="CA96" i="1"/>
  <c r="BS115" i="1"/>
  <c r="BJ112" i="1"/>
  <c r="BJ96" i="1"/>
  <c r="BJ111" i="1"/>
  <c r="BQ111" i="1"/>
  <c r="BQ96" i="1"/>
  <c r="BQ113" i="1"/>
  <c r="AW111" i="1"/>
  <c r="AW112" i="1"/>
  <c r="AS115" i="1"/>
  <c r="BA96" i="1"/>
  <c r="AW113" i="1"/>
  <c r="AV115" i="1"/>
  <c r="AZ113" i="1"/>
  <c r="AZ112" i="1"/>
  <c r="AZ111" i="1"/>
  <c r="AY113" i="1"/>
  <c r="AU115" i="1"/>
  <c r="AY96" i="1"/>
  <c r="AT112" i="1"/>
  <c r="BJ113" i="1"/>
  <c r="BW112" i="1"/>
  <c r="AM115" i="1"/>
  <c r="BS96" i="1"/>
  <c r="BM96" i="1"/>
  <c r="BI113" i="1"/>
  <c r="BI111" i="1"/>
  <c r="BI112" i="1"/>
  <c r="BE115" i="1"/>
  <c r="AO113" i="1"/>
  <c r="AO111" i="1"/>
  <c r="AS96" i="1"/>
  <c r="AO112" i="1"/>
  <c r="BP96" i="1"/>
  <c r="BL115" i="1"/>
  <c r="BP112" i="1"/>
  <c r="BP113" i="1"/>
  <c r="BP111" i="1"/>
  <c r="AS112" i="1"/>
  <c r="AO115" i="1"/>
  <c r="AS113" i="1"/>
  <c r="AS111" i="1"/>
  <c r="AW96" i="1"/>
  <c r="AV112" i="1"/>
  <c r="AV111" i="1"/>
  <c r="AZ96" i="1"/>
  <c r="AV113" i="1"/>
  <c r="AR115" i="1"/>
  <c r="BA111" i="1"/>
  <c r="BA112" i="1"/>
  <c r="BC115" i="1"/>
  <c r="BG111" i="1"/>
  <c r="BG112" i="1"/>
  <c r="BG113" i="1"/>
  <c r="BK96" i="1"/>
  <c r="AT113" i="1"/>
  <c r="AT111" i="1"/>
  <c r="AY111" i="1"/>
  <c r="BZ112" i="1"/>
  <c r="CC116" i="1" s="1"/>
  <c r="BN96" i="1"/>
  <c r="BZ111" i="1"/>
  <c r="CC96" i="1"/>
  <c r="BY113" i="1"/>
  <c r="BU115" i="1"/>
  <c r="BY112" i="1"/>
  <c r="CB116" i="1" s="1"/>
  <c r="BY111" i="1"/>
  <c r="BH113" i="1"/>
  <c r="BH111" i="1"/>
  <c r="BD115" i="1"/>
  <c r="BL96" i="1"/>
  <c r="BH112" i="1"/>
  <c r="BR96" i="1"/>
  <c r="BJ115" i="1"/>
  <c r="BN113" i="1"/>
  <c r="BN111" i="1"/>
  <c r="BN112" i="1"/>
  <c r="AN115" i="1"/>
  <c r="AR113" i="1"/>
  <c r="AR112" i="1"/>
  <c r="AR111" i="1"/>
  <c r="AV96" i="1"/>
  <c r="AX112" i="1"/>
  <c r="AX111" i="1"/>
  <c r="AT115" i="1"/>
  <c r="AX113" i="1"/>
  <c r="BX96" i="1"/>
  <c r="BW120" i="1"/>
  <c r="BW122" i="1"/>
  <c r="BW121" i="1"/>
  <c r="BG120" i="1"/>
  <c r="BG122" i="1"/>
  <c r="BG121" i="1"/>
  <c r="AQ121" i="1"/>
  <c r="AQ122" i="1"/>
  <c r="AQ120" i="1"/>
  <c r="CT160" i="1"/>
  <c r="AD275" i="1"/>
  <c r="AA229" i="1"/>
  <c r="AA227" i="1" s="1"/>
  <c r="AR135" i="1"/>
  <c r="W87" i="1"/>
  <c r="BW111" i="1" l="1"/>
  <c r="BW96" i="1"/>
  <c r="AQ112" i="1"/>
  <c r="AQ111" i="1"/>
  <c r="AX115" i="1"/>
  <c r="BF96" i="1"/>
  <c r="BB113" i="1"/>
  <c r="BB112" i="1"/>
  <c r="BW113" i="1"/>
  <c r="BE113" i="1"/>
  <c r="BI96" i="1"/>
  <c r="BE111" i="1"/>
  <c r="AU96" i="1"/>
  <c r="AQ96" i="1"/>
  <c r="AQ113" i="1"/>
  <c r="BD96" i="1"/>
  <c r="AZ115" i="1"/>
  <c r="BD111" i="1"/>
  <c r="BH96" i="1"/>
  <c r="BD113" i="1"/>
  <c r="BD112" i="1"/>
  <c r="BB111" i="1"/>
  <c r="AT96" i="1"/>
  <c r="AP113" i="1"/>
  <c r="AP96" i="1"/>
  <c r="AL115" i="1"/>
  <c r="AP112" i="1"/>
  <c r="AP111" i="1"/>
  <c r="BB96" i="1"/>
  <c r="BC96" i="1"/>
  <c r="BE96" i="1"/>
  <c r="BC113" i="1"/>
  <c r="AY115" i="1"/>
  <c r="BG96" i="1"/>
  <c r="BC112" i="1"/>
  <c r="BC111" i="1"/>
  <c r="BA115" i="1"/>
  <c r="BT116" i="1"/>
  <c r="BH116" i="1"/>
  <c r="BM116" i="1"/>
  <c r="BG116" i="1"/>
  <c r="BN116" i="1"/>
  <c r="BB116" i="1"/>
  <c r="BI116" i="1"/>
  <c r="AW116" i="1"/>
  <c r="BL116" i="1"/>
  <c r="BY116" i="1"/>
  <c r="AZ116" i="1"/>
  <c r="AR116" i="1"/>
  <c r="AV116" i="1"/>
  <c r="BJ116" i="1"/>
  <c r="BE116" i="1"/>
  <c r="AS116" i="1"/>
  <c r="AU116" i="1"/>
  <c r="BA116" i="1"/>
  <c r="AT116" i="1"/>
  <c r="AQ116" i="1"/>
  <c r="AP116" i="1"/>
  <c r="AO116" i="1"/>
  <c r="BP116" i="1"/>
  <c r="BO116" i="1"/>
  <c r="AY116" i="1"/>
  <c r="AX116" i="1"/>
  <c r="CA116" i="1"/>
  <c r="BR116" i="1"/>
  <c r="BC116" i="1"/>
  <c r="BZ116" i="1"/>
  <c r="BS116" i="1"/>
  <c r="BD116" i="1"/>
  <c r="BK116" i="1"/>
  <c r="BQ116" i="1"/>
  <c r="BX116" i="1"/>
  <c r="BW116" i="1"/>
  <c r="BV116" i="1"/>
  <c r="BU116" i="1"/>
  <c r="CU58" i="1"/>
  <c r="CT164" i="1"/>
  <c r="AD232" i="1"/>
  <c r="AB164" i="1"/>
  <c r="AR136" i="1"/>
  <c r="AR139" i="1" s="1"/>
  <c r="AR137" i="1"/>
  <c r="AR140" i="1" s="1"/>
  <c r="CA253" i="1"/>
  <c r="CB253" i="1"/>
  <c r="W219" i="1"/>
  <c r="W221" i="1" s="1"/>
  <c r="BU253" i="1"/>
  <c r="BF116" i="1" l="1"/>
  <c r="CT229" i="1"/>
  <c r="CT227" i="1" s="1"/>
  <c r="CU220" i="1"/>
  <c r="CU158" i="1"/>
  <c r="AB229" i="1"/>
  <c r="AB227" i="1" s="1"/>
  <c r="CA115" i="1"/>
  <c r="CU160" i="1" l="1"/>
  <c r="CF115" i="1"/>
  <c r="W115" i="1"/>
  <c r="W95" i="1"/>
  <c r="W94" i="1"/>
  <c r="CU164" i="1" l="1"/>
  <c r="CV58" i="1"/>
  <c r="AC58" i="1" s="1"/>
  <c r="AC220" i="1" s="1"/>
  <c r="AE275" i="1"/>
  <c r="W96" i="1"/>
  <c r="X96" i="1"/>
  <c r="X115" i="1"/>
  <c r="W113" i="1"/>
  <c r="V115" i="1"/>
  <c r="W111" i="1"/>
  <c r="W112" i="1"/>
  <c r="CV220" i="1" l="1"/>
  <c r="CV158" i="1"/>
  <c r="AC158" i="1" s="1"/>
  <c r="AC160" i="1" s="1"/>
  <c r="AC59" i="1" s="1"/>
  <c r="CU229" i="1"/>
  <c r="CU227" i="1" s="1"/>
  <c r="AE232" i="1"/>
  <c r="W146" i="1"/>
  <c r="AC164" i="1" l="1"/>
  <c r="AC229" i="1" s="1"/>
  <c r="AC227" i="1" s="1"/>
  <c r="CV160" i="1"/>
  <c r="W80" i="1"/>
  <c r="W118" i="1"/>
  <c r="X233" i="1"/>
  <c r="X231" i="1" s="1"/>
  <c r="W233" i="1"/>
  <c r="W231" i="1" s="1"/>
  <c r="W155" i="1"/>
  <c r="W81" i="1" s="1"/>
  <c r="W201" i="1"/>
  <c r="CW58" i="1" l="1"/>
  <c r="CV164" i="1"/>
  <c r="W121" i="1"/>
  <c r="W120" i="1"/>
  <c r="W122" i="1"/>
  <c r="CV229" i="1" l="1"/>
  <c r="CV227" i="1" s="1"/>
  <c r="CW220" i="1"/>
  <c r="CW158" i="1"/>
  <c r="CW160" i="1" l="1"/>
  <c r="CW164" i="1" l="1"/>
  <c r="CX58" i="1"/>
  <c r="CX220" i="1" l="1"/>
  <c r="CX158" i="1"/>
  <c r="CW229" i="1"/>
  <c r="CW227" i="1" s="1"/>
  <c r="CX160" i="1" l="1"/>
  <c r="CX164" i="1" l="1"/>
  <c r="CY58" i="1"/>
  <c r="CY220" i="1" l="1"/>
  <c r="CY158" i="1"/>
  <c r="CX229" i="1"/>
  <c r="CX227" i="1" s="1"/>
  <c r="CY160" i="1" l="1"/>
  <c r="W206" i="1"/>
  <c r="CY164" i="1" l="1"/>
  <c r="CZ58" i="1"/>
  <c r="AD58" i="1" s="1"/>
  <c r="W209" i="1"/>
  <c r="W182" i="1"/>
  <c r="X223" i="1" s="1"/>
  <c r="AD220" i="1" l="1"/>
  <c r="CZ220" i="1"/>
  <c r="CZ158" i="1"/>
  <c r="AD158" i="1" s="1"/>
  <c r="AD160" i="1" s="1"/>
  <c r="AD164" i="1" s="1"/>
  <c r="AD229" i="1" s="1"/>
  <c r="AD227" i="1" s="1"/>
  <c r="CY229" i="1"/>
  <c r="CY227" i="1" s="1"/>
  <c r="W211" i="1"/>
  <c r="W210" i="1" s="1"/>
  <c r="W223" i="1"/>
  <c r="W174" i="1"/>
  <c r="X222" i="1" s="1"/>
  <c r="X224" i="1" s="1"/>
  <c r="X225" i="1" s="1"/>
  <c r="X239" i="1" s="1"/>
  <c r="W205" i="1"/>
  <c r="AD59" i="1" l="1"/>
  <c r="CZ160" i="1"/>
  <c r="W208" i="1"/>
  <c r="W183" i="1"/>
  <c r="W222" i="1"/>
  <c r="W224" i="1" s="1"/>
  <c r="W225" i="1" s="1"/>
  <c r="CZ164" i="1" l="1"/>
  <c r="CZ229" i="1" s="1"/>
  <c r="CZ227" i="1" s="1"/>
  <c r="DA58" i="1"/>
  <c r="W207" i="1"/>
  <c r="W212" i="1"/>
  <c r="W236" i="1"/>
  <c r="W239" i="1"/>
  <c r="DA220" i="1" l="1"/>
  <c r="DA158" i="1"/>
  <c r="W215" i="1"/>
  <c r="W216" i="1" s="1"/>
  <c r="X215" i="1"/>
  <c r="X216" i="1" s="1"/>
  <c r="DA160" i="1" l="1"/>
  <c r="W187" i="1"/>
  <c r="X235" i="1" l="1"/>
  <c r="X236" i="1" s="1"/>
  <c r="X237" i="1" s="1"/>
  <c r="W272" i="1"/>
  <c r="W274" i="1"/>
  <c r="W270" i="1"/>
  <c r="DA164" i="1"/>
  <c r="DA229" i="1" s="1"/>
  <c r="DA227" i="1" s="1"/>
  <c r="DB58" i="1"/>
  <c r="W194" i="1"/>
  <c r="W135" i="1" s="1"/>
  <c r="W191" i="1"/>
  <c r="W237" i="1"/>
  <c r="DB220" i="1" l="1"/>
  <c r="DB158" i="1"/>
  <c r="W137" i="1"/>
  <c r="W140" i="1" s="1"/>
  <c r="W136" i="1"/>
  <c r="W139" i="1" s="1"/>
  <c r="W192" i="1"/>
  <c r="DB160" i="1" l="1"/>
  <c r="C112" i="2"/>
  <c r="C111" i="2"/>
  <c r="C113" i="2"/>
  <c r="DB164" i="1" l="1"/>
  <c r="DC58" i="1"/>
  <c r="B99" i="1"/>
  <c r="B100" i="1"/>
  <c r="DC220" i="1" l="1"/>
  <c r="DC158" i="1"/>
  <c r="DB229" i="1"/>
  <c r="DB227" i="1" s="1"/>
  <c r="DC160" i="1" l="1"/>
  <c r="DC164" i="1" l="1"/>
  <c r="DC229" i="1" s="1"/>
  <c r="DC227" i="1" s="1"/>
  <c r="DD58" i="1"/>
  <c r="AK205" i="1"/>
  <c r="AK170" i="1" s="1"/>
  <c r="DD220" i="1" l="1"/>
  <c r="AE58" i="1"/>
  <c r="DD158" i="1"/>
  <c r="AM170" i="1"/>
  <c r="AE220" i="1" l="1"/>
  <c r="DD160" i="1"/>
  <c r="DD164" i="1" s="1"/>
  <c r="DD229" i="1" s="1"/>
  <c r="DD227" i="1" s="1"/>
  <c r="AE158" i="1"/>
  <c r="AE160" i="1" s="1"/>
  <c r="AE164" i="1" s="1"/>
  <c r="AE229" i="1" s="1"/>
  <c r="AE227" i="1" s="1"/>
  <c r="AO170" i="1"/>
  <c r="AE59" i="1" l="1"/>
  <c r="AQ170" i="1"/>
  <c r="AS170" i="1" l="1"/>
  <c r="AU170" i="1" l="1"/>
  <c r="AW170" i="1" l="1"/>
  <c r="AY170" i="1" l="1"/>
  <c r="BA170" i="1" l="1"/>
  <c r="BC170" i="1" l="1"/>
  <c r="BE170" i="1" l="1"/>
  <c r="BG170" i="1" l="1"/>
  <c r="BI170" i="1" l="1"/>
  <c r="BK170" i="1" l="1"/>
  <c r="BM170" i="1" l="1"/>
  <c r="BO170" i="1" l="1"/>
  <c r="BQ170" i="1" l="1"/>
  <c r="BS170" i="1" l="1"/>
  <c r="BU170" i="1" l="1"/>
  <c r="BW170" i="1" l="1"/>
  <c r="BY170" i="1" l="1"/>
  <c r="AK171" i="1" l="1"/>
  <c r="AK174" i="1" s="1"/>
  <c r="AL222" i="1" l="1"/>
  <c r="AK222" i="1"/>
  <c r="AK208" i="1"/>
  <c r="AM171" i="1"/>
  <c r="AM174" i="1" s="1"/>
  <c r="AM208" i="1" l="1"/>
  <c r="AM207" i="1" s="1"/>
  <c r="AN222" i="1"/>
  <c r="AM222" i="1"/>
  <c r="AJ207" i="1"/>
  <c r="AK207" i="1"/>
  <c r="AO171" i="1" l="1"/>
  <c r="AO174" i="1" s="1"/>
  <c r="AP222" i="1" l="1"/>
  <c r="AO208" i="1"/>
  <c r="AO207" i="1" s="1"/>
  <c r="AO222" i="1"/>
  <c r="AQ171" i="1" l="1"/>
  <c r="AQ174" i="1" s="1"/>
  <c r="AQ208" i="1" l="1"/>
  <c r="AQ207" i="1" s="1"/>
  <c r="AR222" i="1"/>
  <c r="AQ222" i="1"/>
  <c r="AS171" i="1" l="1"/>
  <c r="AS174" i="1" s="1"/>
  <c r="AT222" i="1" l="1"/>
  <c r="AS208" i="1"/>
  <c r="AS207" i="1" s="1"/>
  <c r="AS222" i="1"/>
  <c r="AU171" i="1" l="1"/>
  <c r="AU174" i="1" s="1"/>
  <c r="AU208" i="1" l="1"/>
  <c r="AU207" i="1" s="1"/>
  <c r="AV222" i="1"/>
  <c r="AU222" i="1"/>
  <c r="AW171" i="1" l="1"/>
  <c r="AW174" i="1" s="1"/>
  <c r="AW208" i="1" l="1"/>
  <c r="AW207" i="1" s="1"/>
  <c r="AX222" i="1"/>
  <c r="AW222" i="1"/>
  <c r="AY171" i="1" l="1"/>
  <c r="AY174" i="1" s="1"/>
  <c r="AY208" i="1" l="1"/>
  <c r="AY207" i="1" s="1"/>
  <c r="AZ222" i="1"/>
  <c r="AY222" i="1"/>
  <c r="BA171" i="1" l="1"/>
  <c r="BA174" i="1" s="1"/>
  <c r="BB222" i="1" l="1"/>
  <c r="BA208" i="1"/>
  <c r="BA207" i="1" s="1"/>
  <c r="BA222" i="1"/>
  <c r="BC171" i="1" l="1"/>
  <c r="BC174" i="1" s="1"/>
  <c r="BD222" i="1" l="1"/>
  <c r="BC208" i="1"/>
  <c r="BC207" i="1" s="1"/>
  <c r="BC222" i="1"/>
  <c r="BE171" i="1" l="1"/>
  <c r="BE174" i="1" s="1"/>
  <c r="BF222" i="1" l="1"/>
  <c r="BE208" i="1"/>
  <c r="BE207" i="1" s="1"/>
  <c r="BE222" i="1"/>
  <c r="BG171" i="1" l="1"/>
  <c r="BG174" i="1" s="1"/>
  <c r="BG208" i="1" l="1"/>
  <c r="BG207" i="1" s="1"/>
  <c r="BH222" i="1"/>
  <c r="BG222" i="1"/>
  <c r="BI171" i="1" l="1"/>
  <c r="BI174" i="1" s="1"/>
  <c r="BJ222" i="1" l="1"/>
  <c r="BI208" i="1"/>
  <c r="BI207" i="1" s="1"/>
  <c r="BI222" i="1"/>
  <c r="BK171" i="1" l="1"/>
  <c r="BK174" i="1" s="1"/>
  <c r="BL222" i="1" l="1"/>
  <c r="BK208" i="1"/>
  <c r="BK207" i="1" s="1"/>
  <c r="BK222" i="1"/>
  <c r="BM171" i="1" l="1"/>
  <c r="BM174" i="1" s="1"/>
  <c r="BM208" i="1" l="1"/>
  <c r="BM207" i="1" s="1"/>
  <c r="BN222" i="1"/>
  <c r="BM222" i="1"/>
  <c r="BO171" i="1" l="1"/>
  <c r="BO174" i="1" s="1"/>
  <c r="BO208" i="1" l="1"/>
  <c r="BO207" i="1" s="1"/>
  <c r="BP222" i="1"/>
  <c r="BO222" i="1"/>
  <c r="BQ171" i="1" l="1"/>
  <c r="BQ174" i="1" s="1"/>
  <c r="BR222" i="1" l="1"/>
  <c r="BQ208" i="1"/>
  <c r="BQ207" i="1" s="1"/>
  <c r="BQ222" i="1"/>
  <c r="BS171" i="1" l="1"/>
  <c r="BS174" i="1" s="1"/>
  <c r="BT222" i="1" l="1"/>
  <c r="BS208" i="1"/>
  <c r="BS207" i="1" s="1"/>
  <c r="BS222" i="1"/>
  <c r="BU171" i="1" l="1"/>
  <c r="BU174" i="1" s="1"/>
  <c r="BU208" i="1" l="1"/>
  <c r="BU207" i="1" s="1"/>
  <c r="BV222" i="1"/>
  <c r="BU222" i="1"/>
  <c r="BW171" i="1" l="1"/>
  <c r="BW174" i="1" s="1"/>
  <c r="BW208" i="1" l="1"/>
  <c r="BW207" i="1" s="1"/>
  <c r="BX222" i="1"/>
  <c r="BW222" i="1"/>
  <c r="BY171" i="1" l="1"/>
  <c r="BY174" i="1" s="1"/>
  <c r="BZ222" i="1" l="1"/>
  <c r="BY208" i="1"/>
  <c r="BY207" i="1" s="1"/>
  <c r="BY222" i="1"/>
  <c r="AK209" i="1" l="1"/>
  <c r="AK179" i="1" s="1"/>
  <c r="AK182" i="1" s="1"/>
  <c r="AK183" i="1" l="1"/>
  <c r="AK211" i="1"/>
  <c r="AL223" i="1"/>
  <c r="AL224" i="1" s="1"/>
  <c r="AL225" i="1" s="1"/>
  <c r="AL239" i="1" s="1"/>
  <c r="AK223" i="1"/>
  <c r="AK224" i="1" s="1"/>
  <c r="AK225" i="1" s="1"/>
  <c r="AM179" i="1"/>
  <c r="AM182" i="1" s="1"/>
  <c r="AK239" i="1" l="1"/>
  <c r="AK236" i="1"/>
  <c r="AK186" i="1" s="1"/>
  <c r="AK187" i="1" s="1"/>
  <c r="AK191" i="1" s="1"/>
  <c r="AK192" i="1" s="1"/>
  <c r="AN223" i="1"/>
  <c r="AN224" i="1" s="1"/>
  <c r="AN225" i="1" s="1"/>
  <c r="AN239" i="1" s="1"/>
  <c r="AM211" i="1"/>
  <c r="AM210" i="1" s="1"/>
  <c r="AM223" i="1"/>
  <c r="AM224" i="1" s="1"/>
  <c r="AM225" i="1" s="1"/>
  <c r="AM183" i="1"/>
  <c r="AJ210" i="1"/>
  <c r="AJ212" i="1"/>
  <c r="AN215" i="1" s="1"/>
  <c r="AK210" i="1"/>
  <c r="AK212" i="1"/>
  <c r="AO179" i="1"/>
  <c r="AO182" i="1" s="1"/>
  <c r="AM212" i="1" l="1"/>
  <c r="AO211" i="1"/>
  <c r="AO210" i="1" s="1"/>
  <c r="AP223" i="1"/>
  <c r="AP224" i="1" s="1"/>
  <c r="AP225" i="1" s="1"/>
  <c r="AP239" i="1" s="1"/>
  <c r="AO223" i="1"/>
  <c r="AO224" i="1" s="1"/>
  <c r="AO225" i="1" s="1"/>
  <c r="AM239" i="1"/>
  <c r="AM236" i="1"/>
  <c r="AO183" i="1"/>
  <c r="AL235" i="1" l="1"/>
  <c r="AL236" i="1" s="1"/>
  <c r="AL237" i="1" s="1"/>
  <c r="AK237" i="1"/>
  <c r="AO212" i="1"/>
  <c r="AO215" i="1" s="1"/>
  <c r="AO239" i="1"/>
  <c r="AO236" i="1"/>
  <c r="AQ179" i="1"/>
  <c r="AQ182" i="1" s="1"/>
  <c r="AK194" i="1"/>
  <c r="AL63" i="1" s="1"/>
  <c r="AM186" i="1"/>
  <c r="AM187" i="1" s="1"/>
  <c r="AM191" i="1" s="1"/>
  <c r="AN235" i="1" l="1"/>
  <c r="AN236" i="1" s="1"/>
  <c r="AN237" i="1" s="1"/>
  <c r="AM274" i="1"/>
  <c r="AM272" i="1"/>
  <c r="AM270" i="1"/>
  <c r="AQ211" i="1"/>
  <c r="AQ210" i="1" s="1"/>
  <c r="AR223" i="1"/>
  <c r="AR224" i="1" s="1"/>
  <c r="AR225" i="1" s="1"/>
  <c r="AR239" i="1" s="1"/>
  <c r="AQ223" i="1"/>
  <c r="AQ224" i="1" s="1"/>
  <c r="AQ225" i="1" s="1"/>
  <c r="AM237" i="1"/>
  <c r="AQ183" i="1"/>
  <c r="AO186" i="1"/>
  <c r="AO187" i="1" s="1"/>
  <c r="AM194" i="1"/>
  <c r="AO272" i="1" l="1"/>
  <c r="AO274" i="1"/>
  <c r="AO270" i="1"/>
  <c r="AM135" i="1"/>
  <c r="AM136" i="1" s="1"/>
  <c r="AM139" i="1" s="1"/>
  <c r="AN63" i="1"/>
  <c r="AQ212" i="1"/>
  <c r="AQ215" i="1" s="1"/>
  <c r="AQ239" i="1"/>
  <c r="AQ236" i="1"/>
  <c r="AP235" i="1"/>
  <c r="AP236" i="1" s="1"/>
  <c r="AP237" i="1" s="1"/>
  <c r="AO237" i="1"/>
  <c r="AS179" i="1"/>
  <c r="AS182" i="1" s="1"/>
  <c r="AO194" i="1"/>
  <c r="AO191" i="1"/>
  <c r="AM192" i="1"/>
  <c r="AM137" i="1" l="1"/>
  <c r="AM140" i="1" s="1"/>
  <c r="AO135" i="1"/>
  <c r="AO137" i="1" s="1"/>
  <c r="AO140" i="1" s="1"/>
  <c r="AP63" i="1"/>
  <c r="AS211" i="1"/>
  <c r="AS210" i="1" s="1"/>
  <c r="AT223" i="1"/>
  <c r="AT224" i="1" s="1"/>
  <c r="AT225" i="1" s="1"/>
  <c r="AT239" i="1" s="1"/>
  <c r="AS223" i="1"/>
  <c r="AS224" i="1" s="1"/>
  <c r="AS225" i="1" s="1"/>
  <c r="AO192" i="1"/>
  <c r="AS183" i="1"/>
  <c r="AQ186" i="1"/>
  <c r="AQ187" i="1" s="1"/>
  <c r="AQ272" i="1" l="1"/>
  <c r="AQ274" i="1"/>
  <c r="AQ270" i="1"/>
  <c r="AO136" i="1"/>
  <c r="AO139" i="1" s="1"/>
  <c r="AS212" i="1"/>
  <c r="AS215" i="1" s="1"/>
  <c r="AS239" i="1"/>
  <c r="AS236" i="1"/>
  <c r="AR235" i="1"/>
  <c r="AR236" i="1" s="1"/>
  <c r="AR237" i="1" s="1"/>
  <c r="AQ237" i="1"/>
  <c r="AQ191" i="1"/>
  <c r="AQ194" i="1"/>
  <c r="AU179" i="1"/>
  <c r="AU182" i="1" s="1"/>
  <c r="AQ135" i="1" l="1"/>
  <c r="AQ136" i="1" s="1"/>
  <c r="AQ139" i="1" s="1"/>
  <c r="AR63" i="1"/>
  <c r="AU211" i="1"/>
  <c r="AU210" i="1" s="1"/>
  <c r="AV223" i="1"/>
  <c r="AV224" i="1" s="1"/>
  <c r="AV225" i="1" s="1"/>
  <c r="AV239" i="1" s="1"/>
  <c r="AU223" i="1"/>
  <c r="AU224" i="1" s="1"/>
  <c r="AU225" i="1" s="1"/>
  <c r="AU183" i="1"/>
  <c r="AS186" i="1"/>
  <c r="AS187" i="1" s="1"/>
  <c r="AQ192" i="1"/>
  <c r="AS274" i="1" l="1"/>
  <c r="AS272" i="1"/>
  <c r="AS270" i="1"/>
  <c r="AQ137" i="1"/>
  <c r="AQ140" i="1" s="1"/>
  <c r="AU212" i="1"/>
  <c r="AU215" i="1" s="1"/>
  <c r="AU239" i="1"/>
  <c r="AU236" i="1"/>
  <c r="AT235" i="1"/>
  <c r="AT236" i="1" s="1"/>
  <c r="AT237" i="1" s="1"/>
  <c r="AS237" i="1"/>
  <c r="AS194" i="1"/>
  <c r="AS191" i="1"/>
  <c r="AW179" i="1"/>
  <c r="AW182" i="1" s="1"/>
  <c r="AS135" i="1" l="1"/>
  <c r="AS136" i="1" s="1"/>
  <c r="AS139" i="1" s="1"/>
  <c r="AT63" i="1"/>
  <c r="AW211" i="1"/>
  <c r="AW212" i="1" s="1"/>
  <c r="AW215" i="1" s="1"/>
  <c r="AX223" i="1"/>
  <c r="AX224" i="1" s="1"/>
  <c r="AX225" i="1" s="1"/>
  <c r="AX239" i="1" s="1"/>
  <c r="AW223" i="1"/>
  <c r="AW224" i="1" s="1"/>
  <c r="AW225" i="1" s="1"/>
  <c r="AU186" i="1"/>
  <c r="AU187" i="1" s="1"/>
  <c r="AS192" i="1"/>
  <c r="AW183" i="1"/>
  <c r="AU274" i="1" l="1"/>
  <c r="AU272" i="1"/>
  <c r="AU270" i="1"/>
  <c r="AS137" i="1"/>
  <c r="AS140" i="1" s="1"/>
  <c r="AW210" i="1"/>
  <c r="AW239" i="1"/>
  <c r="AW236" i="1"/>
  <c r="AV235" i="1"/>
  <c r="AV236" i="1" s="1"/>
  <c r="AV237" i="1" s="1"/>
  <c r="AU237" i="1"/>
  <c r="AU194" i="1"/>
  <c r="AU191" i="1"/>
  <c r="AY179" i="1"/>
  <c r="AY182" i="1" s="1"/>
  <c r="AU135" i="1" l="1"/>
  <c r="AU137" i="1" s="1"/>
  <c r="AU140" i="1" s="1"/>
  <c r="AV63" i="1"/>
  <c r="AY211" i="1"/>
  <c r="AY210" i="1" s="1"/>
  <c r="AZ223" i="1"/>
  <c r="AZ224" i="1" s="1"/>
  <c r="AZ225" i="1" s="1"/>
  <c r="AZ239" i="1" s="1"/>
  <c r="AY223" i="1"/>
  <c r="AY224" i="1" s="1"/>
  <c r="AY225" i="1" s="1"/>
  <c r="AW186" i="1"/>
  <c r="AW187" i="1" s="1"/>
  <c r="AY183" i="1"/>
  <c r="AU192" i="1"/>
  <c r="AW272" i="1" l="1"/>
  <c r="AW274" i="1"/>
  <c r="AW270" i="1"/>
  <c r="AU136" i="1"/>
  <c r="AU139" i="1" s="1"/>
  <c r="AY212" i="1"/>
  <c r="AY215" i="1" s="1"/>
  <c r="AY239" i="1"/>
  <c r="AY236" i="1"/>
  <c r="AX235" i="1"/>
  <c r="AX236" i="1" s="1"/>
  <c r="AX237" i="1" s="1"/>
  <c r="AW237" i="1"/>
  <c r="BA179" i="1"/>
  <c r="BA182" i="1" s="1"/>
  <c r="AW191" i="1"/>
  <c r="AW194" i="1"/>
  <c r="AW135" i="1" l="1"/>
  <c r="AW137" i="1" s="1"/>
  <c r="AW140" i="1" s="1"/>
  <c r="AX63" i="1"/>
  <c r="BB223" i="1"/>
  <c r="BB224" i="1" s="1"/>
  <c r="BB225" i="1" s="1"/>
  <c r="BB239" i="1" s="1"/>
  <c r="BA211" i="1"/>
  <c r="BA210" i="1" s="1"/>
  <c r="BA223" i="1"/>
  <c r="BA224" i="1" s="1"/>
  <c r="BA225" i="1" s="1"/>
  <c r="AW192" i="1"/>
  <c r="BA183" i="1"/>
  <c r="AY186" i="1"/>
  <c r="AY187" i="1" s="1"/>
  <c r="AY272" i="1" l="1"/>
  <c r="AY274" i="1"/>
  <c r="AY270" i="1"/>
  <c r="AW136" i="1"/>
  <c r="AW139" i="1" s="1"/>
  <c r="BA212" i="1"/>
  <c r="BA215" i="1" s="1"/>
  <c r="BA239" i="1"/>
  <c r="BA236" i="1"/>
  <c r="AZ235" i="1"/>
  <c r="AZ236" i="1" s="1"/>
  <c r="AZ237" i="1" s="1"/>
  <c r="AY237" i="1"/>
  <c r="AY191" i="1"/>
  <c r="AY194" i="1"/>
  <c r="BC179" i="1"/>
  <c r="BC182" i="1" s="1"/>
  <c r="AY135" i="1" l="1"/>
  <c r="AY137" i="1" s="1"/>
  <c r="AY140" i="1" s="1"/>
  <c r="AZ63" i="1"/>
  <c r="BC211" i="1"/>
  <c r="BC210" i="1" s="1"/>
  <c r="BD223" i="1"/>
  <c r="BD224" i="1" s="1"/>
  <c r="BD225" i="1" s="1"/>
  <c r="BD239" i="1" s="1"/>
  <c r="BC223" i="1"/>
  <c r="BC224" i="1" s="1"/>
  <c r="BC225" i="1" s="1"/>
  <c r="AY192" i="1"/>
  <c r="BC183" i="1"/>
  <c r="BA186" i="1"/>
  <c r="BA187" i="1" s="1"/>
  <c r="BA274" i="1" l="1"/>
  <c r="BA272" i="1"/>
  <c r="BA270" i="1"/>
  <c r="AY136" i="1"/>
  <c r="AY139" i="1" s="1"/>
  <c r="BC212" i="1"/>
  <c r="BC215" i="1" s="1"/>
  <c r="BC239" i="1"/>
  <c r="BC236" i="1"/>
  <c r="BB235" i="1"/>
  <c r="BB236" i="1" s="1"/>
  <c r="BB237" i="1" s="1"/>
  <c r="BA237" i="1"/>
  <c r="BE179" i="1"/>
  <c r="BE182" i="1" s="1"/>
  <c r="BA194" i="1"/>
  <c r="BA191" i="1"/>
  <c r="BA135" i="1" l="1"/>
  <c r="BA136" i="1" s="1"/>
  <c r="BA139" i="1" s="1"/>
  <c r="BB63" i="1"/>
  <c r="BE211" i="1"/>
  <c r="BE210" i="1" s="1"/>
  <c r="BF223" i="1"/>
  <c r="BF224" i="1" s="1"/>
  <c r="BF225" i="1" s="1"/>
  <c r="BF239" i="1" s="1"/>
  <c r="BE223" i="1"/>
  <c r="BE224" i="1" s="1"/>
  <c r="BE225" i="1" s="1"/>
  <c r="BC186" i="1"/>
  <c r="BC187" i="1" s="1"/>
  <c r="BA192" i="1"/>
  <c r="BE183" i="1"/>
  <c r="BC274" i="1" l="1"/>
  <c r="BC272" i="1"/>
  <c r="BC270" i="1"/>
  <c r="BA137" i="1"/>
  <c r="BA140" i="1" s="1"/>
  <c r="BE212" i="1"/>
  <c r="BE215" i="1" s="1"/>
  <c r="BE239" i="1"/>
  <c r="BE236" i="1"/>
  <c r="BD235" i="1"/>
  <c r="BD236" i="1" s="1"/>
  <c r="BD237" i="1" s="1"/>
  <c r="BC237" i="1"/>
  <c r="BG179" i="1"/>
  <c r="BG182" i="1" s="1"/>
  <c r="BC191" i="1"/>
  <c r="BC194" i="1"/>
  <c r="BC135" i="1" l="1"/>
  <c r="BC136" i="1" s="1"/>
  <c r="BC139" i="1" s="1"/>
  <c r="BD63" i="1"/>
  <c r="BG211" i="1"/>
  <c r="BG212" i="1" s="1"/>
  <c r="BG215" i="1" s="1"/>
  <c r="BH223" i="1"/>
  <c r="BH224" i="1" s="1"/>
  <c r="BH225" i="1" s="1"/>
  <c r="BH239" i="1" s="1"/>
  <c r="BG223" i="1"/>
  <c r="BG224" i="1" s="1"/>
  <c r="BG225" i="1" s="1"/>
  <c r="BC192" i="1"/>
  <c r="BE186" i="1"/>
  <c r="BE187" i="1" s="1"/>
  <c r="BG183" i="1"/>
  <c r="BE272" i="1" l="1"/>
  <c r="BE274" i="1"/>
  <c r="BE270" i="1"/>
  <c r="BC137" i="1"/>
  <c r="BC140" i="1" s="1"/>
  <c r="BG210" i="1"/>
  <c r="BG239" i="1"/>
  <c r="BG236" i="1"/>
  <c r="BF235" i="1"/>
  <c r="BF236" i="1" s="1"/>
  <c r="BF237" i="1" s="1"/>
  <c r="BE237" i="1"/>
  <c r="BE194" i="1"/>
  <c r="BE191" i="1"/>
  <c r="BI179" i="1"/>
  <c r="BI182" i="1" s="1"/>
  <c r="BE135" i="1" l="1"/>
  <c r="BE136" i="1" s="1"/>
  <c r="BE139" i="1" s="1"/>
  <c r="BF63" i="1"/>
  <c r="BI211" i="1"/>
  <c r="BI210" i="1" s="1"/>
  <c r="BJ223" i="1"/>
  <c r="BJ224" i="1" s="1"/>
  <c r="BJ225" i="1" s="1"/>
  <c r="BJ239" i="1" s="1"/>
  <c r="BI223" i="1"/>
  <c r="BI224" i="1" s="1"/>
  <c r="BI225" i="1" s="1"/>
  <c r="BE192" i="1"/>
  <c r="BG186" i="1"/>
  <c r="BG187" i="1" s="1"/>
  <c r="BI183" i="1"/>
  <c r="BG272" i="1" l="1"/>
  <c r="BG274" i="1"/>
  <c r="BG270" i="1"/>
  <c r="BE137" i="1"/>
  <c r="BE140" i="1" s="1"/>
  <c r="BI212" i="1"/>
  <c r="BI215" i="1" s="1"/>
  <c r="BI239" i="1"/>
  <c r="BI236" i="1"/>
  <c r="BH235" i="1"/>
  <c r="BH236" i="1" s="1"/>
  <c r="BH237" i="1" s="1"/>
  <c r="BG237" i="1"/>
  <c r="BG191" i="1"/>
  <c r="BG194" i="1"/>
  <c r="BK179" i="1"/>
  <c r="BK182" i="1" s="1"/>
  <c r="BG135" i="1" l="1"/>
  <c r="BG136" i="1" s="1"/>
  <c r="BG139" i="1" s="1"/>
  <c r="BH63" i="1"/>
  <c r="BL223" i="1"/>
  <c r="BL224" i="1" s="1"/>
  <c r="BL225" i="1" s="1"/>
  <c r="BL239" i="1" s="1"/>
  <c r="BK211" i="1"/>
  <c r="BK210" i="1" s="1"/>
  <c r="BK223" i="1"/>
  <c r="BK224" i="1" s="1"/>
  <c r="BK225" i="1" s="1"/>
  <c r="BK183" i="1"/>
  <c r="BG192" i="1"/>
  <c r="BI186" i="1"/>
  <c r="BI187" i="1" s="1"/>
  <c r="BI274" i="1" l="1"/>
  <c r="BI272" i="1"/>
  <c r="BI270" i="1"/>
  <c r="BG137" i="1"/>
  <c r="BG140" i="1" s="1"/>
  <c r="BK212" i="1"/>
  <c r="BK215" i="1" s="1"/>
  <c r="BK239" i="1"/>
  <c r="BK236" i="1"/>
  <c r="BJ235" i="1"/>
  <c r="BJ236" i="1" s="1"/>
  <c r="BJ237" i="1" s="1"/>
  <c r="BI237" i="1"/>
  <c r="BI194" i="1"/>
  <c r="BI191" i="1"/>
  <c r="BM179" i="1"/>
  <c r="BM182" i="1" s="1"/>
  <c r="BI135" i="1" l="1"/>
  <c r="BI137" i="1" s="1"/>
  <c r="BI140" i="1" s="1"/>
  <c r="BJ63" i="1"/>
  <c r="BM211" i="1"/>
  <c r="BM210" i="1" s="1"/>
  <c r="BN223" i="1"/>
  <c r="BN224" i="1" s="1"/>
  <c r="BN225" i="1" s="1"/>
  <c r="BN239" i="1" s="1"/>
  <c r="BM223" i="1"/>
  <c r="BM224" i="1" s="1"/>
  <c r="BM225" i="1" s="1"/>
  <c r="BM183" i="1"/>
  <c r="BI192" i="1"/>
  <c r="BK186" i="1"/>
  <c r="BK187" i="1" s="1"/>
  <c r="BK274" i="1" l="1"/>
  <c r="BK272" i="1"/>
  <c r="BK270" i="1"/>
  <c r="BI136" i="1"/>
  <c r="BI139" i="1" s="1"/>
  <c r="BM212" i="1"/>
  <c r="BM215" i="1" s="1"/>
  <c r="BM239" i="1"/>
  <c r="BM236" i="1"/>
  <c r="BL235" i="1"/>
  <c r="BL236" i="1" s="1"/>
  <c r="BL237" i="1" s="1"/>
  <c r="BK237" i="1"/>
  <c r="BK194" i="1"/>
  <c r="BK191" i="1"/>
  <c r="BO179" i="1"/>
  <c r="BO182" i="1" s="1"/>
  <c r="BK135" i="1" l="1"/>
  <c r="BK137" i="1" s="1"/>
  <c r="BK140" i="1" s="1"/>
  <c r="BL63" i="1"/>
  <c r="BO211" i="1"/>
  <c r="BO210" i="1" s="1"/>
  <c r="BP223" i="1"/>
  <c r="BP224" i="1" s="1"/>
  <c r="BP225" i="1" s="1"/>
  <c r="BP239" i="1" s="1"/>
  <c r="BO223" i="1"/>
  <c r="BO224" i="1" s="1"/>
  <c r="BO225" i="1" s="1"/>
  <c r="BM186" i="1"/>
  <c r="BM187" i="1" s="1"/>
  <c r="BK192" i="1"/>
  <c r="BO183" i="1"/>
  <c r="BM272" i="1" l="1"/>
  <c r="BM274" i="1"/>
  <c r="BM270" i="1"/>
  <c r="BK136" i="1"/>
  <c r="BK139" i="1" s="1"/>
  <c r="BO212" i="1"/>
  <c r="BO215" i="1" s="1"/>
  <c r="BO239" i="1"/>
  <c r="BO236" i="1"/>
  <c r="BN235" i="1"/>
  <c r="BN236" i="1" s="1"/>
  <c r="BN237" i="1" s="1"/>
  <c r="BM237" i="1"/>
  <c r="BM191" i="1"/>
  <c r="BM194" i="1"/>
  <c r="BQ179" i="1"/>
  <c r="BQ182" i="1" s="1"/>
  <c r="BM135" i="1" l="1"/>
  <c r="BM136" i="1" s="1"/>
  <c r="BM139" i="1" s="1"/>
  <c r="BN63" i="1"/>
  <c r="BQ211" i="1"/>
  <c r="BQ210" i="1" s="1"/>
  <c r="BR223" i="1"/>
  <c r="BR224" i="1" s="1"/>
  <c r="BR225" i="1" s="1"/>
  <c r="BR239" i="1" s="1"/>
  <c r="BQ223" i="1"/>
  <c r="BQ224" i="1" s="1"/>
  <c r="BQ225" i="1" s="1"/>
  <c r="BO186" i="1"/>
  <c r="BO187" i="1" s="1"/>
  <c r="BQ183" i="1"/>
  <c r="BM192" i="1"/>
  <c r="BO272" i="1" l="1"/>
  <c r="BO274" i="1"/>
  <c r="BO270" i="1"/>
  <c r="BM137" i="1"/>
  <c r="BM140" i="1" s="1"/>
  <c r="BQ212" i="1"/>
  <c r="BQ215" i="1" s="1"/>
  <c r="BQ239" i="1"/>
  <c r="BQ236" i="1"/>
  <c r="BP235" i="1"/>
  <c r="BP236" i="1" s="1"/>
  <c r="BP237" i="1" s="1"/>
  <c r="BO237" i="1"/>
  <c r="BS179" i="1"/>
  <c r="BS182" i="1" s="1"/>
  <c r="BO191" i="1"/>
  <c r="BO194" i="1"/>
  <c r="BO135" i="1" l="1"/>
  <c r="BO136" i="1" s="1"/>
  <c r="BO139" i="1" s="1"/>
  <c r="BP63" i="1"/>
  <c r="BS211" i="1"/>
  <c r="BS210" i="1" s="1"/>
  <c r="BT223" i="1"/>
  <c r="BT224" i="1" s="1"/>
  <c r="BT225" i="1" s="1"/>
  <c r="BT239" i="1" s="1"/>
  <c r="BS223" i="1"/>
  <c r="BS224" i="1" s="1"/>
  <c r="BS225" i="1" s="1"/>
  <c r="BO192" i="1"/>
  <c r="BS183" i="1"/>
  <c r="BQ186" i="1"/>
  <c r="BQ187" i="1" s="1"/>
  <c r="BQ274" i="1" l="1"/>
  <c r="BQ272" i="1"/>
  <c r="BQ270" i="1"/>
  <c r="BO137" i="1"/>
  <c r="BO140" i="1" s="1"/>
  <c r="BS212" i="1"/>
  <c r="BS215" i="1" s="1"/>
  <c r="BS239" i="1"/>
  <c r="BS236" i="1"/>
  <c r="BR235" i="1"/>
  <c r="BR236" i="1" s="1"/>
  <c r="BR237" i="1" s="1"/>
  <c r="BQ237" i="1"/>
  <c r="BQ191" i="1"/>
  <c r="BQ194" i="1"/>
  <c r="BU179" i="1"/>
  <c r="BU182" i="1" s="1"/>
  <c r="BQ135" i="1" l="1"/>
  <c r="BQ136" i="1" s="1"/>
  <c r="BQ139" i="1" s="1"/>
  <c r="BR63" i="1"/>
  <c r="BU211" i="1"/>
  <c r="BU210" i="1" s="1"/>
  <c r="BV223" i="1"/>
  <c r="BV224" i="1" s="1"/>
  <c r="BV225" i="1" s="1"/>
  <c r="BV239" i="1" s="1"/>
  <c r="BU223" i="1"/>
  <c r="BU224" i="1" s="1"/>
  <c r="BU225" i="1" s="1"/>
  <c r="BS186" i="1"/>
  <c r="BS187" i="1" s="1"/>
  <c r="BQ192" i="1"/>
  <c r="BU183" i="1"/>
  <c r="BS274" i="1" l="1"/>
  <c r="BS272" i="1"/>
  <c r="BS270" i="1"/>
  <c r="BQ137" i="1"/>
  <c r="BQ140" i="1" s="1"/>
  <c r="BU212" i="1"/>
  <c r="BU215" i="1" s="1"/>
  <c r="BU239" i="1"/>
  <c r="BU236" i="1"/>
  <c r="BT235" i="1"/>
  <c r="BT236" i="1" s="1"/>
  <c r="BT237" i="1" s="1"/>
  <c r="BS237" i="1"/>
  <c r="BS191" i="1"/>
  <c r="BS194" i="1"/>
  <c r="BW179" i="1"/>
  <c r="BW182" i="1" s="1"/>
  <c r="BS135" i="1" l="1"/>
  <c r="BS137" i="1" s="1"/>
  <c r="BS140" i="1" s="1"/>
  <c r="BT63" i="1"/>
  <c r="BW211" i="1"/>
  <c r="BW210" i="1" s="1"/>
  <c r="BX223" i="1"/>
  <c r="BX224" i="1" s="1"/>
  <c r="BX225" i="1" s="1"/>
  <c r="BX239" i="1" s="1"/>
  <c r="BW223" i="1"/>
  <c r="BW224" i="1" s="1"/>
  <c r="BW225" i="1" s="1"/>
  <c r="BW183" i="1"/>
  <c r="BS192" i="1"/>
  <c r="BU186" i="1"/>
  <c r="BU187" i="1" s="1"/>
  <c r="BU272" i="1" l="1"/>
  <c r="BU274" i="1"/>
  <c r="BU270" i="1"/>
  <c r="BS136" i="1"/>
  <c r="BS139" i="1" s="1"/>
  <c r="BW212" i="1"/>
  <c r="BW215" i="1" s="1"/>
  <c r="BW239" i="1"/>
  <c r="BW236" i="1"/>
  <c r="BV235" i="1"/>
  <c r="BV236" i="1" s="1"/>
  <c r="BV237" i="1" s="1"/>
  <c r="BU237" i="1"/>
  <c r="BU191" i="1"/>
  <c r="BU194" i="1"/>
  <c r="BY179" i="1"/>
  <c r="BY182" i="1" s="1"/>
  <c r="BU135" i="1" l="1"/>
  <c r="BU137" i="1" s="1"/>
  <c r="BU140" i="1" s="1"/>
  <c r="BV63" i="1"/>
  <c r="BZ223" i="1"/>
  <c r="BZ224" i="1" s="1"/>
  <c r="BZ225" i="1" s="1"/>
  <c r="BZ239" i="1" s="1"/>
  <c r="BY211" i="1"/>
  <c r="BY210" i="1" s="1"/>
  <c r="BY223" i="1"/>
  <c r="BY224" i="1" s="1"/>
  <c r="BY225" i="1" s="1"/>
  <c r="BW186" i="1"/>
  <c r="BW187" i="1" s="1"/>
  <c r="BY183" i="1"/>
  <c r="BU192" i="1"/>
  <c r="BW272" i="1" l="1"/>
  <c r="BW274" i="1"/>
  <c r="BW270" i="1"/>
  <c r="BU136" i="1"/>
  <c r="BU139" i="1" s="1"/>
  <c r="BY212" i="1"/>
  <c r="BY215" i="1" s="1"/>
  <c r="BY239" i="1"/>
  <c r="BY236" i="1"/>
  <c r="BX235" i="1"/>
  <c r="BX236" i="1" s="1"/>
  <c r="BX237" i="1" s="1"/>
  <c r="BW237" i="1"/>
  <c r="BW191" i="1"/>
  <c r="BW194" i="1"/>
  <c r="BW135" i="1" l="1"/>
  <c r="BW137" i="1" s="1"/>
  <c r="BW140" i="1" s="1"/>
  <c r="BX63" i="1"/>
  <c r="BW192" i="1"/>
  <c r="BY186" i="1"/>
  <c r="BY187" i="1" s="1"/>
  <c r="BY274" i="1" l="1"/>
  <c r="BY272" i="1"/>
  <c r="BY270" i="1"/>
  <c r="BW136" i="1"/>
  <c r="BW139" i="1" s="1"/>
  <c r="BZ235" i="1"/>
  <c r="BZ236" i="1" s="1"/>
  <c r="BZ237" i="1" s="1"/>
  <c r="BY237" i="1"/>
  <c r="BY194" i="1"/>
  <c r="BY191" i="1"/>
  <c r="BY135" i="1" l="1"/>
  <c r="BY136" i="1" s="1"/>
  <c r="BY139" i="1" s="1"/>
  <c r="BZ63" i="1"/>
  <c r="BY192" i="1"/>
  <c r="CC171" i="1"/>
  <c r="CC170" i="1"/>
  <c r="CA170" i="1"/>
  <c r="CA179" i="1"/>
  <c r="CA182" i="1" s="1"/>
  <c r="CA171" i="1"/>
  <c r="BY137" i="1" l="1"/>
  <c r="BY140" i="1" s="1"/>
  <c r="CA174" i="1"/>
  <c r="CA208" i="1" s="1"/>
  <c r="CA207" i="1" s="1"/>
  <c r="CB223" i="1"/>
  <c r="CA211" i="1"/>
  <c r="CA210" i="1" s="1"/>
  <c r="CA223" i="1"/>
  <c r="CC179" i="1"/>
  <c r="CC182" i="1" s="1"/>
  <c r="CC174" i="1"/>
  <c r="CA183" i="1" l="1"/>
  <c r="CA222" i="1"/>
  <c r="CA224" i="1" s="1"/>
  <c r="CA225" i="1" s="1"/>
  <c r="CA239" i="1" s="1"/>
  <c r="CB222" i="1"/>
  <c r="CB224" i="1" s="1"/>
  <c r="CB225" i="1" s="1"/>
  <c r="CB239" i="1" s="1"/>
  <c r="CA212" i="1"/>
  <c r="CD222" i="1"/>
  <c r="CC208" i="1"/>
  <c r="CC207" i="1" s="1"/>
  <c r="CC222" i="1"/>
  <c r="CC211" i="1"/>
  <c r="CC210" i="1" s="1"/>
  <c r="CD223" i="1"/>
  <c r="CC223" i="1"/>
  <c r="CC183" i="1"/>
  <c r="CA215" i="1" l="1"/>
  <c r="CE215" i="1"/>
  <c r="CC224" i="1"/>
  <c r="CC225" i="1" s="1"/>
  <c r="CC239" i="1" s="1"/>
  <c r="CD224" i="1"/>
  <c r="CD225" i="1" s="1"/>
  <c r="CD239" i="1" s="1"/>
  <c r="CA236" i="1"/>
  <c r="CA186" i="1" s="1"/>
  <c r="CA187" i="1" s="1"/>
  <c r="CC212" i="1"/>
  <c r="CA274" i="1" l="1"/>
  <c r="CA272" i="1"/>
  <c r="CA270" i="1"/>
  <c r="CC215" i="1"/>
  <c r="CG215" i="1"/>
  <c r="CC236" i="1"/>
  <c r="CC186" i="1" s="1"/>
  <c r="CC187" i="1" s="1"/>
  <c r="CB235" i="1"/>
  <c r="CB236" i="1" s="1"/>
  <c r="CB237" i="1" s="1"/>
  <c r="CA237" i="1"/>
  <c r="CA194" i="1"/>
  <c r="CA191" i="1"/>
  <c r="CC272" i="1" l="1"/>
  <c r="CC274" i="1"/>
  <c r="CC270" i="1"/>
  <c r="CA135" i="1"/>
  <c r="CA136" i="1" s="1"/>
  <c r="CA139" i="1" s="1"/>
  <c r="CB63" i="1"/>
  <c r="CD235" i="1"/>
  <c r="CD236" i="1" s="1"/>
  <c r="CD237" i="1" s="1"/>
  <c r="CC237" i="1"/>
  <c r="CC191" i="1"/>
  <c r="CC194" i="1"/>
  <c r="CA192" i="1"/>
  <c r="CA137" i="1" l="1"/>
  <c r="CA140" i="1" s="1"/>
  <c r="CC135" i="1"/>
  <c r="CC136" i="1" s="1"/>
  <c r="CC139" i="1" s="1"/>
  <c r="CD63" i="1"/>
  <c r="CC192" i="1"/>
  <c r="CC137" i="1" l="1"/>
  <c r="CC140" i="1" s="1"/>
  <c r="CE115" i="1"/>
  <c r="CD115" i="1"/>
  <c r="CC115" i="1"/>
  <c r="CB115" i="1"/>
  <c r="Y115" i="1"/>
  <c r="AA235" i="1" l="1"/>
  <c r="CI171" i="1" l="1"/>
  <c r="CI179" i="1"/>
  <c r="CI182" i="1" s="1"/>
  <c r="CI170" i="1"/>
  <c r="CJ223" i="1" l="1"/>
  <c r="CI174" i="1"/>
  <c r="CI223" i="1"/>
  <c r="CJ222" i="1" l="1"/>
  <c r="CJ224" i="1" s="1"/>
  <c r="CJ225" i="1" s="1"/>
  <c r="CJ239" i="1" s="1"/>
  <c r="CI183" i="1"/>
  <c r="CI222" i="1"/>
  <c r="CI224" i="1" s="1"/>
  <c r="CI225" i="1" s="1"/>
  <c r="CI239" i="1" s="1"/>
  <c r="CI212" i="1" l="1"/>
  <c r="CI215" i="1" s="1"/>
  <c r="CI236" i="1"/>
  <c r="CI186" i="1" s="1"/>
  <c r="CI187" i="1" s="1"/>
  <c r="CI274" i="1" l="1"/>
  <c r="CI272" i="1"/>
  <c r="CI270" i="1"/>
  <c r="CI237" i="1"/>
  <c r="CJ235" i="1"/>
  <c r="CJ236" i="1" s="1"/>
  <c r="CI194" i="1"/>
  <c r="CI191" i="1"/>
  <c r="CI135" i="1" l="1"/>
  <c r="CI137" i="1" s="1"/>
  <c r="CI140" i="1" s="1"/>
  <c r="CJ63" i="1"/>
  <c r="CJ237" i="1"/>
  <c r="CI192" i="1"/>
  <c r="CI136" i="1" l="1"/>
  <c r="CI139" i="1" s="1"/>
  <c r="CJ194" i="1"/>
  <c r="CJ135" i="1" l="1"/>
  <c r="CJ136" i="1" s="1"/>
  <c r="CJ139" i="1" s="1"/>
  <c r="CK63" i="1"/>
  <c r="CJ137" i="1" l="1"/>
  <c r="CJ140" i="1" s="1"/>
  <c r="CK257" i="1"/>
  <c r="CK279" i="1"/>
  <c r="CK278" i="1"/>
  <c r="CL257" i="1"/>
  <c r="CL279" i="1"/>
  <c r="CN279" i="1"/>
  <c r="CM279" i="1"/>
  <c r="CN257" i="1"/>
  <c r="CM257" i="1"/>
  <c r="CM124" i="1"/>
  <c r="CM125" i="1" s="1"/>
  <c r="CM128" i="1" s="1"/>
  <c r="CN124" i="1"/>
  <c r="CN125" i="1" s="1"/>
  <c r="CN128" i="1" s="1"/>
  <c r="AA279" i="1"/>
  <c r="CP8" i="1"/>
  <c r="CM172" i="1" l="1"/>
  <c r="CQ279" i="1"/>
  <c r="CR279" i="1"/>
  <c r="CN171" i="1"/>
  <c r="AA171" i="1" s="1"/>
  <c r="AA206" i="1" s="1"/>
  <c r="CN42" i="1"/>
  <c r="CN170" i="1"/>
  <c r="AA170" i="1" s="1"/>
  <c r="CN179" i="1"/>
  <c r="AA179" i="1" s="1"/>
  <c r="CM179" i="1"/>
  <c r="CN178" i="1"/>
  <c r="AA178" i="1" s="1"/>
  <c r="CN172" i="1"/>
  <c r="AA172" i="1" s="1"/>
  <c r="CM171" i="1"/>
  <c r="CM42" i="1"/>
  <c r="CM49" i="1" s="1"/>
  <c r="CM178" i="1"/>
  <c r="CM170" i="1"/>
  <c r="CK170" i="1"/>
  <c r="CK179" i="1"/>
  <c r="CK171" i="1"/>
  <c r="CM251" i="1"/>
  <c r="CK178" i="1"/>
  <c r="CK251" i="1"/>
  <c r="CK172" i="1"/>
  <c r="AA36" i="1"/>
  <c r="AA84" i="1" s="1"/>
  <c r="CL251" i="1"/>
  <c r="CN251" i="1"/>
  <c r="CM41" i="1" l="1"/>
  <c r="CN49" i="1"/>
  <c r="CN52" i="1" s="1"/>
  <c r="CN53" i="1" s="1"/>
  <c r="AA209" i="1"/>
  <c r="CO251" i="1"/>
  <c r="AB34" i="1"/>
  <c r="AB279" i="1" s="1"/>
  <c r="CM182" i="1"/>
  <c r="CK182" i="1"/>
  <c r="CK223" i="1" s="1"/>
  <c r="CN41" i="1"/>
  <c r="CN44" i="1"/>
  <c r="CN174" i="1"/>
  <c r="CM174" i="1"/>
  <c r="CN182" i="1"/>
  <c r="CM44" i="1"/>
  <c r="CR257" i="1"/>
  <c r="CQ257" i="1"/>
  <c r="CR124" i="1"/>
  <c r="CR125" i="1" s="1"/>
  <c r="CR128" i="1" s="1"/>
  <c r="CP279" i="1"/>
  <c r="CN45" i="1"/>
  <c r="CO124" i="1"/>
  <c r="CO125" i="1" s="1"/>
  <c r="CO128" i="1" s="1"/>
  <c r="CO279" i="1"/>
  <c r="CO257" i="1"/>
  <c r="AA124" i="1"/>
  <c r="AA125" i="1" s="1"/>
  <c r="AA128" i="1" s="1"/>
  <c r="AA214" i="1"/>
  <c r="CK174" i="1"/>
  <c r="CK222" i="1" s="1"/>
  <c r="CM45" i="1"/>
  <c r="CP257" i="1"/>
  <c r="CT8" i="1"/>
  <c r="CQ124" i="1"/>
  <c r="CQ125" i="1" s="1"/>
  <c r="CQ128" i="1" s="1"/>
  <c r="CP124" i="1"/>
  <c r="CP125" i="1" s="1"/>
  <c r="CP128" i="1" s="1"/>
  <c r="AA182" i="1"/>
  <c r="CO170" i="1"/>
  <c r="CO42" i="1"/>
  <c r="CO49" i="1" s="1"/>
  <c r="CO52" i="1" s="1"/>
  <c r="CO53" i="1" s="1"/>
  <c r="CO178" i="1"/>
  <c r="CO179" i="1"/>
  <c r="CO171" i="1"/>
  <c r="CO172" i="1"/>
  <c r="AA37" i="1"/>
  <c r="CM52" i="1" l="1"/>
  <c r="CM53" i="1" s="1"/>
  <c r="CN54" i="1"/>
  <c r="CN55" i="1" s="1"/>
  <c r="AA49" i="1"/>
  <c r="AA52" i="1" s="1"/>
  <c r="AA53" i="1" s="1"/>
  <c r="AA41" i="1"/>
  <c r="AA42" i="1" s="1"/>
  <c r="AA85" i="1" s="1"/>
  <c r="CO54" i="1"/>
  <c r="AB8" i="1"/>
  <c r="AB28" i="1"/>
  <c r="AC34" i="1"/>
  <c r="CN223" i="1"/>
  <c r="CN183" i="1"/>
  <c r="CM183" i="1"/>
  <c r="CN222" i="1"/>
  <c r="CR178" i="1"/>
  <c r="AB178" i="1" s="1"/>
  <c r="CR42" i="1"/>
  <c r="CR170" i="1"/>
  <c r="AB170" i="1" s="1"/>
  <c r="CR171" i="1"/>
  <c r="AB171" i="1" s="1"/>
  <c r="CR172" i="1"/>
  <c r="AB172" i="1" s="1"/>
  <c r="CR179" i="1"/>
  <c r="AB179" i="1" s="1"/>
  <c r="CK224" i="1"/>
  <c r="CQ172" i="1"/>
  <c r="CQ171" i="1"/>
  <c r="CQ178" i="1"/>
  <c r="CQ179" i="1"/>
  <c r="CQ170" i="1"/>
  <c r="CQ42" i="1"/>
  <c r="CK183" i="1"/>
  <c r="CK276" i="1"/>
  <c r="CK277" i="1" s="1"/>
  <c r="CS124" i="1"/>
  <c r="CS125" i="1" s="1"/>
  <c r="CS128" i="1" s="1"/>
  <c r="CS279" i="1"/>
  <c r="CK258" i="1"/>
  <c r="CK259" i="1" s="1"/>
  <c r="CK252" i="1"/>
  <c r="CR251" i="1"/>
  <c r="CP251" i="1"/>
  <c r="AB36" i="1"/>
  <c r="AB84" i="1" s="1"/>
  <c r="CO182" i="1"/>
  <c r="CS257" i="1"/>
  <c r="CO174" i="1"/>
  <c r="CM223" i="1"/>
  <c r="CL223" i="1"/>
  <c r="CP171" i="1"/>
  <c r="CP170" i="1"/>
  <c r="CP178" i="1"/>
  <c r="CP42" i="1"/>
  <c r="CP179" i="1"/>
  <c r="CP172" i="1"/>
  <c r="CT279" i="1"/>
  <c r="CO44" i="1"/>
  <c r="CO45" i="1"/>
  <c r="CM222" i="1"/>
  <c r="CL222" i="1"/>
  <c r="AA223" i="1"/>
  <c r="AA211" i="1"/>
  <c r="AA210" i="1" s="1"/>
  <c r="AA205" i="1"/>
  <c r="AA174" i="1"/>
  <c r="CQ251" i="1"/>
  <c r="CO41" i="1"/>
  <c r="AA44" i="1" l="1"/>
  <c r="CM54" i="1"/>
  <c r="CM258" i="1" s="1"/>
  <c r="CM259" i="1" s="1"/>
  <c r="AA54" i="1"/>
  <c r="AA56" i="1" s="1"/>
  <c r="CN258" i="1"/>
  <c r="CN259" i="1" s="1"/>
  <c r="CN60" i="1"/>
  <c r="CN18" i="1" s="1"/>
  <c r="CN56" i="1"/>
  <c r="AB29" i="1"/>
  <c r="AC26" i="1" s="1"/>
  <c r="CL276" i="1"/>
  <c r="CL277" i="1" s="1"/>
  <c r="AA43" i="1"/>
  <c r="CL258" i="1"/>
  <c r="CL259" i="1" s="1"/>
  <c r="CL252" i="1"/>
  <c r="CO55" i="1"/>
  <c r="CO56" i="1"/>
  <c r="CO57" i="1"/>
  <c r="CP41" i="1"/>
  <c r="CP49" i="1"/>
  <c r="CP52" i="1" s="1"/>
  <c r="CP53" i="1" s="1"/>
  <c r="CQ49" i="1"/>
  <c r="CQ52" i="1" s="1"/>
  <c r="CQ53" i="1" s="1"/>
  <c r="CR49" i="1"/>
  <c r="CR52" i="1" s="1"/>
  <c r="CR53" i="1" s="1"/>
  <c r="AB209" i="1"/>
  <c r="AB206" i="1"/>
  <c r="AC8" i="1"/>
  <c r="AC28" i="1"/>
  <c r="CU279" i="1"/>
  <c r="CY279" i="1"/>
  <c r="CU257" i="1"/>
  <c r="CS251" i="1"/>
  <c r="CR174" i="1"/>
  <c r="CQ182" i="1"/>
  <c r="CN224" i="1"/>
  <c r="CR182" i="1"/>
  <c r="CR44" i="1"/>
  <c r="CR45" i="1"/>
  <c r="CR41" i="1"/>
  <c r="CV279" i="1"/>
  <c r="CV257" i="1"/>
  <c r="CQ41" i="1"/>
  <c r="CQ44" i="1"/>
  <c r="CQ174" i="1"/>
  <c r="CO276" i="1"/>
  <c r="CO277" i="1" s="1"/>
  <c r="AB124" i="1"/>
  <c r="AB125" i="1" s="1"/>
  <c r="AB128" i="1" s="1"/>
  <c r="AB214" i="1"/>
  <c r="CL224" i="1"/>
  <c r="CQ45" i="1"/>
  <c r="CM224" i="1"/>
  <c r="CO183" i="1"/>
  <c r="CO222" i="1"/>
  <c r="CO252" i="1"/>
  <c r="AC279" i="1"/>
  <c r="CV124" i="1"/>
  <c r="CV125" i="1" s="1"/>
  <c r="CV128" i="1" s="1"/>
  <c r="AB37" i="1"/>
  <c r="CP174" i="1"/>
  <c r="CS170" i="1"/>
  <c r="CS42" i="1"/>
  <c r="CS178" i="1"/>
  <c r="CS171" i="1"/>
  <c r="CS179" i="1"/>
  <c r="CS172" i="1"/>
  <c r="AA222" i="1"/>
  <c r="AA224" i="1" s="1"/>
  <c r="AA208" i="1"/>
  <c r="AA183" i="1"/>
  <c r="CT124" i="1"/>
  <c r="CT125" i="1" s="1"/>
  <c r="CT128" i="1" s="1"/>
  <c r="CO223" i="1"/>
  <c r="CO258" i="1"/>
  <c r="CO259" i="1" s="1"/>
  <c r="CO60" i="1"/>
  <c r="CO18" i="1" s="1"/>
  <c r="CP44" i="1"/>
  <c r="CP45" i="1"/>
  <c r="CT257" i="1"/>
  <c r="AB182" i="1"/>
  <c r="CP182" i="1"/>
  <c r="CU124" i="1"/>
  <c r="CU125" i="1" s="1"/>
  <c r="CU128" i="1" s="1"/>
  <c r="AA60" i="1" l="1"/>
  <c r="AA18" i="1" s="1"/>
  <c r="CM56" i="1"/>
  <c r="AA55" i="1"/>
  <c r="AA138" i="1"/>
  <c r="AA276" i="1"/>
  <c r="AA277" i="1" s="1"/>
  <c r="CM252" i="1"/>
  <c r="CM138" i="1"/>
  <c r="CM55" i="1"/>
  <c r="CO138" i="1"/>
  <c r="CM57" i="1"/>
  <c r="AA86" i="1"/>
  <c r="CM60" i="1"/>
  <c r="CM18" i="1" s="1"/>
  <c r="CN252" i="1"/>
  <c r="CN138" i="1"/>
  <c r="CM276" i="1"/>
  <c r="CM277" i="1" s="1"/>
  <c r="CN57" i="1"/>
  <c r="CN276" i="1"/>
  <c r="CN277" i="1" s="1"/>
  <c r="AC29" i="1"/>
  <c r="AD26" i="1" s="1"/>
  <c r="AB49" i="1"/>
  <c r="AB52" i="1" s="1"/>
  <c r="AB53" i="1" s="1"/>
  <c r="CR54" i="1"/>
  <c r="CR60" i="1" s="1"/>
  <c r="CR18" i="1" s="1"/>
  <c r="CS41" i="1"/>
  <c r="CS49" i="1"/>
  <c r="CS52" i="1" s="1"/>
  <c r="CP54" i="1"/>
  <c r="CP276" i="1" s="1"/>
  <c r="CP277" i="1" s="1"/>
  <c r="CQ54" i="1"/>
  <c r="AB41" i="1"/>
  <c r="AB42" i="1" s="1"/>
  <c r="AB85" i="1" s="1"/>
  <c r="CU172" i="1"/>
  <c r="CU178" i="1"/>
  <c r="CU179" i="1"/>
  <c r="CU42" i="1"/>
  <c r="CU171" i="1"/>
  <c r="CU170" i="1"/>
  <c r="CW279" i="1"/>
  <c r="CX8" i="1"/>
  <c r="CQ223" i="1"/>
  <c r="CV170" i="1"/>
  <c r="AC170" i="1" s="1"/>
  <c r="CV42" i="1"/>
  <c r="CV178" i="1"/>
  <c r="AC178" i="1" s="1"/>
  <c r="CR223" i="1"/>
  <c r="CR183" i="1"/>
  <c r="CV172" i="1"/>
  <c r="AC172" i="1" s="1"/>
  <c r="CV171" i="1"/>
  <c r="AC171" i="1" s="1"/>
  <c r="CV179" i="1"/>
  <c r="AC179" i="1" s="1"/>
  <c r="CR222" i="1"/>
  <c r="CQ183" i="1"/>
  <c r="CS182" i="1"/>
  <c r="CS223" i="1" s="1"/>
  <c r="CV251" i="1"/>
  <c r="CP223" i="1"/>
  <c r="CT251" i="1"/>
  <c r="CU251" i="1"/>
  <c r="CS44" i="1"/>
  <c r="CS45" i="1"/>
  <c r="AC36" i="1"/>
  <c r="AC84" i="1" s="1"/>
  <c r="CO224" i="1"/>
  <c r="CW257" i="1"/>
  <c r="CW124" i="1"/>
  <c r="CW125" i="1" s="1"/>
  <c r="CW128" i="1" s="1"/>
  <c r="CS174" i="1"/>
  <c r="CT170" i="1"/>
  <c r="CT179" i="1"/>
  <c r="CT42" i="1"/>
  <c r="CT171" i="1"/>
  <c r="CT178" i="1"/>
  <c r="CT172" i="1"/>
  <c r="AA207" i="1"/>
  <c r="AA212" i="1"/>
  <c r="AA215" i="1" s="1"/>
  <c r="AA216" i="1" s="1"/>
  <c r="CQ222" i="1"/>
  <c r="CP183" i="1"/>
  <c r="CP222" i="1"/>
  <c r="CY257" i="1"/>
  <c r="AB211" i="1"/>
  <c r="AB210" i="1" s="1"/>
  <c r="AB223" i="1"/>
  <c r="AB174" i="1"/>
  <c r="AB205" i="1"/>
  <c r="CU174" i="1" l="1"/>
  <c r="CR55" i="1"/>
  <c r="AB43" i="1"/>
  <c r="CP60" i="1"/>
  <c r="CP18" i="1" s="1"/>
  <c r="CR258" i="1"/>
  <c r="CR259" i="1" s="1"/>
  <c r="CR276" i="1"/>
  <c r="CR277" i="1" s="1"/>
  <c r="CR56" i="1"/>
  <c r="AB54" i="1"/>
  <c r="AB60" i="1" s="1"/>
  <c r="AB18" i="1" s="1"/>
  <c r="CP258" i="1"/>
  <c r="CP259" i="1" s="1"/>
  <c r="CP252" i="1"/>
  <c r="CP138" i="1"/>
  <c r="AB44" i="1"/>
  <c r="CT41" i="1"/>
  <c r="CT49" i="1"/>
  <c r="CT52" i="1" s="1"/>
  <c r="CT53" i="1" s="1"/>
  <c r="CQ252" i="1"/>
  <c r="CQ258" i="1"/>
  <c r="CQ259" i="1" s="1"/>
  <c r="CP55" i="1"/>
  <c r="CQ57" i="1"/>
  <c r="CP57" i="1"/>
  <c r="CP56" i="1"/>
  <c r="CV44" i="1"/>
  <c r="CV49" i="1"/>
  <c r="CV52" i="1" s="1"/>
  <c r="CV53" i="1" s="1"/>
  <c r="CQ138" i="1"/>
  <c r="CR252" i="1"/>
  <c r="CS54" i="1"/>
  <c r="CS258" i="1" s="1"/>
  <c r="CS259" i="1" s="1"/>
  <c r="CS53" i="1"/>
  <c r="CQ55" i="1"/>
  <c r="CR57" i="1"/>
  <c r="CQ56" i="1"/>
  <c r="CR138" i="1"/>
  <c r="CQ276" i="1"/>
  <c r="CQ277" i="1" s="1"/>
  <c r="CQ60" i="1"/>
  <c r="CQ18" i="1" s="1"/>
  <c r="CU41" i="1"/>
  <c r="CU49" i="1"/>
  <c r="CU52" i="1" s="1"/>
  <c r="CU53" i="1" s="1"/>
  <c r="CU182" i="1"/>
  <c r="AD34" i="1"/>
  <c r="AD279" i="1" s="1"/>
  <c r="AC209" i="1"/>
  <c r="AC206" i="1"/>
  <c r="CU44" i="1"/>
  <c r="DC257" i="1"/>
  <c r="DC279" i="1"/>
  <c r="CW251" i="1"/>
  <c r="CQ224" i="1"/>
  <c r="CV174" i="1"/>
  <c r="CV41" i="1"/>
  <c r="CV45" i="1"/>
  <c r="CV182" i="1"/>
  <c r="CZ279" i="1"/>
  <c r="CZ257" i="1"/>
  <c r="CR224" i="1"/>
  <c r="CX124" i="1"/>
  <c r="CX125" i="1" s="1"/>
  <c r="CX128" i="1" s="1"/>
  <c r="CX279" i="1"/>
  <c r="CP224" i="1"/>
  <c r="AC124" i="1"/>
  <c r="AC125" i="1" s="1"/>
  <c r="AC128" i="1" s="1"/>
  <c r="AC214" i="1"/>
  <c r="CT174" i="1"/>
  <c r="CT222" i="1" s="1"/>
  <c r="CS183" i="1"/>
  <c r="CS222" i="1"/>
  <c r="CS224" i="1" s="1"/>
  <c r="CY124" i="1"/>
  <c r="CY125" i="1" s="1"/>
  <c r="CY128" i="1" s="1"/>
  <c r="AB183" i="1"/>
  <c r="AB208" i="1"/>
  <c r="AB222" i="1"/>
  <c r="AB224" i="1" s="1"/>
  <c r="CW42" i="1"/>
  <c r="CW178" i="1"/>
  <c r="CW170" i="1"/>
  <c r="CW172" i="1"/>
  <c r="CW171" i="1"/>
  <c r="CW179" i="1"/>
  <c r="CT182" i="1"/>
  <c r="AC182" i="1"/>
  <c r="CK271" i="1"/>
  <c r="CK253" i="1"/>
  <c r="CK260" i="1"/>
  <c r="CT45" i="1"/>
  <c r="CT44" i="1"/>
  <c r="AC37" i="1"/>
  <c r="CX257" i="1"/>
  <c r="DB8" i="1"/>
  <c r="CZ124" i="1"/>
  <c r="CZ125" i="1" s="1"/>
  <c r="CZ128" i="1" s="1"/>
  <c r="CY171" i="1"/>
  <c r="CY42" i="1"/>
  <c r="CY179" i="1"/>
  <c r="CY172" i="1"/>
  <c r="CY178" i="1"/>
  <c r="CY170" i="1"/>
  <c r="CU45" i="1"/>
  <c r="CV222" i="1" l="1"/>
  <c r="CU183" i="1"/>
  <c r="AB56" i="1"/>
  <c r="AB86" i="1"/>
  <c r="AB138" i="1"/>
  <c r="AB55" i="1"/>
  <c r="AC49" i="1"/>
  <c r="AC52" i="1" s="1"/>
  <c r="AC53" i="1" s="1"/>
  <c r="AB276" i="1"/>
  <c r="AB277" i="1" s="1"/>
  <c r="AC41" i="1"/>
  <c r="AC42" i="1" s="1"/>
  <c r="AC85" i="1" s="1"/>
  <c r="CS55" i="1"/>
  <c r="CS56" i="1"/>
  <c r="CS57" i="1"/>
  <c r="CS276" i="1"/>
  <c r="CS277" i="1" s="1"/>
  <c r="CU54" i="1"/>
  <c r="CT54" i="1"/>
  <c r="CY41" i="1"/>
  <c r="CY49" i="1"/>
  <c r="CY52" i="1" s="1"/>
  <c r="CY53" i="1" s="1"/>
  <c r="CS252" i="1"/>
  <c r="CS138" i="1"/>
  <c r="CW41" i="1"/>
  <c r="CW49" i="1"/>
  <c r="CW52" i="1" s="1"/>
  <c r="CS60" i="1"/>
  <c r="CS18" i="1" s="1"/>
  <c r="CV54" i="1"/>
  <c r="CV258" i="1" s="1"/>
  <c r="CV259" i="1" s="1"/>
  <c r="AD8" i="1"/>
  <c r="AD28" i="1"/>
  <c r="DA279" i="1"/>
  <c r="DC124" i="1"/>
  <c r="DC125" i="1" s="1"/>
  <c r="DC128" i="1" s="1"/>
  <c r="CZ179" i="1"/>
  <c r="AD179" i="1" s="1"/>
  <c r="DC178" i="1"/>
  <c r="DC172" i="1"/>
  <c r="DC42" i="1"/>
  <c r="DC171" i="1"/>
  <c r="DC179" i="1"/>
  <c r="DC170" i="1"/>
  <c r="CZ251" i="1"/>
  <c r="CZ170" i="1"/>
  <c r="AD170" i="1" s="1"/>
  <c r="CZ178" i="1"/>
  <c r="CZ172" i="1"/>
  <c r="AD172" i="1" s="1"/>
  <c r="CZ171" i="1"/>
  <c r="AD171" i="1" s="1"/>
  <c r="CZ42" i="1"/>
  <c r="CV183" i="1"/>
  <c r="CV223" i="1"/>
  <c r="CW182" i="1"/>
  <c r="CW223" i="1" s="1"/>
  <c r="CX251" i="1"/>
  <c r="CY251" i="1"/>
  <c r="CU223" i="1"/>
  <c r="CT223" i="1"/>
  <c r="CT224" i="1" s="1"/>
  <c r="CK219" i="1"/>
  <c r="CK221" i="1" s="1"/>
  <c r="CK225" i="1" s="1"/>
  <c r="CK239" i="1" s="1"/>
  <c r="CK145" i="1"/>
  <c r="CW174" i="1"/>
  <c r="AC205" i="1"/>
  <c r="AC174" i="1"/>
  <c r="DA257" i="1"/>
  <c r="CT183" i="1"/>
  <c r="CU222" i="1"/>
  <c r="CY174" i="1"/>
  <c r="CY182" i="1"/>
  <c r="CX170" i="1"/>
  <c r="CX171" i="1"/>
  <c r="CX42" i="1"/>
  <c r="CX179" i="1"/>
  <c r="CX178" i="1"/>
  <c r="CX172" i="1"/>
  <c r="CW45" i="1"/>
  <c r="CW44" i="1"/>
  <c r="CY44" i="1"/>
  <c r="AD36" i="1"/>
  <c r="AD84" i="1" s="1"/>
  <c r="DA124" i="1"/>
  <c r="DA125" i="1" s="1"/>
  <c r="DA128" i="1" s="1"/>
  <c r="AC211" i="1"/>
  <c r="AC210" i="1" s="1"/>
  <c r="AC223" i="1"/>
  <c r="AB207" i="1"/>
  <c r="AB212" i="1"/>
  <c r="AB215" i="1" s="1"/>
  <c r="AB216" i="1" s="1"/>
  <c r="CV224" i="1" l="1"/>
  <c r="CV276" i="1"/>
  <c r="CV277" i="1" s="1"/>
  <c r="AC44" i="1"/>
  <c r="AC43" i="1"/>
  <c r="AC54" i="1"/>
  <c r="AC86" i="1" s="1"/>
  <c r="AD29" i="1"/>
  <c r="AE26" i="1" s="1"/>
  <c r="CV60" i="1"/>
  <c r="CV18" i="1" s="1"/>
  <c r="CT55" i="1"/>
  <c r="CU57" i="1"/>
  <c r="CT56" i="1"/>
  <c r="CV138" i="1"/>
  <c r="CT258" i="1"/>
  <c r="CT259" i="1" s="1"/>
  <c r="CT252" i="1"/>
  <c r="CV252" i="1"/>
  <c r="CU276" i="1"/>
  <c r="CU277" i="1" s="1"/>
  <c r="CW54" i="1"/>
  <c r="CW252" i="1" s="1"/>
  <c r="CW53" i="1"/>
  <c r="CY54" i="1"/>
  <c r="CU55" i="1"/>
  <c r="CV57" i="1"/>
  <c r="CU258" i="1"/>
  <c r="CU259" i="1" s="1"/>
  <c r="CU60" i="1"/>
  <c r="CU18" i="1" s="1"/>
  <c r="CU56" i="1"/>
  <c r="CU252" i="1"/>
  <c r="CT60" i="1"/>
  <c r="CT18" i="1" s="1"/>
  <c r="CT276" i="1"/>
  <c r="CT277" i="1" s="1"/>
  <c r="CT138" i="1"/>
  <c r="CY45" i="1"/>
  <c r="CX49" i="1"/>
  <c r="CU138" i="1"/>
  <c r="CZ49" i="1"/>
  <c r="CZ52" i="1" s="1"/>
  <c r="CZ53" i="1" s="1"/>
  <c r="DC49" i="1"/>
  <c r="DC52" i="1" s="1"/>
  <c r="DC53" i="1" s="1"/>
  <c r="CV55" i="1"/>
  <c r="CV56" i="1"/>
  <c r="CT57" i="1"/>
  <c r="AD209" i="1"/>
  <c r="AD206" i="1"/>
  <c r="CZ182" i="1"/>
  <c r="CZ223" i="1" s="1"/>
  <c r="AD178" i="1"/>
  <c r="AD182" i="1" s="1"/>
  <c r="DC182" i="1"/>
  <c r="DD257" i="1"/>
  <c r="DD279" i="1"/>
  <c r="AE34" i="1"/>
  <c r="AE28" i="1" s="1"/>
  <c r="DA251" i="1"/>
  <c r="DC44" i="1"/>
  <c r="DD124" i="1"/>
  <c r="DD125" i="1" s="1"/>
  <c r="DD128" i="1" s="1"/>
  <c r="DC174" i="1"/>
  <c r="DC41" i="1"/>
  <c r="CZ174" i="1"/>
  <c r="CZ41" i="1"/>
  <c r="CZ44" i="1"/>
  <c r="CZ45" i="1"/>
  <c r="DB124" i="1"/>
  <c r="DB125" i="1" s="1"/>
  <c r="DB128" i="1" s="1"/>
  <c r="DB279" i="1"/>
  <c r="AD124" i="1"/>
  <c r="AD125" i="1" s="1"/>
  <c r="AD128" i="1" s="1"/>
  <c r="AD214" i="1"/>
  <c r="CU224" i="1"/>
  <c r="CX182" i="1"/>
  <c r="CY183" i="1"/>
  <c r="DA178" i="1"/>
  <c r="DA179" i="1"/>
  <c r="DA171" i="1"/>
  <c r="DA42" i="1"/>
  <c r="DA49" i="1" s="1"/>
  <c r="DA52" i="1" s="1"/>
  <c r="DA170" i="1"/>
  <c r="DA172" i="1"/>
  <c r="CK146" i="1"/>
  <c r="CX45" i="1"/>
  <c r="CX44" i="1"/>
  <c r="AC208" i="1"/>
  <c r="AC183" i="1"/>
  <c r="AC222" i="1"/>
  <c r="AC224" i="1" s="1"/>
  <c r="DB257" i="1"/>
  <c r="CW183" i="1"/>
  <c r="CW222" i="1"/>
  <c r="CW224" i="1" s="1"/>
  <c r="CX174" i="1"/>
  <c r="AD37" i="1"/>
  <c r="CX41" i="1"/>
  <c r="AC60" i="1" l="1"/>
  <c r="AC18" i="1" s="1"/>
  <c r="AC276" i="1"/>
  <c r="AC277" i="1" s="1"/>
  <c r="AC56" i="1"/>
  <c r="AC138" i="1"/>
  <c r="AC55" i="1"/>
  <c r="CW258" i="1"/>
  <c r="CW259" i="1" s="1"/>
  <c r="AE29" i="1"/>
  <c r="CW60" i="1"/>
  <c r="CW18" i="1" s="1"/>
  <c r="CW276" i="1"/>
  <c r="CW277" i="1" s="1"/>
  <c r="CW57" i="1"/>
  <c r="CW138" i="1"/>
  <c r="CZ54" i="1"/>
  <c r="CZ276" i="1" s="1"/>
  <c r="CZ277" i="1" s="1"/>
  <c r="DA54" i="1"/>
  <c r="DA56" i="1" s="1"/>
  <c r="DA53" i="1"/>
  <c r="CY55" i="1"/>
  <c r="CY258" i="1"/>
  <c r="CY259" i="1" s="1"/>
  <c r="CY60" i="1"/>
  <c r="CY18" i="1" s="1"/>
  <c r="CW55" i="1"/>
  <c r="CW56" i="1"/>
  <c r="CY56" i="1"/>
  <c r="DC54" i="1"/>
  <c r="DC56" i="1" s="1"/>
  <c r="CX52" i="1"/>
  <c r="AD49" i="1"/>
  <c r="AD52" i="1" s="1"/>
  <c r="AD53" i="1" s="1"/>
  <c r="AE279" i="1"/>
  <c r="AE8" i="1"/>
  <c r="DC183" i="1"/>
  <c r="AD41" i="1"/>
  <c r="AD42" i="1" s="1"/>
  <c r="DB251" i="1"/>
  <c r="DC251" i="1"/>
  <c r="DD251" i="1"/>
  <c r="DD172" i="1"/>
  <c r="AE172" i="1" s="1"/>
  <c r="DD178" i="1"/>
  <c r="DD42" i="1"/>
  <c r="DD171" i="1"/>
  <c r="AE171" i="1" s="1"/>
  <c r="DD179" i="1"/>
  <c r="AE179" i="1" s="1"/>
  <c r="DD170" i="1"/>
  <c r="CK118" i="1"/>
  <c r="CK80" i="1"/>
  <c r="CZ222" i="1"/>
  <c r="CZ224" i="1" s="1"/>
  <c r="CZ183" i="1"/>
  <c r="DA174" i="1"/>
  <c r="DA222" i="1" s="1"/>
  <c r="CY222" i="1"/>
  <c r="CX183" i="1"/>
  <c r="CY223" i="1"/>
  <c r="CX223" i="1"/>
  <c r="AD211" i="1"/>
  <c r="AD210" i="1" s="1"/>
  <c r="AD223" i="1"/>
  <c r="CG115" i="1"/>
  <c r="DA45" i="1"/>
  <c r="DA44" i="1"/>
  <c r="CX222" i="1"/>
  <c r="AD205" i="1"/>
  <c r="AD174" i="1"/>
  <c r="CK233" i="1"/>
  <c r="CK231" i="1" s="1"/>
  <c r="CK236" i="1" s="1"/>
  <c r="CK155" i="1"/>
  <c r="CK81" i="1" s="1"/>
  <c r="AC207" i="1"/>
  <c r="AC212" i="1"/>
  <c r="AC215" i="1" s="1"/>
  <c r="AC216" i="1" s="1"/>
  <c r="DA41" i="1"/>
  <c r="DB171" i="1"/>
  <c r="DB42" i="1"/>
  <c r="DB170" i="1"/>
  <c r="DB179" i="1"/>
  <c r="DB172" i="1"/>
  <c r="DB178" i="1"/>
  <c r="AE36" i="1"/>
  <c r="AE84" i="1" s="1"/>
  <c r="DA182" i="1"/>
  <c r="AE209" i="1" l="1"/>
  <c r="CZ57" i="1"/>
  <c r="CZ56" i="1"/>
  <c r="CZ55" i="1"/>
  <c r="DA57" i="1"/>
  <c r="CZ60" i="1"/>
  <c r="CZ18" i="1" s="1"/>
  <c r="CZ258" i="1"/>
  <c r="CZ259" i="1" s="1"/>
  <c r="DC258" i="1"/>
  <c r="DC259" i="1" s="1"/>
  <c r="DB49" i="1"/>
  <c r="DB52" i="1" s="1"/>
  <c r="DB53" i="1" s="1"/>
  <c r="CX53" i="1"/>
  <c r="CX54" i="1"/>
  <c r="DA138" i="1" s="1"/>
  <c r="DC55" i="1"/>
  <c r="DD41" i="1"/>
  <c r="DD49" i="1"/>
  <c r="DD52" i="1" s="1"/>
  <c r="DD53" i="1" s="1"/>
  <c r="DC60" i="1"/>
  <c r="DC18" i="1" s="1"/>
  <c r="DA55" i="1"/>
  <c r="AE206" i="1"/>
  <c r="AD85" i="1"/>
  <c r="AD44" i="1"/>
  <c r="AD43" i="1"/>
  <c r="AD54" i="1"/>
  <c r="AD138" i="1" s="1"/>
  <c r="DD182" i="1"/>
  <c r="DD223" i="1" s="1"/>
  <c r="AE178" i="1"/>
  <c r="AE182" i="1" s="1"/>
  <c r="DD44" i="1"/>
  <c r="DD45" i="1"/>
  <c r="DB41" i="1"/>
  <c r="DC45" i="1"/>
  <c r="DD174" i="1"/>
  <c r="AE170" i="1"/>
  <c r="DA276" i="1"/>
  <c r="DA277" i="1" s="1"/>
  <c r="CK122" i="1"/>
  <c r="CK120" i="1"/>
  <c r="CK121" i="1"/>
  <c r="AE124" i="1"/>
  <c r="AE125" i="1" s="1"/>
  <c r="AE128" i="1" s="1"/>
  <c r="AE214" i="1"/>
  <c r="DA183" i="1"/>
  <c r="CK186" i="1"/>
  <c r="CK187" i="1" s="1"/>
  <c r="DB45" i="1"/>
  <c r="DB44" i="1"/>
  <c r="CX224" i="1"/>
  <c r="CY224" i="1"/>
  <c r="AD183" i="1"/>
  <c r="AD208" i="1"/>
  <c r="AD222" i="1"/>
  <c r="AD224" i="1" s="1"/>
  <c r="DB174" i="1"/>
  <c r="DC222" i="1" s="1"/>
  <c r="DA60" i="1"/>
  <c r="DA18" i="1" s="1"/>
  <c r="DA258" i="1"/>
  <c r="DA259" i="1" s="1"/>
  <c r="AE37" i="1"/>
  <c r="DB182" i="1"/>
  <c r="DA223" i="1"/>
  <c r="DA224" i="1" s="1"/>
  <c r="AE41" i="1" l="1"/>
  <c r="AE42" i="1" s="1"/>
  <c r="AD86" i="1"/>
  <c r="CX55" i="1"/>
  <c r="CY57" i="1"/>
  <c r="CX56" i="1"/>
  <c r="CX57" i="1"/>
  <c r="CY252" i="1"/>
  <c r="CX138" i="1"/>
  <c r="CX60" i="1"/>
  <c r="CX18" i="1" s="1"/>
  <c r="CX276" i="1"/>
  <c r="CX277" i="1" s="1"/>
  <c r="CZ252" i="1"/>
  <c r="CX258" i="1"/>
  <c r="CX259" i="1" s="1"/>
  <c r="CY138" i="1"/>
  <c r="CZ138" i="1"/>
  <c r="CX252" i="1"/>
  <c r="CY276" i="1"/>
  <c r="CY277" i="1" s="1"/>
  <c r="DA252" i="1"/>
  <c r="AD56" i="1"/>
  <c r="AE49" i="1"/>
  <c r="AE52" i="1" s="1"/>
  <c r="AE53" i="1" s="1"/>
  <c r="DD54" i="1"/>
  <c r="DB54" i="1"/>
  <c r="DB56" i="1" s="1"/>
  <c r="AD55" i="1"/>
  <c r="AD60" i="1"/>
  <c r="AD18" i="1" s="1"/>
  <c r="AD276" i="1"/>
  <c r="AD277" i="1" s="1"/>
  <c r="AE44" i="1"/>
  <c r="DB223" i="1"/>
  <c r="DC223" i="1"/>
  <c r="DC224" i="1" s="1"/>
  <c r="DD183" i="1"/>
  <c r="DD222" i="1"/>
  <c r="DD224" i="1" s="1"/>
  <c r="CK237" i="1"/>
  <c r="CK274" i="1"/>
  <c r="CK270" i="1"/>
  <c r="CK272" i="1"/>
  <c r="AD212" i="1"/>
  <c r="AD215" i="1" s="1"/>
  <c r="AD216" i="1" s="1"/>
  <c r="AD207" i="1"/>
  <c r="AE174" i="1"/>
  <c r="AE205" i="1"/>
  <c r="CK191" i="1"/>
  <c r="CL235" i="1"/>
  <c r="CK194" i="1"/>
  <c r="CL63" i="1" s="1"/>
  <c r="DB183" i="1"/>
  <c r="DB222" i="1"/>
  <c r="AE211" i="1"/>
  <c r="AE210" i="1" s="1"/>
  <c r="AE223" i="1"/>
  <c r="CK135" i="1" l="1"/>
  <c r="CK137" i="1" s="1"/>
  <c r="CK140" i="1" s="1"/>
  <c r="CM63" i="1"/>
  <c r="CN63" i="1" s="1"/>
  <c r="CO63" i="1" s="1"/>
  <c r="CP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AE54" i="1"/>
  <c r="AE56" i="1" s="1"/>
  <c r="AE43" i="1"/>
  <c r="AE85" i="1"/>
  <c r="DB252" i="1"/>
  <c r="DB138" i="1"/>
  <c r="DD252" i="1"/>
  <c r="DD276" i="1"/>
  <c r="DD277" i="1" s="1"/>
  <c r="DB276" i="1"/>
  <c r="DB277" i="1" s="1"/>
  <c r="DC252" i="1"/>
  <c r="DB258" i="1"/>
  <c r="DB259" i="1" s="1"/>
  <c r="DC138" i="1"/>
  <c r="DB60" i="1"/>
  <c r="DB18" i="1" s="1"/>
  <c r="DC276" i="1"/>
  <c r="DC277" i="1" s="1"/>
  <c r="DD138" i="1"/>
  <c r="DD55" i="1"/>
  <c r="DD56" i="1"/>
  <c r="DD57" i="1"/>
  <c r="DD60" i="1"/>
  <c r="DD18" i="1" s="1"/>
  <c r="DB224" i="1"/>
  <c r="DD258" i="1"/>
  <c r="DD259" i="1" s="1"/>
  <c r="DB55" i="1"/>
  <c r="DC57" i="1"/>
  <c r="DB57" i="1"/>
  <c r="CK192" i="1"/>
  <c r="AE183" i="1"/>
  <c r="AE208" i="1"/>
  <c r="AE222" i="1"/>
  <c r="AE224" i="1" s="1"/>
  <c r="CK136" i="1" l="1"/>
  <c r="CK139" i="1" s="1"/>
  <c r="AE60" i="1"/>
  <c r="AE18" i="1" s="1"/>
  <c r="AE86" i="1"/>
  <c r="AE276" i="1"/>
  <c r="AE277" i="1" s="1"/>
  <c r="AE138" i="1"/>
  <c r="AE55" i="1"/>
  <c r="CL278" i="1"/>
  <c r="AE212" i="1"/>
  <c r="AE215" i="1" s="1"/>
  <c r="AE216" i="1" s="1"/>
  <c r="AE207" i="1"/>
  <c r="CL271" i="1" l="1"/>
  <c r="CL260" i="1"/>
  <c r="CL253" i="1"/>
  <c r="CL80" i="1" l="1"/>
  <c r="CL118" i="1"/>
  <c r="CL81" i="1"/>
  <c r="CL219" i="1"/>
  <c r="CL221" i="1" s="1"/>
  <c r="CL225" i="1" s="1"/>
  <c r="CL239" i="1" s="1"/>
  <c r="CL120" i="1" l="1"/>
  <c r="CL121" i="1"/>
  <c r="CL122" i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DC113" i="1" s="1"/>
  <c r="DD113" i="1" s="1"/>
  <c r="CL233" i="1"/>
  <c r="CL231" i="1" s="1"/>
  <c r="CL236" i="1" s="1"/>
  <c r="CH115" i="1"/>
  <c r="CL135" i="1" l="1"/>
  <c r="CM121" i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DC121" i="1" s="1"/>
  <c r="DD121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DC122" i="1" s="1"/>
  <c r="DD122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DC112" i="1" s="1"/>
  <c r="DD112" i="1" s="1"/>
  <c r="CL137" i="1" l="1"/>
  <c r="CL140" i="1" s="1"/>
  <c r="CL136" i="1"/>
  <c r="CL139" i="1" s="1"/>
  <c r="CL272" i="1"/>
  <c r="CL270" i="1"/>
  <c r="CL274" i="1"/>
  <c r="CM235" i="1"/>
  <c r="CL237" i="1"/>
  <c r="CM62" i="1" l="1"/>
  <c r="CM278" i="1" l="1"/>
  <c r="CM64" i="1"/>
  <c r="CM65" i="1" l="1"/>
  <c r="CM67" i="1" l="1"/>
  <c r="CM69" i="1" l="1"/>
  <c r="CM70" i="1"/>
  <c r="CM260" i="1"/>
  <c r="CM74" i="1"/>
  <c r="CM68" i="1"/>
  <c r="CM271" i="1" s="1"/>
  <c r="CM253" i="1"/>
  <c r="CM219" i="1" l="1"/>
  <c r="CM221" i="1" s="1"/>
  <c r="CM225" i="1" s="1"/>
  <c r="CM239" i="1" s="1"/>
  <c r="CM92" i="1"/>
  <c r="CM145" i="1"/>
  <c r="CM146" i="1" l="1"/>
  <c r="CM95" i="1"/>
  <c r="CM96" i="1" l="1"/>
  <c r="CM104" i="1"/>
  <c r="CI115" i="1"/>
  <c r="CM111" i="1"/>
  <c r="CM105" i="1"/>
  <c r="CM155" i="1"/>
  <c r="CM81" i="1" s="1"/>
  <c r="CM118" i="1"/>
  <c r="CM120" i="1" s="1"/>
  <c r="CM233" i="1"/>
  <c r="CM231" i="1" s="1"/>
  <c r="CM236" i="1" s="1"/>
  <c r="CM80" i="1"/>
  <c r="CM186" i="1" l="1"/>
  <c r="CM187" i="1" s="1"/>
  <c r="CM108" i="1"/>
  <c r="CM134" i="1"/>
  <c r="CM107" i="1"/>
  <c r="CM133" i="1"/>
  <c r="CM237" i="1" l="1"/>
  <c r="CM274" i="1"/>
  <c r="CM272" i="1"/>
  <c r="CM270" i="1"/>
  <c r="CN235" i="1"/>
  <c r="CM191" i="1"/>
  <c r="CM194" i="1"/>
  <c r="CM192" i="1" l="1"/>
  <c r="CN62" i="1"/>
  <c r="CM135" i="1"/>
  <c r="CN278" i="1" l="1"/>
  <c r="AA62" i="1"/>
  <c r="AA63" i="1" s="1"/>
  <c r="CM136" i="1"/>
  <c r="CM139" i="1" s="1"/>
  <c r="CM137" i="1"/>
  <c r="CM140" i="1" s="1"/>
  <c r="CN64" i="1"/>
  <c r="AA278" i="1" l="1"/>
  <c r="AA64" i="1"/>
  <c r="CN65" i="1"/>
  <c r="CN67" i="1" l="1"/>
  <c r="CN260" i="1" s="1"/>
  <c r="AA65" i="1"/>
  <c r="AA66" i="1" s="1"/>
  <c r="CN253" i="1" l="1"/>
  <c r="CN70" i="1"/>
  <c r="CN68" i="1"/>
  <c r="CN271" i="1" s="1"/>
  <c r="CN69" i="1"/>
  <c r="CN74" i="1"/>
  <c r="CN92" i="1" s="1"/>
  <c r="AA67" i="1"/>
  <c r="AA74" i="1" s="1"/>
  <c r="CN145" i="1" l="1"/>
  <c r="AA145" i="1" s="1"/>
  <c r="AA146" i="1" s="1"/>
  <c r="AA80" i="1" s="1"/>
  <c r="CN219" i="1"/>
  <c r="CN221" i="1" s="1"/>
  <c r="CN225" i="1" s="1"/>
  <c r="CN239" i="1" s="1"/>
  <c r="AA69" i="1"/>
  <c r="AA87" i="1"/>
  <c r="AA68" i="1"/>
  <c r="AA271" i="1" s="1"/>
  <c r="AA92" i="1"/>
  <c r="AA219" i="1"/>
  <c r="AA221" i="1" s="1"/>
  <c r="AA225" i="1" s="1"/>
  <c r="AA239" i="1" s="1"/>
  <c r="AA77" i="1"/>
  <c r="AA78" i="1" s="1"/>
  <c r="CN95" i="1"/>
  <c r="CN98" i="1" s="1"/>
  <c r="AA155" i="1" l="1"/>
  <c r="AA81" i="1" s="1"/>
  <c r="CN146" i="1"/>
  <c r="AA233" i="1"/>
  <c r="AA231" i="1" s="1"/>
  <c r="AA118" i="1"/>
  <c r="AA120" i="1" s="1"/>
  <c r="AA201" i="1"/>
  <c r="AA95" i="1"/>
  <c r="Z115" i="1" s="1"/>
  <c r="AA94" i="1"/>
  <c r="CN96" i="1"/>
  <c r="CN111" i="1"/>
  <c r="CN104" i="1"/>
  <c r="AA104" i="1" s="1"/>
  <c r="CN105" i="1"/>
  <c r="AA105" i="1" s="1"/>
  <c r="CJ115" i="1"/>
  <c r="AA236" i="1" l="1"/>
  <c r="CN155" i="1"/>
  <c r="CN81" i="1" s="1"/>
  <c r="CN233" i="1"/>
  <c r="CN231" i="1" s="1"/>
  <c r="CN236" i="1" s="1"/>
  <c r="CN118" i="1"/>
  <c r="CN120" i="1" s="1"/>
  <c r="CN80" i="1"/>
  <c r="AA130" i="1"/>
  <c r="AA122" i="1"/>
  <c r="AA113" i="1"/>
  <c r="AA108" i="1"/>
  <c r="AA134" i="1"/>
  <c r="AA129" i="1"/>
  <c r="AA121" i="1"/>
  <c r="AA112" i="1"/>
  <c r="AA133" i="1"/>
  <c r="AA107" i="1"/>
  <c r="AA96" i="1"/>
  <c r="AA111" i="1"/>
  <c r="CN107" i="1"/>
  <c r="CN133" i="1"/>
  <c r="CN134" i="1"/>
  <c r="CN108" i="1"/>
  <c r="CN186" i="1" l="1"/>
  <c r="CN187" i="1" l="1"/>
  <c r="CN270" i="1" s="1"/>
  <c r="AA186" i="1"/>
  <c r="AA187" i="1" s="1"/>
  <c r="CN191" i="1"/>
  <c r="CN192" i="1" s="1"/>
  <c r="CN272" i="1"/>
  <c r="CN194" i="1"/>
  <c r="CO62" i="1" s="1"/>
  <c r="CO235" i="1" l="1"/>
  <c r="CN274" i="1"/>
  <c r="CN237" i="1"/>
  <c r="AA270" i="1"/>
  <c r="AA194" i="1"/>
  <c r="AA135" i="1" s="1"/>
  <c r="AA272" i="1"/>
  <c r="AB235" i="1"/>
  <c r="AA191" i="1"/>
  <c r="AA192" i="1" s="1"/>
  <c r="AA274" i="1"/>
  <c r="AA237" i="1"/>
  <c r="CN135" i="1"/>
  <c r="CN137" i="1" s="1"/>
  <c r="CN140" i="1" s="1"/>
  <c r="CO278" i="1"/>
  <c r="CO64" i="1"/>
  <c r="AA136" i="1" l="1"/>
  <c r="AA139" i="1" s="1"/>
  <c r="AA137" i="1"/>
  <c r="AA140" i="1" s="1"/>
  <c r="CN136" i="1"/>
  <c r="CN139" i="1" s="1"/>
  <c r="CO65" i="1"/>
  <c r="CO67" i="1" l="1"/>
  <c r="CO68" i="1" l="1"/>
  <c r="CO271" i="1" s="1"/>
  <c r="CO70" i="1"/>
  <c r="CO69" i="1"/>
  <c r="CO260" i="1"/>
  <c r="CO74" i="1"/>
  <c r="CO253" i="1"/>
  <c r="CO92" i="1" l="1"/>
  <c r="CO219" i="1"/>
  <c r="CO221" i="1" s="1"/>
  <c r="CO225" i="1" s="1"/>
  <c r="CO239" i="1" s="1"/>
  <c r="CO145" i="1"/>
  <c r="CO146" i="1" l="1"/>
  <c r="CO95" i="1"/>
  <c r="CK115" i="1" s="1"/>
  <c r="CO96" i="1" l="1"/>
  <c r="CO105" i="1"/>
  <c r="CO111" i="1"/>
  <c r="CO104" i="1"/>
  <c r="CO118" i="1"/>
  <c r="CO120" i="1" s="1"/>
  <c r="CO233" i="1"/>
  <c r="CO231" i="1" s="1"/>
  <c r="CO236" i="1" s="1"/>
  <c r="CO155" i="1"/>
  <c r="CO81" i="1" s="1"/>
  <c r="CO80" i="1"/>
  <c r="CO186" i="1" l="1"/>
  <c r="CO187" i="1" s="1"/>
  <c r="CO107" i="1"/>
  <c r="CO133" i="1"/>
  <c r="CO134" i="1"/>
  <c r="CO108" i="1"/>
  <c r="CO237" i="1" l="1"/>
  <c r="CO272" i="1"/>
  <c r="CO270" i="1"/>
  <c r="CO274" i="1"/>
  <c r="CO191" i="1"/>
  <c r="CO194" i="1"/>
  <c r="CP235" i="1"/>
  <c r="CP62" i="1" l="1"/>
  <c r="CO135" i="1"/>
  <c r="CO192" i="1"/>
  <c r="CP278" i="1" l="1"/>
  <c r="CO137" i="1"/>
  <c r="CO140" i="1" s="1"/>
  <c r="CO136" i="1"/>
  <c r="CO139" i="1" s="1"/>
  <c r="CP64" i="1"/>
  <c r="CP65" i="1" l="1"/>
  <c r="CP67" i="1" l="1"/>
  <c r="CP68" i="1" s="1"/>
  <c r="CP271" i="1" s="1"/>
  <c r="CP69" i="1" l="1"/>
  <c r="CP253" i="1"/>
  <c r="CP260" i="1"/>
  <c r="CP74" i="1"/>
  <c r="CP145" i="1" s="1"/>
  <c r="CP70" i="1"/>
  <c r="CP219" i="1" l="1"/>
  <c r="CP221" i="1" s="1"/>
  <c r="CP225" i="1" s="1"/>
  <c r="CP239" i="1" s="1"/>
  <c r="CP92" i="1"/>
  <c r="CP95" i="1" s="1"/>
  <c r="CL115" i="1" s="1"/>
  <c r="CP146" i="1"/>
  <c r="CP96" i="1" l="1"/>
  <c r="CP104" i="1"/>
  <c r="CP111" i="1"/>
  <c r="CP105" i="1"/>
  <c r="CP233" i="1"/>
  <c r="CP231" i="1" s="1"/>
  <c r="CP236" i="1" s="1"/>
  <c r="CP155" i="1"/>
  <c r="CP81" i="1" s="1"/>
  <c r="CP118" i="1"/>
  <c r="CP120" i="1" s="1"/>
  <c r="CP80" i="1"/>
  <c r="CP186" i="1" l="1"/>
  <c r="CP107" i="1"/>
  <c r="CP133" i="1"/>
  <c r="CP134" i="1"/>
  <c r="CP108" i="1"/>
  <c r="CP187" i="1" l="1"/>
  <c r="CP272" i="1" l="1"/>
  <c r="CP270" i="1"/>
  <c r="CP274" i="1"/>
  <c r="CP191" i="1"/>
  <c r="CQ235" i="1"/>
  <c r="CP194" i="1"/>
  <c r="CP237" i="1"/>
  <c r="CP135" i="1" l="1"/>
  <c r="CQ62" i="1"/>
  <c r="CP192" i="1"/>
  <c r="CQ278" i="1" l="1"/>
  <c r="CQ64" i="1"/>
  <c r="CP136" i="1"/>
  <c r="CP139" i="1" s="1"/>
  <c r="CP137" i="1"/>
  <c r="CP140" i="1" s="1"/>
  <c r="CQ65" i="1" l="1"/>
  <c r="CQ67" i="1" l="1"/>
  <c r="CQ74" i="1" s="1"/>
  <c r="CQ253" i="1" l="1"/>
  <c r="CQ70" i="1"/>
  <c r="CQ69" i="1"/>
  <c r="CQ68" i="1"/>
  <c r="CQ271" i="1" s="1"/>
  <c r="CQ260" i="1"/>
  <c r="CQ92" i="1"/>
  <c r="CQ219" i="1"/>
  <c r="CQ221" i="1" s="1"/>
  <c r="CQ225" i="1" s="1"/>
  <c r="CQ239" i="1" s="1"/>
  <c r="CQ145" i="1"/>
  <c r="CQ146" i="1" l="1"/>
  <c r="CQ95" i="1"/>
  <c r="CQ96" i="1" l="1"/>
  <c r="CQ105" i="1"/>
  <c r="CQ104" i="1"/>
  <c r="CQ111" i="1"/>
  <c r="CQ155" i="1"/>
  <c r="CQ81" i="1" s="1"/>
  <c r="CQ233" i="1"/>
  <c r="CQ231" i="1" s="1"/>
  <c r="CQ236" i="1" s="1"/>
  <c r="CQ118" i="1"/>
  <c r="CQ120" i="1" s="1"/>
  <c r="CQ80" i="1"/>
  <c r="CQ186" i="1" l="1"/>
  <c r="CQ187" i="1" s="1"/>
  <c r="CQ237" i="1" s="1"/>
  <c r="CQ133" i="1"/>
  <c r="CQ107" i="1"/>
  <c r="CQ134" i="1"/>
  <c r="CQ108" i="1"/>
  <c r="CQ274" i="1" l="1"/>
  <c r="CQ272" i="1"/>
  <c r="CQ270" i="1"/>
  <c r="CQ194" i="1"/>
  <c r="CR235" i="1"/>
  <c r="CQ191" i="1"/>
  <c r="CQ192" i="1" l="1"/>
  <c r="CQ135" i="1"/>
  <c r="CR62" i="1"/>
  <c r="CR278" i="1" l="1"/>
  <c r="AB62" i="1"/>
  <c r="CR64" i="1"/>
  <c r="CQ136" i="1"/>
  <c r="CQ139" i="1" s="1"/>
  <c r="CQ137" i="1"/>
  <c r="CQ140" i="1" s="1"/>
  <c r="AB63" i="1" l="1"/>
  <c r="AB278" i="1"/>
  <c r="AB64" i="1"/>
  <c r="CR65" i="1"/>
  <c r="CR67" i="1" l="1"/>
  <c r="CR69" i="1" s="1"/>
  <c r="AB65" i="1"/>
  <c r="AB66" i="1" s="1"/>
  <c r="CR70" i="1" l="1"/>
  <c r="CR253" i="1"/>
  <c r="CR74" i="1"/>
  <c r="CR145" i="1" s="1"/>
  <c r="AB145" i="1" s="1"/>
  <c r="AB146" i="1" s="1"/>
  <c r="CR68" i="1"/>
  <c r="CR271" i="1" s="1"/>
  <c r="CR260" i="1"/>
  <c r="AB67" i="1"/>
  <c r="AB68" i="1" s="1"/>
  <c r="AB271" i="1" s="1"/>
  <c r="CR219" i="1" l="1"/>
  <c r="CR221" i="1" s="1"/>
  <c r="CR225" i="1" s="1"/>
  <c r="CR239" i="1" s="1"/>
  <c r="CR92" i="1"/>
  <c r="CR95" i="1" s="1"/>
  <c r="CR98" i="1" s="1"/>
  <c r="AB87" i="1"/>
  <c r="AB69" i="1"/>
  <c r="AB74" i="1"/>
  <c r="AB92" i="1" s="1"/>
  <c r="AB118" i="1"/>
  <c r="AB120" i="1" s="1"/>
  <c r="AB155" i="1"/>
  <c r="AB81" i="1" s="1"/>
  <c r="AB201" i="1"/>
  <c r="CR146" i="1"/>
  <c r="AB233" i="1" l="1"/>
  <c r="AB231" i="1" s="1"/>
  <c r="AB219" i="1"/>
  <c r="AB221" i="1" s="1"/>
  <c r="AB225" i="1" s="1"/>
  <c r="AB239" i="1" s="1"/>
  <c r="AB77" i="1"/>
  <c r="AB78" i="1" s="1"/>
  <c r="AB80" i="1"/>
  <c r="AB94" i="1"/>
  <c r="AB95" i="1"/>
  <c r="CR96" i="1"/>
  <c r="CR111" i="1"/>
  <c r="CR104" i="1"/>
  <c r="AB104" i="1" s="1"/>
  <c r="CR105" i="1"/>
  <c r="AB105" i="1" s="1"/>
  <c r="CR155" i="1"/>
  <c r="CR81" i="1" s="1"/>
  <c r="CR233" i="1"/>
  <c r="CR231" i="1" s="1"/>
  <c r="CR236" i="1" s="1"/>
  <c r="CR118" i="1"/>
  <c r="CR120" i="1" s="1"/>
  <c r="CR80" i="1"/>
  <c r="AB236" i="1" l="1"/>
  <c r="AB130" i="1"/>
  <c r="AB108" i="1"/>
  <c r="AB122" i="1"/>
  <c r="AB113" i="1"/>
  <c r="AB134" i="1"/>
  <c r="AB96" i="1"/>
  <c r="AB111" i="1"/>
  <c r="AA115" i="1"/>
  <c r="AB129" i="1"/>
  <c r="AB133" i="1"/>
  <c r="AB107" i="1"/>
  <c r="AB112" i="1"/>
  <c r="AB121" i="1"/>
  <c r="CR186" i="1"/>
  <c r="CR134" i="1"/>
  <c r="CR108" i="1"/>
  <c r="CR133" i="1"/>
  <c r="CR107" i="1"/>
  <c r="CR187" i="1" l="1"/>
  <c r="CS235" i="1" s="1"/>
  <c r="AB186" i="1"/>
  <c r="AB187" i="1" s="1"/>
  <c r="CR237" i="1" l="1"/>
  <c r="CR270" i="1"/>
  <c r="CR274" i="1"/>
  <c r="AB274" i="1"/>
  <c r="AC235" i="1"/>
  <c r="AB194" i="1"/>
  <c r="AB135" i="1" s="1"/>
  <c r="AB191" i="1"/>
  <c r="AB192" i="1" s="1"/>
  <c r="AB272" i="1"/>
  <c r="AB270" i="1"/>
  <c r="AB237" i="1"/>
  <c r="CR191" i="1"/>
  <c r="CR192" i="1" s="1"/>
  <c r="CR272" i="1"/>
  <c r="CR194" i="1"/>
  <c r="CS62" i="1" s="1"/>
  <c r="CR135" i="1" l="1"/>
  <c r="CR136" i="1" s="1"/>
  <c r="CR139" i="1" s="1"/>
  <c r="CS278" i="1"/>
  <c r="AB137" i="1"/>
  <c r="AB140" i="1" s="1"/>
  <c r="AB136" i="1"/>
  <c r="AB139" i="1" s="1"/>
  <c r="CS64" i="1"/>
  <c r="CR137" i="1" l="1"/>
  <c r="CR140" i="1" s="1"/>
  <c r="CS65" i="1"/>
  <c r="CS67" i="1" l="1"/>
  <c r="CS74" i="1" l="1"/>
  <c r="CS70" i="1"/>
  <c r="CS260" i="1"/>
  <c r="CS69" i="1"/>
  <c r="CS68" i="1"/>
  <c r="CS271" i="1" s="1"/>
  <c r="CS253" i="1"/>
  <c r="CS92" i="1" l="1"/>
  <c r="CS219" i="1"/>
  <c r="CS221" i="1" s="1"/>
  <c r="CS225" i="1" s="1"/>
  <c r="CS239" i="1" s="1"/>
  <c r="CS145" i="1"/>
  <c r="CS146" i="1" l="1"/>
  <c r="CS95" i="1"/>
  <c r="CS96" i="1" l="1"/>
  <c r="CS104" i="1"/>
  <c r="CS105" i="1"/>
  <c r="CS111" i="1"/>
  <c r="CS155" i="1"/>
  <c r="CS81" i="1" s="1"/>
  <c r="CS118" i="1"/>
  <c r="CS120" i="1" s="1"/>
  <c r="CS233" i="1"/>
  <c r="CS231" i="1" s="1"/>
  <c r="CS236" i="1" s="1"/>
  <c r="CS80" i="1"/>
  <c r="CS186" i="1" l="1"/>
  <c r="CS187" i="1" s="1"/>
  <c r="CS134" i="1"/>
  <c r="CS108" i="1"/>
  <c r="CS133" i="1"/>
  <c r="CS107" i="1"/>
  <c r="CS272" i="1" l="1"/>
  <c r="CS274" i="1"/>
  <c r="CS270" i="1"/>
  <c r="CT235" i="1"/>
  <c r="CS191" i="1"/>
  <c r="CS194" i="1"/>
  <c r="CS237" i="1"/>
  <c r="CT62" i="1" l="1"/>
  <c r="CS135" i="1"/>
  <c r="CS192" i="1"/>
  <c r="CT278" i="1" l="1"/>
  <c r="CS137" i="1"/>
  <c r="CS140" i="1" s="1"/>
  <c r="CS136" i="1"/>
  <c r="CS139" i="1" s="1"/>
  <c r="CT64" i="1"/>
  <c r="CT65" i="1" l="1"/>
  <c r="CT67" i="1" l="1"/>
  <c r="CT70" i="1" s="1"/>
  <c r="CT69" i="1" l="1"/>
  <c r="CT74" i="1"/>
  <c r="CT260" i="1"/>
  <c r="CT253" i="1"/>
  <c r="CT68" i="1"/>
  <c r="CT271" i="1" s="1"/>
  <c r="CT145" i="1" l="1"/>
  <c r="CT92" i="1"/>
  <c r="CT95" i="1" s="1"/>
  <c r="CT219" i="1"/>
  <c r="CT221" i="1" s="1"/>
  <c r="CT225" i="1" s="1"/>
  <c r="CT239" i="1" s="1"/>
  <c r="CT146" i="1" l="1"/>
  <c r="CT96" i="1"/>
  <c r="CT111" i="1"/>
  <c r="CT104" i="1"/>
  <c r="CT105" i="1"/>
  <c r="CT155" i="1" l="1"/>
  <c r="CT81" i="1" s="1"/>
  <c r="CT118" i="1"/>
  <c r="CT120" i="1" s="1"/>
  <c r="CT233" i="1"/>
  <c r="CT231" i="1" s="1"/>
  <c r="CT236" i="1" s="1"/>
  <c r="CT186" i="1" s="1"/>
  <c r="CT80" i="1"/>
  <c r="CT133" i="1"/>
  <c r="CT107" i="1"/>
  <c r="CT134" i="1"/>
  <c r="CT108" i="1"/>
  <c r="CT187" i="1" l="1"/>
  <c r="CT272" i="1" l="1"/>
  <c r="CT274" i="1"/>
  <c r="CT270" i="1"/>
  <c r="CU235" i="1"/>
  <c r="CT191" i="1"/>
  <c r="CT194" i="1"/>
  <c r="CT237" i="1"/>
  <c r="CT192" i="1" l="1"/>
  <c r="CT135" i="1"/>
  <c r="CU62" i="1"/>
  <c r="CU278" i="1" l="1"/>
  <c r="CU64" i="1"/>
  <c r="CT136" i="1"/>
  <c r="CT139" i="1" s="1"/>
  <c r="CT137" i="1"/>
  <c r="CT140" i="1" s="1"/>
  <c r="CU65" i="1" l="1"/>
  <c r="CU67" i="1" l="1"/>
  <c r="CU68" i="1" s="1"/>
  <c r="CU271" i="1" s="1"/>
  <c r="CU253" i="1" l="1"/>
  <c r="CU260" i="1"/>
  <c r="CU74" i="1"/>
  <c r="CU219" i="1" s="1"/>
  <c r="CU221" i="1" s="1"/>
  <c r="CU225" i="1" s="1"/>
  <c r="CU239" i="1" s="1"/>
  <c r="CU70" i="1"/>
  <c r="CU69" i="1"/>
  <c r="CU145" i="1" l="1"/>
  <c r="CU146" i="1" s="1"/>
  <c r="CU92" i="1"/>
  <c r="CU95" i="1" s="1"/>
  <c r="CU96" i="1" l="1"/>
  <c r="CU111" i="1"/>
  <c r="CU105" i="1"/>
  <c r="CU104" i="1"/>
  <c r="CU155" i="1"/>
  <c r="CU81" i="1" s="1"/>
  <c r="CU233" i="1"/>
  <c r="CU231" i="1" s="1"/>
  <c r="CU236" i="1" s="1"/>
  <c r="CU118" i="1"/>
  <c r="CU120" i="1" s="1"/>
  <c r="CU80" i="1"/>
  <c r="CU186" i="1" l="1"/>
  <c r="CU187" i="1" s="1"/>
  <c r="CU133" i="1"/>
  <c r="CU107" i="1"/>
  <c r="CU134" i="1"/>
  <c r="CU108" i="1"/>
  <c r="CU274" i="1" l="1"/>
  <c r="CU270" i="1"/>
  <c r="CU272" i="1"/>
  <c r="CU191" i="1"/>
  <c r="CU194" i="1"/>
  <c r="CV235" i="1"/>
  <c r="CU237" i="1"/>
  <c r="CU192" i="1" l="1"/>
  <c r="CV62" i="1"/>
  <c r="CU135" i="1"/>
  <c r="CV278" i="1" l="1"/>
  <c r="AC62" i="1"/>
  <c r="CU136" i="1"/>
  <c r="CU139" i="1" s="1"/>
  <c r="CU137" i="1"/>
  <c r="CU140" i="1" s="1"/>
  <c r="CV64" i="1"/>
  <c r="AC63" i="1" l="1"/>
  <c r="AC278" i="1"/>
  <c r="AC64" i="1"/>
  <c r="CV65" i="1"/>
  <c r="AC65" i="1" s="1"/>
  <c r="AC66" i="1" l="1"/>
  <c r="AC67" i="1"/>
  <c r="CV67" i="1"/>
  <c r="AC87" i="1" l="1"/>
  <c r="AC69" i="1"/>
  <c r="AC68" i="1"/>
  <c r="AC271" i="1" s="1"/>
  <c r="AC74" i="1"/>
  <c r="CV74" i="1"/>
  <c r="CV260" i="1"/>
  <c r="CV68" i="1"/>
  <c r="CV271" i="1" s="1"/>
  <c r="CV70" i="1"/>
  <c r="CV69" i="1"/>
  <c r="CV253" i="1"/>
  <c r="AC77" i="1" l="1"/>
  <c r="AC78" i="1" s="1"/>
  <c r="AC219" i="1"/>
  <c r="AC221" i="1" s="1"/>
  <c r="AC225" i="1" s="1"/>
  <c r="AC239" i="1" s="1"/>
  <c r="AC92" i="1"/>
  <c r="CV219" i="1"/>
  <c r="CV221" i="1" s="1"/>
  <c r="CV225" i="1" s="1"/>
  <c r="CV239" i="1" s="1"/>
  <c r="CV92" i="1"/>
  <c r="CV145" i="1"/>
  <c r="AC145" i="1" s="1"/>
  <c r="AC146" i="1" s="1"/>
  <c r="AC155" i="1" l="1"/>
  <c r="AC81" i="1" s="1"/>
  <c r="AC233" i="1"/>
  <c r="AC231" i="1" s="1"/>
  <c r="AC236" i="1" s="1"/>
  <c r="AC118" i="1"/>
  <c r="AC120" i="1" s="1"/>
  <c r="AC201" i="1"/>
  <c r="AC95" i="1"/>
  <c r="AC94" i="1"/>
  <c r="AC80" i="1"/>
  <c r="CV146" i="1"/>
  <c r="CV95" i="1"/>
  <c r="CV98" i="1" s="1"/>
  <c r="AC96" i="1" l="1"/>
  <c r="AB115" i="1"/>
  <c r="AC111" i="1"/>
  <c r="CV96" i="1"/>
  <c r="CV104" i="1"/>
  <c r="AC104" i="1" s="1"/>
  <c r="CV105" i="1"/>
  <c r="AC105" i="1" s="1"/>
  <c r="CV111" i="1"/>
  <c r="CV118" i="1"/>
  <c r="CV120" i="1" s="1"/>
  <c r="CV155" i="1"/>
  <c r="CV81" i="1" s="1"/>
  <c r="CV233" i="1"/>
  <c r="CV231" i="1" s="1"/>
  <c r="CV236" i="1" s="1"/>
  <c r="CV80" i="1"/>
  <c r="AC129" i="1" l="1"/>
  <c r="AC112" i="1"/>
  <c r="AC107" i="1"/>
  <c r="AC121" i="1"/>
  <c r="AC133" i="1"/>
  <c r="AC130" i="1"/>
  <c r="AC113" i="1"/>
  <c r="AC108" i="1"/>
  <c r="AC122" i="1"/>
  <c r="AC134" i="1"/>
  <c r="CV186" i="1"/>
  <c r="CV134" i="1"/>
  <c r="CV108" i="1"/>
  <c r="CV133" i="1"/>
  <c r="CV107" i="1"/>
  <c r="CV187" i="1" l="1"/>
  <c r="CV272" i="1" s="1"/>
  <c r="AC186" i="1"/>
  <c r="AC187" i="1" s="1"/>
  <c r="CV237" i="1" l="1"/>
  <c r="CV194" i="1"/>
  <c r="CW62" i="1" s="1"/>
  <c r="CV274" i="1"/>
  <c r="CV270" i="1"/>
  <c r="CV191" i="1"/>
  <c r="CV192" i="1" s="1"/>
  <c r="CW235" i="1"/>
  <c r="AD235" i="1"/>
  <c r="AC194" i="1"/>
  <c r="AC135" i="1" s="1"/>
  <c r="AC272" i="1"/>
  <c r="AC274" i="1"/>
  <c r="AC191" i="1"/>
  <c r="AC192" i="1" s="1"/>
  <c r="AC270" i="1"/>
  <c r="AC237" i="1"/>
  <c r="CV135" i="1" l="1"/>
  <c r="CV137" i="1" s="1"/>
  <c r="CV140" i="1" s="1"/>
  <c r="AC136" i="1"/>
  <c r="AC139" i="1" s="1"/>
  <c r="AC137" i="1"/>
  <c r="AC140" i="1" s="1"/>
  <c r="CW278" i="1"/>
  <c r="CW64" i="1"/>
  <c r="CV136" i="1" l="1"/>
  <c r="CV139" i="1" s="1"/>
  <c r="CW65" i="1"/>
  <c r="CW67" i="1" l="1"/>
  <c r="CW68" i="1" l="1"/>
  <c r="CW271" i="1" s="1"/>
  <c r="CW70" i="1"/>
  <c r="CW74" i="1"/>
  <c r="CW69" i="1"/>
  <c r="CW260" i="1"/>
  <c r="CW253" i="1"/>
  <c r="CW219" i="1" l="1"/>
  <c r="CW221" i="1" s="1"/>
  <c r="CW225" i="1" s="1"/>
  <c r="CW239" i="1" s="1"/>
  <c r="CW92" i="1"/>
  <c r="CW145" i="1"/>
  <c r="CW146" i="1" l="1"/>
  <c r="CW95" i="1"/>
  <c r="CW96" i="1" l="1"/>
  <c r="CW111" i="1"/>
  <c r="CW105" i="1"/>
  <c r="CW104" i="1"/>
  <c r="CW233" i="1"/>
  <c r="CW231" i="1" s="1"/>
  <c r="CW236" i="1" s="1"/>
  <c r="CW155" i="1"/>
  <c r="CW81" i="1" s="1"/>
  <c r="CW118" i="1"/>
  <c r="CW120" i="1" s="1"/>
  <c r="CW80" i="1"/>
  <c r="CW186" i="1" l="1"/>
  <c r="CW187" i="1" s="1"/>
  <c r="CW133" i="1"/>
  <c r="CW107" i="1"/>
  <c r="CW134" i="1"/>
  <c r="CW108" i="1"/>
  <c r="CW272" i="1" l="1"/>
  <c r="CW270" i="1"/>
  <c r="CW274" i="1"/>
  <c r="CW191" i="1"/>
  <c r="CX235" i="1"/>
  <c r="CW194" i="1"/>
  <c r="CW237" i="1"/>
  <c r="CX62" i="1" l="1"/>
  <c r="CW135" i="1"/>
  <c r="CW192" i="1"/>
  <c r="CX278" i="1" l="1"/>
  <c r="CW136" i="1"/>
  <c r="CW139" i="1" s="1"/>
  <c r="CW137" i="1"/>
  <c r="CW140" i="1" s="1"/>
  <c r="CX64" i="1"/>
  <c r="CX65" i="1" l="1"/>
  <c r="CX67" i="1" l="1"/>
  <c r="CX253" i="1" s="1"/>
  <c r="CX70" i="1" l="1"/>
  <c r="CX260" i="1"/>
  <c r="CX74" i="1"/>
  <c r="CX68" i="1"/>
  <c r="CX271" i="1" s="1"/>
  <c r="CX69" i="1"/>
  <c r="CX92" i="1" l="1"/>
  <c r="CX95" i="1" s="1"/>
  <c r="CX219" i="1"/>
  <c r="CX221" i="1" s="1"/>
  <c r="CX225" i="1" s="1"/>
  <c r="CX239" i="1" s="1"/>
  <c r="CX145" i="1"/>
  <c r="CX146" i="1" l="1"/>
  <c r="CX233" i="1" s="1"/>
  <c r="CX231" i="1" s="1"/>
  <c r="CX236" i="1" s="1"/>
  <c r="CX96" i="1"/>
  <c r="CX104" i="1"/>
  <c r="CX111" i="1"/>
  <c r="CX105" i="1"/>
  <c r="CX155" i="1" l="1"/>
  <c r="CX81" i="1" s="1"/>
  <c r="CX118" i="1"/>
  <c r="CX120" i="1" s="1"/>
  <c r="CX80" i="1"/>
  <c r="CX186" i="1"/>
  <c r="CX108" i="1"/>
  <c r="CX134" i="1"/>
  <c r="CX133" i="1"/>
  <c r="CX107" i="1"/>
  <c r="CX187" i="1" l="1"/>
  <c r="CX274" i="1" l="1"/>
  <c r="CX272" i="1"/>
  <c r="CX270" i="1"/>
  <c r="CY235" i="1"/>
  <c r="CX191" i="1"/>
  <c r="CX194" i="1"/>
  <c r="CX237" i="1"/>
  <c r="CX135" i="1" l="1"/>
  <c r="CY62" i="1"/>
  <c r="CX192" i="1"/>
  <c r="CY278" i="1" l="1"/>
  <c r="CY64" i="1"/>
  <c r="CX136" i="1"/>
  <c r="CX139" i="1" s="1"/>
  <c r="CX137" i="1"/>
  <c r="CX140" i="1" s="1"/>
  <c r="CY65" i="1" l="1"/>
  <c r="CY67" i="1" l="1"/>
  <c r="CY68" i="1" l="1"/>
  <c r="CY271" i="1" s="1"/>
  <c r="CY260" i="1"/>
  <c r="CY69" i="1"/>
  <c r="CY70" i="1"/>
  <c r="CY74" i="1"/>
  <c r="CY253" i="1"/>
  <c r="CY92" i="1" l="1"/>
  <c r="CY219" i="1"/>
  <c r="CY221" i="1" s="1"/>
  <c r="CY225" i="1" s="1"/>
  <c r="CY239" i="1" s="1"/>
  <c r="CY145" i="1"/>
  <c r="CY146" i="1" l="1"/>
  <c r="CY95" i="1"/>
  <c r="CY96" i="1" l="1"/>
  <c r="CY104" i="1"/>
  <c r="CY111" i="1"/>
  <c r="CY105" i="1"/>
  <c r="CY118" i="1"/>
  <c r="CY120" i="1" s="1"/>
  <c r="CY155" i="1"/>
  <c r="CY81" i="1" s="1"/>
  <c r="CY233" i="1"/>
  <c r="CY231" i="1" s="1"/>
  <c r="CY236" i="1" s="1"/>
  <c r="CY80" i="1"/>
  <c r="CY186" i="1" l="1"/>
  <c r="CY187" i="1" s="1"/>
  <c r="CY134" i="1"/>
  <c r="CY108" i="1"/>
  <c r="CY107" i="1"/>
  <c r="CY133" i="1"/>
  <c r="CY237" i="1" l="1"/>
  <c r="CY274" i="1"/>
  <c r="CY272" i="1"/>
  <c r="CY270" i="1"/>
  <c r="CZ235" i="1"/>
  <c r="CY191" i="1"/>
  <c r="CY194" i="1"/>
  <c r="CY192" i="1" l="1"/>
  <c r="CZ62" i="1"/>
  <c r="CY135" i="1"/>
  <c r="CZ278" i="1" l="1"/>
  <c r="AD62" i="1"/>
  <c r="CY137" i="1"/>
  <c r="CY140" i="1" s="1"/>
  <c r="CY136" i="1"/>
  <c r="CY139" i="1" s="1"/>
  <c r="CZ64" i="1"/>
  <c r="AD64" i="1" l="1"/>
  <c r="AD63" i="1"/>
  <c r="AD278" i="1"/>
  <c r="CZ65" i="1"/>
  <c r="AD65" i="1" s="1"/>
  <c r="AD66" i="1" l="1"/>
  <c r="AD67" i="1"/>
  <c r="CZ67" i="1"/>
  <c r="AD87" i="1" l="1"/>
  <c r="AD74" i="1"/>
  <c r="AD69" i="1"/>
  <c r="AD68" i="1"/>
  <c r="AD271" i="1" s="1"/>
  <c r="CZ260" i="1"/>
  <c r="CZ69" i="1"/>
  <c r="CZ68" i="1"/>
  <c r="CZ271" i="1" s="1"/>
  <c r="CZ70" i="1"/>
  <c r="CZ74" i="1"/>
  <c r="CZ253" i="1"/>
  <c r="AD77" i="1" l="1"/>
  <c r="AD78" i="1" s="1"/>
  <c r="AD219" i="1"/>
  <c r="AD221" i="1" s="1"/>
  <c r="AD225" i="1" s="1"/>
  <c r="AD239" i="1" s="1"/>
  <c r="AD92" i="1"/>
  <c r="CZ219" i="1"/>
  <c r="CZ221" i="1" s="1"/>
  <c r="CZ225" i="1" s="1"/>
  <c r="CZ239" i="1" s="1"/>
  <c r="CZ92" i="1"/>
  <c r="CZ145" i="1"/>
  <c r="AD145" i="1" s="1"/>
  <c r="AD146" i="1" s="1"/>
  <c r="AD80" i="1" s="1"/>
  <c r="AD118" i="1" l="1"/>
  <c r="AD120" i="1" s="1"/>
  <c r="AD233" i="1"/>
  <c r="AD231" i="1" s="1"/>
  <c r="AD236" i="1" s="1"/>
  <c r="AD201" i="1"/>
  <c r="AD155" i="1"/>
  <c r="AD81" i="1" s="1"/>
  <c r="AD94" i="1"/>
  <c r="AD95" i="1"/>
  <c r="CZ146" i="1"/>
  <c r="CZ95" i="1"/>
  <c r="AD96" i="1" l="1"/>
  <c r="AD111" i="1"/>
  <c r="AC115" i="1"/>
  <c r="CZ96" i="1"/>
  <c r="CZ111" i="1"/>
  <c r="CZ105" i="1"/>
  <c r="AD105" i="1" s="1"/>
  <c r="CZ104" i="1"/>
  <c r="AD104" i="1" s="1"/>
  <c r="CZ155" i="1"/>
  <c r="CZ81" i="1" s="1"/>
  <c r="CZ233" i="1"/>
  <c r="CZ231" i="1" s="1"/>
  <c r="CZ236" i="1" s="1"/>
  <c r="CZ118" i="1"/>
  <c r="CZ120" i="1" s="1"/>
  <c r="CZ80" i="1"/>
  <c r="AD129" i="1" l="1"/>
  <c r="AD121" i="1"/>
  <c r="AD133" i="1"/>
  <c r="AD112" i="1"/>
  <c r="AD107" i="1"/>
  <c r="AD130" i="1"/>
  <c r="AD134" i="1"/>
  <c r="AD113" i="1"/>
  <c r="AD108" i="1"/>
  <c r="AD122" i="1"/>
  <c r="CZ186" i="1"/>
  <c r="CZ133" i="1"/>
  <c r="CZ107" i="1"/>
  <c r="CZ108" i="1"/>
  <c r="CZ134" i="1"/>
  <c r="CZ187" i="1" l="1"/>
  <c r="CZ274" i="1" s="1"/>
  <c r="AD186" i="1"/>
  <c r="AD187" i="1" s="1"/>
  <c r="CZ191" i="1" l="1"/>
  <c r="CZ192" i="1" s="1"/>
  <c r="CZ270" i="1"/>
  <c r="CZ272" i="1"/>
  <c r="DA235" i="1"/>
  <c r="CZ194" i="1"/>
  <c r="CZ135" i="1" s="1"/>
  <c r="CZ237" i="1"/>
  <c r="AD274" i="1"/>
  <c r="AD194" i="1"/>
  <c r="AD135" i="1" s="1"/>
  <c r="AD272" i="1"/>
  <c r="AD270" i="1"/>
  <c r="AE235" i="1"/>
  <c r="AD191" i="1"/>
  <c r="AD192" i="1" s="1"/>
  <c r="AD237" i="1"/>
  <c r="DA62" i="1" l="1"/>
  <c r="DA278" i="1" s="1"/>
  <c r="AD137" i="1"/>
  <c r="AD140" i="1" s="1"/>
  <c r="AD136" i="1"/>
  <c r="AD139" i="1" s="1"/>
  <c r="CZ136" i="1"/>
  <c r="CZ139" i="1" s="1"/>
  <c r="CZ137" i="1"/>
  <c r="CZ140" i="1" s="1"/>
  <c r="DA64" i="1" l="1"/>
  <c r="DA65" i="1" s="1"/>
  <c r="DA67" i="1" l="1"/>
  <c r="DA260" i="1" l="1"/>
  <c r="DA74" i="1"/>
  <c r="DA69" i="1"/>
  <c r="DA70" i="1"/>
  <c r="DA68" i="1"/>
  <c r="DA271" i="1" s="1"/>
  <c r="DA253" i="1"/>
  <c r="DA92" i="1" l="1"/>
  <c r="DA219" i="1"/>
  <c r="DA221" i="1" s="1"/>
  <c r="DA225" i="1" s="1"/>
  <c r="DA239" i="1" s="1"/>
  <c r="DA145" i="1"/>
  <c r="DA146" i="1" l="1"/>
  <c r="DA95" i="1"/>
  <c r="DA96" i="1" s="1"/>
  <c r="DA105" i="1" l="1"/>
  <c r="DA104" i="1"/>
  <c r="DA111" i="1"/>
  <c r="DA155" i="1"/>
  <c r="DA81" i="1" s="1"/>
  <c r="DA233" i="1"/>
  <c r="DA231" i="1" s="1"/>
  <c r="DA236" i="1" s="1"/>
  <c r="DA118" i="1"/>
  <c r="DA120" i="1" s="1"/>
  <c r="DA80" i="1"/>
  <c r="DA186" i="1" l="1"/>
  <c r="DA187" i="1" s="1"/>
  <c r="DA133" i="1"/>
  <c r="DA107" i="1"/>
  <c r="DA108" i="1"/>
  <c r="DA134" i="1"/>
  <c r="DA237" i="1" l="1"/>
  <c r="DA274" i="1"/>
  <c r="DA270" i="1"/>
  <c r="DA272" i="1"/>
  <c r="DA194" i="1"/>
  <c r="DB235" i="1"/>
  <c r="DA191" i="1"/>
  <c r="DA192" i="1" l="1"/>
  <c r="DA135" i="1"/>
  <c r="DB62" i="1"/>
  <c r="DB278" i="1" l="1"/>
  <c r="DA137" i="1"/>
  <c r="DA140" i="1" s="1"/>
  <c r="DA136" i="1"/>
  <c r="DA139" i="1" s="1"/>
  <c r="DB64" i="1"/>
  <c r="DB65" i="1" l="1"/>
  <c r="DB67" i="1" l="1"/>
  <c r="DB69" i="1" l="1"/>
  <c r="DB70" i="1"/>
  <c r="DB260" i="1"/>
  <c r="DB68" i="1"/>
  <c r="DB271" i="1" s="1"/>
  <c r="DB74" i="1"/>
  <c r="DB253" i="1"/>
  <c r="DB219" i="1" l="1"/>
  <c r="DB221" i="1" s="1"/>
  <c r="DB225" i="1" s="1"/>
  <c r="DB239" i="1" s="1"/>
  <c r="DB92" i="1"/>
  <c r="DB145" i="1"/>
  <c r="DB95" i="1" l="1"/>
  <c r="DB96" i="1" s="1"/>
  <c r="DB146" i="1"/>
  <c r="DB105" i="1" l="1"/>
  <c r="DB108" i="1" s="1"/>
  <c r="DB111" i="1"/>
  <c r="DB104" i="1"/>
  <c r="DB107" i="1" s="1"/>
  <c r="DB233" i="1"/>
  <c r="DB231" i="1" s="1"/>
  <c r="DB236" i="1" s="1"/>
  <c r="DB155" i="1"/>
  <c r="DB81" i="1" s="1"/>
  <c r="DB118" i="1"/>
  <c r="DB120" i="1" s="1"/>
  <c r="DB80" i="1"/>
  <c r="DB133" i="1" l="1"/>
  <c r="DB134" i="1"/>
  <c r="DB186" i="1"/>
  <c r="DB187" i="1" l="1"/>
  <c r="DC235" i="1" s="1"/>
  <c r="DB270" i="1" l="1"/>
  <c r="DB274" i="1"/>
  <c r="DB272" i="1"/>
  <c r="DB191" i="1"/>
  <c r="DB194" i="1"/>
  <c r="DB237" i="1"/>
  <c r="DB135" i="1" l="1"/>
  <c r="DB136" i="1" s="1"/>
  <c r="DB139" i="1" s="1"/>
  <c r="DC62" i="1"/>
  <c r="DB192" i="1"/>
  <c r="DB137" i="1" l="1"/>
  <c r="DB140" i="1" s="1"/>
  <c r="DC278" i="1"/>
  <c r="DC64" i="1"/>
  <c r="DC65" i="1" s="1"/>
  <c r="DC67" i="1" l="1"/>
  <c r="DC70" i="1" l="1"/>
  <c r="DC68" i="1"/>
  <c r="DC271" i="1" s="1"/>
  <c r="DC74" i="1"/>
  <c r="DC69" i="1"/>
  <c r="DC260" i="1"/>
  <c r="DC253" i="1"/>
  <c r="DC92" i="1" l="1"/>
  <c r="DC95" i="1" s="1"/>
  <c r="DC219" i="1"/>
  <c r="DC221" i="1" s="1"/>
  <c r="DC225" i="1" s="1"/>
  <c r="DC239" i="1" s="1"/>
  <c r="DC145" i="1"/>
  <c r="DC146" i="1" l="1"/>
  <c r="DC104" i="1"/>
  <c r="DC105" i="1"/>
  <c r="DC111" i="1"/>
  <c r="DC96" i="1"/>
  <c r="DC107" i="1" l="1"/>
  <c r="DC133" i="1"/>
  <c r="DC108" i="1"/>
  <c r="DC134" i="1"/>
  <c r="DC233" i="1"/>
  <c r="DC231" i="1" s="1"/>
  <c r="DC236" i="1" s="1"/>
  <c r="DC80" i="1"/>
  <c r="DC118" i="1"/>
  <c r="DC120" i="1" s="1"/>
  <c r="DC155" i="1"/>
  <c r="DC81" i="1" s="1"/>
  <c r="DC186" i="1" l="1"/>
  <c r="DC187" i="1" s="1"/>
  <c r="DC237" i="1" s="1"/>
  <c r="DC272" i="1" l="1"/>
  <c r="DC191" i="1"/>
  <c r="DC192" i="1" s="1"/>
  <c r="DC194" i="1"/>
  <c r="DD235" i="1"/>
  <c r="DC274" i="1"/>
  <c r="DC270" i="1"/>
  <c r="DC135" i="1" l="1"/>
  <c r="DD62" i="1"/>
  <c r="DD278" i="1" l="1"/>
  <c r="DD64" i="1"/>
  <c r="AE62" i="1"/>
  <c r="DC137" i="1"/>
  <c r="DC140" i="1" s="1"/>
  <c r="DC136" i="1"/>
  <c r="DC139" i="1" s="1"/>
  <c r="AE63" i="1" l="1"/>
  <c r="AE278" i="1"/>
  <c r="AE64" i="1"/>
  <c r="DD65" i="1"/>
  <c r="AE65" i="1" s="1"/>
  <c r="AE66" i="1" l="1"/>
  <c r="DD67" i="1"/>
  <c r="DD260" i="1" s="1"/>
  <c r="AE67" i="1"/>
  <c r="DD69" i="1" l="1"/>
  <c r="DD74" i="1"/>
  <c r="DD92" i="1" s="1"/>
  <c r="DD95" i="1" s="1"/>
  <c r="DD68" i="1"/>
  <c r="DD271" i="1" s="1"/>
  <c r="DD253" i="1"/>
  <c r="DD70" i="1"/>
  <c r="AE69" i="1"/>
  <c r="AE87" i="1"/>
  <c r="AE68" i="1"/>
  <c r="AE271" i="1" s="1"/>
  <c r="AE74" i="1"/>
  <c r="DD219" i="1" l="1"/>
  <c r="DD221" i="1" s="1"/>
  <c r="DD225" i="1" s="1"/>
  <c r="DD239" i="1" s="1"/>
  <c r="DD145" i="1"/>
  <c r="DD146" i="1" s="1"/>
  <c r="AE77" i="1"/>
  <c r="AE78" i="1" s="1"/>
  <c r="AE92" i="1"/>
  <c r="AE219" i="1"/>
  <c r="AE221" i="1" s="1"/>
  <c r="AE225" i="1" s="1"/>
  <c r="AE239" i="1" s="1"/>
  <c r="DD111" i="1"/>
  <c r="DD104" i="1"/>
  <c r="DD105" i="1"/>
  <c r="DD96" i="1"/>
  <c r="AE145" i="1" l="1"/>
  <c r="AE146" i="1" s="1"/>
  <c r="AE80" i="1" s="1"/>
  <c r="AE104" i="1"/>
  <c r="DD107" i="1"/>
  <c r="DD133" i="1"/>
  <c r="AE94" i="1"/>
  <c r="AE95" i="1"/>
  <c r="AE105" i="1"/>
  <c r="DD108" i="1"/>
  <c r="DD134" i="1"/>
  <c r="DD155" i="1"/>
  <c r="DD81" i="1" s="1"/>
  <c r="DD80" i="1"/>
  <c r="DD118" i="1"/>
  <c r="DD120" i="1" s="1"/>
  <c r="DD233" i="1"/>
  <c r="DD231" i="1" s="1"/>
  <c r="DD236" i="1" s="1"/>
  <c r="AE233" i="1" l="1"/>
  <c r="AE231" i="1" s="1"/>
  <c r="AE236" i="1" s="1"/>
  <c r="AE201" i="1"/>
  <c r="AE118" i="1"/>
  <c r="AE120" i="1" s="1"/>
  <c r="AE155" i="1"/>
  <c r="AE81" i="1" s="1"/>
  <c r="AE130" i="1"/>
  <c r="AE113" i="1"/>
  <c r="AE108" i="1"/>
  <c r="AE134" i="1"/>
  <c r="DD186" i="1"/>
  <c r="AE96" i="1"/>
  <c r="AD115" i="1"/>
  <c r="AE111" i="1"/>
  <c r="AE129" i="1"/>
  <c r="AE112" i="1"/>
  <c r="AE133" i="1"/>
  <c r="AE107" i="1"/>
  <c r="AE121" i="1" l="1"/>
  <c r="AE122" i="1"/>
  <c r="DD187" i="1"/>
  <c r="AE186" i="1"/>
  <c r="AE187" i="1" s="1"/>
  <c r="AE270" i="1" l="1"/>
  <c r="AE274" i="1"/>
  <c r="AE194" i="1"/>
  <c r="AE135" i="1" s="1"/>
  <c r="AE191" i="1"/>
  <c r="AE192" i="1" s="1"/>
  <c r="AE272" i="1"/>
  <c r="AE237" i="1"/>
  <c r="DD274" i="1"/>
  <c r="DD194" i="1"/>
  <c r="DD135" i="1" s="1"/>
  <c r="DD270" i="1"/>
  <c r="DD272" i="1"/>
  <c r="DD191" i="1"/>
  <c r="DD192" i="1" s="1"/>
  <c r="DD237" i="1"/>
  <c r="DD137" i="1" l="1"/>
  <c r="DD140" i="1" s="1"/>
  <c r="DD136" i="1"/>
  <c r="DD139" i="1" s="1"/>
  <c r="AE136" i="1"/>
  <c r="AE139" i="1" s="1"/>
  <c r="AE137" i="1"/>
  <c r="AE1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Y27" authorId="0" shapeId="0" xr:uid="{580023DF-C6BD-4214-8CB8-E07A4C3207D0}">
      <text>
        <r>
          <rPr>
            <sz val="9"/>
            <color indexed="81"/>
            <rFont val="Tahoma"/>
            <family val="2"/>
          </rPr>
          <t>4000 cr -power generation
4800 cr - power transmission</t>
        </r>
      </text>
    </comment>
    <comment ref="Z27" authorId="0" shapeId="0" xr:uid="{09A0A562-5E82-4287-B5D3-C69BA466953E}">
      <text>
        <r>
          <rPr>
            <sz val="9"/>
            <color indexed="81"/>
            <rFont val="Tahoma"/>
            <family val="2"/>
          </rPr>
          <t xml:space="preserve">
8430 cr -power transmission
4680 cr- Power generation </t>
        </r>
      </text>
    </comment>
    <comment ref="CK157" authorId="0" shapeId="0" xr:uid="{DCAFF172-498F-4E9A-BAD8-FC277A74105F}">
      <text>
        <r>
          <rPr>
            <b/>
            <sz val="9"/>
            <color indexed="81"/>
            <rFont val="Tahoma"/>
            <family val="2"/>
          </rPr>
          <t>740 cr capex-to be commissioned between 4QFY26 and 1QFY27
1-</t>
        </r>
        <r>
          <rPr>
            <sz val="9"/>
            <color indexed="81"/>
            <rFont val="Tahoma"/>
            <family val="2"/>
          </rPr>
          <t>460 cr for power transformers at Kalwa
 2-280 crhigh-voltage switchgear capacity expansion at Chhatrapati Sambhaji 
Nagar</t>
        </r>
      </text>
    </comment>
    <comment ref="CO157" authorId="0" shapeId="0" xr:uid="{C9D54DBF-6990-4060-AD48-CC83991AB3E0}">
      <text>
        <r>
          <rPr>
            <b/>
            <sz val="9"/>
            <color indexed="81"/>
            <rFont val="Tahoma"/>
            <family val="2"/>
          </rPr>
          <t>2060 cr cape commissioning by 2030-2032 funded by internal 
accruals, to expand its large power transformer capacity by ~30,000 MVA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<sst xmlns="http://schemas.openxmlformats.org/spreadsheetml/2006/main" count="683" uniqueCount="544">
  <si>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</si>
  <si>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</si>
  <si>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</si>
  <si>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</si>
  <si>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</si>
  <si>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</si>
  <si>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</si>
  <si>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</si>
  <si>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</si>
  <si>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</si>
  <si>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</si>
  <si>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</si>
  <si>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</si>
  <si>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</si>
  <si>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</si>
  <si>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</si>
  <si>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</si>
  <si>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</si>
  <si>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</si>
  <si>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</si>
  <si>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</si>
  <si>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</si>
  <si>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</si>
  <si>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</si>
  <si>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</si>
  <si>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</si>
  <si>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</si>
  <si>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</si>
  <si>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</si>
  <si>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</si>
  <si>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</si>
  <si>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</si>
  <si>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</si>
  <si>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</si>
  <si>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</si>
  <si>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</si>
  <si>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</si>
  <si>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</si>
  <si>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</si>
  <si>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</si>
  <si>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</si>
  <si>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</si>
  <si>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</si>
  <si>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</si>
  <si>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</si>
  <si>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</si>
  <si>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</si>
  <si>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</si>
  <si>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</si>
  <si>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</si>
  <si>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</si>
  <si>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</si>
  <si>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</si>
  <si>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</si>
  <si>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</si>
  <si>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</si>
  <si>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</si>
  <si>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</si>
  <si>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</si>
  <si>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</si>
  <si>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</si>
  <si>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</si>
  <si>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</si>
  <si>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</si>
  <si>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</si>
  <si>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</si>
  <si>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</si>
  <si>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</si>
  <si>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</si>
  <si>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</si>
  <si>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</si>
  <si>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</si>
  <si>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</si>
  <si>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</si>
  <si>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</si>
  <si>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</si>
  <si>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</si>
  <si>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</si>
  <si>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</si>
  <si>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</si>
  <si>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</si>
  <si>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</si>
  <si>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</si>
  <si>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</si>
  <si>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</si>
  <si>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</si>
  <si>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</si>
  <si>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</si>
  <si>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</si>
  <si>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</si>
  <si>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</si>
  <si>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</si>
  <si>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</si>
  <si>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</si>
  <si>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</si>
  <si>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</si>
  <si>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</si>
  <si>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</si>
  <si>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</si>
  <si>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</si>
  <si>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</si>
  <si>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</si>
  <si>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</si>
  <si>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</si>
  <si>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</si>
  <si>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</si>
  <si>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</si>
  <si>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</si>
  <si>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</si>
  <si>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</si>
  <si>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</si>
  <si>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</si>
  <si>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</si>
  <si>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</si>
  <si>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</si>
  <si>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</si>
  <si>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</si>
  <si>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</si>
  <si>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</si>
  <si>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</si>
  <si>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</si>
  <si>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</si>
  <si>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</si>
  <si>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</si>
  <si>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</si>
  <si>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</si>
  <si>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</si>
  <si>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</si>
  <si>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</si>
  <si>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</si>
  <si>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</si>
  <si>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</si>
  <si>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</si>
  <si>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</si>
  <si>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</si>
  <si>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</si>
  <si>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</si>
  <si>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</si>
  <si>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</si>
  <si>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</si>
  <si>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</si>
  <si>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</si>
  <si>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</si>
  <si>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</si>
  <si>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</si>
  <si>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</si>
  <si>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</si>
  <si>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</si>
  <si>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</si>
  <si>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</si>
  <si>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</si>
  <si>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</si>
  <si>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</si>
  <si>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</si>
  <si>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</si>
  <si>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</si>
  <si>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</si>
  <si>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</si>
  <si>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</si>
  <si>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</si>
  <si>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</si>
  <si>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</si>
  <si>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</si>
  <si>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</si>
  <si>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</si>
  <si>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</si>
  <si>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</si>
  <si>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</si>
  <si>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</si>
  <si>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</si>
  <si>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</si>
  <si>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</si>
  <si>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</si>
  <si>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</si>
  <si>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</si>
  <si>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</si>
  <si>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</si>
  <si>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</si>
  <si>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</si>
  <si>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</si>
  <si>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</si>
  <si>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</si>
  <si>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</si>
  <si>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</si>
  <si>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</si>
  <si>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</si>
  <si>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</si>
  <si>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</si>
  <si>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</si>
  <si>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</si>
  <si>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</si>
  <si>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</si>
  <si>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</si>
  <si>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</si>
  <si>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</si>
  <si>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</si>
  <si>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</si>
  <si>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</si>
  <si>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</si>
  <si>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</si>
  <si>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</si>
  <si>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</si>
  <si>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</si>
  <si>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</si>
  <si>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</si>
  <si>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</si>
  <si>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</si>
  <si>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</si>
  <si>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</si>
  <si>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</si>
  <si>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</si>
  <si>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</si>
  <si>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</si>
  <si>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</si>
  <si>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</si>
  <si>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</si>
  <si>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</si>
  <si>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</si>
  <si>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</si>
  <si>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</si>
  <si>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</si>
  <si>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</si>
  <si>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</si>
  <si>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</si>
  <si>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</si>
  <si>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</si>
  <si>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</si>
  <si>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</si>
  <si>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</si>
  <si>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</si>
  <si>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</si>
  <si>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</si>
  <si>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</si>
  <si>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</si>
  <si>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</si>
  <si>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</si>
  <si>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</si>
  <si>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</si>
  <si>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</si>
  <si>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</si>
  <si>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</si>
  <si>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</si>
  <si>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</si>
  <si>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</si>
  <si>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</si>
  <si>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</si>
  <si>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</si>
  <si>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</si>
  <si>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</si>
  <si>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</si>
  <si>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</si>
  <si>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</si>
  <si>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</si>
  <si>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</si>
  <si>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</si>
  <si>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</si>
  <si>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</si>
  <si>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</si>
  <si>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</si>
  <si>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</si>
  <si>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</si>
  <si>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</si>
  <si>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</si>
  <si>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</si>
  <si>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</si>
  <si>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</si>
  <si>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</si>
  <si>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</si>
  <si>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</si>
  <si>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</si>
  <si>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</si>
  <si>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</si>
  <si>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</si>
  <si>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</si>
  <si>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</si>
  <si>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</si>
  <si>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</si>
  <si>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</si>
  <si>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</si>
  <si>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</si>
  <si>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</si>
  <si>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</si>
  <si>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</si>
  <si>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</si>
  <si>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</si>
  <si>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</si>
  <si>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</si>
  <si>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</si>
  <si>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</si>
  <si>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</si>
  <si>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</si>
  <si>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</si>
  <si>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</si>
  <si>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</si>
  <si>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</si>
  <si>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</si>
  <si>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</si>
  <si>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</si>
  <si>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</si>
  <si>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</si>
  <si>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</si>
  <si>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</si>
  <si>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</si>
  <si>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</si>
  <si>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</si>
  <si>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</si>
  <si>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</si>
  <si>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</si>
  <si>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</si>
  <si>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</si>
  <si>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</si>
  <si>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</si>
  <si>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</si>
  <si>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</si>
  <si>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</si>
  <si>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</si>
  <si>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</si>
  <si>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</si>
  <si>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</si>
  <si>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</si>
  <si>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</si>
  <si>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</si>
  <si>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</si>
  <si>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</si>
  <si>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</si>
  <si>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</si>
  <si>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</si>
  <si>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</si>
  <si>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</si>
  <si>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</si>
  <si>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</si>
  <si>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</si>
  <si>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</si>
  <si>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</si>
  <si>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</si>
  <si>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</si>
  <si>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</si>
  <si>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</si>
  <si>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</si>
  <si>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</si>
  <si>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</si>
  <si>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</si>
  <si>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</si>
  <si>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</si>
  <si>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</si>
  <si>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</si>
  <si>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</si>
  <si>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</si>
  <si>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</si>
  <si>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</si>
  <si>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</si>
  <si>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</si>
  <si>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</si>
  <si>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</si>
  <si>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</si>
  <si>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</si>
  <si>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</si>
  <si>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</si>
  <si>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</si>
  <si>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</si>
  <si>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</si>
  <si>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</si>
  <si>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</si>
  <si>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</si>
  <si>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</si>
  <si>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</si>
  <si>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</si>
  <si>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</si>
  <si>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</si>
  <si>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</si>
  <si>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</si>
  <si>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</si>
  <si>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</si>
  <si>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</si>
  <si>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</si>
  <si>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</si>
  <si>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</si>
  <si>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</si>
  <si>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</si>
  <si>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</si>
  <si>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</si>
  <si>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</si>
  <si>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</si>
  <si>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</si>
  <si>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</si>
  <si>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</si>
  <si>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</si>
  <si>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</si>
  <si>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</si>
  <si>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</si>
  <si>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</si>
  <si>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</si>
  <si>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</si>
  <si>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</si>
  <si>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</si>
  <si>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</si>
  <si>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</si>
  <si>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</si>
  <si>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</si>
  <si>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</si>
  <si>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</si>
  <si>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</si>
  <si>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</si>
  <si>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</si>
  <si>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</si>
  <si>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</si>
  <si>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</si>
  <si>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</si>
  <si>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</si>
  <si>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</si>
  <si>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</si>
  <si>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</si>
  <si>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</si>
  <si>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</si>
  <si>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</si>
  <si>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</si>
  <si>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</si>
  <si>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</si>
  <si>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</si>
  <si>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</si>
  <si>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</si>
  <si>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</si>
  <si>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</si>
  <si>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</si>
  <si>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</si>
  <si>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</si>
  <si>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</si>
  <si>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</si>
  <si>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</si>
  <si>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</si>
  <si>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</si>
  <si>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</si>
  <si>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</si>
  <si>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</si>
  <si>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</si>
  <si>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</si>
  <si>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</si>
  <si>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</si>
  <si>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</si>
  <si>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</si>
  <si>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</si>
  <si>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</si>
  <si>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</si>
  <si>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</si>
  <si>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</si>
  <si>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</si>
  <si>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</si>
  <si>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</si>
  <si>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</si>
  <si>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</si>
  <si>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</si>
  <si>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</si>
  <si>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</si>
  <si>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</si>
  <si>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</si>
  <si>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</si>
  <si>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</si>
  <si>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</si>
  <si>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</si>
  <si>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</si>
  <si>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</si>
  <si>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</si>
  <si>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</si>
  <si>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</si>
  <si>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</si>
  <si>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</si>
  <si>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</si>
  <si>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</si>
  <si>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</si>
  <si>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</si>
  <si>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</si>
  <si>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</si>
  <si>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</si>
  <si>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</si>
  <si>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</si>
  <si>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</si>
  <si>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</si>
  <si>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</si>
  <si>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</si>
  <si>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</si>
  <si>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</si>
  <si>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</si>
  <si>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</si>
  <si>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</si>
  <si>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</si>
  <si>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</si>
  <si>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</si>
  <si>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</si>
  <si>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</si>
  <si>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</si>
  <si>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</si>
  <si>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</si>
  <si>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</si>
  <si>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</si>
  <si>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</si>
  <si>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</si>
  <si>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</si>
  <si>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</si>
  <si>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</si>
  <si>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</si>
  <si>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</si>
  <si>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</si>
  <si>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</si>
  <si>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</si>
  <si>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</si>
  <si>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</si>
  <si>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</si>
  <si>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</si>
  <si>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</si>
  <si>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</si>
  <si>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</si>
  <si>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</si>
  <si>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</si>
  <si>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</si>
  <si>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</si>
  <si>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Siemens Energy India Ltd.</t>
  </si>
  <si>
    <t>DATE</t>
  </si>
  <si>
    <t>ADJCLOSE</t>
  </si>
  <si>
    <t>ADJHIGH</t>
  </si>
  <si>
    <t>ADJLOW</t>
  </si>
  <si>
    <t>ADJOPEN</t>
  </si>
  <si>
    <t>CLOSE</t>
  </si>
  <si>
    <t>VOLUME</t>
  </si>
  <si>
    <t>Revenue Breakup</t>
  </si>
  <si>
    <t>Power Transmission</t>
  </si>
  <si>
    <t xml:space="preserve">Power Generation </t>
  </si>
  <si>
    <t xml:space="preserve">Total </t>
  </si>
  <si>
    <t>Closing Order Book</t>
  </si>
  <si>
    <t>Opening Order Book</t>
  </si>
  <si>
    <t>Execution</t>
  </si>
  <si>
    <t>Addition</t>
  </si>
  <si>
    <t>Power Transmission-EBIT</t>
  </si>
  <si>
    <t>Power Generation -EBIT</t>
  </si>
  <si>
    <t>EBIT Breakup</t>
  </si>
  <si>
    <t>Order Book</t>
  </si>
  <si>
    <t>Total EBIT</t>
  </si>
  <si>
    <t>Checksum -EBIT</t>
  </si>
  <si>
    <t>EBIT Margins %</t>
  </si>
  <si>
    <t>Power Transmission-EBIT%</t>
  </si>
  <si>
    <t>Power Generation -EBIT%</t>
  </si>
  <si>
    <t>Revenue Growth %</t>
  </si>
  <si>
    <t>Power Transmission yoy%</t>
  </si>
  <si>
    <t>Power Generation yoy%</t>
  </si>
  <si>
    <t>Checksum-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</si>
</sst>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3" fillId="2" borderId="0" xfId="2" applyFont="1" applyFill="1" applyAlignment="1">
      <alignment horizontal="left"/>
    </xf>
    <xf numFmtId="43" fontId="3" fillId="2" borderId="0" xfId="2" applyFont="1" applyFill="1" applyAlignment="1">
      <alignment horizontal="center"/>
    </xf>
    <xf numFmtId="43" fontId="3" fillId="7" borderId="0" xfId="2" applyFont="1" applyFill="1" applyAlignment="1">
      <alignment horizontal="center"/>
    </xf>
    <xf numFmtId="43" fontId="3" fillId="0" borderId="0" xfId="2" applyFont="1" applyAlignment="1">
      <alignment horizontal="center"/>
    </xf>
    <xf numFmtId="43" fontId="3" fillId="0" borderId="0" xfId="2" applyFont="1" applyFill="1" applyAlignment="1">
      <alignment horizontal="center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23" fillId="2" borderId="0" xfId="2" applyFont="1" applyFill="1" applyAlignment="1">
      <alignment horizontal="left"/>
    </xf>
    <xf numFmtId="43" fontId="23" fillId="2" borderId="0" xfId="2" applyFont="1" applyFill="1" applyAlignment="1">
      <alignment horizontal="center"/>
    </xf>
    <xf numFmtId="43" fontId="23" fillId="7" borderId="0" xfId="2" applyFont="1" applyFill="1" applyAlignment="1">
      <alignment horizontal="center"/>
    </xf>
    <xf numFmtId="43" fontId="23" fillId="0" borderId="0" xfId="2" applyFont="1" applyAlignment="1">
      <alignment horizontal="center"/>
    </xf>
    <xf numFmtId="43" fontId="23" fillId="0" borderId="0" xfId="2" applyFont="1" applyFill="1" applyAlignment="1">
      <alignment horizontal="center"/>
    </xf>
    <xf numFmtId="9" fontId="20" fillId="2" borderId="0" xfId="1" applyFont="1" applyFill="1" applyAlignment="1">
      <alignment horizontal="left"/>
    </xf>
    <xf numFmtId="9" fontId="3" fillId="2" borderId="0" xfId="1" applyFont="1" applyFill="1" applyAlignment="1">
      <alignment horizontal="center"/>
    </xf>
    <xf numFmtId="9" fontId="3" fillId="0" borderId="0" xfId="1" applyFont="1" applyAlignment="1">
      <alignment horizontal="center"/>
    </xf>
    <xf numFmtId="9" fontId="3" fillId="0" borderId="0" xfId="1" applyFont="1" applyFill="1" applyAlignment="1">
      <alignment horizontal="center"/>
    </xf>
    <xf numFmtId="9" fontId="24" fillId="2" borderId="0" xfId="1" applyFont="1" applyFill="1" applyAlignment="1">
      <alignment horizontal="center"/>
    </xf>
    <xf numFmtId="9" fontId="24" fillId="2" borderId="0" xfId="1" applyFont="1" applyFill="1" applyAlignment="1">
      <alignment horizontal="right"/>
    </xf>
    <xf numFmtId="9" fontId="24" fillId="7" borderId="0" xfId="1" applyFont="1" applyFill="1" applyAlignment="1">
      <alignment horizontal="center"/>
    </xf>
    <xf numFmtId="43" fontId="24" fillId="2" borderId="0" xfId="2" applyFont="1" applyFill="1" applyAlignment="1">
      <alignment horizontal="center"/>
    </xf>
    <xf numFmtId="9" fontId="24" fillId="7" borderId="0" xfId="1" applyFont="1" applyFill="1" applyAlignment="1">
      <alignment horizontal="right"/>
    </xf>
    <xf numFmtId="9" fontId="24" fillId="2" borderId="0" xfId="1" applyFont="1" applyFill="1" applyAlignment="1">
      <alignment horizontal="left"/>
    </xf>
    <xf numFmtId="9" fontId="24" fillId="0" borderId="0" xfId="1" applyFont="1" applyAlignment="1">
      <alignment horizontal="center"/>
    </xf>
    <xf numFmtId="9" fontId="24" fillId="0" borderId="0" xfId="1" applyFont="1" applyFill="1" applyAlignment="1">
      <alignment horizontal="center"/>
    </xf>
    <xf numFmtId="43" fontId="24" fillId="2" borderId="0" xfId="2" applyFont="1" applyFill="1" applyAlignment="1">
      <alignment horizontal="left"/>
    </xf>
    <xf numFmtId="43" fontId="24" fillId="7" borderId="0" xfId="2" applyFont="1" applyFill="1" applyAlignment="1">
      <alignment horizontal="center"/>
    </xf>
    <xf numFmtId="43" fontId="24" fillId="0" borderId="0" xfId="2" applyFont="1" applyAlignment="1">
      <alignment horizontal="center"/>
    </xf>
    <xf numFmtId="43" fontId="24" fillId="0" borderId="0" xfId="2" applyFont="1" applyFill="1" applyAlignment="1">
      <alignment horizontal="center"/>
    </xf>
    <xf numFmtId="13" fontId="2" fillId="7" borderId="0" xfId="2" applyNumberFormat="1" applyFont="1" applyFill="1"/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0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33" sqref="DF33:DF280"/>
    </sheetView>
  </sheetViews>
  <sheetFormatPr defaultColWidth="11.140625" defaultRowHeight="12" outlineLevelRow="1" x14ac:dyDescent="0.2"/>
  <cols>
    <col min="1" max="1" width="35.85546875" style="2" customWidth="1"/>
    <col min="2" max="24" width="0" style="2" hidden="1" customWidth="1"/>
    <col min="25" max="26" width="11.140625" style="2"/>
    <col min="27" max="29" width="11.140625" style="19"/>
    <col min="30" max="31" width="12.140625" style="19" bestFit="1" customWidth="1"/>
    <col min="32" max="33" width="0" style="2" hidden="1" customWidth="1"/>
    <col min="34" max="34" width="11.140625" style="2"/>
    <col min="35" max="81" width="0" style="2" hidden="1" customWidth="1"/>
    <col min="82" max="90" width="11.140625" style="2"/>
    <col min="91" max="108" width="11.140625" style="24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Siemens Energy India Ltd.</v>
      </c>
      <c r="B1" s="79">
        <v>37135</v>
      </c>
      <c r="C1" s="79">
        <f>EOMONTH(B1,12)</f>
        <v>37529</v>
      </c>
      <c r="D1" s="79">
        <f t="shared" ref="D1:AA1" si="0">EOMONTH(C1,12)</f>
        <v>37894</v>
      </c>
      <c r="E1" s="79">
        <f t="shared" si="0"/>
        <v>38260</v>
      </c>
      <c r="F1" s="79">
        <f t="shared" si="0"/>
        <v>38625</v>
      </c>
      <c r="G1" s="79">
        <f t="shared" si="0"/>
        <v>38990</v>
      </c>
      <c r="H1" s="79">
        <f t="shared" si="0"/>
        <v>39355</v>
      </c>
      <c r="I1" s="79">
        <f t="shared" si="0"/>
        <v>39721</v>
      </c>
      <c r="J1" s="79">
        <f t="shared" si="0"/>
        <v>40086</v>
      </c>
      <c r="K1" s="79">
        <f t="shared" si="0"/>
        <v>40451</v>
      </c>
      <c r="L1" s="79">
        <f t="shared" si="0"/>
        <v>40816</v>
      </c>
      <c r="M1" s="79">
        <f t="shared" si="0"/>
        <v>41182</v>
      </c>
      <c r="N1" s="79">
        <f t="shared" si="0"/>
        <v>41547</v>
      </c>
      <c r="O1" s="79">
        <f t="shared" si="0"/>
        <v>41912</v>
      </c>
      <c r="P1" s="79">
        <f t="shared" si="0"/>
        <v>42277</v>
      </c>
      <c r="Q1" s="79">
        <f t="shared" si="0"/>
        <v>42643</v>
      </c>
      <c r="R1" s="79">
        <f t="shared" si="0"/>
        <v>43008</v>
      </c>
      <c r="S1" s="79">
        <f t="shared" si="0"/>
        <v>43373</v>
      </c>
      <c r="T1" s="79">
        <f t="shared" si="0"/>
        <v>43738</v>
      </c>
      <c r="U1" s="79">
        <f t="shared" si="0"/>
        <v>44104</v>
      </c>
      <c r="V1" s="79">
        <f t="shared" si="0"/>
        <v>44469</v>
      </c>
      <c r="W1" s="79">
        <f t="shared" si="0"/>
        <v>44834</v>
      </c>
      <c r="X1" s="79">
        <f t="shared" si="0"/>
        <v>45199</v>
      </c>
      <c r="Y1" s="79">
        <f t="shared" si="0"/>
        <v>45565</v>
      </c>
      <c r="Z1" s="79">
        <f>EOMONTH(Y1,12)</f>
        <v>45930</v>
      </c>
      <c r="AA1" s="80">
        <f t="shared" si="0"/>
        <v>46295</v>
      </c>
      <c r="AB1" s="80">
        <f t="shared" ref="AB1" si="1">EOMONTH(AA1,12)</f>
        <v>46660</v>
      </c>
      <c r="AC1" s="80">
        <f t="shared" ref="AC1" si="2">EOMONTH(AB1,12)</f>
        <v>47026</v>
      </c>
      <c r="AD1" s="80">
        <f t="shared" ref="AD1" si="3">EOMONTH(AC1,12)</f>
        <v>47391</v>
      </c>
      <c r="AE1" s="80">
        <f t="shared" ref="AE1" si="4">EOMONTH(AD1,12)</f>
        <v>47756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C1" s="80">
        <f t="shared" ref="DC1" si="33">EOMONTH(DB1,3)</f>
        <v>47664</v>
      </c>
      <c r="DD1" s="80">
        <f t="shared" ref="DD1" si="34">EOMONTH(DC1,3)</f>
        <v>47756</v>
      </c>
      <c r="DE1" s="148" t="s">
        <v>445</v>
      </c>
      <c r="DF1" s="215">
        <v>45930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C3" s="157"/>
      <c r="DD3" s="157"/>
      <c r="DE3" s="159"/>
    </row>
    <row r="4" spans="1:110" s="192" customFormat="1" x14ac:dyDescent="0.2">
      <c r="A4" s="190" t="s">
        <v>523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>
        <f>+SUM(CG5:CJ5)</f>
        <v>4189.6000000000004</v>
      </c>
      <c r="AA5" s="157">
        <f t="shared" ref="AA5:AA6" si="35">SUM(CK5:CN5)</f>
        <v>5436.6989048344494</v>
      </c>
      <c r="AB5" s="157">
        <f t="shared" ref="AB5:AB6" si="36">+SUM(CO5:CR5)</f>
        <v>6481.2860012024867</v>
      </c>
      <c r="AC5" s="157">
        <f t="shared" ref="AC5:AC6" si="37">+SUM(CS5:CV5)</f>
        <v>7742.7769331956733</v>
      </c>
      <c r="AD5" s="157">
        <f t="shared" ref="AD5:AD6" si="38">+SUM(CW5:CZ5)</f>
        <v>9212.6238921273634</v>
      </c>
      <c r="AE5" s="157">
        <f t="shared" ref="AE5:AE6" si="39">+SUM(DA5:DD5)</f>
        <v>10953.874513108583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>
        <v>604.9</v>
      </c>
      <c r="CE5" s="156">
        <v>720.9</v>
      </c>
      <c r="CF5" s="156">
        <v>919.7</v>
      </c>
      <c r="CG5" s="156">
        <v>839.4</v>
      </c>
      <c r="CH5" s="156">
        <v>1013.8</v>
      </c>
      <c r="CI5" s="156">
        <v>976.4</v>
      </c>
      <c r="CJ5" s="156">
        <v>1360</v>
      </c>
      <c r="CK5" s="156">
        <v>1123.7</v>
      </c>
      <c r="CL5" s="156">
        <v>1279.2</v>
      </c>
      <c r="CM5" s="157">
        <f t="shared" ref="CM5:DD5" si="40">+CI5+(CI5*CM11)</f>
        <v>1273.8593757622411</v>
      </c>
      <c r="CN5" s="157">
        <f t="shared" si="40"/>
        <v>1759.9395290722084</v>
      </c>
      <c r="CO5" s="157">
        <f t="shared" si="40"/>
        <v>1460.5863605988309</v>
      </c>
      <c r="CP5" s="157">
        <f t="shared" si="40"/>
        <v>1650.2673272426346</v>
      </c>
      <c r="CQ5" s="157">
        <f t="shared" si="40"/>
        <v>1429.0556924552188</v>
      </c>
      <c r="CR5" s="157">
        <f t="shared" si="40"/>
        <v>1941.3766209058026</v>
      </c>
      <c r="CS5" s="157">
        <f t="shared" si="40"/>
        <v>1781.9107081407553</v>
      </c>
      <c r="CT5" s="157">
        <f t="shared" si="40"/>
        <v>1977.7623679974154</v>
      </c>
      <c r="CU5" s="157">
        <f t="shared" si="40"/>
        <v>1677.2971601688546</v>
      </c>
      <c r="CV5" s="157">
        <f t="shared" si="40"/>
        <v>2305.8066968886483</v>
      </c>
      <c r="CW5" s="157">
        <f t="shared" si="40"/>
        <v>2129.3271655466096</v>
      </c>
      <c r="CX5" s="157">
        <f t="shared" si="40"/>
        <v>2350.9887146110368</v>
      </c>
      <c r="CY5" s="157">
        <f t="shared" si="40"/>
        <v>1989.7387973856171</v>
      </c>
      <c r="CZ5" s="157">
        <f t="shared" si="40"/>
        <v>2742.5692145841003</v>
      </c>
      <c r="DA5" s="157">
        <f t="shared" si="40"/>
        <v>2533.5667820833532</v>
      </c>
      <c r="DB5" s="157">
        <f t="shared" si="40"/>
        <v>2794.297395414339</v>
      </c>
      <c r="DC5" s="157">
        <f t="shared" si="40"/>
        <v>2364.8552337708993</v>
      </c>
      <c r="DD5" s="157">
        <f t="shared" si="40"/>
        <v>3261.1551018399909</v>
      </c>
      <c r="DE5" s="159"/>
      <c r="DF5" s="158">
        <v>1411.8837056864368</v>
      </c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>
        <f>+SUM(CG6:CJ6)</f>
        <v>3637.1000000000004</v>
      </c>
      <c r="AA6" s="157">
        <f t="shared" si="35"/>
        <v>4598.7490816680147</v>
      </c>
      <c r="AB6" s="157">
        <f t="shared" si="36"/>
        <v>5415.9516125678656</v>
      </c>
      <c r="AC6" s="157">
        <f t="shared" si="37"/>
        <v>6228.3443544530446</v>
      </c>
      <c r="AD6" s="157">
        <f t="shared" si="38"/>
        <v>7162.5960076210004</v>
      </c>
      <c r="AE6" s="157">
        <f t="shared" si="39"/>
        <v>8236.9854087641506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>
        <v>591.70000000000005</v>
      </c>
      <c r="CE6" s="156">
        <v>763.3</v>
      </c>
      <c r="CF6" s="156">
        <v>1159.0999999999999</v>
      </c>
      <c r="CG6" s="156">
        <v>677.5</v>
      </c>
      <c r="CH6" s="156">
        <v>865.7</v>
      </c>
      <c r="CI6" s="156">
        <v>808.2</v>
      </c>
      <c r="CJ6" s="156">
        <v>1285.7</v>
      </c>
      <c r="CK6" s="156">
        <v>787.2</v>
      </c>
      <c r="CL6" s="156">
        <v>1114.9000000000001</v>
      </c>
      <c r="CM6" s="157">
        <f t="shared" ref="CM6:DD6" si="41">+CI6+(CI6*CM12)</f>
        <v>1040.8480767009357</v>
      </c>
      <c r="CN6" s="157">
        <f t="shared" si="41"/>
        <v>1655.8010049670788</v>
      </c>
      <c r="CO6" s="157">
        <f t="shared" si="41"/>
        <v>1013.8030264525819</v>
      </c>
      <c r="CP6" s="157">
        <f t="shared" si="41"/>
        <v>1435.8345962804669</v>
      </c>
      <c r="CQ6" s="157">
        <f t="shared" si="41"/>
        <v>1144.9328843710293</v>
      </c>
      <c r="CR6" s="157">
        <f t="shared" si="41"/>
        <v>1821.3811054637868</v>
      </c>
      <c r="CS6" s="157">
        <f t="shared" si="41"/>
        <v>1165.8734804204691</v>
      </c>
      <c r="CT6" s="157">
        <f t="shared" si="41"/>
        <v>1651.2097857225369</v>
      </c>
      <c r="CU6" s="157">
        <f t="shared" si="41"/>
        <v>1316.6728170266838</v>
      </c>
      <c r="CV6" s="157">
        <f t="shared" si="41"/>
        <v>2094.5882712833545</v>
      </c>
      <c r="CW6" s="157">
        <f t="shared" si="41"/>
        <v>1340.7545024835395</v>
      </c>
      <c r="CX6" s="157">
        <f t="shared" si="41"/>
        <v>1898.8912535809175</v>
      </c>
      <c r="CY6" s="157">
        <f t="shared" si="41"/>
        <v>1514.1737395806863</v>
      </c>
      <c r="CZ6" s="157">
        <f t="shared" si="41"/>
        <v>2408.7765119758578</v>
      </c>
      <c r="DA6" s="157">
        <f t="shared" si="41"/>
        <v>1541.8676778560703</v>
      </c>
      <c r="DB6" s="157">
        <f t="shared" si="41"/>
        <v>2183.7249416180553</v>
      </c>
      <c r="DC6" s="157">
        <f t="shared" si="41"/>
        <v>1741.2998005177892</v>
      </c>
      <c r="DD6" s="157">
        <f t="shared" si="41"/>
        <v>2770.0929887722364</v>
      </c>
      <c r="DE6" s="159"/>
      <c r="DF6" s="158">
        <v>952.2700000000001</v>
      </c>
    </row>
    <row r="7" spans="1:110" s="109" customFormat="1" x14ac:dyDescent="0.2">
      <c r="A7" s="184" t="s">
        <v>526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>
        <f t="shared" ref="Z7" si="42">+Z5+Z6</f>
        <v>7826.7000000000007</v>
      </c>
      <c r="AA7" s="108">
        <f t="shared" ref="AA7" si="43">+AA5+AA6</f>
        <v>10035.447986502464</v>
      </c>
      <c r="AB7" s="108">
        <f t="shared" ref="AB7" si="44">+AB5+AB6</f>
        <v>11897.237613770352</v>
      </c>
      <c r="AC7" s="108">
        <f t="shared" ref="AC7" si="45">+AC5+AC6</f>
        <v>13971.121287648719</v>
      </c>
      <c r="AD7" s="108">
        <f t="shared" ref="AD7" si="46">+AD5+AD6</f>
        <v>16375.219899748365</v>
      </c>
      <c r="AE7" s="108">
        <f t="shared" ref="AE7" si="47">+AE5+AE6</f>
        <v>19190.859921872732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>
        <f t="shared" ref="CD7:CI7" si="48">+CD5+CD6</f>
        <v>1196.5999999999999</v>
      </c>
      <c r="CE7" s="107">
        <f t="shared" si="48"/>
        <v>1484.1999999999998</v>
      </c>
      <c r="CF7" s="107">
        <f t="shared" si="48"/>
        <v>2078.8000000000002</v>
      </c>
      <c r="CG7" s="107">
        <f t="shared" si="48"/>
        <v>1516.9</v>
      </c>
      <c r="CH7" s="107">
        <f t="shared" si="48"/>
        <v>1879.5</v>
      </c>
      <c r="CI7" s="107">
        <f t="shared" si="48"/>
        <v>1784.6</v>
      </c>
      <c r="CJ7" s="107">
        <f>+CJ5+CJ6</f>
        <v>2645.7</v>
      </c>
      <c r="CK7" s="107">
        <f>+CK5+CK6</f>
        <v>1910.9</v>
      </c>
      <c r="CL7" s="107">
        <f>+CL5+CL6</f>
        <v>2394.1000000000004</v>
      </c>
      <c r="CM7" s="108">
        <f t="shared" ref="CM7:DD7" si="49">+CM5+CM6</f>
        <v>2314.7074524631771</v>
      </c>
      <c r="CN7" s="108">
        <f t="shared" si="49"/>
        <v>3415.740534039287</v>
      </c>
      <c r="CO7" s="108">
        <f t="shared" si="49"/>
        <v>2474.389387051413</v>
      </c>
      <c r="CP7" s="108">
        <f t="shared" si="49"/>
        <v>3086.1019235231015</v>
      </c>
      <c r="CQ7" s="108">
        <f t="shared" si="49"/>
        <v>2573.9885768262484</v>
      </c>
      <c r="CR7" s="108">
        <f t="shared" si="49"/>
        <v>3762.7577263695894</v>
      </c>
      <c r="CS7" s="108">
        <f t="shared" si="49"/>
        <v>2947.7841885612243</v>
      </c>
      <c r="CT7" s="108">
        <f t="shared" si="49"/>
        <v>3628.9721537199521</v>
      </c>
      <c r="CU7" s="108">
        <f t="shared" si="49"/>
        <v>2993.9699771955384</v>
      </c>
      <c r="CV7" s="108">
        <f t="shared" si="49"/>
        <v>4400.3949681720023</v>
      </c>
      <c r="CW7" s="108">
        <f t="shared" si="49"/>
        <v>3470.0816680301491</v>
      </c>
      <c r="CX7" s="108">
        <f t="shared" si="49"/>
        <v>4249.8799681919545</v>
      </c>
      <c r="CY7" s="108">
        <f t="shared" si="49"/>
        <v>3503.9125369663034</v>
      </c>
      <c r="CZ7" s="108">
        <f t="shared" si="49"/>
        <v>5151.3457265599582</v>
      </c>
      <c r="DA7" s="108">
        <f t="shared" si="49"/>
        <v>4075.4344599394235</v>
      </c>
      <c r="DB7" s="108">
        <f t="shared" si="49"/>
        <v>4978.0223370323947</v>
      </c>
      <c r="DC7" s="108">
        <f t="shared" si="49"/>
        <v>4106.1550342886885</v>
      </c>
      <c r="DD7" s="108">
        <f t="shared" si="49"/>
        <v>6031.2480906122273</v>
      </c>
      <c r="DE7" s="117"/>
      <c r="DF7" s="109">
        <v>2364.1537056864368</v>
      </c>
    </row>
    <row r="8" spans="1:110" s="188" customFormat="1" x14ac:dyDescent="0.2">
      <c r="A8" s="185" t="s">
        <v>543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>
        <f t="shared" ref="Z8:AE8" si="50">+Z7-Z34</f>
        <v>0</v>
      </c>
      <c r="AA8" s="187">
        <f t="shared" si="50"/>
        <v>0</v>
      </c>
      <c r="AB8" s="187">
        <f t="shared" si="50"/>
        <v>0</v>
      </c>
      <c r="AC8" s="187">
        <f t="shared" si="50"/>
        <v>0</v>
      </c>
      <c r="AD8" s="187">
        <f t="shared" si="50"/>
        <v>0</v>
      </c>
      <c r="AE8" s="187">
        <f t="shared" si="50"/>
        <v>0</v>
      </c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>
        <f t="shared" ref="CD8:DD8" si="51">+CD7-CD34</f>
        <v>0</v>
      </c>
      <c r="CE8" s="186">
        <f t="shared" si="51"/>
        <v>0</v>
      </c>
      <c r="CF8" s="186">
        <f t="shared" si="51"/>
        <v>0</v>
      </c>
      <c r="CG8" s="186">
        <f t="shared" si="51"/>
        <v>0</v>
      </c>
      <c r="CH8" s="186">
        <f t="shared" si="51"/>
        <v>0</v>
      </c>
      <c r="CI8" s="186">
        <f t="shared" si="51"/>
        <v>0</v>
      </c>
      <c r="CJ8" s="186">
        <f t="shared" si="51"/>
        <v>0</v>
      </c>
      <c r="CK8" s="186">
        <f t="shared" si="51"/>
        <v>0</v>
      </c>
      <c r="CL8" s="186">
        <f t="shared" ref="CL8" si="52">+CL7-CL34</f>
        <v>0</v>
      </c>
      <c r="CM8" s="187">
        <f t="shared" si="51"/>
        <v>0</v>
      </c>
      <c r="CN8" s="187">
        <f t="shared" si="51"/>
        <v>0</v>
      </c>
      <c r="CO8" s="187">
        <f t="shared" si="51"/>
        <v>0</v>
      </c>
      <c r="CP8" s="187">
        <f t="shared" si="51"/>
        <v>0</v>
      </c>
      <c r="CQ8" s="187">
        <f t="shared" si="51"/>
        <v>0</v>
      </c>
      <c r="CR8" s="187">
        <f t="shared" si="51"/>
        <v>0</v>
      </c>
      <c r="CS8" s="187">
        <f t="shared" si="51"/>
        <v>0</v>
      </c>
      <c r="CT8" s="187">
        <f t="shared" si="51"/>
        <v>0</v>
      </c>
      <c r="CU8" s="187">
        <f t="shared" si="51"/>
        <v>0</v>
      </c>
      <c r="CV8" s="187">
        <f t="shared" si="51"/>
        <v>0</v>
      </c>
      <c r="CW8" s="187">
        <f t="shared" si="51"/>
        <v>0</v>
      </c>
      <c r="CX8" s="187">
        <f t="shared" si="51"/>
        <v>0</v>
      </c>
      <c r="CY8" s="187">
        <f t="shared" si="51"/>
        <v>0</v>
      </c>
      <c r="CZ8" s="187">
        <f t="shared" si="51"/>
        <v>0</v>
      </c>
      <c r="DA8" s="187">
        <f t="shared" si="51"/>
        <v>0</v>
      </c>
      <c r="DB8" s="187">
        <f t="shared" si="51"/>
        <v>0</v>
      </c>
      <c r="DC8" s="187">
        <f t="shared" si="51"/>
        <v>0</v>
      </c>
      <c r="DD8" s="187">
        <f t="shared" si="51"/>
        <v>0</v>
      </c>
      <c r="DE8" s="189"/>
      <c r="DF8" s="188">
        <v>0</v>
      </c>
    </row>
    <row r="9" spans="1:110" s="188" customFormat="1" x14ac:dyDescent="0.2">
      <c r="A9" s="185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7"/>
      <c r="AB9" s="187"/>
      <c r="AC9" s="187"/>
      <c r="AD9" s="187"/>
      <c r="AE9" s="187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9"/>
    </row>
    <row r="10" spans="1:110" s="192" customFormat="1" x14ac:dyDescent="0.2">
      <c r="A10" s="190" t="s">
        <v>540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191"/>
      <c r="CB10" s="191"/>
      <c r="CC10" s="191"/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1"/>
      <c r="CO10" s="191"/>
      <c r="CP10" s="191"/>
      <c r="CQ10" s="191"/>
      <c r="CR10" s="191"/>
      <c r="CS10" s="191"/>
      <c r="CT10" s="191"/>
      <c r="CU10" s="191"/>
      <c r="CV10" s="191"/>
      <c r="CW10" s="191"/>
      <c r="CX10" s="191"/>
      <c r="CY10" s="191"/>
      <c r="CZ10" s="191"/>
      <c r="DA10" s="191"/>
      <c r="DB10" s="191"/>
      <c r="DC10" s="191"/>
      <c r="DD10" s="191"/>
      <c r="DE10" s="191"/>
    </row>
    <row r="11" spans="1:110" s="208" customFormat="1" x14ac:dyDescent="0.2">
      <c r="A11" s="207" t="s">
        <v>541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6">
        <f>+AA5/Z5-1</f>
        <v>0.29766538687093025</v>
      </c>
      <c r="AB11" s="206">
        <f t="shared" ref="AB11:AE11" si="53">+AB5/AA5-1</f>
        <v>0.19213627877003892</v>
      </c>
      <c r="AC11" s="206">
        <f t="shared" si="53"/>
        <v>0.19463589969014472</v>
      </c>
      <c r="AD11" s="206">
        <f t="shared" si="53"/>
        <v>0.18983459960340632</v>
      </c>
      <c r="AE11" s="206">
        <f t="shared" si="53"/>
        <v>0.18900702355484245</v>
      </c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3"/>
      <c r="CH11" s="203">
        <f t="shared" ref="CH11:CJ11" si="54">+CH5/CD5-1</f>
        <v>0.67597950074392466</v>
      </c>
      <c r="CI11" s="203">
        <f t="shared" si="54"/>
        <v>0.35441808850048551</v>
      </c>
      <c r="CJ11" s="203">
        <f t="shared" si="54"/>
        <v>0.47874306839186676</v>
      </c>
      <c r="CK11" s="203">
        <f>+CK5/CG5-1</f>
        <v>0.33869430545627832</v>
      </c>
      <c r="CL11" s="203">
        <f>+CL5/CH5-1</f>
        <v>0.26178733478003569</v>
      </c>
      <c r="CM11" s="206">
        <f t="shared" ref="CM11:CN11" si="55">+AVERAGE(CI11:CL11)*0.85</f>
        <v>0.30464909438984156</v>
      </c>
      <c r="CN11" s="206">
        <f t="shared" si="55"/>
        <v>0.29407318314132969</v>
      </c>
      <c r="CO11" s="206">
        <f t="shared" ref="CO11:DD11" si="56">+AVERAGE(CK11:CN11)</f>
        <v>0.29980097944187134</v>
      </c>
      <c r="CP11" s="206">
        <f t="shared" si="56"/>
        <v>0.29007764793826957</v>
      </c>
      <c r="CQ11" s="206">
        <f>+AVERAGE(CM11:CP11)*0.41</f>
        <v>0.12183159275340949</v>
      </c>
      <c r="CR11" s="206">
        <f t="shared" ref="CR11" si="57">+AVERAGE(CN11:CQ11)*0.41</f>
        <v>0.1030927988356752</v>
      </c>
      <c r="CS11" s="206">
        <f>+AVERAGE(CO11:CR11)*1.08</f>
        <v>0.21999681512169092</v>
      </c>
      <c r="CT11" s="206">
        <f t="shared" ref="CT11:CV11" si="58">+AVERAGE(CP11:CS11)*1.08</f>
        <v>0.19844969075524219</v>
      </c>
      <c r="CU11" s="206">
        <f t="shared" si="58"/>
        <v>0.17371014231582482</v>
      </c>
      <c r="CV11" s="206">
        <f t="shared" si="58"/>
        <v>0.18771735069767698</v>
      </c>
      <c r="CW11" s="206">
        <f t="shared" si="56"/>
        <v>0.19496849972260871</v>
      </c>
      <c r="CX11" s="206">
        <f t="shared" si="56"/>
        <v>0.18871142087283815</v>
      </c>
      <c r="CY11" s="206">
        <f t="shared" si="56"/>
        <v>0.18627685340223715</v>
      </c>
      <c r="CZ11" s="206">
        <f t="shared" si="56"/>
        <v>0.18941853117384028</v>
      </c>
      <c r="DA11" s="206">
        <f t="shared" si="56"/>
        <v>0.1898438262928811</v>
      </c>
      <c r="DB11" s="206">
        <f t="shared" si="56"/>
        <v>0.18856265793544916</v>
      </c>
      <c r="DC11" s="206">
        <f t="shared" si="56"/>
        <v>0.18852546720110192</v>
      </c>
      <c r="DD11" s="206">
        <f t="shared" si="56"/>
        <v>0.18908762065081813</v>
      </c>
      <c r="DE11" s="209"/>
      <c r="DF11" s="208">
        <v>0.39266492965716798</v>
      </c>
    </row>
    <row r="12" spans="1:110" s="208" customFormat="1" x14ac:dyDescent="0.2">
      <c r="A12" s="207" t="s">
        <v>542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6">
        <f>+AA6/Z6-1</f>
        <v>0.26439995646751924</v>
      </c>
      <c r="AB12" s="206">
        <f t="shared" ref="AB12:AE12" si="59">+AB6/AA6-1</f>
        <v>0.17770104791267349</v>
      </c>
      <c r="AC12" s="206">
        <f t="shared" si="59"/>
        <v>0.14999999999999991</v>
      </c>
      <c r="AD12" s="206">
        <f t="shared" si="59"/>
        <v>0.14999999999999991</v>
      </c>
      <c r="AE12" s="206">
        <f t="shared" si="59"/>
        <v>0.15000000000000013</v>
      </c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3"/>
      <c r="CH12" s="203">
        <f t="shared" ref="CH12:CJ12" si="60">+CH6/CD6-1</f>
        <v>0.46307250295757973</v>
      </c>
      <c r="CI12" s="203">
        <f t="shared" si="60"/>
        <v>5.8823529411764719E-2</v>
      </c>
      <c r="CJ12" s="203">
        <f t="shared" si="60"/>
        <v>0.10922267276335096</v>
      </c>
      <c r="CK12" s="203">
        <f>+CK6/CG6-1</f>
        <v>0.16191881918819195</v>
      </c>
      <c r="CL12" s="203">
        <f>+CL6/CH6-1</f>
        <v>0.28785953563590172</v>
      </c>
      <c r="CM12" s="206">
        <f>+CL12</f>
        <v>0.28785953563590172</v>
      </c>
      <c r="CN12" s="206">
        <f t="shared" ref="CN12:DD12" si="61">+CM12</f>
        <v>0.28785953563590172</v>
      </c>
      <c r="CO12" s="206">
        <f t="shared" si="61"/>
        <v>0.28785953563590172</v>
      </c>
      <c r="CP12" s="206">
        <f t="shared" si="61"/>
        <v>0.28785953563590172</v>
      </c>
      <c r="CQ12" s="206">
        <v>0.1</v>
      </c>
      <c r="CR12" s="206">
        <f t="shared" si="61"/>
        <v>0.1</v>
      </c>
      <c r="CS12" s="206">
        <v>0.15</v>
      </c>
      <c r="CT12" s="206">
        <f t="shared" si="61"/>
        <v>0.15</v>
      </c>
      <c r="CU12" s="206">
        <f t="shared" si="61"/>
        <v>0.15</v>
      </c>
      <c r="CV12" s="206">
        <f t="shared" si="61"/>
        <v>0.15</v>
      </c>
      <c r="CW12" s="206">
        <f t="shared" si="61"/>
        <v>0.15</v>
      </c>
      <c r="CX12" s="206">
        <f t="shared" si="61"/>
        <v>0.15</v>
      </c>
      <c r="CY12" s="206">
        <f t="shared" si="61"/>
        <v>0.15</v>
      </c>
      <c r="CZ12" s="206">
        <f t="shared" si="61"/>
        <v>0.15</v>
      </c>
      <c r="DA12" s="206">
        <f t="shared" si="61"/>
        <v>0.15</v>
      </c>
      <c r="DB12" s="206">
        <f t="shared" si="61"/>
        <v>0.15</v>
      </c>
      <c r="DC12" s="206">
        <f t="shared" si="61"/>
        <v>0.15</v>
      </c>
      <c r="DD12" s="206">
        <f t="shared" si="61"/>
        <v>0.15</v>
      </c>
      <c r="DE12" s="209"/>
      <c r="DF12" s="208">
        <v>0.1</v>
      </c>
    </row>
    <row r="13" spans="1:110" s="212" customFormat="1" x14ac:dyDescent="0.2">
      <c r="A13" s="210"/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11"/>
      <c r="AB13" s="211"/>
      <c r="AC13" s="211"/>
      <c r="AD13" s="211"/>
      <c r="AE13" s="211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11"/>
      <c r="CN13" s="211"/>
      <c r="CO13" s="211"/>
      <c r="CP13" s="211"/>
      <c r="CQ13" s="211"/>
      <c r="CR13" s="211"/>
      <c r="CS13" s="211"/>
      <c r="CT13" s="211"/>
      <c r="CU13" s="211"/>
      <c r="CV13" s="211"/>
      <c r="CW13" s="211"/>
      <c r="CX13" s="211"/>
      <c r="CY13" s="211"/>
      <c r="CZ13" s="211"/>
      <c r="DA13" s="211"/>
      <c r="DB13" s="211"/>
      <c r="DC13" s="211"/>
      <c r="DD13" s="211"/>
      <c r="DE13" s="213"/>
    </row>
    <row r="14" spans="1:110" s="192" customFormat="1" x14ac:dyDescent="0.2">
      <c r="A14" s="190" t="s">
        <v>533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/>
      <c r="BW14" s="191"/>
      <c r="BX14" s="191"/>
      <c r="BY14" s="191"/>
      <c r="BZ14" s="191"/>
      <c r="CA14" s="191"/>
      <c r="CB14" s="191"/>
      <c r="CC14" s="191"/>
      <c r="CD14" s="191"/>
      <c r="CE14" s="191"/>
      <c r="CF14" s="191"/>
      <c r="CG14" s="191"/>
      <c r="CH14" s="191"/>
      <c r="CI14" s="191"/>
      <c r="CJ14" s="191"/>
      <c r="CK14" s="191"/>
      <c r="CL14" s="191"/>
      <c r="CM14" s="191"/>
      <c r="CN14" s="191"/>
      <c r="CO14" s="191"/>
      <c r="CP14" s="191"/>
      <c r="CQ14" s="191"/>
      <c r="CR14" s="191"/>
      <c r="CS14" s="191"/>
      <c r="CT14" s="191"/>
      <c r="CU14" s="191"/>
      <c r="CV14" s="191"/>
      <c r="CW14" s="191"/>
      <c r="CX14" s="191"/>
      <c r="CY14" s="191"/>
      <c r="CZ14" s="191"/>
      <c r="DA14" s="191"/>
      <c r="DB14" s="191"/>
      <c r="DC14" s="191"/>
      <c r="DD14" s="191"/>
      <c r="DE14" s="191"/>
    </row>
    <row r="15" spans="1:110" s="188" customFormat="1" x14ac:dyDescent="0.2">
      <c r="A15" s="155" t="s">
        <v>531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205">
        <f t="shared" ref="Z15:Z16" si="62">+SUM(CG15:CJ15)</f>
        <v>804.59999999999991</v>
      </c>
      <c r="AA15" s="157">
        <f t="shared" ref="AA15:AA16" si="63">SUM(CK15:CN15)</f>
        <v>1021.4740674205187</v>
      </c>
      <c r="AB15" s="157">
        <f t="shared" ref="AB15:AB16" si="64">+SUM(CO15:CR15)</f>
        <v>1287.7627779795109</v>
      </c>
      <c r="AC15" s="157">
        <f t="shared" ref="AC15:AC16" si="65">+SUM(CS15:CV15)</f>
        <v>1630.9700651852104</v>
      </c>
      <c r="AD15" s="157">
        <f t="shared" ref="AD15:AD16" si="66">+SUM(CW15:CZ15)</f>
        <v>1949.7670386184016</v>
      </c>
      <c r="AE15" s="157">
        <f t="shared" ref="AE15:AE16" si="67">+SUM(DA15:DD15)</f>
        <v>2321.0474235338102</v>
      </c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56">
        <v>127.4</v>
      </c>
      <c r="CE15" s="156">
        <v>73.099999999999994</v>
      </c>
      <c r="CF15" s="156">
        <v>148</v>
      </c>
      <c r="CG15" s="156">
        <v>169.9</v>
      </c>
      <c r="CH15" s="156">
        <v>205.4</v>
      </c>
      <c r="CI15" s="156">
        <v>182.5</v>
      </c>
      <c r="CJ15" s="156">
        <v>246.8</v>
      </c>
      <c r="CK15" s="156">
        <v>273.3</v>
      </c>
      <c r="CL15" s="156">
        <v>214.3</v>
      </c>
      <c r="CM15" s="211">
        <f t="shared" ref="CM15:DD15" si="68">+CM21*CM5</f>
        <v>225.79208768085167</v>
      </c>
      <c r="CN15" s="211">
        <f t="shared" si="68"/>
        <v>308.08197973966708</v>
      </c>
      <c r="CO15" s="211">
        <f t="shared" si="68"/>
        <v>295.34027300710409</v>
      </c>
      <c r="CP15" s="211">
        <f t="shared" si="68"/>
        <v>315.76148951480428</v>
      </c>
      <c r="CQ15" s="211">
        <f t="shared" si="68"/>
        <v>282.4529289849545</v>
      </c>
      <c r="CR15" s="211">
        <f t="shared" si="68"/>
        <v>394.20808647264818</v>
      </c>
      <c r="CS15" s="211">
        <f t="shared" si="68"/>
        <v>367.97451528367532</v>
      </c>
      <c r="CT15" s="211">
        <f t="shared" si="68"/>
        <v>410.62956909597568</v>
      </c>
      <c r="CU15" s="211">
        <f t="shared" si="68"/>
        <v>355.34726964173763</v>
      </c>
      <c r="CV15" s="211">
        <f t="shared" si="68"/>
        <v>497.01871116382176</v>
      </c>
      <c r="CW15" s="211">
        <f t="shared" si="68"/>
        <v>447.9768304723454</v>
      </c>
      <c r="CX15" s="211">
        <f t="shared" si="68"/>
        <v>496.89057700461188</v>
      </c>
      <c r="CY15" s="211">
        <f t="shared" si="68"/>
        <v>422.39471979132639</v>
      </c>
      <c r="CZ15" s="211">
        <f t="shared" si="68"/>
        <v>582.50491135011794</v>
      </c>
      <c r="DA15" s="211">
        <f t="shared" si="68"/>
        <v>536.11444204480495</v>
      </c>
      <c r="DB15" s="211">
        <f t="shared" si="68"/>
        <v>592.13878819747958</v>
      </c>
      <c r="DC15" s="211">
        <f t="shared" si="68"/>
        <v>501.46444323333708</v>
      </c>
      <c r="DD15" s="211">
        <f t="shared" si="68"/>
        <v>691.32975005818844</v>
      </c>
      <c r="DE15" s="189"/>
      <c r="DF15" s="188">
        <v>261.52396818031025</v>
      </c>
    </row>
    <row r="16" spans="1:110" s="188" customFormat="1" x14ac:dyDescent="0.2">
      <c r="A16" s="155" t="s">
        <v>532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205">
        <f t="shared" si="62"/>
        <v>605.79999999999995</v>
      </c>
      <c r="AA16" s="157">
        <f t="shared" si="63"/>
        <v>912.38145724541801</v>
      </c>
      <c r="AB16" s="157">
        <f t="shared" si="64"/>
        <v>1066.1026656835461</v>
      </c>
      <c r="AC16" s="157">
        <f t="shared" si="65"/>
        <v>1222.2306780322372</v>
      </c>
      <c r="AD16" s="157">
        <f t="shared" si="66"/>
        <v>1404.7578876561493</v>
      </c>
      <c r="AE16" s="157">
        <f t="shared" si="67"/>
        <v>1615.3336686139178</v>
      </c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56">
        <v>131.80000000000001</v>
      </c>
      <c r="CE16" s="156">
        <v>124.3</v>
      </c>
      <c r="CF16" s="156">
        <v>217.8</v>
      </c>
      <c r="CG16" s="156">
        <v>144.69999999999999</v>
      </c>
      <c r="CH16" s="156">
        <v>128.80000000000001</v>
      </c>
      <c r="CI16" s="156">
        <v>131.19999999999999</v>
      </c>
      <c r="CJ16" s="156">
        <v>201.1</v>
      </c>
      <c r="CK16" s="156">
        <v>155.19999999999999</v>
      </c>
      <c r="CL16" s="156">
        <v>249.3</v>
      </c>
      <c r="CM16" s="211">
        <f t="shared" ref="CM16:DD16" si="69">+CM22*CM6</f>
        <v>192.42961783969739</v>
      </c>
      <c r="CN16" s="211">
        <f t="shared" si="69"/>
        <v>315.4518394057207</v>
      </c>
      <c r="CO16" s="211">
        <f t="shared" si="69"/>
        <v>201.7855353662018</v>
      </c>
      <c r="CP16" s="211">
        <f t="shared" si="69"/>
        <v>286.46212447794824</v>
      </c>
      <c r="CQ16" s="211">
        <f t="shared" si="69"/>
        <v>221.52682335707908</v>
      </c>
      <c r="CR16" s="211">
        <f t="shared" si="69"/>
        <v>356.32818248231695</v>
      </c>
      <c r="CS16" s="211">
        <f t="shared" si="69"/>
        <v>229.58035238904657</v>
      </c>
      <c r="CT16" s="211">
        <f t="shared" si="69"/>
        <v>324.27571678289985</v>
      </c>
      <c r="CU16" s="211">
        <f t="shared" si="69"/>
        <v>257.54929748918619</v>
      </c>
      <c r="CV16" s="211">
        <f t="shared" si="69"/>
        <v>410.82531137110459</v>
      </c>
      <c r="CW16" s="211">
        <f t="shared" si="69"/>
        <v>263.13865029254271</v>
      </c>
      <c r="CX16" s="211">
        <f t="shared" si="69"/>
        <v>372.36833109293991</v>
      </c>
      <c r="CY16" s="211">
        <f t="shared" si="69"/>
        <v>296.81669457950119</v>
      </c>
      <c r="CZ16" s="211">
        <f t="shared" si="69"/>
        <v>472.43421169116544</v>
      </c>
      <c r="DA16" s="211">
        <f t="shared" si="69"/>
        <v>302.40468355390982</v>
      </c>
      <c r="DB16" s="211">
        <f t="shared" si="69"/>
        <v>428.21888817277744</v>
      </c>
      <c r="DC16" s="211">
        <f t="shared" si="69"/>
        <v>341.46032201370764</v>
      </c>
      <c r="DD16" s="211">
        <f t="shared" si="69"/>
        <v>543.24977487352294</v>
      </c>
      <c r="DE16" s="189"/>
      <c r="DF16" s="188">
        <v>158.23982696783099</v>
      </c>
    </row>
    <row r="17" spans="1:110" s="196" customFormat="1" x14ac:dyDescent="0.2">
      <c r="A17" s="193" t="s">
        <v>535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>
        <f t="shared" ref="Z17:AA17" si="70">+Z15+Z16</f>
        <v>1410.3999999999999</v>
      </c>
      <c r="AA17" s="195">
        <f t="shared" si="70"/>
        <v>1933.8555246659366</v>
      </c>
      <c r="AB17" s="195">
        <f t="shared" ref="AB17" si="71">+AB15+AB16</f>
        <v>2353.8654436630568</v>
      </c>
      <c r="AC17" s="195">
        <f t="shared" ref="AC17" si="72">+AC15+AC16</f>
        <v>2853.2007432174478</v>
      </c>
      <c r="AD17" s="195">
        <f t="shared" ref="AD17" si="73">+AD15+AD16</f>
        <v>3354.524926274551</v>
      </c>
      <c r="AE17" s="195">
        <f t="shared" ref="AE17" si="74">+AE15+AE16</f>
        <v>3936.3810921477279</v>
      </c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>
        <f t="shared" ref="CD17:CJ17" si="75">+CD15+CD16</f>
        <v>259.20000000000005</v>
      </c>
      <c r="CE17" s="194">
        <f t="shared" si="75"/>
        <v>197.39999999999998</v>
      </c>
      <c r="CF17" s="194">
        <f t="shared" si="75"/>
        <v>365.8</v>
      </c>
      <c r="CG17" s="194">
        <f t="shared" si="75"/>
        <v>314.60000000000002</v>
      </c>
      <c r="CH17" s="194">
        <f t="shared" si="75"/>
        <v>334.20000000000005</v>
      </c>
      <c r="CI17" s="194">
        <f t="shared" si="75"/>
        <v>313.7</v>
      </c>
      <c r="CJ17" s="194">
        <f t="shared" si="75"/>
        <v>447.9</v>
      </c>
      <c r="CK17" s="194">
        <f>+CK15+CK16</f>
        <v>428.5</v>
      </c>
      <c r="CL17" s="194">
        <f>+CL15+CL16</f>
        <v>463.6</v>
      </c>
      <c r="CM17" s="195">
        <f t="shared" ref="CM17:DD17" si="76">+CM15+CM16</f>
        <v>418.22170552054905</v>
      </c>
      <c r="CN17" s="195">
        <f t="shared" si="76"/>
        <v>623.53381914538772</v>
      </c>
      <c r="CO17" s="195">
        <f t="shared" si="76"/>
        <v>497.12580837330586</v>
      </c>
      <c r="CP17" s="195">
        <f t="shared" si="76"/>
        <v>602.22361399275246</v>
      </c>
      <c r="CQ17" s="195">
        <f t="shared" si="76"/>
        <v>503.97975234203358</v>
      </c>
      <c r="CR17" s="195">
        <f t="shared" si="76"/>
        <v>750.53626895496518</v>
      </c>
      <c r="CS17" s="195">
        <f t="shared" si="76"/>
        <v>597.55486767272191</v>
      </c>
      <c r="CT17" s="195">
        <f t="shared" si="76"/>
        <v>734.90528587887547</v>
      </c>
      <c r="CU17" s="195">
        <f t="shared" si="76"/>
        <v>612.89656713092381</v>
      </c>
      <c r="CV17" s="195">
        <f t="shared" si="76"/>
        <v>907.84402253492635</v>
      </c>
      <c r="CW17" s="195">
        <f t="shared" si="76"/>
        <v>711.11548076488816</v>
      </c>
      <c r="CX17" s="195">
        <f t="shared" si="76"/>
        <v>869.25890809755174</v>
      </c>
      <c r="CY17" s="195">
        <f t="shared" si="76"/>
        <v>719.21141437082758</v>
      </c>
      <c r="CZ17" s="195">
        <f t="shared" si="76"/>
        <v>1054.9391230412834</v>
      </c>
      <c r="DA17" s="195">
        <f t="shared" si="76"/>
        <v>838.51912559871471</v>
      </c>
      <c r="DB17" s="195">
        <f t="shared" si="76"/>
        <v>1020.357676370257</v>
      </c>
      <c r="DC17" s="195">
        <f t="shared" si="76"/>
        <v>842.92476524704466</v>
      </c>
      <c r="DD17" s="195">
        <f t="shared" si="76"/>
        <v>1234.5795249317114</v>
      </c>
      <c r="DE17" s="197"/>
      <c r="DF17" s="196">
        <v>419.76379514814124</v>
      </c>
    </row>
    <row r="18" spans="1:110" s="188" customFormat="1" x14ac:dyDescent="0.2">
      <c r="A18" s="185" t="s">
        <v>536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>
        <f t="shared" ref="Z18:AE18" si="77">+Z17-Z60</f>
        <v>23.399999999999864</v>
      </c>
      <c r="AA18" s="187">
        <f t="shared" si="77"/>
        <v>0</v>
      </c>
      <c r="AB18" s="187">
        <f t="shared" si="77"/>
        <v>0</v>
      </c>
      <c r="AC18" s="187">
        <f t="shared" si="77"/>
        <v>0</v>
      </c>
      <c r="AD18" s="187">
        <f t="shared" si="77"/>
        <v>0</v>
      </c>
      <c r="AE18" s="187">
        <f t="shared" si="77"/>
        <v>0</v>
      </c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>
        <f t="shared" ref="CD18:DD18" si="78">+CD17-CD60</f>
        <v>0</v>
      </c>
      <c r="CE18" s="186">
        <f t="shared" si="78"/>
        <v>0</v>
      </c>
      <c r="CF18" s="186">
        <f t="shared" si="78"/>
        <v>0</v>
      </c>
      <c r="CG18" s="186">
        <f t="shared" si="78"/>
        <v>0</v>
      </c>
      <c r="CH18" s="186">
        <f t="shared" si="78"/>
        <v>0</v>
      </c>
      <c r="CI18" s="186">
        <f t="shared" si="78"/>
        <v>0</v>
      </c>
      <c r="CJ18" s="186">
        <f t="shared" si="78"/>
        <v>0</v>
      </c>
      <c r="CK18" s="186">
        <f t="shared" si="78"/>
        <v>0</v>
      </c>
      <c r="CL18" s="186">
        <f t="shared" ref="CL18" si="79">+CL17-CL60</f>
        <v>0</v>
      </c>
      <c r="CM18" s="187">
        <f t="shared" si="78"/>
        <v>0</v>
      </c>
      <c r="CN18" s="187">
        <f t="shared" si="78"/>
        <v>0</v>
      </c>
      <c r="CO18" s="187">
        <f t="shared" si="78"/>
        <v>0</v>
      </c>
      <c r="CP18" s="187">
        <f t="shared" si="78"/>
        <v>0</v>
      </c>
      <c r="CQ18" s="187">
        <f t="shared" si="78"/>
        <v>0</v>
      </c>
      <c r="CR18" s="187">
        <f t="shared" si="78"/>
        <v>0</v>
      </c>
      <c r="CS18" s="187">
        <f t="shared" si="78"/>
        <v>0</v>
      </c>
      <c r="CT18" s="187">
        <f t="shared" si="78"/>
        <v>0</v>
      </c>
      <c r="CU18" s="187">
        <f t="shared" si="78"/>
        <v>0</v>
      </c>
      <c r="CV18" s="187">
        <f t="shared" si="78"/>
        <v>0</v>
      </c>
      <c r="CW18" s="187">
        <f t="shared" si="78"/>
        <v>0</v>
      </c>
      <c r="CX18" s="187">
        <f t="shared" si="78"/>
        <v>0</v>
      </c>
      <c r="CY18" s="187">
        <f t="shared" si="78"/>
        <v>0</v>
      </c>
      <c r="CZ18" s="187">
        <f t="shared" si="78"/>
        <v>0</v>
      </c>
      <c r="DA18" s="187">
        <f t="shared" si="78"/>
        <v>0</v>
      </c>
      <c r="DB18" s="187">
        <f t="shared" si="78"/>
        <v>0</v>
      </c>
      <c r="DC18" s="187">
        <f t="shared" si="78"/>
        <v>0</v>
      </c>
      <c r="DD18" s="187">
        <f t="shared" si="78"/>
        <v>0</v>
      </c>
      <c r="DE18" s="189"/>
      <c r="DF18" s="188">
        <v>0</v>
      </c>
    </row>
    <row r="19" spans="1:110" s="188" customFormat="1" x14ac:dyDescent="0.2">
      <c r="A19" s="185"/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7"/>
      <c r="AB19" s="187"/>
      <c r="AC19" s="187"/>
      <c r="AD19" s="187"/>
      <c r="AE19" s="187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7"/>
      <c r="CN19" s="187"/>
      <c r="CO19" s="187"/>
      <c r="CP19" s="187"/>
      <c r="CQ19" s="187"/>
      <c r="CR19" s="187"/>
      <c r="CS19" s="187"/>
      <c r="CT19" s="187"/>
      <c r="CU19" s="187"/>
      <c r="CV19" s="187"/>
      <c r="CW19" s="187"/>
      <c r="CX19" s="187"/>
      <c r="CY19" s="187"/>
      <c r="CZ19" s="187"/>
      <c r="DA19" s="187"/>
      <c r="DB19" s="187"/>
      <c r="DC19" s="187"/>
      <c r="DD19" s="187"/>
      <c r="DE19" s="189"/>
    </row>
    <row r="20" spans="1:110" s="192" customFormat="1" x14ac:dyDescent="0.2">
      <c r="A20" s="190" t="s">
        <v>537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  <c r="CF20" s="191"/>
      <c r="CG20" s="191"/>
      <c r="CH20" s="191"/>
      <c r="CI20" s="191"/>
      <c r="CJ20" s="191"/>
      <c r="CK20" s="191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91"/>
      <c r="CW20" s="191"/>
      <c r="CX20" s="191"/>
      <c r="CY20" s="191"/>
      <c r="CZ20" s="191"/>
      <c r="DA20" s="191"/>
      <c r="DB20" s="191"/>
      <c r="DC20" s="191"/>
      <c r="DD20" s="191"/>
      <c r="DE20" s="191"/>
    </row>
    <row r="21" spans="1:110" s="200" customFormat="1" x14ac:dyDescent="0.2">
      <c r="A21" s="198" t="s">
        <v>538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202">
        <f t="shared" ref="Z21:AE21" si="80">+Z15/Z5</f>
        <v>0.19204697345808666</v>
      </c>
      <c r="AA21" s="204">
        <f t="shared" si="80"/>
        <v>0.18788498044506352</v>
      </c>
      <c r="AB21" s="204">
        <f t="shared" si="80"/>
        <v>0.19868939246633918</v>
      </c>
      <c r="AC21" s="204">
        <f t="shared" si="80"/>
        <v>0.21064407243772432</v>
      </c>
      <c r="AD21" s="204">
        <f t="shared" si="80"/>
        <v>0.21164079435442629</v>
      </c>
      <c r="AE21" s="204">
        <f t="shared" si="80"/>
        <v>0.21189282575368154</v>
      </c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199"/>
      <c r="BP21" s="199"/>
      <c r="BQ21" s="199"/>
      <c r="BR21" s="199"/>
      <c r="BS21" s="199"/>
      <c r="BT21" s="199"/>
      <c r="BU21" s="199"/>
      <c r="BV21" s="199"/>
      <c r="BW21" s="199"/>
      <c r="BX21" s="199"/>
      <c r="BY21" s="199"/>
      <c r="BZ21" s="199"/>
      <c r="CA21" s="199"/>
      <c r="CB21" s="199"/>
      <c r="CC21" s="199"/>
      <c r="CD21" s="203">
        <f t="shared" ref="CD21:CJ21" si="81">+CD15/CD5</f>
        <v>0.21061332451644901</v>
      </c>
      <c r="CE21" s="203">
        <f t="shared" si="81"/>
        <v>0.10140102649465944</v>
      </c>
      <c r="CF21" s="203">
        <f t="shared" si="81"/>
        <v>0.1609220397955855</v>
      </c>
      <c r="CG21" s="203">
        <f t="shared" si="81"/>
        <v>0.20240648081963308</v>
      </c>
      <c r="CH21" s="203">
        <f t="shared" si="81"/>
        <v>0.20260406391793254</v>
      </c>
      <c r="CI21" s="203">
        <f t="shared" si="81"/>
        <v>0.18691110200737404</v>
      </c>
      <c r="CJ21" s="203">
        <f t="shared" si="81"/>
        <v>0.18147058823529413</v>
      </c>
      <c r="CK21" s="203">
        <f>+CK15/CK5</f>
        <v>0.24321438106256119</v>
      </c>
      <c r="CL21" s="203">
        <f>+CL15/CL5</f>
        <v>0.16752657911194496</v>
      </c>
      <c r="CM21" s="206">
        <f t="shared" ref="CM21:CN21" si="82">+AVERAGE(CI21:CL21)*0.91</f>
        <v>0.17725040296990718</v>
      </c>
      <c r="CN21" s="206">
        <f t="shared" si="82"/>
        <v>0.17505259393888345</v>
      </c>
      <c r="CO21" s="206">
        <f>+AVERAGE(CK21:CN21)*1.06</f>
        <v>0.20220664862707366</v>
      </c>
      <c r="CP21" s="206">
        <f t="shared" ref="CP21:CR21" si="83">+AVERAGE(CL21:CO21)*1.06</f>
        <v>0.19133959953166949</v>
      </c>
      <c r="CQ21" s="206">
        <f t="shared" si="83"/>
        <v>0.19765004994289645</v>
      </c>
      <c r="CR21" s="206">
        <f t="shared" si="83"/>
        <v>0.20305595639073862</v>
      </c>
      <c r="CS21" s="206">
        <f>+AVERAGE(CO21:CR21)*1.04</f>
        <v>0.20650558616801834</v>
      </c>
      <c r="CT21" s="206">
        <f t="shared" ref="CT21:CV21" si="84">+AVERAGE(CP21:CS21)*1.04</f>
        <v>0.20762330992866393</v>
      </c>
      <c r="CU21" s="206">
        <f t="shared" si="84"/>
        <v>0.21185707463188252</v>
      </c>
      <c r="CV21" s="206">
        <f t="shared" si="84"/>
        <v>0.2155509010510189</v>
      </c>
      <c r="CW21" s="206">
        <f t="shared" ref="CW21:CW22" si="85">+AVERAGE(CS21:CV21)</f>
        <v>0.21038421794489592</v>
      </c>
      <c r="CX21" s="206">
        <f t="shared" ref="CX21:CX22" si="86">+AVERAGE(CT21:CW21)</f>
        <v>0.21135387588911533</v>
      </c>
      <c r="CY21" s="206">
        <f t="shared" ref="CY21:CY22" si="87">+AVERAGE(CU21:CX21)</f>
        <v>0.21228651737922818</v>
      </c>
      <c r="CZ21" s="206">
        <f t="shared" ref="CZ21:CZ22" si="88">+AVERAGE(CV21:CY21)</f>
        <v>0.21239387806606461</v>
      </c>
      <c r="DA21" s="206">
        <f t="shared" ref="DA21:DA22" si="89">+AVERAGE(CW21:CZ21)</f>
        <v>0.21160462231982602</v>
      </c>
      <c r="DB21" s="206">
        <f t="shared" ref="DB21:DB22" si="90">+AVERAGE(CX21:DA21)</f>
        <v>0.21190972341355854</v>
      </c>
      <c r="DC21" s="206">
        <f t="shared" ref="DC21:DC22" si="91">+AVERAGE(CY21:DB21)</f>
        <v>0.21204868529466933</v>
      </c>
      <c r="DD21" s="206">
        <f t="shared" ref="DD21:DD22" si="92">+AVERAGE(CZ21:DC21)</f>
        <v>0.21198922727352962</v>
      </c>
      <c r="DE21" s="201"/>
      <c r="DF21" s="200">
        <v>0.18523053076326934</v>
      </c>
    </row>
    <row r="22" spans="1:110" s="200" customFormat="1" x14ac:dyDescent="0.2">
      <c r="A22" s="198" t="s">
        <v>539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202">
        <f t="shared" ref="Z22:AE22" si="93">+Z16/Z6</f>
        <v>0.16656127134255311</v>
      </c>
      <c r="AA22" s="204">
        <f t="shared" si="93"/>
        <v>0.19839774709223484</v>
      </c>
      <c r="AB22" s="204">
        <f t="shared" si="93"/>
        <v>0.19684493916260723</v>
      </c>
      <c r="AC22" s="204">
        <f t="shared" si="93"/>
        <v>0.19623685019252118</v>
      </c>
      <c r="AD22" s="204">
        <f t="shared" si="93"/>
        <v>0.19612412680562846</v>
      </c>
      <c r="AE22" s="204">
        <f t="shared" si="93"/>
        <v>0.19610738497790747</v>
      </c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  <c r="BI22" s="199"/>
      <c r="BJ22" s="199"/>
      <c r="BK22" s="199"/>
      <c r="BL22" s="199"/>
      <c r="BM22" s="199"/>
      <c r="BN22" s="199"/>
      <c r="BO22" s="199"/>
      <c r="BP22" s="199"/>
      <c r="BQ22" s="199"/>
      <c r="BR22" s="199"/>
      <c r="BS22" s="199"/>
      <c r="BT22" s="199"/>
      <c r="BU22" s="199"/>
      <c r="BV22" s="199"/>
      <c r="BW22" s="199"/>
      <c r="BX22" s="199"/>
      <c r="BY22" s="199"/>
      <c r="BZ22" s="199"/>
      <c r="CA22" s="199"/>
      <c r="CB22" s="199"/>
      <c r="CC22" s="199"/>
      <c r="CD22" s="203">
        <f t="shared" ref="CD22:CJ22" si="94">+CD16/CD6</f>
        <v>0.22274801419638329</v>
      </c>
      <c r="CE22" s="203">
        <f t="shared" si="94"/>
        <v>0.1628455391065112</v>
      </c>
      <c r="CF22" s="203">
        <f t="shared" si="94"/>
        <v>0.1879044085928738</v>
      </c>
      <c r="CG22" s="203">
        <f t="shared" si="94"/>
        <v>0.21357933579335792</v>
      </c>
      <c r="CH22" s="203">
        <f t="shared" si="94"/>
        <v>0.14878133302529745</v>
      </c>
      <c r="CI22" s="203">
        <f t="shared" si="94"/>
        <v>0.16233605543182378</v>
      </c>
      <c r="CJ22" s="203">
        <f t="shared" si="94"/>
        <v>0.15641284903165589</v>
      </c>
      <c r="CK22" s="203">
        <f>+CK16/CK6</f>
        <v>0.19715447154471541</v>
      </c>
      <c r="CL22" s="203">
        <f>+CL16/CL6</f>
        <v>0.22360749843035249</v>
      </c>
      <c r="CM22" s="206">
        <f t="shared" ref="CM22" si="95">+AVERAGE(CI22:CL22)</f>
        <v>0.18487771860963692</v>
      </c>
      <c r="CN22" s="206">
        <f t="shared" ref="CN22" si="96">+AVERAGE(CJ22:CM22)</f>
        <v>0.19051313440409018</v>
      </c>
      <c r="CO22" s="206">
        <f t="shared" ref="CO22" si="97">+AVERAGE(CK22:CN22)</f>
        <v>0.19903820574719877</v>
      </c>
      <c r="CP22" s="206">
        <f t="shared" ref="CP22" si="98">+AVERAGE(CL22:CO22)</f>
        <v>0.19950913929781958</v>
      </c>
      <c r="CQ22" s="206">
        <f t="shared" ref="CQ22" si="99">+AVERAGE(CM22:CP22)</f>
        <v>0.19348454951468635</v>
      </c>
      <c r="CR22" s="206">
        <f t="shared" ref="CR22" si="100">+AVERAGE(CN22:CQ22)</f>
        <v>0.19563625724094874</v>
      </c>
      <c r="CS22" s="206">
        <f t="shared" ref="CS22" si="101">+AVERAGE(CO22:CR22)</f>
        <v>0.19691703795016335</v>
      </c>
      <c r="CT22" s="206">
        <f t="shared" ref="CT22" si="102">+AVERAGE(CP22:CS22)</f>
        <v>0.19638674600090453</v>
      </c>
      <c r="CU22" s="206">
        <f t="shared" ref="CU22" si="103">+AVERAGE(CQ22:CT22)</f>
        <v>0.19560614767667575</v>
      </c>
      <c r="CV22" s="206">
        <f t="shared" ref="CV22" si="104">+AVERAGE(CR22:CU22)</f>
        <v>0.19613654721717308</v>
      </c>
      <c r="CW22" s="206">
        <f t="shared" si="85"/>
        <v>0.19626161971122918</v>
      </c>
      <c r="CX22" s="206">
        <f t="shared" si="86"/>
        <v>0.19609776515149563</v>
      </c>
      <c r="CY22" s="206">
        <f t="shared" si="87"/>
        <v>0.19602551993914341</v>
      </c>
      <c r="CZ22" s="206">
        <f t="shared" si="88"/>
        <v>0.19613036300476033</v>
      </c>
      <c r="DA22" s="206">
        <f t="shared" si="89"/>
        <v>0.19612881695165713</v>
      </c>
      <c r="DB22" s="206">
        <f t="shared" si="90"/>
        <v>0.19609561626176414</v>
      </c>
      <c r="DC22" s="206">
        <f t="shared" si="91"/>
        <v>0.19609507903933127</v>
      </c>
      <c r="DD22" s="206">
        <f t="shared" si="92"/>
        <v>0.19611246881437822</v>
      </c>
      <c r="DE22" s="201"/>
      <c r="DF22" s="200">
        <v>0.16617117725837313</v>
      </c>
    </row>
    <row r="23" spans="1:110" s="188" customForma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7"/>
      <c r="AB23" s="187"/>
      <c r="AC23" s="187"/>
      <c r="AD23" s="187"/>
      <c r="AE23" s="187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56"/>
      <c r="CE23" s="156"/>
      <c r="CF23" s="156"/>
      <c r="CG23" s="156"/>
      <c r="CH23" s="156"/>
      <c r="CI23" s="156"/>
      <c r="CJ23" s="156"/>
      <c r="CK23" s="186"/>
      <c r="CL23" s="186"/>
      <c r="CM23" s="187"/>
      <c r="CN23" s="187"/>
      <c r="CO23" s="187"/>
      <c r="CP23" s="187"/>
      <c r="CQ23" s="187"/>
      <c r="CR23" s="187"/>
      <c r="CS23" s="187"/>
      <c r="CT23" s="187"/>
      <c r="CU23" s="187"/>
      <c r="CV23" s="187"/>
      <c r="CW23" s="187"/>
      <c r="CX23" s="187"/>
      <c r="CY23" s="187"/>
      <c r="CZ23" s="187"/>
      <c r="DA23" s="187"/>
      <c r="DB23" s="187"/>
      <c r="DC23" s="187"/>
      <c r="DD23" s="187"/>
      <c r="DE23" s="189"/>
    </row>
    <row r="24" spans="1:110" s="188" customFormat="1" x14ac:dyDescent="0.2">
      <c r="A24" s="185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7"/>
      <c r="AB24" s="187"/>
      <c r="AC24" s="187"/>
      <c r="AD24" s="187"/>
      <c r="AE24" s="187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56"/>
      <c r="CE24" s="156"/>
      <c r="CF24" s="156"/>
      <c r="CG24" s="156"/>
      <c r="CH24" s="156"/>
      <c r="CI24" s="156"/>
      <c r="CJ24" s="156"/>
      <c r="CK24" s="186"/>
      <c r="CL24" s="186"/>
      <c r="CM24" s="187"/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9"/>
    </row>
    <row r="25" spans="1:110" s="192" customFormat="1" x14ac:dyDescent="0.2">
      <c r="A25" s="190" t="s">
        <v>534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91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</row>
    <row r="26" spans="1:110" s="109" customFormat="1" x14ac:dyDescent="0.2">
      <c r="A26" s="184" t="s">
        <v>528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>
        <v>7720</v>
      </c>
      <c r="Z26" s="107">
        <f>+Y29</f>
        <v>11050</v>
      </c>
      <c r="AA26" s="108">
        <f t="shared" ref="AA26:AE26" si="105">+Z29</f>
        <v>16210</v>
      </c>
      <c r="AB26" s="108">
        <f t="shared" si="105"/>
        <v>21474.452013497539</v>
      </c>
      <c r="AC26" s="108">
        <f t="shared" si="105"/>
        <v>26407.104399727185</v>
      </c>
      <c r="AD26" s="108">
        <f t="shared" si="105"/>
        <v>30948.862112078466</v>
      </c>
      <c r="AE26" s="108">
        <f t="shared" si="105"/>
        <v>34937.809112330106</v>
      </c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7"/>
      <c r="CF26" s="107"/>
      <c r="CG26" s="107"/>
      <c r="CH26" s="107"/>
      <c r="CI26" s="107"/>
      <c r="CJ26" s="107">
        <f>+CJ29+CJ28-CJ27</f>
        <v>15565.7</v>
      </c>
      <c r="CK26" s="107">
        <f>+CJ29</f>
        <v>16210</v>
      </c>
      <c r="CL26" s="108">
        <f>+CK29</f>
        <v>17599</v>
      </c>
      <c r="CM26" s="108">
        <f t="shared" ref="CM26:DD26" si="106">+CL29</f>
        <v>19204.900000000001</v>
      </c>
      <c r="CN26" s="108">
        <f t="shared" si="106"/>
        <v>20890.192547536826</v>
      </c>
      <c r="CO26" s="108">
        <f t="shared" si="106"/>
        <v>21474.452013497539</v>
      </c>
      <c r="CP26" s="108">
        <f t="shared" si="106"/>
        <v>22629.952626446131</v>
      </c>
      <c r="CQ26" s="108">
        <f t="shared" si="106"/>
        <v>23943.850702923031</v>
      </c>
      <c r="CR26" s="108">
        <f t="shared" si="106"/>
        <v>25769.862126096785</v>
      </c>
      <c r="CS26" s="108">
        <f t="shared" si="106"/>
        <v>26407.104399727195</v>
      </c>
      <c r="CT26" s="108">
        <f t="shared" si="106"/>
        <v>27452.199211165971</v>
      </c>
      <c r="CU26" s="108">
        <f t="shared" si="106"/>
        <v>28663.22705744602</v>
      </c>
      <c r="CV26" s="108">
        <f t="shared" si="106"/>
        <v>30509.257080250482</v>
      </c>
      <c r="CW26" s="108">
        <f t="shared" si="106"/>
        <v>30948.862112078474</v>
      </c>
      <c r="CX26" s="108">
        <f t="shared" si="106"/>
        <v>31870.947344048327</v>
      </c>
      <c r="CY26" s="108">
        <f t="shared" si="106"/>
        <v>32945.067375856372</v>
      </c>
      <c r="CZ26" s="108">
        <f t="shared" si="106"/>
        <v>34765.15483889007</v>
      </c>
      <c r="DA26" s="108">
        <f t="shared" si="106"/>
        <v>34937.809112330113</v>
      </c>
      <c r="DB26" s="108">
        <f t="shared" si="106"/>
        <v>36132.974932390694</v>
      </c>
      <c r="DC26" s="108">
        <f t="shared" si="106"/>
        <v>37543.752595358303</v>
      </c>
      <c r="DD26" s="108">
        <f t="shared" si="106"/>
        <v>39826.397561069614</v>
      </c>
      <c r="DE26" s="117"/>
      <c r="DF26" s="109">
        <v>17599</v>
      </c>
    </row>
    <row r="27" spans="1:110" s="158" customFormat="1" x14ac:dyDescent="0.2">
      <c r="A27" s="155" t="s">
        <v>530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>
        <f>+Y29+Y28-Y26</f>
        <v>8089.6</v>
      </c>
      <c r="Z27" s="156">
        <f>+Z29+Z28-Z26</f>
        <v>12986.7</v>
      </c>
      <c r="AA27" s="74">
        <f>SUM(CK27:CN27)</f>
        <v>15299.900000000001</v>
      </c>
      <c r="AB27" s="74">
        <f>+SUM(CO27:CR27)</f>
        <v>16829.89</v>
      </c>
      <c r="AC27" s="74">
        <f>+SUM(CS27:CV27)</f>
        <v>18512.879000000001</v>
      </c>
      <c r="AD27" s="74">
        <f>+SUM(CW27:CZ27)</f>
        <v>20364.166900000004</v>
      </c>
      <c r="AE27" s="74">
        <f>+SUM(DA27:DD27)</f>
        <v>24437.000280000004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>
        <v>3290</v>
      </c>
      <c r="CK27" s="156">
        <f>+CK29+CK28-CK26</f>
        <v>3299.9000000000015</v>
      </c>
      <c r="CL27" s="157">
        <v>4000</v>
      </c>
      <c r="CM27" s="157">
        <f>+CL27</f>
        <v>4000</v>
      </c>
      <c r="CN27" s="157">
        <f>+CM27</f>
        <v>4000</v>
      </c>
      <c r="CO27" s="157">
        <f>+CK27*110%</f>
        <v>3629.8900000000017</v>
      </c>
      <c r="CP27" s="157">
        <f t="shared" ref="CP27:CR27" si="107">+CL27*110%</f>
        <v>4400</v>
      </c>
      <c r="CQ27" s="157">
        <f t="shared" si="107"/>
        <v>4400</v>
      </c>
      <c r="CR27" s="157">
        <f t="shared" si="107"/>
        <v>4400</v>
      </c>
      <c r="CS27" s="157">
        <f t="shared" ref="CS27" si="108">+CO27*110%</f>
        <v>3992.8790000000022</v>
      </c>
      <c r="CT27" s="157">
        <f t="shared" ref="CT27" si="109">+CP27*110%</f>
        <v>4840</v>
      </c>
      <c r="CU27" s="157">
        <f t="shared" ref="CU27" si="110">+CQ27*110%</f>
        <v>4840</v>
      </c>
      <c r="CV27" s="157">
        <f t="shared" ref="CV27" si="111">+CR27*110%</f>
        <v>4840</v>
      </c>
      <c r="CW27" s="157">
        <f t="shared" ref="CW27" si="112">+CS27*110%</f>
        <v>4392.1669000000029</v>
      </c>
      <c r="CX27" s="157">
        <f t="shared" ref="CX27" si="113">+CT27*110%</f>
        <v>5324</v>
      </c>
      <c r="CY27" s="157">
        <f t="shared" ref="CY27" si="114">+CU27*110%</f>
        <v>5324</v>
      </c>
      <c r="CZ27" s="157">
        <f t="shared" ref="CZ27" si="115">+CV27*110%</f>
        <v>5324</v>
      </c>
      <c r="DA27" s="157">
        <f>+CW27*120%</f>
        <v>5270.6002800000033</v>
      </c>
      <c r="DB27" s="157">
        <f t="shared" ref="DB27:DD27" si="116">+CX27*120%</f>
        <v>6388.8</v>
      </c>
      <c r="DC27" s="157">
        <f t="shared" si="116"/>
        <v>6388.8</v>
      </c>
      <c r="DD27" s="157">
        <f t="shared" si="116"/>
        <v>6388.8</v>
      </c>
      <c r="DE27" s="159"/>
      <c r="DF27" s="158">
        <v>4000</v>
      </c>
    </row>
    <row r="28" spans="1:110" s="158" customFormat="1" x14ac:dyDescent="0.2">
      <c r="A28" s="155" t="s">
        <v>529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>
        <f>+Y34</f>
        <v>4759.6000000000004</v>
      </c>
      <c r="Z28" s="156">
        <f>+Z34</f>
        <v>7826.7</v>
      </c>
      <c r="AA28" s="157">
        <f t="shared" ref="AA28:AE28" si="117">+AA34</f>
        <v>10035.447986502464</v>
      </c>
      <c r="AB28" s="157">
        <f t="shared" si="117"/>
        <v>11897.237613770352</v>
      </c>
      <c r="AC28" s="157">
        <f t="shared" si="117"/>
        <v>13971.121287648717</v>
      </c>
      <c r="AD28" s="157">
        <f t="shared" si="117"/>
        <v>16375.219899748365</v>
      </c>
      <c r="AE28" s="157">
        <f t="shared" si="117"/>
        <v>19190.859921872732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>
        <f>+CJ34</f>
        <v>2645.7</v>
      </c>
      <c r="CK28" s="156">
        <f>+CK34</f>
        <v>1910.9</v>
      </c>
      <c r="CL28" s="157">
        <f>+CL7</f>
        <v>2394.1000000000004</v>
      </c>
      <c r="CM28" s="157">
        <f t="shared" ref="CM28:DD28" si="118">+CM7</f>
        <v>2314.7074524631771</v>
      </c>
      <c r="CN28" s="157">
        <f t="shared" si="118"/>
        <v>3415.740534039287</v>
      </c>
      <c r="CO28" s="157">
        <f t="shared" si="118"/>
        <v>2474.389387051413</v>
      </c>
      <c r="CP28" s="157">
        <f t="shared" si="118"/>
        <v>3086.1019235231015</v>
      </c>
      <c r="CQ28" s="157">
        <f t="shared" si="118"/>
        <v>2573.9885768262484</v>
      </c>
      <c r="CR28" s="157">
        <f t="shared" si="118"/>
        <v>3762.7577263695894</v>
      </c>
      <c r="CS28" s="157">
        <f t="shared" si="118"/>
        <v>2947.7841885612243</v>
      </c>
      <c r="CT28" s="157">
        <f t="shared" si="118"/>
        <v>3628.9721537199521</v>
      </c>
      <c r="CU28" s="157">
        <f t="shared" si="118"/>
        <v>2993.9699771955384</v>
      </c>
      <c r="CV28" s="157">
        <f t="shared" si="118"/>
        <v>4400.3949681720023</v>
      </c>
      <c r="CW28" s="157">
        <f t="shared" si="118"/>
        <v>3470.0816680301491</v>
      </c>
      <c r="CX28" s="157">
        <f t="shared" si="118"/>
        <v>4249.8799681919545</v>
      </c>
      <c r="CY28" s="157">
        <f t="shared" si="118"/>
        <v>3503.9125369663034</v>
      </c>
      <c r="CZ28" s="157">
        <f t="shared" si="118"/>
        <v>5151.3457265599582</v>
      </c>
      <c r="DA28" s="157">
        <f t="shared" si="118"/>
        <v>4075.4344599394235</v>
      </c>
      <c r="DB28" s="157">
        <f t="shared" si="118"/>
        <v>4978.0223370323947</v>
      </c>
      <c r="DC28" s="157">
        <f t="shared" si="118"/>
        <v>4106.1550342886885</v>
      </c>
      <c r="DD28" s="157">
        <f t="shared" si="118"/>
        <v>6031.2480906122273</v>
      </c>
      <c r="DE28" s="159"/>
      <c r="DF28" s="158">
        <v>2364.1537056864368</v>
      </c>
    </row>
    <row r="29" spans="1:110" s="109" customFormat="1" x14ac:dyDescent="0.2">
      <c r="A29" s="184" t="s">
        <v>527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>
        <v>11050</v>
      </c>
      <c r="Z29" s="107">
        <v>16210</v>
      </c>
      <c r="AA29" s="108">
        <f t="shared" ref="AA29:AE29" si="119">+AA26+AA27-AA28</f>
        <v>21474.452013497539</v>
      </c>
      <c r="AB29" s="108">
        <f t="shared" si="119"/>
        <v>26407.104399727185</v>
      </c>
      <c r="AC29" s="108">
        <f t="shared" si="119"/>
        <v>30948.862112078466</v>
      </c>
      <c r="AD29" s="108">
        <f t="shared" si="119"/>
        <v>34937.809112330106</v>
      </c>
      <c r="AE29" s="108">
        <f t="shared" si="119"/>
        <v>40183.949470457374</v>
      </c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>
        <v>16210</v>
      </c>
      <c r="CK29" s="107">
        <v>17599</v>
      </c>
      <c r="CL29" s="108">
        <f>+CL26+CL27-CL28</f>
        <v>19204.900000000001</v>
      </c>
      <c r="CM29" s="108">
        <f t="shared" ref="CM29:DD29" si="120">+CM26+CM27-CM28</f>
        <v>20890.192547536826</v>
      </c>
      <c r="CN29" s="108">
        <f t="shared" si="120"/>
        <v>21474.452013497539</v>
      </c>
      <c r="CO29" s="108">
        <f t="shared" si="120"/>
        <v>22629.952626446131</v>
      </c>
      <c r="CP29" s="108">
        <f t="shared" si="120"/>
        <v>23943.850702923031</v>
      </c>
      <c r="CQ29" s="108">
        <f t="shared" si="120"/>
        <v>25769.862126096785</v>
      </c>
      <c r="CR29" s="108">
        <f t="shared" si="120"/>
        <v>26407.104399727195</v>
      </c>
      <c r="CS29" s="108">
        <f t="shared" si="120"/>
        <v>27452.199211165971</v>
      </c>
      <c r="CT29" s="108">
        <f t="shared" si="120"/>
        <v>28663.22705744602</v>
      </c>
      <c r="CU29" s="108">
        <f t="shared" si="120"/>
        <v>30509.257080250482</v>
      </c>
      <c r="CV29" s="108">
        <f t="shared" si="120"/>
        <v>30948.862112078474</v>
      </c>
      <c r="CW29" s="108">
        <f t="shared" si="120"/>
        <v>31870.947344048327</v>
      </c>
      <c r="CX29" s="108">
        <f t="shared" si="120"/>
        <v>32945.067375856372</v>
      </c>
      <c r="CY29" s="108">
        <f t="shared" si="120"/>
        <v>34765.15483889007</v>
      </c>
      <c r="CZ29" s="108">
        <f t="shared" si="120"/>
        <v>34937.809112330113</v>
      </c>
      <c r="DA29" s="108">
        <f t="shared" si="120"/>
        <v>36132.974932390694</v>
      </c>
      <c r="DB29" s="108">
        <f t="shared" si="120"/>
        <v>37543.752595358303</v>
      </c>
      <c r="DC29" s="108">
        <f t="shared" si="120"/>
        <v>39826.397561069614</v>
      </c>
      <c r="DD29" s="108">
        <f t="shared" si="120"/>
        <v>40183.949470457388</v>
      </c>
      <c r="DE29" s="117"/>
      <c r="DF29" s="109">
        <v>19234.846294313564</v>
      </c>
    </row>
    <row r="30" spans="1:110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9"/>
    </row>
    <row r="31" spans="1:110" s="158" customFormat="1" x14ac:dyDescent="0.2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7"/>
      <c r="AB31" s="157"/>
      <c r="AC31" s="157"/>
      <c r="AD31" s="157"/>
      <c r="AE31" s="157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9"/>
    </row>
    <row r="32" spans="1:110" s="106" customFormat="1" x14ac:dyDescent="0.2">
      <c r="A32" s="151" t="s">
        <v>500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5"/>
      <c r="AB32" s="105"/>
      <c r="AC32" s="105"/>
      <c r="AD32" s="105"/>
      <c r="AE32" s="105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18"/>
    </row>
    <row r="33" spans="1:110" s="106" customFormat="1" x14ac:dyDescent="0.2">
      <c r="A33" s="151" t="s">
        <v>485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05"/>
      <c r="AB33" s="105"/>
      <c r="AC33" s="105"/>
      <c r="AD33" s="105"/>
      <c r="AE33" s="105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60"/>
      <c r="CK33" s="160"/>
      <c r="CL33" s="160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18"/>
    </row>
    <row r="34" spans="1:110" s="25" customFormat="1" outlineLevel="1" x14ac:dyDescent="0.2">
      <c r="A34" s="25" t="s">
        <v>430</v>
      </c>
      <c r="B34" s="25">
        <f>'Annual Raw'!C6</f>
        <v>0</v>
      </c>
      <c r="C34" s="25">
        <f>'Annual Raw'!D6</f>
        <v>0</v>
      </c>
      <c r="D34" s="25">
        <f>'Annual Raw'!E6</f>
        <v>0</v>
      </c>
      <c r="E34" s="25">
        <f>'Annual Raw'!F6</f>
        <v>0</v>
      </c>
      <c r="F34" s="25">
        <f>'Annual Raw'!G6</f>
        <v>0</v>
      </c>
      <c r="G34" s="25">
        <f>'Annual Raw'!H6</f>
        <v>0</v>
      </c>
      <c r="H34" s="25">
        <f>'Annual Raw'!I6</f>
        <v>0</v>
      </c>
      <c r="I34" s="25">
        <f>'Annual Raw'!J6</f>
        <v>0</v>
      </c>
      <c r="J34" s="25">
        <f>'Annual Raw'!K6</f>
        <v>0</v>
      </c>
      <c r="K34" s="25">
        <f>'Annual Raw'!L6</f>
        <v>0</v>
      </c>
      <c r="L34" s="25">
        <f>'Annual Raw'!M6</f>
        <v>0</v>
      </c>
      <c r="M34" s="25">
        <f>'Annual Raw'!N6</f>
        <v>0</v>
      </c>
      <c r="N34" s="25">
        <f>'Annual Raw'!O6</f>
        <v>0</v>
      </c>
      <c r="O34" s="25">
        <f>'Annual Raw'!P6</f>
        <v>0</v>
      </c>
      <c r="P34" s="25">
        <f>'Annual Raw'!Q6</f>
        <v>0</v>
      </c>
      <c r="Q34" s="25">
        <f>'Annual Raw'!R6</f>
        <v>0</v>
      </c>
      <c r="R34" s="25">
        <f>'Annual Raw'!S6</f>
        <v>0</v>
      </c>
      <c r="S34" s="25">
        <f>'Annual Raw'!T6</f>
        <v>0</v>
      </c>
      <c r="T34" s="25">
        <f>'Annual Raw'!U6</f>
        <v>0</v>
      </c>
      <c r="U34" s="25">
        <f>'Annual Raw'!V6</f>
        <v>0</v>
      </c>
      <c r="V34" s="25">
        <f>'Annual Raw'!W6</f>
        <v>0</v>
      </c>
      <c r="W34" s="25">
        <f>'Annual Raw'!X6</f>
        <v>0</v>
      </c>
      <c r="X34" s="25">
        <f>'Annual Raw'!Y6</f>
        <v>0</v>
      </c>
      <c r="Y34" s="25">
        <f>'Annual Raw'!Z6</f>
        <v>4759.6000000000004</v>
      </c>
      <c r="Z34" s="25">
        <f>'Annual Raw'!AA6</f>
        <v>7826.7</v>
      </c>
      <c r="AA34" s="17">
        <f>SUM(CK34:CN34)</f>
        <v>10035.447986502464</v>
      </c>
      <c r="AB34" s="17">
        <f>+SUM(CO34:CR34)</f>
        <v>11897.237613770352</v>
      </c>
      <c r="AC34" s="17">
        <f>+SUM(CS34:CV34)</f>
        <v>13971.121287648717</v>
      </c>
      <c r="AD34" s="17">
        <f>+SUM(CW34:CZ34)</f>
        <v>16375.219899748365</v>
      </c>
      <c r="AE34" s="17">
        <f>+SUM(DA34:DD34)</f>
        <v>19190.859921872732</v>
      </c>
      <c r="AI34" s="25">
        <f>'QTR Raw'!C6+'QTR Raw'!C8</f>
        <v>0</v>
      </c>
      <c r="AJ34" s="25">
        <f>'QTR Raw'!D6+'QTR Raw'!D8</f>
        <v>0</v>
      </c>
      <c r="AK34" s="25">
        <f>'QTR Raw'!E6+'QTR Raw'!E8</f>
        <v>0</v>
      </c>
      <c r="AL34" s="25">
        <f>'QTR Raw'!F6+'QTR Raw'!F8</f>
        <v>0</v>
      </c>
      <c r="AM34" s="25">
        <f>'QTR Raw'!G6+'QTR Raw'!G8</f>
        <v>0</v>
      </c>
      <c r="AN34" s="25">
        <f>'QTR Raw'!H6+'QTR Raw'!H8</f>
        <v>0</v>
      </c>
      <c r="AO34" s="25">
        <f>'QTR Raw'!I6+'QTR Raw'!I8</f>
        <v>0</v>
      </c>
      <c r="AP34" s="25">
        <f>'QTR Raw'!J6+'QTR Raw'!J8</f>
        <v>0</v>
      </c>
      <c r="AQ34" s="25">
        <f>'QTR Raw'!K6+'QTR Raw'!K8</f>
        <v>0</v>
      </c>
      <c r="AR34" s="25">
        <f>'QTR Raw'!L6+'QTR Raw'!L8</f>
        <v>0</v>
      </c>
      <c r="AS34" s="25">
        <f>'QTR Raw'!M6+'QTR Raw'!M8</f>
        <v>0</v>
      </c>
      <c r="AT34" s="25">
        <f>'QTR Raw'!N6+'QTR Raw'!N8</f>
        <v>0</v>
      </c>
      <c r="AU34" s="25">
        <f>'QTR Raw'!O6+'QTR Raw'!O8</f>
        <v>0</v>
      </c>
      <c r="AV34" s="25">
        <f>'QTR Raw'!P6+'QTR Raw'!P8</f>
        <v>0</v>
      </c>
      <c r="AW34" s="25">
        <f>'QTR Raw'!Q6+'QTR Raw'!Q8</f>
        <v>0</v>
      </c>
      <c r="AX34" s="25">
        <f>'QTR Raw'!R6+'QTR Raw'!R8</f>
        <v>0</v>
      </c>
      <c r="AY34" s="25">
        <f>'QTR Raw'!S6+'QTR Raw'!S8</f>
        <v>0</v>
      </c>
      <c r="AZ34" s="25">
        <f>'QTR Raw'!T6+'QTR Raw'!T8</f>
        <v>0</v>
      </c>
      <c r="BA34" s="25">
        <f>'QTR Raw'!U6+'QTR Raw'!U8</f>
        <v>0</v>
      </c>
      <c r="BB34" s="25">
        <f>'QTR Raw'!V6+'QTR Raw'!V8</f>
        <v>0</v>
      </c>
      <c r="BC34" s="25">
        <f>'QTR Raw'!W6+'QTR Raw'!W8</f>
        <v>0</v>
      </c>
      <c r="BD34" s="25">
        <f>'QTR Raw'!X6+'QTR Raw'!X8</f>
        <v>0</v>
      </c>
      <c r="BE34" s="25">
        <f>'QTR Raw'!Y6+'QTR Raw'!Y8</f>
        <v>0</v>
      </c>
      <c r="BF34" s="25">
        <f>'QTR Raw'!Z6+'QTR Raw'!Z8</f>
        <v>0</v>
      </c>
      <c r="BG34" s="25">
        <f>'QTR Raw'!AA6+'QTR Raw'!AA8</f>
        <v>0</v>
      </c>
      <c r="BH34" s="25">
        <f>'QTR Raw'!AB6+'QTR Raw'!AB8</f>
        <v>0</v>
      </c>
      <c r="BI34" s="25">
        <f>'QTR Raw'!AC6+'QTR Raw'!AC8</f>
        <v>0</v>
      </c>
      <c r="BJ34" s="25">
        <f>'QTR Raw'!AD6+'QTR Raw'!AD8</f>
        <v>0</v>
      </c>
      <c r="BK34" s="25">
        <f>'QTR Raw'!AE6+'QTR Raw'!AE8</f>
        <v>0</v>
      </c>
      <c r="BL34" s="25">
        <f>'QTR Raw'!AF6+'QTR Raw'!AF8</f>
        <v>0</v>
      </c>
      <c r="BM34" s="25">
        <f>'QTR Raw'!AG6+'QTR Raw'!AG8</f>
        <v>0</v>
      </c>
      <c r="BN34" s="25">
        <f>'QTR Raw'!AH6+'QTR Raw'!AH8</f>
        <v>0</v>
      </c>
      <c r="BO34" s="25">
        <f>'QTR Raw'!AI6+'QTR Raw'!AI8</f>
        <v>0</v>
      </c>
      <c r="BP34" s="25">
        <f>'QTR Raw'!AJ6+'QTR Raw'!AJ8</f>
        <v>0</v>
      </c>
      <c r="BQ34" s="25">
        <f>'QTR Raw'!AK6+'QTR Raw'!AK8</f>
        <v>0</v>
      </c>
      <c r="BR34" s="25">
        <f>'QTR Raw'!AL6+'QTR Raw'!AL8</f>
        <v>0</v>
      </c>
      <c r="BS34" s="25">
        <f>'QTR Raw'!AM6+'QTR Raw'!AM8</f>
        <v>0</v>
      </c>
      <c r="BT34" s="25">
        <f>'QTR Raw'!AN6+'QTR Raw'!AN8</f>
        <v>0</v>
      </c>
      <c r="BU34" s="25">
        <f>'QTR Raw'!AO6+'QTR Raw'!AO8</f>
        <v>0</v>
      </c>
      <c r="BV34" s="25">
        <f>'QTR Raw'!AP6+'QTR Raw'!AP8</f>
        <v>0</v>
      </c>
      <c r="BW34" s="25">
        <f>'QTR Raw'!AQ6+'QTR Raw'!AQ8</f>
        <v>0</v>
      </c>
      <c r="BX34" s="25">
        <f>'QTR Raw'!AR6+'QTR Raw'!AR8</f>
        <v>0</v>
      </c>
      <c r="BY34" s="25">
        <f>'QTR Raw'!AS6+'QTR Raw'!AS8</f>
        <v>0</v>
      </c>
      <c r="BZ34" s="25">
        <f>'QTR Raw'!AT6+'QTR Raw'!AT8</f>
        <v>0</v>
      </c>
      <c r="CA34" s="25">
        <f>'QTR Raw'!AU6+'QTR Raw'!AU8</f>
        <v>0</v>
      </c>
      <c r="CB34" s="25">
        <f>'QTR Raw'!AV6+'QTR Raw'!AV8</f>
        <v>0</v>
      </c>
      <c r="CC34" s="25">
        <f>'QTR Raw'!AW6+'QTR Raw'!AW8</f>
        <v>0</v>
      </c>
      <c r="CD34" s="25">
        <f>'QTR Raw'!AX6+'QTR Raw'!AX8</f>
        <v>1196.5999999999999</v>
      </c>
      <c r="CE34" s="25">
        <f>'QTR Raw'!AY6+'QTR Raw'!AY8</f>
        <v>1484.2</v>
      </c>
      <c r="CF34" s="25">
        <f>'QTR Raw'!AZ6+'QTR Raw'!AZ8</f>
        <v>2078.8000000000002</v>
      </c>
      <c r="CG34" s="25">
        <f>'QTR Raw'!BA6+'QTR Raw'!BA8</f>
        <v>1516.9</v>
      </c>
      <c r="CH34" s="25">
        <f>'QTR Raw'!BB6+'QTR Raw'!BB8</f>
        <v>1879.5</v>
      </c>
      <c r="CI34" s="25">
        <f>'QTR Raw'!BC6+'QTR Raw'!BC8</f>
        <v>1784.6</v>
      </c>
      <c r="CJ34" s="25">
        <f>'QTR Raw'!BD6+'QTR Raw'!BD8</f>
        <v>2645.7</v>
      </c>
      <c r="CK34" s="25">
        <f>'QTR Raw'!BE6+'QTR Raw'!BE8</f>
        <v>1910.9</v>
      </c>
      <c r="CL34" s="25">
        <f>'QTR Raw'!BF6+'QTR Raw'!BF8</f>
        <v>2394.1</v>
      </c>
      <c r="CM34" s="17">
        <f t="shared" ref="CM34:DD34" si="121">+CM7</f>
        <v>2314.7074524631771</v>
      </c>
      <c r="CN34" s="17">
        <f t="shared" si="121"/>
        <v>3415.740534039287</v>
      </c>
      <c r="CO34" s="17">
        <f t="shared" si="121"/>
        <v>2474.389387051413</v>
      </c>
      <c r="CP34" s="17">
        <f t="shared" si="121"/>
        <v>3086.1019235231015</v>
      </c>
      <c r="CQ34" s="17">
        <f t="shared" si="121"/>
        <v>2573.9885768262484</v>
      </c>
      <c r="CR34" s="17">
        <f t="shared" si="121"/>
        <v>3762.7577263695894</v>
      </c>
      <c r="CS34" s="17">
        <f t="shared" si="121"/>
        <v>2947.7841885612243</v>
      </c>
      <c r="CT34" s="17">
        <f t="shared" si="121"/>
        <v>3628.9721537199521</v>
      </c>
      <c r="CU34" s="17">
        <f t="shared" si="121"/>
        <v>2993.9699771955384</v>
      </c>
      <c r="CV34" s="17">
        <f t="shared" si="121"/>
        <v>4400.3949681720023</v>
      </c>
      <c r="CW34" s="17">
        <f t="shared" si="121"/>
        <v>3470.0816680301491</v>
      </c>
      <c r="CX34" s="17">
        <f t="shared" si="121"/>
        <v>4249.8799681919545</v>
      </c>
      <c r="CY34" s="17">
        <f t="shared" si="121"/>
        <v>3503.9125369663034</v>
      </c>
      <c r="CZ34" s="17">
        <f t="shared" si="121"/>
        <v>5151.3457265599582</v>
      </c>
      <c r="DA34" s="17">
        <f t="shared" si="121"/>
        <v>4075.4344599394235</v>
      </c>
      <c r="DB34" s="17">
        <f t="shared" si="121"/>
        <v>4978.0223370323947</v>
      </c>
      <c r="DC34" s="17">
        <f t="shared" si="121"/>
        <v>4106.1550342886885</v>
      </c>
      <c r="DD34" s="17">
        <f t="shared" si="121"/>
        <v>6031.2480906122273</v>
      </c>
      <c r="DE34" s="119"/>
      <c r="DF34" s="25">
        <v>7826.7</v>
      </c>
    </row>
    <row r="35" spans="1:110" s="92" customFormat="1" outlineLevel="1" x14ac:dyDescent="0.2">
      <c r="A35" s="92" t="s">
        <v>109</v>
      </c>
      <c r="B35" s="92">
        <f>'Annual Raw'!C7+'Annual Raw'!C8+'Annual Raw'!C9</f>
        <v>0</v>
      </c>
      <c r="C35" s="92">
        <f>'Annual Raw'!D7+'Annual Raw'!D8+'Annual Raw'!D9</f>
        <v>0</v>
      </c>
      <c r="D35" s="92">
        <f>'Annual Raw'!E7+'Annual Raw'!E8+'Annual Raw'!E9</f>
        <v>0</v>
      </c>
      <c r="E35" s="92">
        <f>'Annual Raw'!F7+'Annual Raw'!F8+'Annual Raw'!F9</f>
        <v>0</v>
      </c>
      <c r="F35" s="92">
        <f>'Annual Raw'!G7+'Annual Raw'!G8+'Annual Raw'!G9</f>
        <v>0</v>
      </c>
      <c r="G35" s="92">
        <f>'Annual Raw'!H7+'Annual Raw'!H8+'Annual Raw'!H9</f>
        <v>0</v>
      </c>
      <c r="H35" s="92">
        <f>'Annual Raw'!I7+'Annual Raw'!I8+'Annual Raw'!I9</f>
        <v>0</v>
      </c>
      <c r="I35" s="92">
        <f>'Annual Raw'!J7+'Annual Raw'!J8+'Annual Raw'!J9</f>
        <v>0</v>
      </c>
      <c r="J35" s="92">
        <f>'Annual Raw'!K7+'Annual Raw'!K8+'Annual Raw'!K9</f>
        <v>0</v>
      </c>
      <c r="K35" s="92">
        <f>'Annual Raw'!L7+'Annual Raw'!L8+'Annual Raw'!L9</f>
        <v>0</v>
      </c>
      <c r="L35" s="92">
        <f>'Annual Raw'!M7+'Annual Raw'!M8+'Annual Raw'!M9</f>
        <v>0</v>
      </c>
      <c r="M35" s="92">
        <f>'Annual Raw'!N7+'Annual Raw'!N8+'Annual Raw'!N9</f>
        <v>0</v>
      </c>
      <c r="N35" s="92">
        <f>'Annual Raw'!O7+'Annual Raw'!O8+'Annual Raw'!O9</f>
        <v>0</v>
      </c>
      <c r="O35" s="92">
        <f>'Annual Raw'!P7+'Annual Raw'!P8+'Annual Raw'!P9</f>
        <v>0</v>
      </c>
      <c r="P35" s="92">
        <f>'Annual Raw'!Q7+'Annual Raw'!Q8+'Annual Raw'!Q9</f>
        <v>0</v>
      </c>
      <c r="Q35" s="92">
        <f>'Annual Raw'!R7+'Annual Raw'!R8+'Annual Raw'!R9</f>
        <v>0</v>
      </c>
      <c r="R35" s="92">
        <f>'Annual Raw'!S7+'Annual Raw'!S8+'Annual Raw'!S9</f>
        <v>0</v>
      </c>
      <c r="S35" s="92">
        <f>'Annual Raw'!T7+'Annual Raw'!T8+'Annual Raw'!T9</f>
        <v>0</v>
      </c>
      <c r="T35" s="92">
        <f>'Annual Raw'!U7+'Annual Raw'!U8+'Annual Raw'!U9</f>
        <v>0</v>
      </c>
      <c r="U35" s="92">
        <f>'Annual Raw'!V7+'Annual Raw'!V8+'Annual Raw'!V9</f>
        <v>0</v>
      </c>
      <c r="V35" s="92">
        <f>'Annual Raw'!W7+'Annual Raw'!W8+'Annual Raw'!W9</f>
        <v>0</v>
      </c>
      <c r="W35" s="92">
        <f>'Annual Raw'!X7+'Annual Raw'!X8+'Annual Raw'!X9</f>
        <v>0</v>
      </c>
      <c r="X35" s="92">
        <f>'Annual Raw'!Y7+'Annual Raw'!Y8+'Annual Raw'!Y9</f>
        <v>0</v>
      </c>
      <c r="Y35" s="92">
        <f>'Annual Raw'!Z7+'Annual Raw'!Z8+'Annual Raw'!Z9</f>
        <v>0</v>
      </c>
      <c r="Z35" s="92">
        <f>'Annual Raw'!AA7+'Annual Raw'!AA8+'Annual Raw'!AA9</f>
        <v>0</v>
      </c>
      <c r="AA35" s="17">
        <f>SUM(CK35:CN35)</f>
        <v>0</v>
      </c>
      <c r="AB35" s="17">
        <f>+SUM(CO35:CR35)</f>
        <v>0</v>
      </c>
      <c r="AC35" s="17">
        <f>+SUM(CS35:CV35)</f>
        <v>0</v>
      </c>
      <c r="AD35" s="17">
        <f>+SUM(CW35:CZ35)</f>
        <v>0</v>
      </c>
      <c r="AE35" s="17">
        <f>+SUM(DA35:DD35)</f>
        <v>0</v>
      </c>
      <c r="AI35" s="92">
        <f>+'QTR Raw'!C20+'QTR Raw'!C19+'QTR Raw'!C13+'QTR Raw'!C7</f>
        <v>0</v>
      </c>
      <c r="AJ35" s="92">
        <f>+'QTR Raw'!D20+'QTR Raw'!D19+'QTR Raw'!D13+'QTR Raw'!D7</f>
        <v>0</v>
      </c>
      <c r="AK35" s="92">
        <f>+'QTR Raw'!E20+'QTR Raw'!E19+'QTR Raw'!E13+'QTR Raw'!E7</f>
        <v>0</v>
      </c>
      <c r="AL35" s="92">
        <f>+'QTR Raw'!F20+'QTR Raw'!F19+'QTR Raw'!F13+'QTR Raw'!F7</f>
        <v>0</v>
      </c>
      <c r="AM35" s="92">
        <f>+'QTR Raw'!G20+'QTR Raw'!G19+'QTR Raw'!G13+'QTR Raw'!G7</f>
        <v>0</v>
      </c>
      <c r="AN35" s="92">
        <f>+'QTR Raw'!H20+'QTR Raw'!H19+'QTR Raw'!H13+'QTR Raw'!H7</f>
        <v>0</v>
      </c>
      <c r="AO35" s="92">
        <f>+'QTR Raw'!I20+'QTR Raw'!I19+'QTR Raw'!I13+'QTR Raw'!I7</f>
        <v>0</v>
      </c>
      <c r="AP35" s="92">
        <f>+'QTR Raw'!J20+'QTR Raw'!J19+'QTR Raw'!J13+'QTR Raw'!J7</f>
        <v>0</v>
      </c>
      <c r="AQ35" s="92">
        <f>+'QTR Raw'!K20+'QTR Raw'!K19+'QTR Raw'!K13+'QTR Raw'!K7</f>
        <v>0</v>
      </c>
      <c r="AR35" s="92">
        <f>+'QTR Raw'!L20+'QTR Raw'!L19+'QTR Raw'!L13+'QTR Raw'!L7</f>
        <v>0</v>
      </c>
      <c r="AS35" s="92">
        <f>+'QTR Raw'!M20+'QTR Raw'!M19+'QTR Raw'!M13+'QTR Raw'!M7</f>
        <v>0</v>
      </c>
      <c r="AT35" s="92">
        <f>+'QTR Raw'!N20+'QTR Raw'!N19+'QTR Raw'!N13+'QTR Raw'!N7</f>
        <v>0</v>
      </c>
      <c r="AU35" s="92">
        <f>+'QTR Raw'!O20+'QTR Raw'!O19+'QTR Raw'!O13+'QTR Raw'!O7</f>
        <v>0</v>
      </c>
      <c r="AV35" s="92">
        <f>+'QTR Raw'!P20+'QTR Raw'!P19+'QTR Raw'!P13+'QTR Raw'!P7</f>
        <v>0</v>
      </c>
      <c r="AW35" s="92">
        <f>+'QTR Raw'!Q20+'QTR Raw'!Q19+'QTR Raw'!Q13+'QTR Raw'!Q7</f>
        <v>0</v>
      </c>
      <c r="AX35" s="92">
        <f>+'QTR Raw'!R20+'QTR Raw'!R19+'QTR Raw'!R13+'QTR Raw'!R7</f>
        <v>0</v>
      </c>
      <c r="AY35" s="92">
        <f>+'QTR Raw'!S20+'QTR Raw'!S19+'QTR Raw'!S13+'QTR Raw'!S7</f>
        <v>0</v>
      </c>
      <c r="AZ35" s="92">
        <f>+'QTR Raw'!T20+'QTR Raw'!T19+'QTR Raw'!T13+'QTR Raw'!T7</f>
        <v>0</v>
      </c>
      <c r="BA35" s="92">
        <f>+'QTR Raw'!U20+'QTR Raw'!U19+'QTR Raw'!U13+'QTR Raw'!U7</f>
        <v>0</v>
      </c>
      <c r="BB35" s="92">
        <f>+'QTR Raw'!V20+'QTR Raw'!V19+'QTR Raw'!V13+'QTR Raw'!V7</f>
        <v>0</v>
      </c>
      <c r="BC35" s="92">
        <f>+'QTR Raw'!W20+'QTR Raw'!W19+'QTR Raw'!W13+'QTR Raw'!W7</f>
        <v>0</v>
      </c>
      <c r="BD35" s="92">
        <f>+'QTR Raw'!X20+'QTR Raw'!X19+'QTR Raw'!X13+'QTR Raw'!X7</f>
        <v>0</v>
      </c>
      <c r="BE35" s="92">
        <f>+'QTR Raw'!Y20+'QTR Raw'!Y19+'QTR Raw'!Y13+'QTR Raw'!Y7</f>
        <v>0</v>
      </c>
      <c r="BF35" s="92">
        <f>+'QTR Raw'!Z20+'QTR Raw'!Z19+'QTR Raw'!Z13+'QTR Raw'!Z7</f>
        <v>0</v>
      </c>
      <c r="BG35" s="92">
        <f>+'QTR Raw'!AA20+'QTR Raw'!AA19+'QTR Raw'!AA13+'QTR Raw'!AA7</f>
        <v>0</v>
      </c>
      <c r="BH35" s="92">
        <f>+'QTR Raw'!AB20+'QTR Raw'!AB19+'QTR Raw'!AB13+'QTR Raw'!AB7</f>
        <v>0</v>
      </c>
      <c r="BI35" s="92">
        <f>+'QTR Raw'!AC20+'QTR Raw'!AC19+'QTR Raw'!AC13+'QTR Raw'!AC7</f>
        <v>0</v>
      </c>
      <c r="BJ35" s="92">
        <f>+'QTR Raw'!AD20+'QTR Raw'!AD19+'QTR Raw'!AD13+'QTR Raw'!AD7</f>
        <v>0</v>
      </c>
      <c r="BK35" s="92">
        <f>+'QTR Raw'!AE20+'QTR Raw'!AE19+'QTR Raw'!AE13+'QTR Raw'!AE7</f>
        <v>0</v>
      </c>
      <c r="BL35" s="92">
        <f>+'QTR Raw'!AF20+'QTR Raw'!AF19+'QTR Raw'!AF13+'QTR Raw'!AF7</f>
        <v>0</v>
      </c>
      <c r="BM35" s="92">
        <f>+'QTR Raw'!AG20+'QTR Raw'!AG19+'QTR Raw'!AG13+'QTR Raw'!AG7</f>
        <v>0</v>
      </c>
      <c r="BN35" s="92">
        <f>+'QTR Raw'!AH20+'QTR Raw'!AH19+'QTR Raw'!AH13+'QTR Raw'!AH7</f>
        <v>0</v>
      </c>
      <c r="BO35" s="92">
        <f>+'QTR Raw'!AI20+'QTR Raw'!AI19+'QTR Raw'!AI13+'QTR Raw'!AI7</f>
        <v>0</v>
      </c>
      <c r="BP35" s="92">
        <f>+'QTR Raw'!AJ20+'QTR Raw'!AJ19+'QTR Raw'!AJ13+'QTR Raw'!AJ7</f>
        <v>0</v>
      </c>
      <c r="BQ35" s="92">
        <f>+'QTR Raw'!AK20+'QTR Raw'!AK19+'QTR Raw'!AK13+'QTR Raw'!AK7</f>
        <v>0</v>
      </c>
      <c r="BR35" s="92">
        <f>+'QTR Raw'!AL20+'QTR Raw'!AL19+'QTR Raw'!AL13+'QTR Raw'!AL7</f>
        <v>0</v>
      </c>
      <c r="BS35" s="92">
        <f>+'QTR Raw'!AM20+'QTR Raw'!AM19+'QTR Raw'!AM13+'QTR Raw'!AM7</f>
        <v>0</v>
      </c>
      <c r="BT35" s="92">
        <f>+'QTR Raw'!AN20+'QTR Raw'!AN19+'QTR Raw'!AN13+'QTR Raw'!AN7</f>
        <v>0</v>
      </c>
      <c r="BU35" s="92">
        <f>+'QTR Raw'!AO20+'QTR Raw'!AO19+'QTR Raw'!AO13+'QTR Raw'!AO7</f>
        <v>0</v>
      </c>
      <c r="BV35" s="92">
        <f>+'QTR Raw'!AP20+'QTR Raw'!AP19+'QTR Raw'!AP13+'QTR Raw'!AP7</f>
        <v>0</v>
      </c>
      <c r="BW35" s="92">
        <f>+'QTR Raw'!AQ20+'QTR Raw'!AQ19+'QTR Raw'!AQ13+'QTR Raw'!AQ7</f>
        <v>0</v>
      </c>
      <c r="BX35" s="92">
        <f>+'QTR Raw'!AR20+'QTR Raw'!AR19+'QTR Raw'!AR13+'QTR Raw'!AR7</f>
        <v>0</v>
      </c>
      <c r="BY35" s="92">
        <f>+'QTR Raw'!AS20+'QTR Raw'!AS19+'QTR Raw'!AS13+'QTR Raw'!AS7</f>
        <v>0</v>
      </c>
      <c r="BZ35" s="92">
        <f>+'QTR Raw'!AT20+'QTR Raw'!AT19+'QTR Raw'!AT13+'QTR Raw'!AT7</f>
        <v>0</v>
      </c>
      <c r="CA35" s="92">
        <f>+'QTR Raw'!AU20+'QTR Raw'!AU19+'QTR Raw'!AU13+'QTR Raw'!AU7</f>
        <v>0</v>
      </c>
      <c r="CB35" s="92">
        <f>+'QTR Raw'!AV20+'QTR Raw'!AV19+'QTR Raw'!AV13+'QTR Raw'!AV7</f>
        <v>0</v>
      </c>
      <c r="CC35" s="92">
        <f>+'QTR Raw'!AW20+'QTR Raw'!AW19+'QTR Raw'!AW13+'QTR Raw'!AW7</f>
        <v>0</v>
      </c>
      <c r="CD35" s="92">
        <f>+'QTR Raw'!AX20+'QTR Raw'!AX19+'QTR Raw'!AX13+'QTR Raw'!AX7</f>
        <v>0</v>
      </c>
      <c r="CE35" s="92">
        <f>+'QTR Raw'!AY20+'QTR Raw'!AY19+'QTR Raw'!AY13+'QTR Raw'!AY7</f>
        <v>0</v>
      </c>
      <c r="CF35" s="92">
        <f>+'QTR Raw'!AZ20+'QTR Raw'!AZ19+'QTR Raw'!AZ13+'QTR Raw'!AZ7</f>
        <v>0</v>
      </c>
      <c r="CG35" s="92">
        <f>+'QTR Raw'!BA20+'QTR Raw'!BA19+'QTR Raw'!BA13+'QTR Raw'!BA7</f>
        <v>0</v>
      </c>
      <c r="CH35" s="92">
        <f>+'QTR Raw'!BB20+'QTR Raw'!BB19+'QTR Raw'!BB13+'QTR Raw'!BB7</f>
        <v>0</v>
      </c>
      <c r="CI35" s="92">
        <f>+'QTR Raw'!BC20+'QTR Raw'!BC19+'QTR Raw'!BC13+'QTR Raw'!BC7</f>
        <v>0</v>
      </c>
      <c r="CJ35" s="92">
        <f>+'QTR Raw'!BD20+'QTR Raw'!BD19+'QTR Raw'!BD13+'QTR Raw'!BD7</f>
        <v>0</v>
      </c>
      <c r="CK35" s="92">
        <f>+'QTR Raw'!BE20+'QTR Raw'!BE19+'QTR Raw'!BE13+'QTR Raw'!BE7</f>
        <v>0</v>
      </c>
      <c r="CL35" s="92">
        <f>+'QTR Raw'!BF20+'QTR Raw'!BF19+'QTR Raw'!BF13+'QTR Raw'!BF7</f>
        <v>0</v>
      </c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120"/>
      <c r="DF35" s="92">
        <v>0</v>
      </c>
    </row>
    <row r="36" spans="1:110" s="26" customFormat="1" x14ac:dyDescent="0.2">
      <c r="A36" s="26" t="s">
        <v>431</v>
      </c>
      <c r="B36" s="26">
        <f>+B34-B35</f>
        <v>0</v>
      </c>
      <c r="C36" s="26">
        <f>+C34-C35</f>
        <v>0</v>
      </c>
      <c r="D36" s="26">
        <f t="shared" ref="D36:U36" si="122">+D34-D35</f>
        <v>0</v>
      </c>
      <c r="E36" s="26">
        <f t="shared" si="122"/>
        <v>0</v>
      </c>
      <c r="F36" s="26">
        <f t="shared" si="122"/>
        <v>0</v>
      </c>
      <c r="G36" s="26">
        <f t="shared" si="122"/>
        <v>0</v>
      </c>
      <c r="H36" s="26">
        <f t="shared" si="122"/>
        <v>0</v>
      </c>
      <c r="I36" s="26">
        <f t="shared" si="122"/>
        <v>0</v>
      </c>
      <c r="J36" s="26">
        <f t="shared" si="122"/>
        <v>0</v>
      </c>
      <c r="K36" s="26">
        <f t="shared" si="122"/>
        <v>0</v>
      </c>
      <c r="L36" s="26">
        <f t="shared" si="122"/>
        <v>0</v>
      </c>
      <c r="M36" s="26">
        <f t="shared" si="122"/>
        <v>0</v>
      </c>
      <c r="N36" s="26">
        <f t="shared" si="122"/>
        <v>0</v>
      </c>
      <c r="O36" s="26">
        <f t="shared" si="122"/>
        <v>0</v>
      </c>
      <c r="P36" s="26">
        <f t="shared" si="122"/>
        <v>0</v>
      </c>
      <c r="Q36" s="26">
        <f t="shared" si="122"/>
        <v>0</v>
      </c>
      <c r="R36" s="26">
        <f t="shared" si="122"/>
        <v>0</v>
      </c>
      <c r="S36" s="26">
        <f t="shared" si="122"/>
        <v>0</v>
      </c>
      <c r="T36" s="26">
        <f t="shared" si="122"/>
        <v>0</v>
      </c>
      <c r="U36" s="26">
        <f t="shared" si="122"/>
        <v>0</v>
      </c>
      <c r="V36" s="26">
        <f>+V34-V35</f>
        <v>0</v>
      </c>
      <c r="W36" s="26">
        <f>+W34-W35</f>
        <v>0</v>
      </c>
      <c r="X36" s="26">
        <f>+X34-X35</f>
        <v>0</v>
      </c>
      <c r="Y36" s="26">
        <f>+Y34-Y35</f>
        <v>4759.6000000000004</v>
      </c>
      <c r="Z36" s="26">
        <f>+Z34-Z35</f>
        <v>7826.7</v>
      </c>
      <c r="AA36" s="27">
        <f t="shared" ref="AA36" si="123">+AA34-AA35</f>
        <v>10035.447986502464</v>
      </c>
      <c r="AB36" s="27">
        <f t="shared" ref="AB36:AD36" si="124">+AB34-AB35</f>
        <v>11897.237613770352</v>
      </c>
      <c r="AC36" s="27">
        <f t="shared" si="124"/>
        <v>13971.121287648717</v>
      </c>
      <c r="AD36" s="27">
        <f t="shared" si="124"/>
        <v>16375.219899748365</v>
      </c>
      <c r="AE36" s="27">
        <f t="shared" ref="AE36" si="125">+AE34-AE35</f>
        <v>19190.859921872732</v>
      </c>
      <c r="AI36" s="26">
        <f t="shared" ref="AI36" si="126">+AI34-AI35</f>
        <v>0</v>
      </c>
      <c r="AJ36" s="26">
        <f t="shared" ref="AJ36" si="127">+AJ34-AJ35</f>
        <v>0</v>
      </c>
      <c r="AK36" s="26">
        <f t="shared" ref="AK36:AM36" si="128">+AK34-AK35</f>
        <v>0</v>
      </c>
      <c r="AL36" s="26">
        <f t="shared" si="128"/>
        <v>0</v>
      </c>
      <c r="AM36" s="26">
        <f t="shared" si="128"/>
        <v>0</v>
      </c>
      <c r="AN36" s="26">
        <f t="shared" ref="AN36:AO36" si="129">+AN34-AN35</f>
        <v>0</v>
      </c>
      <c r="AO36" s="26">
        <f t="shared" si="129"/>
        <v>0</v>
      </c>
      <c r="AP36" s="26">
        <f t="shared" ref="AP36:AW36" si="130">+AP34-AP35</f>
        <v>0</v>
      </c>
      <c r="AQ36" s="26">
        <f t="shared" si="130"/>
        <v>0</v>
      </c>
      <c r="AR36" s="26">
        <f t="shared" si="130"/>
        <v>0</v>
      </c>
      <c r="AS36" s="26">
        <f t="shared" si="130"/>
        <v>0</v>
      </c>
      <c r="AT36" s="26">
        <f t="shared" si="130"/>
        <v>0</v>
      </c>
      <c r="AU36" s="26">
        <f t="shared" si="130"/>
        <v>0</v>
      </c>
      <c r="AV36" s="26">
        <f t="shared" si="130"/>
        <v>0</v>
      </c>
      <c r="AW36" s="26">
        <f t="shared" si="130"/>
        <v>0</v>
      </c>
      <c r="AX36" s="26">
        <f t="shared" ref="AX36:CF36" si="131">+AX34-AX35</f>
        <v>0</v>
      </c>
      <c r="AY36" s="26">
        <f t="shared" si="131"/>
        <v>0</v>
      </c>
      <c r="AZ36" s="26">
        <f t="shared" si="131"/>
        <v>0</v>
      </c>
      <c r="BA36" s="26">
        <f t="shared" si="131"/>
        <v>0</v>
      </c>
      <c r="BB36" s="26">
        <f t="shared" si="131"/>
        <v>0</v>
      </c>
      <c r="BC36" s="26">
        <f t="shared" si="131"/>
        <v>0</v>
      </c>
      <c r="BD36" s="26">
        <f t="shared" si="131"/>
        <v>0</v>
      </c>
      <c r="BE36" s="26">
        <f t="shared" si="131"/>
        <v>0</v>
      </c>
      <c r="BF36" s="26">
        <f t="shared" si="131"/>
        <v>0</v>
      </c>
      <c r="BG36" s="26">
        <f t="shared" si="131"/>
        <v>0</v>
      </c>
      <c r="BH36" s="26">
        <f t="shared" si="131"/>
        <v>0</v>
      </c>
      <c r="BI36" s="26">
        <f t="shared" si="131"/>
        <v>0</v>
      </c>
      <c r="BJ36" s="26">
        <f t="shared" si="131"/>
        <v>0</v>
      </c>
      <c r="BK36" s="26">
        <f t="shared" si="131"/>
        <v>0</v>
      </c>
      <c r="BL36" s="26">
        <f t="shared" si="131"/>
        <v>0</v>
      </c>
      <c r="BM36" s="26">
        <f t="shared" si="131"/>
        <v>0</v>
      </c>
      <c r="BN36" s="26">
        <f t="shared" si="131"/>
        <v>0</v>
      </c>
      <c r="BO36" s="26">
        <f t="shared" si="131"/>
        <v>0</v>
      </c>
      <c r="BP36" s="26">
        <f t="shared" si="131"/>
        <v>0</v>
      </c>
      <c r="BQ36" s="26">
        <f t="shared" si="131"/>
        <v>0</v>
      </c>
      <c r="BR36" s="26">
        <f t="shared" si="131"/>
        <v>0</v>
      </c>
      <c r="BS36" s="26">
        <f t="shared" si="131"/>
        <v>0</v>
      </c>
      <c r="BT36" s="26">
        <f t="shared" si="131"/>
        <v>0</v>
      </c>
      <c r="BU36" s="26">
        <f t="shared" si="131"/>
        <v>0</v>
      </c>
      <c r="BV36" s="26">
        <f t="shared" si="131"/>
        <v>0</v>
      </c>
      <c r="BW36" s="26">
        <f t="shared" si="131"/>
        <v>0</v>
      </c>
      <c r="BX36" s="26">
        <f t="shared" si="131"/>
        <v>0</v>
      </c>
      <c r="BY36" s="26">
        <f t="shared" si="131"/>
        <v>0</v>
      </c>
      <c r="BZ36" s="26">
        <f t="shared" si="131"/>
        <v>0</v>
      </c>
      <c r="CA36" s="26">
        <f t="shared" si="131"/>
        <v>0</v>
      </c>
      <c r="CB36" s="26">
        <f t="shared" si="131"/>
        <v>0</v>
      </c>
      <c r="CC36" s="26">
        <f t="shared" si="131"/>
        <v>0</v>
      </c>
      <c r="CD36" s="26">
        <f t="shared" si="131"/>
        <v>1196.5999999999999</v>
      </c>
      <c r="CE36" s="26">
        <f t="shared" si="131"/>
        <v>1484.2</v>
      </c>
      <c r="CF36" s="26">
        <f t="shared" si="131"/>
        <v>2078.8000000000002</v>
      </c>
      <c r="CG36" s="26">
        <f t="shared" ref="CG36:CH36" si="132">+CG34-CG35</f>
        <v>1516.9</v>
      </c>
      <c r="CH36" s="26">
        <f t="shared" si="132"/>
        <v>1879.5</v>
      </c>
      <c r="CI36" s="26">
        <f t="shared" ref="CI36:CJ36" si="133">+CI34-CI35</f>
        <v>1784.6</v>
      </c>
      <c r="CJ36" s="26">
        <f t="shared" si="133"/>
        <v>2645.7</v>
      </c>
      <c r="CK36" s="26">
        <f t="shared" ref="CK36:DD36" si="134">+CK34-CK35</f>
        <v>1910.9</v>
      </c>
      <c r="CL36" s="26">
        <f t="shared" ref="CL36" si="135">+CL34-CL35</f>
        <v>2394.1</v>
      </c>
      <c r="CM36" s="27">
        <f t="shared" si="134"/>
        <v>2314.7074524631771</v>
      </c>
      <c r="CN36" s="27">
        <f t="shared" si="134"/>
        <v>3415.740534039287</v>
      </c>
      <c r="CO36" s="27">
        <f t="shared" si="134"/>
        <v>2474.389387051413</v>
      </c>
      <c r="CP36" s="27">
        <f t="shared" si="134"/>
        <v>3086.1019235231015</v>
      </c>
      <c r="CQ36" s="27">
        <f t="shared" si="134"/>
        <v>2573.9885768262484</v>
      </c>
      <c r="CR36" s="27">
        <f t="shared" si="134"/>
        <v>3762.7577263695894</v>
      </c>
      <c r="CS36" s="27">
        <f t="shared" si="134"/>
        <v>2947.7841885612243</v>
      </c>
      <c r="CT36" s="27">
        <f t="shared" si="134"/>
        <v>3628.9721537199521</v>
      </c>
      <c r="CU36" s="27">
        <f t="shared" si="134"/>
        <v>2993.9699771955384</v>
      </c>
      <c r="CV36" s="27">
        <f t="shared" si="134"/>
        <v>4400.3949681720023</v>
      </c>
      <c r="CW36" s="27">
        <f t="shared" si="134"/>
        <v>3470.0816680301491</v>
      </c>
      <c r="CX36" s="27">
        <f t="shared" si="134"/>
        <v>4249.8799681919545</v>
      </c>
      <c r="CY36" s="27">
        <f t="shared" si="134"/>
        <v>3503.9125369663034</v>
      </c>
      <c r="CZ36" s="27">
        <f t="shared" si="134"/>
        <v>5151.3457265599582</v>
      </c>
      <c r="DA36" s="27">
        <f t="shared" si="134"/>
        <v>4075.4344599394235</v>
      </c>
      <c r="DB36" s="27">
        <f t="shared" si="134"/>
        <v>4978.0223370323947</v>
      </c>
      <c r="DC36" s="27">
        <f t="shared" si="134"/>
        <v>4106.1550342886885</v>
      </c>
      <c r="DD36" s="27">
        <f t="shared" si="134"/>
        <v>6031.2480906122273</v>
      </c>
      <c r="DE36" s="121"/>
      <c r="DF36" s="26">
        <v>7826.7</v>
      </c>
    </row>
    <row r="37" spans="1:110" s="39" customFormat="1" x14ac:dyDescent="0.2">
      <c r="A37" s="39" t="s">
        <v>484</v>
      </c>
      <c r="C37" s="39" t="e">
        <f t="shared" ref="C37" si="136">C36/B36-1</f>
        <v>#DIV/0!</v>
      </c>
      <c r="D37" s="39" t="e">
        <f t="shared" ref="D37" si="137">D36/C36-1</f>
        <v>#DIV/0!</v>
      </c>
      <c r="E37" s="39" t="e">
        <f t="shared" ref="E37" si="138">E36/D36-1</f>
        <v>#DIV/0!</v>
      </c>
      <c r="F37" s="39" t="e">
        <f t="shared" ref="F37:R37" si="139">F36/E36-1</f>
        <v>#DIV/0!</v>
      </c>
      <c r="G37" s="39" t="e">
        <f t="shared" si="139"/>
        <v>#DIV/0!</v>
      </c>
      <c r="H37" s="39" t="e">
        <f t="shared" si="139"/>
        <v>#DIV/0!</v>
      </c>
      <c r="I37" s="39" t="e">
        <f t="shared" si="139"/>
        <v>#DIV/0!</v>
      </c>
      <c r="J37" s="39" t="e">
        <f t="shared" si="139"/>
        <v>#DIV/0!</v>
      </c>
      <c r="K37" s="39" t="e">
        <f>K36/J36-1</f>
        <v>#DIV/0!</v>
      </c>
      <c r="L37" s="39" t="e">
        <f t="shared" si="139"/>
        <v>#DIV/0!</v>
      </c>
      <c r="M37" s="39" t="e">
        <f t="shared" si="139"/>
        <v>#DIV/0!</v>
      </c>
      <c r="N37" s="39" t="e">
        <f t="shared" si="139"/>
        <v>#DIV/0!</v>
      </c>
      <c r="O37" s="39" t="e">
        <f t="shared" si="139"/>
        <v>#DIV/0!</v>
      </c>
      <c r="P37" s="39" t="e">
        <f t="shared" si="139"/>
        <v>#DIV/0!</v>
      </c>
      <c r="Q37" s="39" t="e">
        <f t="shared" si="139"/>
        <v>#DIV/0!</v>
      </c>
      <c r="R37" s="39" t="e">
        <f t="shared" si="139"/>
        <v>#DIV/0!</v>
      </c>
      <c r="S37" s="39" t="e">
        <f t="shared" ref="S37:Z37" si="140">S36/R36-1</f>
        <v>#DIV/0!</v>
      </c>
      <c r="T37" s="39" t="e">
        <f t="shared" si="140"/>
        <v>#DIV/0!</v>
      </c>
      <c r="U37" s="39" t="e">
        <f t="shared" si="140"/>
        <v>#DIV/0!</v>
      </c>
      <c r="V37" s="39" t="e">
        <f t="shared" si="140"/>
        <v>#DIV/0!</v>
      </c>
      <c r="W37" s="39" t="e">
        <f t="shared" si="140"/>
        <v>#DIV/0!</v>
      </c>
      <c r="X37" s="39" t="e">
        <f t="shared" si="140"/>
        <v>#DIV/0!</v>
      </c>
      <c r="Y37" s="39" t="e">
        <f t="shared" si="140"/>
        <v>#DIV/0!</v>
      </c>
      <c r="Z37" s="39">
        <f t="shared" si="140"/>
        <v>0.64440289099924342</v>
      </c>
      <c r="AA37" s="40">
        <f t="shared" ref="AA37" si="141">AA36/Z36-1</f>
        <v>0.28220680318684299</v>
      </c>
      <c r="AB37" s="40">
        <f t="shared" ref="AB37" si="142">AB36/AA36-1</f>
        <v>0.18552132697732771</v>
      </c>
      <c r="AC37" s="40">
        <f t="shared" ref="AC37" si="143">AC36/AB36-1</f>
        <v>0.1743164036228011</v>
      </c>
      <c r="AD37" s="40">
        <f t="shared" ref="AD37" si="144">AD36/AC36-1</f>
        <v>0.17207628239724837</v>
      </c>
      <c r="AE37" s="40">
        <f t="shared" ref="AE37" si="145">AE36/AD36-1</f>
        <v>0.17194517321673564</v>
      </c>
      <c r="AM37" s="39" t="e">
        <f t="shared" ref="AM37:CI37" si="146">+IF(AI36&lt;0,1-AM36/AI36,AM36/AI36-1)</f>
        <v>#DIV/0!</v>
      </c>
      <c r="AN37" s="39" t="e">
        <f t="shared" si="146"/>
        <v>#DIV/0!</v>
      </c>
      <c r="AO37" s="39" t="e">
        <f t="shared" si="146"/>
        <v>#DIV/0!</v>
      </c>
      <c r="AP37" s="39" t="e">
        <f t="shared" si="146"/>
        <v>#DIV/0!</v>
      </c>
      <c r="AQ37" s="39" t="e">
        <f t="shared" si="146"/>
        <v>#DIV/0!</v>
      </c>
      <c r="AR37" s="39" t="e">
        <f t="shared" si="146"/>
        <v>#DIV/0!</v>
      </c>
      <c r="AS37" s="39" t="e">
        <f t="shared" si="146"/>
        <v>#DIV/0!</v>
      </c>
      <c r="AT37" s="39" t="e">
        <f t="shared" si="146"/>
        <v>#DIV/0!</v>
      </c>
      <c r="AU37" s="39" t="e">
        <f t="shared" si="146"/>
        <v>#DIV/0!</v>
      </c>
      <c r="AV37" s="39" t="e">
        <f t="shared" si="146"/>
        <v>#DIV/0!</v>
      </c>
      <c r="AW37" s="39" t="e">
        <f t="shared" si="146"/>
        <v>#DIV/0!</v>
      </c>
      <c r="AX37" s="39" t="e">
        <f t="shared" si="146"/>
        <v>#DIV/0!</v>
      </c>
      <c r="AY37" s="39" t="e">
        <f t="shared" si="146"/>
        <v>#DIV/0!</v>
      </c>
      <c r="AZ37" s="39" t="e">
        <f t="shared" si="146"/>
        <v>#DIV/0!</v>
      </c>
      <c r="BA37" s="39" t="e">
        <f t="shared" si="146"/>
        <v>#DIV/0!</v>
      </c>
      <c r="BB37" s="39" t="e">
        <f t="shared" si="146"/>
        <v>#DIV/0!</v>
      </c>
      <c r="BC37" s="39" t="e">
        <f t="shared" si="146"/>
        <v>#DIV/0!</v>
      </c>
      <c r="BD37" s="39" t="e">
        <f t="shared" si="146"/>
        <v>#DIV/0!</v>
      </c>
      <c r="BE37" s="39" t="e">
        <f t="shared" si="146"/>
        <v>#DIV/0!</v>
      </c>
      <c r="BF37" s="39" t="e">
        <f t="shared" si="146"/>
        <v>#DIV/0!</v>
      </c>
      <c r="BG37" s="39" t="e">
        <f t="shared" si="146"/>
        <v>#DIV/0!</v>
      </c>
      <c r="BH37" s="39" t="e">
        <f t="shared" si="146"/>
        <v>#DIV/0!</v>
      </c>
      <c r="BI37" s="39" t="e">
        <f t="shared" si="146"/>
        <v>#DIV/0!</v>
      </c>
      <c r="BJ37" s="39" t="e">
        <f t="shared" si="146"/>
        <v>#DIV/0!</v>
      </c>
      <c r="BK37" s="39" t="e">
        <f t="shared" si="146"/>
        <v>#DIV/0!</v>
      </c>
      <c r="BL37" s="39" t="e">
        <f t="shared" si="146"/>
        <v>#DIV/0!</v>
      </c>
      <c r="BM37" s="39" t="e">
        <f t="shared" si="146"/>
        <v>#DIV/0!</v>
      </c>
      <c r="BN37" s="39" t="e">
        <f t="shared" si="146"/>
        <v>#DIV/0!</v>
      </c>
      <c r="BO37" s="39" t="e">
        <f t="shared" si="146"/>
        <v>#DIV/0!</v>
      </c>
      <c r="BP37" s="39" t="e">
        <f t="shared" si="146"/>
        <v>#DIV/0!</v>
      </c>
      <c r="BQ37" s="39" t="e">
        <f t="shared" si="146"/>
        <v>#DIV/0!</v>
      </c>
      <c r="BR37" s="39" t="e">
        <f t="shared" si="146"/>
        <v>#DIV/0!</v>
      </c>
      <c r="BS37" s="39" t="e">
        <f t="shared" si="146"/>
        <v>#DIV/0!</v>
      </c>
      <c r="BT37" s="39" t="e">
        <f t="shared" si="146"/>
        <v>#DIV/0!</v>
      </c>
      <c r="BU37" s="39" t="e">
        <f t="shared" si="146"/>
        <v>#DIV/0!</v>
      </c>
      <c r="BV37" s="39" t="e">
        <f t="shared" si="146"/>
        <v>#DIV/0!</v>
      </c>
      <c r="BW37" s="39" t="e">
        <f t="shared" si="146"/>
        <v>#DIV/0!</v>
      </c>
      <c r="BX37" s="39" t="e">
        <f t="shared" si="146"/>
        <v>#DIV/0!</v>
      </c>
      <c r="BY37" s="39" t="e">
        <f t="shared" si="146"/>
        <v>#DIV/0!</v>
      </c>
      <c r="BZ37" s="39" t="e">
        <f t="shared" si="146"/>
        <v>#DIV/0!</v>
      </c>
      <c r="CA37" s="39" t="e">
        <f t="shared" si="146"/>
        <v>#DIV/0!</v>
      </c>
      <c r="CB37" s="39" t="e">
        <f t="shared" si="146"/>
        <v>#DIV/0!</v>
      </c>
      <c r="CC37" s="39" t="e">
        <f t="shared" si="146"/>
        <v>#DIV/0!</v>
      </c>
      <c r="CD37" s="39" t="e">
        <f t="shared" si="146"/>
        <v>#DIV/0!</v>
      </c>
      <c r="CE37" s="39" t="e">
        <f t="shared" si="146"/>
        <v>#DIV/0!</v>
      </c>
      <c r="CF37" s="39" t="e">
        <f t="shared" si="146"/>
        <v>#DIV/0!</v>
      </c>
      <c r="CG37" s="39" t="e">
        <f t="shared" si="146"/>
        <v>#DIV/0!</v>
      </c>
      <c r="CH37" s="39">
        <f t="shared" si="146"/>
        <v>0.57070031756643846</v>
      </c>
      <c r="CI37" s="39">
        <f t="shared" si="146"/>
        <v>0.20239859857162101</v>
      </c>
      <c r="CJ37" s="39">
        <f>+IF(CF36&lt;0,1-CJ36/CF36,CJ36/CF36-1)</f>
        <v>0.27270540696555678</v>
      </c>
      <c r="CK37" s="39">
        <f>+IF(CG36&lt;0,1-CK36/CG36,CK36/CG36-1)</f>
        <v>0.25974025974025983</v>
      </c>
      <c r="CL37" s="39">
        <f>+IF(CH36&lt;0,1-CL36/CH36,CL36/CH36-1)</f>
        <v>0.27379622239957424</v>
      </c>
      <c r="CM37" s="40">
        <f t="shared" ref="CM37:DD37" si="147">+IF(CI36&lt;0,1-CM36/CI36,CM36/CI36-1)</f>
        <v>0.29704552978996812</v>
      </c>
      <c r="CN37" s="40">
        <f t="shared" si="147"/>
        <v>0.29105360926759927</v>
      </c>
      <c r="CO37" s="40">
        <f t="shared" si="147"/>
        <v>0.2948816720139269</v>
      </c>
      <c r="CP37" s="40">
        <f t="shared" si="147"/>
        <v>0.2890447030295733</v>
      </c>
      <c r="CQ37" s="40">
        <f t="shared" si="147"/>
        <v>0.11201464102392689</v>
      </c>
      <c r="CR37" s="40">
        <f t="shared" si="147"/>
        <v>0.10159354578374158</v>
      </c>
      <c r="CS37" s="40">
        <f t="shared" si="147"/>
        <v>0.19131782733433411</v>
      </c>
      <c r="CT37" s="40">
        <f t="shared" si="147"/>
        <v>0.17590806903004319</v>
      </c>
      <c r="CU37" s="40">
        <f t="shared" si="147"/>
        <v>0.16316366131163296</v>
      </c>
      <c r="CV37" s="40">
        <f t="shared" si="147"/>
        <v>0.16946008437742877</v>
      </c>
      <c r="CW37" s="40">
        <f t="shared" si="147"/>
        <v>0.17718307924158161</v>
      </c>
      <c r="CX37" s="40">
        <f t="shared" si="147"/>
        <v>0.1710974314960032</v>
      </c>
      <c r="CY37" s="40">
        <f t="shared" si="147"/>
        <v>0.17032320419205726</v>
      </c>
      <c r="CZ37" s="40">
        <f t="shared" si="147"/>
        <v>0.1706553079483939</v>
      </c>
      <c r="DA37" s="40">
        <f t="shared" si="147"/>
        <v>0.17444914841238113</v>
      </c>
      <c r="DB37" s="40">
        <f t="shared" si="147"/>
        <v>0.17133245510230655</v>
      </c>
      <c r="DC37" s="40">
        <f t="shared" si="147"/>
        <v>0.17187714903517781</v>
      </c>
      <c r="DD37" s="40">
        <f t="shared" si="147"/>
        <v>0.17081019422081445</v>
      </c>
      <c r="DE37" s="122"/>
      <c r="DF37" s="39">
        <v>0.64440289099924342</v>
      </c>
    </row>
    <row r="38" spans="1:110" s="39" customFormat="1" x14ac:dyDescent="0.2">
      <c r="A38" s="39" t="s">
        <v>446</v>
      </c>
      <c r="AA38" s="40"/>
      <c r="AB38" s="40"/>
      <c r="AC38" s="40"/>
      <c r="AD38" s="40"/>
      <c r="AE38" s="40"/>
      <c r="AJ38" s="39" t="e">
        <f t="shared" ref="AJ38:AL38" si="148">+IF(AI36&lt;0,1-AJ36/AI36,AJ36/AI36-1)</f>
        <v>#DIV/0!</v>
      </c>
      <c r="AK38" s="39" t="e">
        <f t="shared" si="148"/>
        <v>#DIV/0!</v>
      </c>
      <c r="AL38" s="39" t="e">
        <f t="shared" si="148"/>
        <v>#DIV/0!</v>
      </c>
      <c r="AM38" s="39" t="e">
        <f t="shared" ref="AM38:CI38" si="149">+IF(AL36&lt;0,1-AM36/AL36,AM36/AL36-1)</f>
        <v>#DIV/0!</v>
      </c>
      <c r="AN38" s="39" t="e">
        <f t="shared" si="149"/>
        <v>#DIV/0!</v>
      </c>
      <c r="AO38" s="39" t="e">
        <f t="shared" si="149"/>
        <v>#DIV/0!</v>
      </c>
      <c r="AP38" s="39" t="e">
        <f t="shared" si="149"/>
        <v>#DIV/0!</v>
      </c>
      <c r="AQ38" s="39" t="e">
        <f t="shared" si="149"/>
        <v>#DIV/0!</v>
      </c>
      <c r="AR38" s="39" t="e">
        <f t="shared" si="149"/>
        <v>#DIV/0!</v>
      </c>
      <c r="AS38" s="39" t="e">
        <f t="shared" si="149"/>
        <v>#DIV/0!</v>
      </c>
      <c r="AT38" s="39" t="e">
        <f t="shared" si="149"/>
        <v>#DIV/0!</v>
      </c>
      <c r="AU38" s="39" t="e">
        <f t="shared" si="149"/>
        <v>#DIV/0!</v>
      </c>
      <c r="AV38" s="39" t="e">
        <f t="shared" si="149"/>
        <v>#DIV/0!</v>
      </c>
      <c r="AW38" s="39" t="e">
        <f t="shared" si="149"/>
        <v>#DIV/0!</v>
      </c>
      <c r="AX38" s="39" t="e">
        <f t="shared" si="149"/>
        <v>#DIV/0!</v>
      </c>
      <c r="AY38" s="39" t="e">
        <f t="shared" si="149"/>
        <v>#DIV/0!</v>
      </c>
      <c r="AZ38" s="39" t="e">
        <f t="shared" si="149"/>
        <v>#DIV/0!</v>
      </c>
      <c r="BA38" s="39" t="e">
        <f t="shared" si="149"/>
        <v>#DIV/0!</v>
      </c>
      <c r="BB38" s="39" t="e">
        <f t="shared" si="149"/>
        <v>#DIV/0!</v>
      </c>
      <c r="BC38" s="39" t="e">
        <f t="shared" si="149"/>
        <v>#DIV/0!</v>
      </c>
      <c r="BD38" s="39" t="e">
        <f t="shared" si="149"/>
        <v>#DIV/0!</v>
      </c>
      <c r="BE38" s="39" t="e">
        <f t="shared" si="149"/>
        <v>#DIV/0!</v>
      </c>
      <c r="BF38" s="39" t="e">
        <f t="shared" si="149"/>
        <v>#DIV/0!</v>
      </c>
      <c r="BG38" s="39" t="e">
        <f t="shared" si="149"/>
        <v>#DIV/0!</v>
      </c>
      <c r="BH38" s="39" t="e">
        <f t="shared" si="149"/>
        <v>#DIV/0!</v>
      </c>
      <c r="BI38" s="39" t="e">
        <f t="shared" si="149"/>
        <v>#DIV/0!</v>
      </c>
      <c r="BJ38" s="39" t="e">
        <f t="shared" si="149"/>
        <v>#DIV/0!</v>
      </c>
      <c r="BK38" s="39" t="e">
        <f t="shared" si="149"/>
        <v>#DIV/0!</v>
      </c>
      <c r="BL38" s="39" t="e">
        <f t="shared" si="149"/>
        <v>#DIV/0!</v>
      </c>
      <c r="BM38" s="39" t="e">
        <f t="shared" si="149"/>
        <v>#DIV/0!</v>
      </c>
      <c r="BN38" s="39" t="e">
        <f t="shared" si="149"/>
        <v>#DIV/0!</v>
      </c>
      <c r="BO38" s="39" t="e">
        <f t="shared" si="149"/>
        <v>#DIV/0!</v>
      </c>
      <c r="BP38" s="39" t="e">
        <f t="shared" si="149"/>
        <v>#DIV/0!</v>
      </c>
      <c r="BQ38" s="39" t="e">
        <f t="shared" si="149"/>
        <v>#DIV/0!</v>
      </c>
      <c r="BR38" s="39" t="e">
        <f t="shared" si="149"/>
        <v>#DIV/0!</v>
      </c>
      <c r="BS38" s="39" t="e">
        <f t="shared" si="149"/>
        <v>#DIV/0!</v>
      </c>
      <c r="BT38" s="39" t="e">
        <f t="shared" si="149"/>
        <v>#DIV/0!</v>
      </c>
      <c r="BU38" s="39" t="e">
        <f t="shared" si="149"/>
        <v>#DIV/0!</v>
      </c>
      <c r="BV38" s="39" t="e">
        <f t="shared" si="149"/>
        <v>#DIV/0!</v>
      </c>
      <c r="BW38" s="39" t="e">
        <f t="shared" si="149"/>
        <v>#DIV/0!</v>
      </c>
      <c r="BX38" s="39" t="e">
        <f t="shared" si="149"/>
        <v>#DIV/0!</v>
      </c>
      <c r="BY38" s="39" t="e">
        <f t="shared" si="149"/>
        <v>#DIV/0!</v>
      </c>
      <c r="BZ38" s="39" t="e">
        <f t="shared" si="149"/>
        <v>#DIV/0!</v>
      </c>
      <c r="CA38" s="39" t="e">
        <f t="shared" si="149"/>
        <v>#DIV/0!</v>
      </c>
      <c r="CB38" s="39" t="e">
        <f t="shared" si="149"/>
        <v>#DIV/0!</v>
      </c>
      <c r="CC38" s="39" t="e">
        <f t="shared" si="149"/>
        <v>#DIV/0!</v>
      </c>
      <c r="CD38" s="39" t="e">
        <f t="shared" si="149"/>
        <v>#DIV/0!</v>
      </c>
      <c r="CE38" s="39">
        <f t="shared" si="149"/>
        <v>0.24034765167975936</v>
      </c>
      <c r="CF38" s="39">
        <f t="shared" si="149"/>
        <v>0.40061986255221682</v>
      </c>
      <c r="CG38" s="39">
        <f t="shared" si="149"/>
        <v>-0.27030017317683286</v>
      </c>
      <c r="CH38" s="39">
        <f t="shared" si="149"/>
        <v>0.23904014766958914</v>
      </c>
      <c r="CI38" s="39">
        <f t="shared" si="149"/>
        <v>-5.0492152168129856E-2</v>
      </c>
      <c r="CJ38" s="39">
        <f>+IF(CI36&lt;0,1-CJ36/CI36,CJ36/CI36-1)</f>
        <v>0.4825170906645746</v>
      </c>
      <c r="CK38" s="39">
        <f>+IF(CJ36&lt;0,1-CK36/CJ36,CK36/CJ36-1)</f>
        <v>-0.27773368106739227</v>
      </c>
      <c r="CL38" s="39">
        <f>+IF(CK36&lt;0,1-CL36/CK36,CL36/CK36-1)</f>
        <v>0.25286514207964816</v>
      </c>
      <c r="CM38" s="40">
        <f t="shared" ref="CM38:DD38" si="150">+IF(CL36&lt;0,1-CM36/CL36,CM36/CL36-1)</f>
        <v>-3.3161750777671251E-2</v>
      </c>
      <c r="CN38" s="40">
        <f t="shared" si="150"/>
        <v>0.47566835299400556</v>
      </c>
      <c r="CO38" s="40">
        <f t="shared" si="150"/>
        <v>-0.27559211175641563</v>
      </c>
      <c r="CP38" s="40">
        <f t="shared" si="150"/>
        <v>0.24721757200900019</v>
      </c>
      <c r="CQ38" s="40">
        <f t="shared" si="150"/>
        <v>-0.16594181248305084</v>
      </c>
      <c r="CR38" s="40">
        <f t="shared" si="150"/>
        <v>0.46183932603504574</v>
      </c>
      <c r="CS38" s="40">
        <f t="shared" si="150"/>
        <v>-0.21658942644566004</v>
      </c>
      <c r="CT38" s="40">
        <f t="shared" si="150"/>
        <v>0.23108474758839348</v>
      </c>
      <c r="CU38" s="40">
        <f t="shared" si="150"/>
        <v>-0.17498127558611654</v>
      </c>
      <c r="CV38" s="40">
        <f t="shared" si="150"/>
        <v>0.4697525364946602</v>
      </c>
      <c r="CW38" s="40">
        <f t="shared" si="150"/>
        <v>-0.21141586309201721</v>
      </c>
      <c r="CX38" s="40">
        <f t="shared" si="150"/>
        <v>0.22472044601891783</v>
      </c>
      <c r="CY38" s="40">
        <f t="shared" si="150"/>
        <v>-0.17552670588553387</v>
      </c>
      <c r="CZ38" s="40">
        <f t="shared" si="150"/>
        <v>0.47016960960447007</v>
      </c>
      <c r="DA38" s="40">
        <f t="shared" si="150"/>
        <v>-0.20886023259382802</v>
      </c>
      <c r="DB38" s="40">
        <f t="shared" si="150"/>
        <v>0.22147034530065457</v>
      </c>
      <c r="DC38" s="40">
        <f t="shared" si="150"/>
        <v>-0.17514330867053973</v>
      </c>
      <c r="DD38" s="40">
        <f t="shared" si="150"/>
        <v>0.46883106951586972</v>
      </c>
      <c r="DE38" s="122"/>
    </row>
    <row r="39" spans="1:110" s="23" customFormat="1" outlineLevel="1" x14ac:dyDescent="0.2">
      <c r="A39" s="23" t="s">
        <v>2</v>
      </c>
      <c r="B39" s="23">
        <f>'Annual Raw'!C11</f>
        <v>0</v>
      </c>
      <c r="C39" s="23">
        <f>'Annual Raw'!D11</f>
        <v>0</v>
      </c>
      <c r="D39" s="23">
        <f>'Annual Raw'!E11</f>
        <v>0</v>
      </c>
      <c r="E39" s="23">
        <f>'Annual Raw'!F11</f>
        <v>0</v>
      </c>
      <c r="F39" s="23">
        <f>'Annual Raw'!G11</f>
        <v>0</v>
      </c>
      <c r="G39" s="23">
        <f>'Annual Raw'!H11</f>
        <v>0</v>
      </c>
      <c r="H39" s="23">
        <f>'Annual Raw'!I11</f>
        <v>0</v>
      </c>
      <c r="I39" s="23">
        <f>'Annual Raw'!J11</f>
        <v>0</v>
      </c>
      <c r="J39" s="23">
        <f>'Annual Raw'!K11</f>
        <v>0</v>
      </c>
      <c r="K39" s="23">
        <f>'Annual Raw'!L11</f>
        <v>0</v>
      </c>
      <c r="L39" s="23">
        <f>'Annual Raw'!M11</f>
        <v>0</v>
      </c>
      <c r="M39" s="23">
        <f>'Annual Raw'!N11</f>
        <v>0</v>
      </c>
      <c r="N39" s="23">
        <f>'Annual Raw'!O11</f>
        <v>0</v>
      </c>
      <c r="O39" s="23">
        <f>'Annual Raw'!P11</f>
        <v>0</v>
      </c>
      <c r="P39" s="23">
        <f>'Annual Raw'!Q11</f>
        <v>0</v>
      </c>
      <c r="Q39" s="23">
        <f>'Annual Raw'!R11</f>
        <v>0</v>
      </c>
      <c r="R39" s="23">
        <f>'Annual Raw'!S11</f>
        <v>0</v>
      </c>
      <c r="S39" s="23">
        <f>'Annual Raw'!T11</f>
        <v>0</v>
      </c>
      <c r="T39" s="23">
        <f>'Annual Raw'!U11</f>
        <v>0</v>
      </c>
      <c r="U39" s="23">
        <f>'Annual Raw'!V11</f>
        <v>0</v>
      </c>
      <c r="V39" s="23">
        <f>'Annual Raw'!W11</f>
        <v>0</v>
      </c>
      <c r="W39" s="23">
        <f>'Annual Raw'!X11</f>
        <v>0</v>
      </c>
      <c r="X39" s="23">
        <f>'Annual Raw'!Y11</f>
        <v>0</v>
      </c>
      <c r="Y39" s="23">
        <f>'Annual Raw'!Z11</f>
        <v>-105.1</v>
      </c>
      <c r="Z39" s="23">
        <f>'Annual Raw'!AA11</f>
        <v>49</v>
      </c>
      <c r="AA39" s="17">
        <f t="shared" ref="AA39:AA41" si="151">SUM(CK39:CN39)</f>
        <v>-84</v>
      </c>
      <c r="AB39" s="17">
        <f t="shared" ref="AB39:AB41" si="152">+SUM(CO39:CR39)</f>
        <v>0</v>
      </c>
      <c r="AC39" s="17">
        <f t="shared" ref="AC39:AC41" si="153">+SUM(CS39:CV39)</f>
        <v>0</v>
      </c>
      <c r="AD39" s="17">
        <f t="shared" ref="AD39:AD41" si="154">+SUM(CW39:CZ39)</f>
        <v>0</v>
      </c>
      <c r="AE39" s="17">
        <f t="shared" ref="AE39:AE41" si="155">+SUM(DA39:DD39)</f>
        <v>0</v>
      </c>
      <c r="AI39" s="23">
        <f>'QTR Raw'!C10</f>
        <v>0</v>
      </c>
      <c r="AJ39" s="23">
        <f>'QTR Raw'!D10</f>
        <v>0</v>
      </c>
      <c r="AK39" s="23">
        <f>'QTR Raw'!E10</f>
        <v>0</v>
      </c>
      <c r="AL39" s="23">
        <f>'QTR Raw'!F10</f>
        <v>0</v>
      </c>
      <c r="AM39" s="23">
        <f>'QTR Raw'!G10</f>
        <v>0</v>
      </c>
      <c r="AN39" s="23">
        <f>'QTR Raw'!H10</f>
        <v>0</v>
      </c>
      <c r="AO39" s="23">
        <f>'QTR Raw'!I10</f>
        <v>0</v>
      </c>
      <c r="AP39" s="23">
        <f>'QTR Raw'!J10</f>
        <v>0</v>
      </c>
      <c r="AQ39" s="23">
        <f>'QTR Raw'!K10</f>
        <v>0</v>
      </c>
      <c r="AR39" s="23">
        <f>'QTR Raw'!L10</f>
        <v>0</v>
      </c>
      <c r="AS39" s="23">
        <f>'QTR Raw'!M10</f>
        <v>0</v>
      </c>
      <c r="AT39" s="23">
        <f>'QTR Raw'!N10</f>
        <v>0</v>
      </c>
      <c r="AU39" s="23">
        <f>'QTR Raw'!O10</f>
        <v>0</v>
      </c>
      <c r="AV39" s="23">
        <f>'QTR Raw'!P10</f>
        <v>0</v>
      </c>
      <c r="AW39" s="23">
        <f>'QTR Raw'!Q10</f>
        <v>0</v>
      </c>
      <c r="AX39" s="23">
        <f>'QTR Raw'!R10</f>
        <v>0</v>
      </c>
      <c r="AY39" s="23">
        <f>'QTR Raw'!S10</f>
        <v>0</v>
      </c>
      <c r="AZ39" s="23">
        <f>'QTR Raw'!T10</f>
        <v>0</v>
      </c>
      <c r="BA39" s="23">
        <f>'QTR Raw'!U10</f>
        <v>0</v>
      </c>
      <c r="BB39" s="23">
        <f>'QTR Raw'!V10</f>
        <v>0</v>
      </c>
      <c r="BC39" s="23">
        <f>'QTR Raw'!W10</f>
        <v>0</v>
      </c>
      <c r="BD39" s="23">
        <f>'QTR Raw'!X10</f>
        <v>0</v>
      </c>
      <c r="BE39" s="23">
        <f>'QTR Raw'!Y10</f>
        <v>0</v>
      </c>
      <c r="BF39" s="23">
        <f>'QTR Raw'!Z10</f>
        <v>0</v>
      </c>
      <c r="BG39" s="23">
        <f>'QTR Raw'!AA10</f>
        <v>0</v>
      </c>
      <c r="BH39" s="23">
        <f>'QTR Raw'!AB10</f>
        <v>0</v>
      </c>
      <c r="BI39" s="23">
        <f>'QTR Raw'!AC10</f>
        <v>0</v>
      </c>
      <c r="BJ39" s="23">
        <f>'QTR Raw'!AD10</f>
        <v>0</v>
      </c>
      <c r="BK39" s="23">
        <f>'QTR Raw'!AE10</f>
        <v>0</v>
      </c>
      <c r="BL39" s="23">
        <f>'QTR Raw'!AF10</f>
        <v>0</v>
      </c>
      <c r="BM39" s="23">
        <f>'QTR Raw'!AG10</f>
        <v>0</v>
      </c>
      <c r="BN39" s="23">
        <f>'QTR Raw'!AH10</f>
        <v>0</v>
      </c>
      <c r="BO39" s="23">
        <f>'QTR Raw'!AI10</f>
        <v>0</v>
      </c>
      <c r="BP39" s="23">
        <f>'QTR Raw'!AJ10</f>
        <v>0</v>
      </c>
      <c r="BQ39" s="23">
        <f>'QTR Raw'!AK10</f>
        <v>0</v>
      </c>
      <c r="BR39" s="23">
        <f>'QTR Raw'!AL10</f>
        <v>0</v>
      </c>
      <c r="BS39" s="23">
        <f>'QTR Raw'!AM10</f>
        <v>0</v>
      </c>
      <c r="BT39" s="23">
        <f>'QTR Raw'!AN10</f>
        <v>0</v>
      </c>
      <c r="BU39" s="23">
        <f>'QTR Raw'!AO10</f>
        <v>0</v>
      </c>
      <c r="BV39" s="23">
        <f>'QTR Raw'!AP10</f>
        <v>0</v>
      </c>
      <c r="BW39" s="23">
        <f>'QTR Raw'!AQ10</f>
        <v>0</v>
      </c>
      <c r="BX39" s="23">
        <f>'QTR Raw'!AR10</f>
        <v>0</v>
      </c>
      <c r="BY39" s="23">
        <f>'QTR Raw'!AS10</f>
        <v>0</v>
      </c>
      <c r="BZ39" s="23">
        <f>'QTR Raw'!AT10</f>
        <v>0</v>
      </c>
      <c r="CA39" s="23">
        <f>'QTR Raw'!AU10</f>
        <v>0</v>
      </c>
      <c r="CB39" s="23">
        <f>'QTR Raw'!AV10</f>
        <v>0</v>
      </c>
      <c r="CC39" s="23">
        <f>'QTR Raw'!AW10</f>
        <v>0</v>
      </c>
      <c r="CD39" s="23">
        <f>'QTR Raw'!AX10</f>
        <v>19.8</v>
      </c>
      <c r="CE39" s="23">
        <f>'QTR Raw'!AY10</f>
        <v>-78.3</v>
      </c>
      <c r="CF39" s="23">
        <f>'QTR Raw'!AZ10</f>
        <v>-46.6</v>
      </c>
      <c r="CG39" s="23">
        <f>'QTR Raw'!BA10</f>
        <v>100</v>
      </c>
      <c r="CH39" s="23">
        <f>'QTR Raw'!BB10</f>
        <v>-18.5</v>
      </c>
      <c r="CI39" s="23">
        <f>'QTR Raw'!BC10</f>
        <v>-14.6</v>
      </c>
      <c r="CJ39" s="23">
        <f>'QTR Raw'!BD10</f>
        <v>-17.899999999999999</v>
      </c>
      <c r="CK39" s="23">
        <f>'QTR Raw'!BE10</f>
        <v>-28.2</v>
      </c>
      <c r="CL39" s="23">
        <f>'QTR Raw'!BF10</f>
        <v>-55.8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123"/>
      <c r="DF39" s="23">
        <v>49</v>
      </c>
    </row>
    <row r="40" spans="1:110" s="23" customFormat="1" outlineLevel="1" x14ac:dyDescent="0.2">
      <c r="A40" s="23" t="s">
        <v>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17">
        <f t="shared" si="151"/>
        <v>198.9</v>
      </c>
      <c r="AB40" s="17">
        <f t="shared" si="152"/>
        <v>0</v>
      </c>
      <c r="AC40" s="17">
        <f t="shared" si="153"/>
        <v>0</v>
      </c>
      <c r="AD40" s="17">
        <f t="shared" si="154"/>
        <v>0</v>
      </c>
      <c r="AE40" s="17">
        <f t="shared" si="155"/>
        <v>0</v>
      </c>
      <c r="AI40" s="23">
        <f>'QTR Raw'!C12</f>
        <v>0</v>
      </c>
      <c r="AJ40" s="23">
        <f>'QTR Raw'!D12</f>
        <v>0</v>
      </c>
      <c r="AK40" s="23">
        <f>'QTR Raw'!E12</f>
        <v>0</v>
      </c>
      <c r="AL40" s="23">
        <f>'QTR Raw'!F12</f>
        <v>0</v>
      </c>
      <c r="AM40" s="23">
        <f>'QTR Raw'!G12</f>
        <v>0</v>
      </c>
      <c r="AN40" s="23">
        <f>'QTR Raw'!H12</f>
        <v>0</v>
      </c>
      <c r="AO40" s="23">
        <f>'QTR Raw'!I12</f>
        <v>0</v>
      </c>
      <c r="AP40" s="23">
        <f>'QTR Raw'!J12</f>
        <v>0</v>
      </c>
      <c r="AQ40" s="23">
        <f>'QTR Raw'!K12</f>
        <v>0</v>
      </c>
      <c r="AR40" s="23">
        <f>'QTR Raw'!L12</f>
        <v>0</v>
      </c>
      <c r="AS40" s="23">
        <f>'QTR Raw'!M12</f>
        <v>0</v>
      </c>
      <c r="AT40" s="23">
        <f>'QTR Raw'!N12</f>
        <v>0</v>
      </c>
      <c r="AU40" s="23">
        <f>'QTR Raw'!O12</f>
        <v>0</v>
      </c>
      <c r="AV40" s="23">
        <f>'QTR Raw'!P12</f>
        <v>0</v>
      </c>
      <c r="AW40" s="23">
        <f>'QTR Raw'!Q12</f>
        <v>0</v>
      </c>
      <c r="AX40" s="23">
        <f>'QTR Raw'!R12</f>
        <v>0</v>
      </c>
      <c r="AY40" s="23">
        <f>'QTR Raw'!S12</f>
        <v>0</v>
      </c>
      <c r="AZ40" s="23">
        <f>'QTR Raw'!T12</f>
        <v>0</v>
      </c>
      <c r="BA40" s="23">
        <f>'QTR Raw'!U12</f>
        <v>0</v>
      </c>
      <c r="BB40" s="23">
        <f>'QTR Raw'!V12</f>
        <v>0</v>
      </c>
      <c r="BC40" s="23">
        <f>'QTR Raw'!W12</f>
        <v>0</v>
      </c>
      <c r="BD40" s="23">
        <f>'QTR Raw'!X12</f>
        <v>0</v>
      </c>
      <c r="BE40" s="23">
        <f>'QTR Raw'!Y12</f>
        <v>0</v>
      </c>
      <c r="BF40" s="23">
        <f>'QTR Raw'!Z12</f>
        <v>0</v>
      </c>
      <c r="BG40" s="23">
        <f>'QTR Raw'!AA12</f>
        <v>0</v>
      </c>
      <c r="BH40" s="23">
        <f>'QTR Raw'!AB12</f>
        <v>0</v>
      </c>
      <c r="BI40" s="23">
        <f>'QTR Raw'!AC12</f>
        <v>0</v>
      </c>
      <c r="BJ40" s="23">
        <f>'QTR Raw'!AD12</f>
        <v>0</v>
      </c>
      <c r="BK40" s="23">
        <f>'QTR Raw'!AE12</f>
        <v>0</v>
      </c>
      <c r="BL40" s="23">
        <f>'QTR Raw'!AF12</f>
        <v>0</v>
      </c>
      <c r="BM40" s="23">
        <f>'QTR Raw'!AG12</f>
        <v>0</v>
      </c>
      <c r="BN40" s="23">
        <f>'QTR Raw'!AH12</f>
        <v>0</v>
      </c>
      <c r="BO40" s="23">
        <f>'QTR Raw'!AI12</f>
        <v>0</v>
      </c>
      <c r="BP40" s="23">
        <f>'QTR Raw'!AJ12</f>
        <v>0</v>
      </c>
      <c r="BQ40" s="23">
        <f>'QTR Raw'!AK12</f>
        <v>0</v>
      </c>
      <c r="BR40" s="23">
        <f>'QTR Raw'!AL12</f>
        <v>0</v>
      </c>
      <c r="BS40" s="23">
        <f>'QTR Raw'!AM12</f>
        <v>0</v>
      </c>
      <c r="BT40" s="23">
        <f>'QTR Raw'!AN12</f>
        <v>0</v>
      </c>
      <c r="BU40" s="23">
        <f>'QTR Raw'!AO12</f>
        <v>0</v>
      </c>
      <c r="BV40" s="23">
        <f>'QTR Raw'!AP12</f>
        <v>0</v>
      </c>
      <c r="BW40" s="23">
        <f>'QTR Raw'!AQ12</f>
        <v>0</v>
      </c>
      <c r="BX40" s="23">
        <f>'QTR Raw'!AR12</f>
        <v>0</v>
      </c>
      <c r="BY40" s="23">
        <f>'QTR Raw'!AS12</f>
        <v>0</v>
      </c>
      <c r="BZ40" s="23">
        <f>'QTR Raw'!AT12</f>
        <v>0</v>
      </c>
      <c r="CA40" s="23">
        <f>'QTR Raw'!AU12</f>
        <v>0</v>
      </c>
      <c r="CB40" s="23">
        <f>'QTR Raw'!AV12</f>
        <v>0</v>
      </c>
      <c r="CC40" s="23">
        <f>'QTR Raw'!AW12</f>
        <v>0</v>
      </c>
      <c r="CD40" s="23">
        <f>'QTR Raw'!AX12</f>
        <v>33</v>
      </c>
      <c r="CE40" s="23">
        <f>'QTR Raw'!AY12</f>
        <v>99.1</v>
      </c>
      <c r="CF40" s="23">
        <f>'QTR Raw'!AZ12</f>
        <v>198.2</v>
      </c>
      <c r="CG40" s="23">
        <f>'QTR Raw'!BA12</f>
        <v>149</v>
      </c>
      <c r="CH40" s="23">
        <f>'QTR Raw'!BB12</f>
        <v>97</v>
      </c>
      <c r="CI40" s="23">
        <f>'QTR Raw'!BC12</f>
        <v>82.9</v>
      </c>
      <c r="CJ40" s="23">
        <f>'QTR Raw'!BD12</f>
        <v>122.1</v>
      </c>
      <c r="CK40" s="23">
        <f>'QTR Raw'!BE12</f>
        <v>117.7</v>
      </c>
      <c r="CL40" s="23">
        <f>'QTR Raw'!BF12</f>
        <v>81.2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123"/>
      <c r="DF40" s="23">
        <v>0</v>
      </c>
    </row>
    <row r="41" spans="1:110" s="23" customFormat="1" outlineLevel="1" x14ac:dyDescent="0.2">
      <c r="A41" s="23" t="s">
        <v>4</v>
      </c>
      <c r="B41" s="23">
        <f>'Annual Raw'!C12</f>
        <v>0</v>
      </c>
      <c r="C41" s="23">
        <f>'Annual Raw'!D12</f>
        <v>0</v>
      </c>
      <c r="D41" s="23">
        <f>'Annual Raw'!E12</f>
        <v>0</v>
      </c>
      <c r="E41" s="23">
        <f>'Annual Raw'!F12</f>
        <v>0</v>
      </c>
      <c r="F41" s="23">
        <f>'Annual Raw'!G12</f>
        <v>0</v>
      </c>
      <c r="G41" s="23">
        <f>'Annual Raw'!H12</f>
        <v>0</v>
      </c>
      <c r="H41" s="23">
        <f>'Annual Raw'!I12</f>
        <v>0</v>
      </c>
      <c r="I41" s="23">
        <f>'Annual Raw'!J12</f>
        <v>0</v>
      </c>
      <c r="J41" s="23">
        <f>'Annual Raw'!K12</f>
        <v>0</v>
      </c>
      <c r="K41" s="23">
        <f>'Annual Raw'!L12</f>
        <v>0</v>
      </c>
      <c r="L41" s="23">
        <f>'Annual Raw'!M12</f>
        <v>0</v>
      </c>
      <c r="M41" s="23">
        <f>'Annual Raw'!N12</f>
        <v>0</v>
      </c>
      <c r="N41" s="23">
        <f>'Annual Raw'!O12</f>
        <v>0</v>
      </c>
      <c r="O41" s="23">
        <f>'Annual Raw'!P12</f>
        <v>0</v>
      </c>
      <c r="P41" s="23">
        <f>'Annual Raw'!Q12</f>
        <v>0</v>
      </c>
      <c r="Q41" s="23">
        <f>'Annual Raw'!R12</f>
        <v>0</v>
      </c>
      <c r="R41" s="23">
        <f>'Annual Raw'!S12</f>
        <v>0</v>
      </c>
      <c r="S41" s="23">
        <f>'Annual Raw'!T12</f>
        <v>0</v>
      </c>
      <c r="T41" s="23">
        <f>'Annual Raw'!U12</f>
        <v>0</v>
      </c>
      <c r="U41" s="23">
        <f>'Annual Raw'!V12</f>
        <v>0</v>
      </c>
      <c r="V41" s="23">
        <f>'Annual Raw'!W12</f>
        <v>0</v>
      </c>
      <c r="W41" s="23">
        <f>'Annual Raw'!X12</f>
        <v>0</v>
      </c>
      <c r="X41" s="23">
        <f>'Annual Raw'!Y12</f>
        <v>0</v>
      </c>
      <c r="Y41" s="23">
        <f>'Annual Raw'!Z12</f>
        <v>1304.3</v>
      </c>
      <c r="Z41" s="23">
        <f>'Annual Raw'!AA12</f>
        <v>2131.8000000000002</v>
      </c>
      <c r="AA41" s="17">
        <f t="shared" si="151"/>
        <v>2052.8669058057912</v>
      </c>
      <c r="AB41" s="17">
        <f t="shared" si="152"/>
        <v>2660.9833677813976</v>
      </c>
      <c r="AC41" s="17">
        <f t="shared" si="153"/>
        <v>3129.9238548391813</v>
      </c>
      <c r="AD41" s="17">
        <f t="shared" si="154"/>
        <v>3669.8691345075804</v>
      </c>
      <c r="AE41" s="17">
        <f t="shared" si="155"/>
        <v>4301.1471738530827</v>
      </c>
      <c r="AI41" s="23">
        <f>'QTR Raw'!C11</f>
        <v>0</v>
      </c>
      <c r="AJ41" s="23">
        <f>'QTR Raw'!D11</f>
        <v>0</v>
      </c>
      <c r="AK41" s="23">
        <f>'QTR Raw'!E11</f>
        <v>0</v>
      </c>
      <c r="AL41" s="23">
        <f>'QTR Raw'!F11</f>
        <v>0</v>
      </c>
      <c r="AM41" s="23">
        <f>'QTR Raw'!G11</f>
        <v>0</v>
      </c>
      <c r="AN41" s="23">
        <f>'QTR Raw'!H11</f>
        <v>0</v>
      </c>
      <c r="AO41" s="23">
        <f>'QTR Raw'!I11</f>
        <v>0</v>
      </c>
      <c r="AP41" s="23">
        <f>'QTR Raw'!J11</f>
        <v>0</v>
      </c>
      <c r="AQ41" s="23">
        <f>'QTR Raw'!K11</f>
        <v>0</v>
      </c>
      <c r="AR41" s="23">
        <f>'QTR Raw'!L11</f>
        <v>0</v>
      </c>
      <c r="AS41" s="23">
        <f>'QTR Raw'!M11</f>
        <v>0</v>
      </c>
      <c r="AT41" s="23">
        <f>'QTR Raw'!N11</f>
        <v>0</v>
      </c>
      <c r="AU41" s="23">
        <f>'QTR Raw'!O11</f>
        <v>0</v>
      </c>
      <c r="AV41" s="23">
        <f>'QTR Raw'!P11</f>
        <v>0</v>
      </c>
      <c r="AW41" s="23">
        <f>'QTR Raw'!Q11</f>
        <v>0</v>
      </c>
      <c r="AX41" s="23">
        <f>'QTR Raw'!R11</f>
        <v>0</v>
      </c>
      <c r="AY41" s="23">
        <f>'QTR Raw'!S11</f>
        <v>0</v>
      </c>
      <c r="AZ41" s="23">
        <f>'QTR Raw'!T11</f>
        <v>0</v>
      </c>
      <c r="BA41" s="23">
        <f>'QTR Raw'!U11</f>
        <v>0</v>
      </c>
      <c r="BB41" s="23">
        <f>'QTR Raw'!V11</f>
        <v>0</v>
      </c>
      <c r="BC41" s="23">
        <f>'QTR Raw'!W11</f>
        <v>0</v>
      </c>
      <c r="BD41" s="23">
        <f>'QTR Raw'!X11</f>
        <v>0</v>
      </c>
      <c r="BE41" s="23">
        <f>'QTR Raw'!Y11</f>
        <v>0</v>
      </c>
      <c r="BF41" s="23">
        <f>'QTR Raw'!Z11</f>
        <v>0</v>
      </c>
      <c r="BG41" s="23">
        <f>'QTR Raw'!AA11</f>
        <v>0</v>
      </c>
      <c r="BH41" s="23">
        <f>'QTR Raw'!AB11</f>
        <v>0</v>
      </c>
      <c r="BI41" s="23">
        <f>'QTR Raw'!AC11</f>
        <v>0</v>
      </c>
      <c r="BJ41" s="23">
        <f>'QTR Raw'!AD11</f>
        <v>0</v>
      </c>
      <c r="BK41" s="23">
        <f>'QTR Raw'!AE11</f>
        <v>0</v>
      </c>
      <c r="BL41" s="23">
        <f>'QTR Raw'!AF11</f>
        <v>0</v>
      </c>
      <c r="BM41" s="23">
        <f>'QTR Raw'!AG11</f>
        <v>0</v>
      </c>
      <c r="BN41" s="23">
        <f>'QTR Raw'!AH11</f>
        <v>0</v>
      </c>
      <c r="BO41" s="23">
        <f>'QTR Raw'!AI11</f>
        <v>0</v>
      </c>
      <c r="BP41" s="23">
        <f>'QTR Raw'!AJ11</f>
        <v>0</v>
      </c>
      <c r="BQ41" s="23">
        <f>'QTR Raw'!AK11</f>
        <v>0</v>
      </c>
      <c r="BR41" s="23">
        <f>'QTR Raw'!AL11</f>
        <v>0</v>
      </c>
      <c r="BS41" s="23">
        <f>'QTR Raw'!AM11</f>
        <v>0</v>
      </c>
      <c r="BT41" s="23">
        <f>'QTR Raw'!AN11</f>
        <v>0</v>
      </c>
      <c r="BU41" s="23">
        <f>'QTR Raw'!AO11</f>
        <v>0</v>
      </c>
      <c r="BV41" s="23">
        <f>'QTR Raw'!AP11</f>
        <v>0</v>
      </c>
      <c r="BW41" s="23">
        <f>'QTR Raw'!AQ11</f>
        <v>0</v>
      </c>
      <c r="BX41" s="23">
        <f>'QTR Raw'!AR11</f>
        <v>0</v>
      </c>
      <c r="BY41" s="23">
        <f>'QTR Raw'!AS11</f>
        <v>0</v>
      </c>
      <c r="BZ41" s="23">
        <f>'QTR Raw'!AT11</f>
        <v>0</v>
      </c>
      <c r="CA41" s="23">
        <f>'QTR Raw'!AU11</f>
        <v>0</v>
      </c>
      <c r="CB41" s="23">
        <f>'QTR Raw'!AV11</f>
        <v>0</v>
      </c>
      <c r="CC41" s="23">
        <f>'QTR Raw'!AW11</f>
        <v>0</v>
      </c>
      <c r="CD41" s="23">
        <f>'QTR Raw'!AX11</f>
        <v>244.2</v>
      </c>
      <c r="CE41" s="23">
        <f>'QTR Raw'!AY11</f>
        <v>340.4</v>
      </c>
      <c r="CF41" s="23">
        <f>'QTR Raw'!AZ11</f>
        <v>389.4</v>
      </c>
      <c r="CG41" s="23">
        <f>'QTR Raw'!BA11</f>
        <v>235.7</v>
      </c>
      <c r="CH41" s="23">
        <f>'QTR Raw'!BB11</f>
        <v>484.3</v>
      </c>
      <c r="CI41" s="23">
        <f>'QTR Raw'!BC11</f>
        <v>471.2</v>
      </c>
      <c r="CJ41" s="23">
        <f>'QTR Raw'!BD11</f>
        <v>489.6</v>
      </c>
      <c r="CK41" s="23">
        <f>'QTR Raw'!BE11</f>
        <v>377.9</v>
      </c>
      <c r="CL41" s="23">
        <f>'QTR Raw'!BF11</f>
        <v>352.5</v>
      </c>
      <c r="CM41" s="24">
        <f t="shared" ref="CM41:DB41" si="156">+CM36-CM42</f>
        <v>555.47165587887935</v>
      </c>
      <c r="CN41" s="24">
        <f t="shared" si="156"/>
        <v>766.99524992691204</v>
      </c>
      <c r="CO41" s="24">
        <f t="shared" si="156"/>
        <v>555.68331964850904</v>
      </c>
      <c r="CP41" s="24">
        <f t="shared" si="156"/>
        <v>677.76432885684153</v>
      </c>
      <c r="CQ41" s="24">
        <f t="shared" si="156"/>
        <v>584.75508454967621</v>
      </c>
      <c r="CR41" s="24">
        <f t="shared" si="156"/>
        <v>842.78063472637086</v>
      </c>
      <c r="CS41" s="24">
        <f t="shared" si="156"/>
        <v>659.8248443225034</v>
      </c>
      <c r="CT41" s="24">
        <f t="shared" si="156"/>
        <v>811.63225356326484</v>
      </c>
      <c r="CU41" s="24">
        <f t="shared" si="156"/>
        <v>672.63214033835675</v>
      </c>
      <c r="CV41" s="24">
        <f t="shared" si="156"/>
        <v>985.83461661505635</v>
      </c>
      <c r="CW41" s="24">
        <f t="shared" si="156"/>
        <v>777.46012675593829</v>
      </c>
      <c r="CX41" s="24">
        <f t="shared" si="156"/>
        <v>952.39344220602879</v>
      </c>
      <c r="CY41" s="24">
        <f t="shared" si="156"/>
        <v>785.6131394906256</v>
      </c>
      <c r="CZ41" s="24">
        <f t="shared" si="156"/>
        <v>1154.4024260549877</v>
      </c>
      <c r="DA41" s="24">
        <f t="shared" si="156"/>
        <v>913.35891596706915</v>
      </c>
      <c r="DB41" s="24">
        <f t="shared" si="156"/>
        <v>1115.7237475943043</v>
      </c>
      <c r="DC41" s="24">
        <f t="shared" ref="DC41:DD41" si="157">+DC36-DC42</f>
        <v>920.34403808097932</v>
      </c>
      <c r="DD41" s="24">
        <f t="shared" si="157"/>
        <v>1351.7204722107299</v>
      </c>
      <c r="DE41" s="123"/>
      <c r="DF41" s="23">
        <v>2131.8000000000002</v>
      </c>
    </row>
    <row r="42" spans="1:110" s="31" customFormat="1" x14ac:dyDescent="0.2">
      <c r="A42" s="31" t="s">
        <v>5</v>
      </c>
      <c r="B42" s="31">
        <f t="shared" ref="B42:T42" si="158">B36-B39-B41-B40</f>
        <v>0</v>
      </c>
      <c r="C42" s="31">
        <f t="shared" si="158"/>
        <v>0</v>
      </c>
      <c r="D42" s="31">
        <f t="shared" si="158"/>
        <v>0</v>
      </c>
      <c r="E42" s="31">
        <f t="shared" si="158"/>
        <v>0</v>
      </c>
      <c r="F42" s="31">
        <f t="shared" si="158"/>
        <v>0</v>
      </c>
      <c r="G42" s="31">
        <f t="shared" si="158"/>
        <v>0</v>
      </c>
      <c r="H42" s="31">
        <f t="shared" si="158"/>
        <v>0</v>
      </c>
      <c r="I42" s="31">
        <f t="shared" si="158"/>
        <v>0</v>
      </c>
      <c r="J42" s="31">
        <f t="shared" si="158"/>
        <v>0</v>
      </c>
      <c r="K42" s="31">
        <f t="shared" si="158"/>
        <v>0</v>
      </c>
      <c r="L42" s="31">
        <f t="shared" si="158"/>
        <v>0</v>
      </c>
      <c r="M42" s="31">
        <f t="shared" si="158"/>
        <v>0</v>
      </c>
      <c r="N42" s="31">
        <f t="shared" si="158"/>
        <v>0</v>
      </c>
      <c r="O42" s="31">
        <f t="shared" si="158"/>
        <v>0</v>
      </c>
      <c r="P42" s="31">
        <f t="shared" si="158"/>
        <v>0</v>
      </c>
      <c r="Q42" s="31">
        <f t="shared" si="158"/>
        <v>0</v>
      </c>
      <c r="R42" s="31">
        <f t="shared" si="158"/>
        <v>0</v>
      </c>
      <c r="S42" s="31">
        <f t="shared" si="158"/>
        <v>0</v>
      </c>
      <c r="T42" s="31">
        <f t="shared" si="158"/>
        <v>0</v>
      </c>
      <c r="U42" s="31">
        <f t="shared" ref="U42:Y42" si="159">U36-U39-U41-U40</f>
        <v>0</v>
      </c>
      <c r="V42" s="31">
        <f t="shared" si="159"/>
        <v>0</v>
      </c>
      <c r="W42" s="31">
        <f t="shared" si="159"/>
        <v>0</v>
      </c>
      <c r="X42" s="31">
        <f t="shared" si="159"/>
        <v>0</v>
      </c>
      <c r="Y42" s="31">
        <f t="shared" si="159"/>
        <v>3560.4000000000005</v>
      </c>
      <c r="Z42" s="31">
        <f t="shared" ref="Z42" si="160">Z36-Z39-Z41-Z40</f>
        <v>5645.9</v>
      </c>
      <c r="AA42" s="32">
        <f t="shared" ref="AA42:AD42" si="161">AA36-AA39-AA41-AA40</f>
        <v>7867.6810806966732</v>
      </c>
      <c r="AB42" s="32">
        <f t="shared" si="161"/>
        <v>9236.2542459889555</v>
      </c>
      <c r="AC42" s="32">
        <f t="shared" si="161"/>
        <v>10841.197432809535</v>
      </c>
      <c r="AD42" s="32">
        <f t="shared" si="161"/>
        <v>12705.350765240784</v>
      </c>
      <c r="AE42" s="32">
        <f t="shared" ref="AE42" si="162">AE36-AE39-AE41-AE40</f>
        <v>14889.71274801965</v>
      </c>
      <c r="AI42" s="31">
        <f t="shared" ref="AI42" si="163">AI36-AI39-AI41-AI40</f>
        <v>0</v>
      </c>
      <c r="AJ42" s="31">
        <f t="shared" ref="AJ42" si="164">AJ36-AJ39-AJ41-AJ40</f>
        <v>0</v>
      </c>
      <c r="AK42" s="31">
        <f t="shared" ref="AK42:AM42" si="165">AK36-AK39-AK41-AK40</f>
        <v>0</v>
      </c>
      <c r="AL42" s="31">
        <f t="shared" si="165"/>
        <v>0</v>
      </c>
      <c r="AM42" s="31">
        <f t="shared" si="165"/>
        <v>0</v>
      </c>
      <c r="AN42" s="31">
        <f t="shared" ref="AN42:AO42" si="166">AN36-AN39-AN41-AN40</f>
        <v>0</v>
      </c>
      <c r="AO42" s="31">
        <f t="shared" si="166"/>
        <v>0</v>
      </c>
      <c r="AP42" s="31">
        <f t="shared" ref="AP42:CD42" si="167">AP36-AP39-AP41-AP40</f>
        <v>0</v>
      </c>
      <c r="AQ42" s="31">
        <f t="shared" si="167"/>
        <v>0</v>
      </c>
      <c r="AR42" s="31">
        <f t="shared" si="167"/>
        <v>0</v>
      </c>
      <c r="AS42" s="31">
        <f t="shared" si="167"/>
        <v>0</v>
      </c>
      <c r="AT42" s="31">
        <f t="shared" si="167"/>
        <v>0</v>
      </c>
      <c r="AU42" s="31">
        <f t="shared" si="167"/>
        <v>0</v>
      </c>
      <c r="AV42" s="31">
        <f t="shared" si="167"/>
        <v>0</v>
      </c>
      <c r="AW42" s="31">
        <f t="shared" si="167"/>
        <v>0</v>
      </c>
      <c r="AX42" s="31">
        <f t="shared" si="167"/>
        <v>0</v>
      </c>
      <c r="AY42" s="31">
        <f t="shared" si="167"/>
        <v>0</v>
      </c>
      <c r="AZ42" s="31">
        <f t="shared" si="167"/>
        <v>0</v>
      </c>
      <c r="BA42" s="31">
        <f t="shared" si="167"/>
        <v>0</v>
      </c>
      <c r="BB42" s="31">
        <f t="shared" si="167"/>
        <v>0</v>
      </c>
      <c r="BC42" s="31">
        <f t="shared" si="167"/>
        <v>0</v>
      </c>
      <c r="BD42" s="31">
        <f t="shared" si="167"/>
        <v>0</v>
      </c>
      <c r="BE42" s="31">
        <f t="shared" si="167"/>
        <v>0</v>
      </c>
      <c r="BF42" s="31">
        <f t="shared" si="167"/>
        <v>0</v>
      </c>
      <c r="BG42" s="31">
        <f t="shared" si="167"/>
        <v>0</v>
      </c>
      <c r="BH42" s="31">
        <f t="shared" si="167"/>
        <v>0</v>
      </c>
      <c r="BI42" s="31">
        <f t="shared" si="167"/>
        <v>0</v>
      </c>
      <c r="BJ42" s="31">
        <f t="shared" si="167"/>
        <v>0</v>
      </c>
      <c r="BK42" s="31">
        <f t="shared" si="167"/>
        <v>0</v>
      </c>
      <c r="BL42" s="31">
        <f t="shared" si="167"/>
        <v>0</v>
      </c>
      <c r="BM42" s="31">
        <f t="shared" si="167"/>
        <v>0</v>
      </c>
      <c r="BN42" s="31">
        <f t="shared" si="167"/>
        <v>0</v>
      </c>
      <c r="BO42" s="31">
        <f t="shared" si="167"/>
        <v>0</v>
      </c>
      <c r="BP42" s="31">
        <f t="shared" si="167"/>
        <v>0</v>
      </c>
      <c r="BQ42" s="31">
        <f t="shared" si="167"/>
        <v>0</v>
      </c>
      <c r="BR42" s="31">
        <f t="shared" si="167"/>
        <v>0</v>
      </c>
      <c r="BS42" s="31">
        <f t="shared" si="167"/>
        <v>0</v>
      </c>
      <c r="BT42" s="31">
        <f t="shared" si="167"/>
        <v>0</v>
      </c>
      <c r="BU42" s="31">
        <f t="shared" si="167"/>
        <v>0</v>
      </c>
      <c r="BV42" s="31">
        <f t="shared" si="167"/>
        <v>0</v>
      </c>
      <c r="BW42" s="31">
        <f t="shared" si="167"/>
        <v>0</v>
      </c>
      <c r="BX42" s="31">
        <f t="shared" si="167"/>
        <v>0</v>
      </c>
      <c r="BY42" s="31">
        <f t="shared" si="167"/>
        <v>0</v>
      </c>
      <c r="BZ42" s="31">
        <f t="shared" si="167"/>
        <v>0</v>
      </c>
      <c r="CA42" s="31">
        <f t="shared" si="167"/>
        <v>0</v>
      </c>
      <c r="CB42" s="31">
        <f t="shared" si="167"/>
        <v>0</v>
      </c>
      <c r="CC42" s="31">
        <f t="shared" si="167"/>
        <v>0</v>
      </c>
      <c r="CD42" s="31">
        <f t="shared" si="167"/>
        <v>899.59999999999991</v>
      </c>
      <c r="CE42" s="31">
        <f t="shared" ref="CE42:CF42" si="168">CE36-CE39-CE41-CE40</f>
        <v>1123</v>
      </c>
      <c r="CF42" s="31">
        <f t="shared" si="168"/>
        <v>1537.8</v>
      </c>
      <c r="CG42" s="31">
        <f t="shared" ref="CG42:CH42" si="169">CG36-CG39-CG41-CG40</f>
        <v>1032.2</v>
      </c>
      <c r="CH42" s="31">
        <f t="shared" si="169"/>
        <v>1316.7</v>
      </c>
      <c r="CI42" s="31">
        <f t="shared" ref="CI42:CJ42" si="170">CI36-CI39-CI41-CI40</f>
        <v>1245.0999999999997</v>
      </c>
      <c r="CJ42" s="31">
        <f t="shared" si="170"/>
        <v>2051.9</v>
      </c>
      <c r="CK42" s="31">
        <f t="shared" ref="CK42" si="171">CK36-CK39-CK41-CK40</f>
        <v>1443.5000000000002</v>
      </c>
      <c r="CL42" s="31">
        <f t="shared" ref="CL42" si="172">CL36-CL39-CL41-CL40</f>
        <v>2016.2</v>
      </c>
      <c r="CM42" s="32">
        <f t="shared" ref="CM42:DB42" si="173">+CM43*CM36</f>
        <v>1759.2357965842978</v>
      </c>
      <c r="CN42" s="32">
        <f t="shared" si="173"/>
        <v>2648.745284112375</v>
      </c>
      <c r="CO42" s="32">
        <f t="shared" si="173"/>
        <v>1918.706067402904</v>
      </c>
      <c r="CP42" s="32">
        <f t="shared" si="173"/>
        <v>2408.33759466626</v>
      </c>
      <c r="CQ42" s="32">
        <f t="shared" si="173"/>
        <v>1989.2334922765722</v>
      </c>
      <c r="CR42" s="32">
        <f t="shared" si="173"/>
        <v>2919.9770916432185</v>
      </c>
      <c r="CS42" s="32">
        <f t="shared" si="173"/>
        <v>2287.9593442387209</v>
      </c>
      <c r="CT42" s="32">
        <f t="shared" si="173"/>
        <v>2817.3399001566872</v>
      </c>
      <c r="CU42" s="32">
        <f t="shared" si="173"/>
        <v>2321.3378368571816</v>
      </c>
      <c r="CV42" s="32">
        <f t="shared" si="173"/>
        <v>3414.560351556946</v>
      </c>
      <c r="CW42" s="32">
        <f t="shared" si="173"/>
        <v>2692.6215412742108</v>
      </c>
      <c r="CX42" s="32">
        <f t="shared" si="173"/>
        <v>3297.4865259859257</v>
      </c>
      <c r="CY42" s="32">
        <f t="shared" si="173"/>
        <v>2718.2993974756778</v>
      </c>
      <c r="CZ42" s="32">
        <f t="shared" si="173"/>
        <v>3996.9433005049705</v>
      </c>
      <c r="DA42" s="32">
        <f t="shared" si="173"/>
        <v>3162.0755439723544</v>
      </c>
      <c r="DB42" s="32">
        <f t="shared" si="173"/>
        <v>3862.2985894380904</v>
      </c>
      <c r="DC42" s="32">
        <f t="shared" ref="DC42:DD42" si="174">+DC43*DC36</f>
        <v>3185.8109962077092</v>
      </c>
      <c r="DD42" s="32">
        <f t="shared" si="174"/>
        <v>4679.5276184014974</v>
      </c>
      <c r="DE42" s="124"/>
      <c r="DF42" s="31">
        <v>5645.9</v>
      </c>
    </row>
    <row r="43" spans="1:110" s="41" customFormat="1" x14ac:dyDescent="0.2">
      <c r="A43" s="41" t="s">
        <v>6</v>
      </c>
      <c r="B43" s="41" t="e">
        <f>B42/B36</f>
        <v>#DIV/0!</v>
      </c>
      <c r="C43" s="41" t="e">
        <f t="shared" ref="C43:U43" si="175">C42/C36</f>
        <v>#DIV/0!</v>
      </c>
      <c r="D43" s="41" t="e">
        <f t="shared" si="175"/>
        <v>#DIV/0!</v>
      </c>
      <c r="E43" s="41" t="e">
        <f t="shared" si="175"/>
        <v>#DIV/0!</v>
      </c>
      <c r="F43" s="41" t="e">
        <f t="shared" si="175"/>
        <v>#DIV/0!</v>
      </c>
      <c r="G43" s="41" t="e">
        <f t="shared" si="175"/>
        <v>#DIV/0!</v>
      </c>
      <c r="H43" s="41" t="e">
        <f t="shared" si="175"/>
        <v>#DIV/0!</v>
      </c>
      <c r="I43" s="41" t="e">
        <f t="shared" si="175"/>
        <v>#DIV/0!</v>
      </c>
      <c r="J43" s="41" t="e">
        <f t="shared" si="175"/>
        <v>#DIV/0!</v>
      </c>
      <c r="K43" s="41" t="e">
        <f t="shared" si="175"/>
        <v>#DIV/0!</v>
      </c>
      <c r="L43" s="41" t="e">
        <f t="shared" si="175"/>
        <v>#DIV/0!</v>
      </c>
      <c r="M43" s="41" t="e">
        <f t="shared" si="175"/>
        <v>#DIV/0!</v>
      </c>
      <c r="N43" s="41" t="e">
        <f t="shared" si="175"/>
        <v>#DIV/0!</v>
      </c>
      <c r="O43" s="41" t="e">
        <f t="shared" si="175"/>
        <v>#DIV/0!</v>
      </c>
      <c r="P43" s="41" t="e">
        <f t="shared" si="175"/>
        <v>#DIV/0!</v>
      </c>
      <c r="Q43" s="41" t="e">
        <f t="shared" si="175"/>
        <v>#DIV/0!</v>
      </c>
      <c r="R43" s="41" t="e">
        <f t="shared" si="175"/>
        <v>#DIV/0!</v>
      </c>
      <c r="S43" s="41" t="e">
        <f t="shared" si="175"/>
        <v>#DIV/0!</v>
      </c>
      <c r="T43" s="41" t="e">
        <f t="shared" si="175"/>
        <v>#DIV/0!</v>
      </c>
      <c r="U43" s="41" t="e">
        <f t="shared" si="175"/>
        <v>#DIV/0!</v>
      </c>
      <c r="V43" s="41" t="e">
        <f>V42/V36</f>
        <v>#DIV/0!</v>
      </c>
      <c r="W43" s="41" t="e">
        <f>W42/W36</f>
        <v>#DIV/0!</v>
      </c>
      <c r="X43" s="41" t="e">
        <f>X42/X36</f>
        <v>#DIV/0!</v>
      </c>
      <c r="Y43" s="41">
        <f>Y42/Y36</f>
        <v>0.7480460542902766</v>
      </c>
      <c r="Z43" s="41">
        <f>Z42/Z36</f>
        <v>0.72136404870507365</v>
      </c>
      <c r="AA43" s="42">
        <f t="shared" ref="AA43:AD43" si="176">AA42/AA36</f>
        <v>0.78398902483263255</v>
      </c>
      <c r="AB43" s="42">
        <f t="shared" si="176"/>
        <v>0.77633603243315363</v>
      </c>
      <c r="AC43" s="42">
        <f t="shared" si="176"/>
        <v>0.77597189299285396</v>
      </c>
      <c r="AD43" s="42">
        <f t="shared" si="176"/>
        <v>0.77588886396792911</v>
      </c>
      <c r="AE43" s="42">
        <f t="shared" ref="AE43" si="177">AE42/AE36</f>
        <v>0.77587522438476764</v>
      </c>
      <c r="AI43" s="41" t="e">
        <f t="shared" ref="AI43" si="178">AI42/AI36</f>
        <v>#DIV/0!</v>
      </c>
      <c r="AJ43" s="41" t="e">
        <f t="shared" ref="AJ43" si="179">AJ42/AJ36</f>
        <v>#DIV/0!</v>
      </c>
      <c r="AK43" s="41" t="e">
        <f t="shared" ref="AK43:AM43" si="180">AK42/AK36</f>
        <v>#DIV/0!</v>
      </c>
      <c r="AL43" s="41" t="e">
        <f t="shared" si="180"/>
        <v>#DIV/0!</v>
      </c>
      <c r="AM43" s="41" t="e">
        <f t="shared" si="180"/>
        <v>#DIV/0!</v>
      </c>
      <c r="AN43" s="41" t="e">
        <f t="shared" ref="AN43:AO43" si="181">AN42/AN36</f>
        <v>#DIV/0!</v>
      </c>
      <c r="AO43" s="41" t="e">
        <f t="shared" si="181"/>
        <v>#DIV/0!</v>
      </c>
      <c r="AP43" s="41" t="e">
        <f t="shared" ref="AP43:CD43" si="182">AP42/AP36</f>
        <v>#DIV/0!</v>
      </c>
      <c r="AQ43" s="41" t="e">
        <f t="shared" si="182"/>
        <v>#DIV/0!</v>
      </c>
      <c r="AR43" s="41" t="e">
        <f t="shared" si="182"/>
        <v>#DIV/0!</v>
      </c>
      <c r="AS43" s="41" t="e">
        <f t="shared" si="182"/>
        <v>#DIV/0!</v>
      </c>
      <c r="AT43" s="41" t="e">
        <f t="shared" si="182"/>
        <v>#DIV/0!</v>
      </c>
      <c r="AU43" s="41" t="e">
        <f t="shared" si="182"/>
        <v>#DIV/0!</v>
      </c>
      <c r="AV43" s="41" t="e">
        <f t="shared" si="182"/>
        <v>#DIV/0!</v>
      </c>
      <c r="AW43" s="41" t="e">
        <f t="shared" si="182"/>
        <v>#DIV/0!</v>
      </c>
      <c r="AX43" s="41" t="e">
        <f t="shared" si="182"/>
        <v>#DIV/0!</v>
      </c>
      <c r="AY43" s="41" t="e">
        <f t="shared" si="182"/>
        <v>#DIV/0!</v>
      </c>
      <c r="AZ43" s="41" t="e">
        <f t="shared" si="182"/>
        <v>#DIV/0!</v>
      </c>
      <c r="BA43" s="41" t="e">
        <f t="shared" si="182"/>
        <v>#DIV/0!</v>
      </c>
      <c r="BB43" s="41" t="e">
        <f t="shared" si="182"/>
        <v>#DIV/0!</v>
      </c>
      <c r="BC43" s="41" t="e">
        <f t="shared" si="182"/>
        <v>#DIV/0!</v>
      </c>
      <c r="BD43" s="41" t="e">
        <f t="shared" si="182"/>
        <v>#DIV/0!</v>
      </c>
      <c r="BE43" s="41" t="e">
        <f t="shared" si="182"/>
        <v>#DIV/0!</v>
      </c>
      <c r="BF43" s="41" t="e">
        <f t="shared" si="182"/>
        <v>#DIV/0!</v>
      </c>
      <c r="BG43" s="41" t="e">
        <f t="shared" si="182"/>
        <v>#DIV/0!</v>
      </c>
      <c r="BH43" s="41" t="e">
        <f t="shared" si="182"/>
        <v>#DIV/0!</v>
      </c>
      <c r="BI43" s="41" t="e">
        <f t="shared" si="182"/>
        <v>#DIV/0!</v>
      </c>
      <c r="BJ43" s="41" t="e">
        <f t="shared" si="182"/>
        <v>#DIV/0!</v>
      </c>
      <c r="BK43" s="41" t="e">
        <f t="shared" si="182"/>
        <v>#DIV/0!</v>
      </c>
      <c r="BL43" s="41" t="e">
        <f t="shared" si="182"/>
        <v>#DIV/0!</v>
      </c>
      <c r="BM43" s="41" t="e">
        <f t="shared" si="182"/>
        <v>#DIV/0!</v>
      </c>
      <c r="BN43" s="41" t="e">
        <f t="shared" si="182"/>
        <v>#DIV/0!</v>
      </c>
      <c r="BO43" s="41" t="e">
        <f t="shared" si="182"/>
        <v>#DIV/0!</v>
      </c>
      <c r="BP43" s="41" t="e">
        <f t="shared" si="182"/>
        <v>#DIV/0!</v>
      </c>
      <c r="BQ43" s="41" t="e">
        <f t="shared" si="182"/>
        <v>#DIV/0!</v>
      </c>
      <c r="BR43" s="41" t="e">
        <f t="shared" si="182"/>
        <v>#DIV/0!</v>
      </c>
      <c r="BS43" s="41" t="e">
        <f t="shared" si="182"/>
        <v>#DIV/0!</v>
      </c>
      <c r="BT43" s="41" t="e">
        <f t="shared" si="182"/>
        <v>#DIV/0!</v>
      </c>
      <c r="BU43" s="41" t="e">
        <f t="shared" si="182"/>
        <v>#DIV/0!</v>
      </c>
      <c r="BV43" s="41" t="e">
        <f t="shared" si="182"/>
        <v>#DIV/0!</v>
      </c>
      <c r="BW43" s="41" t="e">
        <f t="shared" si="182"/>
        <v>#DIV/0!</v>
      </c>
      <c r="BX43" s="41" t="e">
        <f t="shared" si="182"/>
        <v>#DIV/0!</v>
      </c>
      <c r="BY43" s="41" t="e">
        <f t="shared" si="182"/>
        <v>#DIV/0!</v>
      </c>
      <c r="BZ43" s="41" t="e">
        <f t="shared" si="182"/>
        <v>#DIV/0!</v>
      </c>
      <c r="CA43" s="41" t="e">
        <f t="shared" si="182"/>
        <v>#DIV/0!</v>
      </c>
      <c r="CB43" s="41" t="e">
        <f t="shared" si="182"/>
        <v>#DIV/0!</v>
      </c>
      <c r="CC43" s="41" t="e">
        <f t="shared" si="182"/>
        <v>#DIV/0!</v>
      </c>
      <c r="CD43" s="41">
        <f t="shared" si="182"/>
        <v>0.75179675747952535</v>
      </c>
      <c r="CE43" s="41">
        <f t="shared" ref="CE43:CF43" si="183">CE42/CE36</f>
        <v>0.75663657189058076</v>
      </c>
      <c r="CF43" s="41">
        <f t="shared" si="183"/>
        <v>0.7397537040600346</v>
      </c>
      <c r="CG43" s="41">
        <f t="shared" ref="CG43:CH43" si="184">CG42/CG36</f>
        <v>0.68046674138044694</v>
      </c>
      <c r="CH43" s="41">
        <f t="shared" si="184"/>
        <v>0.70055865921787708</v>
      </c>
      <c r="CI43" s="41">
        <f t="shared" ref="CI43:CJ43" si="185">CI42/CI36</f>
        <v>0.69769135940827065</v>
      </c>
      <c r="CJ43" s="41">
        <f t="shared" si="185"/>
        <v>0.77556034319839751</v>
      </c>
      <c r="CK43" s="41">
        <f t="shared" ref="CK43" si="186">CK42/CK36</f>
        <v>0.7554032131456383</v>
      </c>
      <c r="CL43" s="41">
        <f t="shared" ref="CL43" si="187">CL42/CL36</f>
        <v>0.84215362766801727</v>
      </c>
      <c r="CM43" s="42">
        <f>AVERAGE(CI43:CL43)*0.99</f>
        <v>0.7600251144965301</v>
      </c>
      <c r="CN43" s="42">
        <f t="shared" ref="CN43:CP43" si="188">AVERAGE(CJ43:CM43)*0.99</f>
        <v>0.77545271888087441</v>
      </c>
      <c r="CO43" s="42">
        <f t="shared" si="188"/>
        <v>0.77542608186228734</v>
      </c>
      <c r="CP43" s="42">
        <f t="shared" si="188"/>
        <v>0.78038174186965803</v>
      </c>
      <c r="CQ43" s="42">
        <f t="shared" ref="CQ43:DB43" si="189">AVERAGE(CM43:CP43)</f>
        <v>0.77282141427733742</v>
      </c>
      <c r="CR43" s="42">
        <f t="shared" si="189"/>
        <v>0.7760204892225393</v>
      </c>
      <c r="CS43" s="42">
        <f t="shared" si="189"/>
        <v>0.77616243180795552</v>
      </c>
      <c r="CT43" s="42">
        <f t="shared" si="189"/>
        <v>0.77634651929437248</v>
      </c>
      <c r="CU43" s="42">
        <f t="shared" si="189"/>
        <v>0.77533771365055115</v>
      </c>
      <c r="CV43" s="42">
        <f t="shared" si="189"/>
        <v>0.77596678849385459</v>
      </c>
      <c r="CW43" s="42">
        <f t="shared" si="189"/>
        <v>0.77595336331168341</v>
      </c>
      <c r="CX43" s="42">
        <f t="shared" si="189"/>
        <v>0.77590109618761538</v>
      </c>
      <c r="CY43" s="42">
        <f t="shared" si="189"/>
        <v>0.77578974041092608</v>
      </c>
      <c r="CZ43" s="42">
        <f t="shared" si="189"/>
        <v>0.77590274710101981</v>
      </c>
      <c r="DA43" s="42">
        <f t="shared" si="189"/>
        <v>0.77588673675281106</v>
      </c>
      <c r="DB43" s="42">
        <f t="shared" si="189"/>
        <v>0.775870080113093</v>
      </c>
      <c r="DC43" s="42">
        <f t="shared" ref="DC43" si="190">AVERAGE(CY43:DB43)</f>
        <v>0.77586232609446248</v>
      </c>
      <c r="DD43" s="42">
        <f t="shared" ref="DD43" si="191">AVERAGE(CZ43:DC43)</f>
        <v>0.77588047251534664</v>
      </c>
      <c r="DE43" s="125"/>
      <c r="DF43" s="41">
        <v>0.72136404870507365</v>
      </c>
    </row>
    <row r="44" spans="1:110" s="39" customFormat="1" x14ac:dyDescent="0.2">
      <c r="A44" s="39" t="s">
        <v>447</v>
      </c>
      <c r="C44" s="39" t="e">
        <f t="shared" ref="C44:AE44" si="192">+IF(B42&lt;0,1-C42/B42,C42/B42-1)</f>
        <v>#DIV/0!</v>
      </c>
      <c r="D44" s="39" t="e">
        <f t="shared" si="192"/>
        <v>#DIV/0!</v>
      </c>
      <c r="E44" s="39" t="e">
        <f t="shared" si="192"/>
        <v>#DIV/0!</v>
      </c>
      <c r="F44" s="39" t="e">
        <f t="shared" si="192"/>
        <v>#DIV/0!</v>
      </c>
      <c r="G44" s="39" t="e">
        <f t="shared" si="192"/>
        <v>#DIV/0!</v>
      </c>
      <c r="H44" s="39" t="e">
        <f t="shared" si="192"/>
        <v>#DIV/0!</v>
      </c>
      <c r="I44" s="39" t="e">
        <f t="shared" si="192"/>
        <v>#DIV/0!</v>
      </c>
      <c r="J44" s="39" t="e">
        <f t="shared" si="192"/>
        <v>#DIV/0!</v>
      </c>
      <c r="K44" s="39" t="e">
        <f t="shared" si="192"/>
        <v>#DIV/0!</v>
      </c>
      <c r="L44" s="39" t="e">
        <f t="shared" si="192"/>
        <v>#DIV/0!</v>
      </c>
      <c r="M44" s="39" t="e">
        <f t="shared" si="192"/>
        <v>#DIV/0!</v>
      </c>
      <c r="N44" s="39" t="e">
        <f t="shared" si="192"/>
        <v>#DIV/0!</v>
      </c>
      <c r="O44" s="39" t="e">
        <f t="shared" si="192"/>
        <v>#DIV/0!</v>
      </c>
      <c r="P44" s="39" t="e">
        <f t="shared" si="192"/>
        <v>#DIV/0!</v>
      </c>
      <c r="Q44" s="39" t="e">
        <f t="shared" si="192"/>
        <v>#DIV/0!</v>
      </c>
      <c r="R44" s="39" t="e">
        <f t="shared" si="192"/>
        <v>#DIV/0!</v>
      </c>
      <c r="S44" s="39" t="e">
        <f t="shared" si="192"/>
        <v>#DIV/0!</v>
      </c>
      <c r="T44" s="39" t="e">
        <f t="shared" si="192"/>
        <v>#DIV/0!</v>
      </c>
      <c r="U44" s="39" t="e">
        <f t="shared" si="192"/>
        <v>#DIV/0!</v>
      </c>
      <c r="V44" s="39" t="e">
        <f t="shared" si="192"/>
        <v>#DIV/0!</v>
      </c>
      <c r="W44" s="39" t="e">
        <f t="shared" si="192"/>
        <v>#DIV/0!</v>
      </c>
      <c r="X44" s="39" t="e">
        <f t="shared" si="192"/>
        <v>#DIV/0!</v>
      </c>
      <c r="Y44" s="39" t="e">
        <f t="shared" si="192"/>
        <v>#DIV/0!</v>
      </c>
      <c r="Z44" s="39">
        <f t="shared" si="192"/>
        <v>0.58574879227053112</v>
      </c>
      <c r="AA44" s="40">
        <f t="shared" si="192"/>
        <v>0.39352115352674932</v>
      </c>
      <c r="AB44" s="40">
        <f t="shared" si="192"/>
        <v>0.17394873422742974</v>
      </c>
      <c r="AC44" s="40">
        <f t="shared" si="192"/>
        <v>0.17376559198958397</v>
      </c>
      <c r="AD44" s="40">
        <f t="shared" si="192"/>
        <v>0.17195087018613098</v>
      </c>
      <c r="AE44" s="40">
        <f t="shared" si="192"/>
        <v>0.1719245712408688</v>
      </c>
      <c r="AM44" s="39" t="e">
        <f>+IF(AI42&lt;0,1-AM42/AI42,AM42/AI42-1)</f>
        <v>#DIV/0!</v>
      </c>
      <c r="AN44" s="39" t="e">
        <f t="shared" ref="AN44" si="193">+IF(AJ42&lt;0,1-AN42/AJ42,AN42/AJ42-1)</f>
        <v>#DIV/0!</v>
      </c>
      <c r="AO44" s="39" t="e">
        <f t="shared" ref="AO44" si="194">+IF(AK42&lt;0,1-AO42/AK42,AO42/AK42-1)</f>
        <v>#DIV/0!</v>
      </c>
      <c r="AP44" s="39" t="e">
        <f t="shared" ref="AP44" si="195">+IF(AL42&lt;0,1-AP42/AL42,AP42/AL42-1)</f>
        <v>#DIV/0!</v>
      </c>
      <c r="AQ44" s="39" t="e">
        <f t="shared" ref="AQ44" si="196">+IF(AM42&lt;0,1-AQ42/AM42,AQ42/AM42-1)</f>
        <v>#DIV/0!</v>
      </c>
      <c r="AR44" s="39" t="e">
        <f t="shared" ref="AR44" si="197">+IF(AN42&lt;0,1-AR42/AN42,AR42/AN42-1)</f>
        <v>#DIV/0!</v>
      </c>
      <c r="AS44" s="39" t="e">
        <f t="shared" ref="AS44" si="198">+IF(AO42&lt;0,1-AS42/AO42,AS42/AO42-1)</f>
        <v>#DIV/0!</v>
      </c>
      <c r="AT44" s="39" t="e">
        <f t="shared" ref="AT44" si="199">+IF(AP42&lt;0,1-AT42/AP42,AT42/AP42-1)</f>
        <v>#DIV/0!</v>
      </c>
      <c r="AU44" s="39" t="e">
        <f t="shared" ref="AU44" si="200">+IF(AQ42&lt;0,1-AU42/AQ42,AU42/AQ42-1)</f>
        <v>#DIV/0!</v>
      </c>
      <c r="AV44" s="39" t="e">
        <f t="shared" ref="AV44" si="201">+IF(AR42&lt;0,1-AV42/AR42,AV42/AR42-1)</f>
        <v>#DIV/0!</v>
      </c>
      <c r="AW44" s="39" t="e">
        <f t="shared" ref="AW44" si="202">+IF(AS42&lt;0,1-AW42/AS42,AW42/AS42-1)</f>
        <v>#DIV/0!</v>
      </c>
      <c r="AX44" s="39" t="e">
        <f t="shared" ref="AX44" si="203">+IF(AT42&lt;0,1-AX42/AT42,AX42/AT42-1)</f>
        <v>#DIV/0!</v>
      </c>
      <c r="AY44" s="39" t="e">
        <f t="shared" ref="AY44" si="204">+IF(AU42&lt;0,1-AY42/AU42,AY42/AU42-1)</f>
        <v>#DIV/0!</v>
      </c>
      <c r="AZ44" s="39" t="e">
        <f t="shared" ref="AZ44" si="205">+IF(AV42&lt;0,1-AZ42/AV42,AZ42/AV42-1)</f>
        <v>#DIV/0!</v>
      </c>
      <c r="BA44" s="39" t="e">
        <f t="shared" ref="BA44" si="206">+IF(AW42&lt;0,1-BA42/AW42,BA42/AW42-1)</f>
        <v>#DIV/0!</v>
      </c>
      <c r="BB44" s="39" t="e">
        <f t="shared" ref="BB44" si="207">+IF(AX42&lt;0,1-BB42/AX42,BB42/AX42-1)</f>
        <v>#DIV/0!</v>
      </c>
      <c r="BC44" s="39" t="e">
        <f t="shared" ref="BC44" si="208">+IF(AY42&lt;0,1-BC42/AY42,BC42/AY42-1)</f>
        <v>#DIV/0!</v>
      </c>
      <c r="BD44" s="39" t="e">
        <f t="shared" ref="BD44" si="209">+IF(AZ42&lt;0,1-BD42/AZ42,BD42/AZ42-1)</f>
        <v>#DIV/0!</v>
      </c>
      <c r="BE44" s="39" t="e">
        <f t="shared" ref="BE44" si="210">+IF(BA42&lt;0,1-BE42/BA42,BE42/BA42-1)</f>
        <v>#DIV/0!</v>
      </c>
      <c r="BF44" s="39" t="e">
        <f t="shared" ref="BF44" si="211">+IF(BB42&lt;0,1-BF42/BB42,BF42/BB42-1)</f>
        <v>#DIV/0!</v>
      </c>
      <c r="BG44" s="39" t="e">
        <f t="shared" ref="BG44" si="212">+IF(BC42&lt;0,1-BG42/BC42,BG42/BC42-1)</f>
        <v>#DIV/0!</v>
      </c>
      <c r="BH44" s="39" t="e">
        <f t="shared" ref="BH44" si="213">+IF(BD42&lt;0,1-BH42/BD42,BH42/BD42-1)</f>
        <v>#DIV/0!</v>
      </c>
      <c r="BI44" s="39" t="e">
        <f t="shared" ref="BI44" si="214">+IF(BE42&lt;0,1-BI42/BE42,BI42/BE42-1)</f>
        <v>#DIV/0!</v>
      </c>
      <c r="BJ44" s="39" t="e">
        <f t="shared" ref="BJ44" si="215">+IF(BF42&lt;0,1-BJ42/BF42,BJ42/BF42-1)</f>
        <v>#DIV/0!</v>
      </c>
      <c r="BK44" s="39" t="e">
        <f t="shared" ref="BK44" si="216">+IF(BG42&lt;0,1-BK42/BG42,BK42/BG42-1)</f>
        <v>#DIV/0!</v>
      </c>
      <c r="BL44" s="39" t="e">
        <f t="shared" ref="BL44" si="217">+IF(BH42&lt;0,1-BL42/BH42,BL42/BH42-1)</f>
        <v>#DIV/0!</v>
      </c>
      <c r="BM44" s="39" t="e">
        <f t="shared" ref="BM44" si="218">+IF(BI42&lt;0,1-BM42/BI42,BM42/BI42-1)</f>
        <v>#DIV/0!</v>
      </c>
      <c r="BN44" s="39" t="e">
        <f t="shared" ref="BN44" si="219">+IF(BJ42&lt;0,1-BN42/BJ42,BN42/BJ42-1)</f>
        <v>#DIV/0!</v>
      </c>
      <c r="BO44" s="39" t="e">
        <f t="shared" ref="BO44" si="220">+IF(BK42&lt;0,1-BO42/BK42,BO42/BK42-1)</f>
        <v>#DIV/0!</v>
      </c>
      <c r="BP44" s="39" t="e">
        <f t="shared" ref="BP44" si="221">+IF(BL42&lt;0,1-BP42/BL42,BP42/BL42-1)</f>
        <v>#DIV/0!</v>
      </c>
      <c r="BQ44" s="39" t="e">
        <f t="shared" ref="BQ44" si="222">+IF(BM42&lt;0,1-BQ42/BM42,BQ42/BM42-1)</f>
        <v>#DIV/0!</v>
      </c>
      <c r="BR44" s="39" t="e">
        <f t="shared" ref="BR44" si="223">+IF(BN42&lt;0,1-BR42/BN42,BR42/BN42-1)</f>
        <v>#DIV/0!</v>
      </c>
      <c r="BS44" s="39" t="e">
        <f t="shared" ref="BS44" si="224">+IF(BO42&lt;0,1-BS42/BO42,BS42/BO42-1)</f>
        <v>#DIV/0!</v>
      </c>
      <c r="BT44" s="39" t="e">
        <f t="shared" ref="BT44" si="225">+IF(BP42&lt;0,1-BT42/BP42,BT42/BP42-1)</f>
        <v>#DIV/0!</v>
      </c>
      <c r="BU44" s="39" t="e">
        <f t="shared" ref="BU44" si="226">+IF(BQ42&lt;0,1-BU42/BQ42,BU42/BQ42-1)</f>
        <v>#DIV/0!</v>
      </c>
      <c r="BV44" s="39" t="e">
        <f t="shared" ref="BV44" si="227">+IF(BR42&lt;0,1-BV42/BR42,BV42/BR42-1)</f>
        <v>#DIV/0!</v>
      </c>
      <c r="BW44" s="39" t="e">
        <f t="shared" ref="BW44" si="228">+IF(BS42&lt;0,1-BW42/BS42,BW42/BS42-1)</f>
        <v>#DIV/0!</v>
      </c>
      <c r="BX44" s="39" t="e">
        <f t="shared" ref="BX44" si="229">+IF(BT42&lt;0,1-BX42/BT42,BX42/BT42-1)</f>
        <v>#DIV/0!</v>
      </c>
      <c r="BY44" s="39" t="e">
        <f t="shared" ref="BY44" si="230">+IF(BU42&lt;0,1-BY42/BU42,BY42/BU42-1)</f>
        <v>#DIV/0!</v>
      </c>
      <c r="BZ44" s="39" t="e">
        <f t="shared" ref="BZ44" si="231">+IF(BV42&lt;0,1-BZ42/BV42,BZ42/BV42-1)</f>
        <v>#DIV/0!</v>
      </c>
      <c r="CA44" s="39" t="e">
        <f t="shared" ref="CA44" si="232">+IF(BW42&lt;0,1-CA42/BW42,CA42/BW42-1)</f>
        <v>#DIV/0!</v>
      </c>
      <c r="CB44" s="39" t="e">
        <f t="shared" ref="CB44" si="233">+IF(BX42&lt;0,1-CB42/BX42,CB42/BX42-1)</f>
        <v>#DIV/0!</v>
      </c>
      <c r="CC44" s="39" t="e">
        <f t="shared" ref="CC44" si="234">+IF(BY42&lt;0,1-CC42/BY42,CC42/BY42-1)</f>
        <v>#DIV/0!</v>
      </c>
      <c r="CD44" s="39" t="e">
        <f t="shared" ref="CD44" si="235">+IF(BZ42&lt;0,1-CD42/BZ42,CD42/BZ42-1)</f>
        <v>#DIV/0!</v>
      </c>
      <c r="CE44" s="39" t="e">
        <f t="shared" ref="CE44" si="236">+IF(CA42&lt;0,1-CE42/CA42,CE42/CA42-1)</f>
        <v>#DIV/0!</v>
      </c>
      <c r="CF44" s="39" t="e">
        <f t="shared" ref="CF44" si="237">+IF(CB42&lt;0,1-CF42/CB42,CF42/CB42-1)</f>
        <v>#DIV/0!</v>
      </c>
      <c r="CG44" s="39" t="e">
        <f t="shared" ref="CG44" si="238">+IF(CC42&lt;0,1-CG42/CC42,CG42/CC42-1)</f>
        <v>#DIV/0!</v>
      </c>
      <c r="CH44" s="39">
        <f t="shared" ref="CH44:CL44" si="239">+IF(CD42&lt;0,1-CH42/CD42,CH42/CD42-1)</f>
        <v>0.46365051133837287</v>
      </c>
      <c r="CI44" s="39">
        <f t="shared" si="239"/>
        <v>0.10872662511130882</v>
      </c>
      <c r="CJ44" s="39">
        <f t="shared" si="239"/>
        <v>0.33430875276368854</v>
      </c>
      <c r="CK44" s="39">
        <f t="shared" si="239"/>
        <v>0.39846928889750055</v>
      </c>
      <c r="CL44" s="39">
        <f t="shared" si="239"/>
        <v>0.53125237335763642</v>
      </c>
      <c r="CM44" s="40">
        <f t="shared" ref="CM44" si="240">+CM42/CI42-1</f>
        <v>0.41292731233177915</v>
      </c>
      <c r="CN44" s="40">
        <f t="shared" ref="CN44" si="241">+CN42/CJ42-1</f>
        <v>0.2908744500766971</v>
      </c>
      <c r="CO44" s="40">
        <f t="shared" ref="CO44" si="242">+CO42/CK42-1</f>
        <v>0.32920406470585628</v>
      </c>
      <c r="CP44" s="40">
        <f t="shared" ref="CP44" si="243">+CP42/CL42-1</f>
        <v>0.19449340078675714</v>
      </c>
      <c r="CQ44" s="40">
        <f t="shared" ref="CQ44" si="244">+CQ42/CM42-1</f>
        <v>0.13073727588924355</v>
      </c>
      <c r="CR44" s="40">
        <f t="shared" ref="CR44" si="245">+CR42/CN42-1</f>
        <v>0.10240010965106316</v>
      </c>
      <c r="CS44" s="40">
        <f t="shared" ref="CS44" si="246">+CS42/CO42-1</f>
        <v>0.19244911094466155</v>
      </c>
      <c r="CT44" s="40">
        <f t="shared" ref="CT44" si="247">+CT42/CP42-1</f>
        <v>0.16982764642143344</v>
      </c>
      <c r="CU44" s="40">
        <f t="shared" ref="CU44" si="248">+CU42/CQ42-1</f>
        <v>0.16695091142897134</v>
      </c>
      <c r="CV44" s="40">
        <f t="shared" ref="CV44" si="249">+CV42/CR42-1</f>
        <v>0.16937915757256872</v>
      </c>
      <c r="CW44" s="40">
        <f t="shared" ref="CW44" si="250">+CW42/CS42-1</f>
        <v>0.17686599110882995</v>
      </c>
      <c r="CX44" s="40">
        <f t="shared" ref="CX44" si="251">+CX42/CT42-1</f>
        <v>0.17042552295608182</v>
      </c>
      <c r="CY44" s="40">
        <f t="shared" ref="CY44" si="252">+CY42/CU42-1</f>
        <v>0.17100550997606434</v>
      </c>
      <c r="CZ44" s="40">
        <f t="shared" ref="CZ44" si="253">+CZ42/CV42-1</f>
        <v>0.17055869247778088</v>
      </c>
      <c r="DA44" s="40">
        <f t="shared" ref="DA44" si="254">+DA42/CW42-1</f>
        <v>0.17434830536042845</v>
      </c>
      <c r="DB44" s="40">
        <f t="shared" ref="DB44" si="255">+DB42/CX42-1</f>
        <v>0.1712856319506233</v>
      </c>
      <c r="DC44" s="40">
        <f t="shared" ref="DC44" si="256">+DC42/CY42-1</f>
        <v>0.17198679408389728</v>
      </c>
      <c r="DD44" s="40">
        <f t="shared" ref="DD44" si="257">+DD42/CZ42-1</f>
        <v>0.1707765826476173</v>
      </c>
      <c r="DE44" s="122"/>
      <c r="DF44" s="39">
        <v>0.58574879227053112</v>
      </c>
    </row>
    <row r="45" spans="1:110" s="39" customFormat="1" x14ac:dyDescent="0.2">
      <c r="A45" s="39" t="s">
        <v>448</v>
      </c>
      <c r="AA45" s="40"/>
      <c r="AB45" s="40"/>
      <c r="AC45" s="40"/>
      <c r="AD45" s="40"/>
      <c r="AE45" s="40"/>
      <c r="AJ45" s="39" t="e">
        <f>+IF(AI42&lt;0,1-AJ42/AI42,AJ42/AI42-1)</f>
        <v>#DIV/0!</v>
      </c>
      <c r="AK45" s="39" t="e">
        <f t="shared" ref="AK45" si="258">+IF(AJ42&lt;0,1-AK42/AJ42,AK42/AJ42-1)</f>
        <v>#DIV/0!</v>
      </c>
      <c r="AL45" s="39" t="e">
        <f t="shared" ref="AL45" si="259">+IF(AK42&lt;0,1-AL42/AK42,AL42/AK42-1)</f>
        <v>#DIV/0!</v>
      </c>
      <c r="AM45" s="39" t="e">
        <f t="shared" ref="AM45" si="260">+IF(AL42&lt;0,1-AM42/AL42,AM42/AL42-1)</f>
        <v>#DIV/0!</v>
      </c>
      <c r="AN45" s="39" t="e">
        <f t="shared" ref="AN45" si="261">+IF(AM42&lt;0,1-AN42/AM42,AN42/AM42-1)</f>
        <v>#DIV/0!</v>
      </c>
      <c r="AO45" s="39" t="e">
        <f t="shared" ref="AO45" si="262">+IF(AN42&lt;0,1-AO42/AN42,AO42/AN42-1)</f>
        <v>#DIV/0!</v>
      </c>
      <c r="AP45" s="39" t="e">
        <f t="shared" ref="AP45" si="263">+IF(AO42&lt;0,1-AP42/AO42,AP42/AO42-1)</f>
        <v>#DIV/0!</v>
      </c>
      <c r="AQ45" s="39" t="e">
        <f t="shared" ref="AQ45" si="264">+IF(AP42&lt;0,1-AQ42/AP42,AQ42/AP42-1)</f>
        <v>#DIV/0!</v>
      </c>
      <c r="AR45" s="39" t="e">
        <f t="shared" ref="AR45" si="265">+IF(AQ42&lt;0,1-AR42/AQ42,AR42/AQ42-1)</f>
        <v>#DIV/0!</v>
      </c>
      <c r="AS45" s="39" t="e">
        <f t="shared" ref="AS45" si="266">+IF(AR42&lt;0,1-AS42/AR42,AS42/AR42-1)</f>
        <v>#DIV/0!</v>
      </c>
      <c r="AT45" s="39" t="e">
        <f t="shared" ref="AT45" si="267">+IF(AS42&lt;0,1-AT42/AS42,AT42/AS42-1)</f>
        <v>#DIV/0!</v>
      </c>
      <c r="AU45" s="39" t="e">
        <f t="shared" ref="AU45" si="268">+IF(AT42&lt;0,1-AU42/AT42,AU42/AT42-1)</f>
        <v>#DIV/0!</v>
      </c>
      <c r="AV45" s="39" t="e">
        <f t="shared" ref="AV45" si="269">+IF(AU42&lt;0,1-AV42/AU42,AV42/AU42-1)</f>
        <v>#DIV/0!</v>
      </c>
      <c r="AW45" s="39" t="e">
        <f t="shared" ref="AW45" si="270">+IF(AV42&lt;0,1-AW42/AV42,AW42/AV42-1)</f>
        <v>#DIV/0!</v>
      </c>
      <c r="AX45" s="39" t="e">
        <f t="shared" ref="AX45" si="271">+IF(AW42&lt;0,1-AX42/AW42,AX42/AW42-1)</f>
        <v>#DIV/0!</v>
      </c>
      <c r="AY45" s="39" t="e">
        <f t="shared" ref="AY45" si="272">+IF(AX42&lt;0,1-AY42/AX42,AY42/AX42-1)</f>
        <v>#DIV/0!</v>
      </c>
      <c r="AZ45" s="39" t="e">
        <f t="shared" ref="AZ45" si="273">+IF(AY42&lt;0,1-AZ42/AY42,AZ42/AY42-1)</f>
        <v>#DIV/0!</v>
      </c>
      <c r="BA45" s="39" t="e">
        <f t="shared" ref="BA45" si="274">+IF(AZ42&lt;0,1-BA42/AZ42,BA42/AZ42-1)</f>
        <v>#DIV/0!</v>
      </c>
      <c r="BB45" s="39" t="e">
        <f t="shared" ref="BB45" si="275">+IF(BA42&lt;0,1-BB42/BA42,BB42/BA42-1)</f>
        <v>#DIV/0!</v>
      </c>
      <c r="BC45" s="39" t="e">
        <f t="shared" ref="BC45" si="276">+IF(BB42&lt;0,1-BC42/BB42,BC42/BB42-1)</f>
        <v>#DIV/0!</v>
      </c>
      <c r="BD45" s="39" t="e">
        <f t="shared" ref="BD45" si="277">+IF(BC42&lt;0,1-BD42/BC42,BD42/BC42-1)</f>
        <v>#DIV/0!</v>
      </c>
      <c r="BE45" s="39" t="e">
        <f t="shared" ref="BE45" si="278">+IF(BD42&lt;0,1-BE42/BD42,BE42/BD42-1)</f>
        <v>#DIV/0!</v>
      </c>
      <c r="BF45" s="39" t="e">
        <f t="shared" ref="BF45" si="279">+IF(BE42&lt;0,1-BF42/BE42,BF42/BE42-1)</f>
        <v>#DIV/0!</v>
      </c>
      <c r="BG45" s="39" t="e">
        <f t="shared" ref="BG45" si="280">+IF(BF42&lt;0,1-BG42/BF42,BG42/BF42-1)</f>
        <v>#DIV/0!</v>
      </c>
      <c r="BH45" s="39" t="e">
        <f t="shared" ref="BH45" si="281">+IF(BG42&lt;0,1-BH42/BG42,BH42/BG42-1)</f>
        <v>#DIV/0!</v>
      </c>
      <c r="BI45" s="39" t="e">
        <f t="shared" ref="BI45" si="282">+IF(BH42&lt;0,1-BI42/BH42,BI42/BH42-1)</f>
        <v>#DIV/0!</v>
      </c>
      <c r="BJ45" s="39" t="e">
        <f t="shared" ref="BJ45" si="283">+IF(BI42&lt;0,1-BJ42/BI42,BJ42/BI42-1)</f>
        <v>#DIV/0!</v>
      </c>
      <c r="BK45" s="39" t="e">
        <f t="shared" ref="BK45" si="284">+IF(BJ42&lt;0,1-BK42/BJ42,BK42/BJ42-1)</f>
        <v>#DIV/0!</v>
      </c>
      <c r="BL45" s="39" t="e">
        <f t="shared" ref="BL45" si="285">+IF(BK42&lt;0,1-BL42/BK42,BL42/BK42-1)</f>
        <v>#DIV/0!</v>
      </c>
      <c r="BM45" s="39" t="e">
        <f t="shared" ref="BM45" si="286">+IF(BL42&lt;0,1-BM42/BL42,BM42/BL42-1)</f>
        <v>#DIV/0!</v>
      </c>
      <c r="BN45" s="39" t="e">
        <f t="shared" ref="BN45" si="287">+IF(BM42&lt;0,1-BN42/BM42,BN42/BM42-1)</f>
        <v>#DIV/0!</v>
      </c>
      <c r="BO45" s="39" t="e">
        <f t="shared" ref="BO45" si="288">+IF(BN42&lt;0,1-BO42/BN42,BO42/BN42-1)</f>
        <v>#DIV/0!</v>
      </c>
      <c r="BP45" s="39" t="e">
        <f t="shared" ref="BP45" si="289">+IF(BO42&lt;0,1-BP42/BO42,BP42/BO42-1)</f>
        <v>#DIV/0!</v>
      </c>
      <c r="BQ45" s="39" t="e">
        <f t="shared" ref="BQ45" si="290">+IF(BP42&lt;0,1-BQ42/BP42,BQ42/BP42-1)</f>
        <v>#DIV/0!</v>
      </c>
      <c r="BR45" s="39" t="e">
        <f t="shared" ref="BR45" si="291">+IF(BQ42&lt;0,1-BR42/BQ42,BR42/BQ42-1)</f>
        <v>#DIV/0!</v>
      </c>
      <c r="BS45" s="39" t="e">
        <f t="shared" ref="BS45" si="292">+IF(BR42&lt;0,1-BS42/BR42,BS42/BR42-1)</f>
        <v>#DIV/0!</v>
      </c>
      <c r="BT45" s="39" t="e">
        <f t="shared" ref="BT45" si="293">+IF(BS42&lt;0,1-BT42/BS42,BT42/BS42-1)</f>
        <v>#DIV/0!</v>
      </c>
      <c r="BU45" s="39" t="e">
        <f t="shared" ref="BU45" si="294">+IF(BT42&lt;0,1-BU42/BT42,BU42/BT42-1)</f>
        <v>#DIV/0!</v>
      </c>
      <c r="BV45" s="39" t="e">
        <f t="shared" ref="BV45" si="295">+IF(BU42&lt;0,1-BV42/BU42,BV42/BU42-1)</f>
        <v>#DIV/0!</v>
      </c>
      <c r="BW45" s="39" t="e">
        <f t="shared" ref="BW45" si="296">+IF(BV42&lt;0,1-BW42/BV42,BW42/BV42-1)</f>
        <v>#DIV/0!</v>
      </c>
      <c r="BX45" s="39" t="e">
        <f t="shared" ref="BX45" si="297">+IF(BW42&lt;0,1-BX42/BW42,BX42/BW42-1)</f>
        <v>#DIV/0!</v>
      </c>
      <c r="BY45" s="39" t="e">
        <f t="shared" ref="BY45" si="298">+IF(BX42&lt;0,1-BY42/BX42,BY42/BX42-1)</f>
        <v>#DIV/0!</v>
      </c>
      <c r="BZ45" s="39" t="e">
        <f t="shared" ref="BZ45" si="299">+IF(BY42&lt;0,1-BZ42/BY42,BZ42/BY42-1)</f>
        <v>#DIV/0!</v>
      </c>
      <c r="CA45" s="39" t="e">
        <f t="shared" ref="CA45" si="300">+IF(BZ42&lt;0,1-CA42/BZ42,CA42/BZ42-1)</f>
        <v>#DIV/0!</v>
      </c>
      <c r="CB45" s="39" t="e">
        <f t="shared" ref="CB45" si="301">+IF(CA42&lt;0,1-CB42/CA42,CB42/CA42-1)</f>
        <v>#DIV/0!</v>
      </c>
      <c r="CC45" s="39" t="e">
        <f t="shared" ref="CC45" si="302">+IF(CB42&lt;0,1-CC42/CB42,CC42/CB42-1)</f>
        <v>#DIV/0!</v>
      </c>
      <c r="CD45" s="39" t="e">
        <f t="shared" ref="CD45" si="303">+IF(CC42&lt;0,1-CD42/CC42,CD42/CC42-1)</f>
        <v>#DIV/0!</v>
      </c>
      <c r="CE45" s="39">
        <f t="shared" ref="CE45" si="304">+IF(CD42&lt;0,1-CE42/CD42,CE42/CD42-1)</f>
        <v>0.24833259226322824</v>
      </c>
      <c r="CF45" s="39">
        <f t="shared" ref="CF45" si="305">+IF(CE42&lt;0,1-CF42/CE42,CF42/CE42-1)</f>
        <v>0.36936776491540502</v>
      </c>
      <c r="CG45" s="39">
        <f t="shared" ref="CG45" si="306">+IF(CF42&lt;0,1-CG42/CF42,CG42/CF42-1)</f>
        <v>-0.32878137599167634</v>
      </c>
      <c r="CH45" s="39">
        <f t="shared" ref="CH45:CL45" si="307">+IF(CG42&lt;0,1-CH42/CG42,CH42/CG42-1)</f>
        <v>0.27562487889943799</v>
      </c>
      <c r="CI45" s="39">
        <f t="shared" si="307"/>
        <v>-5.4378370167844081E-2</v>
      </c>
      <c r="CJ45" s="39">
        <f t="shared" si="307"/>
        <v>0.64798008192113143</v>
      </c>
      <c r="CK45" s="39">
        <f t="shared" si="307"/>
        <v>-0.29650567766460345</v>
      </c>
      <c r="CL45" s="39">
        <f t="shared" si="307"/>
        <v>0.39674402493938321</v>
      </c>
      <c r="CM45" s="40">
        <f t="shared" ref="CM45" si="308">+CM42/CL42-1</f>
        <v>-0.12744975866268338</v>
      </c>
      <c r="CN45" s="40">
        <f t="shared" ref="CN45" si="309">+CN42/CM42-1</f>
        <v>0.50562266255332777</v>
      </c>
      <c r="CO45" s="40">
        <f t="shared" ref="CO45" si="310">+CO42/CN42-1</f>
        <v>-0.27561699537074047</v>
      </c>
      <c r="CP45" s="40">
        <f t="shared" ref="CP45" si="311">+CP42/CO42-1</f>
        <v>0.25518839783839575</v>
      </c>
      <c r="CQ45" s="40">
        <f t="shared" ref="CQ45" si="312">+CQ42/CP42-1</f>
        <v>-0.17402215674325594</v>
      </c>
      <c r="CR45" s="40">
        <f t="shared" ref="CR45" si="313">+CR42/CQ42-1</f>
        <v>0.46789057341954354</v>
      </c>
      <c r="CS45" s="40">
        <f t="shared" ref="CS45" si="314">+CS42/CR42-1</f>
        <v>-0.21644613213346453</v>
      </c>
      <c r="CT45" s="40">
        <f t="shared" ref="CT45" si="315">+CT42/CS42-1</f>
        <v>0.23137673195592057</v>
      </c>
      <c r="CU45" s="40">
        <f t="shared" ref="CU45" si="316">+CU42/CT42-1</f>
        <v>-0.17605332720837852</v>
      </c>
      <c r="CV45" s="40">
        <f t="shared" ref="CV45" si="317">+CV42/CU42-1</f>
        <v>0.47094502891481715</v>
      </c>
      <c r="CW45" s="40">
        <f t="shared" ref="CW45" si="318">+CW42/CV42-1</f>
        <v>-0.21142950656987236</v>
      </c>
      <c r="CX45" s="40">
        <f t="shared" ref="CX45" si="319">+CX42/CW42-1</f>
        <v>0.22463795057714608</v>
      </c>
      <c r="CY45" s="40">
        <f t="shared" ref="CY45" si="320">+CY42/CX42-1</f>
        <v>-0.1756450326471235</v>
      </c>
      <c r="CZ45" s="40">
        <f t="shared" ref="CZ45" si="321">+CZ42/CY42-1</f>
        <v>0.47038376428170237</v>
      </c>
      <c r="DA45" s="40">
        <f t="shared" ref="DA45" si="322">+DA42/CZ42-1</f>
        <v>-0.20887655734999788</v>
      </c>
      <c r="DB45" s="40">
        <f t="shared" ref="DB45" si="323">+DB42/DA42-1</f>
        <v>0.22144412292758875</v>
      </c>
      <c r="DC45" s="40">
        <f t="shared" ref="DC45" si="324">+DC42/DB42-1</f>
        <v>-0.17515155225966117</v>
      </c>
      <c r="DD45" s="40">
        <f t="shared" ref="DD45" si="325">+DD42/DC42-1</f>
        <v>0.46886542358346506</v>
      </c>
      <c r="DE45" s="122"/>
    </row>
    <row r="46" spans="1:110" s="23" customFormat="1" outlineLevel="1" x14ac:dyDescent="0.2">
      <c r="A46" s="23" t="s">
        <v>8</v>
      </c>
      <c r="B46" s="23">
        <f>'Annual Raw'!C14</f>
        <v>0</v>
      </c>
      <c r="C46" s="23">
        <f>'Annual Raw'!D14</f>
        <v>0</v>
      </c>
      <c r="D46" s="23">
        <f>'Annual Raw'!E14</f>
        <v>0</v>
      </c>
      <c r="E46" s="23">
        <f>'Annual Raw'!F14</f>
        <v>0</v>
      </c>
      <c r="F46" s="23">
        <f>'Annual Raw'!G14</f>
        <v>0</v>
      </c>
      <c r="G46" s="23">
        <f>'Annual Raw'!H14</f>
        <v>0</v>
      </c>
      <c r="H46" s="23">
        <f>'Annual Raw'!I14</f>
        <v>0</v>
      </c>
      <c r="I46" s="23">
        <f>'Annual Raw'!J14</f>
        <v>0</v>
      </c>
      <c r="J46" s="23">
        <f>'Annual Raw'!K14</f>
        <v>0</v>
      </c>
      <c r="K46" s="23">
        <f>'Annual Raw'!L14</f>
        <v>0</v>
      </c>
      <c r="L46" s="23">
        <f>'Annual Raw'!M14</f>
        <v>0</v>
      </c>
      <c r="M46" s="23">
        <f>'Annual Raw'!N14</f>
        <v>0</v>
      </c>
      <c r="N46" s="23">
        <f>'Annual Raw'!O14</f>
        <v>0</v>
      </c>
      <c r="O46" s="23">
        <f>'Annual Raw'!P14</f>
        <v>0</v>
      </c>
      <c r="P46" s="23">
        <f>'Annual Raw'!Q14</f>
        <v>0</v>
      </c>
      <c r="Q46" s="23">
        <f>'Annual Raw'!R14</f>
        <v>0</v>
      </c>
      <c r="R46" s="23">
        <f>'Annual Raw'!S14</f>
        <v>0</v>
      </c>
      <c r="S46" s="23">
        <f>'Annual Raw'!T14</f>
        <v>0</v>
      </c>
      <c r="T46" s="23">
        <f>'Annual Raw'!U14</f>
        <v>0</v>
      </c>
      <c r="U46" s="23">
        <f>'Annual Raw'!V14</f>
        <v>0</v>
      </c>
      <c r="V46" s="23">
        <f>'Annual Raw'!W14</f>
        <v>0</v>
      </c>
      <c r="W46" s="23">
        <f>'Annual Raw'!X14</f>
        <v>0</v>
      </c>
      <c r="X46" s="23">
        <f>'Annual Raw'!Y14</f>
        <v>0</v>
      </c>
      <c r="Y46" s="23">
        <f>'Annual Raw'!Z14</f>
        <v>542.79999999999995</v>
      </c>
      <c r="Z46" s="23">
        <f>'Annual Raw'!AA14</f>
        <v>985.4</v>
      </c>
      <c r="AA46" s="76">
        <f t="shared" ref="AA46:AA51" si="326">SUM(CK46:CN46)</f>
        <v>1098.9369999999999</v>
      </c>
      <c r="AB46" s="76">
        <f t="shared" ref="AB46:AB51" si="327">+SUM(CO46:CR46)</f>
        <v>1175.8625900000002</v>
      </c>
      <c r="AC46" s="76">
        <f t="shared" ref="AC46:AC51" si="328">+SUM(CS46:CV46)</f>
        <v>1258.1729713000002</v>
      </c>
      <c r="AD46" s="76">
        <f t="shared" ref="AD46:AD51" si="329">+SUM(CW46:CZ46)</f>
        <v>1346.2450792910001</v>
      </c>
      <c r="AE46" s="76">
        <f t="shared" ref="AE46:AE51" si="330">+SUM(DA46:DD46)</f>
        <v>1440.4822348413702</v>
      </c>
      <c r="AI46" s="23">
        <f>'QTR Raw'!C16</f>
        <v>0</v>
      </c>
      <c r="AJ46" s="23">
        <f>'QTR Raw'!D16</f>
        <v>0</v>
      </c>
      <c r="AK46" s="23">
        <f>'QTR Raw'!E16</f>
        <v>0</v>
      </c>
      <c r="AL46" s="23">
        <f>'QTR Raw'!F16</f>
        <v>0</v>
      </c>
      <c r="AM46" s="23">
        <f>'QTR Raw'!G16</f>
        <v>0</v>
      </c>
      <c r="AN46" s="23">
        <f>'QTR Raw'!H16</f>
        <v>0</v>
      </c>
      <c r="AO46" s="23">
        <f>'QTR Raw'!I16</f>
        <v>0</v>
      </c>
      <c r="AP46" s="23">
        <f>'QTR Raw'!J16</f>
        <v>0</v>
      </c>
      <c r="AQ46" s="23">
        <f>'QTR Raw'!K16</f>
        <v>0</v>
      </c>
      <c r="AR46" s="23">
        <f>'QTR Raw'!L16</f>
        <v>0</v>
      </c>
      <c r="AS46" s="23">
        <f>'QTR Raw'!M16</f>
        <v>0</v>
      </c>
      <c r="AT46" s="23">
        <f>'QTR Raw'!N16</f>
        <v>0</v>
      </c>
      <c r="AU46" s="23">
        <f>'QTR Raw'!O16</f>
        <v>0</v>
      </c>
      <c r="AV46" s="23">
        <f>'QTR Raw'!P16</f>
        <v>0</v>
      </c>
      <c r="AW46" s="23">
        <f>'QTR Raw'!Q16</f>
        <v>0</v>
      </c>
      <c r="AX46" s="23">
        <f>'QTR Raw'!R16</f>
        <v>0</v>
      </c>
      <c r="AY46" s="23">
        <f>'QTR Raw'!S16</f>
        <v>0</v>
      </c>
      <c r="AZ46" s="23">
        <f>'QTR Raw'!T16</f>
        <v>0</v>
      </c>
      <c r="BA46" s="23">
        <f>'QTR Raw'!U16</f>
        <v>0</v>
      </c>
      <c r="BB46" s="23">
        <f>'QTR Raw'!V16</f>
        <v>0</v>
      </c>
      <c r="BC46" s="23">
        <f>'QTR Raw'!W16</f>
        <v>0</v>
      </c>
      <c r="BD46" s="23">
        <f>'QTR Raw'!X16</f>
        <v>0</v>
      </c>
      <c r="BE46" s="23">
        <f>'QTR Raw'!Y16</f>
        <v>0</v>
      </c>
      <c r="BF46" s="23">
        <f>'QTR Raw'!Z16</f>
        <v>0</v>
      </c>
      <c r="BG46" s="23">
        <f>'QTR Raw'!AA16</f>
        <v>0</v>
      </c>
      <c r="BH46" s="23">
        <f>'QTR Raw'!AB16</f>
        <v>0</v>
      </c>
      <c r="BI46" s="23">
        <f>'QTR Raw'!AC16</f>
        <v>0</v>
      </c>
      <c r="BJ46" s="23">
        <f>'QTR Raw'!AD16</f>
        <v>0</v>
      </c>
      <c r="BK46" s="23">
        <f>'QTR Raw'!AE16</f>
        <v>0</v>
      </c>
      <c r="BL46" s="23">
        <f>'QTR Raw'!AF16</f>
        <v>0</v>
      </c>
      <c r="BM46" s="23">
        <f>'QTR Raw'!AG16</f>
        <v>0</v>
      </c>
      <c r="BN46" s="23">
        <f>'QTR Raw'!AH16</f>
        <v>0</v>
      </c>
      <c r="BO46" s="23">
        <f>'QTR Raw'!AI16</f>
        <v>0</v>
      </c>
      <c r="BP46" s="23">
        <f>'QTR Raw'!AJ16</f>
        <v>0</v>
      </c>
      <c r="BQ46" s="23">
        <f>'QTR Raw'!AK16</f>
        <v>0</v>
      </c>
      <c r="BR46" s="23">
        <f>'QTR Raw'!AL16</f>
        <v>0</v>
      </c>
      <c r="BS46" s="23">
        <f>'QTR Raw'!AM16</f>
        <v>0</v>
      </c>
      <c r="BT46" s="23">
        <f>'QTR Raw'!AN16</f>
        <v>0</v>
      </c>
      <c r="BU46" s="23">
        <f>'QTR Raw'!AO16</f>
        <v>0</v>
      </c>
      <c r="BV46" s="23">
        <f>'QTR Raw'!AP16</f>
        <v>0</v>
      </c>
      <c r="BW46" s="23">
        <f>'QTR Raw'!AQ16</f>
        <v>0</v>
      </c>
      <c r="BX46" s="23">
        <f>'QTR Raw'!AR16</f>
        <v>0</v>
      </c>
      <c r="BY46" s="23">
        <f>'QTR Raw'!AS16</f>
        <v>0</v>
      </c>
      <c r="BZ46" s="23">
        <f>'QTR Raw'!AT16</f>
        <v>0</v>
      </c>
      <c r="CA46" s="23">
        <f>'QTR Raw'!AU16</f>
        <v>0</v>
      </c>
      <c r="CB46" s="23">
        <f>'QTR Raw'!AV16</f>
        <v>0</v>
      </c>
      <c r="CC46" s="23">
        <f>'QTR Raw'!AW16</f>
        <v>0</v>
      </c>
      <c r="CD46" s="23">
        <f>'QTR Raw'!AX16</f>
        <v>115.9</v>
      </c>
      <c r="CE46" s="23">
        <f>'QTR Raw'!AY16</f>
        <v>217.2</v>
      </c>
      <c r="CF46" s="23">
        <f>'QTR Raw'!AZ16</f>
        <v>209.7</v>
      </c>
      <c r="CG46" s="23">
        <f>'QTR Raw'!BA16</f>
        <v>211.2</v>
      </c>
      <c r="CH46" s="23">
        <f>'QTR Raw'!BB16</f>
        <v>225.1</v>
      </c>
      <c r="CI46" s="23">
        <f>'QTR Raw'!BC16</f>
        <v>241.7</v>
      </c>
      <c r="CJ46" s="23">
        <f>'QTR Raw'!BD16</f>
        <v>307.39999999999998</v>
      </c>
      <c r="CK46" s="23">
        <f>'QTR Raw'!BE16</f>
        <v>251.7</v>
      </c>
      <c r="CL46" s="23">
        <f>'QTR Raw'!BF16</f>
        <v>259.7</v>
      </c>
      <c r="CM46" s="24">
        <f>CI46*107%</f>
        <v>258.61900000000003</v>
      </c>
      <c r="CN46" s="24">
        <f t="shared" ref="CN46:CP46" si="331">CJ46*107%</f>
        <v>328.91800000000001</v>
      </c>
      <c r="CO46" s="24">
        <f t="shared" si="331"/>
        <v>269.31900000000002</v>
      </c>
      <c r="CP46" s="24">
        <f t="shared" si="331"/>
        <v>277.87900000000002</v>
      </c>
      <c r="CQ46" s="24">
        <f t="shared" ref="CQ46:DB46" si="332">CM46*107%</f>
        <v>276.72233000000006</v>
      </c>
      <c r="CR46" s="24">
        <f t="shared" si="332"/>
        <v>351.94226000000003</v>
      </c>
      <c r="CS46" s="24">
        <f t="shared" si="332"/>
        <v>288.17133000000001</v>
      </c>
      <c r="CT46" s="24">
        <f t="shared" si="332"/>
        <v>297.33053000000001</v>
      </c>
      <c r="CU46" s="24">
        <f t="shared" si="332"/>
        <v>296.09289310000008</v>
      </c>
      <c r="CV46" s="24">
        <f t="shared" si="332"/>
        <v>376.57821820000004</v>
      </c>
      <c r="CW46" s="24">
        <f t="shared" si="332"/>
        <v>308.34332310000002</v>
      </c>
      <c r="CX46" s="24">
        <f t="shared" si="332"/>
        <v>318.14366710000002</v>
      </c>
      <c r="CY46" s="24">
        <f t="shared" si="332"/>
        <v>316.81939561700011</v>
      </c>
      <c r="CZ46" s="24">
        <f t="shared" si="332"/>
        <v>402.93869347400005</v>
      </c>
      <c r="DA46" s="24">
        <f t="shared" si="332"/>
        <v>329.92735571700007</v>
      </c>
      <c r="DB46" s="24">
        <f t="shared" si="332"/>
        <v>340.41372379700005</v>
      </c>
      <c r="DC46" s="24">
        <f t="shared" ref="DC46" si="333">CY46*107%</f>
        <v>338.99675331019012</v>
      </c>
      <c r="DD46" s="24">
        <f t="shared" ref="DD46" si="334">CZ46*107%</f>
        <v>431.14440201718008</v>
      </c>
      <c r="DE46" s="123"/>
      <c r="DF46" s="23">
        <v>985.4</v>
      </c>
    </row>
    <row r="47" spans="1:110" s="23" customFormat="1" outlineLevel="1" x14ac:dyDescent="0.2">
      <c r="A47" s="23" t="s">
        <v>10</v>
      </c>
      <c r="B47" s="23">
        <f>'Annual Raw'!C17</f>
        <v>0</v>
      </c>
      <c r="C47" s="23">
        <f>'Annual Raw'!D17</f>
        <v>0</v>
      </c>
      <c r="D47" s="23">
        <f>'Annual Raw'!E17</f>
        <v>0</v>
      </c>
      <c r="E47" s="23">
        <f>'Annual Raw'!F17</f>
        <v>0</v>
      </c>
      <c r="F47" s="23">
        <f>'Annual Raw'!G17</f>
        <v>0</v>
      </c>
      <c r="G47" s="23">
        <f>'Annual Raw'!H17</f>
        <v>0</v>
      </c>
      <c r="H47" s="23">
        <f>'Annual Raw'!I17</f>
        <v>0</v>
      </c>
      <c r="I47" s="23">
        <f>'Annual Raw'!J17</f>
        <v>0</v>
      </c>
      <c r="J47" s="23">
        <f>'Annual Raw'!K17</f>
        <v>0</v>
      </c>
      <c r="K47" s="23">
        <f>'Annual Raw'!L17</f>
        <v>0</v>
      </c>
      <c r="L47" s="23">
        <f>'Annual Raw'!M17</f>
        <v>0</v>
      </c>
      <c r="M47" s="23">
        <f>'Annual Raw'!N17</f>
        <v>0</v>
      </c>
      <c r="N47" s="23">
        <f>'Annual Raw'!O17</f>
        <v>0</v>
      </c>
      <c r="O47" s="23">
        <f>'Annual Raw'!P17</f>
        <v>0</v>
      </c>
      <c r="P47" s="23">
        <f>'Annual Raw'!Q17</f>
        <v>0</v>
      </c>
      <c r="Q47" s="23">
        <f>'Annual Raw'!R17</f>
        <v>0</v>
      </c>
      <c r="R47" s="23">
        <f>'Annual Raw'!S17</f>
        <v>0</v>
      </c>
      <c r="S47" s="23">
        <f>'Annual Raw'!T17</f>
        <v>0</v>
      </c>
      <c r="T47" s="23">
        <f>'Annual Raw'!U17</f>
        <v>0</v>
      </c>
      <c r="U47" s="23">
        <f>'Annual Raw'!V17</f>
        <v>0</v>
      </c>
      <c r="V47" s="23">
        <f>'Annual Raw'!W17</f>
        <v>0</v>
      </c>
      <c r="W47" s="23">
        <f>'Annual Raw'!X17</f>
        <v>0</v>
      </c>
      <c r="X47" s="23">
        <f>'Annual Raw'!Y17</f>
        <v>0</v>
      </c>
      <c r="Y47" s="23">
        <f>'Annual Raw'!Z17</f>
        <v>280.5</v>
      </c>
      <c r="Z47" s="23">
        <f>'Annual Raw'!AA17</f>
        <v>538.1</v>
      </c>
      <c r="AA47" s="76">
        <f t="shared" si="326"/>
        <v>0</v>
      </c>
      <c r="AB47" s="76">
        <f t="shared" si="327"/>
        <v>0</v>
      </c>
      <c r="AC47" s="76">
        <f t="shared" si="328"/>
        <v>0</v>
      </c>
      <c r="AD47" s="76">
        <f t="shared" si="329"/>
        <v>0</v>
      </c>
      <c r="AE47" s="76">
        <f t="shared" si="330"/>
        <v>0</v>
      </c>
      <c r="AI47" s="23">
        <f>'QTR Raw'!C17</f>
        <v>0</v>
      </c>
      <c r="AJ47" s="23">
        <f>'QTR Raw'!D17</f>
        <v>0</v>
      </c>
      <c r="AK47" s="23">
        <f>'QTR Raw'!E17</f>
        <v>0</v>
      </c>
      <c r="AL47" s="23">
        <f>'QTR Raw'!F17</f>
        <v>0</v>
      </c>
      <c r="AM47" s="23">
        <f>'QTR Raw'!G17</f>
        <v>0</v>
      </c>
      <c r="AN47" s="23">
        <f>'QTR Raw'!H17</f>
        <v>0</v>
      </c>
      <c r="AO47" s="23">
        <f>'QTR Raw'!I17</f>
        <v>0</v>
      </c>
      <c r="AP47" s="23">
        <f>'QTR Raw'!J17</f>
        <v>0</v>
      </c>
      <c r="AQ47" s="23">
        <f>'QTR Raw'!K17</f>
        <v>0</v>
      </c>
      <c r="AR47" s="23">
        <f>'QTR Raw'!L17</f>
        <v>0</v>
      </c>
      <c r="AS47" s="23">
        <f>'QTR Raw'!M17</f>
        <v>0</v>
      </c>
      <c r="AT47" s="23">
        <f>'QTR Raw'!N17</f>
        <v>0</v>
      </c>
      <c r="AU47" s="23">
        <f>'QTR Raw'!O17</f>
        <v>0</v>
      </c>
      <c r="AV47" s="23">
        <f>'QTR Raw'!P17</f>
        <v>0</v>
      </c>
      <c r="AW47" s="23">
        <f>'QTR Raw'!Q17</f>
        <v>0</v>
      </c>
      <c r="AX47" s="23">
        <f>'QTR Raw'!R17</f>
        <v>0</v>
      </c>
      <c r="AY47" s="23">
        <f>'QTR Raw'!S17</f>
        <v>0</v>
      </c>
      <c r="AZ47" s="23">
        <f>'QTR Raw'!T17</f>
        <v>0</v>
      </c>
      <c r="BA47" s="23">
        <f>'QTR Raw'!U17</f>
        <v>0</v>
      </c>
      <c r="BB47" s="23">
        <f>'QTR Raw'!V17</f>
        <v>0</v>
      </c>
      <c r="BC47" s="23">
        <f>'QTR Raw'!W17</f>
        <v>0</v>
      </c>
      <c r="BD47" s="23">
        <f>'QTR Raw'!X17</f>
        <v>0</v>
      </c>
      <c r="BE47" s="23">
        <f>'QTR Raw'!Y17</f>
        <v>0</v>
      </c>
      <c r="BF47" s="23">
        <f>'QTR Raw'!Z17</f>
        <v>0</v>
      </c>
      <c r="BG47" s="23">
        <f>'QTR Raw'!AA17</f>
        <v>0</v>
      </c>
      <c r="BH47" s="23">
        <f>'QTR Raw'!AB17</f>
        <v>0</v>
      </c>
      <c r="BI47" s="23">
        <f>'QTR Raw'!AC17</f>
        <v>0</v>
      </c>
      <c r="BJ47" s="23">
        <f>'QTR Raw'!AD17</f>
        <v>0</v>
      </c>
      <c r="BK47" s="23">
        <f>'QTR Raw'!AE17</f>
        <v>0</v>
      </c>
      <c r="BL47" s="23">
        <f>'QTR Raw'!AF17</f>
        <v>0</v>
      </c>
      <c r="BM47" s="23">
        <f>'QTR Raw'!AG17</f>
        <v>0</v>
      </c>
      <c r="BN47" s="23">
        <f>'QTR Raw'!AH17</f>
        <v>0</v>
      </c>
      <c r="BO47" s="23">
        <f>'QTR Raw'!AI17</f>
        <v>0</v>
      </c>
      <c r="BP47" s="23">
        <f>'QTR Raw'!AJ17</f>
        <v>0</v>
      </c>
      <c r="BQ47" s="23">
        <f>'QTR Raw'!AK17</f>
        <v>0</v>
      </c>
      <c r="BR47" s="23">
        <f>'QTR Raw'!AL17</f>
        <v>0</v>
      </c>
      <c r="BS47" s="23">
        <f>'QTR Raw'!AM17</f>
        <v>0</v>
      </c>
      <c r="BT47" s="23">
        <f>'QTR Raw'!AN17</f>
        <v>0</v>
      </c>
      <c r="BU47" s="23">
        <f>'QTR Raw'!AO17</f>
        <v>0</v>
      </c>
      <c r="BV47" s="23">
        <f>'QTR Raw'!AP17</f>
        <v>0</v>
      </c>
      <c r="BW47" s="23">
        <f>'QTR Raw'!AQ17</f>
        <v>0</v>
      </c>
      <c r="BX47" s="23">
        <f>'QTR Raw'!AR17</f>
        <v>0</v>
      </c>
      <c r="BY47" s="23">
        <f>'QTR Raw'!AS17</f>
        <v>0</v>
      </c>
      <c r="BZ47" s="23">
        <f>'QTR Raw'!AT17</f>
        <v>0</v>
      </c>
      <c r="CA47" s="23">
        <f>'QTR Raw'!AU17</f>
        <v>0</v>
      </c>
      <c r="CB47" s="23">
        <f>'QTR Raw'!AV17</f>
        <v>0</v>
      </c>
      <c r="CC47" s="23">
        <f>'QTR Raw'!AW17</f>
        <v>0</v>
      </c>
      <c r="CD47" s="23">
        <f>'QTR Raw'!AX17</f>
        <v>0</v>
      </c>
      <c r="CE47" s="23">
        <f>'QTR Raw'!AY17</f>
        <v>0</v>
      </c>
      <c r="CF47" s="23">
        <f>'QTR Raw'!AZ17</f>
        <v>0</v>
      </c>
      <c r="CG47" s="23">
        <f>'QTR Raw'!BA17</f>
        <v>0</v>
      </c>
      <c r="CH47" s="23">
        <f>'QTR Raw'!BB17</f>
        <v>0</v>
      </c>
      <c r="CI47" s="23">
        <f>'QTR Raw'!BC17</f>
        <v>0</v>
      </c>
      <c r="CJ47" s="23">
        <f>'QTR Raw'!BD17</f>
        <v>0</v>
      </c>
      <c r="CK47" s="23">
        <f>'QTR Raw'!BE17</f>
        <v>0</v>
      </c>
      <c r="CL47" s="23">
        <f>'QTR Raw'!BF17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123"/>
      <c r="DF47" s="23">
        <v>538.1</v>
      </c>
    </row>
    <row r="48" spans="1:110" s="23" customFormat="1" outlineLevel="1" x14ac:dyDescent="0.2">
      <c r="A48" s="23" t="s">
        <v>12</v>
      </c>
      <c r="B48" s="23">
        <f>'Annual Raw'!C19-'Annual Raw'!C20</f>
        <v>0</v>
      </c>
      <c r="C48" s="23">
        <f>'Annual Raw'!D19-'Annual Raw'!D20</f>
        <v>0</v>
      </c>
      <c r="D48" s="23">
        <f>'Annual Raw'!E19-'Annual Raw'!E20</f>
        <v>0</v>
      </c>
      <c r="E48" s="23">
        <f>'Annual Raw'!F19-'Annual Raw'!F20</f>
        <v>0</v>
      </c>
      <c r="F48" s="23">
        <f>'Annual Raw'!G19-'Annual Raw'!G20</f>
        <v>0</v>
      </c>
      <c r="G48" s="23">
        <f>'Annual Raw'!H19-'Annual Raw'!H20</f>
        <v>0</v>
      </c>
      <c r="H48" s="23">
        <f>'Annual Raw'!I19-'Annual Raw'!I20</f>
        <v>0</v>
      </c>
      <c r="I48" s="23">
        <f>'Annual Raw'!J19-'Annual Raw'!J20</f>
        <v>0</v>
      </c>
      <c r="J48" s="23">
        <f>'Annual Raw'!K19-'Annual Raw'!K20</f>
        <v>0</v>
      </c>
      <c r="K48" s="23">
        <f>'Annual Raw'!L19-'Annual Raw'!L20</f>
        <v>0</v>
      </c>
      <c r="L48" s="23">
        <f>'Annual Raw'!M19-'Annual Raw'!M20</f>
        <v>0</v>
      </c>
      <c r="M48" s="23">
        <f>'Annual Raw'!N19-'Annual Raw'!N20</f>
        <v>0</v>
      </c>
      <c r="N48" s="23">
        <f>'Annual Raw'!O19-'Annual Raw'!O20</f>
        <v>0</v>
      </c>
      <c r="O48" s="23">
        <f>'Annual Raw'!P19-'Annual Raw'!P20</f>
        <v>0</v>
      </c>
      <c r="P48" s="23">
        <f>'Annual Raw'!Q19-'Annual Raw'!Q20</f>
        <v>0</v>
      </c>
      <c r="Q48" s="23">
        <f>'Annual Raw'!R19-'Annual Raw'!R20</f>
        <v>0</v>
      </c>
      <c r="R48" s="23">
        <f>'Annual Raw'!S19-'Annual Raw'!S20</f>
        <v>0</v>
      </c>
      <c r="S48" s="23">
        <f>'Annual Raw'!T19-'Annual Raw'!T20</f>
        <v>0</v>
      </c>
      <c r="T48" s="23">
        <f>'Annual Raw'!U19-'Annual Raw'!U20</f>
        <v>0</v>
      </c>
      <c r="U48" s="23">
        <f>'Annual Raw'!V19-'Annual Raw'!V20</f>
        <v>0</v>
      </c>
      <c r="V48" s="23">
        <f>'Annual Raw'!W19-'Annual Raw'!W20</f>
        <v>0</v>
      </c>
      <c r="W48" s="23">
        <f>'Annual Raw'!X19-'Annual Raw'!X20</f>
        <v>0</v>
      </c>
      <c r="X48" s="23">
        <f>'Annual Raw'!Y19-'Annual Raw'!Y20</f>
        <v>0</v>
      </c>
      <c r="Y48" s="23">
        <f>'Annual Raw'!Z19-'Annual Raw'!Z20</f>
        <v>70.8</v>
      </c>
      <c r="Z48" s="23">
        <f>'Annual Raw'!AA19-'Annual Raw'!AA20</f>
        <v>82.5</v>
      </c>
      <c r="AA48" s="76">
        <f t="shared" si="326"/>
        <v>0</v>
      </c>
      <c r="AB48" s="76">
        <f t="shared" si="327"/>
        <v>0</v>
      </c>
      <c r="AC48" s="76">
        <f t="shared" si="328"/>
        <v>0</v>
      </c>
      <c r="AD48" s="76">
        <f t="shared" si="329"/>
        <v>0</v>
      </c>
      <c r="AE48" s="76">
        <f t="shared" si="330"/>
        <v>0</v>
      </c>
      <c r="AI48" s="23">
        <f>+'QTR Raw'!C21</f>
        <v>0</v>
      </c>
      <c r="AJ48" s="23">
        <f>+'QTR Raw'!D21</f>
        <v>0</v>
      </c>
      <c r="AK48" s="23">
        <f>+'QTR Raw'!E21</f>
        <v>0</v>
      </c>
      <c r="AL48" s="23">
        <f>+'QTR Raw'!F21</f>
        <v>0</v>
      </c>
      <c r="AM48" s="23">
        <f>+'QTR Raw'!G21</f>
        <v>0</v>
      </c>
      <c r="AN48" s="23">
        <f>+'QTR Raw'!H21</f>
        <v>0</v>
      </c>
      <c r="AO48" s="23">
        <f>+'QTR Raw'!I21</f>
        <v>0</v>
      </c>
      <c r="AP48" s="23">
        <f>+'QTR Raw'!J21</f>
        <v>0</v>
      </c>
      <c r="AQ48" s="23">
        <f>+'QTR Raw'!K21</f>
        <v>0</v>
      </c>
      <c r="AR48" s="23">
        <f>+'QTR Raw'!L21</f>
        <v>0</v>
      </c>
      <c r="AS48" s="23">
        <f>+'QTR Raw'!M21</f>
        <v>0</v>
      </c>
      <c r="AT48" s="23">
        <f>+'QTR Raw'!N21</f>
        <v>0</v>
      </c>
      <c r="AU48" s="23">
        <f>+'QTR Raw'!O21</f>
        <v>0</v>
      </c>
      <c r="AV48" s="23">
        <f>+'QTR Raw'!P21</f>
        <v>0</v>
      </c>
      <c r="AW48" s="23">
        <f>+'QTR Raw'!Q21</f>
        <v>0</v>
      </c>
      <c r="AX48" s="23">
        <f>+'QTR Raw'!R21</f>
        <v>0</v>
      </c>
      <c r="AY48" s="23">
        <f>+'QTR Raw'!S21</f>
        <v>0</v>
      </c>
      <c r="AZ48" s="23">
        <f>+'QTR Raw'!T21</f>
        <v>0</v>
      </c>
      <c r="BA48" s="23">
        <f>+'QTR Raw'!U21</f>
        <v>0</v>
      </c>
      <c r="BB48" s="23">
        <f>+'QTR Raw'!V21</f>
        <v>0</v>
      </c>
      <c r="BC48" s="23">
        <f>+'QTR Raw'!W21</f>
        <v>0</v>
      </c>
      <c r="BD48" s="23">
        <f>+'QTR Raw'!X21</f>
        <v>0</v>
      </c>
      <c r="BE48" s="23">
        <f>+'QTR Raw'!Y21</f>
        <v>0</v>
      </c>
      <c r="BF48" s="23">
        <f>+'QTR Raw'!Z21</f>
        <v>0</v>
      </c>
      <c r="BG48" s="23">
        <f>+'QTR Raw'!AA21</f>
        <v>0</v>
      </c>
      <c r="BH48" s="23">
        <f>+'QTR Raw'!AB21</f>
        <v>0</v>
      </c>
      <c r="BI48" s="23">
        <f>+'QTR Raw'!AC21</f>
        <v>0</v>
      </c>
      <c r="BJ48" s="23">
        <f>+'QTR Raw'!AD21</f>
        <v>0</v>
      </c>
      <c r="BK48" s="23">
        <f>+'QTR Raw'!AE21</f>
        <v>0</v>
      </c>
      <c r="BL48" s="23">
        <f>+'QTR Raw'!AF21</f>
        <v>0</v>
      </c>
      <c r="BM48" s="23">
        <f>+'QTR Raw'!AG21</f>
        <v>0</v>
      </c>
      <c r="BN48" s="23">
        <f>+'QTR Raw'!AH21</f>
        <v>0</v>
      </c>
      <c r="BO48" s="23">
        <f>+'QTR Raw'!AI21</f>
        <v>0</v>
      </c>
      <c r="BP48" s="23">
        <f>+'QTR Raw'!AJ21</f>
        <v>0</v>
      </c>
      <c r="BQ48" s="23">
        <f>+'QTR Raw'!AK21</f>
        <v>0</v>
      </c>
      <c r="BR48" s="23">
        <f>+'QTR Raw'!AL21</f>
        <v>0</v>
      </c>
      <c r="BS48" s="23">
        <f>+'QTR Raw'!AM21</f>
        <v>0</v>
      </c>
      <c r="BT48" s="23">
        <f>+'QTR Raw'!AN21</f>
        <v>0</v>
      </c>
      <c r="BU48" s="23">
        <f>+'QTR Raw'!AO21</f>
        <v>0</v>
      </c>
      <c r="BV48" s="23">
        <f>+'QTR Raw'!AP21</f>
        <v>0</v>
      </c>
      <c r="BW48" s="23">
        <f>+'QTR Raw'!AQ21</f>
        <v>0</v>
      </c>
      <c r="BX48" s="23">
        <f>+'QTR Raw'!AR21</f>
        <v>0</v>
      </c>
      <c r="BY48" s="23">
        <f>+'QTR Raw'!AS21</f>
        <v>0</v>
      </c>
      <c r="BZ48" s="23">
        <f>+'QTR Raw'!AT21</f>
        <v>0</v>
      </c>
      <c r="CA48" s="23">
        <f>+'QTR Raw'!AU21</f>
        <v>0</v>
      </c>
      <c r="CB48" s="23">
        <f>+'QTR Raw'!AV21</f>
        <v>0</v>
      </c>
      <c r="CC48" s="23">
        <f>+'QTR Raw'!AW21</f>
        <v>0</v>
      </c>
      <c r="CD48" s="23">
        <f>+'QTR Raw'!AX21</f>
        <v>0</v>
      </c>
      <c r="CE48" s="23">
        <f>+'QTR Raw'!AY21</f>
        <v>0</v>
      </c>
      <c r="CF48" s="23">
        <f>+'QTR Raw'!AZ21</f>
        <v>0</v>
      </c>
      <c r="CG48" s="23">
        <f>+'QTR Raw'!BA21</f>
        <v>0</v>
      </c>
      <c r="CH48" s="23">
        <f>+'QTR Raw'!BB21</f>
        <v>0</v>
      </c>
      <c r="CI48" s="23">
        <f>+'QTR Raw'!BC21</f>
        <v>0</v>
      </c>
      <c r="CJ48" s="23">
        <f>+'QTR Raw'!BD21</f>
        <v>0</v>
      </c>
      <c r="CK48" s="23">
        <f>+'QTR Raw'!BE21</f>
        <v>0</v>
      </c>
      <c r="CL48" s="23">
        <f>+'QTR Raw'!BF21</f>
        <v>0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123"/>
      <c r="DF48" s="23">
        <v>82.5</v>
      </c>
    </row>
    <row r="49" spans="1:110" s="23" customFormat="1" outlineLevel="1" x14ac:dyDescent="0.2">
      <c r="A49" s="23" t="s">
        <v>9</v>
      </c>
      <c r="B49" s="23">
        <f>'Annual Raw'!C15+'Annual Raw'!C16</f>
        <v>0</v>
      </c>
      <c r="C49" s="23">
        <f>'Annual Raw'!D15+'Annual Raw'!D16</f>
        <v>0</v>
      </c>
      <c r="D49" s="23">
        <f>'Annual Raw'!E15+'Annual Raw'!E16</f>
        <v>0</v>
      </c>
      <c r="E49" s="23">
        <f>'Annual Raw'!F15+'Annual Raw'!F16</f>
        <v>0</v>
      </c>
      <c r="F49" s="23">
        <f>'Annual Raw'!G15+'Annual Raw'!G16</f>
        <v>0</v>
      </c>
      <c r="G49" s="23">
        <f>'Annual Raw'!H15+'Annual Raw'!H16</f>
        <v>0</v>
      </c>
      <c r="H49" s="23">
        <f>'Annual Raw'!I15+'Annual Raw'!I16</f>
        <v>0</v>
      </c>
      <c r="I49" s="23">
        <f>'Annual Raw'!J15+'Annual Raw'!J16</f>
        <v>0</v>
      </c>
      <c r="J49" s="23">
        <f>'Annual Raw'!K15+'Annual Raw'!K16</f>
        <v>0</v>
      </c>
      <c r="K49" s="23">
        <f>'Annual Raw'!L15+'Annual Raw'!L16</f>
        <v>0</v>
      </c>
      <c r="L49" s="23">
        <f>'Annual Raw'!M15+'Annual Raw'!M16</f>
        <v>0</v>
      </c>
      <c r="M49" s="23">
        <f>'Annual Raw'!N15+'Annual Raw'!N16</f>
        <v>0</v>
      </c>
      <c r="N49" s="23">
        <f>'Annual Raw'!O15+'Annual Raw'!O16</f>
        <v>0</v>
      </c>
      <c r="O49" s="23">
        <f>'Annual Raw'!P15+'Annual Raw'!P16</f>
        <v>0</v>
      </c>
      <c r="P49" s="23">
        <f>'Annual Raw'!Q15+'Annual Raw'!Q16</f>
        <v>0</v>
      </c>
      <c r="Q49" s="23">
        <f>'Annual Raw'!R15+'Annual Raw'!R16</f>
        <v>0</v>
      </c>
      <c r="R49" s="23">
        <f>'Annual Raw'!S15+'Annual Raw'!S16</f>
        <v>0</v>
      </c>
      <c r="S49" s="23">
        <f>'Annual Raw'!T15+'Annual Raw'!T16</f>
        <v>0</v>
      </c>
      <c r="T49" s="23">
        <f>'Annual Raw'!U15+'Annual Raw'!U16</f>
        <v>0</v>
      </c>
      <c r="U49" s="23">
        <f>'Annual Raw'!V15+'Annual Raw'!V16</f>
        <v>0</v>
      </c>
      <c r="V49" s="23">
        <f>'Annual Raw'!W15+'Annual Raw'!W16</f>
        <v>0</v>
      </c>
      <c r="W49" s="23">
        <f>'Annual Raw'!X15+'Annual Raw'!X16</f>
        <v>0</v>
      </c>
      <c r="X49" s="23">
        <f>'Annual Raw'!Y15+'Annual Raw'!Y16</f>
        <v>0</v>
      </c>
      <c r="Y49" s="23">
        <f>'Annual Raw'!Z15+'Annual Raw'!Z16</f>
        <v>1742.8</v>
      </c>
      <c r="Z49" s="23">
        <f>'Annual Raw'!AA15+'Annual Raw'!AA16</f>
        <v>2416.3000000000002</v>
      </c>
      <c r="AA49" s="76">
        <f t="shared" si="326"/>
        <v>4697.0661560307362</v>
      </c>
      <c r="AB49" s="76">
        <f t="shared" si="327"/>
        <v>5495.666520195593</v>
      </c>
      <c r="AC49" s="76">
        <f t="shared" si="328"/>
        <v>6433.5585148221708</v>
      </c>
      <c r="AD49" s="76">
        <f t="shared" si="329"/>
        <v>7647.1316491364178</v>
      </c>
      <c r="AE49" s="76">
        <f t="shared" si="330"/>
        <v>9111.5685902022815</v>
      </c>
      <c r="AI49" s="23">
        <f>'QTR Raw'!C14</f>
        <v>0</v>
      </c>
      <c r="AJ49" s="23">
        <f>'QTR Raw'!D14</f>
        <v>0</v>
      </c>
      <c r="AK49" s="23">
        <f>'QTR Raw'!E14</f>
        <v>0</v>
      </c>
      <c r="AL49" s="23">
        <f>'QTR Raw'!F14</f>
        <v>0</v>
      </c>
      <c r="AM49" s="23">
        <f>'QTR Raw'!G14</f>
        <v>0</v>
      </c>
      <c r="AN49" s="23">
        <f>'QTR Raw'!H14</f>
        <v>0</v>
      </c>
      <c r="AO49" s="23">
        <f>'QTR Raw'!I14</f>
        <v>0</v>
      </c>
      <c r="AP49" s="23">
        <f>'QTR Raw'!J14</f>
        <v>0</v>
      </c>
      <c r="AQ49" s="23">
        <f>'QTR Raw'!K14</f>
        <v>0</v>
      </c>
      <c r="AR49" s="23">
        <f>'QTR Raw'!L14</f>
        <v>0</v>
      </c>
      <c r="AS49" s="23">
        <f>'QTR Raw'!M14</f>
        <v>0</v>
      </c>
      <c r="AT49" s="23">
        <f>'QTR Raw'!N14</f>
        <v>0</v>
      </c>
      <c r="AU49" s="23">
        <f>'QTR Raw'!O14</f>
        <v>0</v>
      </c>
      <c r="AV49" s="23">
        <f>'QTR Raw'!P14</f>
        <v>0</v>
      </c>
      <c r="AW49" s="23">
        <f>'QTR Raw'!Q14</f>
        <v>0</v>
      </c>
      <c r="AX49" s="23">
        <f>'QTR Raw'!R14</f>
        <v>0</v>
      </c>
      <c r="AY49" s="23">
        <f>'QTR Raw'!S14</f>
        <v>0</v>
      </c>
      <c r="AZ49" s="23">
        <f>'QTR Raw'!T14</f>
        <v>0</v>
      </c>
      <c r="BA49" s="23">
        <f>'QTR Raw'!U14</f>
        <v>0</v>
      </c>
      <c r="BB49" s="23">
        <f>'QTR Raw'!V14</f>
        <v>0</v>
      </c>
      <c r="BC49" s="23">
        <f>'QTR Raw'!W14</f>
        <v>0</v>
      </c>
      <c r="BD49" s="23">
        <f>'QTR Raw'!X14</f>
        <v>0</v>
      </c>
      <c r="BE49" s="23">
        <f>'QTR Raw'!Y14</f>
        <v>0</v>
      </c>
      <c r="BF49" s="23">
        <f>'QTR Raw'!Z14</f>
        <v>0</v>
      </c>
      <c r="BG49" s="23">
        <f>'QTR Raw'!AA14</f>
        <v>0</v>
      </c>
      <c r="BH49" s="23">
        <f>'QTR Raw'!AB14</f>
        <v>0</v>
      </c>
      <c r="BI49" s="23">
        <f>'QTR Raw'!AC14</f>
        <v>0</v>
      </c>
      <c r="BJ49" s="23">
        <f>'QTR Raw'!AD14</f>
        <v>0</v>
      </c>
      <c r="BK49" s="23">
        <f>'QTR Raw'!AE14</f>
        <v>0</v>
      </c>
      <c r="BL49" s="23">
        <f>'QTR Raw'!AF14</f>
        <v>0</v>
      </c>
      <c r="BM49" s="23">
        <f>'QTR Raw'!AG14</f>
        <v>0</v>
      </c>
      <c r="BN49" s="23">
        <f>'QTR Raw'!AH14</f>
        <v>0</v>
      </c>
      <c r="BO49" s="23">
        <f>'QTR Raw'!AI14</f>
        <v>0</v>
      </c>
      <c r="BP49" s="23">
        <f>'QTR Raw'!AJ14</f>
        <v>0</v>
      </c>
      <c r="BQ49" s="23">
        <f>'QTR Raw'!AK14</f>
        <v>0</v>
      </c>
      <c r="BR49" s="23">
        <f>'QTR Raw'!AL14</f>
        <v>0</v>
      </c>
      <c r="BS49" s="23">
        <f>'QTR Raw'!AM14</f>
        <v>0</v>
      </c>
      <c r="BT49" s="23">
        <f>'QTR Raw'!AN14</f>
        <v>0</v>
      </c>
      <c r="BU49" s="23">
        <f>'QTR Raw'!AO14</f>
        <v>0</v>
      </c>
      <c r="BV49" s="23">
        <f>'QTR Raw'!AP14</f>
        <v>0</v>
      </c>
      <c r="BW49" s="23">
        <f>'QTR Raw'!AQ14</f>
        <v>0</v>
      </c>
      <c r="BX49" s="23">
        <f>'QTR Raw'!AR14</f>
        <v>0</v>
      </c>
      <c r="BY49" s="23">
        <f>'QTR Raw'!AS14</f>
        <v>0</v>
      </c>
      <c r="BZ49" s="23">
        <f>'QTR Raw'!AT14</f>
        <v>0</v>
      </c>
      <c r="CA49" s="23">
        <f>'QTR Raw'!AU14</f>
        <v>0</v>
      </c>
      <c r="CB49" s="23">
        <f>'QTR Raw'!AV14</f>
        <v>0</v>
      </c>
      <c r="CC49" s="23">
        <f>'QTR Raw'!AW14</f>
        <v>0</v>
      </c>
      <c r="CD49" s="23">
        <f>'QTR Raw'!AX14</f>
        <v>514.20000000000005</v>
      </c>
      <c r="CE49" s="23">
        <f>'QTR Raw'!AY14</f>
        <v>692.4</v>
      </c>
      <c r="CF49" s="23">
        <f>'QTR Raw'!AZ14</f>
        <v>943.2</v>
      </c>
      <c r="CG49" s="23">
        <f>'QTR Raw'!BA14</f>
        <v>485.7</v>
      </c>
      <c r="CH49" s="23">
        <f>'QTR Raw'!BB14</f>
        <v>733.1</v>
      </c>
      <c r="CI49" s="23">
        <f>'QTR Raw'!BC14</f>
        <v>663.1</v>
      </c>
      <c r="CJ49" s="23">
        <f>'QTR Raw'!BD14</f>
        <v>1265.2</v>
      </c>
      <c r="CK49" s="23">
        <f>'QTR Raw'!BE14</f>
        <v>731</v>
      </c>
      <c r="CL49" s="23">
        <f>'QTR Raw'!BF14</f>
        <v>1258.2</v>
      </c>
      <c r="CM49" s="24">
        <f>+CM42-CM46-CM58-CM17</f>
        <v>1049.6750910637488</v>
      </c>
      <c r="CN49" s="24">
        <f t="shared" ref="CN49:DD49" si="335">+CN42-CN46-CN58-CN17</f>
        <v>1658.1910649669869</v>
      </c>
      <c r="CO49" s="24">
        <f t="shared" si="335"/>
        <v>1109.207051029598</v>
      </c>
      <c r="CP49" s="24">
        <f t="shared" si="335"/>
        <v>1478.3851093135074</v>
      </c>
      <c r="CQ49" s="24">
        <f t="shared" si="335"/>
        <v>1152.4295282833384</v>
      </c>
      <c r="CR49" s="24">
        <f t="shared" si="335"/>
        <v>1755.6448315691491</v>
      </c>
      <c r="CS49" s="24">
        <f t="shared" si="335"/>
        <v>1335.0877139364231</v>
      </c>
      <c r="CT49" s="24">
        <f t="shared" si="335"/>
        <v>1713.0902862586017</v>
      </c>
      <c r="CU49" s="24">
        <f t="shared" si="335"/>
        <v>1335.855682448585</v>
      </c>
      <c r="CV49" s="24">
        <f t="shared" si="335"/>
        <v>2049.5248321785607</v>
      </c>
      <c r="CW49" s="24">
        <f t="shared" si="335"/>
        <v>1588.7585210573407</v>
      </c>
      <c r="CX49" s="24">
        <f t="shared" si="335"/>
        <v>2022.19207174455</v>
      </c>
      <c r="CY49" s="24">
        <f t="shared" si="335"/>
        <v>1591.1680587675319</v>
      </c>
      <c r="CZ49" s="24">
        <f t="shared" si="335"/>
        <v>2445.0129975669947</v>
      </c>
      <c r="DA49" s="24">
        <f t="shared" si="335"/>
        <v>1896.8607751477625</v>
      </c>
      <c r="DB49" s="24">
        <f t="shared" si="335"/>
        <v>2402.2603647626665</v>
      </c>
      <c r="DC49" s="24">
        <f t="shared" si="335"/>
        <v>1902.3239991029607</v>
      </c>
      <c r="DD49" s="24">
        <f t="shared" si="335"/>
        <v>2910.1234511888933</v>
      </c>
      <c r="DE49" s="123"/>
      <c r="DF49" s="23">
        <v>2416.3000000000002</v>
      </c>
    </row>
    <row r="50" spans="1:110" s="23" customFormat="1" outlineLevel="1" x14ac:dyDescent="0.2">
      <c r="A50" s="23" t="s">
        <v>7</v>
      </c>
      <c r="B50" s="23">
        <f>'Annual Raw'!C13</f>
        <v>0</v>
      </c>
      <c r="C50" s="23">
        <f>'Annual Raw'!D13</f>
        <v>0</v>
      </c>
      <c r="D50" s="23">
        <f>'Annual Raw'!E13</f>
        <v>0</v>
      </c>
      <c r="E50" s="23">
        <f>'Annual Raw'!F13</f>
        <v>0</v>
      </c>
      <c r="F50" s="23">
        <f>'Annual Raw'!G13</f>
        <v>0</v>
      </c>
      <c r="G50" s="23">
        <f>'Annual Raw'!H13</f>
        <v>0</v>
      </c>
      <c r="H50" s="23">
        <f>'Annual Raw'!I13</f>
        <v>0</v>
      </c>
      <c r="I50" s="23">
        <f>'Annual Raw'!J13</f>
        <v>0</v>
      </c>
      <c r="J50" s="23">
        <f>'Annual Raw'!K13</f>
        <v>0</v>
      </c>
      <c r="K50" s="23">
        <f>'Annual Raw'!L13</f>
        <v>0</v>
      </c>
      <c r="L50" s="23">
        <f>'Annual Raw'!M13</f>
        <v>0</v>
      </c>
      <c r="M50" s="23">
        <f>'Annual Raw'!N13</f>
        <v>0</v>
      </c>
      <c r="N50" s="23">
        <f>'Annual Raw'!O13</f>
        <v>0</v>
      </c>
      <c r="O50" s="23">
        <f>'Annual Raw'!P13</f>
        <v>0</v>
      </c>
      <c r="P50" s="23">
        <f>'Annual Raw'!Q13</f>
        <v>0</v>
      </c>
      <c r="Q50" s="23">
        <f>'Annual Raw'!R13</f>
        <v>0</v>
      </c>
      <c r="R50" s="23">
        <f>'Annual Raw'!S13</f>
        <v>0</v>
      </c>
      <c r="S50" s="23">
        <f>'Annual Raw'!T13</f>
        <v>0</v>
      </c>
      <c r="T50" s="23">
        <f>'Annual Raw'!U13</f>
        <v>0</v>
      </c>
      <c r="U50" s="23">
        <f>'Annual Raw'!V13</f>
        <v>0</v>
      </c>
      <c r="V50" s="23">
        <f>'Annual Raw'!W13</f>
        <v>0</v>
      </c>
      <c r="W50" s="23">
        <f>'Annual Raw'!X13</f>
        <v>0</v>
      </c>
      <c r="X50" s="23">
        <f>'Annual Raw'!Y13</f>
        <v>0</v>
      </c>
      <c r="Y50" s="23">
        <f>'Annual Raw'!Z13</f>
        <v>8.3000000000000007</v>
      </c>
      <c r="Z50" s="23">
        <f>'Annual Raw'!AA13</f>
        <v>22.1</v>
      </c>
      <c r="AA50" s="76">
        <f t="shared" si="326"/>
        <v>0</v>
      </c>
      <c r="AB50" s="76">
        <f t="shared" si="327"/>
        <v>0</v>
      </c>
      <c r="AC50" s="76">
        <f t="shared" si="328"/>
        <v>0</v>
      </c>
      <c r="AD50" s="76">
        <f t="shared" si="329"/>
        <v>0</v>
      </c>
      <c r="AE50" s="76">
        <f t="shared" si="330"/>
        <v>0</v>
      </c>
      <c r="AI50" s="23">
        <f>'QTR Raw'!C15</f>
        <v>0</v>
      </c>
      <c r="AJ50" s="23">
        <f>'QTR Raw'!D15</f>
        <v>0</v>
      </c>
      <c r="AK50" s="23">
        <f>'QTR Raw'!E15</f>
        <v>0</v>
      </c>
      <c r="AL50" s="23">
        <f>'QTR Raw'!F15</f>
        <v>0</v>
      </c>
      <c r="AM50" s="23">
        <f>'QTR Raw'!G15</f>
        <v>0</v>
      </c>
      <c r="AN50" s="23">
        <f>'QTR Raw'!H15</f>
        <v>0</v>
      </c>
      <c r="AO50" s="23">
        <f>'QTR Raw'!I15</f>
        <v>0</v>
      </c>
      <c r="AP50" s="23">
        <f>'QTR Raw'!J15</f>
        <v>0</v>
      </c>
      <c r="AQ50" s="23">
        <f>'QTR Raw'!K15</f>
        <v>0</v>
      </c>
      <c r="AR50" s="23">
        <f>'QTR Raw'!L15</f>
        <v>0</v>
      </c>
      <c r="AS50" s="23">
        <f>'QTR Raw'!M15</f>
        <v>0</v>
      </c>
      <c r="AT50" s="23">
        <f>'QTR Raw'!N15</f>
        <v>0</v>
      </c>
      <c r="AU50" s="23">
        <f>'QTR Raw'!O15</f>
        <v>0</v>
      </c>
      <c r="AV50" s="23">
        <f>'QTR Raw'!P15</f>
        <v>0</v>
      </c>
      <c r="AW50" s="23">
        <f>'QTR Raw'!Q15</f>
        <v>0</v>
      </c>
      <c r="AX50" s="23">
        <f>'QTR Raw'!R15</f>
        <v>0</v>
      </c>
      <c r="AY50" s="23">
        <f>'QTR Raw'!S15</f>
        <v>0</v>
      </c>
      <c r="AZ50" s="23">
        <f>'QTR Raw'!T15</f>
        <v>0</v>
      </c>
      <c r="BA50" s="23">
        <f>'QTR Raw'!U15</f>
        <v>0</v>
      </c>
      <c r="BB50" s="23">
        <f>'QTR Raw'!V15</f>
        <v>0</v>
      </c>
      <c r="BC50" s="23">
        <f>'QTR Raw'!W15</f>
        <v>0</v>
      </c>
      <c r="BD50" s="23">
        <f>'QTR Raw'!X15</f>
        <v>0</v>
      </c>
      <c r="BE50" s="23">
        <f>'QTR Raw'!Y15</f>
        <v>0</v>
      </c>
      <c r="BF50" s="23">
        <f>'QTR Raw'!Z15</f>
        <v>0</v>
      </c>
      <c r="BG50" s="23">
        <f>'QTR Raw'!AA15</f>
        <v>0</v>
      </c>
      <c r="BH50" s="23">
        <f>'QTR Raw'!AB15</f>
        <v>0</v>
      </c>
      <c r="BI50" s="23">
        <f>'QTR Raw'!AC15</f>
        <v>0</v>
      </c>
      <c r="BJ50" s="23">
        <f>'QTR Raw'!AD15</f>
        <v>0</v>
      </c>
      <c r="BK50" s="23">
        <f>'QTR Raw'!AE15</f>
        <v>0</v>
      </c>
      <c r="BL50" s="23">
        <f>'QTR Raw'!AF15</f>
        <v>0</v>
      </c>
      <c r="BM50" s="23">
        <f>'QTR Raw'!AG15</f>
        <v>0</v>
      </c>
      <c r="BN50" s="23">
        <f>'QTR Raw'!AH15</f>
        <v>0</v>
      </c>
      <c r="BO50" s="23">
        <f>'QTR Raw'!AI15</f>
        <v>0</v>
      </c>
      <c r="BP50" s="23">
        <f>'QTR Raw'!AJ15</f>
        <v>0</v>
      </c>
      <c r="BQ50" s="23">
        <f>'QTR Raw'!AK15</f>
        <v>0</v>
      </c>
      <c r="BR50" s="23">
        <f>'QTR Raw'!AL15</f>
        <v>0</v>
      </c>
      <c r="BS50" s="23">
        <f>'QTR Raw'!AM15</f>
        <v>0</v>
      </c>
      <c r="BT50" s="23">
        <f>'QTR Raw'!AN15</f>
        <v>0</v>
      </c>
      <c r="BU50" s="23">
        <f>'QTR Raw'!AO15</f>
        <v>0</v>
      </c>
      <c r="BV50" s="23">
        <f>'QTR Raw'!AP15</f>
        <v>0</v>
      </c>
      <c r="BW50" s="23">
        <f>'QTR Raw'!AQ15</f>
        <v>0</v>
      </c>
      <c r="BX50" s="23">
        <f>'QTR Raw'!AR15</f>
        <v>0</v>
      </c>
      <c r="BY50" s="23">
        <f>'QTR Raw'!AS15</f>
        <v>0</v>
      </c>
      <c r="BZ50" s="23">
        <f>'QTR Raw'!AT15</f>
        <v>0</v>
      </c>
      <c r="CA50" s="23">
        <f>'QTR Raw'!AU15</f>
        <v>0</v>
      </c>
      <c r="CB50" s="23">
        <f>'QTR Raw'!AV15</f>
        <v>0</v>
      </c>
      <c r="CC50" s="23">
        <f>'QTR Raw'!AW15</f>
        <v>0</v>
      </c>
      <c r="CD50" s="23">
        <f>'QTR Raw'!AX15</f>
        <v>0</v>
      </c>
      <c r="CE50" s="23">
        <f>'QTR Raw'!AY15</f>
        <v>0</v>
      </c>
      <c r="CF50" s="23">
        <f>'QTR Raw'!AZ15</f>
        <v>0</v>
      </c>
      <c r="CG50" s="23">
        <f>'QTR Raw'!BA15</f>
        <v>0</v>
      </c>
      <c r="CH50" s="23">
        <f>'QTR Raw'!BB15</f>
        <v>0</v>
      </c>
      <c r="CI50" s="23">
        <f>'QTR Raw'!BC15</f>
        <v>0</v>
      </c>
      <c r="CJ50" s="23">
        <f>'QTR Raw'!BD15</f>
        <v>0</v>
      </c>
      <c r="CK50" s="23">
        <f>'QTR Raw'!BE15</f>
        <v>0</v>
      </c>
      <c r="CL50" s="23">
        <f>'QTR Raw'!BF15</f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123"/>
      <c r="DF50" s="23">
        <v>22.1</v>
      </c>
    </row>
    <row r="51" spans="1:110" s="23" customFormat="1" outlineLevel="1" x14ac:dyDescent="0.2">
      <c r="A51" s="23" t="s">
        <v>11</v>
      </c>
      <c r="B51" s="23">
        <f>'Annual Raw'!C18</f>
        <v>0</v>
      </c>
      <c r="C51" s="23">
        <f>'Annual Raw'!D18</f>
        <v>0</v>
      </c>
      <c r="D51" s="23">
        <f>'Annual Raw'!E18</f>
        <v>0</v>
      </c>
      <c r="E51" s="23">
        <f>'Annual Raw'!F18</f>
        <v>0</v>
      </c>
      <c r="F51" s="23">
        <f>'Annual Raw'!G18</f>
        <v>0</v>
      </c>
      <c r="G51" s="23">
        <f>'Annual Raw'!H18</f>
        <v>0</v>
      </c>
      <c r="H51" s="23">
        <f>'Annual Raw'!I18</f>
        <v>0</v>
      </c>
      <c r="I51" s="23">
        <f>'Annual Raw'!J18</f>
        <v>0</v>
      </c>
      <c r="J51" s="23">
        <f>'Annual Raw'!K18</f>
        <v>0</v>
      </c>
      <c r="K51" s="23">
        <f>'Annual Raw'!L18</f>
        <v>0</v>
      </c>
      <c r="L51" s="23">
        <f>'Annual Raw'!M18</f>
        <v>0</v>
      </c>
      <c r="M51" s="23">
        <f>'Annual Raw'!N18</f>
        <v>0</v>
      </c>
      <c r="N51" s="23">
        <f>'Annual Raw'!O18</f>
        <v>0</v>
      </c>
      <c r="O51" s="23">
        <f>'Annual Raw'!P18</f>
        <v>0</v>
      </c>
      <c r="P51" s="23">
        <f>'Annual Raw'!Q18</f>
        <v>0</v>
      </c>
      <c r="Q51" s="23">
        <f>'Annual Raw'!R18</f>
        <v>0</v>
      </c>
      <c r="R51" s="23">
        <f>'Annual Raw'!S18</f>
        <v>0</v>
      </c>
      <c r="S51" s="23">
        <f>'Annual Raw'!T18</f>
        <v>0</v>
      </c>
      <c r="T51" s="23">
        <f>'Annual Raw'!U18</f>
        <v>0</v>
      </c>
      <c r="U51" s="23">
        <f>'Annual Raw'!V18</f>
        <v>0</v>
      </c>
      <c r="V51" s="23">
        <f>'Annual Raw'!W18</f>
        <v>0</v>
      </c>
      <c r="W51" s="23">
        <f>'Annual Raw'!X18</f>
        <v>0</v>
      </c>
      <c r="X51" s="23">
        <f>'Annual Raw'!Y18</f>
        <v>0</v>
      </c>
      <c r="Y51" s="23">
        <f>'Annual Raw'!Z18</f>
        <v>59.7</v>
      </c>
      <c r="Z51" s="23">
        <f>'Annual Raw'!AA18</f>
        <v>111.5</v>
      </c>
      <c r="AA51" s="76">
        <f t="shared" si="326"/>
        <v>0</v>
      </c>
      <c r="AB51" s="76">
        <f t="shared" si="327"/>
        <v>0</v>
      </c>
      <c r="AC51" s="76">
        <f t="shared" si="328"/>
        <v>0</v>
      </c>
      <c r="AD51" s="76">
        <f t="shared" si="329"/>
        <v>0</v>
      </c>
      <c r="AE51" s="76">
        <f t="shared" si="330"/>
        <v>0</v>
      </c>
      <c r="AI51" s="23">
        <f>'QTR Raw'!C18</f>
        <v>0</v>
      </c>
      <c r="AJ51" s="23">
        <f>'QTR Raw'!D18</f>
        <v>0</v>
      </c>
      <c r="AK51" s="23">
        <f>'QTR Raw'!E18</f>
        <v>0</v>
      </c>
      <c r="AL51" s="23">
        <f>'QTR Raw'!F18</f>
        <v>0</v>
      </c>
      <c r="AM51" s="23">
        <f>'QTR Raw'!G18</f>
        <v>0</v>
      </c>
      <c r="AN51" s="23">
        <f>'QTR Raw'!H18</f>
        <v>0</v>
      </c>
      <c r="AO51" s="23">
        <f>'QTR Raw'!I18</f>
        <v>0</v>
      </c>
      <c r="AP51" s="23">
        <f>'QTR Raw'!J18</f>
        <v>0</v>
      </c>
      <c r="AQ51" s="23">
        <f>'QTR Raw'!K18</f>
        <v>0</v>
      </c>
      <c r="AR51" s="23">
        <f>'QTR Raw'!L18</f>
        <v>0</v>
      </c>
      <c r="AS51" s="23">
        <f>'QTR Raw'!M18</f>
        <v>0</v>
      </c>
      <c r="AT51" s="23">
        <f>'QTR Raw'!N18</f>
        <v>0</v>
      </c>
      <c r="AU51" s="23">
        <f>'QTR Raw'!O18</f>
        <v>0</v>
      </c>
      <c r="AV51" s="23">
        <f>'QTR Raw'!P18</f>
        <v>0</v>
      </c>
      <c r="AW51" s="23">
        <f>'QTR Raw'!Q18</f>
        <v>0</v>
      </c>
      <c r="AX51" s="23">
        <f>'QTR Raw'!R18</f>
        <v>0</v>
      </c>
      <c r="AY51" s="23">
        <f>'QTR Raw'!S18</f>
        <v>0</v>
      </c>
      <c r="AZ51" s="23">
        <f>'QTR Raw'!T18</f>
        <v>0</v>
      </c>
      <c r="BA51" s="23">
        <f>'QTR Raw'!U18</f>
        <v>0</v>
      </c>
      <c r="BB51" s="23">
        <f>'QTR Raw'!V18</f>
        <v>0</v>
      </c>
      <c r="BC51" s="23">
        <f>'QTR Raw'!W18</f>
        <v>0</v>
      </c>
      <c r="BD51" s="23">
        <f>'QTR Raw'!X18</f>
        <v>0</v>
      </c>
      <c r="BE51" s="23">
        <f>'QTR Raw'!Y18</f>
        <v>0</v>
      </c>
      <c r="BF51" s="23">
        <f>'QTR Raw'!Z18</f>
        <v>0</v>
      </c>
      <c r="BG51" s="23">
        <f>'QTR Raw'!AA18</f>
        <v>0</v>
      </c>
      <c r="BH51" s="23">
        <f>'QTR Raw'!AB18</f>
        <v>0</v>
      </c>
      <c r="BI51" s="23">
        <f>'QTR Raw'!AC18</f>
        <v>0</v>
      </c>
      <c r="BJ51" s="23">
        <f>'QTR Raw'!AD18</f>
        <v>0</v>
      </c>
      <c r="BK51" s="23">
        <f>'QTR Raw'!AE18</f>
        <v>0</v>
      </c>
      <c r="BL51" s="23">
        <f>'QTR Raw'!AF18</f>
        <v>0</v>
      </c>
      <c r="BM51" s="23">
        <f>'QTR Raw'!AG18</f>
        <v>0</v>
      </c>
      <c r="BN51" s="23">
        <f>'QTR Raw'!AH18</f>
        <v>0</v>
      </c>
      <c r="BO51" s="23">
        <f>'QTR Raw'!AI18</f>
        <v>0</v>
      </c>
      <c r="BP51" s="23">
        <f>'QTR Raw'!AJ18</f>
        <v>0</v>
      </c>
      <c r="BQ51" s="23">
        <f>'QTR Raw'!AK18</f>
        <v>0</v>
      </c>
      <c r="BR51" s="23">
        <f>'QTR Raw'!AL18</f>
        <v>0</v>
      </c>
      <c r="BS51" s="23">
        <f>'QTR Raw'!AM18</f>
        <v>0</v>
      </c>
      <c r="BT51" s="23">
        <f>'QTR Raw'!AN18</f>
        <v>0</v>
      </c>
      <c r="BU51" s="23">
        <f>'QTR Raw'!AO18</f>
        <v>0</v>
      </c>
      <c r="BV51" s="23">
        <f>'QTR Raw'!AP18</f>
        <v>0</v>
      </c>
      <c r="BW51" s="23">
        <f>'QTR Raw'!AQ18</f>
        <v>0</v>
      </c>
      <c r="BX51" s="23">
        <f>'QTR Raw'!AR18</f>
        <v>0</v>
      </c>
      <c r="BY51" s="23">
        <f>'QTR Raw'!AS18</f>
        <v>0</v>
      </c>
      <c r="BZ51" s="23">
        <f>'QTR Raw'!AT18</f>
        <v>0</v>
      </c>
      <c r="CA51" s="23">
        <f>'QTR Raw'!AU18</f>
        <v>0</v>
      </c>
      <c r="CB51" s="23">
        <f>'QTR Raw'!AV18</f>
        <v>0</v>
      </c>
      <c r="CC51" s="23">
        <f>'QTR Raw'!AW18</f>
        <v>0</v>
      </c>
      <c r="CD51" s="23">
        <f>'QTR Raw'!AX18</f>
        <v>0</v>
      </c>
      <c r="CE51" s="23">
        <f>'QTR Raw'!AY18</f>
        <v>0</v>
      </c>
      <c r="CF51" s="23">
        <f>'QTR Raw'!AZ18</f>
        <v>0</v>
      </c>
      <c r="CG51" s="23">
        <f>'QTR Raw'!BA18</f>
        <v>0</v>
      </c>
      <c r="CH51" s="23">
        <f>'QTR Raw'!BB18</f>
        <v>0</v>
      </c>
      <c r="CI51" s="23">
        <f>'QTR Raw'!BC18</f>
        <v>0</v>
      </c>
      <c r="CJ51" s="23">
        <f>'QTR Raw'!BD18</f>
        <v>0</v>
      </c>
      <c r="CK51" s="23">
        <f>'QTR Raw'!BE18</f>
        <v>0</v>
      </c>
      <c r="CL51" s="23">
        <f>'QTR Raw'!BF18</f>
        <v>0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123"/>
      <c r="DF51" s="23">
        <v>111.5</v>
      </c>
    </row>
    <row r="52" spans="1:110" s="22" customFormat="1" x14ac:dyDescent="0.2">
      <c r="A52" s="33" t="s">
        <v>348</v>
      </c>
      <c r="B52" s="22">
        <f t="shared" ref="B52:E52" si="336">+SUM(B46:B51)</f>
        <v>0</v>
      </c>
      <c r="C52" s="22">
        <f t="shared" si="336"/>
        <v>0</v>
      </c>
      <c r="D52" s="22">
        <f t="shared" si="336"/>
        <v>0</v>
      </c>
      <c r="E52" s="22">
        <f t="shared" si="336"/>
        <v>0</v>
      </c>
      <c r="F52" s="22">
        <f t="shared" ref="F52:AE52" si="337">+SUM(F46:F51)</f>
        <v>0</v>
      </c>
      <c r="G52" s="22">
        <f t="shared" si="337"/>
        <v>0</v>
      </c>
      <c r="H52" s="22">
        <f t="shared" si="337"/>
        <v>0</v>
      </c>
      <c r="I52" s="22">
        <f t="shared" si="337"/>
        <v>0</v>
      </c>
      <c r="J52" s="22">
        <f t="shared" si="337"/>
        <v>0</v>
      </c>
      <c r="K52" s="22">
        <f t="shared" si="337"/>
        <v>0</v>
      </c>
      <c r="L52" s="22">
        <f t="shared" si="337"/>
        <v>0</v>
      </c>
      <c r="M52" s="22">
        <f t="shared" si="337"/>
        <v>0</v>
      </c>
      <c r="N52" s="22">
        <f t="shared" si="337"/>
        <v>0</v>
      </c>
      <c r="O52" s="22">
        <f t="shared" si="337"/>
        <v>0</v>
      </c>
      <c r="P52" s="22">
        <f t="shared" si="337"/>
        <v>0</v>
      </c>
      <c r="Q52" s="22">
        <f t="shared" si="337"/>
        <v>0</v>
      </c>
      <c r="R52" s="22">
        <f t="shared" si="337"/>
        <v>0</v>
      </c>
      <c r="S52" s="22">
        <f t="shared" si="337"/>
        <v>0</v>
      </c>
      <c r="T52" s="22">
        <f t="shared" si="337"/>
        <v>0</v>
      </c>
      <c r="U52" s="22">
        <f t="shared" si="337"/>
        <v>0</v>
      </c>
      <c r="V52" s="22">
        <f t="shared" si="337"/>
        <v>0</v>
      </c>
      <c r="W52" s="22">
        <f t="shared" si="337"/>
        <v>0</v>
      </c>
      <c r="X52" s="22">
        <f t="shared" si="337"/>
        <v>0</v>
      </c>
      <c r="Y52" s="22">
        <f t="shared" si="337"/>
        <v>2704.8999999999996</v>
      </c>
      <c r="Z52" s="22">
        <f t="shared" ref="Z52" si="338">+SUM(Z46:Z51)</f>
        <v>4155.8999999999996</v>
      </c>
      <c r="AA52" s="21">
        <f t="shared" si="337"/>
        <v>5796.0031560307361</v>
      </c>
      <c r="AB52" s="21">
        <f t="shared" si="337"/>
        <v>6671.5291101955936</v>
      </c>
      <c r="AC52" s="21">
        <f t="shared" si="337"/>
        <v>7691.7314861221712</v>
      </c>
      <c r="AD52" s="21">
        <f t="shared" si="337"/>
        <v>8993.3767284274181</v>
      </c>
      <c r="AE52" s="21">
        <f t="shared" si="337"/>
        <v>10552.050825043652</v>
      </c>
      <c r="AI52" s="22">
        <f t="shared" ref="AI52:BN52" si="339">+SUM(AI46:AI51)</f>
        <v>0</v>
      </c>
      <c r="AJ52" s="22">
        <f t="shared" si="339"/>
        <v>0</v>
      </c>
      <c r="AK52" s="22">
        <f t="shared" si="339"/>
        <v>0</v>
      </c>
      <c r="AL52" s="22">
        <f t="shared" si="339"/>
        <v>0</v>
      </c>
      <c r="AM52" s="22">
        <f t="shared" si="339"/>
        <v>0</v>
      </c>
      <c r="AN52" s="22">
        <f t="shared" si="339"/>
        <v>0</v>
      </c>
      <c r="AO52" s="22">
        <f t="shared" si="339"/>
        <v>0</v>
      </c>
      <c r="AP52" s="22">
        <f t="shared" si="339"/>
        <v>0</v>
      </c>
      <c r="AQ52" s="22">
        <f t="shared" si="339"/>
        <v>0</v>
      </c>
      <c r="AR52" s="22">
        <f t="shared" si="339"/>
        <v>0</v>
      </c>
      <c r="AS52" s="22">
        <f t="shared" si="339"/>
        <v>0</v>
      </c>
      <c r="AT52" s="22">
        <f t="shared" si="339"/>
        <v>0</v>
      </c>
      <c r="AU52" s="22">
        <f t="shared" si="339"/>
        <v>0</v>
      </c>
      <c r="AV52" s="22">
        <f t="shared" si="339"/>
        <v>0</v>
      </c>
      <c r="AW52" s="22">
        <f t="shared" si="339"/>
        <v>0</v>
      </c>
      <c r="AX52" s="22">
        <f t="shared" si="339"/>
        <v>0</v>
      </c>
      <c r="AY52" s="22">
        <f t="shared" si="339"/>
        <v>0</v>
      </c>
      <c r="AZ52" s="22">
        <f t="shared" si="339"/>
        <v>0</v>
      </c>
      <c r="BA52" s="22">
        <f t="shared" si="339"/>
        <v>0</v>
      </c>
      <c r="BB52" s="22">
        <f t="shared" si="339"/>
        <v>0</v>
      </c>
      <c r="BC52" s="22">
        <f t="shared" si="339"/>
        <v>0</v>
      </c>
      <c r="BD52" s="22">
        <f t="shared" si="339"/>
        <v>0</v>
      </c>
      <c r="BE52" s="22">
        <f t="shared" si="339"/>
        <v>0</v>
      </c>
      <c r="BF52" s="22">
        <f t="shared" si="339"/>
        <v>0</v>
      </c>
      <c r="BG52" s="22">
        <f t="shared" si="339"/>
        <v>0</v>
      </c>
      <c r="BH52" s="22">
        <f t="shared" si="339"/>
        <v>0</v>
      </c>
      <c r="BI52" s="22">
        <f t="shared" si="339"/>
        <v>0</v>
      </c>
      <c r="BJ52" s="22">
        <f t="shared" si="339"/>
        <v>0</v>
      </c>
      <c r="BK52" s="22">
        <f t="shared" si="339"/>
        <v>0</v>
      </c>
      <c r="BL52" s="22">
        <f t="shared" si="339"/>
        <v>0</v>
      </c>
      <c r="BM52" s="22">
        <f t="shared" si="339"/>
        <v>0</v>
      </c>
      <c r="BN52" s="22">
        <f t="shared" si="339"/>
        <v>0</v>
      </c>
      <c r="BO52" s="22">
        <f t="shared" ref="BO52:CH52" si="340">+SUM(BO46:BO51)</f>
        <v>0</v>
      </c>
      <c r="BP52" s="22">
        <f t="shared" si="340"/>
        <v>0</v>
      </c>
      <c r="BQ52" s="22">
        <f t="shared" si="340"/>
        <v>0</v>
      </c>
      <c r="BR52" s="22">
        <f t="shared" si="340"/>
        <v>0</v>
      </c>
      <c r="BS52" s="22">
        <f t="shared" si="340"/>
        <v>0</v>
      </c>
      <c r="BT52" s="22">
        <f t="shared" si="340"/>
        <v>0</v>
      </c>
      <c r="BU52" s="22">
        <f t="shared" si="340"/>
        <v>0</v>
      </c>
      <c r="BV52" s="22">
        <f t="shared" si="340"/>
        <v>0</v>
      </c>
      <c r="BW52" s="22">
        <f t="shared" si="340"/>
        <v>0</v>
      </c>
      <c r="BX52" s="22">
        <f t="shared" si="340"/>
        <v>0</v>
      </c>
      <c r="BY52" s="22">
        <f t="shared" si="340"/>
        <v>0</v>
      </c>
      <c r="BZ52" s="22">
        <f t="shared" si="340"/>
        <v>0</v>
      </c>
      <c r="CA52" s="22">
        <f t="shared" si="340"/>
        <v>0</v>
      </c>
      <c r="CB52" s="22">
        <f t="shared" si="340"/>
        <v>0</v>
      </c>
      <c r="CC52" s="22">
        <f t="shared" si="340"/>
        <v>0</v>
      </c>
      <c r="CD52" s="22">
        <f t="shared" si="340"/>
        <v>630.1</v>
      </c>
      <c r="CE52" s="22">
        <f t="shared" si="340"/>
        <v>909.59999999999991</v>
      </c>
      <c r="CF52" s="22">
        <f t="shared" si="340"/>
        <v>1152.9000000000001</v>
      </c>
      <c r="CG52" s="22">
        <f t="shared" si="340"/>
        <v>696.9</v>
      </c>
      <c r="CH52" s="22">
        <f t="shared" si="340"/>
        <v>958.2</v>
      </c>
      <c r="CI52" s="22">
        <f t="shared" ref="CI52:CJ52" si="341">+SUM(CI46:CI51)</f>
        <v>904.8</v>
      </c>
      <c r="CJ52" s="22">
        <f t="shared" si="341"/>
        <v>1572.6</v>
      </c>
      <c r="CK52" s="22">
        <f t="shared" ref="CK52:DD52" si="342">+SUM(CK46:CK51)</f>
        <v>982.7</v>
      </c>
      <c r="CL52" s="22">
        <f t="shared" ref="CL52" si="343">+SUM(CL46:CL51)</f>
        <v>1517.9</v>
      </c>
      <c r="CM52" s="21">
        <f t="shared" si="342"/>
        <v>1308.294091063749</v>
      </c>
      <c r="CN52" s="21">
        <f t="shared" si="342"/>
        <v>1987.1090649669868</v>
      </c>
      <c r="CO52" s="21">
        <f t="shared" si="342"/>
        <v>1378.526051029598</v>
      </c>
      <c r="CP52" s="21">
        <f t="shared" si="342"/>
        <v>1756.2641093135076</v>
      </c>
      <c r="CQ52" s="21">
        <f t="shared" si="342"/>
        <v>1429.1518582833385</v>
      </c>
      <c r="CR52" s="21">
        <f t="shared" si="342"/>
        <v>2107.5870915691494</v>
      </c>
      <c r="CS52" s="21">
        <f t="shared" si="342"/>
        <v>1623.259043936423</v>
      </c>
      <c r="CT52" s="21">
        <f t="shared" si="342"/>
        <v>2010.4208162586017</v>
      </c>
      <c r="CU52" s="21">
        <f t="shared" si="342"/>
        <v>1631.948575548585</v>
      </c>
      <c r="CV52" s="21">
        <f t="shared" si="342"/>
        <v>2426.1030503785605</v>
      </c>
      <c r="CW52" s="21">
        <f t="shared" si="342"/>
        <v>1897.1018441573406</v>
      </c>
      <c r="CX52" s="21">
        <f t="shared" si="342"/>
        <v>2340.3357388445502</v>
      </c>
      <c r="CY52" s="21">
        <f t="shared" si="342"/>
        <v>1907.9874543845319</v>
      </c>
      <c r="CZ52" s="21">
        <f t="shared" si="342"/>
        <v>2847.9516910409948</v>
      </c>
      <c r="DA52" s="21">
        <f t="shared" si="342"/>
        <v>2226.7881308647625</v>
      </c>
      <c r="DB52" s="21">
        <f t="shared" si="342"/>
        <v>2742.6740885596664</v>
      </c>
      <c r="DC52" s="21">
        <f t="shared" si="342"/>
        <v>2241.3207524131508</v>
      </c>
      <c r="DD52" s="21">
        <f t="shared" si="342"/>
        <v>3341.2678532060736</v>
      </c>
      <c r="DE52" s="126"/>
      <c r="DF52" s="22">
        <v>4155.8999999999996</v>
      </c>
    </row>
    <row r="53" spans="1:110" s="44" customFormat="1" x14ac:dyDescent="0.2">
      <c r="A53" s="43" t="s">
        <v>349</v>
      </c>
      <c r="B53" s="44" t="e">
        <f t="shared" ref="B53:E53" si="344">B52/B36</f>
        <v>#DIV/0!</v>
      </c>
      <c r="C53" s="44" t="e">
        <f t="shared" si="344"/>
        <v>#DIV/0!</v>
      </c>
      <c r="D53" s="44" t="e">
        <f t="shared" si="344"/>
        <v>#DIV/0!</v>
      </c>
      <c r="E53" s="44" t="e">
        <f t="shared" si="344"/>
        <v>#DIV/0!</v>
      </c>
      <c r="F53" s="44" t="e">
        <f t="shared" ref="F53:AE53" si="345">F52/F36</f>
        <v>#DIV/0!</v>
      </c>
      <c r="G53" s="44" t="e">
        <f t="shared" si="345"/>
        <v>#DIV/0!</v>
      </c>
      <c r="H53" s="44" t="e">
        <f t="shared" si="345"/>
        <v>#DIV/0!</v>
      </c>
      <c r="I53" s="44" t="e">
        <f t="shared" si="345"/>
        <v>#DIV/0!</v>
      </c>
      <c r="J53" s="44" t="e">
        <f t="shared" si="345"/>
        <v>#DIV/0!</v>
      </c>
      <c r="K53" s="44" t="e">
        <f t="shared" si="345"/>
        <v>#DIV/0!</v>
      </c>
      <c r="L53" s="44" t="e">
        <f t="shared" si="345"/>
        <v>#DIV/0!</v>
      </c>
      <c r="M53" s="44" t="e">
        <f t="shared" si="345"/>
        <v>#DIV/0!</v>
      </c>
      <c r="N53" s="44" t="e">
        <f t="shared" si="345"/>
        <v>#DIV/0!</v>
      </c>
      <c r="O53" s="44" t="e">
        <f t="shared" si="345"/>
        <v>#DIV/0!</v>
      </c>
      <c r="P53" s="44" t="e">
        <f t="shared" si="345"/>
        <v>#DIV/0!</v>
      </c>
      <c r="Q53" s="44" t="e">
        <f t="shared" si="345"/>
        <v>#DIV/0!</v>
      </c>
      <c r="R53" s="44" t="e">
        <f t="shared" si="345"/>
        <v>#DIV/0!</v>
      </c>
      <c r="S53" s="44" t="e">
        <f t="shared" si="345"/>
        <v>#DIV/0!</v>
      </c>
      <c r="T53" s="44" t="e">
        <f t="shared" si="345"/>
        <v>#DIV/0!</v>
      </c>
      <c r="U53" s="44" t="e">
        <f t="shared" si="345"/>
        <v>#DIV/0!</v>
      </c>
      <c r="V53" s="44" t="e">
        <f t="shared" si="345"/>
        <v>#DIV/0!</v>
      </c>
      <c r="W53" s="44" t="e">
        <f t="shared" si="345"/>
        <v>#DIV/0!</v>
      </c>
      <c r="X53" s="44" t="e">
        <f t="shared" si="345"/>
        <v>#DIV/0!</v>
      </c>
      <c r="Y53" s="44">
        <f t="shared" si="345"/>
        <v>0.56830405916463556</v>
      </c>
      <c r="Z53" s="44">
        <f t="shared" ref="Z53" si="346">Z52/Z36</f>
        <v>0.53099007244432517</v>
      </c>
      <c r="AA53" s="52">
        <f t="shared" si="345"/>
        <v>0.577553006485239</v>
      </c>
      <c r="AB53" s="52">
        <f t="shared" si="345"/>
        <v>0.56076287006940928</v>
      </c>
      <c r="AC53" s="52">
        <f t="shared" si="345"/>
        <v>0.55054503699156265</v>
      </c>
      <c r="AD53" s="52">
        <f t="shared" si="345"/>
        <v>0.54920647072138662</v>
      </c>
      <c r="AE53" s="52">
        <f t="shared" si="345"/>
        <v>0.54984773313972135</v>
      </c>
      <c r="AI53" s="44" t="e">
        <f t="shared" ref="AI53:BN53" si="347">AI52/AI36</f>
        <v>#DIV/0!</v>
      </c>
      <c r="AJ53" s="44" t="e">
        <f t="shared" si="347"/>
        <v>#DIV/0!</v>
      </c>
      <c r="AK53" s="44" t="e">
        <f t="shared" si="347"/>
        <v>#DIV/0!</v>
      </c>
      <c r="AL53" s="44" t="e">
        <f t="shared" si="347"/>
        <v>#DIV/0!</v>
      </c>
      <c r="AM53" s="44" t="e">
        <f t="shared" si="347"/>
        <v>#DIV/0!</v>
      </c>
      <c r="AN53" s="44" t="e">
        <f t="shared" si="347"/>
        <v>#DIV/0!</v>
      </c>
      <c r="AO53" s="44" t="e">
        <f t="shared" si="347"/>
        <v>#DIV/0!</v>
      </c>
      <c r="AP53" s="44" t="e">
        <f t="shared" si="347"/>
        <v>#DIV/0!</v>
      </c>
      <c r="AQ53" s="44" t="e">
        <f t="shared" si="347"/>
        <v>#DIV/0!</v>
      </c>
      <c r="AR53" s="44" t="e">
        <f t="shared" si="347"/>
        <v>#DIV/0!</v>
      </c>
      <c r="AS53" s="44" t="e">
        <f t="shared" si="347"/>
        <v>#DIV/0!</v>
      </c>
      <c r="AT53" s="44" t="e">
        <f t="shared" si="347"/>
        <v>#DIV/0!</v>
      </c>
      <c r="AU53" s="44" t="e">
        <f t="shared" si="347"/>
        <v>#DIV/0!</v>
      </c>
      <c r="AV53" s="44" t="e">
        <f t="shared" si="347"/>
        <v>#DIV/0!</v>
      </c>
      <c r="AW53" s="44" t="e">
        <f t="shared" si="347"/>
        <v>#DIV/0!</v>
      </c>
      <c r="AX53" s="44" t="e">
        <f t="shared" si="347"/>
        <v>#DIV/0!</v>
      </c>
      <c r="AY53" s="44" t="e">
        <f t="shared" si="347"/>
        <v>#DIV/0!</v>
      </c>
      <c r="AZ53" s="44" t="e">
        <f t="shared" si="347"/>
        <v>#DIV/0!</v>
      </c>
      <c r="BA53" s="44" t="e">
        <f t="shared" si="347"/>
        <v>#DIV/0!</v>
      </c>
      <c r="BB53" s="44" t="e">
        <f t="shared" si="347"/>
        <v>#DIV/0!</v>
      </c>
      <c r="BC53" s="44" t="e">
        <f t="shared" si="347"/>
        <v>#DIV/0!</v>
      </c>
      <c r="BD53" s="44" t="e">
        <f t="shared" si="347"/>
        <v>#DIV/0!</v>
      </c>
      <c r="BE53" s="44" t="e">
        <f t="shared" si="347"/>
        <v>#DIV/0!</v>
      </c>
      <c r="BF53" s="44" t="e">
        <f t="shared" si="347"/>
        <v>#DIV/0!</v>
      </c>
      <c r="BG53" s="44" t="e">
        <f t="shared" si="347"/>
        <v>#DIV/0!</v>
      </c>
      <c r="BH53" s="44" t="e">
        <f t="shared" si="347"/>
        <v>#DIV/0!</v>
      </c>
      <c r="BI53" s="44" t="e">
        <f t="shared" si="347"/>
        <v>#DIV/0!</v>
      </c>
      <c r="BJ53" s="44" t="e">
        <f t="shared" si="347"/>
        <v>#DIV/0!</v>
      </c>
      <c r="BK53" s="44" t="e">
        <f t="shared" si="347"/>
        <v>#DIV/0!</v>
      </c>
      <c r="BL53" s="44" t="e">
        <f t="shared" si="347"/>
        <v>#DIV/0!</v>
      </c>
      <c r="BM53" s="44" t="e">
        <f t="shared" si="347"/>
        <v>#DIV/0!</v>
      </c>
      <c r="BN53" s="44" t="e">
        <f t="shared" si="347"/>
        <v>#DIV/0!</v>
      </c>
      <c r="BO53" s="44" t="e">
        <f t="shared" ref="BO53:CH53" si="348">BO52/BO36</f>
        <v>#DIV/0!</v>
      </c>
      <c r="BP53" s="44" t="e">
        <f t="shared" si="348"/>
        <v>#DIV/0!</v>
      </c>
      <c r="BQ53" s="44" t="e">
        <f t="shared" si="348"/>
        <v>#DIV/0!</v>
      </c>
      <c r="BR53" s="44" t="e">
        <f t="shared" si="348"/>
        <v>#DIV/0!</v>
      </c>
      <c r="BS53" s="44" t="e">
        <f t="shared" si="348"/>
        <v>#DIV/0!</v>
      </c>
      <c r="BT53" s="44" t="e">
        <f t="shared" si="348"/>
        <v>#DIV/0!</v>
      </c>
      <c r="BU53" s="44" t="e">
        <f t="shared" si="348"/>
        <v>#DIV/0!</v>
      </c>
      <c r="BV53" s="44" t="e">
        <f t="shared" si="348"/>
        <v>#DIV/0!</v>
      </c>
      <c r="BW53" s="44" t="e">
        <f t="shared" si="348"/>
        <v>#DIV/0!</v>
      </c>
      <c r="BX53" s="44" t="e">
        <f t="shared" si="348"/>
        <v>#DIV/0!</v>
      </c>
      <c r="BY53" s="44" t="e">
        <f t="shared" si="348"/>
        <v>#DIV/0!</v>
      </c>
      <c r="BZ53" s="44" t="e">
        <f t="shared" si="348"/>
        <v>#DIV/0!</v>
      </c>
      <c r="CA53" s="44" t="e">
        <f t="shared" si="348"/>
        <v>#DIV/0!</v>
      </c>
      <c r="CB53" s="44" t="e">
        <f t="shared" si="348"/>
        <v>#DIV/0!</v>
      </c>
      <c r="CC53" s="44" t="e">
        <f t="shared" si="348"/>
        <v>#DIV/0!</v>
      </c>
      <c r="CD53" s="44">
        <f t="shared" si="348"/>
        <v>0.52657529667390945</v>
      </c>
      <c r="CE53" s="44">
        <f t="shared" si="348"/>
        <v>0.61285541032205892</v>
      </c>
      <c r="CF53" s="44">
        <f t="shared" si="348"/>
        <v>0.55459880700404074</v>
      </c>
      <c r="CG53" s="44">
        <f t="shared" si="348"/>
        <v>0.45942382490605838</v>
      </c>
      <c r="CH53" s="44">
        <f t="shared" si="348"/>
        <v>0.50981644054269759</v>
      </c>
      <c r="CI53" s="44">
        <f t="shared" ref="CI53:CJ53" si="349">CI52/CI36</f>
        <v>0.50700437072733384</v>
      </c>
      <c r="CJ53" s="44">
        <f t="shared" si="349"/>
        <v>0.59439845787504253</v>
      </c>
      <c r="CK53" s="44">
        <f t="shared" ref="CK53:DD53" si="350">CK52/CK36</f>
        <v>0.51426029619550995</v>
      </c>
      <c r="CL53" s="44">
        <f t="shared" ref="CL53" si="351">CL52/CL36</f>
        <v>0.6340169583559585</v>
      </c>
      <c r="CM53" s="52">
        <f t="shared" si="350"/>
        <v>0.56520926204801325</v>
      </c>
      <c r="CN53" s="52">
        <f t="shared" si="350"/>
        <v>0.58175058824422154</v>
      </c>
      <c r="CO53" s="52">
        <f t="shared" si="350"/>
        <v>0.5571176704214319</v>
      </c>
      <c r="CP53" s="52">
        <f t="shared" si="350"/>
        <v>0.56908817428445535</v>
      </c>
      <c r="CQ53" s="52">
        <f t="shared" si="350"/>
        <v>0.5552285162218924</v>
      </c>
      <c r="CR53" s="52">
        <f t="shared" si="350"/>
        <v>0.56011767029247628</v>
      </c>
      <c r="CS53" s="52">
        <f t="shared" si="350"/>
        <v>0.55067092436258536</v>
      </c>
      <c r="CT53" s="52">
        <f t="shared" si="350"/>
        <v>0.55399180018446237</v>
      </c>
      <c r="CU53" s="52">
        <f t="shared" si="350"/>
        <v>0.54507847038507606</v>
      </c>
      <c r="CV53" s="52">
        <f t="shared" si="350"/>
        <v>0.55133756581546234</v>
      </c>
      <c r="CW53" s="52">
        <f t="shared" si="350"/>
        <v>0.54670236197474353</v>
      </c>
      <c r="CX53" s="52">
        <f t="shared" si="350"/>
        <v>0.55068278548116489</v>
      </c>
      <c r="CY53" s="52">
        <f t="shared" si="350"/>
        <v>0.54453055955456942</v>
      </c>
      <c r="CZ53" s="52">
        <f t="shared" si="350"/>
        <v>0.55285586373229934</v>
      </c>
      <c r="DA53" s="52">
        <f t="shared" si="350"/>
        <v>0.54639282087678598</v>
      </c>
      <c r="DB53" s="52">
        <f t="shared" si="350"/>
        <v>0.55095656525211334</v>
      </c>
      <c r="DC53" s="52">
        <f t="shared" si="350"/>
        <v>0.54584416167847305</v>
      </c>
      <c r="DD53" s="52">
        <f t="shared" si="350"/>
        <v>0.55399277280714609</v>
      </c>
      <c r="DE53" s="128"/>
      <c r="DF53" s="44">
        <v>0.53099007244432517</v>
      </c>
    </row>
    <row r="54" spans="1:110" s="26" customFormat="1" x14ac:dyDescent="0.2">
      <c r="A54" s="34" t="s">
        <v>13</v>
      </c>
      <c r="B54" s="26">
        <f t="shared" ref="B54:E54" si="352">B42-B52</f>
        <v>0</v>
      </c>
      <c r="C54" s="26">
        <f t="shared" si="352"/>
        <v>0</v>
      </c>
      <c r="D54" s="26">
        <f t="shared" si="352"/>
        <v>0</v>
      </c>
      <c r="E54" s="26">
        <f t="shared" si="352"/>
        <v>0</v>
      </c>
      <c r="F54" s="26">
        <f t="shared" ref="F54:AE54" si="353">F42-F52</f>
        <v>0</v>
      </c>
      <c r="G54" s="26">
        <f t="shared" si="353"/>
        <v>0</v>
      </c>
      <c r="H54" s="26">
        <f t="shared" si="353"/>
        <v>0</v>
      </c>
      <c r="I54" s="26">
        <f t="shared" si="353"/>
        <v>0</v>
      </c>
      <c r="J54" s="26">
        <f t="shared" si="353"/>
        <v>0</v>
      </c>
      <c r="K54" s="26">
        <f t="shared" si="353"/>
        <v>0</v>
      </c>
      <c r="L54" s="26">
        <f t="shared" si="353"/>
        <v>0</v>
      </c>
      <c r="M54" s="26">
        <f t="shared" si="353"/>
        <v>0</v>
      </c>
      <c r="N54" s="26">
        <f t="shared" si="353"/>
        <v>0</v>
      </c>
      <c r="O54" s="26">
        <f t="shared" si="353"/>
        <v>0</v>
      </c>
      <c r="P54" s="26">
        <f t="shared" si="353"/>
        <v>0</v>
      </c>
      <c r="Q54" s="26">
        <f t="shared" si="353"/>
        <v>0</v>
      </c>
      <c r="R54" s="26">
        <f t="shared" si="353"/>
        <v>0</v>
      </c>
      <c r="S54" s="26">
        <f t="shared" si="353"/>
        <v>0</v>
      </c>
      <c r="T54" s="26">
        <f t="shared" si="353"/>
        <v>0</v>
      </c>
      <c r="U54" s="26">
        <f t="shared" si="353"/>
        <v>0</v>
      </c>
      <c r="V54" s="26">
        <f t="shared" si="353"/>
        <v>0</v>
      </c>
      <c r="W54" s="26">
        <f t="shared" si="353"/>
        <v>0</v>
      </c>
      <c r="X54" s="26">
        <f t="shared" si="353"/>
        <v>0</v>
      </c>
      <c r="Y54" s="26">
        <f t="shared" si="353"/>
        <v>855.50000000000091</v>
      </c>
      <c r="Z54" s="26">
        <f t="shared" ref="Z54" si="354">Z42-Z52</f>
        <v>1490</v>
      </c>
      <c r="AA54" s="27">
        <f t="shared" si="353"/>
        <v>2071.6779246659371</v>
      </c>
      <c r="AB54" s="27">
        <f t="shared" si="353"/>
        <v>2564.7251357933619</v>
      </c>
      <c r="AC54" s="27">
        <f t="shared" si="353"/>
        <v>3149.4659466873636</v>
      </c>
      <c r="AD54" s="27">
        <f t="shared" si="353"/>
        <v>3711.9740368133662</v>
      </c>
      <c r="AE54" s="27">
        <f t="shared" si="353"/>
        <v>4337.6619229759981</v>
      </c>
      <c r="AI54" s="26">
        <f t="shared" ref="AI54:BN54" si="355">AI42-AI52</f>
        <v>0</v>
      </c>
      <c r="AJ54" s="26">
        <f t="shared" si="355"/>
        <v>0</v>
      </c>
      <c r="AK54" s="26">
        <f t="shared" si="355"/>
        <v>0</v>
      </c>
      <c r="AL54" s="26">
        <f t="shared" si="355"/>
        <v>0</v>
      </c>
      <c r="AM54" s="26">
        <f t="shared" si="355"/>
        <v>0</v>
      </c>
      <c r="AN54" s="26">
        <f t="shared" si="355"/>
        <v>0</v>
      </c>
      <c r="AO54" s="26">
        <f t="shared" si="355"/>
        <v>0</v>
      </c>
      <c r="AP54" s="26">
        <f t="shared" si="355"/>
        <v>0</v>
      </c>
      <c r="AQ54" s="26">
        <f t="shared" si="355"/>
        <v>0</v>
      </c>
      <c r="AR54" s="26">
        <f t="shared" si="355"/>
        <v>0</v>
      </c>
      <c r="AS54" s="26">
        <f t="shared" si="355"/>
        <v>0</v>
      </c>
      <c r="AT54" s="26">
        <f t="shared" si="355"/>
        <v>0</v>
      </c>
      <c r="AU54" s="26">
        <f t="shared" si="355"/>
        <v>0</v>
      </c>
      <c r="AV54" s="26">
        <f t="shared" si="355"/>
        <v>0</v>
      </c>
      <c r="AW54" s="26">
        <f t="shared" si="355"/>
        <v>0</v>
      </c>
      <c r="AX54" s="26">
        <f t="shared" si="355"/>
        <v>0</v>
      </c>
      <c r="AY54" s="26">
        <f t="shared" si="355"/>
        <v>0</v>
      </c>
      <c r="AZ54" s="26">
        <f t="shared" si="355"/>
        <v>0</v>
      </c>
      <c r="BA54" s="26">
        <f t="shared" si="355"/>
        <v>0</v>
      </c>
      <c r="BB54" s="26">
        <f t="shared" si="355"/>
        <v>0</v>
      </c>
      <c r="BC54" s="26">
        <f t="shared" si="355"/>
        <v>0</v>
      </c>
      <c r="BD54" s="26">
        <f t="shared" si="355"/>
        <v>0</v>
      </c>
      <c r="BE54" s="26">
        <f t="shared" si="355"/>
        <v>0</v>
      </c>
      <c r="BF54" s="26">
        <f t="shared" si="355"/>
        <v>0</v>
      </c>
      <c r="BG54" s="26">
        <f t="shared" si="355"/>
        <v>0</v>
      </c>
      <c r="BH54" s="26">
        <f t="shared" si="355"/>
        <v>0</v>
      </c>
      <c r="BI54" s="26">
        <f t="shared" si="355"/>
        <v>0</v>
      </c>
      <c r="BJ54" s="26">
        <f t="shared" si="355"/>
        <v>0</v>
      </c>
      <c r="BK54" s="26">
        <f t="shared" si="355"/>
        <v>0</v>
      </c>
      <c r="BL54" s="26">
        <f t="shared" si="355"/>
        <v>0</v>
      </c>
      <c r="BM54" s="26">
        <f t="shared" si="355"/>
        <v>0</v>
      </c>
      <c r="BN54" s="26">
        <f t="shared" si="355"/>
        <v>0</v>
      </c>
      <c r="BO54" s="26">
        <f t="shared" ref="BO54:CH54" si="356">BO42-BO52</f>
        <v>0</v>
      </c>
      <c r="BP54" s="26">
        <f t="shared" si="356"/>
        <v>0</v>
      </c>
      <c r="BQ54" s="26">
        <f t="shared" si="356"/>
        <v>0</v>
      </c>
      <c r="BR54" s="26">
        <f t="shared" si="356"/>
        <v>0</v>
      </c>
      <c r="BS54" s="26">
        <f t="shared" si="356"/>
        <v>0</v>
      </c>
      <c r="BT54" s="26">
        <f t="shared" si="356"/>
        <v>0</v>
      </c>
      <c r="BU54" s="26">
        <f t="shared" si="356"/>
        <v>0</v>
      </c>
      <c r="BV54" s="26">
        <f t="shared" si="356"/>
        <v>0</v>
      </c>
      <c r="BW54" s="26">
        <f t="shared" si="356"/>
        <v>0</v>
      </c>
      <c r="BX54" s="26">
        <f t="shared" si="356"/>
        <v>0</v>
      </c>
      <c r="BY54" s="26">
        <f t="shared" si="356"/>
        <v>0</v>
      </c>
      <c r="BZ54" s="26">
        <f t="shared" si="356"/>
        <v>0</v>
      </c>
      <c r="CA54" s="26">
        <f t="shared" si="356"/>
        <v>0</v>
      </c>
      <c r="CB54" s="26">
        <f t="shared" si="356"/>
        <v>0</v>
      </c>
      <c r="CC54" s="26">
        <f t="shared" si="356"/>
        <v>0</v>
      </c>
      <c r="CD54" s="26">
        <f t="shared" si="356"/>
        <v>269.49999999999989</v>
      </c>
      <c r="CE54" s="26">
        <f t="shared" si="356"/>
        <v>213.40000000000009</v>
      </c>
      <c r="CF54" s="26">
        <f t="shared" si="356"/>
        <v>384.89999999999986</v>
      </c>
      <c r="CG54" s="26">
        <f t="shared" si="356"/>
        <v>335.30000000000007</v>
      </c>
      <c r="CH54" s="26">
        <f t="shared" si="356"/>
        <v>358.5</v>
      </c>
      <c r="CI54" s="26">
        <f t="shared" ref="CI54:CJ54" si="357">CI42-CI52</f>
        <v>340.29999999999973</v>
      </c>
      <c r="CJ54" s="26">
        <f t="shared" si="357"/>
        <v>479.30000000000018</v>
      </c>
      <c r="CK54" s="26">
        <f t="shared" ref="CK54:DD54" si="358">CK42-CK52</f>
        <v>460.80000000000018</v>
      </c>
      <c r="CL54" s="26">
        <f t="shared" ref="CL54" si="359">CL42-CL52</f>
        <v>498.29999999999995</v>
      </c>
      <c r="CM54" s="27">
        <f t="shared" si="358"/>
        <v>450.94170552054879</v>
      </c>
      <c r="CN54" s="27">
        <f t="shared" si="358"/>
        <v>661.63621914538817</v>
      </c>
      <c r="CO54" s="27">
        <f t="shared" si="358"/>
        <v>540.18001637330599</v>
      </c>
      <c r="CP54" s="27">
        <f t="shared" si="358"/>
        <v>652.07348535275241</v>
      </c>
      <c r="CQ54" s="27">
        <f t="shared" si="358"/>
        <v>560.08163399323371</v>
      </c>
      <c r="CR54" s="27">
        <f t="shared" si="358"/>
        <v>812.39000007406912</v>
      </c>
      <c r="CS54" s="27">
        <f t="shared" si="358"/>
        <v>664.70030030229782</v>
      </c>
      <c r="CT54" s="27">
        <f t="shared" si="358"/>
        <v>806.91908389808555</v>
      </c>
      <c r="CU54" s="27">
        <f t="shared" si="358"/>
        <v>689.38926130859659</v>
      </c>
      <c r="CV54" s="27">
        <f t="shared" si="358"/>
        <v>988.45730117838548</v>
      </c>
      <c r="CW54" s="27">
        <f t="shared" si="358"/>
        <v>795.51969711687025</v>
      </c>
      <c r="CX54" s="27">
        <f t="shared" si="358"/>
        <v>957.15078714137553</v>
      </c>
      <c r="CY54" s="27">
        <f t="shared" si="358"/>
        <v>810.31194309114585</v>
      </c>
      <c r="CZ54" s="27">
        <f t="shared" si="358"/>
        <v>1148.9916094639757</v>
      </c>
      <c r="DA54" s="27">
        <f t="shared" si="358"/>
        <v>935.28741310759187</v>
      </c>
      <c r="DB54" s="27">
        <f t="shared" si="358"/>
        <v>1119.624500878424</v>
      </c>
      <c r="DC54" s="27">
        <f t="shared" si="358"/>
        <v>944.49024379455841</v>
      </c>
      <c r="DD54" s="27">
        <f t="shared" si="358"/>
        <v>1338.2597651954238</v>
      </c>
      <c r="DE54" s="121"/>
      <c r="DF54" s="26">
        <v>1490</v>
      </c>
    </row>
    <row r="55" spans="1:110" s="167" customFormat="1" x14ac:dyDescent="0.2">
      <c r="A55" s="164" t="s">
        <v>14</v>
      </c>
      <c r="B55" s="165" t="e">
        <f t="shared" ref="B55:E55" si="360">B54/B36</f>
        <v>#DIV/0!</v>
      </c>
      <c r="C55" s="165" t="e">
        <f t="shared" si="360"/>
        <v>#DIV/0!</v>
      </c>
      <c r="D55" s="165" t="e">
        <f t="shared" si="360"/>
        <v>#DIV/0!</v>
      </c>
      <c r="E55" s="165" t="e">
        <f t="shared" si="360"/>
        <v>#DIV/0!</v>
      </c>
      <c r="F55" s="165" t="e">
        <f t="shared" ref="F55:AE55" si="361">F54/F36</f>
        <v>#DIV/0!</v>
      </c>
      <c r="G55" s="165" t="e">
        <f t="shared" si="361"/>
        <v>#DIV/0!</v>
      </c>
      <c r="H55" s="165" t="e">
        <f t="shared" si="361"/>
        <v>#DIV/0!</v>
      </c>
      <c r="I55" s="165" t="e">
        <f t="shared" si="361"/>
        <v>#DIV/0!</v>
      </c>
      <c r="J55" s="165" t="e">
        <f t="shared" si="361"/>
        <v>#DIV/0!</v>
      </c>
      <c r="K55" s="165" t="e">
        <f t="shared" si="361"/>
        <v>#DIV/0!</v>
      </c>
      <c r="L55" s="165" t="e">
        <f t="shared" si="361"/>
        <v>#DIV/0!</v>
      </c>
      <c r="M55" s="165" t="e">
        <f t="shared" si="361"/>
        <v>#DIV/0!</v>
      </c>
      <c r="N55" s="165" t="e">
        <f t="shared" si="361"/>
        <v>#DIV/0!</v>
      </c>
      <c r="O55" s="165" t="e">
        <f t="shared" si="361"/>
        <v>#DIV/0!</v>
      </c>
      <c r="P55" s="165" t="e">
        <f t="shared" si="361"/>
        <v>#DIV/0!</v>
      </c>
      <c r="Q55" s="165" t="e">
        <f t="shared" si="361"/>
        <v>#DIV/0!</v>
      </c>
      <c r="R55" s="165" t="e">
        <f t="shared" si="361"/>
        <v>#DIV/0!</v>
      </c>
      <c r="S55" s="165" t="e">
        <f t="shared" si="361"/>
        <v>#DIV/0!</v>
      </c>
      <c r="T55" s="165" t="e">
        <f t="shared" si="361"/>
        <v>#DIV/0!</v>
      </c>
      <c r="U55" s="165" t="e">
        <f t="shared" si="361"/>
        <v>#DIV/0!</v>
      </c>
      <c r="V55" s="165" t="e">
        <f t="shared" si="361"/>
        <v>#DIV/0!</v>
      </c>
      <c r="W55" s="165" t="e">
        <f t="shared" si="361"/>
        <v>#DIV/0!</v>
      </c>
      <c r="X55" s="165" t="e">
        <f t="shared" si="361"/>
        <v>#DIV/0!</v>
      </c>
      <c r="Y55" s="165">
        <f t="shared" si="361"/>
        <v>0.17974199512564099</v>
      </c>
      <c r="Z55" s="165">
        <f t="shared" ref="Z55" si="362">Z54/Z36</f>
        <v>0.19037397626074848</v>
      </c>
      <c r="AA55" s="166">
        <f t="shared" si="361"/>
        <v>0.20643601834739361</v>
      </c>
      <c r="AB55" s="166">
        <f t="shared" si="361"/>
        <v>0.2155731623637443</v>
      </c>
      <c r="AC55" s="166">
        <f t="shared" si="361"/>
        <v>0.22542685600129136</v>
      </c>
      <c r="AD55" s="166">
        <f t="shared" si="361"/>
        <v>0.22668239324654244</v>
      </c>
      <c r="AE55" s="166">
        <f t="shared" si="361"/>
        <v>0.22602749124504626</v>
      </c>
      <c r="AI55" s="165" t="e">
        <f t="shared" ref="AI55:BN55" si="363">AI54/AI36</f>
        <v>#DIV/0!</v>
      </c>
      <c r="AJ55" s="165" t="e">
        <f t="shared" si="363"/>
        <v>#DIV/0!</v>
      </c>
      <c r="AK55" s="165" t="e">
        <f t="shared" si="363"/>
        <v>#DIV/0!</v>
      </c>
      <c r="AL55" s="165" t="e">
        <f t="shared" si="363"/>
        <v>#DIV/0!</v>
      </c>
      <c r="AM55" s="165" t="e">
        <f t="shared" si="363"/>
        <v>#DIV/0!</v>
      </c>
      <c r="AN55" s="165" t="e">
        <f t="shared" si="363"/>
        <v>#DIV/0!</v>
      </c>
      <c r="AO55" s="165" t="e">
        <f t="shared" si="363"/>
        <v>#DIV/0!</v>
      </c>
      <c r="AP55" s="165" t="e">
        <f t="shared" si="363"/>
        <v>#DIV/0!</v>
      </c>
      <c r="AQ55" s="165" t="e">
        <f t="shared" si="363"/>
        <v>#DIV/0!</v>
      </c>
      <c r="AR55" s="165" t="e">
        <f t="shared" si="363"/>
        <v>#DIV/0!</v>
      </c>
      <c r="AS55" s="165" t="e">
        <f t="shared" si="363"/>
        <v>#DIV/0!</v>
      </c>
      <c r="AT55" s="165" t="e">
        <f t="shared" si="363"/>
        <v>#DIV/0!</v>
      </c>
      <c r="AU55" s="165" t="e">
        <f t="shared" si="363"/>
        <v>#DIV/0!</v>
      </c>
      <c r="AV55" s="165" t="e">
        <f t="shared" si="363"/>
        <v>#DIV/0!</v>
      </c>
      <c r="AW55" s="165" t="e">
        <f t="shared" si="363"/>
        <v>#DIV/0!</v>
      </c>
      <c r="AX55" s="165" t="e">
        <f t="shared" si="363"/>
        <v>#DIV/0!</v>
      </c>
      <c r="AY55" s="165" t="e">
        <f t="shared" si="363"/>
        <v>#DIV/0!</v>
      </c>
      <c r="AZ55" s="165" t="e">
        <f t="shared" si="363"/>
        <v>#DIV/0!</v>
      </c>
      <c r="BA55" s="165" t="e">
        <f t="shared" si="363"/>
        <v>#DIV/0!</v>
      </c>
      <c r="BB55" s="165" t="e">
        <f t="shared" si="363"/>
        <v>#DIV/0!</v>
      </c>
      <c r="BC55" s="165" t="e">
        <f t="shared" si="363"/>
        <v>#DIV/0!</v>
      </c>
      <c r="BD55" s="165" t="e">
        <f t="shared" si="363"/>
        <v>#DIV/0!</v>
      </c>
      <c r="BE55" s="165" t="e">
        <f t="shared" si="363"/>
        <v>#DIV/0!</v>
      </c>
      <c r="BF55" s="165" t="e">
        <f t="shared" si="363"/>
        <v>#DIV/0!</v>
      </c>
      <c r="BG55" s="165" t="e">
        <f t="shared" si="363"/>
        <v>#DIV/0!</v>
      </c>
      <c r="BH55" s="165" t="e">
        <f t="shared" si="363"/>
        <v>#DIV/0!</v>
      </c>
      <c r="BI55" s="165" t="e">
        <f t="shared" si="363"/>
        <v>#DIV/0!</v>
      </c>
      <c r="BJ55" s="165" t="e">
        <f t="shared" si="363"/>
        <v>#DIV/0!</v>
      </c>
      <c r="BK55" s="165" t="e">
        <f t="shared" si="363"/>
        <v>#DIV/0!</v>
      </c>
      <c r="BL55" s="165" t="e">
        <f t="shared" si="363"/>
        <v>#DIV/0!</v>
      </c>
      <c r="BM55" s="165" t="e">
        <f t="shared" si="363"/>
        <v>#DIV/0!</v>
      </c>
      <c r="BN55" s="165" t="e">
        <f t="shared" si="363"/>
        <v>#DIV/0!</v>
      </c>
      <c r="BO55" s="165" t="e">
        <f t="shared" ref="BO55:CH55" si="364">BO54/BO36</f>
        <v>#DIV/0!</v>
      </c>
      <c r="BP55" s="165" t="e">
        <f t="shared" si="364"/>
        <v>#DIV/0!</v>
      </c>
      <c r="BQ55" s="165" t="e">
        <f t="shared" si="364"/>
        <v>#DIV/0!</v>
      </c>
      <c r="BR55" s="165" t="e">
        <f t="shared" si="364"/>
        <v>#DIV/0!</v>
      </c>
      <c r="BS55" s="165" t="e">
        <f t="shared" si="364"/>
        <v>#DIV/0!</v>
      </c>
      <c r="BT55" s="165" t="e">
        <f t="shared" si="364"/>
        <v>#DIV/0!</v>
      </c>
      <c r="BU55" s="165" t="e">
        <f t="shared" si="364"/>
        <v>#DIV/0!</v>
      </c>
      <c r="BV55" s="165" t="e">
        <f t="shared" si="364"/>
        <v>#DIV/0!</v>
      </c>
      <c r="BW55" s="165" t="e">
        <f t="shared" si="364"/>
        <v>#DIV/0!</v>
      </c>
      <c r="BX55" s="165" t="e">
        <f t="shared" si="364"/>
        <v>#DIV/0!</v>
      </c>
      <c r="BY55" s="165" t="e">
        <f t="shared" si="364"/>
        <v>#DIV/0!</v>
      </c>
      <c r="BZ55" s="165" t="e">
        <f t="shared" si="364"/>
        <v>#DIV/0!</v>
      </c>
      <c r="CA55" s="165" t="e">
        <f t="shared" si="364"/>
        <v>#DIV/0!</v>
      </c>
      <c r="CB55" s="165" t="e">
        <f t="shared" si="364"/>
        <v>#DIV/0!</v>
      </c>
      <c r="CC55" s="165" t="e">
        <f t="shared" si="364"/>
        <v>#DIV/0!</v>
      </c>
      <c r="CD55" s="165">
        <f t="shared" si="364"/>
        <v>0.22522146080561584</v>
      </c>
      <c r="CE55" s="165">
        <f t="shared" si="364"/>
        <v>0.14378116156852183</v>
      </c>
      <c r="CF55" s="165">
        <f t="shared" si="364"/>
        <v>0.18515489705599375</v>
      </c>
      <c r="CG55" s="165">
        <f t="shared" si="364"/>
        <v>0.22104291647438859</v>
      </c>
      <c r="CH55" s="165">
        <f t="shared" si="364"/>
        <v>0.19074221867517957</v>
      </c>
      <c r="CI55" s="165">
        <f t="shared" ref="CI55:CJ55" si="365">CI54/CI36</f>
        <v>0.19068698868093675</v>
      </c>
      <c r="CJ55" s="165">
        <f t="shared" si="365"/>
        <v>0.18116188532335495</v>
      </c>
      <c r="CK55" s="165">
        <f t="shared" ref="CK55:DD55" si="366">CK54/CK36</f>
        <v>0.24114291695012829</v>
      </c>
      <c r="CL55" s="165">
        <f t="shared" ref="CL55" si="367">CL54/CL36</f>
        <v>0.20813666931205879</v>
      </c>
      <c r="CM55" s="166">
        <f t="shared" si="366"/>
        <v>0.19481585244851693</v>
      </c>
      <c r="CN55" s="166">
        <f t="shared" si="366"/>
        <v>0.19370213063665279</v>
      </c>
      <c r="CO55" s="166">
        <f t="shared" si="366"/>
        <v>0.21830841144085544</v>
      </c>
      <c r="CP55" s="166">
        <f t="shared" si="366"/>
        <v>0.21129356758520268</v>
      </c>
      <c r="CQ55" s="166">
        <f t="shared" si="366"/>
        <v>0.21759289805544496</v>
      </c>
      <c r="CR55" s="166">
        <f t="shared" si="366"/>
        <v>0.21590281893006302</v>
      </c>
      <c r="CS55" s="166">
        <f t="shared" si="366"/>
        <v>0.22549150744537019</v>
      </c>
      <c r="CT55" s="166">
        <f t="shared" si="366"/>
        <v>0.22235471910991014</v>
      </c>
      <c r="CU55" s="166">
        <f t="shared" si="366"/>
        <v>0.23025924326547517</v>
      </c>
      <c r="CV55" s="166">
        <f t="shared" si="366"/>
        <v>0.22462922267839225</v>
      </c>
      <c r="CW55" s="166">
        <f t="shared" si="366"/>
        <v>0.22925100133693987</v>
      </c>
      <c r="CX55" s="166">
        <f t="shared" si="366"/>
        <v>0.22521831070645049</v>
      </c>
      <c r="CY55" s="166">
        <f t="shared" si="366"/>
        <v>0.23125918085635666</v>
      </c>
      <c r="CZ55" s="166">
        <f t="shared" si="366"/>
        <v>0.2230468833687205</v>
      </c>
      <c r="DA55" s="166">
        <f t="shared" si="366"/>
        <v>0.22949391587602511</v>
      </c>
      <c r="DB55" s="166">
        <f t="shared" si="366"/>
        <v>0.22491351486097963</v>
      </c>
      <c r="DC55" s="166">
        <f t="shared" si="366"/>
        <v>0.23001816441598946</v>
      </c>
      <c r="DD55" s="166">
        <f t="shared" si="366"/>
        <v>0.22188769970820055</v>
      </c>
      <c r="DE55" s="168"/>
      <c r="DF55" s="167">
        <v>0.19037397626074848</v>
      </c>
    </row>
    <row r="56" spans="1:110" s="38" customFormat="1" x14ac:dyDescent="0.2">
      <c r="A56" s="39" t="s">
        <v>449</v>
      </c>
      <c r="B56" s="39"/>
      <c r="C56" s="39" t="e">
        <f t="shared" ref="C56:E56" si="368">+IF(B54&lt;0,1-C54/B54,C54/B54-1)</f>
        <v>#DIV/0!</v>
      </c>
      <c r="D56" s="39" t="e">
        <f t="shared" si="368"/>
        <v>#DIV/0!</v>
      </c>
      <c r="E56" s="39" t="e">
        <f t="shared" si="368"/>
        <v>#DIV/0!</v>
      </c>
      <c r="F56" s="39" t="e">
        <f t="shared" ref="F56:Z56" si="369">+IF(E54&lt;0,1-F54/E54,F54/E54-1)</f>
        <v>#DIV/0!</v>
      </c>
      <c r="G56" s="39" t="e">
        <f t="shared" si="369"/>
        <v>#DIV/0!</v>
      </c>
      <c r="H56" s="39" t="e">
        <f t="shared" si="369"/>
        <v>#DIV/0!</v>
      </c>
      <c r="I56" s="39" t="e">
        <f t="shared" si="369"/>
        <v>#DIV/0!</v>
      </c>
      <c r="J56" s="39" t="e">
        <f t="shared" si="369"/>
        <v>#DIV/0!</v>
      </c>
      <c r="K56" s="39" t="e">
        <f t="shared" si="369"/>
        <v>#DIV/0!</v>
      </c>
      <c r="L56" s="39" t="e">
        <f t="shared" si="369"/>
        <v>#DIV/0!</v>
      </c>
      <c r="M56" s="39" t="e">
        <f t="shared" si="369"/>
        <v>#DIV/0!</v>
      </c>
      <c r="N56" s="39" t="e">
        <f t="shared" si="369"/>
        <v>#DIV/0!</v>
      </c>
      <c r="O56" s="39" t="e">
        <f t="shared" si="369"/>
        <v>#DIV/0!</v>
      </c>
      <c r="P56" s="39" t="e">
        <f t="shared" si="369"/>
        <v>#DIV/0!</v>
      </c>
      <c r="Q56" s="39" t="e">
        <f t="shared" si="369"/>
        <v>#DIV/0!</v>
      </c>
      <c r="R56" s="39" t="e">
        <f t="shared" si="369"/>
        <v>#DIV/0!</v>
      </c>
      <c r="S56" s="39" t="e">
        <f t="shared" si="369"/>
        <v>#DIV/0!</v>
      </c>
      <c r="T56" s="39" t="e">
        <f t="shared" si="369"/>
        <v>#DIV/0!</v>
      </c>
      <c r="U56" s="39" t="e">
        <f t="shared" si="369"/>
        <v>#DIV/0!</v>
      </c>
      <c r="V56" s="39" t="e">
        <f t="shared" si="369"/>
        <v>#DIV/0!</v>
      </c>
      <c r="W56" s="39" t="e">
        <f t="shared" si="369"/>
        <v>#DIV/0!</v>
      </c>
      <c r="X56" s="39" t="e">
        <f t="shared" si="369"/>
        <v>#DIV/0!</v>
      </c>
      <c r="Y56" s="39" t="e">
        <f t="shared" si="369"/>
        <v>#DIV/0!</v>
      </c>
      <c r="Z56" s="39">
        <f t="shared" si="369"/>
        <v>0.74167153711279776</v>
      </c>
      <c r="AA56" s="40">
        <f t="shared" ref="AA56:AE56" si="370">+IF(Z54&lt;0,1-AA54/Z54,AA54/Z54-1)</f>
        <v>0.39038786890331356</v>
      </c>
      <c r="AB56" s="40">
        <f t="shared" si="370"/>
        <v>0.23799414245673822</v>
      </c>
      <c r="AC56" s="40">
        <f t="shared" si="370"/>
        <v>0.22799355873787253</v>
      </c>
      <c r="AD56" s="40">
        <f t="shared" si="370"/>
        <v>0.17860427756574215</v>
      </c>
      <c r="AE56" s="40">
        <f t="shared" si="370"/>
        <v>0.16855933795802325</v>
      </c>
      <c r="AI56" s="39"/>
      <c r="AJ56" s="39"/>
      <c r="AK56" s="39"/>
      <c r="AL56" s="39"/>
      <c r="AM56" s="39" t="e">
        <f>+IF(AI54&lt;0,1-AM54/AI54,AM54/AI54-1)</f>
        <v>#DIV/0!</v>
      </c>
      <c r="AN56" s="39" t="e">
        <f t="shared" ref="AN56" si="371">+IF(AJ54&lt;0,1-AN54/AJ54,AN54/AJ54-1)</f>
        <v>#DIV/0!</v>
      </c>
      <c r="AO56" s="39" t="e">
        <f t="shared" ref="AO56" si="372">+IF(AK54&lt;0,1-AO54/AK54,AO54/AK54-1)</f>
        <v>#DIV/0!</v>
      </c>
      <c r="AP56" s="39" t="e">
        <f t="shared" ref="AP56" si="373">+IF(AL54&lt;0,1-AP54/AL54,AP54/AL54-1)</f>
        <v>#DIV/0!</v>
      </c>
      <c r="AQ56" s="39" t="e">
        <f t="shared" ref="AQ56" si="374">+IF(AM54&lt;0,1-AQ54/AM54,AQ54/AM54-1)</f>
        <v>#DIV/0!</v>
      </c>
      <c r="AR56" s="39" t="e">
        <f t="shared" ref="AR56" si="375">+IF(AN54&lt;0,1-AR54/AN54,AR54/AN54-1)</f>
        <v>#DIV/0!</v>
      </c>
      <c r="AS56" s="39" t="e">
        <f t="shared" ref="AS56" si="376">+IF(AO54&lt;0,1-AS54/AO54,AS54/AO54-1)</f>
        <v>#DIV/0!</v>
      </c>
      <c r="AT56" s="39" t="e">
        <f t="shared" ref="AT56" si="377">+IF(AP54&lt;0,1-AT54/AP54,AT54/AP54-1)</f>
        <v>#DIV/0!</v>
      </c>
      <c r="AU56" s="39" t="e">
        <f t="shared" ref="AU56" si="378">+IF(AQ54&lt;0,1-AU54/AQ54,AU54/AQ54-1)</f>
        <v>#DIV/0!</v>
      </c>
      <c r="AV56" s="39" t="e">
        <f t="shared" ref="AV56" si="379">+IF(AR54&lt;0,1-AV54/AR54,AV54/AR54-1)</f>
        <v>#DIV/0!</v>
      </c>
      <c r="AW56" s="39" t="e">
        <f t="shared" ref="AW56" si="380">+IF(AS54&lt;0,1-AW54/AS54,AW54/AS54-1)</f>
        <v>#DIV/0!</v>
      </c>
      <c r="AX56" s="39" t="e">
        <f t="shared" ref="AX56" si="381">+IF(AT54&lt;0,1-AX54/AT54,AX54/AT54-1)</f>
        <v>#DIV/0!</v>
      </c>
      <c r="AY56" s="39" t="e">
        <f t="shared" ref="AY56" si="382">+IF(AU54&lt;0,1-AY54/AU54,AY54/AU54-1)</f>
        <v>#DIV/0!</v>
      </c>
      <c r="AZ56" s="39" t="e">
        <f t="shared" ref="AZ56" si="383">+IF(AV54&lt;0,1-AZ54/AV54,AZ54/AV54-1)</f>
        <v>#DIV/0!</v>
      </c>
      <c r="BA56" s="39" t="e">
        <f t="shared" ref="BA56" si="384">+IF(AW54&lt;0,1-BA54/AW54,BA54/AW54-1)</f>
        <v>#DIV/0!</v>
      </c>
      <c r="BB56" s="39" t="e">
        <f t="shared" ref="BB56" si="385">+IF(AX54&lt;0,1-BB54/AX54,BB54/AX54-1)</f>
        <v>#DIV/0!</v>
      </c>
      <c r="BC56" s="39" t="e">
        <f t="shared" ref="BC56" si="386">+IF(AY54&lt;0,1-BC54/AY54,BC54/AY54-1)</f>
        <v>#DIV/0!</v>
      </c>
      <c r="BD56" s="39" t="e">
        <f t="shared" ref="BD56" si="387">+IF(AZ54&lt;0,1-BD54/AZ54,BD54/AZ54-1)</f>
        <v>#DIV/0!</v>
      </c>
      <c r="BE56" s="39" t="e">
        <f t="shared" ref="BE56" si="388">+IF(BA54&lt;0,1-BE54/BA54,BE54/BA54-1)</f>
        <v>#DIV/0!</v>
      </c>
      <c r="BF56" s="39" t="e">
        <f t="shared" ref="BF56" si="389">+IF(BB54&lt;0,1-BF54/BB54,BF54/BB54-1)</f>
        <v>#DIV/0!</v>
      </c>
      <c r="BG56" s="39" t="e">
        <f t="shared" ref="BG56" si="390">+IF(BC54&lt;0,1-BG54/BC54,BG54/BC54-1)</f>
        <v>#DIV/0!</v>
      </c>
      <c r="BH56" s="39" t="e">
        <f t="shared" ref="BH56" si="391">+IF(BD54&lt;0,1-BH54/BD54,BH54/BD54-1)</f>
        <v>#DIV/0!</v>
      </c>
      <c r="BI56" s="39" t="e">
        <f t="shared" ref="BI56" si="392">+IF(BE54&lt;0,1-BI54/BE54,BI54/BE54-1)</f>
        <v>#DIV/0!</v>
      </c>
      <c r="BJ56" s="39" t="e">
        <f t="shared" ref="BJ56" si="393">+IF(BF54&lt;0,1-BJ54/BF54,BJ54/BF54-1)</f>
        <v>#DIV/0!</v>
      </c>
      <c r="BK56" s="39" t="e">
        <f t="shared" ref="BK56" si="394">+IF(BG54&lt;0,1-BK54/BG54,BK54/BG54-1)</f>
        <v>#DIV/0!</v>
      </c>
      <c r="BL56" s="39" t="e">
        <f t="shared" ref="BL56" si="395">+IF(BH54&lt;0,1-BL54/BH54,BL54/BH54-1)</f>
        <v>#DIV/0!</v>
      </c>
      <c r="BM56" s="39" t="e">
        <f t="shared" ref="BM56" si="396">+IF(BI54&lt;0,1-BM54/BI54,BM54/BI54-1)</f>
        <v>#DIV/0!</v>
      </c>
      <c r="BN56" s="39" t="e">
        <f t="shared" ref="BN56" si="397">+IF(BJ54&lt;0,1-BN54/BJ54,BN54/BJ54-1)</f>
        <v>#DIV/0!</v>
      </c>
      <c r="BO56" s="39" t="e">
        <f t="shared" ref="BO56" si="398">+IF(BK54&lt;0,1-BO54/BK54,BO54/BK54-1)</f>
        <v>#DIV/0!</v>
      </c>
      <c r="BP56" s="39" t="e">
        <f t="shared" ref="BP56" si="399">+IF(BL54&lt;0,1-BP54/BL54,BP54/BL54-1)</f>
        <v>#DIV/0!</v>
      </c>
      <c r="BQ56" s="39" t="e">
        <f t="shared" ref="BQ56" si="400">+IF(BM54&lt;0,1-BQ54/BM54,BQ54/BM54-1)</f>
        <v>#DIV/0!</v>
      </c>
      <c r="BR56" s="39" t="e">
        <f t="shared" ref="BR56" si="401">+IF(BN54&lt;0,1-BR54/BN54,BR54/BN54-1)</f>
        <v>#DIV/0!</v>
      </c>
      <c r="BS56" s="39" t="e">
        <f t="shared" ref="BS56" si="402">+IF(BO54&lt;0,1-BS54/BO54,BS54/BO54-1)</f>
        <v>#DIV/0!</v>
      </c>
      <c r="BT56" s="39" t="e">
        <f t="shared" ref="BT56" si="403">+IF(BP54&lt;0,1-BT54/BP54,BT54/BP54-1)</f>
        <v>#DIV/0!</v>
      </c>
      <c r="BU56" s="39" t="e">
        <f t="shared" ref="BU56" si="404">+IF(BQ54&lt;0,1-BU54/BQ54,BU54/BQ54-1)</f>
        <v>#DIV/0!</v>
      </c>
      <c r="BV56" s="39" t="e">
        <f t="shared" ref="BV56" si="405">+IF(BR54&lt;0,1-BV54/BR54,BV54/BR54-1)</f>
        <v>#DIV/0!</v>
      </c>
      <c r="BW56" s="39" t="e">
        <f t="shared" ref="BW56" si="406">+IF(BS54&lt;0,1-BW54/BS54,BW54/BS54-1)</f>
        <v>#DIV/0!</v>
      </c>
      <c r="BX56" s="39" t="e">
        <f t="shared" ref="BX56" si="407">+IF(BT54&lt;0,1-BX54/BT54,BX54/BT54-1)</f>
        <v>#DIV/0!</v>
      </c>
      <c r="BY56" s="39" t="e">
        <f t="shared" ref="BY56" si="408">+IF(BU54&lt;0,1-BY54/BU54,BY54/BU54-1)</f>
        <v>#DIV/0!</v>
      </c>
      <c r="BZ56" s="39" t="e">
        <f t="shared" ref="BZ56" si="409">+IF(BV54&lt;0,1-BZ54/BV54,BZ54/BV54-1)</f>
        <v>#DIV/0!</v>
      </c>
      <c r="CA56" s="39" t="e">
        <f t="shared" ref="CA56" si="410">+IF(BW54&lt;0,1-CA54/BW54,CA54/BW54-1)</f>
        <v>#DIV/0!</v>
      </c>
      <c r="CB56" s="39" t="e">
        <f t="shared" ref="CB56" si="411">+IF(BX54&lt;0,1-CB54/BX54,CB54/BX54-1)</f>
        <v>#DIV/0!</v>
      </c>
      <c r="CC56" s="39" t="e">
        <f t="shared" ref="CC56" si="412">+IF(BY54&lt;0,1-CC54/BY54,CC54/BY54-1)</f>
        <v>#DIV/0!</v>
      </c>
      <c r="CD56" s="39" t="e">
        <f t="shared" ref="CD56" si="413">+IF(BZ54&lt;0,1-CD54/BZ54,CD54/BZ54-1)</f>
        <v>#DIV/0!</v>
      </c>
      <c r="CE56" s="39" t="e">
        <f t="shared" ref="CE56" si="414">+IF(CA54&lt;0,1-CE54/CA54,CE54/CA54-1)</f>
        <v>#DIV/0!</v>
      </c>
      <c r="CF56" s="39" t="e">
        <f t="shared" ref="CF56" si="415">+IF(CB54&lt;0,1-CF54/CB54,CF54/CB54-1)</f>
        <v>#DIV/0!</v>
      </c>
      <c r="CG56" s="39" t="e">
        <f t="shared" ref="CG56" si="416">+IF(CC54&lt;0,1-CG54/CC54,CG54/CC54-1)</f>
        <v>#DIV/0!</v>
      </c>
      <c r="CH56" s="39">
        <f t="shared" ref="CH56:CL56" si="417">+IF(CD54&lt;0,1-CH54/CD54,CH54/CD54-1)</f>
        <v>0.33024118738404518</v>
      </c>
      <c r="CI56" s="39">
        <f t="shared" si="417"/>
        <v>0.59465791940018553</v>
      </c>
      <c r="CJ56" s="39">
        <f t="shared" si="417"/>
        <v>0.24525850870356036</v>
      </c>
      <c r="CK56" s="39">
        <f t="shared" si="417"/>
        <v>0.37429167909334948</v>
      </c>
      <c r="CL56" s="39">
        <f t="shared" si="417"/>
        <v>0.38995815899581587</v>
      </c>
      <c r="CM56" s="40">
        <f t="shared" ref="CM56" si="418">+IF(CI54&lt;0,1-CM54/CI54,CM54/CI54-1)</f>
        <v>0.32512990161783462</v>
      </c>
      <c r="CN56" s="40">
        <f t="shared" ref="CN56" si="419">+IF(CJ54&lt;0,1-CN54/CJ54,CN54/CJ54-1)</f>
        <v>0.38042190516458985</v>
      </c>
      <c r="CO56" s="40">
        <f t="shared" ref="CO56" si="420">+IF(CK54&lt;0,1-CO54/CK54,CO54/CK54-1)</f>
        <v>0.1722656605323476</v>
      </c>
      <c r="CP56" s="40">
        <f t="shared" ref="CP56" si="421">+IF(CL54&lt;0,1-CP54/CL54,CP54/CL54-1)</f>
        <v>0.30859619777794989</v>
      </c>
      <c r="CQ56" s="40">
        <f t="shared" ref="CQ56" si="422">+IF(CM54&lt;0,1-CQ54/CM54,CQ54/CM54-1)</f>
        <v>0.24202669022750567</v>
      </c>
      <c r="CR56" s="40">
        <f t="shared" ref="CR56" si="423">+IF(CN54&lt;0,1-CR54/CN54,CR54/CN54-1)</f>
        <v>0.22784995223418125</v>
      </c>
      <c r="CS56" s="40">
        <f t="shared" ref="CS56" si="424">+IF(CO54&lt;0,1-CS54/CO54,CS54/CO54-1)</f>
        <v>0.23051627264000585</v>
      </c>
      <c r="CT56" s="40">
        <f t="shared" ref="CT56" si="425">+IF(CP54&lt;0,1-CT54/CP54,CT54/CP54-1)</f>
        <v>0.23746648502594181</v>
      </c>
      <c r="CU56" s="40">
        <f t="shared" ref="CU56" si="426">+IF(CQ54&lt;0,1-CU54/CQ54,CU54/CQ54-1)</f>
        <v>0.2308728218660443</v>
      </c>
      <c r="CV56" s="40">
        <f t="shared" ref="CV56" si="427">+IF(CR54&lt;0,1-CV54/CR54,CV54/CR54-1)</f>
        <v>0.21672755830114054</v>
      </c>
      <c r="CW56" s="40">
        <f t="shared" ref="CW56" si="428">+IF(CS54&lt;0,1-CW54/CS54,CW54/CS54-1)</f>
        <v>0.19680959487317407</v>
      </c>
      <c r="CX56" s="40">
        <f t="shared" ref="CX56" si="429">+IF(CT54&lt;0,1-CX54/CT54,CX54/CT54-1)</f>
        <v>0.18617939052518961</v>
      </c>
      <c r="CY56" s="40">
        <f t="shared" ref="CY56" si="430">+IF(CU54&lt;0,1-CY54/CU54,CY54/CU54-1)</f>
        <v>0.17540551988438891</v>
      </c>
      <c r="CZ56" s="40">
        <f t="shared" ref="CZ56" si="431">+IF(CV54&lt;0,1-CZ54/CV54,CZ54/CV54-1)</f>
        <v>0.16240894583327958</v>
      </c>
      <c r="DA56" s="40">
        <f t="shared" ref="DA56" si="432">+IF(CW54&lt;0,1-DA54/CW54,DA54/CW54-1)</f>
        <v>0.17569359564228137</v>
      </c>
      <c r="DB56" s="40">
        <f t="shared" ref="DB56" si="433">+IF(CX54&lt;0,1-DB54/CX54,DB54/CX54-1)</f>
        <v>0.16974724977481559</v>
      </c>
      <c r="DC56" s="40">
        <f t="shared" ref="DC56" si="434">+IF(CY54&lt;0,1-DC54/CY54,DC54/CY54-1)</f>
        <v>0.16558845250577758</v>
      </c>
      <c r="DD56" s="40">
        <f t="shared" ref="DD56" si="435">+IF(CZ54&lt;0,1-DD54/CZ54,DD54/CZ54-1)</f>
        <v>0.1647254463587815</v>
      </c>
      <c r="DE56" s="122"/>
      <c r="DF56" s="38">
        <v>0.74167153711279776</v>
      </c>
    </row>
    <row r="57" spans="1:110" s="38" customFormat="1" x14ac:dyDescent="0.2">
      <c r="A57" s="39" t="s">
        <v>450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40"/>
      <c r="AB57" s="40"/>
      <c r="AC57" s="40"/>
      <c r="AD57" s="40"/>
      <c r="AE57" s="40"/>
      <c r="AI57" s="39"/>
      <c r="AJ57" s="39" t="e">
        <f>+IF(AI54&lt;0,1-AJ54/AI54,AJ54/AI54-1)</f>
        <v>#DIV/0!</v>
      </c>
      <c r="AK57" s="39" t="e">
        <f t="shared" ref="AK57:AM57" si="436">+IF(AJ54&lt;0,1-AK54/AJ54,AK54/AJ54-1)</f>
        <v>#DIV/0!</v>
      </c>
      <c r="AL57" s="39" t="e">
        <f t="shared" si="436"/>
        <v>#DIV/0!</v>
      </c>
      <c r="AM57" s="39" t="e">
        <f t="shared" si="436"/>
        <v>#DIV/0!</v>
      </c>
      <c r="AN57" s="39" t="e">
        <f t="shared" ref="AN57" si="437">+IF(AM54&lt;0,1-AN54/AM54,AN54/AM54-1)</f>
        <v>#DIV/0!</v>
      </c>
      <c r="AO57" s="39" t="e">
        <f t="shared" ref="AO57" si="438">+IF(AN54&lt;0,1-AO54/AN54,AO54/AN54-1)</f>
        <v>#DIV/0!</v>
      </c>
      <c r="AP57" s="39" t="e">
        <f t="shared" ref="AP57" si="439">+IF(AO54&lt;0,1-AP54/AO54,AP54/AO54-1)</f>
        <v>#DIV/0!</v>
      </c>
      <c r="AQ57" s="39" t="e">
        <f t="shared" ref="AQ57" si="440">+IF(AP54&lt;0,1-AQ54/AP54,AQ54/AP54-1)</f>
        <v>#DIV/0!</v>
      </c>
      <c r="AR57" s="39" t="e">
        <f t="shared" ref="AR57" si="441">+IF(AQ54&lt;0,1-AR54/AQ54,AR54/AQ54-1)</f>
        <v>#DIV/0!</v>
      </c>
      <c r="AS57" s="39" t="e">
        <f t="shared" ref="AS57" si="442">+IF(AR54&lt;0,1-AS54/AR54,AS54/AR54-1)</f>
        <v>#DIV/0!</v>
      </c>
      <c r="AT57" s="39" t="e">
        <f t="shared" ref="AT57" si="443">+IF(AS54&lt;0,1-AT54/AS54,AT54/AS54-1)</f>
        <v>#DIV/0!</v>
      </c>
      <c r="AU57" s="39" t="e">
        <f t="shared" ref="AU57" si="444">+IF(AT54&lt;0,1-AU54/AT54,AU54/AT54-1)</f>
        <v>#DIV/0!</v>
      </c>
      <c r="AV57" s="39" t="e">
        <f t="shared" ref="AV57" si="445">+IF(AU54&lt;0,1-AV54/AU54,AV54/AU54-1)</f>
        <v>#DIV/0!</v>
      </c>
      <c r="AW57" s="39" t="e">
        <f t="shared" ref="AW57" si="446">+IF(AV54&lt;0,1-AW54/AV54,AW54/AV54-1)</f>
        <v>#DIV/0!</v>
      </c>
      <c r="AX57" s="39" t="e">
        <f t="shared" ref="AX57" si="447">+IF(AW54&lt;0,1-AX54/AW54,AX54/AW54-1)</f>
        <v>#DIV/0!</v>
      </c>
      <c r="AY57" s="39" t="e">
        <f t="shared" ref="AY57" si="448">+IF(AX54&lt;0,1-AY54/AX54,AY54/AX54-1)</f>
        <v>#DIV/0!</v>
      </c>
      <c r="AZ57" s="39" t="e">
        <f t="shared" ref="AZ57" si="449">+IF(AY54&lt;0,1-AZ54/AY54,AZ54/AY54-1)</f>
        <v>#DIV/0!</v>
      </c>
      <c r="BA57" s="39" t="e">
        <f t="shared" ref="BA57" si="450">+IF(AZ54&lt;0,1-BA54/AZ54,BA54/AZ54-1)</f>
        <v>#DIV/0!</v>
      </c>
      <c r="BB57" s="39" t="e">
        <f t="shared" ref="BB57" si="451">+IF(BA54&lt;0,1-BB54/BA54,BB54/BA54-1)</f>
        <v>#DIV/0!</v>
      </c>
      <c r="BC57" s="39" t="e">
        <f t="shared" ref="BC57" si="452">+IF(BB54&lt;0,1-BC54/BB54,BC54/BB54-1)</f>
        <v>#DIV/0!</v>
      </c>
      <c r="BD57" s="39" t="e">
        <f t="shared" ref="BD57" si="453">+IF(BC54&lt;0,1-BD54/BC54,BD54/BC54-1)</f>
        <v>#DIV/0!</v>
      </c>
      <c r="BE57" s="39" t="e">
        <f t="shared" ref="BE57" si="454">+IF(BD54&lt;0,1-BE54/BD54,BE54/BD54-1)</f>
        <v>#DIV/0!</v>
      </c>
      <c r="BF57" s="39" t="e">
        <f t="shared" ref="BF57" si="455">+IF(BE54&lt;0,1-BF54/BE54,BF54/BE54-1)</f>
        <v>#DIV/0!</v>
      </c>
      <c r="BG57" s="39" t="e">
        <f t="shared" ref="BG57" si="456">+IF(BF54&lt;0,1-BG54/BF54,BG54/BF54-1)</f>
        <v>#DIV/0!</v>
      </c>
      <c r="BH57" s="39" t="e">
        <f t="shared" ref="BH57" si="457">+IF(BG54&lt;0,1-BH54/BG54,BH54/BG54-1)</f>
        <v>#DIV/0!</v>
      </c>
      <c r="BI57" s="39" t="e">
        <f t="shared" ref="BI57" si="458">+IF(BH54&lt;0,1-BI54/BH54,BI54/BH54-1)</f>
        <v>#DIV/0!</v>
      </c>
      <c r="BJ57" s="39" t="e">
        <f t="shared" ref="BJ57" si="459">+IF(BI54&lt;0,1-BJ54/BI54,BJ54/BI54-1)</f>
        <v>#DIV/0!</v>
      </c>
      <c r="BK57" s="39" t="e">
        <f t="shared" ref="BK57" si="460">+IF(BJ54&lt;0,1-BK54/BJ54,BK54/BJ54-1)</f>
        <v>#DIV/0!</v>
      </c>
      <c r="BL57" s="39" t="e">
        <f t="shared" ref="BL57" si="461">+IF(BK54&lt;0,1-BL54/BK54,BL54/BK54-1)</f>
        <v>#DIV/0!</v>
      </c>
      <c r="BM57" s="39" t="e">
        <f t="shared" ref="BM57" si="462">+IF(BL54&lt;0,1-BM54/BL54,BM54/BL54-1)</f>
        <v>#DIV/0!</v>
      </c>
      <c r="BN57" s="39" t="e">
        <f t="shared" ref="BN57" si="463">+IF(BM54&lt;0,1-BN54/BM54,BN54/BM54-1)</f>
        <v>#DIV/0!</v>
      </c>
      <c r="BO57" s="39" t="e">
        <f t="shared" ref="BO57" si="464">+IF(BN54&lt;0,1-BO54/BN54,BO54/BN54-1)</f>
        <v>#DIV/0!</v>
      </c>
      <c r="BP57" s="39" t="e">
        <f t="shared" ref="BP57" si="465">+IF(BO54&lt;0,1-BP54/BO54,BP54/BO54-1)</f>
        <v>#DIV/0!</v>
      </c>
      <c r="BQ57" s="39" t="e">
        <f t="shared" ref="BQ57" si="466">+IF(BP54&lt;0,1-BQ54/BP54,BQ54/BP54-1)</f>
        <v>#DIV/0!</v>
      </c>
      <c r="BR57" s="39" t="e">
        <f t="shared" ref="BR57" si="467">+IF(BQ54&lt;0,1-BR54/BQ54,BR54/BQ54-1)</f>
        <v>#DIV/0!</v>
      </c>
      <c r="BS57" s="39" t="e">
        <f t="shared" ref="BS57" si="468">+IF(BR54&lt;0,1-BS54/BR54,BS54/BR54-1)</f>
        <v>#DIV/0!</v>
      </c>
      <c r="BT57" s="39" t="e">
        <f t="shared" ref="BT57" si="469">+IF(BS54&lt;0,1-BT54/BS54,BT54/BS54-1)</f>
        <v>#DIV/0!</v>
      </c>
      <c r="BU57" s="39" t="e">
        <f t="shared" ref="BU57" si="470">+IF(BT54&lt;0,1-BU54/BT54,BU54/BT54-1)</f>
        <v>#DIV/0!</v>
      </c>
      <c r="BV57" s="39" t="e">
        <f t="shared" ref="BV57" si="471">+IF(BU54&lt;0,1-BV54/BU54,BV54/BU54-1)</f>
        <v>#DIV/0!</v>
      </c>
      <c r="BW57" s="39" t="e">
        <f t="shared" ref="BW57" si="472">+IF(BV54&lt;0,1-BW54/BV54,BW54/BV54-1)</f>
        <v>#DIV/0!</v>
      </c>
      <c r="BX57" s="39" t="e">
        <f t="shared" ref="BX57" si="473">+IF(BW54&lt;0,1-BX54/BW54,BX54/BW54-1)</f>
        <v>#DIV/0!</v>
      </c>
      <c r="BY57" s="39" t="e">
        <f t="shared" ref="BY57" si="474">+IF(BX54&lt;0,1-BY54/BX54,BY54/BX54-1)</f>
        <v>#DIV/0!</v>
      </c>
      <c r="BZ57" s="39" t="e">
        <f t="shared" ref="BZ57" si="475">+IF(BY54&lt;0,1-BZ54/BY54,BZ54/BY54-1)</f>
        <v>#DIV/0!</v>
      </c>
      <c r="CA57" s="39" t="e">
        <f t="shared" ref="CA57" si="476">+IF(BZ54&lt;0,1-CA54/BZ54,CA54/BZ54-1)</f>
        <v>#DIV/0!</v>
      </c>
      <c r="CB57" s="39" t="e">
        <f t="shared" ref="CB57" si="477">+IF(CA54&lt;0,1-CB54/CA54,CB54/CA54-1)</f>
        <v>#DIV/0!</v>
      </c>
      <c r="CC57" s="39" t="e">
        <f t="shared" ref="CC57" si="478">+IF(CB54&lt;0,1-CC54/CB54,CC54/CB54-1)</f>
        <v>#DIV/0!</v>
      </c>
      <c r="CD57" s="39" t="e">
        <f t="shared" ref="CD57" si="479">+IF(CC54&lt;0,1-CD54/CC54,CD54/CC54-1)</f>
        <v>#DIV/0!</v>
      </c>
      <c r="CE57" s="39">
        <f t="shared" ref="CE57" si="480">+IF(CD54&lt;0,1-CE54/CD54,CE54/CD54-1)</f>
        <v>-0.20816326530612173</v>
      </c>
      <c r="CF57" s="39">
        <f t="shared" ref="CF57" si="481">+IF(CE54&lt;0,1-CF54/CE54,CF54/CE54-1)</f>
        <v>0.80365510777881766</v>
      </c>
      <c r="CG57" s="39">
        <f t="shared" ref="CG57" si="482">+IF(CF54&lt;0,1-CG54/CF54,CG54/CF54-1)</f>
        <v>-0.12886464016627652</v>
      </c>
      <c r="CH57" s="39">
        <f t="shared" ref="CH57:CI57" si="483">+IF(CG54&lt;0,1-CH54/CG54,CH54/CG54-1)</f>
        <v>6.9191768565463496E-2</v>
      </c>
      <c r="CI57" s="39">
        <f t="shared" si="483"/>
        <v>-5.076708507670924E-2</v>
      </c>
      <c r="CJ57" s="39">
        <f>+IF(CI54&gt;1,CJ54/CI54-1,1-CJ54/CI54)</f>
        <v>0.40846312077578784</v>
      </c>
      <c r="CK57" s="39">
        <f>+IF(CJ54&gt;1,CK54/CJ54-1,1-CK54/CJ54)</f>
        <v>-3.8597955351554303E-2</v>
      </c>
      <c r="CL57" s="39">
        <f>+IF(CK54&gt;1,CL54/CK54-1,1-CL54/CK54)</f>
        <v>8.1380208333332815E-2</v>
      </c>
      <c r="CM57" s="40">
        <f t="shared" ref="CM57:DD57" si="484">+IF(CL54&gt;1,CM54/CL54-1,1-CM54/CL54)</f>
        <v>-9.5039724020572258E-2</v>
      </c>
      <c r="CN57" s="40">
        <f t="shared" si="484"/>
        <v>0.46723226316275657</v>
      </c>
      <c r="CO57" s="40">
        <f t="shared" si="484"/>
        <v>-0.18356945895278043</v>
      </c>
      <c r="CP57" s="40">
        <f t="shared" si="484"/>
        <v>0.20714107443419283</v>
      </c>
      <c r="CQ57" s="40">
        <f t="shared" si="484"/>
        <v>-0.14107589623852568</v>
      </c>
      <c r="CR57" s="40">
        <f t="shared" si="484"/>
        <v>0.45048498427263817</v>
      </c>
      <c r="CS57" s="40">
        <f t="shared" si="484"/>
        <v>-0.18179655062015265</v>
      </c>
      <c r="CT57" s="40">
        <f t="shared" si="484"/>
        <v>0.21395925882854017</v>
      </c>
      <c r="CU57" s="40">
        <f t="shared" si="484"/>
        <v>-0.14565255046605519</v>
      </c>
      <c r="CV57" s="40">
        <f t="shared" si="484"/>
        <v>0.43381592469557595</v>
      </c>
      <c r="CW57" s="40">
        <f t="shared" si="484"/>
        <v>-0.19519063072477227</v>
      </c>
      <c r="CX57" s="40">
        <f t="shared" si="484"/>
        <v>0.203176729137305</v>
      </c>
      <c r="CY57" s="40">
        <f t="shared" si="484"/>
        <v>-0.15341244663108755</v>
      </c>
      <c r="CZ57" s="40">
        <f t="shared" si="484"/>
        <v>0.41796208146809244</v>
      </c>
      <c r="DA57" s="40">
        <f t="shared" si="484"/>
        <v>-0.18599282587979948</v>
      </c>
      <c r="DB57" s="40">
        <f t="shared" si="484"/>
        <v>0.19709138088189659</v>
      </c>
      <c r="DC57" s="40">
        <f t="shared" si="484"/>
        <v>-0.15642231564820208</v>
      </c>
      <c r="DD57" s="40">
        <f t="shared" si="484"/>
        <v>0.41691221692123315</v>
      </c>
      <c r="DE57" s="122"/>
    </row>
    <row r="58" spans="1:110" s="23" customFormat="1" x14ac:dyDescent="0.2">
      <c r="A58" s="23" t="s">
        <v>15</v>
      </c>
      <c r="B58" s="23">
        <f>'Annual Raw'!C27</f>
        <v>0</v>
      </c>
      <c r="C58" s="23">
        <f>'Annual Raw'!D27</f>
        <v>0</v>
      </c>
      <c r="D58" s="23">
        <f>'Annual Raw'!E27</f>
        <v>0</v>
      </c>
      <c r="E58" s="23">
        <f>'Annual Raw'!F27</f>
        <v>0</v>
      </c>
      <c r="F58" s="23">
        <f>'Annual Raw'!G27</f>
        <v>0</v>
      </c>
      <c r="G58" s="23">
        <f>'Annual Raw'!H27</f>
        <v>0</v>
      </c>
      <c r="H58" s="23">
        <f>'Annual Raw'!I27</f>
        <v>0</v>
      </c>
      <c r="I58" s="23">
        <f>'Annual Raw'!J27</f>
        <v>0</v>
      </c>
      <c r="J58" s="23">
        <f>'Annual Raw'!K27</f>
        <v>0</v>
      </c>
      <c r="K58" s="23">
        <f>'Annual Raw'!L27</f>
        <v>0</v>
      </c>
      <c r="L58" s="23">
        <f>'Annual Raw'!M27</f>
        <v>0</v>
      </c>
      <c r="M58" s="23">
        <f>'Annual Raw'!N27</f>
        <v>0</v>
      </c>
      <c r="N58" s="23">
        <f>'Annual Raw'!O27</f>
        <v>0</v>
      </c>
      <c r="O58" s="23">
        <f>'Annual Raw'!P27</f>
        <v>0</v>
      </c>
      <c r="P58" s="23">
        <f>'Annual Raw'!Q27</f>
        <v>0</v>
      </c>
      <c r="Q58" s="23">
        <f>'Annual Raw'!R27</f>
        <v>0</v>
      </c>
      <c r="R58" s="23">
        <f>'Annual Raw'!S27</f>
        <v>0</v>
      </c>
      <c r="S58" s="23">
        <f>'Annual Raw'!T27</f>
        <v>0</v>
      </c>
      <c r="T58" s="23">
        <f>'Annual Raw'!U27</f>
        <v>0</v>
      </c>
      <c r="U58" s="23">
        <f>'Annual Raw'!V27</f>
        <v>0</v>
      </c>
      <c r="V58" s="23">
        <f>'Annual Raw'!W27</f>
        <v>0</v>
      </c>
      <c r="W58" s="23">
        <f>'Annual Raw'!X27</f>
        <v>0</v>
      </c>
      <c r="X58" s="23">
        <f>'Annual Raw'!Y27</f>
        <v>0</v>
      </c>
      <c r="Y58" s="23">
        <f>'Annual Raw'!Z27</f>
        <v>46</v>
      </c>
      <c r="Z58" s="23">
        <f>'Annual Raw'!AA27</f>
        <v>103</v>
      </c>
      <c r="AA58" s="76">
        <f>SUM(CK58:CN58)</f>
        <v>137.82239999999999</v>
      </c>
      <c r="AB58" s="76">
        <f>+SUM(CO58:CR58)</f>
        <v>210.85969213030398</v>
      </c>
      <c r="AC58" s="76">
        <f>+SUM(CS58:CV58)</f>
        <v>296.26520346991714</v>
      </c>
      <c r="AD58" s="76">
        <f>+SUM(CW58:CZ58)</f>
        <v>357.44911053881617</v>
      </c>
      <c r="AE58" s="76">
        <f>+SUM(DA58:DD58)</f>
        <v>401.2808308282697</v>
      </c>
      <c r="AI58" s="23">
        <f>'QTR Raw'!C28</f>
        <v>0</v>
      </c>
      <c r="AJ58" s="23">
        <f>'QTR Raw'!D28</f>
        <v>0</v>
      </c>
      <c r="AK58" s="23">
        <f>'QTR Raw'!E28</f>
        <v>0</v>
      </c>
      <c r="AL58" s="23">
        <f>'QTR Raw'!F28</f>
        <v>0</v>
      </c>
      <c r="AM58" s="23">
        <f>'QTR Raw'!G28</f>
        <v>0</v>
      </c>
      <c r="AN58" s="23">
        <f>'QTR Raw'!H28</f>
        <v>0</v>
      </c>
      <c r="AO58" s="23">
        <f>'QTR Raw'!I28</f>
        <v>0</v>
      </c>
      <c r="AP58" s="23">
        <f>'QTR Raw'!J28</f>
        <v>0</v>
      </c>
      <c r="AQ58" s="23">
        <f>'QTR Raw'!K28</f>
        <v>0</v>
      </c>
      <c r="AR58" s="23">
        <f>'QTR Raw'!L28</f>
        <v>0</v>
      </c>
      <c r="AS58" s="23">
        <f>'QTR Raw'!M28</f>
        <v>0</v>
      </c>
      <c r="AT58" s="23">
        <f>'QTR Raw'!N28</f>
        <v>0</v>
      </c>
      <c r="AU58" s="23">
        <f>'QTR Raw'!O28</f>
        <v>0</v>
      </c>
      <c r="AV58" s="23">
        <f>'QTR Raw'!P28</f>
        <v>0</v>
      </c>
      <c r="AW58" s="23">
        <f>'QTR Raw'!Q28</f>
        <v>0</v>
      </c>
      <c r="AX58" s="23">
        <f>'QTR Raw'!R28</f>
        <v>0</v>
      </c>
      <c r="AY58" s="23">
        <f>'QTR Raw'!S28</f>
        <v>0</v>
      </c>
      <c r="AZ58" s="23">
        <f>'QTR Raw'!T28</f>
        <v>0</v>
      </c>
      <c r="BA58" s="23">
        <f>'QTR Raw'!U28</f>
        <v>0</v>
      </c>
      <c r="BB58" s="23">
        <f>'QTR Raw'!V28</f>
        <v>0</v>
      </c>
      <c r="BC58" s="23">
        <f>'QTR Raw'!W28</f>
        <v>0</v>
      </c>
      <c r="BD58" s="23">
        <f>'QTR Raw'!X28</f>
        <v>0</v>
      </c>
      <c r="BE58" s="23">
        <f>'QTR Raw'!Y28</f>
        <v>0</v>
      </c>
      <c r="BF58" s="23">
        <f>'QTR Raw'!Z28</f>
        <v>0</v>
      </c>
      <c r="BG58" s="23">
        <f>'QTR Raw'!AA28</f>
        <v>0</v>
      </c>
      <c r="BH58" s="23">
        <f>'QTR Raw'!AB28</f>
        <v>0</v>
      </c>
      <c r="BI58" s="23">
        <f>'QTR Raw'!AC28</f>
        <v>0</v>
      </c>
      <c r="BJ58" s="23">
        <f>'QTR Raw'!AD28</f>
        <v>0</v>
      </c>
      <c r="BK58" s="23">
        <f>'QTR Raw'!AE28</f>
        <v>0</v>
      </c>
      <c r="BL58" s="23">
        <f>'QTR Raw'!AF28</f>
        <v>0</v>
      </c>
      <c r="BM58" s="23">
        <f>'QTR Raw'!AG28</f>
        <v>0</v>
      </c>
      <c r="BN58" s="23">
        <f>'QTR Raw'!AH28</f>
        <v>0</v>
      </c>
      <c r="BO58" s="23">
        <f>'QTR Raw'!AI28</f>
        <v>0</v>
      </c>
      <c r="BP58" s="23">
        <f>'QTR Raw'!AJ28</f>
        <v>0</v>
      </c>
      <c r="BQ58" s="23">
        <f>'QTR Raw'!AK28</f>
        <v>0</v>
      </c>
      <c r="BR58" s="23">
        <f>'QTR Raw'!AL28</f>
        <v>0</v>
      </c>
      <c r="BS58" s="23">
        <f>'QTR Raw'!AM28</f>
        <v>0</v>
      </c>
      <c r="BT58" s="23">
        <f>'QTR Raw'!AN28</f>
        <v>0</v>
      </c>
      <c r="BU58" s="23">
        <f>'QTR Raw'!AO28</f>
        <v>0</v>
      </c>
      <c r="BV58" s="23">
        <f>'QTR Raw'!AP28</f>
        <v>0</v>
      </c>
      <c r="BW58" s="23">
        <f>'QTR Raw'!AQ28</f>
        <v>0</v>
      </c>
      <c r="BX58" s="23">
        <f>'QTR Raw'!AR28</f>
        <v>0</v>
      </c>
      <c r="BY58" s="23">
        <f>'QTR Raw'!AS28</f>
        <v>0</v>
      </c>
      <c r="BZ58" s="23">
        <f>'QTR Raw'!AT28</f>
        <v>0</v>
      </c>
      <c r="CA58" s="23">
        <f>'QTR Raw'!AU28</f>
        <v>0</v>
      </c>
      <c r="CB58" s="23">
        <f>'QTR Raw'!AV28</f>
        <v>0</v>
      </c>
      <c r="CC58" s="23">
        <f>'QTR Raw'!AW28</f>
        <v>0</v>
      </c>
      <c r="CD58" s="23">
        <f>'QTR Raw'!AX28</f>
        <v>10.3</v>
      </c>
      <c r="CE58" s="23">
        <f>'QTR Raw'!AY28</f>
        <v>16</v>
      </c>
      <c r="CF58" s="23">
        <f>'QTR Raw'!AZ28</f>
        <v>19.100000000000001</v>
      </c>
      <c r="CG58" s="23">
        <f>'QTR Raw'!BA28</f>
        <v>20.7</v>
      </c>
      <c r="CH58" s="23">
        <f>'QTR Raw'!BB28</f>
        <v>24.3</v>
      </c>
      <c r="CI58" s="23">
        <f>'QTR Raw'!BC28</f>
        <v>26.6</v>
      </c>
      <c r="CJ58" s="23">
        <f>'QTR Raw'!BD28</f>
        <v>31.4</v>
      </c>
      <c r="CK58" s="23">
        <f>'QTR Raw'!BE28</f>
        <v>32.299999999999997</v>
      </c>
      <c r="CL58" s="23">
        <f>'QTR Raw'!BF28</f>
        <v>34.700000000000003</v>
      </c>
      <c r="CM58" s="24">
        <f t="shared" ref="CM58:DB58" si="485">CM59*CL160</f>
        <v>32.72</v>
      </c>
      <c r="CN58" s="24">
        <f t="shared" si="485"/>
        <v>38.102399999999996</v>
      </c>
      <c r="CO58" s="24">
        <f t="shared" si="485"/>
        <v>43.054208000000003</v>
      </c>
      <c r="CP58" s="24">
        <f t="shared" si="485"/>
        <v>49.849871360000002</v>
      </c>
      <c r="CQ58" s="24">
        <f t="shared" si="485"/>
        <v>56.101881651200003</v>
      </c>
      <c r="CR58" s="24">
        <f t="shared" si="485"/>
        <v>61.853731119104005</v>
      </c>
      <c r="CS58" s="24">
        <f t="shared" si="485"/>
        <v>67.14543262957568</v>
      </c>
      <c r="CT58" s="24">
        <f t="shared" si="485"/>
        <v>72.013798019209631</v>
      </c>
      <c r="CU58" s="24">
        <f t="shared" si="485"/>
        <v>76.492694177672846</v>
      </c>
      <c r="CV58" s="24">
        <f t="shared" si="485"/>
        <v>80.613278643459012</v>
      </c>
      <c r="CW58" s="24">
        <f t="shared" si="485"/>
        <v>84.404216351982285</v>
      </c>
      <c r="CX58" s="24">
        <f t="shared" si="485"/>
        <v>87.891879043823707</v>
      </c>
      <c r="CY58" s="24">
        <f t="shared" si="485"/>
        <v>91.100528720317797</v>
      </c>
      <c r="CZ58" s="24">
        <f t="shared" si="485"/>
        <v>94.052486422692382</v>
      </c>
      <c r="DA58" s="24">
        <f t="shared" si="485"/>
        <v>96.76828750887698</v>
      </c>
      <c r="DB58" s="24">
        <f t="shared" si="485"/>
        <v>99.266824508166835</v>
      </c>
      <c r="DC58" s="24">
        <f t="shared" ref="DC58" si="486">DC59*DB160</f>
        <v>101.56547854751349</v>
      </c>
      <c r="DD58" s="24">
        <f t="shared" ref="DD58" si="487">DD59*DC160</f>
        <v>103.68024026371241</v>
      </c>
      <c r="DE58" s="123"/>
      <c r="DF58" s="23">
        <v>103</v>
      </c>
    </row>
    <row r="59" spans="1:110" s="46" customFormat="1" x14ac:dyDescent="0.2">
      <c r="A59" s="46" t="s">
        <v>483</v>
      </c>
      <c r="B59" s="46" t="e">
        <f t="shared" ref="B59:D59" si="488">+B58/B160</f>
        <v>#DIV/0!</v>
      </c>
      <c r="C59" s="46" t="e">
        <f t="shared" si="488"/>
        <v>#DIV/0!</v>
      </c>
      <c r="D59" s="46" t="e">
        <f t="shared" si="488"/>
        <v>#DIV/0!</v>
      </c>
      <c r="E59" s="46" t="e">
        <f t="shared" ref="E59:AE59" si="489">+E58/E160</f>
        <v>#DIV/0!</v>
      </c>
      <c r="F59" s="46" t="e">
        <f t="shared" si="489"/>
        <v>#DIV/0!</v>
      </c>
      <c r="G59" s="46" t="e">
        <f t="shared" si="489"/>
        <v>#DIV/0!</v>
      </c>
      <c r="H59" s="46" t="e">
        <f t="shared" si="489"/>
        <v>#DIV/0!</v>
      </c>
      <c r="I59" s="46" t="e">
        <f t="shared" si="489"/>
        <v>#DIV/0!</v>
      </c>
      <c r="J59" s="46" t="e">
        <f t="shared" si="489"/>
        <v>#DIV/0!</v>
      </c>
      <c r="K59" s="46" t="e">
        <f t="shared" si="489"/>
        <v>#DIV/0!</v>
      </c>
      <c r="L59" s="46" t="e">
        <f t="shared" si="489"/>
        <v>#DIV/0!</v>
      </c>
      <c r="M59" s="46" t="e">
        <f t="shared" si="489"/>
        <v>#DIV/0!</v>
      </c>
      <c r="N59" s="46" t="e">
        <f t="shared" si="489"/>
        <v>#DIV/0!</v>
      </c>
      <c r="O59" s="46" t="e">
        <f t="shared" si="489"/>
        <v>#DIV/0!</v>
      </c>
      <c r="P59" s="46" t="e">
        <f t="shared" si="489"/>
        <v>#DIV/0!</v>
      </c>
      <c r="Q59" s="46" t="e">
        <f t="shared" si="489"/>
        <v>#DIV/0!</v>
      </c>
      <c r="R59" s="46" t="e">
        <f t="shared" si="489"/>
        <v>#DIV/0!</v>
      </c>
      <c r="S59" s="46" t="e">
        <f t="shared" si="489"/>
        <v>#DIV/0!</v>
      </c>
      <c r="T59" s="46" t="e">
        <f t="shared" si="489"/>
        <v>#DIV/0!</v>
      </c>
      <c r="U59" s="46" t="e">
        <f t="shared" si="489"/>
        <v>#DIV/0!</v>
      </c>
      <c r="V59" s="46" t="e">
        <f t="shared" si="489"/>
        <v>#DIV/0!</v>
      </c>
      <c r="W59" s="46" t="e">
        <f t="shared" si="489"/>
        <v>#DIV/0!</v>
      </c>
      <c r="X59" s="46" t="e">
        <f t="shared" si="489"/>
        <v>#DIV/0!</v>
      </c>
      <c r="Y59" s="46">
        <f t="shared" si="489"/>
        <v>0.10715117633356627</v>
      </c>
      <c r="Z59" s="46">
        <f t="shared" ref="Z59" si="490">+Z58/Z160</f>
        <v>0.19212833426599518</v>
      </c>
      <c r="AA59" s="110">
        <f t="shared" si="489"/>
        <v>0.25609092611806955</v>
      </c>
      <c r="AB59" s="110">
        <f t="shared" si="489"/>
        <v>0.25122744332418073</v>
      </c>
      <c r="AC59" s="110">
        <f t="shared" si="489"/>
        <v>0.2808060699095245</v>
      </c>
      <c r="AD59" s="110">
        <f t="shared" si="489"/>
        <v>0.29550929937126419</v>
      </c>
      <c r="AE59" s="110">
        <f t="shared" si="489"/>
        <v>0.30392631412833832</v>
      </c>
      <c r="AI59" s="46" t="e">
        <f t="shared" ref="AI59:BN59" si="491">+AI58/AH160</f>
        <v>#DIV/0!</v>
      </c>
      <c r="AJ59" s="46" t="e">
        <f t="shared" si="491"/>
        <v>#DIV/0!</v>
      </c>
      <c r="AK59" s="46" t="e">
        <f t="shared" si="491"/>
        <v>#DIV/0!</v>
      </c>
      <c r="AL59" s="46" t="e">
        <f t="shared" si="491"/>
        <v>#DIV/0!</v>
      </c>
      <c r="AM59" s="46" t="e">
        <f t="shared" si="491"/>
        <v>#DIV/0!</v>
      </c>
      <c r="AN59" s="46" t="e">
        <f t="shared" si="491"/>
        <v>#DIV/0!</v>
      </c>
      <c r="AO59" s="46" t="e">
        <f t="shared" si="491"/>
        <v>#DIV/0!</v>
      </c>
      <c r="AP59" s="46" t="e">
        <f t="shared" si="491"/>
        <v>#DIV/0!</v>
      </c>
      <c r="AQ59" s="46" t="e">
        <f t="shared" si="491"/>
        <v>#DIV/0!</v>
      </c>
      <c r="AR59" s="46" t="e">
        <f t="shared" si="491"/>
        <v>#DIV/0!</v>
      </c>
      <c r="AS59" s="46" t="e">
        <f t="shared" si="491"/>
        <v>#DIV/0!</v>
      </c>
      <c r="AT59" s="46" t="e">
        <f t="shared" si="491"/>
        <v>#DIV/0!</v>
      </c>
      <c r="AU59" s="46" t="e">
        <f t="shared" si="491"/>
        <v>#DIV/0!</v>
      </c>
      <c r="AV59" s="46" t="e">
        <f t="shared" si="491"/>
        <v>#DIV/0!</v>
      </c>
      <c r="AW59" s="46" t="e">
        <f t="shared" si="491"/>
        <v>#DIV/0!</v>
      </c>
      <c r="AX59" s="46" t="e">
        <f t="shared" si="491"/>
        <v>#DIV/0!</v>
      </c>
      <c r="AY59" s="46" t="e">
        <f t="shared" si="491"/>
        <v>#DIV/0!</v>
      </c>
      <c r="AZ59" s="46" t="e">
        <f t="shared" si="491"/>
        <v>#DIV/0!</v>
      </c>
      <c r="BA59" s="46" t="e">
        <f t="shared" si="491"/>
        <v>#DIV/0!</v>
      </c>
      <c r="BB59" s="46" t="e">
        <f t="shared" si="491"/>
        <v>#DIV/0!</v>
      </c>
      <c r="BC59" s="46" t="e">
        <f t="shared" si="491"/>
        <v>#DIV/0!</v>
      </c>
      <c r="BD59" s="46" t="e">
        <f t="shared" si="491"/>
        <v>#DIV/0!</v>
      </c>
      <c r="BE59" s="46" t="e">
        <f t="shared" si="491"/>
        <v>#DIV/0!</v>
      </c>
      <c r="BF59" s="46" t="e">
        <f t="shared" si="491"/>
        <v>#DIV/0!</v>
      </c>
      <c r="BG59" s="46" t="e">
        <f t="shared" si="491"/>
        <v>#DIV/0!</v>
      </c>
      <c r="BH59" s="46" t="e">
        <f t="shared" si="491"/>
        <v>#DIV/0!</v>
      </c>
      <c r="BI59" s="46" t="e">
        <f t="shared" si="491"/>
        <v>#DIV/0!</v>
      </c>
      <c r="BJ59" s="46" t="e">
        <f t="shared" si="491"/>
        <v>#DIV/0!</v>
      </c>
      <c r="BK59" s="46" t="e">
        <f t="shared" si="491"/>
        <v>#DIV/0!</v>
      </c>
      <c r="BL59" s="46" t="e">
        <f t="shared" si="491"/>
        <v>#DIV/0!</v>
      </c>
      <c r="BM59" s="46" t="e">
        <f t="shared" si="491"/>
        <v>#DIV/0!</v>
      </c>
      <c r="BN59" s="46" t="e">
        <f t="shared" si="491"/>
        <v>#DIV/0!</v>
      </c>
      <c r="BO59" s="46" t="e">
        <f t="shared" ref="BO59:CL59" si="492">+BO58/BN160</f>
        <v>#DIV/0!</v>
      </c>
      <c r="BP59" s="46" t="e">
        <f t="shared" si="492"/>
        <v>#DIV/0!</v>
      </c>
      <c r="BQ59" s="46" t="e">
        <f t="shared" si="492"/>
        <v>#DIV/0!</v>
      </c>
      <c r="BR59" s="46" t="e">
        <f t="shared" si="492"/>
        <v>#DIV/0!</v>
      </c>
      <c r="BS59" s="46" t="e">
        <f t="shared" si="492"/>
        <v>#DIV/0!</v>
      </c>
      <c r="BT59" s="46" t="e">
        <f t="shared" si="492"/>
        <v>#DIV/0!</v>
      </c>
      <c r="BU59" s="46" t="e">
        <f t="shared" si="492"/>
        <v>#DIV/0!</v>
      </c>
      <c r="BV59" s="46" t="e">
        <f t="shared" si="492"/>
        <v>#DIV/0!</v>
      </c>
      <c r="BW59" s="46" t="e">
        <f t="shared" si="492"/>
        <v>#DIV/0!</v>
      </c>
      <c r="BX59" s="46" t="e">
        <f t="shared" si="492"/>
        <v>#DIV/0!</v>
      </c>
      <c r="BY59" s="46" t="e">
        <f t="shared" si="492"/>
        <v>#DIV/0!</v>
      </c>
      <c r="BZ59" s="46" t="e">
        <f t="shared" si="492"/>
        <v>#DIV/0!</v>
      </c>
      <c r="CA59" s="46" t="e">
        <f t="shared" si="492"/>
        <v>#DIV/0!</v>
      </c>
      <c r="CB59" s="46" t="e">
        <f t="shared" si="492"/>
        <v>#DIV/0!</v>
      </c>
      <c r="CC59" s="46" t="e">
        <f t="shared" si="492"/>
        <v>#DIV/0!</v>
      </c>
      <c r="CD59" s="46" t="e">
        <f t="shared" si="492"/>
        <v>#DIV/0!</v>
      </c>
      <c r="CE59" s="46" t="e">
        <f t="shared" si="492"/>
        <v>#DIV/0!</v>
      </c>
      <c r="CF59" s="46" t="e">
        <f t="shared" si="492"/>
        <v>#DIV/0!</v>
      </c>
      <c r="CG59" s="46">
        <f t="shared" si="492"/>
        <v>6.73828125E-2</v>
      </c>
      <c r="CH59" s="46">
        <f t="shared" si="492"/>
        <v>7.91015625E-2</v>
      </c>
      <c r="CI59" s="46">
        <f t="shared" si="492"/>
        <v>4.9617608655101668E-2</v>
      </c>
      <c r="CJ59" s="46">
        <f t="shared" si="492"/>
        <v>6.1629048086359189E-2</v>
      </c>
      <c r="CK59" s="46">
        <f t="shared" si="492"/>
        <v>7.9772783403309455E-2</v>
      </c>
      <c r="CL59" s="46">
        <f t="shared" si="492"/>
        <v>7.3423614049936539E-2</v>
      </c>
      <c r="CM59" s="47">
        <v>0.08</v>
      </c>
      <c r="CN59" s="47">
        <f t="shared" ref="CN59" si="493">CM59</f>
        <v>0.08</v>
      </c>
      <c r="CO59" s="47">
        <f t="shared" ref="CO59" si="494">CN59</f>
        <v>0.08</v>
      </c>
      <c r="CP59" s="47">
        <f t="shared" ref="CP59" si="495">CO59</f>
        <v>0.08</v>
      </c>
      <c r="CQ59" s="47">
        <f t="shared" ref="CQ59" si="496">CP59</f>
        <v>0.08</v>
      </c>
      <c r="CR59" s="47">
        <f t="shared" ref="CR59" si="497">CQ59</f>
        <v>0.08</v>
      </c>
      <c r="CS59" s="47">
        <f t="shared" ref="CS59" si="498">CR59</f>
        <v>0.08</v>
      </c>
      <c r="CT59" s="47">
        <f t="shared" ref="CT59" si="499">CS59</f>
        <v>0.08</v>
      </c>
      <c r="CU59" s="47">
        <f t="shared" ref="CU59" si="500">CT59</f>
        <v>0.08</v>
      </c>
      <c r="CV59" s="47">
        <f t="shared" ref="CV59" si="501">CU59</f>
        <v>0.08</v>
      </c>
      <c r="CW59" s="47">
        <f t="shared" ref="CW59" si="502">CV59</f>
        <v>0.08</v>
      </c>
      <c r="CX59" s="47">
        <f t="shared" ref="CX59" si="503">CW59</f>
        <v>0.08</v>
      </c>
      <c r="CY59" s="47">
        <f t="shared" ref="CY59" si="504">CX59</f>
        <v>0.08</v>
      </c>
      <c r="CZ59" s="47">
        <f t="shared" ref="CZ59" si="505">CY59</f>
        <v>0.08</v>
      </c>
      <c r="DA59" s="47">
        <f t="shared" ref="DA59" si="506">CZ59</f>
        <v>0.08</v>
      </c>
      <c r="DB59" s="47">
        <f t="shared" ref="DB59" si="507">DA59</f>
        <v>0.08</v>
      </c>
      <c r="DC59" s="47">
        <f t="shared" ref="DC59" si="508">DB59</f>
        <v>0.08</v>
      </c>
      <c r="DD59" s="47">
        <f t="shared" ref="DD59" si="509">DC59</f>
        <v>0.08</v>
      </c>
      <c r="DE59" s="130"/>
      <c r="DF59" s="46">
        <v>0.19212833426599518</v>
      </c>
    </row>
    <row r="60" spans="1:110" s="26" customFormat="1" x14ac:dyDescent="0.2">
      <c r="A60" s="34" t="s">
        <v>16</v>
      </c>
      <c r="B60" s="26">
        <f>B54-B58</f>
        <v>0</v>
      </c>
      <c r="C60" s="26">
        <f t="shared" ref="C60:T60" si="510">C54-C58</f>
        <v>0</v>
      </c>
      <c r="D60" s="26">
        <f>D54-D58</f>
        <v>0</v>
      </c>
      <c r="E60" s="26">
        <f t="shared" si="510"/>
        <v>0</v>
      </c>
      <c r="F60" s="26">
        <f t="shared" si="510"/>
        <v>0</v>
      </c>
      <c r="G60" s="26">
        <f t="shared" si="510"/>
        <v>0</v>
      </c>
      <c r="H60" s="26">
        <f t="shared" si="510"/>
        <v>0</v>
      </c>
      <c r="I60" s="26">
        <f t="shared" si="510"/>
        <v>0</v>
      </c>
      <c r="J60" s="26">
        <f t="shared" si="510"/>
        <v>0</v>
      </c>
      <c r="K60" s="26">
        <f t="shared" si="510"/>
        <v>0</v>
      </c>
      <c r="L60" s="26">
        <f t="shared" si="510"/>
        <v>0</v>
      </c>
      <c r="M60" s="26">
        <f t="shared" si="510"/>
        <v>0</v>
      </c>
      <c r="N60" s="26">
        <f t="shared" si="510"/>
        <v>0</v>
      </c>
      <c r="O60" s="26">
        <f t="shared" si="510"/>
        <v>0</v>
      </c>
      <c r="P60" s="26">
        <f t="shared" si="510"/>
        <v>0</v>
      </c>
      <c r="Q60" s="26">
        <f t="shared" si="510"/>
        <v>0</v>
      </c>
      <c r="R60" s="26">
        <f t="shared" si="510"/>
        <v>0</v>
      </c>
      <c r="S60" s="26">
        <f t="shared" si="510"/>
        <v>0</v>
      </c>
      <c r="T60" s="26">
        <f t="shared" si="510"/>
        <v>0</v>
      </c>
      <c r="U60" s="26">
        <f t="shared" ref="U60:Y60" si="511">U54-U58</f>
        <v>0</v>
      </c>
      <c r="V60" s="26">
        <f t="shared" si="511"/>
        <v>0</v>
      </c>
      <c r="W60" s="26">
        <f t="shared" si="511"/>
        <v>0</v>
      </c>
      <c r="X60" s="26">
        <f t="shared" si="511"/>
        <v>0</v>
      </c>
      <c r="Y60" s="26">
        <f t="shared" si="511"/>
        <v>809.50000000000091</v>
      </c>
      <c r="Z60" s="26">
        <f t="shared" ref="Z60" si="512">Z54-Z58</f>
        <v>1387</v>
      </c>
      <c r="AA60" s="27">
        <f t="shared" ref="AA60:AD60" si="513">AA54-AA58</f>
        <v>1933.8555246659371</v>
      </c>
      <c r="AB60" s="27">
        <f t="shared" si="513"/>
        <v>2353.8654436630577</v>
      </c>
      <c r="AC60" s="27">
        <f t="shared" si="513"/>
        <v>2853.2007432174464</v>
      </c>
      <c r="AD60" s="27">
        <f t="shared" si="513"/>
        <v>3354.5249262745501</v>
      </c>
      <c r="AE60" s="27">
        <f t="shared" ref="AE60" si="514">AE54-AE58</f>
        <v>3936.3810921477284</v>
      </c>
      <c r="AI60" s="26">
        <f t="shared" ref="AI60" si="515">AI54-AI58</f>
        <v>0</v>
      </c>
      <c r="AJ60" s="26">
        <f t="shared" ref="AJ60" si="516">AJ54-AJ58</f>
        <v>0</v>
      </c>
      <c r="AK60" s="26">
        <f t="shared" ref="AK60:AM60" si="517">AK54-AK58</f>
        <v>0</v>
      </c>
      <c r="AL60" s="26">
        <f t="shared" si="517"/>
        <v>0</v>
      </c>
      <c r="AM60" s="26">
        <f t="shared" si="517"/>
        <v>0</v>
      </c>
      <c r="AN60" s="26">
        <f t="shared" ref="AN60:AO60" si="518">AN54-AN58</f>
        <v>0</v>
      </c>
      <c r="AO60" s="26">
        <f t="shared" si="518"/>
        <v>0</v>
      </c>
      <c r="AP60" s="26">
        <f t="shared" ref="AP60:CD60" si="519">AP54-AP58</f>
        <v>0</v>
      </c>
      <c r="AQ60" s="26">
        <f t="shared" si="519"/>
        <v>0</v>
      </c>
      <c r="AR60" s="26">
        <f t="shared" si="519"/>
        <v>0</v>
      </c>
      <c r="AS60" s="26">
        <f t="shared" si="519"/>
        <v>0</v>
      </c>
      <c r="AT60" s="26">
        <f t="shared" si="519"/>
        <v>0</v>
      </c>
      <c r="AU60" s="26">
        <f t="shared" si="519"/>
        <v>0</v>
      </c>
      <c r="AV60" s="26">
        <f t="shared" si="519"/>
        <v>0</v>
      </c>
      <c r="AW60" s="26">
        <f t="shared" si="519"/>
        <v>0</v>
      </c>
      <c r="AX60" s="26">
        <f t="shared" si="519"/>
        <v>0</v>
      </c>
      <c r="AY60" s="26">
        <f t="shared" si="519"/>
        <v>0</v>
      </c>
      <c r="AZ60" s="26">
        <f t="shared" si="519"/>
        <v>0</v>
      </c>
      <c r="BA60" s="26">
        <f t="shared" si="519"/>
        <v>0</v>
      </c>
      <c r="BB60" s="26">
        <f t="shared" si="519"/>
        <v>0</v>
      </c>
      <c r="BC60" s="26">
        <f t="shared" si="519"/>
        <v>0</v>
      </c>
      <c r="BD60" s="26">
        <f t="shared" si="519"/>
        <v>0</v>
      </c>
      <c r="BE60" s="26">
        <f t="shared" si="519"/>
        <v>0</v>
      </c>
      <c r="BF60" s="26">
        <f t="shared" si="519"/>
        <v>0</v>
      </c>
      <c r="BG60" s="26">
        <f t="shared" si="519"/>
        <v>0</v>
      </c>
      <c r="BH60" s="26">
        <f t="shared" si="519"/>
        <v>0</v>
      </c>
      <c r="BI60" s="26">
        <f t="shared" si="519"/>
        <v>0</v>
      </c>
      <c r="BJ60" s="26">
        <f t="shared" si="519"/>
        <v>0</v>
      </c>
      <c r="BK60" s="26">
        <f t="shared" si="519"/>
        <v>0</v>
      </c>
      <c r="BL60" s="26">
        <f t="shared" si="519"/>
        <v>0</v>
      </c>
      <c r="BM60" s="26">
        <f t="shared" si="519"/>
        <v>0</v>
      </c>
      <c r="BN60" s="26">
        <f t="shared" si="519"/>
        <v>0</v>
      </c>
      <c r="BO60" s="26">
        <f t="shared" si="519"/>
        <v>0</v>
      </c>
      <c r="BP60" s="26">
        <f t="shared" si="519"/>
        <v>0</v>
      </c>
      <c r="BQ60" s="26">
        <f t="shared" si="519"/>
        <v>0</v>
      </c>
      <c r="BR60" s="26">
        <f t="shared" si="519"/>
        <v>0</v>
      </c>
      <c r="BS60" s="26">
        <f t="shared" si="519"/>
        <v>0</v>
      </c>
      <c r="BT60" s="26">
        <f t="shared" si="519"/>
        <v>0</v>
      </c>
      <c r="BU60" s="26">
        <f t="shared" si="519"/>
        <v>0</v>
      </c>
      <c r="BV60" s="26">
        <f t="shared" si="519"/>
        <v>0</v>
      </c>
      <c r="BW60" s="26">
        <f t="shared" si="519"/>
        <v>0</v>
      </c>
      <c r="BX60" s="26">
        <f t="shared" si="519"/>
        <v>0</v>
      </c>
      <c r="BY60" s="26">
        <f t="shared" si="519"/>
        <v>0</v>
      </c>
      <c r="BZ60" s="26">
        <f t="shared" si="519"/>
        <v>0</v>
      </c>
      <c r="CA60" s="26">
        <f t="shared" si="519"/>
        <v>0</v>
      </c>
      <c r="CB60" s="26">
        <f t="shared" si="519"/>
        <v>0</v>
      </c>
      <c r="CC60" s="26">
        <f t="shared" si="519"/>
        <v>0</v>
      </c>
      <c r="CD60" s="26">
        <f t="shared" si="519"/>
        <v>259.19999999999987</v>
      </c>
      <c r="CE60" s="26">
        <f t="shared" ref="CE60:CF60" si="520">CE54-CE58</f>
        <v>197.40000000000009</v>
      </c>
      <c r="CF60" s="26">
        <f t="shared" si="520"/>
        <v>365.79999999999984</v>
      </c>
      <c r="CG60" s="26">
        <f t="shared" ref="CG60:CH60" si="521">CG54-CG58</f>
        <v>314.60000000000008</v>
      </c>
      <c r="CH60" s="26">
        <f t="shared" si="521"/>
        <v>334.2</v>
      </c>
      <c r="CI60" s="26">
        <f t="shared" ref="CI60:CJ60" si="522">CI54-CI58</f>
        <v>313.6999999999997</v>
      </c>
      <c r="CJ60" s="26">
        <f t="shared" si="522"/>
        <v>447.9000000000002</v>
      </c>
      <c r="CK60" s="26">
        <f t="shared" ref="CK60" si="523">CK54-CK58</f>
        <v>428.50000000000017</v>
      </c>
      <c r="CL60" s="26">
        <f t="shared" ref="CL60" si="524">CL54-CL58</f>
        <v>463.59999999999997</v>
      </c>
      <c r="CM60" s="27">
        <f t="shared" ref="CM60:DB60" si="525">CM54-CM58</f>
        <v>418.22170552054877</v>
      </c>
      <c r="CN60" s="27">
        <f t="shared" si="525"/>
        <v>623.53381914538818</v>
      </c>
      <c r="CO60" s="27">
        <f t="shared" si="525"/>
        <v>497.12580837330597</v>
      </c>
      <c r="CP60" s="27">
        <f t="shared" si="525"/>
        <v>602.22361399275246</v>
      </c>
      <c r="CQ60" s="27">
        <f t="shared" si="525"/>
        <v>503.97975234203369</v>
      </c>
      <c r="CR60" s="27">
        <f t="shared" si="525"/>
        <v>750.53626895496507</v>
      </c>
      <c r="CS60" s="27">
        <f t="shared" si="525"/>
        <v>597.55486767272214</v>
      </c>
      <c r="CT60" s="27">
        <f t="shared" si="525"/>
        <v>734.90528587887593</v>
      </c>
      <c r="CU60" s="27">
        <f t="shared" si="525"/>
        <v>612.8965671309237</v>
      </c>
      <c r="CV60" s="27">
        <f t="shared" si="525"/>
        <v>907.84402253492647</v>
      </c>
      <c r="CW60" s="27">
        <f t="shared" si="525"/>
        <v>711.11548076488793</v>
      </c>
      <c r="CX60" s="27">
        <f t="shared" si="525"/>
        <v>869.25890809755185</v>
      </c>
      <c r="CY60" s="27">
        <f t="shared" si="525"/>
        <v>719.21141437082804</v>
      </c>
      <c r="CZ60" s="27">
        <f t="shared" si="525"/>
        <v>1054.9391230412832</v>
      </c>
      <c r="DA60" s="27">
        <f t="shared" si="525"/>
        <v>838.51912559871494</v>
      </c>
      <c r="DB60" s="27">
        <f t="shared" si="525"/>
        <v>1020.3576763702572</v>
      </c>
      <c r="DC60" s="27">
        <f t="shared" ref="DC60:DD60" si="526">DC54-DC58</f>
        <v>842.92476524704489</v>
      </c>
      <c r="DD60" s="27">
        <f t="shared" si="526"/>
        <v>1234.5795249317114</v>
      </c>
      <c r="DE60" s="121"/>
      <c r="DF60" s="26">
        <v>1387</v>
      </c>
    </row>
    <row r="61" spans="1:110" s="23" customFormat="1" x14ac:dyDescent="0.2">
      <c r="A61" s="23" t="s">
        <v>17</v>
      </c>
      <c r="B61" s="23">
        <f>'Annual Raw'!C23</f>
        <v>0</v>
      </c>
      <c r="C61" s="23">
        <f>'Annual Raw'!D23</f>
        <v>0</v>
      </c>
      <c r="D61" s="23">
        <f>'Annual Raw'!E23</f>
        <v>0</v>
      </c>
      <c r="E61" s="23">
        <f>'Annual Raw'!F23</f>
        <v>0</v>
      </c>
      <c r="F61" s="23">
        <f>'Annual Raw'!G23</f>
        <v>0</v>
      </c>
      <c r="G61" s="23">
        <f>'Annual Raw'!H23</f>
        <v>0</v>
      </c>
      <c r="H61" s="23">
        <f>'Annual Raw'!I23</f>
        <v>0</v>
      </c>
      <c r="I61" s="23">
        <f>'Annual Raw'!J23</f>
        <v>0</v>
      </c>
      <c r="J61" s="23">
        <f>'Annual Raw'!K23</f>
        <v>0</v>
      </c>
      <c r="K61" s="23">
        <f>'Annual Raw'!L23</f>
        <v>0</v>
      </c>
      <c r="L61" s="23">
        <f>'Annual Raw'!M23</f>
        <v>0</v>
      </c>
      <c r="M61" s="23">
        <f>'Annual Raw'!N23</f>
        <v>0</v>
      </c>
      <c r="N61" s="23">
        <f>'Annual Raw'!O23</f>
        <v>0</v>
      </c>
      <c r="O61" s="23">
        <f>'Annual Raw'!P23</f>
        <v>0</v>
      </c>
      <c r="P61" s="23">
        <f>'Annual Raw'!Q23</f>
        <v>0</v>
      </c>
      <c r="Q61" s="23">
        <f>'Annual Raw'!R23</f>
        <v>0</v>
      </c>
      <c r="R61" s="23">
        <f>'Annual Raw'!S23</f>
        <v>0</v>
      </c>
      <c r="S61" s="23">
        <f>'Annual Raw'!T23</f>
        <v>0</v>
      </c>
      <c r="T61" s="23">
        <f>'Annual Raw'!U23</f>
        <v>0</v>
      </c>
      <c r="U61" s="23">
        <f>'Annual Raw'!V23</f>
        <v>0</v>
      </c>
      <c r="V61" s="23">
        <f>'Annual Raw'!W23</f>
        <v>0</v>
      </c>
      <c r="W61" s="23">
        <f>'Annual Raw'!X23</f>
        <v>0</v>
      </c>
      <c r="X61" s="23">
        <f>'Annual Raw'!Y23</f>
        <v>0</v>
      </c>
      <c r="Y61" s="23">
        <f>'Annual Raw'!Z23</f>
        <v>21.6</v>
      </c>
      <c r="Z61" s="23">
        <f>'Annual Raw'!AA23</f>
        <v>139.69999999999999</v>
      </c>
      <c r="AA61" s="76">
        <f>SUM(CK61:CN61)</f>
        <v>95.199999999999989</v>
      </c>
      <c r="AB61" s="76">
        <f>+SUM(CO61:CR61)</f>
        <v>0</v>
      </c>
      <c r="AC61" s="76">
        <f>+SUM(CS61:CV61)</f>
        <v>0</v>
      </c>
      <c r="AD61" s="76">
        <f>+SUM(CW61:CZ61)</f>
        <v>0</v>
      </c>
      <c r="AE61" s="76">
        <f>+SUM(DA61:DD61)</f>
        <v>0</v>
      </c>
      <c r="AI61" s="23">
        <f>'QTR Raw'!C23</f>
        <v>0</v>
      </c>
      <c r="AJ61" s="23">
        <f>'QTR Raw'!D23</f>
        <v>0</v>
      </c>
      <c r="AK61" s="23">
        <f>'QTR Raw'!E23</f>
        <v>0</v>
      </c>
      <c r="AL61" s="23">
        <f>'QTR Raw'!F23</f>
        <v>0</v>
      </c>
      <c r="AM61" s="23">
        <f>'QTR Raw'!G23</f>
        <v>0</v>
      </c>
      <c r="AN61" s="23">
        <f>'QTR Raw'!H23</f>
        <v>0</v>
      </c>
      <c r="AO61" s="23">
        <f>'QTR Raw'!I23</f>
        <v>0</v>
      </c>
      <c r="AP61" s="23">
        <f>'QTR Raw'!J23</f>
        <v>0</v>
      </c>
      <c r="AQ61" s="23">
        <f>'QTR Raw'!K23</f>
        <v>0</v>
      </c>
      <c r="AR61" s="23">
        <f>'QTR Raw'!L23</f>
        <v>0</v>
      </c>
      <c r="AS61" s="23">
        <f>'QTR Raw'!M23</f>
        <v>0</v>
      </c>
      <c r="AT61" s="23">
        <f>'QTR Raw'!N23</f>
        <v>0</v>
      </c>
      <c r="AU61" s="23">
        <f>'QTR Raw'!O23</f>
        <v>0</v>
      </c>
      <c r="AV61" s="23">
        <f>'QTR Raw'!P23</f>
        <v>0</v>
      </c>
      <c r="AW61" s="23">
        <f>'QTR Raw'!Q23</f>
        <v>0</v>
      </c>
      <c r="AX61" s="23">
        <f>'QTR Raw'!R23</f>
        <v>0</v>
      </c>
      <c r="AY61" s="23">
        <f>'QTR Raw'!S23</f>
        <v>0</v>
      </c>
      <c r="AZ61" s="23">
        <f>'QTR Raw'!T23</f>
        <v>0</v>
      </c>
      <c r="BA61" s="23">
        <f>'QTR Raw'!U23</f>
        <v>0</v>
      </c>
      <c r="BB61" s="23">
        <f>'QTR Raw'!V23</f>
        <v>0</v>
      </c>
      <c r="BC61" s="23">
        <f>'QTR Raw'!W23</f>
        <v>0</v>
      </c>
      <c r="BD61" s="23">
        <f>'QTR Raw'!X23</f>
        <v>0</v>
      </c>
      <c r="BE61" s="23">
        <f>'QTR Raw'!Y23</f>
        <v>0</v>
      </c>
      <c r="BF61" s="23">
        <f>'QTR Raw'!Z23</f>
        <v>0</v>
      </c>
      <c r="BG61" s="23">
        <f>'QTR Raw'!AA23</f>
        <v>0</v>
      </c>
      <c r="BH61" s="23">
        <f>'QTR Raw'!AB23</f>
        <v>0</v>
      </c>
      <c r="BI61" s="23">
        <f>'QTR Raw'!AC23</f>
        <v>0</v>
      </c>
      <c r="BJ61" s="23">
        <f>'QTR Raw'!AD23</f>
        <v>0</v>
      </c>
      <c r="BK61" s="23">
        <f>'QTR Raw'!AE23</f>
        <v>0</v>
      </c>
      <c r="BL61" s="23">
        <f>'QTR Raw'!AF23</f>
        <v>0</v>
      </c>
      <c r="BM61" s="23">
        <f>'QTR Raw'!AG23</f>
        <v>0</v>
      </c>
      <c r="BN61" s="23">
        <f>'QTR Raw'!AH23</f>
        <v>0</v>
      </c>
      <c r="BO61" s="23">
        <f>'QTR Raw'!AI23</f>
        <v>0</v>
      </c>
      <c r="BP61" s="23">
        <f>'QTR Raw'!AJ23</f>
        <v>0</v>
      </c>
      <c r="BQ61" s="23">
        <f>'QTR Raw'!AK23</f>
        <v>0</v>
      </c>
      <c r="BR61" s="23">
        <f>'QTR Raw'!AL23</f>
        <v>0</v>
      </c>
      <c r="BS61" s="23">
        <f>'QTR Raw'!AM23</f>
        <v>0</v>
      </c>
      <c r="BT61" s="23">
        <f>'QTR Raw'!AN23</f>
        <v>0</v>
      </c>
      <c r="BU61" s="23">
        <f>'QTR Raw'!AO23</f>
        <v>0</v>
      </c>
      <c r="BV61" s="23">
        <f>'QTR Raw'!AP23</f>
        <v>0</v>
      </c>
      <c r="BW61" s="23">
        <f>'QTR Raw'!AQ23</f>
        <v>0</v>
      </c>
      <c r="BX61" s="23">
        <f>'QTR Raw'!AR23</f>
        <v>0</v>
      </c>
      <c r="BY61" s="23">
        <f>'QTR Raw'!AS23</f>
        <v>0</v>
      </c>
      <c r="BZ61" s="23">
        <f>'QTR Raw'!AT23</f>
        <v>0</v>
      </c>
      <c r="CA61" s="23">
        <f>'QTR Raw'!AU23</f>
        <v>0</v>
      </c>
      <c r="CB61" s="23">
        <f>'QTR Raw'!AV23</f>
        <v>0</v>
      </c>
      <c r="CC61" s="23">
        <f>'QTR Raw'!AW23</f>
        <v>0</v>
      </c>
      <c r="CD61" s="23">
        <f>'QTR Raw'!AX23</f>
        <v>0.2</v>
      </c>
      <c r="CE61" s="23">
        <f>'QTR Raw'!AY23</f>
        <v>0</v>
      </c>
      <c r="CF61" s="23">
        <f>'QTR Raw'!AZ23</f>
        <v>2</v>
      </c>
      <c r="CG61" s="23">
        <f>'QTR Raw'!BA23</f>
        <v>1.6</v>
      </c>
      <c r="CH61" s="23">
        <f>'QTR Raw'!BB23</f>
        <v>14.4</v>
      </c>
      <c r="CI61" s="23">
        <f>'QTR Raw'!BC23</f>
        <v>52.5</v>
      </c>
      <c r="CJ61" s="23">
        <f>'QTR Raw'!BD23</f>
        <v>36.799999999999997</v>
      </c>
      <c r="CK61" s="23">
        <f>'QTR Raw'!BE23</f>
        <v>49.3</v>
      </c>
      <c r="CL61" s="23">
        <f>'QTR Raw'!BF23</f>
        <v>45.9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123"/>
      <c r="DF61" s="23">
        <v>139.69999999999999</v>
      </c>
    </row>
    <row r="62" spans="1:110" s="23" customFormat="1" x14ac:dyDescent="0.2">
      <c r="A62" s="23" t="s">
        <v>18</v>
      </c>
      <c r="B62" s="23">
        <f>'Annual Raw'!C25</f>
        <v>0</v>
      </c>
      <c r="C62" s="23">
        <f>'Annual Raw'!D25</f>
        <v>0</v>
      </c>
      <c r="D62" s="23">
        <f>'Annual Raw'!E25</f>
        <v>0</v>
      </c>
      <c r="E62" s="23">
        <f>'Annual Raw'!F25</f>
        <v>0</v>
      </c>
      <c r="F62" s="23">
        <f>'Annual Raw'!G25</f>
        <v>0</v>
      </c>
      <c r="G62" s="23">
        <f>'Annual Raw'!H25</f>
        <v>0</v>
      </c>
      <c r="H62" s="23">
        <f>'Annual Raw'!I25</f>
        <v>0</v>
      </c>
      <c r="I62" s="23">
        <f>'Annual Raw'!J25</f>
        <v>0</v>
      </c>
      <c r="J62" s="23">
        <f>'Annual Raw'!K25</f>
        <v>0</v>
      </c>
      <c r="K62" s="23">
        <f>'Annual Raw'!L25</f>
        <v>0</v>
      </c>
      <c r="L62" s="23">
        <f>'Annual Raw'!M25</f>
        <v>0</v>
      </c>
      <c r="M62" s="23">
        <f>'Annual Raw'!N25</f>
        <v>0</v>
      </c>
      <c r="N62" s="23">
        <f>'Annual Raw'!O25</f>
        <v>0</v>
      </c>
      <c r="O62" s="23">
        <f>'Annual Raw'!P25</f>
        <v>0</v>
      </c>
      <c r="P62" s="23">
        <f>'Annual Raw'!Q25</f>
        <v>0</v>
      </c>
      <c r="Q62" s="23">
        <f>'Annual Raw'!R25</f>
        <v>0</v>
      </c>
      <c r="R62" s="23">
        <f>'Annual Raw'!S25</f>
        <v>0</v>
      </c>
      <c r="S62" s="23">
        <f>'Annual Raw'!T25</f>
        <v>0</v>
      </c>
      <c r="T62" s="23">
        <f>'Annual Raw'!U25</f>
        <v>0</v>
      </c>
      <c r="U62" s="23">
        <f>'Annual Raw'!V25</f>
        <v>0</v>
      </c>
      <c r="V62" s="23">
        <f>'Annual Raw'!W25</f>
        <v>0</v>
      </c>
      <c r="W62" s="23">
        <f>'Annual Raw'!X25</f>
        <v>0</v>
      </c>
      <c r="X62" s="23">
        <f>'Annual Raw'!Y25</f>
        <v>0</v>
      </c>
      <c r="Y62" s="23">
        <f>'Annual Raw'!Z25</f>
        <v>24.9</v>
      </c>
      <c r="Z62" s="23">
        <f>'Annual Raw'!AA25</f>
        <v>39.200000000000003</v>
      </c>
      <c r="AA62" s="76">
        <f>SUM(CK62:CN62)</f>
        <v>-55.785817994755632</v>
      </c>
      <c r="AB62" s="76">
        <f>+SUM(CO62:CR62)</f>
        <v>-157.71893447745356</v>
      </c>
      <c r="AC62" s="76">
        <f>+SUM(CS62:CV62)</f>
        <v>-191.76828546034042</v>
      </c>
      <c r="AD62" s="76">
        <f>+SUM(CW62:CZ62)</f>
        <v>-258.31596359585177</v>
      </c>
      <c r="AE62" s="76">
        <f>+SUM(DA62:DD62)</f>
        <v>-340.0090004672204</v>
      </c>
      <c r="AI62" s="23">
        <f>'QTR Raw'!C25</f>
        <v>0</v>
      </c>
      <c r="AJ62" s="23">
        <f>'QTR Raw'!D25</f>
        <v>0</v>
      </c>
      <c r="AK62" s="23">
        <f>'QTR Raw'!E25</f>
        <v>0</v>
      </c>
      <c r="AL62" s="23">
        <f>'QTR Raw'!F25</f>
        <v>0</v>
      </c>
      <c r="AM62" s="23">
        <f>'QTR Raw'!G25</f>
        <v>0</v>
      </c>
      <c r="AN62" s="23">
        <f>'QTR Raw'!H25</f>
        <v>0</v>
      </c>
      <c r="AO62" s="23">
        <f>'QTR Raw'!I25</f>
        <v>0</v>
      </c>
      <c r="AP62" s="23">
        <f>'QTR Raw'!J25</f>
        <v>0</v>
      </c>
      <c r="AQ62" s="23">
        <f>'QTR Raw'!K25</f>
        <v>0</v>
      </c>
      <c r="AR62" s="23">
        <f>'QTR Raw'!L25</f>
        <v>0</v>
      </c>
      <c r="AS62" s="23">
        <f>'QTR Raw'!M25</f>
        <v>0</v>
      </c>
      <c r="AT62" s="23">
        <f>'QTR Raw'!N25</f>
        <v>0</v>
      </c>
      <c r="AU62" s="23">
        <f>'QTR Raw'!O25</f>
        <v>0</v>
      </c>
      <c r="AV62" s="23">
        <f>'QTR Raw'!P25</f>
        <v>0</v>
      </c>
      <c r="AW62" s="23">
        <f>'QTR Raw'!Q25</f>
        <v>0</v>
      </c>
      <c r="AX62" s="23">
        <f>'QTR Raw'!R25</f>
        <v>0</v>
      </c>
      <c r="AY62" s="23">
        <f>'QTR Raw'!S25</f>
        <v>0</v>
      </c>
      <c r="AZ62" s="23">
        <f>'QTR Raw'!T25</f>
        <v>0</v>
      </c>
      <c r="BA62" s="23">
        <f>'QTR Raw'!U25</f>
        <v>0</v>
      </c>
      <c r="BB62" s="23">
        <f>'QTR Raw'!V25</f>
        <v>0</v>
      </c>
      <c r="BC62" s="23">
        <f>'QTR Raw'!W25</f>
        <v>0</v>
      </c>
      <c r="BD62" s="23">
        <f>'QTR Raw'!X25</f>
        <v>0</v>
      </c>
      <c r="BE62" s="23">
        <f>'QTR Raw'!Y25</f>
        <v>0</v>
      </c>
      <c r="BF62" s="23">
        <f>'QTR Raw'!Z25</f>
        <v>0</v>
      </c>
      <c r="BG62" s="23">
        <f>'QTR Raw'!AA25</f>
        <v>0</v>
      </c>
      <c r="BH62" s="23">
        <f>'QTR Raw'!AB25</f>
        <v>0</v>
      </c>
      <c r="BI62" s="23">
        <f>'QTR Raw'!AC25</f>
        <v>0</v>
      </c>
      <c r="BJ62" s="23">
        <f>'QTR Raw'!AD25</f>
        <v>0</v>
      </c>
      <c r="BK62" s="23">
        <f>'QTR Raw'!AE25</f>
        <v>0</v>
      </c>
      <c r="BL62" s="23">
        <f>'QTR Raw'!AF25</f>
        <v>0</v>
      </c>
      <c r="BM62" s="23">
        <f>'QTR Raw'!AG25</f>
        <v>0</v>
      </c>
      <c r="BN62" s="23">
        <f>'QTR Raw'!AH25</f>
        <v>0</v>
      </c>
      <c r="BO62" s="23">
        <f>'QTR Raw'!AI25</f>
        <v>0</v>
      </c>
      <c r="BP62" s="23">
        <f>'QTR Raw'!AJ25</f>
        <v>0</v>
      </c>
      <c r="BQ62" s="23">
        <f>'QTR Raw'!AK25</f>
        <v>0</v>
      </c>
      <c r="BR62" s="23">
        <f>'QTR Raw'!AL25</f>
        <v>0</v>
      </c>
      <c r="BS62" s="23">
        <f>'QTR Raw'!AM25</f>
        <v>0</v>
      </c>
      <c r="BT62" s="23">
        <f>'QTR Raw'!AN25</f>
        <v>0</v>
      </c>
      <c r="BU62" s="23">
        <f>'QTR Raw'!AO25</f>
        <v>0</v>
      </c>
      <c r="BV62" s="23">
        <f>'QTR Raw'!AP25</f>
        <v>0</v>
      </c>
      <c r="BW62" s="23">
        <f>'QTR Raw'!AQ25</f>
        <v>0</v>
      </c>
      <c r="BX62" s="23">
        <f>'QTR Raw'!AR25</f>
        <v>0</v>
      </c>
      <c r="BY62" s="23">
        <f>'QTR Raw'!AS25</f>
        <v>0</v>
      </c>
      <c r="BZ62" s="23">
        <f>'QTR Raw'!AT25</f>
        <v>0</v>
      </c>
      <c r="CA62" s="23">
        <f>'QTR Raw'!AU25</f>
        <v>0</v>
      </c>
      <c r="CB62" s="23">
        <f>'QTR Raw'!AV25</f>
        <v>0</v>
      </c>
      <c r="CC62" s="23">
        <f>'QTR Raw'!AW25</f>
        <v>0</v>
      </c>
      <c r="CD62" s="23">
        <f>'QTR Raw'!AX25</f>
        <v>15</v>
      </c>
      <c r="CE62" s="23">
        <f>'QTR Raw'!AY25</f>
        <v>1.3</v>
      </c>
      <c r="CF62" s="23">
        <f>'QTR Raw'!AZ25</f>
        <v>2.1</v>
      </c>
      <c r="CG62" s="23">
        <f>'QTR Raw'!BA25</f>
        <v>4.4000000000000004</v>
      </c>
      <c r="CH62" s="23">
        <f>'QTR Raw'!BB25</f>
        <v>3.3</v>
      </c>
      <c r="CI62" s="23">
        <f>'QTR Raw'!BC25</f>
        <v>14.2</v>
      </c>
      <c r="CJ62" s="23">
        <f>'QTR Raw'!BD25</f>
        <v>6.3</v>
      </c>
      <c r="CK62" s="23">
        <f>'QTR Raw'!BE25</f>
        <v>7.4</v>
      </c>
      <c r="CL62" s="23">
        <f>'QTR Raw'!BF25</f>
        <v>7.3</v>
      </c>
      <c r="CM62" s="24">
        <f t="shared" ref="CM62:DB62" si="527">CM63*CL194</f>
        <v>-33.731674289507737</v>
      </c>
      <c r="CN62" s="24">
        <f t="shared" si="527"/>
        <v>-36.754143705247898</v>
      </c>
      <c r="CO62" s="24">
        <f t="shared" si="527"/>
        <v>-37.67014017692221</v>
      </c>
      <c r="CP62" s="24">
        <f t="shared" si="527"/>
        <v>-43.939800024005272</v>
      </c>
      <c r="CQ62" s="24">
        <f t="shared" si="527"/>
        <v>-36.077412602065912</v>
      </c>
      <c r="CR62" s="24">
        <f t="shared" si="527"/>
        <v>-40.031581674460163</v>
      </c>
      <c r="CS62" s="24">
        <f t="shared" si="527"/>
        <v>-41.319701055235512</v>
      </c>
      <c r="CT62" s="24">
        <f t="shared" si="527"/>
        <v>-46.715342651403539</v>
      </c>
      <c r="CU62" s="24">
        <f t="shared" si="527"/>
        <v>-49.285416550112309</v>
      </c>
      <c r="CV62" s="24">
        <f t="shared" si="527"/>
        <v>-54.447825203589069</v>
      </c>
      <c r="CW62" s="24">
        <f t="shared" si="527"/>
        <v>-56.376215630604861</v>
      </c>
      <c r="CX62" s="24">
        <f t="shared" si="527"/>
        <v>-62.971737895557574</v>
      </c>
      <c r="CY62" s="24">
        <f t="shared" si="527"/>
        <v>-66.334190695519951</v>
      </c>
      <c r="CZ62" s="24">
        <f t="shared" si="527"/>
        <v>-72.633819374169363</v>
      </c>
      <c r="DA62" s="24">
        <f t="shared" si="527"/>
        <v>-75.066209450471305</v>
      </c>
      <c r="DB62" s="24">
        <f t="shared" si="527"/>
        <v>-83.004221063903969</v>
      </c>
      <c r="DC62" s="24">
        <f t="shared" ref="DC62" si="528">DC63*DB194</f>
        <v>-87.18499517619253</v>
      </c>
      <c r="DD62" s="24">
        <f t="shared" ref="DD62" si="529">DD63*DC194</f>
        <v>-94.753574776652599</v>
      </c>
      <c r="DE62" s="123"/>
      <c r="DF62" s="23">
        <v>39.200000000000003</v>
      </c>
    </row>
    <row r="63" spans="1:110" s="46" customFormat="1" x14ac:dyDescent="0.2">
      <c r="A63" s="46" t="s">
        <v>482</v>
      </c>
      <c r="B63" s="46" t="e">
        <f t="shared" ref="B63:D63" si="530">+B62/B154</f>
        <v>#DIV/0!</v>
      </c>
      <c r="C63" s="46" t="e">
        <f t="shared" si="530"/>
        <v>#DIV/0!</v>
      </c>
      <c r="D63" s="46" t="e">
        <f t="shared" si="530"/>
        <v>#DIV/0!</v>
      </c>
      <c r="E63" s="46" t="e">
        <f t="shared" ref="E63:AE63" si="531">+E62/E154</f>
        <v>#DIV/0!</v>
      </c>
      <c r="F63" s="46" t="e">
        <f t="shared" si="531"/>
        <v>#DIV/0!</v>
      </c>
      <c r="G63" s="46" t="e">
        <f t="shared" si="531"/>
        <v>#DIV/0!</v>
      </c>
      <c r="H63" s="46" t="e">
        <f t="shared" si="531"/>
        <v>#DIV/0!</v>
      </c>
      <c r="I63" s="46" t="e">
        <f t="shared" si="531"/>
        <v>#DIV/0!</v>
      </c>
      <c r="J63" s="46" t="e">
        <f t="shared" si="531"/>
        <v>#DIV/0!</v>
      </c>
      <c r="K63" s="46" t="e">
        <f t="shared" si="531"/>
        <v>#DIV/0!</v>
      </c>
      <c r="L63" s="46" t="e">
        <f t="shared" si="531"/>
        <v>#DIV/0!</v>
      </c>
      <c r="M63" s="46" t="e">
        <f t="shared" si="531"/>
        <v>#DIV/0!</v>
      </c>
      <c r="N63" s="46" t="e">
        <f t="shared" si="531"/>
        <v>#DIV/0!</v>
      </c>
      <c r="O63" s="46" t="e">
        <f t="shared" si="531"/>
        <v>#DIV/0!</v>
      </c>
      <c r="P63" s="46" t="e">
        <f t="shared" si="531"/>
        <v>#DIV/0!</v>
      </c>
      <c r="Q63" s="46" t="e">
        <f t="shared" si="531"/>
        <v>#DIV/0!</v>
      </c>
      <c r="R63" s="46" t="e">
        <f t="shared" si="531"/>
        <v>#DIV/0!</v>
      </c>
      <c r="S63" s="46" t="e">
        <f t="shared" si="531"/>
        <v>#DIV/0!</v>
      </c>
      <c r="T63" s="46" t="e">
        <f t="shared" si="531"/>
        <v>#DIV/0!</v>
      </c>
      <c r="U63" s="46" t="e">
        <f t="shared" si="531"/>
        <v>#DIV/0!</v>
      </c>
      <c r="V63" s="46" t="e">
        <f t="shared" si="531"/>
        <v>#DIV/0!</v>
      </c>
      <c r="W63" s="46" t="e">
        <f t="shared" si="531"/>
        <v>#DIV/0!</v>
      </c>
      <c r="X63" s="46" t="e">
        <f t="shared" si="531"/>
        <v>#DIV/0!</v>
      </c>
      <c r="Y63" s="46" t="e">
        <f t="shared" si="531"/>
        <v>#DIV/0!</v>
      </c>
      <c r="Z63" s="46" t="e">
        <f t="shared" ref="Z63" si="532">+Z62/Z154</f>
        <v>#DIV/0!</v>
      </c>
      <c r="AA63" s="110" t="e">
        <f>+AA62/AA154</f>
        <v>#DIV/0!</v>
      </c>
      <c r="AB63" s="110" t="e">
        <f t="shared" si="531"/>
        <v>#DIV/0!</v>
      </c>
      <c r="AC63" s="110" t="e">
        <f t="shared" si="531"/>
        <v>#DIV/0!</v>
      </c>
      <c r="AD63" s="110" t="e">
        <f t="shared" si="531"/>
        <v>#DIV/0!</v>
      </c>
      <c r="AE63" s="110" t="e">
        <f t="shared" si="531"/>
        <v>#DIV/0!</v>
      </c>
      <c r="AI63" s="46" t="e">
        <f t="shared" ref="AI63:BN63" si="533">(AI62-AI61)/AH194</f>
        <v>#DIV/0!</v>
      </c>
      <c r="AJ63" s="46" t="e">
        <f t="shared" si="533"/>
        <v>#DIV/0!</v>
      </c>
      <c r="AK63" s="46" t="e">
        <f t="shared" si="533"/>
        <v>#DIV/0!</v>
      </c>
      <c r="AL63" s="46" t="e">
        <f t="shared" si="533"/>
        <v>#DIV/0!</v>
      </c>
      <c r="AM63" s="46" t="e">
        <f t="shared" si="533"/>
        <v>#DIV/0!</v>
      </c>
      <c r="AN63" s="46" t="e">
        <f t="shared" si="533"/>
        <v>#DIV/0!</v>
      </c>
      <c r="AO63" s="46" t="e">
        <f t="shared" si="533"/>
        <v>#DIV/0!</v>
      </c>
      <c r="AP63" s="46" t="e">
        <f t="shared" si="533"/>
        <v>#DIV/0!</v>
      </c>
      <c r="AQ63" s="46" t="e">
        <f t="shared" si="533"/>
        <v>#DIV/0!</v>
      </c>
      <c r="AR63" s="46" t="e">
        <f t="shared" si="533"/>
        <v>#DIV/0!</v>
      </c>
      <c r="AS63" s="46" t="e">
        <f t="shared" si="533"/>
        <v>#DIV/0!</v>
      </c>
      <c r="AT63" s="46" t="e">
        <f t="shared" si="533"/>
        <v>#DIV/0!</v>
      </c>
      <c r="AU63" s="46" t="e">
        <f t="shared" si="533"/>
        <v>#DIV/0!</v>
      </c>
      <c r="AV63" s="46" t="e">
        <f t="shared" si="533"/>
        <v>#DIV/0!</v>
      </c>
      <c r="AW63" s="46" t="e">
        <f t="shared" si="533"/>
        <v>#DIV/0!</v>
      </c>
      <c r="AX63" s="46" t="e">
        <f t="shared" si="533"/>
        <v>#DIV/0!</v>
      </c>
      <c r="AY63" s="46" t="e">
        <f t="shared" si="533"/>
        <v>#DIV/0!</v>
      </c>
      <c r="AZ63" s="46" t="e">
        <f t="shared" si="533"/>
        <v>#DIV/0!</v>
      </c>
      <c r="BA63" s="46" t="e">
        <f t="shared" si="533"/>
        <v>#DIV/0!</v>
      </c>
      <c r="BB63" s="46" t="e">
        <f t="shared" si="533"/>
        <v>#DIV/0!</v>
      </c>
      <c r="BC63" s="46" t="e">
        <f t="shared" si="533"/>
        <v>#DIV/0!</v>
      </c>
      <c r="BD63" s="46" t="e">
        <f t="shared" si="533"/>
        <v>#DIV/0!</v>
      </c>
      <c r="BE63" s="46" t="e">
        <f t="shared" si="533"/>
        <v>#DIV/0!</v>
      </c>
      <c r="BF63" s="46" t="e">
        <f t="shared" si="533"/>
        <v>#DIV/0!</v>
      </c>
      <c r="BG63" s="46" t="e">
        <f t="shared" si="533"/>
        <v>#DIV/0!</v>
      </c>
      <c r="BH63" s="46" t="e">
        <f t="shared" si="533"/>
        <v>#DIV/0!</v>
      </c>
      <c r="BI63" s="46" t="e">
        <f t="shared" si="533"/>
        <v>#DIV/0!</v>
      </c>
      <c r="BJ63" s="46" t="e">
        <f t="shared" si="533"/>
        <v>#DIV/0!</v>
      </c>
      <c r="BK63" s="46" t="e">
        <f t="shared" si="533"/>
        <v>#DIV/0!</v>
      </c>
      <c r="BL63" s="46" t="e">
        <f t="shared" si="533"/>
        <v>#DIV/0!</v>
      </c>
      <c r="BM63" s="46" t="e">
        <f t="shared" si="533"/>
        <v>#DIV/0!</v>
      </c>
      <c r="BN63" s="46" t="e">
        <f t="shared" si="533"/>
        <v>#DIV/0!</v>
      </c>
      <c r="BO63" s="46" t="e">
        <f t="shared" ref="BO63:CL63" si="534">(BO62-BO61)/BN194</f>
        <v>#DIV/0!</v>
      </c>
      <c r="BP63" s="46" t="e">
        <f t="shared" si="534"/>
        <v>#DIV/0!</v>
      </c>
      <c r="BQ63" s="46" t="e">
        <f t="shared" si="534"/>
        <v>#DIV/0!</v>
      </c>
      <c r="BR63" s="46" t="e">
        <f t="shared" si="534"/>
        <v>#DIV/0!</v>
      </c>
      <c r="BS63" s="46" t="e">
        <f t="shared" si="534"/>
        <v>#DIV/0!</v>
      </c>
      <c r="BT63" s="46" t="e">
        <f t="shared" si="534"/>
        <v>#DIV/0!</v>
      </c>
      <c r="BU63" s="46" t="e">
        <f t="shared" si="534"/>
        <v>#DIV/0!</v>
      </c>
      <c r="BV63" s="46" t="e">
        <f t="shared" si="534"/>
        <v>#DIV/0!</v>
      </c>
      <c r="BW63" s="46" t="e">
        <f t="shared" si="534"/>
        <v>#DIV/0!</v>
      </c>
      <c r="BX63" s="46" t="e">
        <f t="shared" si="534"/>
        <v>#DIV/0!</v>
      </c>
      <c r="BY63" s="46" t="e">
        <f t="shared" si="534"/>
        <v>#DIV/0!</v>
      </c>
      <c r="BZ63" s="46" t="e">
        <f t="shared" si="534"/>
        <v>#DIV/0!</v>
      </c>
      <c r="CA63" s="46" t="e">
        <f t="shared" si="534"/>
        <v>#DIV/0!</v>
      </c>
      <c r="CB63" s="46" t="e">
        <f t="shared" si="534"/>
        <v>#DIV/0!</v>
      </c>
      <c r="CC63" s="46" t="e">
        <f t="shared" si="534"/>
        <v>#DIV/0!</v>
      </c>
      <c r="CD63" s="46" t="e">
        <f t="shared" si="534"/>
        <v>#DIV/0!</v>
      </c>
      <c r="CE63" s="46" t="e">
        <f t="shared" si="534"/>
        <v>#DIV/0!</v>
      </c>
      <c r="CF63" s="46">
        <f t="shared" si="534"/>
        <v>-6.8587105624142689E-4</v>
      </c>
      <c r="CG63" s="46" t="e">
        <f t="shared" si="534"/>
        <v>#DIV/0!</v>
      </c>
      <c r="CH63" s="46">
        <f t="shared" si="534"/>
        <v>2.3273204389890449E-2</v>
      </c>
      <c r="CI63" s="46">
        <f t="shared" si="534"/>
        <v>1.1062969381860195E-2</v>
      </c>
      <c r="CJ63" s="46">
        <f t="shared" si="534"/>
        <v>8.1199242213779547E-3</v>
      </c>
      <c r="CK63" s="46">
        <f t="shared" si="534"/>
        <v>1.2102830733679954E-2</v>
      </c>
      <c r="CL63" s="46">
        <f t="shared" si="534"/>
        <v>1.02372304368764E-2</v>
      </c>
      <c r="CM63" s="47">
        <f t="shared" ref="CM63" si="535">+CL63</f>
        <v>1.02372304368764E-2</v>
      </c>
      <c r="CN63" s="47">
        <f t="shared" ref="CN63" si="536">+CM63</f>
        <v>1.02372304368764E-2</v>
      </c>
      <c r="CO63" s="47">
        <f t="shared" ref="CO63" si="537">+CN63</f>
        <v>1.02372304368764E-2</v>
      </c>
      <c r="CP63" s="47">
        <f t="shared" ref="CP63" si="538">+CO63</f>
        <v>1.02372304368764E-2</v>
      </c>
      <c r="CQ63" s="47">
        <v>8.0000000000000002E-3</v>
      </c>
      <c r="CR63" s="47">
        <f t="shared" ref="CR63" si="539">+CQ63</f>
        <v>8.0000000000000002E-3</v>
      </c>
      <c r="CS63" s="47">
        <f t="shared" ref="CS63" si="540">+CR63</f>
        <v>8.0000000000000002E-3</v>
      </c>
      <c r="CT63" s="47">
        <f t="shared" ref="CT63" si="541">+CS63</f>
        <v>8.0000000000000002E-3</v>
      </c>
      <c r="CU63" s="47">
        <f t="shared" ref="CU63" si="542">+CT63</f>
        <v>8.0000000000000002E-3</v>
      </c>
      <c r="CV63" s="47">
        <f t="shared" ref="CV63" si="543">+CU63</f>
        <v>8.0000000000000002E-3</v>
      </c>
      <c r="CW63" s="47">
        <f t="shared" ref="CW63" si="544">+CV63</f>
        <v>8.0000000000000002E-3</v>
      </c>
      <c r="CX63" s="47">
        <f t="shared" ref="CX63" si="545">+CW63</f>
        <v>8.0000000000000002E-3</v>
      </c>
      <c r="CY63" s="47">
        <f t="shared" ref="CY63" si="546">+CX63</f>
        <v>8.0000000000000002E-3</v>
      </c>
      <c r="CZ63" s="47">
        <f t="shared" ref="CZ63" si="547">+CY63</f>
        <v>8.0000000000000002E-3</v>
      </c>
      <c r="DA63" s="47">
        <f t="shared" ref="DA63" si="548">+CZ63</f>
        <v>8.0000000000000002E-3</v>
      </c>
      <c r="DB63" s="47">
        <f t="shared" ref="DB63" si="549">+DA63</f>
        <v>8.0000000000000002E-3</v>
      </c>
      <c r="DC63" s="47">
        <f t="shared" ref="DC63" si="550">+DB63</f>
        <v>8.0000000000000002E-3</v>
      </c>
      <c r="DD63" s="47">
        <f t="shared" ref="DD63" si="551">+DC63</f>
        <v>8.0000000000000002E-3</v>
      </c>
      <c r="DE63" s="130"/>
    </row>
    <row r="64" spans="1:110" s="26" customFormat="1" x14ac:dyDescent="0.2">
      <c r="A64" s="26" t="s">
        <v>20</v>
      </c>
      <c r="B64" s="26">
        <f>B60+B61-B62</f>
        <v>0</v>
      </c>
      <c r="C64" s="26">
        <f t="shared" ref="C64:T64" si="552">C60+C61-C62</f>
        <v>0</v>
      </c>
      <c r="D64" s="26">
        <f>D60+D61-D62</f>
        <v>0</v>
      </c>
      <c r="E64" s="26">
        <f t="shared" si="552"/>
        <v>0</v>
      </c>
      <c r="F64" s="26">
        <f t="shared" si="552"/>
        <v>0</v>
      </c>
      <c r="G64" s="26">
        <f t="shared" si="552"/>
        <v>0</v>
      </c>
      <c r="H64" s="26">
        <f t="shared" si="552"/>
        <v>0</v>
      </c>
      <c r="I64" s="26">
        <f t="shared" si="552"/>
        <v>0</v>
      </c>
      <c r="J64" s="26">
        <f t="shared" si="552"/>
        <v>0</v>
      </c>
      <c r="K64" s="26">
        <f t="shared" si="552"/>
        <v>0</v>
      </c>
      <c r="L64" s="26">
        <f t="shared" si="552"/>
        <v>0</v>
      </c>
      <c r="M64" s="26">
        <f t="shared" si="552"/>
        <v>0</v>
      </c>
      <c r="N64" s="26">
        <f t="shared" si="552"/>
        <v>0</v>
      </c>
      <c r="O64" s="26">
        <f t="shared" si="552"/>
        <v>0</v>
      </c>
      <c r="P64" s="26">
        <f t="shared" si="552"/>
        <v>0</v>
      </c>
      <c r="Q64" s="26">
        <f t="shared" si="552"/>
        <v>0</v>
      </c>
      <c r="R64" s="26">
        <f t="shared" si="552"/>
        <v>0</v>
      </c>
      <c r="S64" s="26">
        <f t="shared" si="552"/>
        <v>0</v>
      </c>
      <c r="T64" s="26">
        <f t="shared" si="552"/>
        <v>0</v>
      </c>
      <c r="U64" s="26">
        <f t="shared" ref="U64:Y64" si="553">U60+U61-U62</f>
        <v>0</v>
      </c>
      <c r="V64" s="26">
        <f t="shared" si="553"/>
        <v>0</v>
      </c>
      <c r="W64" s="26">
        <f t="shared" si="553"/>
        <v>0</v>
      </c>
      <c r="X64" s="26">
        <f t="shared" si="553"/>
        <v>0</v>
      </c>
      <c r="Y64" s="26">
        <f t="shared" si="553"/>
        <v>806.20000000000095</v>
      </c>
      <c r="Z64" s="26">
        <f t="shared" ref="Z64" si="554">Z60+Z61-Z62</f>
        <v>1487.5</v>
      </c>
      <c r="AA64" s="27">
        <f t="shared" ref="AA64" si="555">AA60+AA61-AA62</f>
        <v>2084.8413426606926</v>
      </c>
      <c r="AB64" s="27">
        <f t="shared" ref="AB64:AD64" si="556">AB60+AB61-AB62</f>
        <v>2511.584378140511</v>
      </c>
      <c r="AC64" s="27">
        <f t="shared" si="556"/>
        <v>3044.9690286777868</v>
      </c>
      <c r="AD64" s="27">
        <f t="shared" si="556"/>
        <v>3612.840889870402</v>
      </c>
      <c r="AE64" s="27">
        <f t="shared" ref="AE64" si="557">AE60+AE61-AE62</f>
        <v>4276.390092614949</v>
      </c>
      <c r="AI64" s="26">
        <f>AI60+AI61-AI62</f>
        <v>0</v>
      </c>
      <c r="AJ64" s="26">
        <f t="shared" ref="AJ64" si="558">AJ60+AJ61-AJ62</f>
        <v>0</v>
      </c>
      <c r="AK64" s="26">
        <f t="shared" ref="AK64:AM64" si="559">AK60+AK61-AK62</f>
        <v>0</v>
      </c>
      <c r="AL64" s="26">
        <f t="shared" si="559"/>
        <v>0</v>
      </c>
      <c r="AM64" s="26">
        <f t="shared" si="559"/>
        <v>0</v>
      </c>
      <c r="AN64" s="26">
        <f t="shared" ref="AN64:AO64" si="560">AN60+AN61-AN62</f>
        <v>0</v>
      </c>
      <c r="AO64" s="26">
        <f t="shared" si="560"/>
        <v>0</v>
      </c>
      <c r="AP64" s="26">
        <f t="shared" ref="AP64:CD64" si="561">AP60+AP61-AP62</f>
        <v>0</v>
      </c>
      <c r="AQ64" s="26">
        <f t="shared" si="561"/>
        <v>0</v>
      </c>
      <c r="AR64" s="26">
        <f t="shared" si="561"/>
        <v>0</v>
      </c>
      <c r="AS64" s="26">
        <f t="shared" si="561"/>
        <v>0</v>
      </c>
      <c r="AT64" s="26">
        <f t="shared" si="561"/>
        <v>0</v>
      </c>
      <c r="AU64" s="26">
        <f t="shared" si="561"/>
        <v>0</v>
      </c>
      <c r="AV64" s="26">
        <f t="shared" si="561"/>
        <v>0</v>
      </c>
      <c r="AW64" s="26">
        <f t="shared" si="561"/>
        <v>0</v>
      </c>
      <c r="AX64" s="26">
        <f t="shared" si="561"/>
        <v>0</v>
      </c>
      <c r="AY64" s="26">
        <f t="shared" si="561"/>
        <v>0</v>
      </c>
      <c r="AZ64" s="26">
        <f t="shared" si="561"/>
        <v>0</v>
      </c>
      <c r="BA64" s="26">
        <f t="shared" si="561"/>
        <v>0</v>
      </c>
      <c r="BB64" s="26">
        <f t="shared" si="561"/>
        <v>0</v>
      </c>
      <c r="BC64" s="26">
        <f t="shared" si="561"/>
        <v>0</v>
      </c>
      <c r="BD64" s="26">
        <f t="shared" si="561"/>
        <v>0</v>
      </c>
      <c r="BE64" s="26">
        <f t="shared" si="561"/>
        <v>0</v>
      </c>
      <c r="BF64" s="26">
        <f t="shared" si="561"/>
        <v>0</v>
      </c>
      <c r="BG64" s="26">
        <f t="shared" si="561"/>
        <v>0</v>
      </c>
      <c r="BH64" s="26">
        <f t="shared" si="561"/>
        <v>0</v>
      </c>
      <c r="BI64" s="26">
        <f t="shared" si="561"/>
        <v>0</v>
      </c>
      <c r="BJ64" s="26">
        <f t="shared" si="561"/>
        <v>0</v>
      </c>
      <c r="BK64" s="26">
        <f t="shared" si="561"/>
        <v>0</v>
      </c>
      <c r="BL64" s="26">
        <f t="shared" si="561"/>
        <v>0</v>
      </c>
      <c r="BM64" s="26">
        <f t="shared" si="561"/>
        <v>0</v>
      </c>
      <c r="BN64" s="26">
        <f t="shared" si="561"/>
        <v>0</v>
      </c>
      <c r="BO64" s="26">
        <f t="shared" si="561"/>
        <v>0</v>
      </c>
      <c r="BP64" s="26">
        <f t="shared" si="561"/>
        <v>0</v>
      </c>
      <c r="BQ64" s="26">
        <f t="shared" si="561"/>
        <v>0</v>
      </c>
      <c r="BR64" s="26">
        <f t="shared" si="561"/>
        <v>0</v>
      </c>
      <c r="BS64" s="26">
        <f t="shared" si="561"/>
        <v>0</v>
      </c>
      <c r="BT64" s="26">
        <f t="shared" si="561"/>
        <v>0</v>
      </c>
      <c r="BU64" s="26">
        <f t="shared" si="561"/>
        <v>0</v>
      </c>
      <c r="BV64" s="26">
        <f t="shared" si="561"/>
        <v>0</v>
      </c>
      <c r="BW64" s="26">
        <f t="shared" si="561"/>
        <v>0</v>
      </c>
      <c r="BX64" s="26">
        <f t="shared" si="561"/>
        <v>0</v>
      </c>
      <c r="BY64" s="26">
        <f t="shared" si="561"/>
        <v>0</v>
      </c>
      <c r="BZ64" s="26">
        <f t="shared" si="561"/>
        <v>0</v>
      </c>
      <c r="CA64" s="26">
        <f t="shared" si="561"/>
        <v>0</v>
      </c>
      <c r="CB64" s="26">
        <f t="shared" si="561"/>
        <v>0</v>
      </c>
      <c r="CC64" s="26">
        <f t="shared" si="561"/>
        <v>0</v>
      </c>
      <c r="CD64" s="26">
        <f t="shared" si="561"/>
        <v>244.39999999999986</v>
      </c>
      <c r="CE64" s="26">
        <f t="shared" ref="CE64:CF64" si="562">CE60+CE61-CE62</f>
        <v>196.10000000000008</v>
      </c>
      <c r="CF64" s="26">
        <f t="shared" si="562"/>
        <v>365.69999999999982</v>
      </c>
      <c r="CG64" s="26">
        <f t="shared" ref="CG64:CH64" si="563">CG60+CG61-CG62</f>
        <v>311.80000000000013</v>
      </c>
      <c r="CH64" s="26">
        <f t="shared" si="563"/>
        <v>345.29999999999995</v>
      </c>
      <c r="CI64" s="26">
        <f t="shared" ref="CI64:CJ64" si="564">CI60+CI61-CI62</f>
        <v>351.99999999999972</v>
      </c>
      <c r="CJ64" s="26">
        <f t="shared" si="564"/>
        <v>478.4000000000002</v>
      </c>
      <c r="CK64" s="26">
        <f t="shared" ref="CK64" si="565">CK60+CK61-CK62</f>
        <v>470.4000000000002</v>
      </c>
      <c r="CL64" s="26">
        <f t="shared" ref="CL64" si="566">CL60+CL61-CL62</f>
        <v>502.19999999999993</v>
      </c>
      <c r="CM64" s="27">
        <f t="shared" ref="CM64:DB64" si="567">CM60+CM61-CM62</f>
        <v>451.9533798100565</v>
      </c>
      <c r="CN64" s="27">
        <f t="shared" si="567"/>
        <v>660.28796285063606</v>
      </c>
      <c r="CO64" s="27">
        <f t="shared" si="567"/>
        <v>534.79594855022822</v>
      </c>
      <c r="CP64" s="27">
        <f t="shared" si="567"/>
        <v>646.16341401675777</v>
      </c>
      <c r="CQ64" s="27">
        <f t="shared" si="567"/>
        <v>540.05716494409955</v>
      </c>
      <c r="CR64" s="27">
        <f t="shared" si="567"/>
        <v>790.56785062942527</v>
      </c>
      <c r="CS64" s="27">
        <f t="shared" si="567"/>
        <v>638.87456872795769</v>
      </c>
      <c r="CT64" s="27">
        <f t="shared" si="567"/>
        <v>781.62062853027942</v>
      </c>
      <c r="CU64" s="27">
        <f t="shared" si="567"/>
        <v>662.18198368103606</v>
      </c>
      <c r="CV64" s="27">
        <f t="shared" si="567"/>
        <v>962.29184773851557</v>
      </c>
      <c r="CW64" s="27">
        <f t="shared" si="567"/>
        <v>767.4916963954928</v>
      </c>
      <c r="CX64" s="27">
        <f t="shared" si="567"/>
        <v>932.23064599310942</v>
      </c>
      <c r="CY64" s="27">
        <f t="shared" si="567"/>
        <v>785.545605066348</v>
      </c>
      <c r="CZ64" s="27">
        <f t="shared" si="567"/>
        <v>1127.5729424154526</v>
      </c>
      <c r="DA64" s="27">
        <f t="shared" si="567"/>
        <v>913.58533504918626</v>
      </c>
      <c r="DB64" s="27">
        <f t="shared" si="567"/>
        <v>1103.3618974341612</v>
      </c>
      <c r="DC64" s="27">
        <f t="shared" ref="DC64:DD64" si="568">DC60+DC61-DC62</f>
        <v>930.10976042323739</v>
      </c>
      <c r="DD64" s="27">
        <f t="shared" si="568"/>
        <v>1329.333099708364</v>
      </c>
      <c r="DE64" s="121"/>
      <c r="DF64" s="26">
        <v>1487.5</v>
      </c>
    </row>
    <row r="65" spans="1:110" s="23" customFormat="1" x14ac:dyDescent="0.2">
      <c r="A65" s="23" t="s">
        <v>21</v>
      </c>
      <c r="B65" s="23">
        <f>'Annual Raw'!C30</f>
        <v>0</v>
      </c>
      <c r="C65" s="23">
        <f>'Annual Raw'!D30</f>
        <v>0</v>
      </c>
      <c r="D65" s="23">
        <f>'Annual Raw'!E30</f>
        <v>0</v>
      </c>
      <c r="E65" s="23">
        <f>'Annual Raw'!F30</f>
        <v>0</v>
      </c>
      <c r="F65" s="23">
        <f>'Annual Raw'!G30</f>
        <v>0</v>
      </c>
      <c r="G65" s="23">
        <f>'Annual Raw'!H30</f>
        <v>0</v>
      </c>
      <c r="H65" s="23">
        <f>'Annual Raw'!I30</f>
        <v>0</v>
      </c>
      <c r="I65" s="23">
        <f>'Annual Raw'!J30</f>
        <v>0</v>
      </c>
      <c r="J65" s="23">
        <f>'Annual Raw'!K30</f>
        <v>0</v>
      </c>
      <c r="K65" s="23">
        <f>'Annual Raw'!L30</f>
        <v>0</v>
      </c>
      <c r="L65" s="23">
        <f>'Annual Raw'!M30</f>
        <v>0</v>
      </c>
      <c r="M65" s="23">
        <f>'Annual Raw'!N30</f>
        <v>0</v>
      </c>
      <c r="N65" s="23">
        <f>'Annual Raw'!O30</f>
        <v>0</v>
      </c>
      <c r="O65" s="23">
        <f>'Annual Raw'!P30</f>
        <v>0</v>
      </c>
      <c r="P65" s="23">
        <f>'Annual Raw'!Q30</f>
        <v>0</v>
      </c>
      <c r="Q65" s="23">
        <f>'Annual Raw'!R30</f>
        <v>0</v>
      </c>
      <c r="R65" s="23">
        <f>'Annual Raw'!S30</f>
        <v>0</v>
      </c>
      <c r="S65" s="23">
        <f>'Annual Raw'!T30</f>
        <v>0</v>
      </c>
      <c r="T65" s="23">
        <f>'Annual Raw'!U30</f>
        <v>0</v>
      </c>
      <c r="U65" s="23">
        <f>'Annual Raw'!V30</f>
        <v>0</v>
      </c>
      <c r="V65" s="23">
        <f>'Annual Raw'!W30</f>
        <v>0</v>
      </c>
      <c r="W65" s="23">
        <f>'Annual Raw'!X30</f>
        <v>0</v>
      </c>
      <c r="X65" s="23">
        <f>'Annual Raw'!Y30</f>
        <v>0</v>
      </c>
      <c r="Y65" s="23">
        <f>'Annual Raw'!Z30</f>
        <v>206.2</v>
      </c>
      <c r="Z65" s="23">
        <f>'Annual Raw'!AA30</f>
        <v>387.4</v>
      </c>
      <c r="AA65" s="76">
        <f>SUM(CK65:CN65)</f>
        <v>513.84145423447137</v>
      </c>
      <c r="AB65" s="76">
        <f>+SUM(CO65:CR65)</f>
        <v>617.2883902226306</v>
      </c>
      <c r="AC65" s="76">
        <f>+SUM(CS65:CV65)</f>
        <v>748.88206656006787</v>
      </c>
      <c r="AD65" s="76">
        <f>+SUM(CW65:CZ65)</f>
        <v>888.51550680510354</v>
      </c>
      <c r="AE65" s="76">
        <f>+SUM(DA65:DD65)</f>
        <v>1051.673032896412</v>
      </c>
      <c r="AI65" s="23">
        <f>'QTR Raw'!C29</f>
        <v>0</v>
      </c>
      <c r="AJ65" s="23">
        <f>'QTR Raw'!D29</f>
        <v>0</v>
      </c>
      <c r="AK65" s="23">
        <f>'QTR Raw'!E29</f>
        <v>0</v>
      </c>
      <c r="AL65" s="23">
        <f>'QTR Raw'!F29</f>
        <v>0</v>
      </c>
      <c r="AM65" s="23">
        <f>'QTR Raw'!G29</f>
        <v>0</v>
      </c>
      <c r="AN65" s="23">
        <f>'QTR Raw'!H29</f>
        <v>0</v>
      </c>
      <c r="AO65" s="23">
        <f>'QTR Raw'!I29</f>
        <v>0</v>
      </c>
      <c r="AP65" s="23">
        <f>'QTR Raw'!J29</f>
        <v>0</v>
      </c>
      <c r="AQ65" s="23">
        <f>'QTR Raw'!K29</f>
        <v>0</v>
      </c>
      <c r="AR65" s="23">
        <f>'QTR Raw'!L29</f>
        <v>0</v>
      </c>
      <c r="AS65" s="23">
        <f>'QTR Raw'!M29</f>
        <v>0</v>
      </c>
      <c r="AT65" s="23">
        <f>'QTR Raw'!N29</f>
        <v>0</v>
      </c>
      <c r="AU65" s="23">
        <f>'QTR Raw'!O29</f>
        <v>0</v>
      </c>
      <c r="AV65" s="23">
        <f>'QTR Raw'!P29</f>
        <v>0</v>
      </c>
      <c r="AW65" s="23">
        <f>'QTR Raw'!Q29</f>
        <v>0</v>
      </c>
      <c r="AX65" s="23">
        <f>'QTR Raw'!R29</f>
        <v>0</v>
      </c>
      <c r="AY65" s="23">
        <f>'QTR Raw'!S29</f>
        <v>0</v>
      </c>
      <c r="AZ65" s="23">
        <f>'QTR Raw'!T29</f>
        <v>0</v>
      </c>
      <c r="BA65" s="23">
        <f>'QTR Raw'!U29</f>
        <v>0</v>
      </c>
      <c r="BB65" s="23">
        <f>'QTR Raw'!V29</f>
        <v>0</v>
      </c>
      <c r="BC65" s="23">
        <f>'QTR Raw'!W29</f>
        <v>0</v>
      </c>
      <c r="BD65" s="23">
        <f>'QTR Raw'!X29</f>
        <v>0</v>
      </c>
      <c r="BE65" s="23">
        <f>'QTR Raw'!Y29</f>
        <v>0</v>
      </c>
      <c r="BF65" s="23">
        <f>'QTR Raw'!Z29</f>
        <v>0</v>
      </c>
      <c r="BG65" s="23">
        <f>'QTR Raw'!AA29</f>
        <v>0</v>
      </c>
      <c r="BH65" s="23">
        <f>'QTR Raw'!AB29</f>
        <v>0</v>
      </c>
      <c r="BI65" s="23">
        <f>'QTR Raw'!AC29</f>
        <v>0</v>
      </c>
      <c r="BJ65" s="23">
        <f>'QTR Raw'!AD29</f>
        <v>0</v>
      </c>
      <c r="BK65" s="23">
        <f>'QTR Raw'!AE29</f>
        <v>0</v>
      </c>
      <c r="BL65" s="23">
        <f>'QTR Raw'!AF29</f>
        <v>0</v>
      </c>
      <c r="BM65" s="23">
        <f>'QTR Raw'!AG29</f>
        <v>0</v>
      </c>
      <c r="BN65" s="23">
        <f>'QTR Raw'!AH29</f>
        <v>0</v>
      </c>
      <c r="BO65" s="23">
        <f>'QTR Raw'!AI29</f>
        <v>0</v>
      </c>
      <c r="BP65" s="23">
        <f>'QTR Raw'!AJ29</f>
        <v>0</v>
      </c>
      <c r="BQ65" s="23">
        <f>'QTR Raw'!AK29</f>
        <v>0</v>
      </c>
      <c r="BR65" s="23">
        <f>'QTR Raw'!AL29</f>
        <v>0</v>
      </c>
      <c r="BS65" s="23">
        <f>'QTR Raw'!AM29</f>
        <v>0</v>
      </c>
      <c r="BT65" s="23">
        <f>'QTR Raw'!AN29</f>
        <v>0</v>
      </c>
      <c r="BU65" s="23">
        <f>'QTR Raw'!AO29</f>
        <v>0</v>
      </c>
      <c r="BV65" s="23">
        <f>'QTR Raw'!AP29</f>
        <v>0</v>
      </c>
      <c r="BW65" s="23">
        <f>'QTR Raw'!AQ29</f>
        <v>0</v>
      </c>
      <c r="BX65" s="23">
        <f>'QTR Raw'!AR29</f>
        <v>0</v>
      </c>
      <c r="BY65" s="23">
        <f>'QTR Raw'!AS29</f>
        <v>0</v>
      </c>
      <c r="BZ65" s="23">
        <f>'QTR Raw'!AT29</f>
        <v>0</v>
      </c>
      <c r="CA65" s="23">
        <f>'QTR Raw'!AU29</f>
        <v>0</v>
      </c>
      <c r="CB65" s="23">
        <f>'QTR Raw'!AV29</f>
        <v>0</v>
      </c>
      <c r="CC65" s="23">
        <f>'QTR Raw'!AW29</f>
        <v>0</v>
      </c>
      <c r="CD65" s="23">
        <f>'QTR Raw'!AX29</f>
        <v>63.9</v>
      </c>
      <c r="CE65" s="23">
        <f>'QTR Raw'!AY29</f>
        <v>50.3</v>
      </c>
      <c r="CF65" s="23">
        <f>'QTR Raw'!AZ29</f>
        <v>92</v>
      </c>
      <c r="CG65" s="23">
        <f>'QTR Raw'!BA29</f>
        <v>80.099999999999994</v>
      </c>
      <c r="CH65" s="23">
        <f>'QTR Raw'!BB29</f>
        <v>99.2</v>
      </c>
      <c r="CI65" s="23">
        <f>'QTR Raw'!BC29</f>
        <v>89.3</v>
      </c>
      <c r="CJ65" s="23">
        <f>'QTR Raw'!BD29</f>
        <v>118.8</v>
      </c>
      <c r="CK65" s="23">
        <f>'QTR Raw'!BE29</f>
        <v>105.6</v>
      </c>
      <c r="CL65" s="23">
        <f>'QTR Raw'!BF29</f>
        <v>127.6</v>
      </c>
      <c r="CM65" s="24">
        <f t="shared" ref="CM65:DB65" si="569">+CM64*CM66</f>
        <v>114.11942147320535</v>
      </c>
      <c r="CN65" s="24">
        <f t="shared" si="569"/>
        <v>166.52203276126605</v>
      </c>
      <c r="CO65" s="24">
        <f t="shared" si="569"/>
        <v>130.14765385103107</v>
      </c>
      <c r="CP65" s="24">
        <f t="shared" si="569"/>
        <v>160.26771983841957</v>
      </c>
      <c r="CQ65" s="24">
        <f t="shared" si="569"/>
        <v>133.14123806116237</v>
      </c>
      <c r="CR65" s="24">
        <f t="shared" si="569"/>
        <v>193.73177847201762</v>
      </c>
      <c r="CS65" s="24">
        <f t="shared" si="569"/>
        <v>156.99941145948986</v>
      </c>
      <c r="CT65" s="24">
        <f t="shared" si="569"/>
        <v>192.54425480519777</v>
      </c>
      <c r="CU65" s="24">
        <f t="shared" si="569"/>
        <v>162.84200619141774</v>
      </c>
      <c r="CV65" s="24">
        <f t="shared" si="569"/>
        <v>236.49639410396256</v>
      </c>
      <c r="CW65" s="24">
        <f t="shared" si="569"/>
        <v>188.75776903593314</v>
      </c>
      <c r="CX65" s="24">
        <f t="shared" si="569"/>
        <v>229.31985784708849</v>
      </c>
      <c r="CY65" s="24">
        <f t="shared" si="569"/>
        <v>193.16813583469039</v>
      </c>
      <c r="CZ65" s="24">
        <f t="shared" si="569"/>
        <v>277.26974408739159</v>
      </c>
      <c r="DA65" s="24">
        <f t="shared" si="569"/>
        <v>224.68131878382368</v>
      </c>
      <c r="DB65" s="24">
        <f t="shared" si="569"/>
        <v>271.35167116145925</v>
      </c>
      <c r="DC65" s="24">
        <f t="shared" ref="DC65:DD65" si="570">+DC64*DC66</f>
        <v>228.7298123845633</v>
      </c>
      <c r="DD65" s="24">
        <f t="shared" si="570"/>
        <v>326.91023056656576</v>
      </c>
      <c r="DE65" s="123"/>
      <c r="DF65" s="23">
        <v>387.4</v>
      </c>
    </row>
    <row r="66" spans="1:110" s="90" customFormat="1" x14ac:dyDescent="0.2">
      <c r="A66" s="90" t="s">
        <v>106</v>
      </c>
      <c r="B66" s="90" t="e">
        <f t="shared" ref="B66:E66" si="571">B65/B64</f>
        <v>#DIV/0!</v>
      </c>
      <c r="C66" s="90" t="e">
        <f t="shared" si="571"/>
        <v>#DIV/0!</v>
      </c>
      <c r="D66" s="90" t="e">
        <f t="shared" si="571"/>
        <v>#DIV/0!</v>
      </c>
      <c r="E66" s="90" t="e">
        <f t="shared" si="571"/>
        <v>#DIV/0!</v>
      </c>
      <c r="F66" s="90" t="e">
        <f t="shared" ref="F66:T66" si="572">F65/F64</f>
        <v>#DIV/0!</v>
      </c>
      <c r="G66" s="90" t="e">
        <f t="shared" si="572"/>
        <v>#DIV/0!</v>
      </c>
      <c r="H66" s="90" t="e">
        <f t="shared" si="572"/>
        <v>#DIV/0!</v>
      </c>
      <c r="I66" s="90" t="e">
        <f t="shared" si="572"/>
        <v>#DIV/0!</v>
      </c>
      <c r="J66" s="90" t="e">
        <f t="shared" si="572"/>
        <v>#DIV/0!</v>
      </c>
      <c r="K66" s="90" t="e">
        <f t="shared" si="572"/>
        <v>#DIV/0!</v>
      </c>
      <c r="L66" s="90" t="e">
        <f t="shared" si="572"/>
        <v>#DIV/0!</v>
      </c>
      <c r="M66" s="90" t="e">
        <f t="shared" si="572"/>
        <v>#DIV/0!</v>
      </c>
      <c r="N66" s="90" t="e">
        <f t="shared" si="572"/>
        <v>#DIV/0!</v>
      </c>
      <c r="O66" s="90" t="e">
        <f t="shared" si="572"/>
        <v>#DIV/0!</v>
      </c>
      <c r="P66" s="90" t="e">
        <f t="shared" si="572"/>
        <v>#DIV/0!</v>
      </c>
      <c r="Q66" s="90" t="e">
        <f t="shared" si="572"/>
        <v>#DIV/0!</v>
      </c>
      <c r="R66" s="90" t="e">
        <f t="shared" si="572"/>
        <v>#DIV/0!</v>
      </c>
      <c r="S66" s="90" t="e">
        <f t="shared" si="572"/>
        <v>#DIV/0!</v>
      </c>
      <c r="T66" s="90" t="e">
        <f t="shared" si="572"/>
        <v>#DIV/0!</v>
      </c>
      <c r="U66" s="90" t="e">
        <f t="shared" ref="U66:Y66" si="573">U65/U64</f>
        <v>#DIV/0!</v>
      </c>
      <c r="V66" s="90" t="e">
        <f t="shared" si="573"/>
        <v>#DIV/0!</v>
      </c>
      <c r="W66" s="90" t="e">
        <f t="shared" si="573"/>
        <v>#DIV/0!</v>
      </c>
      <c r="X66" s="90" t="e">
        <f t="shared" si="573"/>
        <v>#DIV/0!</v>
      </c>
      <c r="Y66" s="90">
        <f t="shared" si="573"/>
        <v>0.25576779955346035</v>
      </c>
      <c r="Z66" s="90">
        <f t="shared" ref="Z66" si="574">Z65/Z64</f>
        <v>0.26043697478991595</v>
      </c>
      <c r="AA66" s="91">
        <f t="shared" ref="AA66:AD66" si="575">AA65/AA64</f>
        <v>0.24646549534493711</v>
      </c>
      <c r="AB66" s="91">
        <f t="shared" si="575"/>
        <v>0.24577648897452103</v>
      </c>
      <c r="AC66" s="91">
        <f t="shared" si="575"/>
        <v>0.24594078281487614</v>
      </c>
      <c r="AD66" s="91">
        <f t="shared" si="575"/>
        <v>0.24593264245217727</v>
      </c>
      <c r="AE66" s="91">
        <f t="shared" ref="AE66" si="576">AE65/AE64</f>
        <v>0.24592542076846163</v>
      </c>
      <c r="AI66" s="90" t="e">
        <f t="shared" ref="AI66" si="577">AI65/AI64</f>
        <v>#DIV/0!</v>
      </c>
      <c r="AJ66" s="90" t="e">
        <f t="shared" ref="AJ66" si="578">AJ65/AJ64</f>
        <v>#DIV/0!</v>
      </c>
      <c r="AK66" s="90" t="e">
        <f t="shared" ref="AK66:AM66" si="579">AK65/AK64</f>
        <v>#DIV/0!</v>
      </c>
      <c r="AL66" s="90" t="e">
        <f t="shared" si="579"/>
        <v>#DIV/0!</v>
      </c>
      <c r="AM66" s="90" t="e">
        <f t="shared" si="579"/>
        <v>#DIV/0!</v>
      </c>
      <c r="AN66" s="90" t="e">
        <f t="shared" ref="AN66:AO66" si="580">AN65/AN64</f>
        <v>#DIV/0!</v>
      </c>
      <c r="AO66" s="90" t="e">
        <f t="shared" si="580"/>
        <v>#DIV/0!</v>
      </c>
      <c r="AP66" s="90" t="e">
        <f t="shared" ref="AP66:CD66" si="581">AP65/AP64</f>
        <v>#DIV/0!</v>
      </c>
      <c r="AQ66" s="90" t="e">
        <f t="shared" si="581"/>
        <v>#DIV/0!</v>
      </c>
      <c r="AR66" s="90" t="e">
        <f t="shared" si="581"/>
        <v>#DIV/0!</v>
      </c>
      <c r="AS66" s="90" t="e">
        <f t="shared" si="581"/>
        <v>#DIV/0!</v>
      </c>
      <c r="AT66" s="90" t="e">
        <f t="shared" si="581"/>
        <v>#DIV/0!</v>
      </c>
      <c r="AU66" s="90" t="e">
        <f t="shared" si="581"/>
        <v>#DIV/0!</v>
      </c>
      <c r="AV66" s="90" t="e">
        <f t="shared" si="581"/>
        <v>#DIV/0!</v>
      </c>
      <c r="AW66" s="90" t="e">
        <f t="shared" si="581"/>
        <v>#DIV/0!</v>
      </c>
      <c r="AX66" s="90" t="e">
        <f t="shared" si="581"/>
        <v>#DIV/0!</v>
      </c>
      <c r="AY66" s="90" t="e">
        <f t="shared" si="581"/>
        <v>#DIV/0!</v>
      </c>
      <c r="AZ66" s="90" t="e">
        <f t="shared" si="581"/>
        <v>#DIV/0!</v>
      </c>
      <c r="BA66" s="90" t="e">
        <f t="shared" si="581"/>
        <v>#DIV/0!</v>
      </c>
      <c r="BB66" s="90" t="e">
        <f t="shared" si="581"/>
        <v>#DIV/0!</v>
      </c>
      <c r="BC66" s="90" t="e">
        <f t="shared" si="581"/>
        <v>#DIV/0!</v>
      </c>
      <c r="BD66" s="90" t="e">
        <f t="shared" si="581"/>
        <v>#DIV/0!</v>
      </c>
      <c r="BE66" s="90" t="e">
        <f t="shared" si="581"/>
        <v>#DIV/0!</v>
      </c>
      <c r="BF66" s="90" t="e">
        <f t="shared" si="581"/>
        <v>#DIV/0!</v>
      </c>
      <c r="BG66" s="90" t="e">
        <f t="shared" si="581"/>
        <v>#DIV/0!</v>
      </c>
      <c r="BH66" s="90" t="e">
        <f t="shared" si="581"/>
        <v>#DIV/0!</v>
      </c>
      <c r="BI66" s="90" t="e">
        <f t="shared" si="581"/>
        <v>#DIV/0!</v>
      </c>
      <c r="BJ66" s="90" t="e">
        <f t="shared" si="581"/>
        <v>#DIV/0!</v>
      </c>
      <c r="BK66" s="90" t="e">
        <f t="shared" si="581"/>
        <v>#DIV/0!</v>
      </c>
      <c r="BL66" s="90" t="e">
        <f t="shared" si="581"/>
        <v>#DIV/0!</v>
      </c>
      <c r="BM66" s="90" t="e">
        <f t="shared" si="581"/>
        <v>#DIV/0!</v>
      </c>
      <c r="BN66" s="90" t="e">
        <f t="shared" si="581"/>
        <v>#DIV/0!</v>
      </c>
      <c r="BO66" s="90" t="e">
        <f t="shared" si="581"/>
        <v>#DIV/0!</v>
      </c>
      <c r="BP66" s="90" t="e">
        <f t="shared" si="581"/>
        <v>#DIV/0!</v>
      </c>
      <c r="BQ66" s="90" t="e">
        <f t="shared" si="581"/>
        <v>#DIV/0!</v>
      </c>
      <c r="BR66" s="90" t="e">
        <f t="shared" si="581"/>
        <v>#DIV/0!</v>
      </c>
      <c r="BS66" s="90" t="e">
        <f t="shared" si="581"/>
        <v>#DIV/0!</v>
      </c>
      <c r="BT66" s="90" t="e">
        <f t="shared" si="581"/>
        <v>#DIV/0!</v>
      </c>
      <c r="BU66" s="90" t="e">
        <f t="shared" si="581"/>
        <v>#DIV/0!</v>
      </c>
      <c r="BV66" s="90" t="e">
        <f t="shared" si="581"/>
        <v>#DIV/0!</v>
      </c>
      <c r="BW66" s="90" t="e">
        <f t="shared" si="581"/>
        <v>#DIV/0!</v>
      </c>
      <c r="BX66" s="90" t="e">
        <f t="shared" si="581"/>
        <v>#DIV/0!</v>
      </c>
      <c r="BY66" s="90" t="e">
        <f t="shared" si="581"/>
        <v>#DIV/0!</v>
      </c>
      <c r="BZ66" s="90" t="e">
        <f t="shared" si="581"/>
        <v>#DIV/0!</v>
      </c>
      <c r="CA66" s="90" t="e">
        <f t="shared" si="581"/>
        <v>#DIV/0!</v>
      </c>
      <c r="CB66" s="90" t="e">
        <f t="shared" si="581"/>
        <v>#DIV/0!</v>
      </c>
      <c r="CC66" s="90" t="e">
        <f t="shared" si="581"/>
        <v>#DIV/0!</v>
      </c>
      <c r="CD66" s="90">
        <f t="shared" si="581"/>
        <v>0.26145662847790524</v>
      </c>
      <c r="CE66" s="90">
        <f t="shared" ref="CE66:CF66" si="582">CE65/CE64</f>
        <v>0.25650178480367147</v>
      </c>
      <c r="CF66" s="90">
        <f t="shared" si="582"/>
        <v>0.25157232704402527</v>
      </c>
      <c r="CG66" s="90">
        <f t="shared" ref="CG66:CH66" si="583">CG65/CG64</f>
        <v>0.2568954457985887</v>
      </c>
      <c r="CH66" s="90">
        <f t="shared" si="583"/>
        <v>0.28728641760787726</v>
      </c>
      <c r="CI66" s="90">
        <f t="shared" ref="CI66:CJ66" si="584">CI65/CI64</f>
        <v>0.25369318181818201</v>
      </c>
      <c r="CJ66" s="90">
        <f t="shared" si="584"/>
        <v>0.2483277591973243</v>
      </c>
      <c r="CK66" s="90">
        <f t="shared" ref="CK66" si="585">CK65/CK64</f>
        <v>0.22448979591836724</v>
      </c>
      <c r="CL66" s="90">
        <f t="shared" ref="CL66" si="586">CL65/CL64</f>
        <v>0.25408203902827559</v>
      </c>
      <c r="CM66" s="91">
        <f t="shared" ref="CM66:CN66" si="587">AVERAGE(CI66:CL66)*1.03</f>
        <v>0.25250263981025339</v>
      </c>
      <c r="CN66" s="91">
        <f t="shared" si="587"/>
        <v>0.2521960752432118</v>
      </c>
      <c r="CO66" s="91">
        <f>AVERAGE(CK66:CN66)*0.99</f>
        <v>0.24335946112502674</v>
      </c>
      <c r="CP66" s="91">
        <f t="shared" ref="CP66:CR66" si="588">AVERAGE(CL66:CO66)*0.99</f>
        <v>0.24802970326367496</v>
      </c>
      <c r="CQ66" s="91">
        <f t="shared" si="588"/>
        <v>0.24653175016193629</v>
      </c>
      <c r="CR66" s="91">
        <f t="shared" si="588"/>
        <v>0.24505395497397783</v>
      </c>
      <c r="CS66" s="91">
        <f t="shared" ref="CS66:DB66" si="589">AVERAGE(CO66:CR66)</f>
        <v>0.24574371738115397</v>
      </c>
      <c r="CT66" s="91">
        <f t="shared" si="589"/>
        <v>0.24633978144518576</v>
      </c>
      <c r="CU66" s="91">
        <f t="shared" si="589"/>
        <v>0.24591730099056347</v>
      </c>
      <c r="CV66" s="91">
        <f t="shared" si="589"/>
        <v>0.24576368869772025</v>
      </c>
      <c r="CW66" s="91">
        <f t="shared" si="589"/>
        <v>0.24594112212865585</v>
      </c>
      <c r="CX66" s="91">
        <f t="shared" si="589"/>
        <v>0.24599047331553131</v>
      </c>
      <c r="CY66" s="91">
        <f t="shared" si="589"/>
        <v>0.24590314628311771</v>
      </c>
      <c r="CZ66" s="91">
        <f t="shared" si="589"/>
        <v>0.24589960760625626</v>
      </c>
      <c r="DA66" s="91">
        <f t="shared" si="589"/>
        <v>0.2459335873333903</v>
      </c>
      <c r="DB66" s="91">
        <f t="shared" si="589"/>
        <v>0.24593170363457389</v>
      </c>
      <c r="DC66" s="91">
        <f t="shared" ref="DC66" si="590">AVERAGE(CY66:DB66)</f>
        <v>0.24591701121433457</v>
      </c>
      <c r="DD66" s="91">
        <f t="shared" ref="DD66" si="591">AVERAGE(CZ66:DC66)</f>
        <v>0.24592047744713874</v>
      </c>
      <c r="DE66" s="127"/>
      <c r="DF66" s="90">
        <v>0.26043697478991595</v>
      </c>
    </row>
    <row r="67" spans="1:110" s="26" customFormat="1" x14ac:dyDescent="0.2">
      <c r="A67" s="26" t="s">
        <v>22</v>
      </c>
      <c r="B67" s="26">
        <f t="shared" ref="B67:E67" si="592">B64-B65</f>
        <v>0</v>
      </c>
      <c r="C67" s="26">
        <f t="shared" si="592"/>
        <v>0</v>
      </c>
      <c r="D67" s="26">
        <f t="shared" si="592"/>
        <v>0</v>
      </c>
      <c r="E67" s="26">
        <f t="shared" si="592"/>
        <v>0</v>
      </c>
      <c r="F67" s="26">
        <f t="shared" ref="F67:T67" si="593">F64-F65</f>
        <v>0</v>
      </c>
      <c r="G67" s="26">
        <f t="shared" si="593"/>
        <v>0</v>
      </c>
      <c r="H67" s="26">
        <f t="shared" si="593"/>
        <v>0</v>
      </c>
      <c r="I67" s="26">
        <f t="shared" si="593"/>
        <v>0</v>
      </c>
      <c r="J67" s="26">
        <f t="shared" si="593"/>
        <v>0</v>
      </c>
      <c r="K67" s="26">
        <f t="shared" si="593"/>
        <v>0</v>
      </c>
      <c r="L67" s="26">
        <f t="shared" si="593"/>
        <v>0</v>
      </c>
      <c r="M67" s="26">
        <f t="shared" si="593"/>
        <v>0</v>
      </c>
      <c r="N67" s="26">
        <f t="shared" si="593"/>
        <v>0</v>
      </c>
      <c r="O67" s="26">
        <f t="shared" si="593"/>
        <v>0</v>
      </c>
      <c r="P67" s="26">
        <f t="shared" si="593"/>
        <v>0</v>
      </c>
      <c r="Q67" s="26">
        <f t="shared" si="593"/>
        <v>0</v>
      </c>
      <c r="R67" s="26">
        <f t="shared" si="593"/>
        <v>0</v>
      </c>
      <c r="S67" s="26">
        <f t="shared" si="593"/>
        <v>0</v>
      </c>
      <c r="T67" s="26">
        <f t="shared" si="593"/>
        <v>0</v>
      </c>
      <c r="U67" s="26">
        <f t="shared" ref="U67:Y67" si="594">U64-U65</f>
        <v>0</v>
      </c>
      <c r="V67" s="26">
        <f t="shared" si="594"/>
        <v>0</v>
      </c>
      <c r="W67" s="26">
        <f t="shared" si="594"/>
        <v>0</v>
      </c>
      <c r="X67" s="26">
        <f t="shared" si="594"/>
        <v>0</v>
      </c>
      <c r="Y67" s="26">
        <f t="shared" si="594"/>
        <v>600.00000000000091</v>
      </c>
      <c r="Z67" s="26">
        <f t="shared" ref="Z67" si="595">Z64-Z65</f>
        <v>1100.0999999999999</v>
      </c>
      <c r="AA67" s="27">
        <f t="shared" ref="AA67:AD67" si="596">AA64-AA65</f>
        <v>1570.9998884262213</v>
      </c>
      <c r="AB67" s="27">
        <f t="shared" si="596"/>
        <v>1894.2959879178804</v>
      </c>
      <c r="AC67" s="27">
        <f t="shared" si="596"/>
        <v>2296.0869621177189</v>
      </c>
      <c r="AD67" s="27">
        <f t="shared" si="596"/>
        <v>2724.3253830652984</v>
      </c>
      <c r="AE67" s="27">
        <f t="shared" ref="AE67" si="597">AE64-AE65</f>
        <v>3224.7170597185368</v>
      </c>
      <c r="AI67" s="26">
        <f>AI64-AI65</f>
        <v>0</v>
      </c>
      <c r="AJ67" s="26">
        <f t="shared" ref="AJ67" si="598">AJ64-AJ65</f>
        <v>0</v>
      </c>
      <c r="AK67" s="26">
        <f t="shared" ref="AK67:AM67" si="599">AK64-AK65</f>
        <v>0</v>
      </c>
      <c r="AL67" s="26">
        <f t="shared" si="599"/>
        <v>0</v>
      </c>
      <c r="AM67" s="26">
        <f t="shared" si="599"/>
        <v>0</v>
      </c>
      <c r="AN67" s="26">
        <f t="shared" ref="AN67:AO67" si="600">AN64-AN65</f>
        <v>0</v>
      </c>
      <c r="AO67" s="26">
        <f t="shared" si="600"/>
        <v>0</v>
      </c>
      <c r="AP67" s="26">
        <f t="shared" ref="AP67:CD67" si="601">AP64-AP65</f>
        <v>0</v>
      </c>
      <c r="AQ67" s="26">
        <f t="shared" si="601"/>
        <v>0</v>
      </c>
      <c r="AR67" s="26">
        <f t="shared" si="601"/>
        <v>0</v>
      </c>
      <c r="AS67" s="26">
        <f t="shared" si="601"/>
        <v>0</v>
      </c>
      <c r="AT67" s="26">
        <f t="shared" si="601"/>
        <v>0</v>
      </c>
      <c r="AU67" s="26">
        <f t="shared" si="601"/>
        <v>0</v>
      </c>
      <c r="AV67" s="26">
        <f t="shared" si="601"/>
        <v>0</v>
      </c>
      <c r="AW67" s="26">
        <f t="shared" si="601"/>
        <v>0</v>
      </c>
      <c r="AX67" s="26">
        <f t="shared" si="601"/>
        <v>0</v>
      </c>
      <c r="AY67" s="26">
        <f t="shared" si="601"/>
        <v>0</v>
      </c>
      <c r="AZ67" s="26">
        <f t="shared" si="601"/>
        <v>0</v>
      </c>
      <c r="BA67" s="26">
        <f t="shared" si="601"/>
        <v>0</v>
      </c>
      <c r="BB67" s="26">
        <f t="shared" si="601"/>
        <v>0</v>
      </c>
      <c r="BC67" s="26">
        <f t="shared" si="601"/>
        <v>0</v>
      </c>
      <c r="BD67" s="26">
        <f t="shared" si="601"/>
        <v>0</v>
      </c>
      <c r="BE67" s="26">
        <f t="shared" si="601"/>
        <v>0</v>
      </c>
      <c r="BF67" s="26">
        <f t="shared" si="601"/>
        <v>0</v>
      </c>
      <c r="BG67" s="26">
        <f t="shared" si="601"/>
        <v>0</v>
      </c>
      <c r="BH67" s="26">
        <f t="shared" si="601"/>
        <v>0</v>
      </c>
      <c r="BI67" s="26">
        <f t="shared" si="601"/>
        <v>0</v>
      </c>
      <c r="BJ67" s="26">
        <f t="shared" si="601"/>
        <v>0</v>
      </c>
      <c r="BK67" s="26">
        <f t="shared" si="601"/>
        <v>0</v>
      </c>
      <c r="BL67" s="26">
        <f t="shared" si="601"/>
        <v>0</v>
      </c>
      <c r="BM67" s="26">
        <f t="shared" si="601"/>
        <v>0</v>
      </c>
      <c r="BN67" s="26">
        <f t="shared" si="601"/>
        <v>0</v>
      </c>
      <c r="BO67" s="26">
        <f t="shared" si="601"/>
        <v>0</v>
      </c>
      <c r="BP67" s="26">
        <f t="shared" si="601"/>
        <v>0</v>
      </c>
      <c r="BQ67" s="26">
        <f t="shared" si="601"/>
        <v>0</v>
      </c>
      <c r="BR67" s="26">
        <f t="shared" si="601"/>
        <v>0</v>
      </c>
      <c r="BS67" s="26">
        <f t="shared" si="601"/>
        <v>0</v>
      </c>
      <c r="BT67" s="26">
        <f t="shared" si="601"/>
        <v>0</v>
      </c>
      <c r="BU67" s="26">
        <f t="shared" si="601"/>
        <v>0</v>
      </c>
      <c r="BV67" s="26">
        <f t="shared" si="601"/>
        <v>0</v>
      </c>
      <c r="BW67" s="26">
        <f t="shared" si="601"/>
        <v>0</v>
      </c>
      <c r="BX67" s="26">
        <f t="shared" si="601"/>
        <v>0</v>
      </c>
      <c r="BY67" s="26">
        <f t="shared" si="601"/>
        <v>0</v>
      </c>
      <c r="BZ67" s="26">
        <f t="shared" si="601"/>
        <v>0</v>
      </c>
      <c r="CA67" s="26">
        <f t="shared" si="601"/>
        <v>0</v>
      </c>
      <c r="CB67" s="26">
        <f t="shared" si="601"/>
        <v>0</v>
      </c>
      <c r="CC67" s="26">
        <f t="shared" si="601"/>
        <v>0</v>
      </c>
      <c r="CD67" s="26">
        <f t="shared" si="601"/>
        <v>180.49999999999986</v>
      </c>
      <c r="CE67" s="26">
        <f t="shared" ref="CE67:CF67" si="602">CE64-CE65</f>
        <v>145.80000000000007</v>
      </c>
      <c r="CF67" s="26">
        <f t="shared" si="602"/>
        <v>273.69999999999982</v>
      </c>
      <c r="CG67" s="26">
        <f t="shared" ref="CG67:CH67" si="603">CG64-CG65</f>
        <v>231.70000000000013</v>
      </c>
      <c r="CH67" s="26">
        <f t="shared" si="603"/>
        <v>246.09999999999997</v>
      </c>
      <c r="CI67" s="26">
        <f t="shared" ref="CI67:CJ67" si="604">CI64-CI65</f>
        <v>262.6999999999997</v>
      </c>
      <c r="CJ67" s="26">
        <f t="shared" si="604"/>
        <v>359.60000000000019</v>
      </c>
      <c r="CK67" s="26">
        <f t="shared" ref="CK67" si="605">CK64-CK65</f>
        <v>364.80000000000018</v>
      </c>
      <c r="CL67" s="26">
        <f t="shared" ref="CL67" si="606">CL64-CL65</f>
        <v>374.59999999999991</v>
      </c>
      <c r="CM67" s="27">
        <f t="shared" ref="CM67:DB67" si="607">CM64-CM65</f>
        <v>337.83395833685114</v>
      </c>
      <c r="CN67" s="27">
        <f t="shared" si="607"/>
        <v>493.76593008937004</v>
      </c>
      <c r="CO67" s="27">
        <f t="shared" si="607"/>
        <v>404.64829469919715</v>
      </c>
      <c r="CP67" s="27">
        <f t="shared" si="607"/>
        <v>485.8956941783382</v>
      </c>
      <c r="CQ67" s="27">
        <f t="shared" si="607"/>
        <v>406.91592688293719</v>
      </c>
      <c r="CR67" s="27">
        <f t="shared" si="607"/>
        <v>596.83607215740767</v>
      </c>
      <c r="CS67" s="27">
        <f t="shared" si="607"/>
        <v>481.87515726846783</v>
      </c>
      <c r="CT67" s="27">
        <f t="shared" si="607"/>
        <v>589.07637372508168</v>
      </c>
      <c r="CU67" s="27">
        <f t="shared" si="607"/>
        <v>499.33997748961832</v>
      </c>
      <c r="CV67" s="27">
        <f t="shared" si="607"/>
        <v>725.79545363455304</v>
      </c>
      <c r="CW67" s="27">
        <f t="shared" si="607"/>
        <v>578.73392735955963</v>
      </c>
      <c r="CX67" s="27">
        <f t="shared" si="607"/>
        <v>702.91078814602088</v>
      </c>
      <c r="CY67" s="27">
        <f t="shared" si="607"/>
        <v>592.37746923165764</v>
      </c>
      <c r="CZ67" s="27">
        <f t="shared" si="607"/>
        <v>850.30319832806106</v>
      </c>
      <c r="DA67" s="27">
        <f t="shared" si="607"/>
        <v>688.90401626536254</v>
      </c>
      <c r="DB67" s="27">
        <f t="shared" si="607"/>
        <v>832.01022627270186</v>
      </c>
      <c r="DC67" s="27">
        <f t="shared" ref="DC67:DD67" si="608">DC64-DC65</f>
        <v>701.37994803867412</v>
      </c>
      <c r="DD67" s="27">
        <f t="shared" si="608"/>
        <v>1002.4228691417982</v>
      </c>
      <c r="DE67" s="121"/>
      <c r="DF67" s="26">
        <v>1100.0999999999999</v>
      </c>
    </row>
    <row r="68" spans="1:110" s="45" customFormat="1" x14ac:dyDescent="0.2">
      <c r="A68" s="45" t="s">
        <v>107</v>
      </c>
      <c r="B68" s="45" t="e">
        <f t="shared" ref="B68:E68" si="609">+B67/B36</f>
        <v>#DIV/0!</v>
      </c>
      <c r="C68" s="45" t="e">
        <f t="shared" si="609"/>
        <v>#DIV/0!</v>
      </c>
      <c r="D68" s="45" t="e">
        <f t="shared" si="609"/>
        <v>#DIV/0!</v>
      </c>
      <c r="E68" s="45" t="e">
        <f t="shared" si="609"/>
        <v>#DIV/0!</v>
      </c>
      <c r="F68" s="45" t="e">
        <f t="shared" ref="F68:AE68" si="610">+F67/F36</f>
        <v>#DIV/0!</v>
      </c>
      <c r="G68" s="45" t="e">
        <f t="shared" si="610"/>
        <v>#DIV/0!</v>
      </c>
      <c r="H68" s="45" t="e">
        <f t="shared" si="610"/>
        <v>#DIV/0!</v>
      </c>
      <c r="I68" s="45" t="e">
        <f t="shared" si="610"/>
        <v>#DIV/0!</v>
      </c>
      <c r="J68" s="45" t="e">
        <f t="shared" si="610"/>
        <v>#DIV/0!</v>
      </c>
      <c r="K68" s="45" t="e">
        <f t="shared" si="610"/>
        <v>#DIV/0!</v>
      </c>
      <c r="L68" s="45" t="e">
        <f t="shared" si="610"/>
        <v>#DIV/0!</v>
      </c>
      <c r="M68" s="45" t="e">
        <f t="shared" si="610"/>
        <v>#DIV/0!</v>
      </c>
      <c r="N68" s="45" t="e">
        <f t="shared" si="610"/>
        <v>#DIV/0!</v>
      </c>
      <c r="O68" s="45" t="e">
        <f t="shared" si="610"/>
        <v>#DIV/0!</v>
      </c>
      <c r="P68" s="45" t="e">
        <f t="shared" si="610"/>
        <v>#DIV/0!</v>
      </c>
      <c r="Q68" s="45" t="e">
        <f t="shared" si="610"/>
        <v>#DIV/0!</v>
      </c>
      <c r="R68" s="45" t="e">
        <f t="shared" si="610"/>
        <v>#DIV/0!</v>
      </c>
      <c r="S68" s="45" t="e">
        <f t="shared" si="610"/>
        <v>#DIV/0!</v>
      </c>
      <c r="T68" s="45" t="e">
        <f t="shared" si="610"/>
        <v>#DIV/0!</v>
      </c>
      <c r="U68" s="45" t="e">
        <f t="shared" si="610"/>
        <v>#DIV/0!</v>
      </c>
      <c r="V68" s="45" t="e">
        <f t="shared" si="610"/>
        <v>#DIV/0!</v>
      </c>
      <c r="W68" s="45" t="e">
        <f t="shared" si="610"/>
        <v>#DIV/0!</v>
      </c>
      <c r="X68" s="45" t="e">
        <f t="shared" si="610"/>
        <v>#DIV/0!</v>
      </c>
      <c r="Y68" s="45">
        <f t="shared" si="610"/>
        <v>0.12606101353054897</v>
      </c>
      <c r="Z68" s="45">
        <f t="shared" ref="Z68" si="611">+Z67/Z36</f>
        <v>0.14055732300969756</v>
      </c>
      <c r="AA68" s="48">
        <f t="shared" si="610"/>
        <v>0.15654506809653082</v>
      </c>
      <c r="AB68" s="48">
        <f t="shared" si="610"/>
        <v>0.15922149741090691</v>
      </c>
      <c r="AC68" s="48">
        <f t="shared" si="610"/>
        <v>0.16434521716933295</v>
      </c>
      <c r="AD68" s="48">
        <f t="shared" si="610"/>
        <v>0.16636878159463145</v>
      </c>
      <c r="AE68" s="48">
        <f t="shared" si="610"/>
        <v>0.16803400539874577</v>
      </c>
      <c r="AI68" s="45" t="e">
        <f t="shared" ref="AI68:BN68" si="612">+AI67/AI36</f>
        <v>#DIV/0!</v>
      </c>
      <c r="AJ68" s="45" t="e">
        <f t="shared" si="612"/>
        <v>#DIV/0!</v>
      </c>
      <c r="AK68" s="45" t="e">
        <f t="shared" si="612"/>
        <v>#DIV/0!</v>
      </c>
      <c r="AL68" s="45" t="e">
        <f t="shared" si="612"/>
        <v>#DIV/0!</v>
      </c>
      <c r="AM68" s="45" t="e">
        <f t="shared" si="612"/>
        <v>#DIV/0!</v>
      </c>
      <c r="AN68" s="45" t="e">
        <f t="shared" si="612"/>
        <v>#DIV/0!</v>
      </c>
      <c r="AO68" s="45" t="e">
        <f t="shared" si="612"/>
        <v>#DIV/0!</v>
      </c>
      <c r="AP68" s="45" t="e">
        <f t="shared" si="612"/>
        <v>#DIV/0!</v>
      </c>
      <c r="AQ68" s="45" t="e">
        <f t="shared" si="612"/>
        <v>#DIV/0!</v>
      </c>
      <c r="AR68" s="45" t="e">
        <f t="shared" si="612"/>
        <v>#DIV/0!</v>
      </c>
      <c r="AS68" s="45" t="e">
        <f t="shared" si="612"/>
        <v>#DIV/0!</v>
      </c>
      <c r="AT68" s="45" t="e">
        <f t="shared" si="612"/>
        <v>#DIV/0!</v>
      </c>
      <c r="AU68" s="45" t="e">
        <f t="shared" si="612"/>
        <v>#DIV/0!</v>
      </c>
      <c r="AV68" s="45" t="e">
        <f t="shared" si="612"/>
        <v>#DIV/0!</v>
      </c>
      <c r="AW68" s="45" t="e">
        <f t="shared" si="612"/>
        <v>#DIV/0!</v>
      </c>
      <c r="AX68" s="45" t="e">
        <f t="shared" si="612"/>
        <v>#DIV/0!</v>
      </c>
      <c r="AY68" s="45" t="e">
        <f t="shared" si="612"/>
        <v>#DIV/0!</v>
      </c>
      <c r="AZ68" s="45" t="e">
        <f t="shared" si="612"/>
        <v>#DIV/0!</v>
      </c>
      <c r="BA68" s="45" t="e">
        <f t="shared" si="612"/>
        <v>#DIV/0!</v>
      </c>
      <c r="BB68" s="45" t="e">
        <f t="shared" si="612"/>
        <v>#DIV/0!</v>
      </c>
      <c r="BC68" s="45" t="e">
        <f t="shared" si="612"/>
        <v>#DIV/0!</v>
      </c>
      <c r="BD68" s="45" t="e">
        <f t="shared" si="612"/>
        <v>#DIV/0!</v>
      </c>
      <c r="BE68" s="45" t="e">
        <f t="shared" si="612"/>
        <v>#DIV/0!</v>
      </c>
      <c r="BF68" s="45" t="e">
        <f t="shared" si="612"/>
        <v>#DIV/0!</v>
      </c>
      <c r="BG68" s="45" t="e">
        <f t="shared" si="612"/>
        <v>#DIV/0!</v>
      </c>
      <c r="BH68" s="45" t="e">
        <f t="shared" si="612"/>
        <v>#DIV/0!</v>
      </c>
      <c r="BI68" s="45" t="e">
        <f t="shared" si="612"/>
        <v>#DIV/0!</v>
      </c>
      <c r="BJ68" s="45" t="e">
        <f t="shared" si="612"/>
        <v>#DIV/0!</v>
      </c>
      <c r="BK68" s="45" t="e">
        <f t="shared" si="612"/>
        <v>#DIV/0!</v>
      </c>
      <c r="BL68" s="45" t="e">
        <f t="shared" si="612"/>
        <v>#DIV/0!</v>
      </c>
      <c r="BM68" s="45" t="e">
        <f t="shared" si="612"/>
        <v>#DIV/0!</v>
      </c>
      <c r="BN68" s="45" t="e">
        <f t="shared" si="612"/>
        <v>#DIV/0!</v>
      </c>
      <c r="BO68" s="45" t="e">
        <f t="shared" ref="BO68:CT68" si="613">+BO67/BO36</f>
        <v>#DIV/0!</v>
      </c>
      <c r="BP68" s="45" t="e">
        <f t="shared" si="613"/>
        <v>#DIV/0!</v>
      </c>
      <c r="BQ68" s="45" t="e">
        <f t="shared" si="613"/>
        <v>#DIV/0!</v>
      </c>
      <c r="BR68" s="45" t="e">
        <f t="shared" si="613"/>
        <v>#DIV/0!</v>
      </c>
      <c r="BS68" s="45" t="e">
        <f t="shared" si="613"/>
        <v>#DIV/0!</v>
      </c>
      <c r="BT68" s="45" t="e">
        <f t="shared" si="613"/>
        <v>#DIV/0!</v>
      </c>
      <c r="BU68" s="45" t="e">
        <f t="shared" si="613"/>
        <v>#DIV/0!</v>
      </c>
      <c r="BV68" s="45" t="e">
        <f t="shared" si="613"/>
        <v>#DIV/0!</v>
      </c>
      <c r="BW68" s="45" t="e">
        <f t="shared" si="613"/>
        <v>#DIV/0!</v>
      </c>
      <c r="BX68" s="45" t="e">
        <f t="shared" si="613"/>
        <v>#DIV/0!</v>
      </c>
      <c r="BY68" s="45" t="e">
        <f t="shared" si="613"/>
        <v>#DIV/0!</v>
      </c>
      <c r="BZ68" s="45" t="e">
        <f t="shared" si="613"/>
        <v>#DIV/0!</v>
      </c>
      <c r="CA68" s="45" t="e">
        <f t="shared" si="613"/>
        <v>#DIV/0!</v>
      </c>
      <c r="CB68" s="45" t="e">
        <f t="shared" si="613"/>
        <v>#DIV/0!</v>
      </c>
      <c r="CC68" s="45" t="e">
        <f t="shared" si="613"/>
        <v>#DIV/0!</v>
      </c>
      <c r="CD68" s="45">
        <f t="shared" si="613"/>
        <v>0.15084405816480015</v>
      </c>
      <c r="CE68" s="45">
        <f t="shared" si="613"/>
        <v>9.8234739253469927E-2</v>
      </c>
      <c r="CF68" s="45">
        <f t="shared" si="613"/>
        <v>0.13166249759476611</v>
      </c>
      <c r="CG68" s="45">
        <f t="shared" si="613"/>
        <v>0.15274573142593456</v>
      </c>
      <c r="CH68" s="45">
        <f t="shared" si="613"/>
        <v>0.13093907954243147</v>
      </c>
      <c r="CI68" s="45">
        <f t="shared" ref="CI68:CJ68" si="614">+CI67/CI36</f>
        <v>0.14720385520564816</v>
      </c>
      <c r="CJ68" s="45">
        <f t="shared" si="614"/>
        <v>0.13591866046792916</v>
      </c>
      <c r="CK68" s="45">
        <f t="shared" ref="CK68" si="615">+CK67/CK36</f>
        <v>0.19090480925218492</v>
      </c>
      <c r="CL68" s="45">
        <f t="shared" ref="CL68" si="616">+CL67/CL36</f>
        <v>0.1564679837934923</v>
      </c>
      <c r="CM68" s="48">
        <f t="shared" si="613"/>
        <v>0.14595103928893816</v>
      </c>
      <c r="CN68" s="48">
        <f t="shared" si="613"/>
        <v>0.14455604141145542</v>
      </c>
      <c r="CO68" s="48">
        <f t="shared" si="613"/>
        <v>0.16353460648382151</v>
      </c>
      <c r="CP68" s="48">
        <f t="shared" si="613"/>
        <v>0.15744641823872055</v>
      </c>
      <c r="CQ68" s="48">
        <f t="shared" si="613"/>
        <v>0.15808769725958469</v>
      </c>
      <c r="CR68" s="48">
        <f t="shared" si="613"/>
        <v>0.15861666244806341</v>
      </c>
      <c r="CS68" s="48">
        <f t="shared" si="613"/>
        <v>0.1634702971602765</v>
      </c>
      <c r="CT68" s="48">
        <f t="shared" si="613"/>
        <v>0.16232595588291768</v>
      </c>
      <c r="CU68" s="48">
        <f t="shared" ref="CU68:DB68" si="617">+CU67/CU36</f>
        <v>0.16678189203398483</v>
      </c>
      <c r="CV68" s="48">
        <f t="shared" si="617"/>
        <v>0.16493870638527264</v>
      </c>
      <c r="CW68" s="48">
        <f t="shared" si="617"/>
        <v>0.16677818643043285</v>
      </c>
      <c r="CX68" s="48">
        <f t="shared" si="617"/>
        <v>0.16539544490830957</v>
      </c>
      <c r="CY68" s="48">
        <f t="shared" si="617"/>
        <v>0.16906171686138594</v>
      </c>
      <c r="CZ68" s="48">
        <f t="shared" si="617"/>
        <v>0.16506428484191238</v>
      </c>
      <c r="DA68" s="48">
        <f t="shared" si="617"/>
        <v>0.16903817814692629</v>
      </c>
      <c r="DB68" s="48">
        <f t="shared" si="617"/>
        <v>0.16713670006725956</v>
      </c>
      <c r="DC68" s="48">
        <f t="shared" ref="DC68:DD68" si="618">+DC67/DC36</f>
        <v>0.17081185249503725</v>
      </c>
      <c r="DD68" s="48">
        <f t="shared" si="618"/>
        <v>0.16620488066178074</v>
      </c>
      <c r="DE68" s="129"/>
      <c r="DF68" s="45">
        <v>0.14055732300969756</v>
      </c>
    </row>
    <row r="69" spans="1:110" s="39" customFormat="1" x14ac:dyDescent="0.2">
      <c r="A69" s="39" t="s">
        <v>451</v>
      </c>
      <c r="C69" s="39" t="e">
        <f t="shared" ref="C69:E69" si="619">+IF(B67&lt;0,1-C67/B67,C67/B67-1)</f>
        <v>#DIV/0!</v>
      </c>
      <c r="D69" s="39" t="e">
        <f t="shared" si="619"/>
        <v>#DIV/0!</v>
      </c>
      <c r="E69" s="39" t="e">
        <f t="shared" si="619"/>
        <v>#DIV/0!</v>
      </c>
      <c r="F69" s="39" t="e">
        <f t="shared" ref="F69:AE69" si="620">+IF(E67&lt;0,1-F67/E67,F67/E67-1)</f>
        <v>#DIV/0!</v>
      </c>
      <c r="G69" s="39" t="e">
        <f t="shared" si="620"/>
        <v>#DIV/0!</v>
      </c>
      <c r="H69" s="39" t="e">
        <f t="shared" si="620"/>
        <v>#DIV/0!</v>
      </c>
      <c r="I69" s="39" t="e">
        <f t="shared" si="620"/>
        <v>#DIV/0!</v>
      </c>
      <c r="J69" s="39" t="e">
        <f t="shared" si="620"/>
        <v>#DIV/0!</v>
      </c>
      <c r="K69" s="39" t="e">
        <f t="shared" si="620"/>
        <v>#DIV/0!</v>
      </c>
      <c r="L69" s="39" t="e">
        <f t="shared" si="620"/>
        <v>#DIV/0!</v>
      </c>
      <c r="M69" s="39" t="e">
        <f t="shared" si="620"/>
        <v>#DIV/0!</v>
      </c>
      <c r="N69" s="39" t="e">
        <f t="shared" si="620"/>
        <v>#DIV/0!</v>
      </c>
      <c r="O69" s="39" t="e">
        <f t="shared" si="620"/>
        <v>#DIV/0!</v>
      </c>
      <c r="P69" s="39" t="e">
        <f t="shared" si="620"/>
        <v>#DIV/0!</v>
      </c>
      <c r="Q69" s="39" t="e">
        <f t="shared" si="620"/>
        <v>#DIV/0!</v>
      </c>
      <c r="R69" s="39" t="e">
        <f t="shared" si="620"/>
        <v>#DIV/0!</v>
      </c>
      <c r="S69" s="39" t="e">
        <f t="shared" si="620"/>
        <v>#DIV/0!</v>
      </c>
      <c r="T69" s="39" t="e">
        <f t="shared" si="620"/>
        <v>#DIV/0!</v>
      </c>
      <c r="U69" s="39" t="e">
        <f t="shared" si="620"/>
        <v>#DIV/0!</v>
      </c>
      <c r="V69" s="39" t="e">
        <f t="shared" si="620"/>
        <v>#DIV/0!</v>
      </c>
      <c r="W69" s="39" t="e">
        <f t="shared" si="620"/>
        <v>#DIV/0!</v>
      </c>
      <c r="X69" s="39" t="e">
        <f t="shared" si="620"/>
        <v>#DIV/0!</v>
      </c>
      <c r="Y69" s="39" t="e">
        <f t="shared" si="620"/>
        <v>#DIV/0!</v>
      </c>
      <c r="Z69" s="39">
        <f t="shared" si="620"/>
        <v>0.83349999999999702</v>
      </c>
      <c r="AA69" s="40">
        <f t="shared" si="620"/>
        <v>0.42805189385166931</v>
      </c>
      <c r="AB69" s="40">
        <f t="shared" si="620"/>
        <v>0.20579002065717966</v>
      </c>
      <c r="AC69" s="40">
        <f t="shared" si="620"/>
        <v>0.21210569877280272</v>
      </c>
      <c r="AD69" s="40">
        <f t="shared" si="620"/>
        <v>0.18650792762335455</v>
      </c>
      <c r="AE69" s="40">
        <f t="shared" si="620"/>
        <v>0.18367544485094456</v>
      </c>
      <c r="AM69" s="39" t="e">
        <f>+IF(AI67&lt;0,1-AM67/AI67,AM67/AI67-1)</f>
        <v>#DIV/0!</v>
      </c>
      <c r="AN69" s="39" t="e">
        <f t="shared" ref="AN69" si="621">+IF(AJ67&lt;0,1-AN67/AJ67,AN67/AJ67-1)</f>
        <v>#DIV/0!</v>
      </c>
      <c r="AO69" s="39" t="e">
        <f t="shared" ref="AO69" si="622">+IF(AK67&lt;0,1-AO67/AK67,AO67/AK67-1)</f>
        <v>#DIV/0!</v>
      </c>
      <c r="AP69" s="39" t="e">
        <f t="shared" ref="AP69" si="623">+IF(AL67&lt;0,1-AP67/AL67,AP67/AL67-1)</f>
        <v>#DIV/0!</v>
      </c>
      <c r="AQ69" s="39" t="e">
        <f t="shared" ref="AQ69" si="624">+IF(AM67&lt;0,1-AQ67/AM67,AQ67/AM67-1)</f>
        <v>#DIV/0!</v>
      </c>
      <c r="AR69" s="39" t="e">
        <f t="shared" ref="AR69" si="625">+IF(AN67&lt;0,1-AR67/AN67,AR67/AN67-1)</f>
        <v>#DIV/0!</v>
      </c>
      <c r="AS69" s="39" t="e">
        <f t="shared" ref="AS69" si="626">+IF(AO67&lt;0,1-AS67/AO67,AS67/AO67-1)</f>
        <v>#DIV/0!</v>
      </c>
      <c r="AT69" s="39" t="e">
        <f t="shared" ref="AT69" si="627">+IF(AP67&lt;0,1-AT67/AP67,AT67/AP67-1)</f>
        <v>#DIV/0!</v>
      </c>
      <c r="AU69" s="39" t="e">
        <f t="shared" ref="AU69" si="628">+IF(AQ67&lt;0,1-AU67/AQ67,AU67/AQ67-1)</f>
        <v>#DIV/0!</v>
      </c>
      <c r="AV69" s="39" t="e">
        <f t="shared" ref="AV69" si="629">+IF(AR67&lt;0,1-AV67/AR67,AV67/AR67-1)</f>
        <v>#DIV/0!</v>
      </c>
      <c r="AW69" s="39" t="e">
        <f t="shared" ref="AW69" si="630">+IF(AS67&lt;0,1-AW67/AS67,AW67/AS67-1)</f>
        <v>#DIV/0!</v>
      </c>
      <c r="AX69" s="39" t="e">
        <f t="shared" ref="AX69" si="631">+IF(AT67&lt;0,1-AX67/AT67,AX67/AT67-1)</f>
        <v>#DIV/0!</v>
      </c>
      <c r="AY69" s="39" t="e">
        <f t="shared" ref="AY69" si="632">+IF(AU67&lt;0,1-AY67/AU67,AY67/AU67-1)</f>
        <v>#DIV/0!</v>
      </c>
      <c r="AZ69" s="39" t="e">
        <f t="shared" ref="AZ69" si="633">+IF(AV67&lt;0,1-AZ67/AV67,AZ67/AV67-1)</f>
        <v>#DIV/0!</v>
      </c>
      <c r="BA69" s="39" t="e">
        <f t="shared" ref="BA69" si="634">+IF(AW67&lt;0,1-BA67/AW67,BA67/AW67-1)</f>
        <v>#DIV/0!</v>
      </c>
      <c r="BB69" s="39" t="e">
        <f t="shared" ref="BB69" si="635">+IF(AX67&lt;0,1-BB67/AX67,BB67/AX67-1)</f>
        <v>#DIV/0!</v>
      </c>
      <c r="BC69" s="39" t="e">
        <f t="shared" ref="BC69" si="636">+IF(AY67&lt;0,1-BC67/AY67,BC67/AY67-1)</f>
        <v>#DIV/0!</v>
      </c>
      <c r="BD69" s="39" t="e">
        <f t="shared" ref="BD69" si="637">+IF(AZ67&lt;0,1-BD67/AZ67,BD67/AZ67-1)</f>
        <v>#DIV/0!</v>
      </c>
      <c r="BE69" s="39" t="e">
        <f t="shared" ref="BE69" si="638">+IF(BA67&lt;0,1-BE67/BA67,BE67/BA67-1)</f>
        <v>#DIV/0!</v>
      </c>
      <c r="BF69" s="39" t="e">
        <f t="shared" ref="BF69" si="639">+IF(BB67&lt;0,1-BF67/BB67,BF67/BB67-1)</f>
        <v>#DIV/0!</v>
      </c>
      <c r="BG69" s="39" t="e">
        <f t="shared" ref="BG69" si="640">+IF(BC67&lt;0,1-BG67/BC67,BG67/BC67-1)</f>
        <v>#DIV/0!</v>
      </c>
      <c r="BH69" s="39" t="e">
        <f t="shared" ref="BH69" si="641">+IF(BD67&lt;0,1-BH67/BD67,BH67/BD67-1)</f>
        <v>#DIV/0!</v>
      </c>
      <c r="BI69" s="39" t="e">
        <f t="shared" ref="BI69" si="642">+IF(BE67&lt;0,1-BI67/BE67,BI67/BE67-1)</f>
        <v>#DIV/0!</v>
      </c>
      <c r="BJ69" s="39" t="e">
        <f t="shared" ref="BJ69" si="643">+IF(BF67&lt;0,1-BJ67/BF67,BJ67/BF67-1)</f>
        <v>#DIV/0!</v>
      </c>
      <c r="BK69" s="39" t="e">
        <f t="shared" ref="BK69" si="644">+IF(BG67&lt;0,1-BK67/BG67,BK67/BG67-1)</f>
        <v>#DIV/0!</v>
      </c>
      <c r="BL69" s="39" t="e">
        <f t="shared" ref="BL69" si="645">+IF(BH67&lt;0,1-BL67/BH67,BL67/BH67-1)</f>
        <v>#DIV/0!</v>
      </c>
      <c r="BM69" s="39" t="e">
        <f t="shared" ref="BM69" si="646">+IF(BI67&lt;0,1-BM67/BI67,BM67/BI67-1)</f>
        <v>#DIV/0!</v>
      </c>
      <c r="BN69" s="39" t="e">
        <f t="shared" ref="BN69" si="647">+IF(BJ67&lt;0,1-BN67/BJ67,BN67/BJ67-1)</f>
        <v>#DIV/0!</v>
      </c>
      <c r="BO69" s="39" t="e">
        <f t="shared" ref="BO69" si="648">+IF(BK67&lt;0,1-BO67/BK67,BO67/BK67-1)</f>
        <v>#DIV/0!</v>
      </c>
      <c r="BP69" s="39" t="e">
        <f t="shared" ref="BP69" si="649">+IF(BL67&lt;0,1-BP67/BL67,BP67/BL67-1)</f>
        <v>#DIV/0!</v>
      </c>
      <c r="BQ69" s="39" t="e">
        <f t="shared" ref="BQ69" si="650">+IF(BM67&lt;0,1-BQ67/BM67,BQ67/BM67-1)</f>
        <v>#DIV/0!</v>
      </c>
      <c r="BR69" s="39" t="e">
        <f t="shared" ref="BR69" si="651">+IF(BN67&lt;0,1-BR67/BN67,BR67/BN67-1)</f>
        <v>#DIV/0!</v>
      </c>
      <c r="BS69" s="39" t="e">
        <f t="shared" ref="BS69" si="652">+IF(BO67&lt;0,1-BS67/BO67,BS67/BO67-1)</f>
        <v>#DIV/0!</v>
      </c>
      <c r="BT69" s="39" t="e">
        <f t="shared" ref="BT69" si="653">+IF(BP67&lt;0,1-BT67/BP67,BT67/BP67-1)</f>
        <v>#DIV/0!</v>
      </c>
      <c r="BU69" s="39" t="e">
        <f t="shared" ref="BU69" si="654">+IF(BQ67&lt;0,1-BU67/BQ67,BU67/BQ67-1)</f>
        <v>#DIV/0!</v>
      </c>
      <c r="BV69" s="39" t="e">
        <f t="shared" ref="BV69" si="655">+IF(BR67&lt;0,1-BV67/BR67,BV67/BR67-1)</f>
        <v>#DIV/0!</v>
      </c>
      <c r="BW69" s="39" t="e">
        <f t="shared" ref="BW69" si="656">+IF(BS67&lt;0,1-BW67/BS67,BW67/BS67-1)</f>
        <v>#DIV/0!</v>
      </c>
      <c r="BX69" s="39" t="e">
        <f t="shared" ref="BX69" si="657">+IF(BT67&lt;0,1-BX67/BT67,BX67/BT67-1)</f>
        <v>#DIV/0!</v>
      </c>
      <c r="BY69" s="39" t="e">
        <f t="shared" ref="BY69" si="658">+IF(BU67&lt;0,1-BY67/BU67,BY67/BU67-1)</f>
        <v>#DIV/0!</v>
      </c>
      <c r="BZ69" s="39" t="e">
        <f t="shared" ref="BZ69" si="659">+IF(BV67&lt;0,1-BZ67/BV67,BZ67/BV67-1)</f>
        <v>#DIV/0!</v>
      </c>
      <c r="CA69" s="39" t="e">
        <f t="shared" ref="CA69" si="660">+IF(BW67&lt;0,1-CA67/BW67,CA67/BW67-1)</f>
        <v>#DIV/0!</v>
      </c>
      <c r="CB69" s="39" t="e">
        <f t="shared" ref="CB69" si="661">+IF(BX67&lt;0,1-CB67/BX67,CB67/BX67-1)</f>
        <v>#DIV/0!</v>
      </c>
      <c r="CC69" s="39" t="e">
        <f t="shared" ref="CC69" si="662">+IF(BY67&lt;0,1-CC67/BY67,CC67/BY67-1)</f>
        <v>#DIV/0!</v>
      </c>
      <c r="CD69" s="39" t="e">
        <f t="shared" ref="CD69" si="663">+IF(BZ67&lt;0,1-CD67/BZ67,CD67/BZ67-1)</f>
        <v>#DIV/0!</v>
      </c>
      <c r="CE69" s="39" t="e">
        <f t="shared" ref="CE69" si="664">+IF(CA67&lt;0,1-CE67/CA67,CE67/CA67-1)</f>
        <v>#DIV/0!</v>
      </c>
      <c r="CF69" s="39" t="e">
        <f t="shared" ref="CF69" si="665">+IF(CB67&lt;0,1-CF67/CB67,CF67/CB67-1)</f>
        <v>#DIV/0!</v>
      </c>
      <c r="CG69" s="39" t="e">
        <f t="shared" ref="CG69" si="666">+IF(CC67&lt;0,1-CG67/CC67,CG67/CC67-1)</f>
        <v>#DIV/0!</v>
      </c>
      <c r="CH69" s="39">
        <f t="shared" ref="CH69:CL69" si="667">+IF(CD67&lt;0,1-CH67/CD67,CH67/CD67-1)</f>
        <v>0.36343490304709225</v>
      </c>
      <c r="CI69" s="39">
        <f t="shared" si="667"/>
        <v>0.80178326474622486</v>
      </c>
      <c r="CJ69" s="39">
        <f t="shared" si="667"/>
        <v>0.31384727804165302</v>
      </c>
      <c r="CK69" s="39">
        <f t="shared" si="667"/>
        <v>0.57444971946482504</v>
      </c>
      <c r="CL69" s="39">
        <f t="shared" si="667"/>
        <v>0.52214546932141381</v>
      </c>
      <c r="CM69" s="40">
        <f t="shared" ref="CM69" si="668">+CM67/CI67-1</f>
        <v>0.28600669332642381</v>
      </c>
      <c r="CN69" s="40">
        <f t="shared" ref="CN69" si="669">+CN67/CJ67-1</f>
        <v>0.37309769212839194</v>
      </c>
      <c r="CO69" s="40">
        <f t="shared" ref="CO69" si="670">+CO67/CK67-1</f>
        <v>0.10923326397806177</v>
      </c>
      <c r="CP69" s="40">
        <f t="shared" ref="CP69" si="671">+CP67/CL67-1</f>
        <v>0.29710543026785463</v>
      </c>
      <c r="CQ69" s="40">
        <f t="shared" ref="CQ69" si="672">+CQ67/CM67-1</f>
        <v>0.20448497506341567</v>
      </c>
      <c r="CR69" s="40">
        <f t="shared" ref="CR69" si="673">+CR67/CN67-1</f>
        <v>0.2087429200499562</v>
      </c>
      <c r="CS69" s="40">
        <f t="shared" ref="CS69" si="674">+CS67/CO67-1</f>
        <v>0.19084934641001938</v>
      </c>
      <c r="CT69" s="40">
        <f t="shared" ref="CT69" si="675">+CT67/CP67-1</f>
        <v>0.21235150009144377</v>
      </c>
      <c r="CU69" s="40">
        <f t="shared" ref="CU69" si="676">+CU67/CQ67-1</f>
        <v>0.22713303781119865</v>
      </c>
      <c r="CV69" s="40">
        <f t="shared" ref="CV69" si="677">+CV67/CR67-1</f>
        <v>0.21607169454585851</v>
      </c>
      <c r="CW69" s="40">
        <f t="shared" ref="CW69" si="678">+CW67/CS67-1</f>
        <v>0.20100386714297613</v>
      </c>
      <c r="CX69" s="40">
        <f t="shared" ref="CX69" si="679">+CX67/CT67-1</f>
        <v>0.19324219999029357</v>
      </c>
      <c r="CY69" s="40">
        <f t="shared" ref="CY69" si="680">+CY67/CU67-1</f>
        <v>0.18632093550725903</v>
      </c>
      <c r="CZ69" s="40">
        <f t="shared" ref="CZ69" si="681">+CZ67/CV67-1</f>
        <v>0.17154660320619652</v>
      </c>
      <c r="DA69" s="40">
        <f t="shared" ref="DA69" si="682">+DA67/CW67-1</f>
        <v>0.19036397158958285</v>
      </c>
      <c r="DB69" s="40">
        <f t="shared" ref="DB69" si="683">+DB67/CX67-1</f>
        <v>0.18366404429101202</v>
      </c>
      <c r="DC69" s="40">
        <f t="shared" ref="DC69" si="684">+DC67/CY67-1</f>
        <v>0.18400848186950447</v>
      </c>
      <c r="DD69" s="40">
        <f t="shared" ref="DD69" si="685">+DD67/CZ67-1</f>
        <v>0.17890050409412539</v>
      </c>
      <c r="DE69" s="122"/>
      <c r="DF69" s="39">
        <v>0.83349999999999702</v>
      </c>
    </row>
    <row r="70" spans="1:110" s="39" customFormat="1" x14ac:dyDescent="0.2">
      <c r="A70" s="39" t="s">
        <v>452</v>
      </c>
      <c r="AA70" s="40"/>
      <c r="AB70" s="40"/>
      <c r="AC70" s="40"/>
      <c r="AD70" s="40"/>
      <c r="AE70" s="40"/>
      <c r="AJ70" s="39" t="e">
        <f>+IF(AI67&lt;0,1-AJ67/AI67,AJ67/AI67-1)</f>
        <v>#DIV/0!</v>
      </c>
      <c r="AK70" s="39" t="e">
        <f t="shared" ref="AK70:AM70" si="686">+IF(AJ67&lt;0,1-AK67/AJ67,AK67/AJ67-1)</f>
        <v>#DIV/0!</v>
      </c>
      <c r="AL70" s="39" t="e">
        <f t="shared" si="686"/>
        <v>#DIV/0!</v>
      </c>
      <c r="AM70" s="39" t="e">
        <f t="shared" si="686"/>
        <v>#DIV/0!</v>
      </c>
      <c r="AN70" s="39" t="e">
        <f t="shared" ref="AN70" si="687">+IF(AM67&lt;0,1-AN67/AM67,AN67/AM67-1)</f>
        <v>#DIV/0!</v>
      </c>
      <c r="AO70" s="39" t="e">
        <f t="shared" ref="AO70" si="688">+IF(AN67&lt;0,1-AO67/AN67,AO67/AN67-1)</f>
        <v>#DIV/0!</v>
      </c>
      <c r="AP70" s="39" t="e">
        <f t="shared" ref="AP70" si="689">+IF(AO67&lt;0,1-AP67/AO67,AP67/AO67-1)</f>
        <v>#DIV/0!</v>
      </c>
      <c r="AQ70" s="39" t="e">
        <f t="shared" ref="AQ70" si="690">+IF(AP67&lt;0,1-AQ67/AP67,AQ67/AP67-1)</f>
        <v>#DIV/0!</v>
      </c>
      <c r="AR70" s="39" t="e">
        <f t="shared" ref="AR70" si="691">+IF(AQ67&lt;0,1-AR67/AQ67,AR67/AQ67-1)</f>
        <v>#DIV/0!</v>
      </c>
      <c r="AS70" s="39" t="e">
        <f t="shared" ref="AS70" si="692">+IF(AR67&lt;0,1-AS67/AR67,AS67/AR67-1)</f>
        <v>#DIV/0!</v>
      </c>
      <c r="AT70" s="39" t="e">
        <f t="shared" ref="AT70" si="693">+IF(AS67&lt;0,1-AT67/AS67,AT67/AS67-1)</f>
        <v>#DIV/0!</v>
      </c>
      <c r="AU70" s="39" t="e">
        <f t="shared" ref="AU70" si="694">+IF(AT67&lt;0,1-AU67/AT67,AU67/AT67-1)</f>
        <v>#DIV/0!</v>
      </c>
      <c r="AV70" s="39" t="e">
        <f t="shared" ref="AV70" si="695">+IF(AU67&lt;0,1-AV67/AU67,AV67/AU67-1)</f>
        <v>#DIV/0!</v>
      </c>
      <c r="AW70" s="39" t="e">
        <f t="shared" ref="AW70" si="696">+IF(AV67&lt;0,1-AW67/AV67,AW67/AV67-1)</f>
        <v>#DIV/0!</v>
      </c>
      <c r="AX70" s="39" t="e">
        <f t="shared" ref="AX70" si="697">+IF(AW67&lt;0,1-AX67/AW67,AX67/AW67-1)</f>
        <v>#DIV/0!</v>
      </c>
      <c r="AY70" s="39" t="e">
        <f t="shared" ref="AY70" si="698">+IF(AX67&lt;0,1-AY67/AX67,AY67/AX67-1)</f>
        <v>#DIV/0!</v>
      </c>
      <c r="AZ70" s="39" t="e">
        <f t="shared" ref="AZ70" si="699">+IF(AY67&lt;0,1-AZ67/AY67,AZ67/AY67-1)</f>
        <v>#DIV/0!</v>
      </c>
      <c r="BA70" s="39" t="e">
        <f t="shared" ref="BA70" si="700">+IF(AZ67&lt;0,1-BA67/AZ67,BA67/AZ67-1)</f>
        <v>#DIV/0!</v>
      </c>
      <c r="BB70" s="39" t="e">
        <f t="shared" ref="BB70" si="701">+IF(BA67&lt;0,1-BB67/BA67,BB67/BA67-1)</f>
        <v>#DIV/0!</v>
      </c>
      <c r="BC70" s="39" t="e">
        <f t="shared" ref="BC70" si="702">+IF(BB67&lt;0,1-BC67/BB67,BC67/BB67-1)</f>
        <v>#DIV/0!</v>
      </c>
      <c r="BD70" s="39" t="e">
        <f t="shared" ref="BD70" si="703">+IF(BC67&lt;0,1-BD67/BC67,BD67/BC67-1)</f>
        <v>#DIV/0!</v>
      </c>
      <c r="BE70" s="39" t="e">
        <f t="shared" ref="BE70" si="704">+IF(BD67&lt;0,1-BE67/BD67,BE67/BD67-1)</f>
        <v>#DIV/0!</v>
      </c>
      <c r="BF70" s="39" t="e">
        <f t="shared" ref="BF70" si="705">+IF(BE67&lt;0,1-BF67/BE67,BF67/BE67-1)</f>
        <v>#DIV/0!</v>
      </c>
      <c r="BG70" s="39" t="e">
        <f t="shared" ref="BG70" si="706">+IF(BF67&lt;0,1-BG67/BF67,BG67/BF67-1)</f>
        <v>#DIV/0!</v>
      </c>
      <c r="BH70" s="39" t="e">
        <f t="shared" ref="BH70" si="707">+IF(BG67&lt;0,1-BH67/BG67,BH67/BG67-1)</f>
        <v>#DIV/0!</v>
      </c>
      <c r="BI70" s="39" t="e">
        <f t="shared" ref="BI70" si="708">+IF(BH67&lt;0,1-BI67/BH67,BI67/BH67-1)</f>
        <v>#DIV/0!</v>
      </c>
      <c r="BJ70" s="39" t="e">
        <f t="shared" ref="BJ70" si="709">+IF(BI67&lt;0,1-BJ67/BI67,BJ67/BI67-1)</f>
        <v>#DIV/0!</v>
      </c>
      <c r="BK70" s="39" t="e">
        <f t="shared" ref="BK70" si="710">+IF(BJ67&lt;0,1-BK67/BJ67,BK67/BJ67-1)</f>
        <v>#DIV/0!</v>
      </c>
      <c r="BL70" s="39" t="e">
        <f t="shared" ref="BL70" si="711">+IF(BK67&lt;0,1-BL67/BK67,BL67/BK67-1)</f>
        <v>#DIV/0!</v>
      </c>
      <c r="BM70" s="39" t="e">
        <f t="shared" ref="BM70" si="712">+IF(BL67&lt;0,1-BM67/BL67,BM67/BL67-1)</f>
        <v>#DIV/0!</v>
      </c>
      <c r="BN70" s="39" t="e">
        <f t="shared" ref="BN70" si="713">+IF(BM67&lt;0,1-BN67/BM67,BN67/BM67-1)</f>
        <v>#DIV/0!</v>
      </c>
      <c r="BO70" s="39" t="e">
        <f t="shared" ref="BO70" si="714">+IF(BN67&lt;0,1-BO67/BN67,BO67/BN67-1)</f>
        <v>#DIV/0!</v>
      </c>
      <c r="BP70" s="39" t="e">
        <f t="shared" ref="BP70" si="715">+IF(BO67&lt;0,1-BP67/BO67,BP67/BO67-1)</f>
        <v>#DIV/0!</v>
      </c>
      <c r="BQ70" s="39" t="e">
        <f t="shared" ref="BQ70" si="716">+IF(BP67&lt;0,1-BQ67/BP67,BQ67/BP67-1)</f>
        <v>#DIV/0!</v>
      </c>
      <c r="BR70" s="39" t="e">
        <f t="shared" ref="BR70" si="717">+IF(BQ67&lt;0,1-BR67/BQ67,BR67/BQ67-1)</f>
        <v>#DIV/0!</v>
      </c>
      <c r="BS70" s="39" t="e">
        <f t="shared" ref="BS70" si="718">+IF(BR67&lt;0,1-BS67/BR67,BS67/BR67-1)</f>
        <v>#DIV/0!</v>
      </c>
      <c r="BT70" s="39" t="e">
        <f t="shared" ref="BT70" si="719">+IF(BS67&lt;0,1-BT67/BS67,BT67/BS67-1)</f>
        <v>#DIV/0!</v>
      </c>
      <c r="BU70" s="39" t="e">
        <f t="shared" ref="BU70" si="720">+IF(BT67&lt;0,1-BU67/BT67,BU67/BT67-1)</f>
        <v>#DIV/0!</v>
      </c>
      <c r="BV70" s="39" t="e">
        <f t="shared" ref="BV70" si="721">+IF(BU67&lt;0,1-BV67/BU67,BV67/BU67-1)</f>
        <v>#DIV/0!</v>
      </c>
      <c r="BW70" s="39" t="e">
        <f t="shared" ref="BW70" si="722">+IF(BV67&lt;0,1-BW67/BV67,BW67/BV67-1)</f>
        <v>#DIV/0!</v>
      </c>
      <c r="BX70" s="39" t="e">
        <f t="shared" ref="BX70" si="723">+IF(BW67&lt;0,1-BX67/BW67,BX67/BW67-1)</f>
        <v>#DIV/0!</v>
      </c>
      <c r="BY70" s="39" t="e">
        <f t="shared" ref="BY70" si="724">+IF(BX67&lt;0,1-BY67/BX67,BY67/BX67-1)</f>
        <v>#DIV/0!</v>
      </c>
      <c r="BZ70" s="39" t="e">
        <f t="shared" ref="BZ70" si="725">+IF(BY67&lt;0,1-BZ67/BY67,BZ67/BY67-1)</f>
        <v>#DIV/0!</v>
      </c>
      <c r="CA70" s="39" t="e">
        <f t="shared" ref="CA70" si="726">+IF(BZ67&lt;0,1-CA67/BZ67,CA67/BZ67-1)</f>
        <v>#DIV/0!</v>
      </c>
      <c r="CB70" s="39" t="e">
        <f t="shared" ref="CB70" si="727">+IF(CA67&lt;0,1-CB67/CA67,CB67/CA67-1)</f>
        <v>#DIV/0!</v>
      </c>
      <c r="CC70" s="39" t="e">
        <f t="shared" ref="CC70" si="728">+IF(CB67&lt;0,1-CC67/CB67,CC67/CB67-1)</f>
        <v>#DIV/0!</v>
      </c>
      <c r="CD70" s="39" t="e">
        <f t="shared" ref="CD70" si="729">+IF(CC67&lt;0,1-CD67/CC67,CD67/CC67-1)</f>
        <v>#DIV/0!</v>
      </c>
      <c r="CE70" s="39">
        <f t="shared" ref="CE70" si="730">+IF(CD67&lt;0,1-CE67/CD67,CE67/CD67-1)</f>
        <v>-0.1922437673130184</v>
      </c>
      <c r="CF70" s="39">
        <f t="shared" ref="CF70" si="731">+IF(CE67&lt;0,1-CF67/CE67,CF67/CE67-1)</f>
        <v>0.87722908093278251</v>
      </c>
      <c r="CG70" s="39">
        <f t="shared" ref="CG70" si="732">+IF(CF67&lt;0,1-CG67/CF67,CG67/CF67-1)</f>
        <v>-0.15345268542199386</v>
      </c>
      <c r="CH70" s="39">
        <f t="shared" ref="CH70:CL70" si="733">+IF(CG67&lt;0,1-CH67/CG67,CH67/CG67-1)</f>
        <v>6.214933103150555E-2</v>
      </c>
      <c r="CI70" s="39">
        <f t="shared" si="733"/>
        <v>6.7452255180819654E-2</v>
      </c>
      <c r="CJ70" s="39">
        <f t="shared" si="733"/>
        <v>0.36886181956604713</v>
      </c>
      <c r="CK70" s="39">
        <f t="shared" si="733"/>
        <v>1.4460511679643906E-2</v>
      </c>
      <c r="CL70" s="39">
        <f t="shared" si="733"/>
        <v>2.6864035087718507E-2</v>
      </c>
      <c r="CM70" s="40">
        <f t="shared" ref="CM70" si="734">+CM67/CL67-1</f>
        <v>-9.814746840135824E-2</v>
      </c>
      <c r="CN70" s="40">
        <f t="shared" ref="CN70" si="735">+CN67/CM67-1</f>
        <v>0.46156393667518936</v>
      </c>
      <c r="CO70" s="40">
        <f t="shared" ref="CO70" si="736">+CO67/CN67-1</f>
        <v>-0.18048559035663492</v>
      </c>
      <c r="CP70" s="40">
        <f t="shared" ref="CP70" si="737">+CP67/CO67-1</f>
        <v>0.20078522643852437</v>
      </c>
      <c r="CQ70" s="40">
        <f t="shared" ref="CQ70" si="738">+CQ67/CP67-1</f>
        <v>-0.16254469475996858</v>
      </c>
      <c r="CR70" s="40">
        <f t="shared" ref="CR70" si="739">+CR67/CQ67-1</f>
        <v>0.46673067512815081</v>
      </c>
      <c r="CS70" s="40">
        <f t="shared" ref="CS70" si="740">+CS67/CR67-1</f>
        <v>-0.19261723654434282</v>
      </c>
      <c r="CT70" s="40">
        <f t="shared" ref="CT70" si="741">+CT67/CS67-1</f>
        <v>0.22246678385391161</v>
      </c>
      <c r="CU70" s="40">
        <f t="shared" ref="CU70" si="742">+CU67/CT67-1</f>
        <v>-0.15233406097753766</v>
      </c>
      <c r="CV70" s="40">
        <f t="shared" ref="CV70" si="743">+CV67/CU67-1</f>
        <v>0.45350960538632812</v>
      </c>
      <c r="CW70" s="40">
        <f t="shared" ref="CW70" si="744">+CW67/CV67-1</f>
        <v>-0.20262117313983719</v>
      </c>
      <c r="CX70" s="40">
        <f t="shared" ref="CX70" si="745">+CX67/CW67-1</f>
        <v>0.21456640939129157</v>
      </c>
      <c r="CY70" s="40">
        <f t="shared" ref="CY70" si="746">+CY67/CX67-1</f>
        <v>-0.15725085000602002</v>
      </c>
      <c r="CZ70" s="40">
        <f t="shared" ref="CZ70" si="747">+CZ67/CY67-1</f>
        <v>0.43540772985668341</v>
      </c>
      <c r="DA70" s="40">
        <f t="shared" ref="DA70" si="748">+DA67/CZ67-1</f>
        <v>-0.18981368337794735</v>
      </c>
      <c r="DB70" s="40">
        <f t="shared" ref="DB70" si="749">+DB67/DA67-1</f>
        <v>0.20773025940991974</v>
      </c>
      <c r="DC70" s="40">
        <f t="shared" ref="DC70" si="750">+DC67/DB67-1</f>
        <v>-0.15700561616800612</v>
      </c>
      <c r="DD70" s="40">
        <f t="shared" ref="DD70" si="751">+DD67/DC67-1</f>
        <v>0.42921518065202013</v>
      </c>
      <c r="DE70" s="122"/>
    </row>
    <row r="71" spans="1:110" s="75" customFormat="1" x14ac:dyDescent="0.2">
      <c r="A71" s="23" t="s">
        <v>23</v>
      </c>
      <c r="B71" s="75">
        <f>'Annual Raw'!C32</f>
        <v>0</v>
      </c>
      <c r="C71" s="75">
        <f>'Annual Raw'!D32</f>
        <v>0</v>
      </c>
      <c r="D71" s="75">
        <f>'Annual Raw'!E32</f>
        <v>0</v>
      </c>
      <c r="E71" s="75">
        <f>'Annual Raw'!F32</f>
        <v>0</v>
      </c>
      <c r="F71" s="75">
        <f>'Annual Raw'!G32</f>
        <v>0</v>
      </c>
      <c r="G71" s="75">
        <f>'Annual Raw'!H32</f>
        <v>0</v>
      </c>
      <c r="H71" s="75">
        <f>'Annual Raw'!I32</f>
        <v>0</v>
      </c>
      <c r="I71" s="75">
        <f>'Annual Raw'!J32</f>
        <v>0</v>
      </c>
      <c r="J71" s="75">
        <f>'Annual Raw'!K32</f>
        <v>0</v>
      </c>
      <c r="K71" s="75">
        <f>'Annual Raw'!L32</f>
        <v>0</v>
      </c>
      <c r="L71" s="75">
        <f>'Annual Raw'!M32</f>
        <v>0</v>
      </c>
      <c r="M71" s="75">
        <f>'Annual Raw'!N32</f>
        <v>0</v>
      </c>
      <c r="N71" s="75">
        <f>'Annual Raw'!O32</f>
        <v>0</v>
      </c>
      <c r="O71" s="75">
        <f>'Annual Raw'!P32</f>
        <v>0</v>
      </c>
      <c r="P71" s="75">
        <f>'Annual Raw'!Q32</f>
        <v>0</v>
      </c>
      <c r="Q71" s="75">
        <f>'Annual Raw'!R32</f>
        <v>0</v>
      </c>
      <c r="R71" s="75">
        <f>'Annual Raw'!S32</f>
        <v>0</v>
      </c>
      <c r="S71" s="75">
        <f>'Annual Raw'!T32</f>
        <v>0</v>
      </c>
      <c r="T71" s="75">
        <f>'Annual Raw'!U32</f>
        <v>0</v>
      </c>
      <c r="U71" s="75">
        <f>'Annual Raw'!V32</f>
        <v>0</v>
      </c>
      <c r="V71" s="75">
        <f>'Annual Raw'!W32</f>
        <v>0</v>
      </c>
      <c r="W71" s="75">
        <f>'Annual Raw'!X32</f>
        <v>0</v>
      </c>
      <c r="X71" s="75">
        <f>'Annual Raw'!Y32</f>
        <v>0</v>
      </c>
      <c r="Y71" s="75">
        <f>'Annual Raw'!Z32</f>
        <v>0</v>
      </c>
      <c r="Z71" s="75">
        <f>'Annual Raw'!AA32</f>
        <v>0</v>
      </c>
      <c r="AA71" s="76">
        <f t="shared" ref="AA71:AA73" si="752">SUM(CK71:CN71)</f>
        <v>0</v>
      </c>
      <c r="AB71" s="76">
        <f t="shared" ref="AB71:AB73" si="753">+SUM(CO71:CR71)</f>
        <v>0</v>
      </c>
      <c r="AC71" s="76">
        <f t="shared" ref="AC71:AC73" si="754">+SUM(CS71:CV71)</f>
        <v>0</v>
      </c>
      <c r="AD71" s="76">
        <f t="shared" ref="AD71:AD73" si="755">+SUM(CW71:CZ71)</f>
        <v>0</v>
      </c>
      <c r="AE71" s="76">
        <f t="shared" ref="AE71:AE73" si="756">+SUM(DA71:DD71)</f>
        <v>0</v>
      </c>
      <c r="AI71" s="75">
        <f>'QTR Raw'!C34</f>
        <v>0</v>
      </c>
      <c r="AJ71" s="75">
        <f>'QTR Raw'!D34</f>
        <v>0</v>
      </c>
      <c r="AK71" s="75">
        <f>'QTR Raw'!E34</f>
        <v>0</v>
      </c>
      <c r="AL71" s="75">
        <f>'QTR Raw'!F34</f>
        <v>0</v>
      </c>
      <c r="AM71" s="75">
        <f>'QTR Raw'!G34</f>
        <v>0</v>
      </c>
      <c r="AN71" s="75">
        <f>'QTR Raw'!H34</f>
        <v>0</v>
      </c>
      <c r="AO71" s="75">
        <f>'QTR Raw'!I34</f>
        <v>0</v>
      </c>
      <c r="AP71" s="75">
        <f>'QTR Raw'!J34</f>
        <v>0</v>
      </c>
      <c r="AQ71" s="75">
        <f>'QTR Raw'!K34</f>
        <v>0</v>
      </c>
      <c r="AR71" s="75">
        <f>'QTR Raw'!L34</f>
        <v>0</v>
      </c>
      <c r="AS71" s="75">
        <f>'QTR Raw'!M34</f>
        <v>0</v>
      </c>
      <c r="AT71" s="75">
        <f>'QTR Raw'!N34</f>
        <v>0</v>
      </c>
      <c r="AU71" s="75">
        <f>'QTR Raw'!O34</f>
        <v>0</v>
      </c>
      <c r="AV71" s="75">
        <f>'QTR Raw'!P34</f>
        <v>0</v>
      </c>
      <c r="AW71" s="75">
        <f>'QTR Raw'!Q34</f>
        <v>0</v>
      </c>
      <c r="AX71" s="75">
        <f>'QTR Raw'!R34</f>
        <v>0</v>
      </c>
      <c r="AY71" s="75">
        <f>'QTR Raw'!S34</f>
        <v>0</v>
      </c>
      <c r="AZ71" s="75">
        <f>'QTR Raw'!T34</f>
        <v>0</v>
      </c>
      <c r="BA71" s="75">
        <f>'QTR Raw'!U34</f>
        <v>0</v>
      </c>
      <c r="BB71" s="75">
        <f>'QTR Raw'!V34</f>
        <v>0</v>
      </c>
      <c r="BC71" s="75">
        <f>'QTR Raw'!W34</f>
        <v>0</v>
      </c>
      <c r="BD71" s="75">
        <f>'QTR Raw'!X34</f>
        <v>0</v>
      </c>
      <c r="BE71" s="75">
        <f>'QTR Raw'!Y34</f>
        <v>0</v>
      </c>
      <c r="BF71" s="75">
        <f>'QTR Raw'!Z34</f>
        <v>0</v>
      </c>
      <c r="BG71" s="75">
        <f>'QTR Raw'!AA34</f>
        <v>0</v>
      </c>
      <c r="BH71" s="75">
        <f>'QTR Raw'!AB34</f>
        <v>0</v>
      </c>
      <c r="BI71" s="75">
        <f>'QTR Raw'!AC34</f>
        <v>0</v>
      </c>
      <c r="BJ71" s="75">
        <f>'QTR Raw'!AD34</f>
        <v>0</v>
      </c>
      <c r="BK71" s="75">
        <f>'QTR Raw'!AE34</f>
        <v>0</v>
      </c>
      <c r="BL71" s="75">
        <f>'QTR Raw'!AF34</f>
        <v>0</v>
      </c>
      <c r="BM71" s="75">
        <f>'QTR Raw'!AG34</f>
        <v>0</v>
      </c>
      <c r="BN71" s="75">
        <f>'QTR Raw'!AH34</f>
        <v>0</v>
      </c>
      <c r="BO71" s="75">
        <f>'QTR Raw'!AI34</f>
        <v>0</v>
      </c>
      <c r="BP71" s="75">
        <f>'QTR Raw'!AJ34</f>
        <v>0</v>
      </c>
      <c r="BQ71" s="75">
        <f>'QTR Raw'!AK34</f>
        <v>0</v>
      </c>
      <c r="BR71" s="75">
        <f>'QTR Raw'!AL34</f>
        <v>0</v>
      </c>
      <c r="BS71" s="75">
        <f>'QTR Raw'!AM34</f>
        <v>0</v>
      </c>
      <c r="BT71" s="75">
        <f>'QTR Raw'!AN34</f>
        <v>0</v>
      </c>
      <c r="BU71" s="75">
        <f>'QTR Raw'!AO34</f>
        <v>0</v>
      </c>
      <c r="BV71" s="75">
        <f>'QTR Raw'!AP34</f>
        <v>0</v>
      </c>
      <c r="BW71" s="75">
        <f>'QTR Raw'!AQ34</f>
        <v>0</v>
      </c>
      <c r="BX71" s="75">
        <f>'QTR Raw'!AR34</f>
        <v>0</v>
      </c>
      <c r="BY71" s="75">
        <f>'QTR Raw'!AS34</f>
        <v>0</v>
      </c>
      <c r="BZ71" s="75">
        <f>'QTR Raw'!AT34</f>
        <v>0</v>
      </c>
      <c r="CA71" s="75">
        <f>'QTR Raw'!AU34</f>
        <v>0</v>
      </c>
      <c r="CB71" s="75">
        <f>'QTR Raw'!AV34</f>
        <v>0</v>
      </c>
      <c r="CC71" s="75">
        <f>'QTR Raw'!AW34</f>
        <v>0</v>
      </c>
      <c r="CD71" s="75">
        <f>'QTR Raw'!AX34</f>
        <v>0</v>
      </c>
      <c r="CE71" s="75">
        <f>'QTR Raw'!AY34</f>
        <v>0</v>
      </c>
      <c r="CF71" s="75">
        <f>'QTR Raw'!AZ34</f>
        <v>0</v>
      </c>
      <c r="CG71" s="75">
        <f>'QTR Raw'!BA34</f>
        <v>0</v>
      </c>
      <c r="CH71" s="75">
        <f>'QTR Raw'!BB34</f>
        <v>0</v>
      </c>
      <c r="CI71" s="75">
        <f>'QTR Raw'!BC34</f>
        <v>0</v>
      </c>
      <c r="CJ71" s="75">
        <f>'QTR Raw'!BD34</f>
        <v>0</v>
      </c>
      <c r="CK71" s="75">
        <f>'QTR Raw'!BE34</f>
        <v>0</v>
      </c>
      <c r="CL71" s="75">
        <f>'QTR Raw'!BF34</f>
        <v>0</v>
      </c>
      <c r="CM71" s="76">
        <f t="shared" ref="CM71:CM72" si="757">+CL71</f>
        <v>0</v>
      </c>
      <c r="CN71" s="76">
        <f t="shared" ref="CN71:CN72" si="758">+CM71</f>
        <v>0</v>
      </c>
      <c r="CO71" s="76">
        <f t="shared" ref="CO71:CO72" si="759">+CN71</f>
        <v>0</v>
      </c>
      <c r="CP71" s="76">
        <f t="shared" ref="CP71:CP72" si="760">+CO71</f>
        <v>0</v>
      </c>
      <c r="CQ71" s="76">
        <f t="shared" ref="CQ71:CQ72" si="761">+CP71</f>
        <v>0</v>
      </c>
      <c r="CR71" s="76">
        <f t="shared" ref="CR71:CR72" si="762">+CQ71</f>
        <v>0</v>
      </c>
      <c r="CS71" s="76">
        <f t="shared" ref="CS71:CS72" si="763">+CR71</f>
        <v>0</v>
      </c>
      <c r="CT71" s="76">
        <f t="shared" ref="CT71:CT72" si="764">+CS71</f>
        <v>0</v>
      </c>
      <c r="CU71" s="76">
        <f t="shared" ref="CU71:CU72" si="765">+CT71</f>
        <v>0</v>
      </c>
      <c r="CV71" s="76">
        <f t="shared" ref="CV71:CV72" si="766">+CU71</f>
        <v>0</v>
      </c>
      <c r="CW71" s="76">
        <f t="shared" ref="CW71:CW72" si="767">+CV71</f>
        <v>0</v>
      </c>
      <c r="CX71" s="76">
        <f t="shared" ref="CX71:CX72" si="768">+CW71</f>
        <v>0</v>
      </c>
      <c r="CY71" s="76">
        <f t="shared" ref="CY71:CY72" si="769">+CX71</f>
        <v>0</v>
      </c>
      <c r="CZ71" s="76">
        <f t="shared" ref="CZ71:CZ72" si="770">+CY71</f>
        <v>0</v>
      </c>
      <c r="DA71" s="76">
        <f t="shared" ref="DA71:DA72" si="771">+CZ71</f>
        <v>0</v>
      </c>
      <c r="DB71" s="76">
        <f t="shared" ref="DB71:DB72" si="772">+DA71</f>
        <v>0</v>
      </c>
      <c r="DC71" s="76">
        <f t="shared" ref="DC71:DC72" si="773">+DB71</f>
        <v>0</v>
      </c>
      <c r="DD71" s="76">
        <f t="shared" ref="DD71:DD72" si="774">+DC71</f>
        <v>0</v>
      </c>
      <c r="DE71" s="131"/>
      <c r="DF71" s="75">
        <v>0</v>
      </c>
    </row>
    <row r="72" spans="1:110" s="75" customFormat="1" x14ac:dyDescent="0.2">
      <c r="A72" s="23" t="s">
        <v>24</v>
      </c>
      <c r="B72" s="75">
        <f>'Annual Raw'!C33+'Annual Raw'!C28</f>
        <v>0</v>
      </c>
      <c r="C72" s="75">
        <f>'Annual Raw'!D33+'Annual Raw'!D28</f>
        <v>0</v>
      </c>
      <c r="D72" s="75">
        <f>'Annual Raw'!E33+'Annual Raw'!E28</f>
        <v>0</v>
      </c>
      <c r="E72" s="75">
        <f>'Annual Raw'!F33+'Annual Raw'!F28</f>
        <v>0</v>
      </c>
      <c r="F72" s="75">
        <f>'Annual Raw'!G33+'Annual Raw'!G28</f>
        <v>0</v>
      </c>
      <c r="G72" s="75">
        <f>'Annual Raw'!H33+'Annual Raw'!H28</f>
        <v>0</v>
      </c>
      <c r="H72" s="75">
        <f>'Annual Raw'!I33+'Annual Raw'!I28</f>
        <v>0</v>
      </c>
      <c r="I72" s="75">
        <f>'Annual Raw'!J33+'Annual Raw'!J28</f>
        <v>0</v>
      </c>
      <c r="J72" s="75">
        <f>'Annual Raw'!K33+'Annual Raw'!K28</f>
        <v>0</v>
      </c>
      <c r="K72" s="75">
        <f>'Annual Raw'!L33+'Annual Raw'!L28</f>
        <v>0</v>
      </c>
      <c r="L72" s="75">
        <f>'Annual Raw'!M33+'Annual Raw'!M28</f>
        <v>0</v>
      </c>
      <c r="M72" s="75">
        <f>'Annual Raw'!N33+'Annual Raw'!N28</f>
        <v>0</v>
      </c>
      <c r="N72" s="75">
        <f>'Annual Raw'!O33+'Annual Raw'!O28</f>
        <v>0</v>
      </c>
      <c r="O72" s="75">
        <f>'Annual Raw'!P33+'Annual Raw'!P28</f>
        <v>0</v>
      </c>
      <c r="P72" s="75">
        <f>'Annual Raw'!Q33+'Annual Raw'!Q28</f>
        <v>0</v>
      </c>
      <c r="Q72" s="75">
        <f>'Annual Raw'!R33+'Annual Raw'!R28</f>
        <v>0</v>
      </c>
      <c r="R72" s="75">
        <f>'Annual Raw'!S33+'Annual Raw'!S28</f>
        <v>0</v>
      </c>
      <c r="S72" s="75">
        <f>'Annual Raw'!T33+'Annual Raw'!T28</f>
        <v>0</v>
      </c>
      <c r="T72" s="75">
        <f>'Annual Raw'!U33+'Annual Raw'!U28</f>
        <v>0</v>
      </c>
      <c r="U72" s="75">
        <f>'Annual Raw'!V33+'Annual Raw'!V28</f>
        <v>0</v>
      </c>
      <c r="V72" s="75">
        <f>'Annual Raw'!W33+'Annual Raw'!W28</f>
        <v>0</v>
      </c>
      <c r="W72" s="75">
        <f>'Annual Raw'!X33+'Annual Raw'!X28</f>
        <v>0</v>
      </c>
      <c r="X72" s="75">
        <f>'Annual Raw'!Y33+'Annual Raw'!Y28</f>
        <v>0</v>
      </c>
      <c r="Y72" s="75">
        <f>'Annual Raw'!Z33+'Annual Raw'!Z28</f>
        <v>0</v>
      </c>
      <c r="Z72" s="75">
        <f>'Annual Raw'!AA33+'Annual Raw'!AA28</f>
        <v>0</v>
      </c>
      <c r="AA72" s="76">
        <f t="shared" si="752"/>
        <v>0</v>
      </c>
      <c r="AB72" s="76">
        <f t="shared" si="753"/>
        <v>0</v>
      </c>
      <c r="AC72" s="76">
        <f t="shared" si="754"/>
        <v>0</v>
      </c>
      <c r="AD72" s="76">
        <f t="shared" si="755"/>
        <v>0</v>
      </c>
      <c r="AE72" s="76">
        <f t="shared" si="756"/>
        <v>0</v>
      </c>
      <c r="AI72" s="75">
        <f>'QTR Raw'!C35</f>
        <v>0</v>
      </c>
      <c r="AJ72" s="75">
        <f>'QTR Raw'!D35</f>
        <v>0</v>
      </c>
      <c r="AK72" s="75">
        <f>'QTR Raw'!E35</f>
        <v>0</v>
      </c>
      <c r="AL72" s="75">
        <f>'QTR Raw'!F35</f>
        <v>0</v>
      </c>
      <c r="AM72" s="75">
        <f>'QTR Raw'!G35</f>
        <v>0</v>
      </c>
      <c r="AN72" s="75">
        <f>'QTR Raw'!H35</f>
        <v>0</v>
      </c>
      <c r="AO72" s="75">
        <f>'QTR Raw'!I35</f>
        <v>0</v>
      </c>
      <c r="AP72" s="75">
        <f>'QTR Raw'!J35</f>
        <v>0</v>
      </c>
      <c r="AQ72" s="75">
        <f>'QTR Raw'!K35</f>
        <v>0</v>
      </c>
      <c r="AR72" s="75">
        <f>'QTR Raw'!L35</f>
        <v>0</v>
      </c>
      <c r="AS72" s="75">
        <f>'QTR Raw'!M35</f>
        <v>0</v>
      </c>
      <c r="AT72" s="75">
        <f>'QTR Raw'!N35</f>
        <v>0</v>
      </c>
      <c r="AU72" s="75">
        <f>'QTR Raw'!O35</f>
        <v>0</v>
      </c>
      <c r="AV72" s="75">
        <f>'QTR Raw'!P35</f>
        <v>0</v>
      </c>
      <c r="AW72" s="75">
        <f>'QTR Raw'!Q35</f>
        <v>0</v>
      </c>
      <c r="AX72" s="75">
        <f>'QTR Raw'!R35</f>
        <v>0</v>
      </c>
      <c r="AY72" s="75">
        <f>'QTR Raw'!S35</f>
        <v>0</v>
      </c>
      <c r="AZ72" s="75">
        <f>'QTR Raw'!T35</f>
        <v>0</v>
      </c>
      <c r="BA72" s="75">
        <f>'QTR Raw'!U35</f>
        <v>0</v>
      </c>
      <c r="BB72" s="75">
        <f>'QTR Raw'!V35</f>
        <v>0</v>
      </c>
      <c r="BC72" s="75">
        <f>'QTR Raw'!W35</f>
        <v>0</v>
      </c>
      <c r="BD72" s="75">
        <f>'QTR Raw'!X35</f>
        <v>0</v>
      </c>
      <c r="BE72" s="75">
        <f>'QTR Raw'!Y35</f>
        <v>0</v>
      </c>
      <c r="BF72" s="75">
        <f>'QTR Raw'!Z35</f>
        <v>0</v>
      </c>
      <c r="BG72" s="75">
        <f>'QTR Raw'!AA35</f>
        <v>0</v>
      </c>
      <c r="BH72" s="75">
        <f>'QTR Raw'!AB35</f>
        <v>0</v>
      </c>
      <c r="BI72" s="75">
        <f>'QTR Raw'!AC35</f>
        <v>0</v>
      </c>
      <c r="BJ72" s="75">
        <f>'QTR Raw'!AD35</f>
        <v>0</v>
      </c>
      <c r="BK72" s="75">
        <f>'QTR Raw'!AE35</f>
        <v>0</v>
      </c>
      <c r="BL72" s="75">
        <f>'QTR Raw'!AF35</f>
        <v>0</v>
      </c>
      <c r="BM72" s="75">
        <f>'QTR Raw'!AG35</f>
        <v>0</v>
      </c>
      <c r="BN72" s="75">
        <f>'QTR Raw'!AH35</f>
        <v>0</v>
      </c>
      <c r="BO72" s="75">
        <f>'QTR Raw'!AI35</f>
        <v>0</v>
      </c>
      <c r="BP72" s="75">
        <f>'QTR Raw'!AJ35</f>
        <v>0</v>
      </c>
      <c r="BQ72" s="75">
        <f>'QTR Raw'!AK35</f>
        <v>0</v>
      </c>
      <c r="BR72" s="75">
        <f>'QTR Raw'!AL35</f>
        <v>0</v>
      </c>
      <c r="BS72" s="75">
        <f>'QTR Raw'!AM35</f>
        <v>0</v>
      </c>
      <c r="BT72" s="75">
        <f>'QTR Raw'!AN35</f>
        <v>0</v>
      </c>
      <c r="BU72" s="75">
        <f>'QTR Raw'!AO35</f>
        <v>0</v>
      </c>
      <c r="BV72" s="75">
        <f>'QTR Raw'!AP35</f>
        <v>0</v>
      </c>
      <c r="BW72" s="75">
        <f>'QTR Raw'!AQ35</f>
        <v>0</v>
      </c>
      <c r="BX72" s="75">
        <f>'QTR Raw'!AR35</f>
        <v>0</v>
      </c>
      <c r="BY72" s="75">
        <f>'QTR Raw'!AS35</f>
        <v>0</v>
      </c>
      <c r="BZ72" s="75">
        <f>'QTR Raw'!AT35</f>
        <v>0</v>
      </c>
      <c r="CA72" s="75">
        <f>'QTR Raw'!AU35</f>
        <v>0</v>
      </c>
      <c r="CB72" s="75">
        <f>'QTR Raw'!AV35</f>
        <v>0</v>
      </c>
      <c r="CC72" s="75">
        <f>'QTR Raw'!AW35</f>
        <v>0</v>
      </c>
      <c r="CD72" s="75">
        <f>'QTR Raw'!AX35</f>
        <v>0</v>
      </c>
      <c r="CE72" s="75">
        <f>'QTR Raw'!AY35</f>
        <v>0</v>
      </c>
      <c r="CF72" s="75">
        <f>'QTR Raw'!AZ35</f>
        <v>0</v>
      </c>
      <c r="CG72" s="75">
        <f>'QTR Raw'!BA35</f>
        <v>0</v>
      </c>
      <c r="CH72" s="75">
        <f>'QTR Raw'!BB35</f>
        <v>0</v>
      </c>
      <c r="CI72" s="75">
        <f>'QTR Raw'!BC35</f>
        <v>0</v>
      </c>
      <c r="CJ72" s="75">
        <f>'QTR Raw'!BD35</f>
        <v>0</v>
      </c>
      <c r="CK72" s="75">
        <f>'QTR Raw'!BE35</f>
        <v>0</v>
      </c>
      <c r="CL72" s="75">
        <f>'QTR Raw'!BF35</f>
        <v>0</v>
      </c>
      <c r="CM72" s="76">
        <f t="shared" si="757"/>
        <v>0</v>
      </c>
      <c r="CN72" s="76">
        <f t="shared" si="758"/>
        <v>0</v>
      </c>
      <c r="CO72" s="76">
        <f t="shared" si="759"/>
        <v>0</v>
      </c>
      <c r="CP72" s="76">
        <f t="shared" si="760"/>
        <v>0</v>
      </c>
      <c r="CQ72" s="76">
        <f t="shared" si="761"/>
        <v>0</v>
      </c>
      <c r="CR72" s="76">
        <f t="shared" si="762"/>
        <v>0</v>
      </c>
      <c r="CS72" s="76">
        <f t="shared" si="763"/>
        <v>0</v>
      </c>
      <c r="CT72" s="76">
        <f t="shared" si="764"/>
        <v>0</v>
      </c>
      <c r="CU72" s="76">
        <f t="shared" si="765"/>
        <v>0</v>
      </c>
      <c r="CV72" s="76">
        <f t="shared" si="766"/>
        <v>0</v>
      </c>
      <c r="CW72" s="76">
        <f t="shared" si="767"/>
        <v>0</v>
      </c>
      <c r="CX72" s="76">
        <f t="shared" si="768"/>
        <v>0</v>
      </c>
      <c r="CY72" s="76">
        <f t="shared" si="769"/>
        <v>0</v>
      </c>
      <c r="CZ72" s="76">
        <f t="shared" si="770"/>
        <v>0</v>
      </c>
      <c r="DA72" s="76">
        <f t="shared" si="771"/>
        <v>0</v>
      </c>
      <c r="DB72" s="76">
        <f t="shared" si="772"/>
        <v>0</v>
      </c>
      <c r="DC72" s="76">
        <f t="shared" si="773"/>
        <v>0</v>
      </c>
      <c r="DD72" s="76">
        <f t="shared" si="774"/>
        <v>0</v>
      </c>
      <c r="DE72" s="131"/>
      <c r="DF72" s="75">
        <v>0</v>
      </c>
    </row>
    <row r="73" spans="1:110" s="23" customFormat="1" x14ac:dyDescent="0.2">
      <c r="A73" s="23" t="s">
        <v>19</v>
      </c>
      <c r="B73" s="75">
        <f>'Annual Raw'!C29+'Annual Raw'!C31+'Annual Raw'!C34+'Annual Raw'!C36</f>
        <v>0</v>
      </c>
      <c r="C73" s="75">
        <f>'Annual Raw'!D29+'Annual Raw'!D31+'Annual Raw'!D34+'Annual Raw'!D36</f>
        <v>0</v>
      </c>
      <c r="D73" s="75">
        <f>'Annual Raw'!E29+'Annual Raw'!E31+'Annual Raw'!E34+'Annual Raw'!E36</f>
        <v>0</v>
      </c>
      <c r="E73" s="75">
        <f>'Annual Raw'!F29+'Annual Raw'!F31+'Annual Raw'!F34+'Annual Raw'!F36</f>
        <v>0</v>
      </c>
      <c r="F73" s="75">
        <f>'Annual Raw'!G29+'Annual Raw'!G31+'Annual Raw'!G34+'Annual Raw'!G36</f>
        <v>0</v>
      </c>
      <c r="G73" s="75">
        <f>'Annual Raw'!H29+'Annual Raw'!H31+'Annual Raw'!H34+'Annual Raw'!H36</f>
        <v>0</v>
      </c>
      <c r="H73" s="75">
        <f>'Annual Raw'!I29+'Annual Raw'!I31+'Annual Raw'!I34+'Annual Raw'!I36</f>
        <v>0</v>
      </c>
      <c r="I73" s="75">
        <f>'Annual Raw'!J29+'Annual Raw'!J31+'Annual Raw'!J34+'Annual Raw'!J36</f>
        <v>0</v>
      </c>
      <c r="J73" s="75">
        <f>'Annual Raw'!K29+'Annual Raw'!K31+'Annual Raw'!K34+'Annual Raw'!K36</f>
        <v>0</v>
      </c>
      <c r="K73" s="75">
        <f>'Annual Raw'!L29+'Annual Raw'!L31+'Annual Raw'!L34+'Annual Raw'!L36</f>
        <v>0</v>
      </c>
      <c r="L73" s="75">
        <f>'Annual Raw'!M29+'Annual Raw'!M31+'Annual Raw'!M34+'Annual Raw'!M36</f>
        <v>0</v>
      </c>
      <c r="M73" s="75">
        <f>'Annual Raw'!N29+'Annual Raw'!N31+'Annual Raw'!N34+'Annual Raw'!N36</f>
        <v>0</v>
      </c>
      <c r="N73" s="75">
        <f>'Annual Raw'!O29+'Annual Raw'!O31+'Annual Raw'!O34+'Annual Raw'!O36</f>
        <v>0</v>
      </c>
      <c r="O73" s="75">
        <f>'Annual Raw'!P29+'Annual Raw'!P31+'Annual Raw'!P34+'Annual Raw'!P36</f>
        <v>0</v>
      </c>
      <c r="P73" s="75">
        <f>'Annual Raw'!Q29+'Annual Raw'!Q31+'Annual Raw'!Q34+'Annual Raw'!Q36</f>
        <v>0</v>
      </c>
      <c r="Q73" s="75">
        <f>'Annual Raw'!R29+'Annual Raw'!R31+'Annual Raw'!R34+'Annual Raw'!R36</f>
        <v>0</v>
      </c>
      <c r="R73" s="75">
        <f>'Annual Raw'!S29+'Annual Raw'!S31+'Annual Raw'!S34+'Annual Raw'!S36</f>
        <v>0</v>
      </c>
      <c r="S73" s="75">
        <f>'Annual Raw'!T29+'Annual Raw'!T31+'Annual Raw'!T34+'Annual Raw'!T36</f>
        <v>0</v>
      </c>
      <c r="T73" s="75">
        <f>'Annual Raw'!U29+'Annual Raw'!U31+'Annual Raw'!U34+'Annual Raw'!U36</f>
        <v>0</v>
      </c>
      <c r="U73" s="75">
        <f>'Annual Raw'!V29+'Annual Raw'!V31+'Annual Raw'!V34+'Annual Raw'!V36</f>
        <v>0</v>
      </c>
      <c r="V73" s="75">
        <f>'Annual Raw'!W29+'Annual Raw'!W31+'Annual Raw'!W34+'Annual Raw'!W36</f>
        <v>0</v>
      </c>
      <c r="W73" s="75">
        <f>'Annual Raw'!X29+'Annual Raw'!X31+'Annual Raw'!X34+'Annual Raw'!X36</f>
        <v>0</v>
      </c>
      <c r="X73" s="75">
        <f>'Annual Raw'!Y29+'Annual Raw'!Y31+'Annual Raw'!Y34+'Annual Raw'!Y36</f>
        <v>0</v>
      </c>
      <c r="Y73" s="75">
        <f>'Annual Raw'!Z29+'Annual Raw'!Z31+'Annual Raw'!Z34+'Annual Raw'!Z36</f>
        <v>0</v>
      </c>
      <c r="Z73" s="75">
        <f>'Annual Raw'!AA29+'Annual Raw'!AA31+'Annual Raw'!AA34+'Annual Raw'!AA36</f>
        <v>0</v>
      </c>
      <c r="AA73" s="76">
        <f t="shared" si="752"/>
        <v>-51.9</v>
      </c>
      <c r="AB73" s="76">
        <f t="shared" si="753"/>
        <v>0</v>
      </c>
      <c r="AC73" s="76">
        <f t="shared" si="754"/>
        <v>0</v>
      </c>
      <c r="AD73" s="76">
        <f t="shared" si="755"/>
        <v>0</v>
      </c>
      <c r="AE73" s="76">
        <f t="shared" si="756"/>
        <v>0</v>
      </c>
      <c r="AI73" s="75">
        <f>'QTR Raw'!C26+'QTR Raw'!C31+'QTR Raw'!C32+'QTR Raw'!C33+'QTR Raw'!C36+'QTR Raw'!C37+'QTR Raw'!C39</f>
        <v>0</v>
      </c>
      <c r="AJ73" s="75">
        <f>'QTR Raw'!D26+'QTR Raw'!D31+'QTR Raw'!D32+'QTR Raw'!D33+'QTR Raw'!D36+'QTR Raw'!D37+'QTR Raw'!D39</f>
        <v>0</v>
      </c>
      <c r="AK73" s="75">
        <f>'QTR Raw'!E26+'QTR Raw'!E31+'QTR Raw'!E32+'QTR Raw'!E33+'QTR Raw'!E36+'QTR Raw'!E37+'QTR Raw'!E39</f>
        <v>0</v>
      </c>
      <c r="AL73" s="75">
        <f>'QTR Raw'!F26+'QTR Raw'!F31+'QTR Raw'!F32+'QTR Raw'!F33+'QTR Raw'!F36+'QTR Raw'!F37+'QTR Raw'!F39</f>
        <v>0</v>
      </c>
      <c r="AM73" s="75">
        <f>'QTR Raw'!G26+'QTR Raw'!G31+'QTR Raw'!G32+'QTR Raw'!G33+'QTR Raw'!G36+'QTR Raw'!G37+'QTR Raw'!G39</f>
        <v>0</v>
      </c>
      <c r="AN73" s="75">
        <f>'QTR Raw'!H26+'QTR Raw'!H31+'QTR Raw'!H32+'QTR Raw'!H33+'QTR Raw'!H36+'QTR Raw'!H37+'QTR Raw'!H39</f>
        <v>0</v>
      </c>
      <c r="AO73" s="75">
        <f>'QTR Raw'!I26+'QTR Raw'!I31+'QTR Raw'!I32+'QTR Raw'!I33+'QTR Raw'!I36+'QTR Raw'!I37+'QTR Raw'!I39</f>
        <v>0</v>
      </c>
      <c r="AP73" s="75">
        <f>'QTR Raw'!J26+'QTR Raw'!J31+'QTR Raw'!J32+'QTR Raw'!J33+'QTR Raw'!J36+'QTR Raw'!J37+'QTR Raw'!J39</f>
        <v>0</v>
      </c>
      <c r="AQ73" s="75">
        <f>'QTR Raw'!K26+'QTR Raw'!K31+'QTR Raw'!K32+'QTR Raw'!K33+'QTR Raw'!K36+'QTR Raw'!K37+'QTR Raw'!K39</f>
        <v>0</v>
      </c>
      <c r="AR73" s="75">
        <f>'QTR Raw'!L26+'QTR Raw'!L31+'QTR Raw'!L32+'QTR Raw'!L33+'QTR Raw'!L36+'QTR Raw'!L37+'QTR Raw'!L39</f>
        <v>0</v>
      </c>
      <c r="AS73" s="75">
        <f>'QTR Raw'!M26+'QTR Raw'!M31+'QTR Raw'!M32+'QTR Raw'!M33+'QTR Raw'!M36+'QTR Raw'!M37+'QTR Raw'!M39</f>
        <v>0</v>
      </c>
      <c r="AT73" s="75">
        <f>'QTR Raw'!N26+'QTR Raw'!N31+'QTR Raw'!N32+'QTR Raw'!N33+'QTR Raw'!N36+'QTR Raw'!N37+'QTR Raw'!N39</f>
        <v>0</v>
      </c>
      <c r="AU73" s="75">
        <f>'QTR Raw'!O26+'QTR Raw'!O31+'QTR Raw'!O32+'QTR Raw'!O33+'QTR Raw'!O36+'QTR Raw'!O37+'QTR Raw'!O39</f>
        <v>0</v>
      </c>
      <c r="AV73" s="75">
        <f>'QTR Raw'!P26+'QTR Raw'!P31+'QTR Raw'!P32+'QTR Raw'!P33+'QTR Raw'!P36+'QTR Raw'!P37+'QTR Raw'!P39</f>
        <v>0</v>
      </c>
      <c r="AW73" s="75">
        <f>'QTR Raw'!Q26+'QTR Raw'!Q31+'QTR Raw'!Q32+'QTR Raw'!Q33+'QTR Raw'!Q36+'QTR Raw'!Q37+'QTR Raw'!Q39</f>
        <v>0</v>
      </c>
      <c r="AX73" s="75">
        <f>'QTR Raw'!R26+'QTR Raw'!R31+'QTR Raw'!R32+'QTR Raw'!R33+'QTR Raw'!R36+'QTR Raw'!R37+'QTR Raw'!R39</f>
        <v>0</v>
      </c>
      <c r="AY73" s="75">
        <f>'QTR Raw'!S26+'QTR Raw'!S31+'QTR Raw'!S32+'QTR Raw'!S33+'QTR Raw'!S36+'QTR Raw'!S37+'QTR Raw'!S39</f>
        <v>0</v>
      </c>
      <c r="AZ73" s="75">
        <f>'QTR Raw'!T26+'QTR Raw'!T31+'QTR Raw'!T32+'QTR Raw'!T33+'QTR Raw'!T36+'QTR Raw'!T37+'QTR Raw'!T39</f>
        <v>0</v>
      </c>
      <c r="BA73" s="75">
        <f>'QTR Raw'!U26+'QTR Raw'!U31+'QTR Raw'!U32+'QTR Raw'!U33+'QTR Raw'!U36+'QTR Raw'!U37+'QTR Raw'!U39</f>
        <v>0</v>
      </c>
      <c r="BB73" s="75">
        <f>'QTR Raw'!V26+'QTR Raw'!V31+'QTR Raw'!V32+'QTR Raw'!V33+'QTR Raw'!V36+'QTR Raw'!V37+'QTR Raw'!V39</f>
        <v>0</v>
      </c>
      <c r="BC73" s="75">
        <f>'QTR Raw'!W26+'QTR Raw'!W31+'QTR Raw'!W32+'QTR Raw'!W33+'QTR Raw'!W36+'QTR Raw'!W37+'QTR Raw'!W39</f>
        <v>0</v>
      </c>
      <c r="BD73" s="75">
        <f>'QTR Raw'!X26+'QTR Raw'!X31+'QTR Raw'!X32+'QTR Raw'!X33+'QTR Raw'!X36+'QTR Raw'!X37+'QTR Raw'!X39</f>
        <v>0</v>
      </c>
      <c r="BE73" s="75">
        <f>'QTR Raw'!Y26+'QTR Raw'!Y31+'QTR Raw'!Y32+'QTR Raw'!Y33+'QTR Raw'!Y36+'QTR Raw'!Y37+'QTR Raw'!Y39</f>
        <v>0</v>
      </c>
      <c r="BF73" s="75">
        <f>'QTR Raw'!Z26+'QTR Raw'!Z31+'QTR Raw'!Z32+'QTR Raw'!Z33+'QTR Raw'!Z36+'QTR Raw'!Z37+'QTR Raw'!Z39</f>
        <v>0</v>
      </c>
      <c r="BG73" s="75">
        <f>'QTR Raw'!AA26+'QTR Raw'!AA31+'QTR Raw'!AA32+'QTR Raw'!AA33+'QTR Raw'!AA36+'QTR Raw'!AA37+'QTR Raw'!AA39</f>
        <v>0</v>
      </c>
      <c r="BH73" s="75">
        <f>'QTR Raw'!AB26+'QTR Raw'!AB31+'QTR Raw'!AB32+'QTR Raw'!AB33+'QTR Raw'!AB36+'QTR Raw'!AB37+'QTR Raw'!AB39</f>
        <v>0</v>
      </c>
      <c r="BI73" s="75">
        <f>'QTR Raw'!AC26+'QTR Raw'!AC31+'QTR Raw'!AC32+'QTR Raw'!AC33+'QTR Raw'!AC36+'QTR Raw'!AC37+'QTR Raw'!AC39</f>
        <v>0</v>
      </c>
      <c r="BJ73" s="75">
        <f>'QTR Raw'!AD26+'QTR Raw'!AD31+'QTR Raw'!AD32+'QTR Raw'!AD33+'QTR Raw'!AD36+'QTR Raw'!AD37+'QTR Raw'!AD39</f>
        <v>0</v>
      </c>
      <c r="BK73" s="75">
        <f>'QTR Raw'!AE26+'QTR Raw'!AE31+'QTR Raw'!AE32+'QTR Raw'!AE33+'QTR Raw'!AE36+'QTR Raw'!AE37+'QTR Raw'!AE39</f>
        <v>0</v>
      </c>
      <c r="BL73" s="75">
        <f>'QTR Raw'!AF26+'QTR Raw'!AF31+'QTR Raw'!AF32+'QTR Raw'!AF33+'QTR Raw'!AF36+'QTR Raw'!AF37+'QTR Raw'!AF39</f>
        <v>0</v>
      </c>
      <c r="BM73" s="75">
        <f>'QTR Raw'!AG26+'QTR Raw'!AG31+'QTR Raw'!AG32+'QTR Raw'!AG33+'QTR Raw'!AG36+'QTR Raw'!AG37+'QTR Raw'!AG39</f>
        <v>0</v>
      </c>
      <c r="BN73" s="75">
        <f>'QTR Raw'!AH26+'QTR Raw'!AH31+'QTR Raw'!AH32+'QTR Raw'!AH33+'QTR Raw'!AH36+'QTR Raw'!AH37+'QTR Raw'!AH39</f>
        <v>0</v>
      </c>
      <c r="BO73" s="75">
        <f>'QTR Raw'!AI26+'QTR Raw'!AI31+'QTR Raw'!AI32+'QTR Raw'!AI33+'QTR Raw'!AI36+'QTR Raw'!AI37+'QTR Raw'!AI39</f>
        <v>0</v>
      </c>
      <c r="BP73" s="75">
        <f>'QTR Raw'!AJ26+'QTR Raw'!AJ31+'QTR Raw'!AJ32+'QTR Raw'!AJ33+'QTR Raw'!AJ36+'QTR Raw'!AJ37+'QTR Raw'!AJ39</f>
        <v>0</v>
      </c>
      <c r="BQ73" s="75">
        <f>'QTR Raw'!AK26+'QTR Raw'!AK31+'QTR Raw'!AK32+'QTR Raw'!AK33+'QTR Raw'!AK36+'QTR Raw'!AK37+'QTR Raw'!AK39</f>
        <v>0</v>
      </c>
      <c r="BR73" s="75">
        <f>'QTR Raw'!AL26+'QTR Raw'!AL31+'QTR Raw'!AL32+'QTR Raw'!AL33+'QTR Raw'!AL36+'QTR Raw'!AL37+'QTR Raw'!AL39</f>
        <v>0</v>
      </c>
      <c r="BS73" s="75">
        <f>'QTR Raw'!AM26+'QTR Raw'!AM31+'QTR Raw'!AM32+'QTR Raw'!AM33+'QTR Raw'!AM36+'QTR Raw'!AM37+'QTR Raw'!AM39</f>
        <v>0</v>
      </c>
      <c r="BT73" s="75">
        <f>'QTR Raw'!AN26+'QTR Raw'!AN31+'QTR Raw'!AN32+'QTR Raw'!AN33+'QTR Raw'!AN36+'QTR Raw'!AN37+'QTR Raw'!AN39</f>
        <v>0</v>
      </c>
      <c r="BU73" s="75">
        <f>'QTR Raw'!AO26+'QTR Raw'!AO31+'QTR Raw'!AO32+'QTR Raw'!AO33+'QTR Raw'!AO36+'QTR Raw'!AO37+'QTR Raw'!AO39</f>
        <v>0</v>
      </c>
      <c r="BV73" s="75">
        <f>'QTR Raw'!AP26+'QTR Raw'!AP31+'QTR Raw'!AP32+'QTR Raw'!AP33+'QTR Raw'!AP36+'QTR Raw'!AP37+'QTR Raw'!AP39</f>
        <v>0</v>
      </c>
      <c r="BW73" s="75">
        <f>'QTR Raw'!AQ26+'QTR Raw'!AQ31+'QTR Raw'!AQ32+'QTR Raw'!AQ33+'QTR Raw'!AQ36+'QTR Raw'!AQ37+'QTR Raw'!AQ39</f>
        <v>0</v>
      </c>
      <c r="BX73" s="75">
        <f>'QTR Raw'!AR26+'QTR Raw'!AR31+'QTR Raw'!AR32+'QTR Raw'!AR33+'QTR Raw'!AR36+'QTR Raw'!AR37+'QTR Raw'!AR39</f>
        <v>0</v>
      </c>
      <c r="BY73" s="75">
        <f>'QTR Raw'!AS26+'QTR Raw'!AS31+'QTR Raw'!AS32+'QTR Raw'!AS33+'QTR Raw'!AS36+'QTR Raw'!AS37+'QTR Raw'!AS39</f>
        <v>0</v>
      </c>
      <c r="BZ73" s="75">
        <f>'QTR Raw'!AT26+'QTR Raw'!AT31+'QTR Raw'!AT32+'QTR Raw'!AT33+'QTR Raw'!AT36+'QTR Raw'!AT37+'QTR Raw'!AT39</f>
        <v>0</v>
      </c>
      <c r="CA73" s="75">
        <f>'QTR Raw'!AU26+'QTR Raw'!AU31+'QTR Raw'!AU32+'QTR Raw'!AU33+'QTR Raw'!AU36+'QTR Raw'!AU37+'QTR Raw'!AU39</f>
        <v>0</v>
      </c>
      <c r="CB73" s="75">
        <f>'QTR Raw'!AV26+'QTR Raw'!AV31+'QTR Raw'!AV32+'QTR Raw'!AV33+'QTR Raw'!AV36+'QTR Raw'!AV37+'QTR Raw'!AV39</f>
        <v>0</v>
      </c>
      <c r="CC73" s="75">
        <f>'QTR Raw'!AW26+'QTR Raw'!AW31+'QTR Raw'!AW32+'QTR Raw'!AW33+'QTR Raw'!AW36+'QTR Raw'!AW37+'QTR Raw'!AW39</f>
        <v>0</v>
      </c>
      <c r="CD73" s="75">
        <f>'QTR Raw'!AX26+'QTR Raw'!AX31+'QTR Raw'!AX32+'QTR Raw'!AX33+'QTR Raw'!AX36+'QTR Raw'!AX37+'QTR Raw'!AX39</f>
        <v>0</v>
      </c>
      <c r="CE73" s="75">
        <f>'QTR Raw'!AY26+'QTR Raw'!AY31+'QTR Raw'!AY32+'QTR Raw'!AY33+'QTR Raw'!AY36+'QTR Raw'!AY37+'QTR Raw'!AY39</f>
        <v>0</v>
      </c>
      <c r="CF73" s="75">
        <f>'QTR Raw'!AZ26+'QTR Raw'!AZ31+'QTR Raw'!AZ32+'QTR Raw'!AZ33+'QTR Raw'!AZ36+'QTR Raw'!AZ37+'QTR Raw'!AZ39</f>
        <v>0</v>
      </c>
      <c r="CG73" s="75">
        <f>'QTR Raw'!BA26+'QTR Raw'!BA31+'QTR Raw'!BA32+'QTR Raw'!BA33+'QTR Raw'!BA36+'QTR Raw'!BA37+'QTR Raw'!BA39</f>
        <v>0</v>
      </c>
      <c r="CH73" s="75">
        <f>'QTR Raw'!BB26+'QTR Raw'!BB31+'QTR Raw'!BB32+'QTR Raw'!BB33+'QTR Raw'!BB36+'QTR Raw'!BB37+'QTR Raw'!BB39</f>
        <v>0</v>
      </c>
      <c r="CI73" s="75">
        <f>'QTR Raw'!BC26+'QTR Raw'!BC31+'QTR Raw'!BC32+'QTR Raw'!BC33+'QTR Raw'!BC36+'QTR Raw'!BC37+'QTR Raw'!BC39</f>
        <v>0</v>
      </c>
      <c r="CJ73" s="75">
        <f>'QTR Raw'!BD26+'QTR Raw'!BD31+'QTR Raw'!BD32+'QTR Raw'!BD33+'QTR Raw'!BD36+'QTR Raw'!BD37+'QTR Raw'!BD39</f>
        <v>0</v>
      </c>
      <c r="CK73" s="75">
        <f>'QTR Raw'!BE26+'QTR Raw'!BE31+'QTR Raw'!BE32+'QTR Raw'!BE33+'QTR Raw'!BE36+'QTR Raw'!BE37+'QTR Raw'!BE39</f>
        <v>-51.9</v>
      </c>
      <c r="CL73" s="75">
        <f>'QTR Raw'!BF26+'QTR Raw'!BF31+'QTR Raw'!BF32+'QTR Raw'!BF33+'QTR Raw'!BF36+'QTR Raw'!BF37+'QTR Raw'!BF39</f>
        <v>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123"/>
      <c r="DF73" s="23">
        <v>0</v>
      </c>
    </row>
    <row r="74" spans="1:110" s="26" customFormat="1" x14ac:dyDescent="0.2">
      <c r="A74" s="35" t="s">
        <v>25</v>
      </c>
      <c r="B74" s="26">
        <f>B67+B71+B72+B73</f>
        <v>0</v>
      </c>
      <c r="C74" s="26">
        <f>C67+C71+C72+C73</f>
        <v>0</v>
      </c>
      <c r="D74" s="26">
        <f>D67+D71+D72+D73</f>
        <v>0</v>
      </c>
      <c r="E74" s="26">
        <f t="shared" ref="E74:U74" si="775">E67+E71+E72+E73</f>
        <v>0</v>
      </c>
      <c r="F74" s="26">
        <f t="shared" si="775"/>
        <v>0</v>
      </c>
      <c r="G74" s="26">
        <f t="shared" si="775"/>
        <v>0</v>
      </c>
      <c r="H74" s="26">
        <f t="shared" si="775"/>
        <v>0</v>
      </c>
      <c r="I74" s="26">
        <f t="shared" si="775"/>
        <v>0</v>
      </c>
      <c r="J74" s="26">
        <f t="shared" si="775"/>
        <v>0</v>
      </c>
      <c r="K74" s="26">
        <f t="shared" si="775"/>
        <v>0</v>
      </c>
      <c r="L74" s="26">
        <f t="shared" si="775"/>
        <v>0</v>
      </c>
      <c r="M74" s="26">
        <f t="shared" si="775"/>
        <v>0</v>
      </c>
      <c r="N74" s="26">
        <f t="shared" si="775"/>
        <v>0</v>
      </c>
      <c r="O74" s="26">
        <f t="shared" si="775"/>
        <v>0</v>
      </c>
      <c r="P74" s="26">
        <f t="shared" si="775"/>
        <v>0</v>
      </c>
      <c r="Q74" s="26">
        <f t="shared" si="775"/>
        <v>0</v>
      </c>
      <c r="R74" s="26">
        <f t="shared" si="775"/>
        <v>0</v>
      </c>
      <c r="S74" s="26">
        <f t="shared" si="775"/>
        <v>0</v>
      </c>
      <c r="T74" s="26">
        <f t="shared" si="775"/>
        <v>0</v>
      </c>
      <c r="U74" s="26">
        <f t="shared" si="775"/>
        <v>0</v>
      </c>
      <c r="V74" s="26">
        <f>V67+V71+V72+V73</f>
        <v>0</v>
      </c>
      <c r="W74" s="26">
        <f>W67+W71+W72+W73</f>
        <v>0</v>
      </c>
      <c r="X74" s="26">
        <f>X67+X71+X72+X73</f>
        <v>0</v>
      </c>
      <c r="Y74" s="26">
        <f>Y67+Y71+Y72+Y73</f>
        <v>600.00000000000091</v>
      </c>
      <c r="Z74" s="26">
        <f>Z67+Z71+Z72+Z73</f>
        <v>1100.0999999999999</v>
      </c>
      <c r="AA74" s="27">
        <f t="shared" ref="AA74:AD74" si="776">AA67+AA71+AA72+AA73</f>
        <v>1519.0998884262212</v>
      </c>
      <c r="AB74" s="27">
        <f t="shared" si="776"/>
        <v>1894.2959879178804</v>
      </c>
      <c r="AC74" s="27">
        <f t="shared" si="776"/>
        <v>2296.0869621177189</v>
      </c>
      <c r="AD74" s="27">
        <f t="shared" si="776"/>
        <v>2724.3253830652984</v>
      </c>
      <c r="AE74" s="27">
        <f t="shared" ref="AE74" si="777">AE67+AE71+AE72+AE73</f>
        <v>3224.7170597185368</v>
      </c>
      <c r="AI74" s="26">
        <f t="shared" ref="AI74" si="778">AI67+AI71+AI72+AI73</f>
        <v>0</v>
      </c>
      <c r="AJ74" s="26">
        <f t="shared" ref="AJ74" si="779">AJ67+AJ71+AJ72+AJ73</f>
        <v>0</v>
      </c>
      <c r="AK74" s="26">
        <f t="shared" ref="AK74:AM74" si="780">AK67+AK71+AK72+AK73</f>
        <v>0</v>
      </c>
      <c r="AL74" s="26">
        <f t="shared" si="780"/>
        <v>0</v>
      </c>
      <c r="AM74" s="26">
        <f t="shared" si="780"/>
        <v>0</v>
      </c>
      <c r="AN74" s="26">
        <f t="shared" ref="AN74:AO74" si="781">AN67+AN71+AN72+AN73</f>
        <v>0</v>
      </c>
      <c r="AO74" s="26">
        <f t="shared" si="781"/>
        <v>0</v>
      </c>
      <c r="AP74" s="26">
        <f t="shared" ref="AP74:CD74" si="782">AP67+AP71+AP72+AP73</f>
        <v>0</v>
      </c>
      <c r="AQ74" s="26">
        <f t="shared" si="782"/>
        <v>0</v>
      </c>
      <c r="AR74" s="26">
        <f t="shared" si="782"/>
        <v>0</v>
      </c>
      <c r="AS74" s="26">
        <f t="shared" si="782"/>
        <v>0</v>
      </c>
      <c r="AT74" s="26">
        <f t="shared" si="782"/>
        <v>0</v>
      </c>
      <c r="AU74" s="26">
        <f t="shared" si="782"/>
        <v>0</v>
      </c>
      <c r="AV74" s="26">
        <f t="shared" si="782"/>
        <v>0</v>
      </c>
      <c r="AW74" s="26">
        <f t="shared" si="782"/>
        <v>0</v>
      </c>
      <c r="AX74" s="26">
        <f t="shared" si="782"/>
        <v>0</v>
      </c>
      <c r="AY74" s="26">
        <f t="shared" si="782"/>
        <v>0</v>
      </c>
      <c r="AZ74" s="26">
        <f t="shared" si="782"/>
        <v>0</v>
      </c>
      <c r="BA74" s="26">
        <f t="shared" si="782"/>
        <v>0</v>
      </c>
      <c r="BB74" s="26">
        <f t="shared" si="782"/>
        <v>0</v>
      </c>
      <c r="BC74" s="26">
        <f t="shared" si="782"/>
        <v>0</v>
      </c>
      <c r="BD74" s="26">
        <f t="shared" si="782"/>
        <v>0</v>
      </c>
      <c r="BE74" s="26">
        <f t="shared" si="782"/>
        <v>0</v>
      </c>
      <c r="BF74" s="26">
        <f t="shared" si="782"/>
        <v>0</v>
      </c>
      <c r="BG74" s="26">
        <f t="shared" si="782"/>
        <v>0</v>
      </c>
      <c r="BH74" s="26">
        <f t="shared" si="782"/>
        <v>0</v>
      </c>
      <c r="BI74" s="26">
        <f t="shared" si="782"/>
        <v>0</v>
      </c>
      <c r="BJ74" s="26">
        <f t="shared" si="782"/>
        <v>0</v>
      </c>
      <c r="BK74" s="26">
        <f t="shared" si="782"/>
        <v>0</v>
      </c>
      <c r="BL74" s="26">
        <f t="shared" si="782"/>
        <v>0</v>
      </c>
      <c r="BM74" s="26">
        <f t="shared" si="782"/>
        <v>0</v>
      </c>
      <c r="BN74" s="26">
        <f t="shared" si="782"/>
        <v>0</v>
      </c>
      <c r="BO74" s="26">
        <f t="shared" si="782"/>
        <v>0</v>
      </c>
      <c r="BP74" s="26">
        <f t="shared" si="782"/>
        <v>0</v>
      </c>
      <c r="BQ74" s="26">
        <f t="shared" si="782"/>
        <v>0</v>
      </c>
      <c r="BR74" s="26">
        <f t="shared" si="782"/>
        <v>0</v>
      </c>
      <c r="BS74" s="26">
        <f t="shared" si="782"/>
        <v>0</v>
      </c>
      <c r="BT74" s="26">
        <f t="shared" si="782"/>
        <v>0</v>
      </c>
      <c r="BU74" s="26">
        <f t="shared" si="782"/>
        <v>0</v>
      </c>
      <c r="BV74" s="26">
        <f t="shared" si="782"/>
        <v>0</v>
      </c>
      <c r="BW74" s="26">
        <f t="shared" si="782"/>
        <v>0</v>
      </c>
      <c r="BX74" s="26">
        <f t="shared" si="782"/>
        <v>0</v>
      </c>
      <c r="BY74" s="26">
        <f t="shared" si="782"/>
        <v>0</v>
      </c>
      <c r="BZ74" s="26">
        <f t="shared" si="782"/>
        <v>0</v>
      </c>
      <c r="CA74" s="26">
        <f t="shared" si="782"/>
        <v>0</v>
      </c>
      <c r="CB74" s="26">
        <f t="shared" si="782"/>
        <v>0</v>
      </c>
      <c r="CC74" s="26">
        <f t="shared" si="782"/>
        <v>0</v>
      </c>
      <c r="CD74" s="26">
        <f t="shared" si="782"/>
        <v>180.49999999999986</v>
      </c>
      <c r="CE74" s="26">
        <f t="shared" ref="CE74:CF74" si="783">CE67+CE71+CE72+CE73</f>
        <v>145.80000000000007</v>
      </c>
      <c r="CF74" s="26">
        <f t="shared" si="783"/>
        <v>273.69999999999982</v>
      </c>
      <c r="CG74" s="26">
        <f t="shared" ref="CG74:CH74" si="784">CG67+CG71+CG72+CG73</f>
        <v>231.70000000000013</v>
      </c>
      <c r="CH74" s="26">
        <f t="shared" si="784"/>
        <v>246.09999999999997</v>
      </c>
      <c r="CI74" s="26">
        <f t="shared" ref="CI74:CJ74" si="785">CI67+CI71+CI72+CI73</f>
        <v>262.6999999999997</v>
      </c>
      <c r="CJ74" s="26">
        <f t="shared" si="785"/>
        <v>359.60000000000019</v>
      </c>
      <c r="CK74" s="26">
        <f t="shared" ref="CK74" si="786">CK67+CK71+CK72+CK73</f>
        <v>312.9000000000002</v>
      </c>
      <c r="CL74" s="26">
        <f t="shared" ref="CL74" si="787">CL67+CL71+CL72+CL73</f>
        <v>374.59999999999991</v>
      </c>
      <c r="CM74" s="27">
        <f t="shared" ref="CM74:DB74" si="788">CM67+CM71+CM72+CM73</f>
        <v>337.83395833685114</v>
      </c>
      <c r="CN74" s="27">
        <f t="shared" si="788"/>
        <v>493.76593008937004</v>
      </c>
      <c r="CO74" s="27">
        <f t="shared" si="788"/>
        <v>404.64829469919715</v>
      </c>
      <c r="CP74" s="27">
        <f t="shared" si="788"/>
        <v>485.8956941783382</v>
      </c>
      <c r="CQ74" s="27">
        <f t="shared" si="788"/>
        <v>406.91592688293719</v>
      </c>
      <c r="CR74" s="27">
        <f t="shared" si="788"/>
        <v>596.83607215740767</v>
      </c>
      <c r="CS74" s="27">
        <f t="shared" si="788"/>
        <v>481.87515726846783</v>
      </c>
      <c r="CT74" s="27">
        <f t="shared" si="788"/>
        <v>589.07637372508168</v>
      </c>
      <c r="CU74" s="27">
        <f t="shared" si="788"/>
        <v>499.33997748961832</v>
      </c>
      <c r="CV74" s="27">
        <f t="shared" si="788"/>
        <v>725.79545363455304</v>
      </c>
      <c r="CW74" s="27">
        <f t="shared" si="788"/>
        <v>578.73392735955963</v>
      </c>
      <c r="CX74" s="27">
        <f t="shared" si="788"/>
        <v>702.91078814602088</v>
      </c>
      <c r="CY74" s="27">
        <f t="shared" si="788"/>
        <v>592.37746923165764</v>
      </c>
      <c r="CZ74" s="27">
        <f t="shared" si="788"/>
        <v>850.30319832806106</v>
      </c>
      <c r="DA74" s="27">
        <f t="shared" si="788"/>
        <v>688.90401626536254</v>
      </c>
      <c r="DB74" s="27">
        <f t="shared" si="788"/>
        <v>832.01022627270186</v>
      </c>
      <c r="DC74" s="27">
        <f t="shared" ref="DC74:DD74" si="789">DC67+DC71+DC72+DC73</f>
        <v>701.37994803867412</v>
      </c>
      <c r="DD74" s="27">
        <f t="shared" si="789"/>
        <v>1002.4228691417982</v>
      </c>
      <c r="DE74" s="121"/>
      <c r="DF74" s="26">
        <v>1100.0999999999999</v>
      </c>
    </row>
    <row r="75" spans="1:110" s="25" customFormat="1" x14ac:dyDescent="0.2">
      <c r="A75" s="151" t="s">
        <v>486</v>
      </c>
      <c r="AA75" s="17"/>
      <c r="AB75" s="17"/>
      <c r="AC75" s="17"/>
      <c r="AD75" s="17"/>
      <c r="AE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19"/>
    </row>
    <row r="76" spans="1:110" s="1" customFormat="1" x14ac:dyDescent="0.2">
      <c r="AA76" s="20"/>
      <c r="AB76" s="20"/>
      <c r="AC76" s="20"/>
      <c r="AD76" s="20"/>
      <c r="AE76" s="20"/>
      <c r="BV76" s="182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19"/>
      <c r="DF76" s="182"/>
    </row>
    <row r="77" spans="1:110" s="22" customFormat="1" x14ac:dyDescent="0.2">
      <c r="A77" s="22" t="s">
        <v>434</v>
      </c>
      <c r="B77" s="22">
        <f>'Annual Raw'!C35</f>
        <v>0</v>
      </c>
      <c r="C77" s="22">
        <f>'Annual Raw'!D35</f>
        <v>0</v>
      </c>
      <c r="D77" s="22">
        <f>'Annual Raw'!E35</f>
        <v>0</v>
      </c>
      <c r="E77" s="22">
        <f>'Annual Raw'!F35</f>
        <v>0</v>
      </c>
      <c r="F77" s="22">
        <f>'Annual Raw'!G35</f>
        <v>0</v>
      </c>
      <c r="G77" s="22">
        <f>'Annual Raw'!H35</f>
        <v>0</v>
      </c>
      <c r="H77" s="22">
        <f>'Annual Raw'!I35</f>
        <v>0</v>
      </c>
      <c r="I77" s="22">
        <f>'Annual Raw'!J35</f>
        <v>0</v>
      </c>
      <c r="J77" s="22">
        <f>'Annual Raw'!K35</f>
        <v>0</v>
      </c>
      <c r="K77" s="22">
        <f>'Annual Raw'!L35</f>
        <v>0</v>
      </c>
      <c r="L77" s="22">
        <f>'Annual Raw'!M35</f>
        <v>0</v>
      </c>
      <c r="M77" s="22">
        <f>'Annual Raw'!N35</f>
        <v>0</v>
      </c>
      <c r="N77" s="22">
        <f>'Annual Raw'!O35</f>
        <v>0</v>
      </c>
      <c r="O77" s="22">
        <f>'Annual Raw'!P35</f>
        <v>0</v>
      </c>
      <c r="P77" s="22">
        <f>'Annual Raw'!Q35</f>
        <v>0</v>
      </c>
      <c r="Q77" s="22">
        <f>'Annual Raw'!R35</f>
        <v>0</v>
      </c>
      <c r="R77" s="22">
        <f>'Annual Raw'!S35</f>
        <v>0</v>
      </c>
      <c r="S77" s="22">
        <f>'Annual Raw'!T35</f>
        <v>0</v>
      </c>
      <c r="T77" s="22">
        <f>'Annual Raw'!U35</f>
        <v>0</v>
      </c>
      <c r="U77" s="22">
        <f>'Annual Raw'!V35</f>
        <v>0</v>
      </c>
      <c r="V77" s="22">
        <f>'Annual Raw'!W35</f>
        <v>0</v>
      </c>
      <c r="W77" s="22">
        <f>'Annual Raw'!X35</f>
        <v>0</v>
      </c>
      <c r="X77" s="22">
        <f>'Annual Raw'!Y35</f>
        <v>0</v>
      </c>
      <c r="Y77" s="22">
        <f>'Annual Raw'!Z35</f>
        <v>600</v>
      </c>
      <c r="Z77" s="22">
        <f>'Annual Raw'!AA35</f>
        <v>1100.0999999999999</v>
      </c>
      <c r="AA77" s="21">
        <f t="shared" ref="AA77:AD77" si="790">+AA74</f>
        <v>1519.0998884262212</v>
      </c>
      <c r="AB77" s="21">
        <f t="shared" si="790"/>
        <v>1894.2959879178804</v>
      </c>
      <c r="AC77" s="21">
        <f t="shared" si="790"/>
        <v>2296.0869621177189</v>
      </c>
      <c r="AD77" s="21">
        <f t="shared" si="790"/>
        <v>2724.3253830652984</v>
      </c>
      <c r="AE77" s="21">
        <f t="shared" ref="AE77" si="791">+AE74</f>
        <v>3224.7170597185368</v>
      </c>
      <c r="AI77" s="22">
        <f>'QTR Raw'!C42</f>
        <v>0</v>
      </c>
      <c r="AJ77" s="22">
        <f>'QTR Raw'!D42</f>
        <v>0</v>
      </c>
      <c r="AK77" s="22">
        <f>'QTR Raw'!E42</f>
        <v>0</v>
      </c>
      <c r="AL77" s="22">
        <f>'QTR Raw'!F42</f>
        <v>0</v>
      </c>
      <c r="AM77" s="22">
        <f>'QTR Raw'!G42</f>
        <v>0</v>
      </c>
      <c r="AN77" s="22">
        <f>'QTR Raw'!H42</f>
        <v>0</v>
      </c>
      <c r="AO77" s="22">
        <f>'QTR Raw'!I42</f>
        <v>0</v>
      </c>
      <c r="AP77" s="22">
        <f>'QTR Raw'!J42</f>
        <v>0</v>
      </c>
      <c r="AQ77" s="22">
        <f>'QTR Raw'!K42</f>
        <v>0</v>
      </c>
      <c r="AR77" s="22">
        <f>'QTR Raw'!L42</f>
        <v>0</v>
      </c>
      <c r="AS77" s="22">
        <f>'QTR Raw'!M42</f>
        <v>0</v>
      </c>
      <c r="AT77" s="22">
        <f>'QTR Raw'!N42</f>
        <v>0</v>
      </c>
      <c r="AU77" s="22">
        <f>'QTR Raw'!O42</f>
        <v>0</v>
      </c>
      <c r="AV77" s="22">
        <f>'QTR Raw'!P42</f>
        <v>0</v>
      </c>
      <c r="AW77" s="22">
        <f>'QTR Raw'!Q42</f>
        <v>0</v>
      </c>
      <c r="AX77" s="22">
        <f>'QTR Raw'!R42</f>
        <v>0</v>
      </c>
      <c r="AY77" s="22">
        <f>'QTR Raw'!S42</f>
        <v>0</v>
      </c>
      <c r="AZ77" s="22">
        <f>'QTR Raw'!T42</f>
        <v>0</v>
      </c>
      <c r="BA77" s="22">
        <f>'QTR Raw'!U42</f>
        <v>0</v>
      </c>
      <c r="BB77" s="22">
        <f>'QTR Raw'!V42</f>
        <v>0</v>
      </c>
      <c r="BC77" s="22">
        <f>'QTR Raw'!W42</f>
        <v>0</v>
      </c>
      <c r="BD77" s="22">
        <f>'QTR Raw'!X42</f>
        <v>0</v>
      </c>
      <c r="BE77" s="22">
        <f>'QTR Raw'!Y42</f>
        <v>0</v>
      </c>
      <c r="BF77" s="22">
        <f>'QTR Raw'!Z42</f>
        <v>0</v>
      </c>
      <c r="BG77" s="22">
        <f>'QTR Raw'!AA42</f>
        <v>0</v>
      </c>
      <c r="BH77" s="22">
        <f>'QTR Raw'!AB42</f>
        <v>0</v>
      </c>
      <c r="BI77" s="22">
        <f>'QTR Raw'!AC42</f>
        <v>0</v>
      </c>
      <c r="BJ77" s="22">
        <f>'QTR Raw'!AD42</f>
        <v>0</v>
      </c>
      <c r="BK77" s="22">
        <f>'QTR Raw'!AE42</f>
        <v>0</v>
      </c>
      <c r="BL77" s="22">
        <f>'QTR Raw'!AF42</f>
        <v>0</v>
      </c>
      <c r="BM77" s="22">
        <f>'QTR Raw'!AG42</f>
        <v>0</v>
      </c>
      <c r="BN77" s="22">
        <f>'QTR Raw'!AH42</f>
        <v>0</v>
      </c>
      <c r="BO77" s="22">
        <f>'QTR Raw'!AI42</f>
        <v>0</v>
      </c>
      <c r="BP77" s="22">
        <f>'QTR Raw'!AJ42</f>
        <v>0</v>
      </c>
      <c r="BQ77" s="22">
        <f>'QTR Raw'!AK42</f>
        <v>0</v>
      </c>
      <c r="BR77" s="22">
        <f>'QTR Raw'!AL42</f>
        <v>0</v>
      </c>
      <c r="BS77" s="22">
        <f>'QTR Raw'!AM42</f>
        <v>0</v>
      </c>
      <c r="BT77" s="22">
        <f>'QTR Raw'!AN42</f>
        <v>0</v>
      </c>
      <c r="BU77" s="22">
        <f>'QTR Raw'!AO42</f>
        <v>0</v>
      </c>
      <c r="BV77" s="22">
        <f>'QTR Raw'!AP42</f>
        <v>0</v>
      </c>
      <c r="BW77" s="22">
        <f>'QTR Raw'!AQ42</f>
        <v>0</v>
      </c>
      <c r="BX77" s="22">
        <f>'QTR Raw'!AR42</f>
        <v>0</v>
      </c>
      <c r="BY77" s="22">
        <f>'QTR Raw'!AS42</f>
        <v>0</v>
      </c>
      <c r="BZ77" s="22">
        <f>'QTR Raw'!AT42</f>
        <v>0</v>
      </c>
      <c r="CA77" s="22">
        <f>'QTR Raw'!AU42</f>
        <v>0</v>
      </c>
      <c r="CB77" s="22">
        <f>'QTR Raw'!AV42</f>
        <v>0</v>
      </c>
      <c r="CC77" s="22">
        <f>'QTR Raw'!AW42</f>
        <v>0</v>
      </c>
      <c r="CD77" s="22">
        <f>'QTR Raw'!AX42</f>
        <v>180.5</v>
      </c>
      <c r="CE77" s="22">
        <f>'QTR Raw'!AY42</f>
        <v>145.80000000000001</v>
      </c>
      <c r="CF77" s="22">
        <f>'QTR Raw'!AZ42</f>
        <v>273.7</v>
      </c>
      <c r="CG77" s="22">
        <f>'QTR Raw'!BA42</f>
        <v>231.7</v>
      </c>
      <c r="CH77" s="22">
        <f>'QTR Raw'!BB42</f>
        <v>246.1</v>
      </c>
      <c r="CI77" s="22">
        <f>'QTR Raw'!BC42</f>
        <v>262.7</v>
      </c>
      <c r="CJ77" s="22">
        <f>'QTR Raw'!BD42</f>
        <v>359.6</v>
      </c>
      <c r="CK77" s="22">
        <f>'QTR Raw'!BE42</f>
        <v>312.89999999999998</v>
      </c>
      <c r="CL77" s="22">
        <f>'QTR Raw'!BF42</f>
        <v>374.6</v>
      </c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19"/>
      <c r="DF77" s="22">
        <v>1100.0999999999999</v>
      </c>
    </row>
    <row r="78" spans="1:110" s="25" customFormat="1" x14ac:dyDescent="0.2">
      <c r="A78" s="36" t="s">
        <v>435</v>
      </c>
      <c r="B78" s="25">
        <f t="shared" ref="B78:V78" si="792">B77-B74</f>
        <v>0</v>
      </c>
      <c r="C78" s="25">
        <f>C77-C74</f>
        <v>0</v>
      </c>
      <c r="D78" s="25">
        <f t="shared" si="792"/>
        <v>0</v>
      </c>
      <c r="E78" s="25">
        <f t="shared" si="792"/>
        <v>0</v>
      </c>
      <c r="F78" s="25">
        <f t="shared" si="792"/>
        <v>0</v>
      </c>
      <c r="G78" s="25">
        <f t="shared" si="792"/>
        <v>0</v>
      </c>
      <c r="H78" s="25">
        <f t="shared" si="792"/>
        <v>0</v>
      </c>
      <c r="I78" s="25">
        <f t="shared" si="792"/>
        <v>0</v>
      </c>
      <c r="J78" s="25">
        <f t="shared" si="792"/>
        <v>0</v>
      </c>
      <c r="K78" s="25">
        <f t="shared" si="792"/>
        <v>0</v>
      </c>
      <c r="L78" s="25">
        <f t="shared" si="792"/>
        <v>0</v>
      </c>
      <c r="M78" s="25">
        <f t="shared" si="792"/>
        <v>0</v>
      </c>
      <c r="N78" s="25">
        <f t="shared" si="792"/>
        <v>0</v>
      </c>
      <c r="O78" s="25">
        <f t="shared" si="792"/>
        <v>0</v>
      </c>
      <c r="P78" s="25">
        <f t="shared" si="792"/>
        <v>0</v>
      </c>
      <c r="Q78" s="25">
        <f t="shared" si="792"/>
        <v>0</v>
      </c>
      <c r="R78" s="25">
        <f t="shared" si="792"/>
        <v>0</v>
      </c>
      <c r="S78" s="25">
        <f t="shared" si="792"/>
        <v>0</v>
      </c>
      <c r="T78" s="25">
        <f t="shared" si="792"/>
        <v>0</v>
      </c>
      <c r="U78" s="25">
        <f t="shared" si="792"/>
        <v>0</v>
      </c>
      <c r="V78" s="25">
        <f t="shared" si="792"/>
        <v>0</v>
      </c>
      <c r="W78" s="25">
        <f t="shared" ref="W78" si="793">W77-W74</f>
        <v>0</v>
      </c>
      <c r="X78" s="25">
        <f t="shared" ref="X78:Y78" si="794">X77-X74</f>
        <v>0</v>
      </c>
      <c r="Y78" s="25">
        <f t="shared" si="794"/>
        <v>-9.0949470177292824E-13</v>
      </c>
      <c r="Z78" s="25">
        <f t="shared" ref="Z78" si="795">Z77-Z74</f>
        <v>0</v>
      </c>
      <c r="AA78" s="17">
        <f t="shared" ref="AA78:AD78" si="796">AA77-AA74</f>
        <v>0</v>
      </c>
      <c r="AB78" s="17">
        <f t="shared" si="796"/>
        <v>0</v>
      </c>
      <c r="AC78" s="17">
        <f t="shared" si="796"/>
        <v>0</v>
      </c>
      <c r="AD78" s="17">
        <f t="shared" si="796"/>
        <v>0</v>
      </c>
      <c r="AE78" s="17">
        <f t="shared" ref="AE78" si="797">AE77-AE74</f>
        <v>0</v>
      </c>
      <c r="AI78" s="25">
        <f t="shared" ref="AI78" si="798">AI77-AI74</f>
        <v>0</v>
      </c>
      <c r="AJ78" s="25">
        <f t="shared" ref="AJ78" si="799">AJ77-AJ74</f>
        <v>0</v>
      </c>
      <c r="AK78" s="25">
        <f t="shared" ref="AK78:AM78" si="800">AK77-AK74</f>
        <v>0</v>
      </c>
      <c r="AL78" s="25">
        <f t="shared" si="800"/>
        <v>0</v>
      </c>
      <c r="AM78" s="25">
        <f t="shared" si="800"/>
        <v>0</v>
      </c>
      <c r="AN78" s="25">
        <f t="shared" ref="AN78:AO78" si="801">AN77-AN74</f>
        <v>0</v>
      </c>
      <c r="AO78" s="25">
        <f t="shared" si="801"/>
        <v>0</v>
      </c>
      <c r="AP78" s="25">
        <f t="shared" ref="AP78:CD78" si="802">AP77-AP74</f>
        <v>0</v>
      </c>
      <c r="AQ78" s="25">
        <f t="shared" si="802"/>
        <v>0</v>
      </c>
      <c r="AR78" s="25">
        <f t="shared" si="802"/>
        <v>0</v>
      </c>
      <c r="AS78" s="25">
        <f t="shared" si="802"/>
        <v>0</v>
      </c>
      <c r="AT78" s="25">
        <f t="shared" si="802"/>
        <v>0</v>
      </c>
      <c r="AU78" s="25">
        <f t="shared" si="802"/>
        <v>0</v>
      </c>
      <c r="AV78" s="25">
        <f t="shared" si="802"/>
        <v>0</v>
      </c>
      <c r="AW78" s="25">
        <f t="shared" si="802"/>
        <v>0</v>
      </c>
      <c r="AX78" s="25">
        <f t="shared" si="802"/>
        <v>0</v>
      </c>
      <c r="AY78" s="25">
        <f t="shared" si="802"/>
        <v>0</v>
      </c>
      <c r="AZ78" s="25">
        <f t="shared" si="802"/>
        <v>0</v>
      </c>
      <c r="BA78" s="25">
        <f t="shared" si="802"/>
        <v>0</v>
      </c>
      <c r="BB78" s="25">
        <f t="shared" si="802"/>
        <v>0</v>
      </c>
      <c r="BC78" s="25">
        <f t="shared" si="802"/>
        <v>0</v>
      </c>
      <c r="BD78" s="25">
        <f t="shared" si="802"/>
        <v>0</v>
      </c>
      <c r="BE78" s="25">
        <f t="shared" si="802"/>
        <v>0</v>
      </c>
      <c r="BF78" s="25">
        <f t="shared" si="802"/>
        <v>0</v>
      </c>
      <c r="BG78" s="25">
        <f t="shared" si="802"/>
        <v>0</v>
      </c>
      <c r="BH78" s="25">
        <f t="shared" si="802"/>
        <v>0</v>
      </c>
      <c r="BI78" s="25">
        <f t="shared" si="802"/>
        <v>0</v>
      </c>
      <c r="BJ78" s="25">
        <f t="shared" si="802"/>
        <v>0</v>
      </c>
      <c r="BK78" s="25">
        <f t="shared" si="802"/>
        <v>0</v>
      </c>
      <c r="BL78" s="25">
        <f t="shared" si="802"/>
        <v>0</v>
      </c>
      <c r="BM78" s="25">
        <f t="shared" si="802"/>
        <v>0</v>
      </c>
      <c r="BN78" s="25">
        <f t="shared" si="802"/>
        <v>0</v>
      </c>
      <c r="BO78" s="25">
        <f t="shared" si="802"/>
        <v>0</v>
      </c>
      <c r="BP78" s="25">
        <f t="shared" si="802"/>
        <v>0</v>
      </c>
      <c r="BQ78" s="25">
        <f t="shared" si="802"/>
        <v>0</v>
      </c>
      <c r="BR78" s="25">
        <f t="shared" si="802"/>
        <v>0</v>
      </c>
      <c r="BS78" s="25">
        <f t="shared" si="802"/>
        <v>0</v>
      </c>
      <c r="BT78" s="25">
        <f t="shared" si="802"/>
        <v>0</v>
      </c>
      <c r="BU78" s="25">
        <f t="shared" si="802"/>
        <v>0</v>
      </c>
      <c r="BV78" s="25">
        <f t="shared" si="802"/>
        <v>0</v>
      </c>
      <c r="BW78" s="25">
        <f t="shared" si="802"/>
        <v>0</v>
      </c>
      <c r="BX78" s="25">
        <f t="shared" si="802"/>
        <v>0</v>
      </c>
      <c r="BY78" s="25">
        <f t="shared" si="802"/>
        <v>0</v>
      </c>
      <c r="BZ78" s="25">
        <f t="shared" si="802"/>
        <v>0</v>
      </c>
      <c r="CA78" s="25">
        <f t="shared" si="802"/>
        <v>0</v>
      </c>
      <c r="CB78" s="25">
        <f t="shared" si="802"/>
        <v>0</v>
      </c>
      <c r="CC78" s="25">
        <f t="shared" si="802"/>
        <v>0</v>
      </c>
      <c r="CD78" s="25">
        <f t="shared" si="802"/>
        <v>0</v>
      </c>
      <c r="CE78" s="25">
        <f t="shared" ref="CE78:CF78" si="803">CE77-CE74</f>
        <v>0</v>
      </c>
      <c r="CF78" s="25">
        <f t="shared" si="803"/>
        <v>0</v>
      </c>
      <c r="CG78" s="25">
        <f t="shared" ref="CG78:CH78" si="804">CG77-CG74</f>
        <v>0</v>
      </c>
      <c r="CH78" s="25">
        <f t="shared" si="804"/>
        <v>0</v>
      </c>
      <c r="CI78" s="25">
        <f t="shared" ref="CI78:CJ78" si="805">CI77-CI74</f>
        <v>0</v>
      </c>
      <c r="CJ78" s="25">
        <f t="shared" si="805"/>
        <v>0</v>
      </c>
      <c r="CK78" s="25">
        <f t="shared" ref="CK78" si="806">CK77-CK74</f>
        <v>0</v>
      </c>
      <c r="CL78" s="25">
        <f t="shared" ref="CL78" si="807">CL77-CL74</f>
        <v>0</v>
      </c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19"/>
      <c r="DF78" s="25">
        <v>0</v>
      </c>
    </row>
    <row r="79" spans="1:110" s="1" customFormat="1" x14ac:dyDescent="0.2">
      <c r="A79" s="150" t="s">
        <v>487</v>
      </c>
      <c r="AA79" s="20"/>
      <c r="AB79" s="20"/>
      <c r="AC79" s="20"/>
      <c r="AD79" s="20"/>
      <c r="AE79" s="20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19"/>
      <c r="DF79" s="182"/>
    </row>
    <row r="80" spans="1:110" s="38" customFormat="1" x14ac:dyDescent="0.2">
      <c r="A80" s="38" t="s">
        <v>350</v>
      </c>
      <c r="B80" s="39" t="e">
        <f t="shared" ref="B80:AE80" si="808">(B74-B73)/B146</f>
        <v>#DIV/0!</v>
      </c>
      <c r="C80" s="39" t="e">
        <f t="shared" si="808"/>
        <v>#DIV/0!</v>
      </c>
      <c r="D80" s="39" t="e">
        <f t="shared" si="808"/>
        <v>#DIV/0!</v>
      </c>
      <c r="E80" s="39" t="e">
        <f t="shared" si="808"/>
        <v>#DIV/0!</v>
      </c>
      <c r="F80" s="39" t="e">
        <f t="shared" si="808"/>
        <v>#DIV/0!</v>
      </c>
      <c r="G80" s="39" t="e">
        <f t="shared" si="808"/>
        <v>#DIV/0!</v>
      </c>
      <c r="H80" s="39" t="e">
        <f t="shared" si="808"/>
        <v>#DIV/0!</v>
      </c>
      <c r="I80" s="39" t="e">
        <f t="shared" si="808"/>
        <v>#DIV/0!</v>
      </c>
      <c r="J80" s="39" t="e">
        <f t="shared" si="808"/>
        <v>#DIV/0!</v>
      </c>
      <c r="K80" s="39" t="e">
        <f t="shared" si="808"/>
        <v>#DIV/0!</v>
      </c>
      <c r="L80" s="39" t="e">
        <f t="shared" si="808"/>
        <v>#DIV/0!</v>
      </c>
      <c r="M80" s="39" t="e">
        <f t="shared" si="808"/>
        <v>#DIV/0!</v>
      </c>
      <c r="N80" s="39" t="e">
        <f t="shared" si="808"/>
        <v>#DIV/0!</v>
      </c>
      <c r="O80" s="39" t="e">
        <f t="shared" si="808"/>
        <v>#DIV/0!</v>
      </c>
      <c r="P80" s="39" t="e">
        <f t="shared" si="808"/>
        <v>#DIV/0!</v>
      </c>
      <c r="Q80" s="39" t="e">
        <f t="shared" si="808"/>
        <v>#DIV/0!</v>
      </c>
      <c r="R80" s="39" t="e">
        <f t="shared" si="808"/>
        <v>#DIV/0!</v>
      </c>
      <c r="S80" s="39" t="e">
        <f t="shared" si="808"/>
        <v>#DIV/0!</v>
      </c>
      <c r="T80" s="39" t="e">
        <f t="shared" si="808"/>
        <v>#DIV/0!</v>
      </c>
      <c r="U80" s="39" t="e">
        <f t="shared" si="808"/>
        <v>#DIV/0!</v>
      </c>
      <c r="V80" s="39" t="e">
        <f t="shared" si="808"/>
        <v>#DIV/0!</v>
      </c>
      <c r="W80" s="39" t="e">
        <f t="shared" si="808"/>
        <v>#DIV/0!</v>
      </c>
      <c r="X80" s="39" t="e">
        <f t="shared" si="808"/>
        <v>#DIV/0!</v>
      </c>
      <c r="Y80" s="39">
        <f t="shared" si="808"/>
        <v>0.18652076597861258</v>
      </c>
      <c r="Z80" s="39">
        <f t="shared" ref="Z80" si="809">(Z74-Z73)/Z146</f>
        <v>0.25108985917421767</v>
      </c>
      <c r="AA80" s="40">
        <f t="shared" si="808"/>
        <v>0.27837826832865586</v>
      </c>
      <c r="AB80" s="40">
        <f t="shared" si="808"/>
        <v>0.25130968653999913</v>
      </c>
      <c r="AC80" s="40">
        <f t="shared" si="808"/>
        <v>0.23348969565783773</v>
      </c>
      <c r="AD80" s="40">
        <f t="shared" si="808"/>
        <v>0.21693756217160612</v>
      </c>
      <c r="AE80" s="40">
        <f t="shared" si="808"/>
        <v>0.2043181117610412</v>
      </c>
      <c r="AF80" s="39"/>
      <c r="AG80" s="39"/>
      <c r="AH80" s="39"/>
      <c r="AI80" s="39"/>
      <c r="AJ80" s="39"/>
      <c r="AK80" s="39"/>
      <c r="AL80" s="39" t="e">
        <f t="shared" ref="AL80:BQ80" si="810">(SUM(AI74:AL74)-SUM(AI73:AL73))/AL146</f>
        <v>#DIV/0!</v>
      </c>
      <c r="AM80" s="39" t="e">
        <f t="shared" si="810"/>
        <v>#DIV/0!</v>
      </c>
      <c r="AN80" s="39" t="e">
        <f t="shared" si="810"/>
        <v>#DIV/0!</v>
      </c>
      <c r="AO80" s="39" t="e">
        <f t="shared" si="810"/>
        <v>#DIV/0!</v>
      </c>
      <c r="AP80" s="39" t="e">
        <f t="shared" si="810"/>
        <v>#DIV/0!</v>
      </c>
      <c r="AQ80" s="39" t="e">
        <f t="shared" si="810"/>
        <v>#DIV/0!</v>
      </c>
      <c r="AR80" s="39" t="e">
        <f t="shared" si="810"/>
        <v>#DIV/0!</v>
      </c>
      <c r="AS80" s="39" t="e">
        <f t="shared" si="810"/>
        <v>#DIV/0!</v>
      </c>
      <c r="AT80" s="39" t="e">
        <f t="shared" si="810"/>
        <v>#DIV/0!</v>
      </c>
      <c r="AU80" s="39" t="e">
        <f t="shared" si="810"/>
        <v>#DIV/0!</v>
      </c>
      <c r="AV80" s="39" t="e">
        <f t="shared" si="810"/>
        <v>#DIV/0!</v>
      </c>
      <c r="AW80" s="39" t="e">
        <f t="shared" si="810"/>
        <v>#DIV/0!</v>
      </c>
      <c r="AX80" s="39" t="e">
        <f t="shared" si="810"/>
        <v>#DIV/0!</v>
      </c>
      <c r="AY80" s="39" t="e">
        <f t="shared" si="810"/>
        <v>#DIV/0!</v>
      </c>
      <c r="AZ80" s="39" t="e">
        <f t="shared" si="810"/>
        <v>#DIV/0!</v>
      </c>
      <c r="BA80" s="39" t="e">
        <f t="shared" si="810"/>
        <v>#DIV/0!</v>
      </c>
      <c r="BB80" s="39" t="e">
        <f t="shared" si="810"/>
        <v>#DIV/0!</v>
      </c>
      <c r="BC80" s="39" t="e">
        <f t="shared" si="810"/>
        <v>#DIV/0!</v>
      </c>
      <c r="BD80" s="39" t="e">
        <f t="shared" si="810"/>
        <v>#DIV/0!</v>
      </c>
      <c r="BE80" s="39" t="e">
        <f t="shared" si="810"/>
        <v>#DIV/0!</v>
      </c>
      <c r="BF80" s="39" t="e">
        <f t="shared" si="810"/>
        <v>#DIV/0!</v>
      </c>
      <c r="BG80" s="39" t="e">
        <f t="shared" si="810"/>
        <v>#DIV/0!</v>
      </c>
      <c r="BH80" s="39" t="e">
        <f t="shared" si="810"/>
        <v>#DIV/0!</v>
      </c>
      <c r="BI80" s="39" t="e">
        <f t="shared" si="810"/>
        <v>#DIV/0!</v>
      </c>
      <c r="BJ80" s="39" t="e">
        <f t="shared" si="810"/>
        <v>#DIV/0!</v>
      </c>
      <c r="BK80" s="39" t="e">
        <f t="shared" si="810"/>
        <v>#DIV/0!</v>
      </c>
      <c r="BL80" s="39" t="e">
        <f t="shared" si="810"/>
        <v>#DIV/0!</v>
      </c>
      <c r="BM80" s="39" t="e">
        <f t="shared" si="810"/>
        <v>#DIV/0!</v>
      </c>
      <c r="BN80" s="39" t="e">
        <f t="shared" si="810"/>
        <v>#DIV/0!</v>
      </c>
      <c r="BO80" s="39" t="e">
        <f t="shared" si="810"/>
        <v>#DIV/0!</v>
      </c>
      <c r="BP80" s="39" t="e">
        <f t="shared" si="810"/>
        <v>#DIV/0!</v>
      </c>
      <c r="BQ80" s="39" t="e">
        <f t="shared" si="810"/>
        <v>#DIV/0!</v>
      </c>
      <c r="BR80" s="39" t="e">
        <f t="shared" ref="BR80:CW80" si="811">(SUM(BO74:BR74)-SUM(BO73:BR73))/BR146</f>
        <v>#DIV/0!</v>
      </c>
      <c r="BS80" s="39" t="e">
        <f t="shared" si="811"/>
        <v>#DIV/0!</v>
      </c>
      <c r="BT80" s="39" t="e">
        <f t="shared" si="811"/>
        <v>#DIV/0!</v>
      </c>
      <c r="BU80" s="39" t="e">
        <f t="shared" si="811"/>
        <v>#DIV/0!</v>
      </c>
      <c r="BV80" s="39" t="e">
        <f t="shared" si="811"/>
        <v>#DIV/0!</v>
      </c>
      <c r="BW80" s="39" t="e">
        <f t="shared" si="811"/>
        <v>#DIV/0!</v>
      </c>
      <c r="BX80" s="39" t="e">
        <f t="shared" si="811"/>
        <v>#DIV/0!</v>
      </c>
      <c r="BY80" s="39" t="e">
        <f t="shared" si="811"/>
        <v>#DIV/0!</v>
      </c>
      <c r="BZ80" s="39" t="e">
        <f t="shared" si="811"/>
        <v>#DIV/0!</v>
      </c>
      <c r="CA80" s="39" t="e">
        <f t="shared" si="811"/>
        <v>#DIV/0!</v>
      </c>
      <c r="CB80" s="39" t="e">
        <f t="shared" si="811"/>
        <v>#DIV/0!</v>
      </c>
      <c r="CC80" s="39" t="e">
        <f t="shared" si="811"/>
        <v>#DIV/0!</v>
      </c>
      <c r="CD80" s="39" t="e">
        <f t="shared" si="811"/>
        <v>#DIV/0!</v>
      </c>
      <c r="CE80" s="39">
        <f t="shared" si="811"/>
        <v>2.2379972565157735</v>
      </c>
      <c r="CF80" s="39">
        <f t="shared" si="811"/>
        <v>0.18652076597861222</v>
      </c>
      <c r="CG80" s="39">
        <f t="shared" si="811"/>
        <v>0.24117732347397416</v>
      </c>
      <c r="CH80" s="39">
        <f t="shared" si="811"/>
        <v>0.20480222764932782</v>
      </c>
      <c r="CI80" s="39">
        <f t="shared" si="811"/>
        <v>0.21838931955211019</v>
      </c>
      <c r="CJ80" s="39">
        <f t="shared" si="811"/>
        <v>0.25108985917421767</v>
      </c>
      <c r="CK80" s="39">
        <f t="shared" si="811"/>
        <v>0.2627071705508926</v>
      </c>
      <c r="CL80" s="39">
        <f t="shared" si="811"/>
        <v>0.28299181179600152</v>
      </c>
      <c r="CM80" s="40">
        <f t="shared" si="811"/>
        <v>0.27901671652035198</v>
      </c>
      <c r="CN80" s="40">
        <f t="shared" si="811"/>
        <v>0.27837826832865586</v>
      </c>
      <c r="CO80" s="40">
        <f t="shared" si="811"/>
        <v>0.26634182373411391</v>
      </c>
      <c r="CP80" s="40">
        <f t="shared" si="811"/>
        <v>0.26356881994131881</v>
      </c>
      <c r="CQ80" s="40">
        <f t="shared" si="811"/>
        <v>0.2580697343532834</v>
      </c>
      <c r="CR80" s="40">
        <f t="shared" si="811"/>
        <v>0.25130968653999908</v>
      </c>
      <c r="CS80" s="40">
        <f t="shared" si="811"/>
        <v>0.24583894103860071</v>
      </c>
      <c r="CT80" s="40">
        <f t="shared" si="811"/>
        <v>0.24100226572939945</v>
      </c>
      <c r="CU80" s="40">
        <f t="shared" si="811"/>
        <v>0.23793704240859292</v>
      </c>
      <c r="CV80" s="40">
        <f t="shared" si="811"/>
        <v>0.23348969565783792</v>
      </c>
      <c r="CW80" s="40">
        <f t="shared" si="811"/>
        <v>0.22981434613997928</v>
      </c>
      <c r="CX80" s="40">
        <f t="shared" ref="CX80:DB80" si="812">(SUM(CU74:CX74)-SUM(CU73:CX73))/CX146</f>
        <v>0.22552260220840653</v>
      </c>
      <c r="CY80" s="40">
        <f t="shared" si="812"/>
        <v>0.22205850142022709</v>
      </c>
      <c r="CZ80" s="40">
        <f t="shared" si="812"/>
        <v>0.2169375621716062</v>
      </c>
      <c r="DA80" s="40">
        <f t="shared" si="812"/>
        <v>0.21397243552659762</v>
      </c>
      <c r="DB80" s="40">
        <f t="shared" si="812"/>
        <v>0.21049720729276203</v>
      </c>
      <c r="DC80" s="40">
        <f t="shared" ref="DC80" si="813">(SUM(CZ74:DC74)-SUM(CZ73:DC73))/DC146</f>
        <v>0.20788320258375445</v>
      </c>
      <c r="DD80" s="40">
        <f t="shared" ref="DD80" si="814">(SUM(DA74:DD74)-SUM(DA73:DD73))/DD146</f>
        <v>0.2043181117610412</v>
      </c>
      <c r="DE80" s="122"/>
      <c r="DF80" s="38">
        <v>0.25108985917421767</v>
      </c>
    </row>
    <row r="81" spans="1:110" s="38" customFormat="1" x14ac:dyDescent="0.2">
      <c r="A81" s="38" t="s">
        <v>351</v>
      </c>
      <c r="B81" s="39" t="e">
        <f t="shared" ref="B81:AE81" si="815">+B60/B155</f>
        <v>#DIV/0!</v>
      </c>
      <c r="C81" s="39" t="e">
        <f t="shared" si="815"/>
        <v>#DIV/0!</v>
      </c>
      <c r="D81" s="39" t="e">
        <f t="shared" si="815"/>
        <v>#DIV/0!</v>
      </c>
      <c r="E81" s="39" t="e">
        <f t="shared" si="815"/>
        <v>#DIV/0!</v>
      </c>
      <c r="F81" s="39" t="e">
        <f t="shared" si="815"/>
        <v>#DIV/0!</v>
      </c>
      <c r="G81" s="39" t="e">
        <f t="shared" si="815"/>
        <v>#DIV/0!</v>
      </c>
      <c r="H81" s="39" t="e">
        <f t="shared" si="815"/>
        <v>#DIV/0!</v>
      </c>
      <c r="I81" s="39" t="e">
        <f t="shared" si="815"/>
        <v>#DIV/0!</v>
      </c>
      <c r="J81" s="39" t="e">
        <f t="shared" si="815"/>
        <v>#DIV/0!</v>
      </c>
      <c r="K81" s="39" t="e">
        <f t="shared" si="815"/>
        <v>#DIV/0!</v>
      </c>
      <c r="L81" s="39" t="e">
        <f t="shared" si="815"/>
        <v>#DIV/0!</v>
      </c>
      <c r="M81" s="39" t="e">
        <f t="shared" si="815"/>
        <v>#DIV/0!</v>
      </c>
      <c r="N81" s="39" t="e">
        <f t="shared" si="815"/>
        <v>#DIV/0!</v>
      </c>
      <c r="O81" s="39" t="e">
        <f t="shared" si="815"/>
        <v>#DIV/0!</v>
      </c>
      <c r="P81" s="39" t="e">
        <f t="shared" si="815"/>
        <v>#DIV/0!</v>
      </c>
      <c r="Q81" s="39" t="e">
        <f t="shared" si="815"/>
        <v>#DIV/0!</v>
      </c>
      <c r="R81" s="39" t="e">
        <f t="shared" si="815"/>
        <v>#DIV/0!</v>
      </c>
      <c r="S81" s="39" t="e">
        <f t="shared" si="815"/>
        <v>#DIV/0!</v>
      </c>
      <c r="T81" s="39" t="e">
        <f t="shared" si="815"/>
        <v>#DIV/0!</v>
      </c>
      <c r="U81" s="39" t="e">
        <f t="shared" si="815"/>
        <v>#DIV/0!</v>
      </c>
      <c r="V81" s="39" t="e">
        <f t="shared" si="815"/>
        <v>#DIV/0!</v>
      </c>
      <c r="W81" s="39" t="e">
        <f t="shared" si="815"/>
        <v>#DIV/0!</v>
      </c>
      <c r="X81" s="39" t="e">
        <f t="shared" si="815"/>
        <v>#DIV/0!</v>
      </c>
      <c r="Y81" s="39">
        <f t="shared" si="815"/>
        <v>0.25164760009947806</v>
      </c>
      <c r="Z81" s="39">
        <f t="shared" ref="Z81" si="816">+Z60/Z155</f>
        <v>0.31657270673087895</v>
      </c>
      <c r="AA81" s="40">
        <f t="shared" si="815"/>
        <v>0.34267561450536027</v>
      </c>
      <c r="AB81" s="40">
        <f t="shared" si="815"/>
        <v>0.31227917420365842</v>
      </c>
      <c r="AC81" s="40">
        <f t="shared" si="815"/>
        <v>0.29014274466770074</v>
      </c>
      <c r="AD81" s="40">
        <f t="shared" si="815"/>
        <v>0.26712024351918068</v>
      </c>
      <c r="AE81" s="40">
        <f t="shared" si="815"/>
        <v>0.2494091534311815</v>
      </c>
      <c r="AF81" s="39"/>
      <c r="AG81" s="39"/>
      <c r="AH81" s="39"/>
      <c r="AI81" s="39"/>
      <c r="AJ81" s="39"/>
      <c r="AK81" s="39"/>
      <c r="AL81" s="39" t="e">
        <f t="shared" ref="AL81:BQ81" si="817">+SUM(AI60:AL60)/AL155</f>
        <v>#DIV/0!</v>
      </c>
      <c r="AM81" s="39" t="e">
        <f t="shared" si="817"/>
        <v>#DIV/0!</v>
      </c>
      <c r="AN81" s="39" t="e">
        <f t="shared" si="817"/>
        <v>#DIV/0!</v>
      </c>
      <c r="AO81" s="39" t="e">
        <f t="shared" si="817"/>
        <v>#DIV/0!</v>
      </c>
      <c r="AP81" s="39" t="e">
        <f t="shared" si="817"/>
        <v>#DIV/0!</v>
      </c>
      <c r="AQ81" s="39" t="e">
        <f t="shared" si="817"/>
        <v>#DIV/0!</v>
      </c>
      <c r="AR81" s="39" t="e">
        <f t="shared" si="817"/>
        <v>#DIV/0!</v>
      </c>
      <c r="AS81" s="39" t="e">
        <f t="shared" si="817"/>
        <v>#DIV/0!</v>
      </c>
      <c r="AT81" s="39" t="e">
        <f t="shared" si="817"/>
        <v>#DIV/0!</v>
      </c>
      <c r="AU81" s="39" t="e">
        <f t="shared" si="817"/>
        <v>#DIV/0!</v>
      </c>
      <c r="AV81" s="39" t="e">
        <f t="shared" si="817"/>
        <v>#DIV/0!</v>
      </c>
      <c r="AW81" s="39" t="e">
        <f t="shared" si="817"/>
        <v>#DIV/0!</v>
      </c>
      <c r="AX81" s="39" t="e">
        <f t="shared" si="817"/>
        <v>#DIV/0!</v>
      </c>
      <c r="AY81" s="39" t="e">
        <f t="shared" si="817"/>
        <v>#DIV/0!</v>
      </c>
      <c r="AZ81" s="39" t="e">
        <f t="shared" si="817"/>
        <v>#DIV/0!</v>
      </c>
      <c r="BA81" s="39" t="e">
        <f t="shared" si="817"/>
        <v>#DIV/0!</v>
      </c>
      <c r="BB81" s="39" t="e">
        <f t="shared" si="817"/>
        <v>#DIV/0!</v>
      </c>
      <c r="BC81" s="39" t="e">
        <f t="shared" si="817"/>
        <v>#DIV/0!</v>
      </c>
      <c r="BD81" s="39" t="e">
        <f t="shared" si="817"/>
        <v>#DIV/0!</v>
      </c>
      <c r="BE81" s="39" t="e">
        <f t="shared" si="817"/>
        <v>#DIV/0!</v>
      </c>
      <c r="BF81" s="39" t="e">
        <f t="shared" si="817"/>
        <v>#DIV/0!</v>
      </c>
      <c r="BG81" s="39" t="e">
        <f t="shared" si="817"/>
        <v>#DIV/0!</v>
      </c>
      <c r="BH81" s="39" t="e">
        <f t="shared" si="817"/>
        <v>#DIV/0!</v>
      </c>
      <c r="BI81" s="39" t="e">
        <f t="shared" si="817"/>
        <v>#DIV/0!</v>
      </c>
      <c r="BJ81" s="39" t="e">
        <f t="shared" si="817"/>
        <v>#DIV/0!</v>
      </c>
      <c r="BK81" s="39" t="e">
        <f t="shared" si="817"/>
        <v>#DIV/0!</v>
      </c>
      <c r="BL81" s="39" t="e">
        <f t="shared" si="817"/>
        <v>#DIV/0!</v>
      </c>
      <c r="BM81" s="39" t="e">
        <f t="shared" si="817"/>
        <v>#DIV/0!</v>
      </c>
      <c r="BN81" s="39" t="e">
        <f t="shared" si="817"/>
        <v>#DIV/0!</v>
      </c>
      <c r="BO81" s="39" t="e">
        <f t="shared" si="817"/>
        <v>#DIV/0!</v>
      </c>
      <c r="BP81" s="39" t="e">
        <f t="shared" si="817"/>
        <v>#DIV/0!</v>
      </c>
      <c r="BQ81" s="39" t="e">
        <f t="shared" si="817"/>
        <v>#DIV/0!</v>
      </c>
      <c r="BR81" s="39" t="e">
        <f t="shared" ref="BR81:CW81" si="818">+SUM(BO60:BR60)/BR155</f>
        <v>#DIV/0!</v>
      </c>
      <c r="BS81" s="39" t="e">
        <f t="shared" si="818"/>
        <v>#DIV/0!</v>
      </c>
      <c r="BT81" s="39" t="e">
        <f t="shared" si="818"/>
        <v>#DIV/0!</v>
      </c>
      <c r="BU81" s="39" t="e">
        <f t="shared" si="818"/>
        <v>#DIV/0!</v>
      </c>
      <c r="BV81" s="39" t="e">
        <f t="shared" si="818"/>
        <v>#DIV/0!</v>
      </c>
      <c r="BW81" s="39" t="e">
        <f t="shared" si="818"/>
        <v>#DIV/0!</v>
      </c>
      <c r="BX81" s="39" t="e">
        <f t="shared" si="818"/>
        <v>#DIV/0!</v>
      </c>
      <c r="BY81" s="39" t="e">
        <f t="shared" si="818"/>
        <v>#DIV/0!</v>
      </c>
      <c r="BZ81" s="39" t="e">
        <f t="shared" si="818"/>
        <v>#DIV/0!</v>
      </c>
      <c r="CA81" s="39" t="e">
        <f t="shared" si="818"/>
        <v>#DIV/0!</v>
      </c>
      <c r="CB81" s="39" t="e">
        <f t="shared" si="818"/>
        <v>#DIV/0!</v>
      </c>
      <c r="CC81" s="39" t="e">
        <f t="shared" si="818"/>
        <v>#DIV/0!</v>
      </c>
      <c r="CD81" s="39" t="e">
        <f t="shared" si="818"/>
        <v>#DIV/0!</v>
      </c>
      <c r="CE81" s="39">
        <f t="shared" si="818"/>
        <v>3.1316872427983524</v>
      </c>
      <c r="CF81" s="39">
        <f t="shared" si="818"/>
        <v>0.2556577965680179</v>
      </c>
      <c r="CG81" s="39">
        <f t="shared" si="818"/>
        <v>0.3297085689430187</v>
      </c>
      <c r="CH81" s="39">
        <f t="shared" si="818"/>
        <v>0.27663022390614656</v>
      </c>
      <c r="CI81" s="39">
        <f t="shared" si="818"/>
        <v>0.28602497846683889</v>
      </c>
      <c r="CJ81" s="39">
        <f t="shared" si="818"/>
        <v>0.3219135872914432</v>
      </c>
      <c r="CK81" s="39">
        <f t="shared" si="818"/>
        <v>0.32471986707000122</v>
      </c>
      <c r="CL81" s="39">
        <f t="shared" si="818"/>
        <v>0.34367596325699323</v>
      </c>
      <c r="CM81" s="40">
        <f t="shared" si="818"/>
        <v>0.34142654016682616</v>
      </c>
      <c r="CN81" s="40">
        <f t="shared" si="818"/>
        <v>0.34267561450536027</v>
      </c>
      <c r="CO81" s="40">
        <f t="shared" si="818"/>
        <v>0.33109546624088415</v>
      </c>
      <c r="CP81" s="40">
        <f t="shared" si="818"/>
        <v>0.32768952216888736</v>
      </c>
      <c r="CQ81" s="40">
        <f t="shared" si="818"/>
        <v>0.32083388177790984</v>
      </c>
      <c r="CR81" s="40">
        <f t="shared" si="818"/>
        <v>0.31227917420365836</v>
      </c>
      <c r="CS81" s="40">
        <f t="shared" si="818"/>
        <v>0.30603812756015819</v>
      </c>
      <c r="CT81" s="40">
        <f t="shared" si="818"/>
        <v>0.30050901755408943</v>
      </c>
      <c r="CU81" s="40">
        <f t="shared" si="818"/>
        <v>0.29599217431158237</v>
      </c>
      <c r="CV81" s="40">
        <f t="shared" si="818"/>
        <v>0.2901427446677009</v>
      </c>
      <c r="CW81" s="40">
        <f t="shared" si="818"/>
        <v>0.28492260065768865</v>
      </c>
      <c r="CX81" s="40">
        <f t="shared" ref="CX81:DB81" si="819">+SUM(CU60:CX60)/CX155</f>
        <v>0.27899196530874032</v>
      </c>
      <c r="CY81" s="40">
        <f t="shared" si="819"/>
        <v>0.27395654603169933</v>
      </c>
      <c r="CZ81" s="40">
        <f t="shared" si="819"/>
        <v>0.26712024351918073</v>
      </c>
      <c r="DA81" s="40">
        <f t="shared" si="819"/>
        <v>0.26284633158069876</v>
      </c>
      <c r="DB81" s="40">
        <f t="shared" si="819"/>
        <v>0.2580454252881475</v>
      </c>
      <c r="DC81" s="40">
        <f t="shared" ref="DC81" si="820">+SUM(CZ60:DC60)/DC155</f>
        <v>0.2541703930321178</v>
      </c>
      <c r="DD81" s="40">
        <f t="shared" ref="DD81" si="821">+SUM(DA60:DD60)/DD155</f>
        <v>0.24940915343118153</v>
      </c>
      <c r="DE81" s="122"/>
      <c r="DF81" s="38">
        <v>0.31657270673087895</v>
      </c>
    </row>
    <row r="82" spans="1:110" s="1" customFormat="1" x14ac:dyDescent="0.2">
      <c r="A82" s="150" t="s">
        <v>488</v>
      </c>
      <c r="AA82" s="20"/>
      <c r="AB82" s="20"/>
      <c r="AC82" s="20"/>
      <c r="AD82" s="20"/>
      <c r="AE82" s="20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19"/>
      <c r="DF82" s="182"/>
    </row>
    <row r="83" spans="1:110" s="8" customFormat="1" x14ac:dyDescent="0.2">
      <c r="A83" s="12" t="s">
        <v>26</v>
      </c>
      <c r="AA83" s="58"/>
      <c r="AB83" s="58"/>
      <c r="AC83" s="58"/>
      <c r="AD83" s="58"/>
      <c r="AE83" s="58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132"/>
      <c r="DF83" s="216"/>
    </row>
    <row r="84" spans="1:110" s="9" customFormat="1" x14ac:dyDescent="0.2">
      <c r="A84" s="9" t="s">
        <v>453</v>
      </c>
      <c r="N84" s="9">
        <f>N36-SUM(AI36:AL36)</f>
        <v>0</v>
      </c>
      <c r="O84" s="9">
        <f>O36-SUM(AM36:AP36)</f>
        <v>0</v>
      </c>
      <c r="P84" s="9">
        <f>P36-SUM(AQ36:AT36)</f>
        <v>0</v>
      </c>
      <c r="Q84" s="9">
        <f>Q36-SUM(AU36:AX36)</f>
        <v>0</v>
      </c>
      <c r="R84" s="9">
        <f>R36-SUM(AY36:BB36)</f>
        <v>0</v>
      </c>
      <c r="S84" s="9">
        <f>S36-SUM(BC36:BF36)</f>
        <v>0</v>
      </c>
      <c r="T84" s="9">
        <f>T36-SUM(BG36:BJ36)</f>
        <v>0</v>
      </c>
      <c r="U84" s="9">
        <f>U36-SUM(BK36:BN36)</f>
        <v>0</v>
      </c>
      <c r="V84" s="9">
        <f>V36-SUM(BO36:BR36)</f>
        <v>0</v>
      </c>
      <c r="W84" s="9">
        <f>W36-SUM(BS36:BV36)</f>
        <v>0</v>
      </c>
      <c r="X84" s="9">
        <f>X36-SUM(BW36:BZ36)</f>
        <v>0</v>
      </c>
      <c r="Y84" s="9">
        <f>Y36-SUM(CA36:CD36)</f>
        <v>3563.0000000000005</v>
      </c>
      <c r="Z84" s="9">
        <f>Z36-SUM(CB36:CE36)</f>
        <v>5145.8999999999996</v>
      </c>
      <c r="AA84" s="15">
        <f>AA36-SUM(CK36:CN36)</f>
        <v>0</v>
      </c>
      <c r="AB84" s="15">
        <f>AB36-SUM(CO36:CR36)</f>
        <v>0</v>
      </c>
      <c r="AC84" s="15">
        <f>AC36-SUM(CS36:CV36)</f>
        <v>0</v>
      </c>
      <c r="AD84" s="15">
        <f>AD36-SUM(CW36:CZ36)</f>
        <v>0</v>
      </c>
      <c r="AE84" s="15">
        <f>AE36-SUM(DA36:DD36)</f>
        <v>0</v>
      </c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133"/>
      <c r="DF84" s="9">
        <v>0</v>
      </c>
    </row>
    <row r="85" spans="1:110" s="9" customFormat="1" x14ac:dyDescent="0.2">
      <c r="A85" s="9" t="s">
        <v>454</v>
      </c>
      <c r="N85" s="9">
        <f>N42-SUM(AI42:AL42)</f>
        <v>0</v>
      </c>
      <c r="O85" s="9">
        <f>O42-SUM(AM42:AP42)</f>
        <v>0</v>
      </c>
      <c r="P85" s="9">
        <f>P42-SUM(AQ42:AT42)</f>
        <v>0</v>
      </c>
      <c r="Q85" s="9">
        <f>Q42-SUM(AU42:AX42)</f>
        <v>0</v>
      </c>
      <c r="R85" s="9">
        <f>R42-SUM(AY42:BB42)</f>
        <v>0</v>
      </c>
      <c r="S85" s="9">
        <f>S42-SUM(BC42:BF42)</f>
        <v>0</v>
      </c>
      <c r="T85" s="9">
        <f>T42-SUM(BG42:BJ42)</f>
        <v>0</v>
      </c>
      <c r="U85" s="9">
        <f>U42-SUM(BK42:BN42)</f>
        <v>0</v>
      </c>
      <c r="V85" s="9">
        <f>V42-SUM(BO42:BR42)</f>
        <v>0</v>
      </c>
      <c r="W85" s="9">
        <f>W42-SUM(BS42:BV42)</f>
        <v>0</v>
      </c>
      <c r="X85" s="9">
        <f>X42-SUM(BW42:BZ42)</f>
        <v>0</v>
      </c>
      <c r="Y85" s="9">
        <f>Y42-SUM(CA42:CD42)</f>
        <v>2660.8000000000006</v>
      </c>
      <c r="Z85" s="9">
        <f>Z42-SUM(CB42:CE42)</f>
        <v>3623.2999999999997</v>
      </c>
      <c r="AA85" s="15">
        <f>AA42-SUM(CK42:CN42)</f>
        <v>0</v>
      </c>
      <c r="AB85" s="15">
        <f>AB42-SUM(CO42:CR42)</f>
        <v>0</v>
      </c>
      <c r="AC85" s="15">
        <f>AC42-SUM(CS42:CV42)</f>
        <v>0</v>
      </c>
      <c r="AD85" s="15">
        <f>AD42-SUM(CW42:CZ42)</f>
        <v>0</v>
      </c>
      <c r="AE85" s="15">
        <f>AE42-SUM(DA42:DD42)</f>
        <v>0</v>
      </c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133"/>
      <c r="DF85" s="9">
        <v>0</v>
      </c>
    </row>
    <row r="86" spans="1:110" s="9" customFormat="1" x14ac:dyDescent="0.2">
      <c r="A86" s="9" t="s">
        <v>455</v>
      </c>
      <c r="N86" s="9">
        <f>N54-SUM(AI54:AL54)</f>
        <v>0</v>
      </c>
      <c r="O86" s="9">
        <f>O54-SUM(AM54:AP54)</f>
        <v>0</v>
      </c>
      <c r="P86" s="9">
        <f>P54-SUM(AQ54:AT54)</f>
        <v>0</v>
      </c>
      <c r="Q86" s="9">
        <f>Q54-SUM(AU54:AX54)</f>
        <v>0</v>
      </c>
      <c r="R86" s="9">
        <f>R54-SUM(AY54:BB54)</f>
        <v>0</v>
      </c>
      <c r="S86" s="9">
        <f>S54-SUM(BC54:BF54)</f>
        <v>0</v>
      </c>
      <c r="T86" s="9">
        <f>T54-SUM(BG54:BJ54)</f>
        <v>0</v>
      </c>
      <c r="U86" s="9">
        <f>U54-SUM(BK54:BN54)</f>
        <v>0</v>
      </c>
      <c r="V86" s="9">
        <f>V54-SUM(BO54:BR54)</f>
        <v>0</v>
      </c>
      <c r="W86" s="9">
        <f>W54-SUM(BS54:BV54)</f>
        <v>0</v>
      </c>
      <c r="X86" s="9">
        <f>X54-SUM(BW54:BZ54)</f>
        <v>0</v>
      </c>
      <c r="Y86" s="9">
        <f>Y54-SUM(CA54:CD54)</f>
        <v>586.00000000000102</v>
      </c>
      <c r="Z86" s="9">
        <f>Z54-SUM(CB54:CE54)</f>
        <v>1007.1</v>
      </c>
      <c r="AA86" s="15">
        <f>AA54-SUM(CK54:CN54)</f>
        <v>0</v>
      </c>
      <c r="AB86" s="15">
        <f>AB54-SUM(CO54:CR54)</f>
        <v>0</v>
      </c>
      <c r="AC86" s="15">
        <f>AC54-SUM(CS54:CV54)</f>
        <v>0</v>
      </c>
      <c r="AD86" s="15">
        <f>AD54-SUM(CW54:CZ54)</f>
        <v>0</v>
      </c>
      <c r="AE86" s="15">
        <f>AE54-SUM(DA54:DD54)</f>
        <v>0</v>
      </c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133"/>
      <c r="DF86" s="9">
        <v>-23.400000000000091</v>
      </c>
    </row>
    <row r="87" spans="1:110" s="9" customFormat="1" x14ac:dyDescent="0.2">
      <c r="A87" s="9" t="s">
        <v>456</v>
      </c>
      <c r="N87" s="9">
        <f>N74-SUM(AI74:AL74)</f>
        <v>0</v>
      </c>
      <c r="O87" s="9">
        <f>O74-SUM(AM74:AP74)</f>
        <v>0</v>
      </c>
      <c r="P87" s="9">
        <f>P74-SUM(AQ74:AT74)</f>
        <v>0</v>
      </c>
      <c r="Q87" s="9">
        <f>Q74-SUM(AU74:AX74)</f>
        <v>0</v>
      </c>
      <c r="R87" s="9">
        <f>R74-SUM(AY74:BB74)</f>
        <v>0</v>
      </c>
      <c r="S87" s="9">
        <f>S74-SUM(BC74:BF74)</f>
        <v>0</v>
      </c>
      <c r="T87" s="9">
        <f>T74-SUM(BG74:BJ74)</f>
        <v>0</v>
      </c>
      <c r="U87" s="9">
        <f>U74-SUM(BK74:BN74)</f>
        <v>0</v>
      </c>
      <c r="V87" s="9">
        <f>V74-SUM(BO74:BR74)</f>
        <v>0</v>
      </c>
      <c r="W87" s="9">
        <f>W67-SUM(BS67:BV67)</f>
        <v>0</v>
      </c>
      <c r="X87" s="9">
        <f>X67-SUM(BW67:BZ67)</f>
        <v>0</v>
      </c>
      <c r="Y87" s="9">
        <f>Y67-SUM(CA67:CD67)</f>
        <v>419.50000000000102</v>
      </c>
      <c r="Z87" s="9">
        <f>Z67-SUM(CB67:CE67)</f>
        <v>773.8</v>
      </c>
      <c r="AA87" s="15">
        <f>AA67-SUM(CK67:CN67)</f>
        <v>0</v>
      </c>
      <c r="AB87" s="15">
        <f>AB67-SUM(CO67:CR67)</f>
        <v>0</v>
      </c>
      <c r="AC87" s="15">
        <f>AC67-SUM(CS67:CV67)</f>
        <v>0</v>
      </c>
      <c r="AD87" s="15">
        <f>AD67-SUM(CW67:CZ67)</f>
        <v>0</v>
      </c>
      <c r="AE87" s="15">
        <f>AE67-SUM(DA67:DD67)</f>
        <v>0</v>
      </c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133"/>
      <c r="DF87" s="9">
        <v>0</v>
      </c>
    </row>
    <row r="88" spans="1:110" s="8" customFormat="1" x14ac:dyDescent="0.2">
      <c r="A88" s="149" t="s">
        <v>489</v>
      </c>
      <c r="AA88" s="58"/>
      <c r="AB88" s="58"/>
      <c r="AC88" s="58"/>
      <c r="AD88" s="58"/>
      <c r="AE88" s="58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132"/>
      <c r="DF88" s="216"/>
    </row>
    <row r="89" spans="1:110" s="3" customFormat="1" x14ac:dyDescent="0.2">
      <c r="A89" s="3" t="s">
        <v>27</v>
      </c>
      <c r="B89" s="3">
        <f>'Annual Raw'!C104</f>
        <v>0</v>
      </c>
      <c r="C89" s="3">
        <f>'Annual Raw'!D104</f>
        <v>0</v>
      </c>
      <c r="D89" s="3">
        <f>'Annual Raw'!E104</f>
        <v>0</v>
      </c>
      <c r="E89" s="3">
        <f t="shared" ref="E89:Z89" si="822">+F89</f>
        <v>71.2</v>
      </c>
      <c r="F89" s="3">
        <f t="shared" si="822"/>
        <v>71.2</v>
      </c>
      <c r="G89" s="3">
        <f t="shared" si="822"/>
        <v>71.2</v>
      </c>
      <c r="H89" s="3">
        <f t="shared" si="822"/>
        <v>71.2</v>
      </c>
      <c r="I89" s="3">
        <f t="shared" si="822"/>
        <v>71.2</v>
      </c>
      <c r="J89" s="3">
        <f t="shared" si="822"/>
        <v>71.2</v>
      </c>
      <c r="K89" s="3">
        <f t="shared" si="822"/>
        <v>71.2</v>
      </c>
      <c r="L89" s="3">
        <f t="shared" si="822"/>
        <v>71.2</v>
      </c>
      <c r="M89" s="3">
        <f t="shared" si="822"/>
        <v>71.2</v>
      </c>
      <c r="N89" s="3">
        <f t="shared" si="822"/>
        <v>71.2</v>
      </c>
      <c r="O89" s="3">
        <f t="shared" si="822"/>
        <v>71.2</v>
      </c>
      <c r="P89" s="3">
        <f t="shared" si="822"/>
        <v>71.2</v>
      </c>
      <c r="Q89" s="3">
        <f t="shared" si="822"/>
        <v>71.2</v>
      </c>
      <c r="R89" s="3">
        <f t="shared" si="822"/>
        <v>71.2</v>
      </c>
      <c r="S89" s="3">
        <f t="shared" si="822"/>
        <v>71.2</v>
      </c>
      <c r="T89" s="3">
        <f t="shared" si="822"/>
        <v>71.2</v>
      </c>
      <c r="U89" s="3">
        <f t="shared" si="822"/>
        <v>71.2</v>
      </c>
      <c r="V89" s="3">
        <f t="shared" si="822"/>
        <v>71.2</v>
      </c>
      <c r="W89" s="3">
        <f t="shared" si="822"/>
        <v>71.2</v>
      </c>
      <c r="X89" s="3">
        <f t="shared" si="822"/>
        <v>71.2</v>
      </c>
      <c r="Y89" s="3">
        <f t="shared" si="822"/>
        <v>71.2</v>
      </c>
      <c r="Z89" s="3">
        <f t="shared" si="822"/>
        <v>71.2</v>
      </c>
      <c r="AA89" s="37">
        <f>+CN89</f>
        <v>71.2</v>
      </c>
      <c r="AB89" s="37">
        <f>CR89</f>
        <v>71.2</v>
      </c>
      <c r="AC89" s="37">
        <f>CV89</f>
        <v>71.2</v>
      </c>
      <c r="AD89" s="37">
        <f>CZ89</f>
        <v>71.2</v>
      </c>
      <c r="AE89" s="37">
        <f>DD89</f>
        <v>71.2</v>
      </c>
      <c r="AI89" s="3">
        <f t="shared" ref="AI89:CH89" si="823">+AJ89</f>
        <v>71.2</v>
      </c>
      <c r="AJ89" s="3">
        <f t="shared" si="823"/>
        <v>71.2</v>
      </c>
      <c r="AK89" s="3">
        <f t="shared" si="823"/>
        <v>71.2</v>
      </c>
      <c r="AL89" s="3">
        <f t="shared" si="823"/>
        <v>71.2</v>
      </c>
      <c r="AM89" s="3">
        <f t="shared" si="823"/>
        <v>71.2</v>
      </c>
      <c r="AN89" s="3">
        <f t="shared" si="823"/>
        <v>71.2</v>
      </c>
      <c r="AO89" s="3">
        <f t="shared" si="823"/>
        <v>71.2</v>
      </c>
      <c r="AP89" s="3">
        <f t="shared" si="823"/>
        <v>71.2</v>
      </c>
      <c r="AQ89" s="3">
        <f t="shared" si="823"/>
        <v>71.2</v>
      </c>
      <c r="AR89" s="3">
        <f t="shared" si="823"/>
        <v>71.2</v>
      </c>
      <c r="AS89" s="3">
        <f t="shared" si="823"/>
        <v>71.2</v>
      </c>
      <c r="AT89" s="3">
        <f t="shared" si="823"/>
        <v>71.2</v>
      </c>
      <c r="AU89" s="3">
        <f t="shared" si="823"/>
        <v>71.2</v>
      </c>
      <c r="AV89" s="3">
        <f t="shared" si="823"/>
        <v>71.2</v>
      </c>
      <c r="AW89" s="3">
        <f t="shared" si="823"/>
        <v>71.2</v>
      </c>
      <c r="AX89" s="3">
        <f t="shared" si="823"/>
        <v>71.2</v>
      </c>
      <c r="AY89" s="3">
        <f t="shared" si="823"/>
        <v>71.2</v>
      </c>
      <c r="AZ89" s="3">
        <f t="shared" si="823"/>
        <v>71.2</v>
      </c>
      <c r="BA89" s="3">
        <f t="shared" si="823"/>
        <v>71.2</v>
      </c>
      <c r="BB89" s="3">
        <f t="shared" si="823"/>
        <v>71.2</v>
      </c>
      <c r="BC89" s="3">
        <f t="shared" si="823"/>
        <v>71.2</v>
      </c>
      <c r="BD89" s="3">
        <f t="shared" si="823"/>
        <v>71.2</v>
      </c>
      <c r="BE89" s="3">
        <f t="shared" si="823"/>
        <v>71.2</v>
      </c>
      <c r="BF89" s="3">
        <f t="shared" si="823"/>
        <v>71.2</v>
      </c>
      <c r="BG89" s="3">
        <f t="shared" si="823"/>
        <v>71.2</v>
      </c>
      <c r="BH89" s="3">
        <f t="shared" si="823"/>
        <v>71.2</v>
      </c>
      <c r="BI89" s="3">
        <f t="shared" si="823"/>
        <v>71.2</v>
      </c>
      <c r="BJ89" s="3">
        <f t="shared" si="823"/>
        <v>71.2</v>
      </c>
      <c r="BK89" s="3">
        <f t="shared" si="823"/>
        <v>71.2</v>
      </c>
      <c r="BL89" s="3">
        <f t="shared" si="823"/>
        <v>71.2</v>
      </c>
      <c r="BM89" s="3">
        <f t="shared" si="823"/>
        <v>71.2</v>
      </c>
      <c r="BN89" s="3">
        <f t="shared" si="823"/>
        <v>71.2</v>
      </c>
      <c r="BO89" s="3">
        <f t="shared" si="823"/>
        <v>71.2</v>
      </c>
      <c r="BP89" s="3">
        <f t="shared" si="823"/>
        <v>71.2</v>
      </c>
      <c r="BQ89" s="3">
        <f t="shared" si="823"/>
        <v>71.2</v>
      </c>
      <c r="BR89" s="3">
        <f t="shared" si="823"/>
        <v>71.2</v>
      </c>
      <c r="BS89" s="3">
        <f t="shared" si="823"/>
        <v>71.2</v>
      </c>
      <c r="BT89" s="3">
        <f t="shared" si="823"/>
        <v>71.2</v>
      </c>
      <c r="BU89" s="3">
        <f t="shared" si="823"/>
        <v>71.2</v>
      </c>
      <c r="BV89" s="3">
        <f t="shared" si="823"/>
        <v>71.2</v>
      </c>
      <c r="BW89" s="3">
        <f t="shared" si="823"/>
        <v>71.2</v>
      </c>
      <c r="BX89" s="3">
        <f t="shared" si="823"/>
        <v>71.2</v>
      </c>
      <c r="BY89" s="3">
        <f t="shared" si="823"/>
        <v>71.2</v>
      </c>
      <c r="BZ89" s="3">
        <f t="shared" si="823"/>
        <v>71.2</v>
      </c>
      <c r="CA89" s="3">
        <f t="shared" si="823"/>
        <v>71.2</v>
      </c>
      <c r="CB89" s="3">
        <f t="shared" si="823"/>
        <v>71.2</v>
      </c>
      <c r="CC89" s="3">
        <f t="shared" si="823"/>
        <v>71.2</v>
      </c>
      <c r="CD89" s="3">
        <f t="shared" si="823"/>
        <v>71.2</v>
      </c>
      <c r="CE89" s="3">
        <f t="shared" si="823"/>
        <v>71.2</v>
      </c>
      <c r="CF89" s="3">
        <f t="shared" si="823"/>
        <v>71.2</v>
      </c>
      <c r="CG89" s="3">
        <f t="shared" si="823"/>
        <v>71.2</v>
      </c>
      <c r="CH89" s="3">
        <f t="shared" si="823"/>
        <v>71.2</v>
      </c>
      <c r="CI89" s="3">
        <f>+CJ89</f>
        <v>71.2</v>
      </c>
      <c r="CJ89" s="3">
        <f>'QTR Raw'!BD45</f>
        <v>71.2</v>
      </c>
      <c r="CK89" s="3">
        <f>'QTR Raw'!BE45</f>
        <v>71.2</v>
      </c>
      <c r="CL89" s="3">
        <f>'QTR Raw'!BF45</f>
        <v>71.2</v>
      </c>
      <c r="CM89" s="37">
        <f>+CL89</f>
        <v>71.2</v>
      </c>
      <c r="CN89" s="37">
        <f t="shared" ref="CN89:CN90" si="824">+CM89</f>
        <v>71.2</v>
      </c>
      <c r="CO89" s="37">
        <f t="shared" ref="CO89:CO90" si="825">+CN89</f>
        <v>71.2</v>
      </c>
      <c r="CP89" s="37">
        <f t="shared" ref="CP89:CP90" si="826">+CO89</f>
        <v>71.2</v>
      </c>
      <c r="CQ89" s="37">
        <f>+CP89</f>
        <v>71.2</v>
      </c>
      <c r="CR89" s="37">
        <f t="shared" ref="CR89:CR90" si="827">+CQ89</f>
        <v>71.2</v>
      </c>
      <c r="CS89" s="37">
        <f t="shared" ref="CS89:CS90" si="828">+CR89</f>
        <v>71.2</v>
      </c>
      <c r="CT89" s="37">
        <f t="shared" ref="CT89:CT90" si="829">+CS89</f>
        <v>71.2</v>
      </c>
      <c r="CU89" s="37">
        <f t="shared" ref="CU89:CU90" si="830">+CT89</f>
        <v>71.2</v>
      </c>
      <c r="CV89" s="37">
        <f t="shared" ref="CV89:CV90" si="831">+CU89</f>
        <v>71.2</v>
      </c>
      <c r="CW89" s="37">
        <f t="shared" ref="CW89:CW90" si="832">+CV89</f>
        <v>71.2</v>
      </c>
      <c r="CX89" s="37">
        <f t="shared" ref="CX89:CX90" si="833">+CW89</f>
        <v>71.2</v>
      </c>
      <c r="CY89" s="37">
        <f t="shared" ref="CY89:CY90" si="834">+CX89</f>
        <v>71.2</v>
      </c>
      <c r="CZ89" s="37">
        <f t="shared" ref="CZ89:CZ90" si="835">+CY89</f>
        <v>71.2</v>
      </c>
      <c r="DA89" s="37">
        <f t="shared" ref="DA89:DA90" si="836">+CZ89</f>
        <v>71.2</v>
      </c>
      <c r="DB89" s="37">
        <f t="shared" ref="DB89:DB90" si="837">+DA89</f>
        <v>71.2</v>
      </c>
      <c r="DC89" s="37">
        <f t="shared" ref="DC89:DC90" si="838">+DB89</f>
        <v>71.2</v>
      </c>
      <c r="DD89" s="37">
        <f t="shared" ref="DD89:DD90" si="839">+DC89</f>
        <v>71.2</v>
      </c>
      <c r="DE89" s="134"/>
      <c r="DF89" s="3">
        <v>71.2</v>
      </c>
    </row>
    <row r="90" spans="1:110" s="3" customFormat="1" x14ac:dyDescent="0.2">
      <c r="A90" s="3" t="s">
        <v>28</v>
      </c>
      <c r="B90" s="3">
        <f>'Annual Raw'!C105</f>
        <v>0</v>
      </c>
      <c r="C90" s="3">
        <f>'Annual Raw'!D105</f>
        <v>0</v>
      </c>
      <c r="D90" s="3">
        <f>'Annual Raw'!E105</f>
        <v>0</v>
      </c>
      <c r="E90" s="3">
        <f t="shared" ref="E90:Z90" si="840">+F90</f>
        <v>2</v>
      </c>
      <c r="F90" s="3">
        <f t="shared" si="840"/>
        <v>2</v>
      </c>
      <c r="G90" s="3">
        <f t="shared" si="840"/>
        <v>2</v>
      </c>
      <c r="H90" s="3">
        <f t="shared" si="840"/>
        <v>2</v>
      </c>
      <c r="I90" s="3">
        <f t="shared" si="840"/>
        <v>2</v>
      </c>
      <c r="J90" s="3">
        <f t="shared" si="840"/>
        <v>2</v>
      </c>
      <c r="K90" s="3">
        <f t="shared" si="840"/>
        <v>2</v>
      </c>
      <c r="L90" s="3">
        <f t="shared" si="840"/>
        <v>2</v>
      </c>
      <c r="M90" s="3">
        <f t="shared" si="840"/>
        <v>2</v>
      </c>
      <c r="N90" s="3">
        <f t="shared" si="840"/>
        <v>2</v>
      </c>
      <c r="O90" s="3">
        <f t="shared" si="840"/>
        <v>2</v>
      </c>
      <c r="P90" s="3">
        <f t="shared" si="840"/>
        <v>2</v>
      </c>
      <c r="Q90" s="3">
        <f t="shared" si="840"/>
        <v>2</v>
      </c>
      <c r="R90" s="3">
        <f t="shared" si="840"/>
        <v>2</v>
      </c>
      <c r="S90" s="3">
        <f t="shared" si="840"/>
        <v>2</v>
      </c>
      <c r="T90" s="3">
        <f t="shared" si="840"/>
        <v>2</v>
      </c>
      <c r="U90" s="3">
        <f t="shared" si="840"/>
        <v>2</v>
      </c>
      <c r="V90" s="3">
        <f t="shared" si="840"/>
        <v>2</v>
      </c>
      <c r="W90" s="3">
        <f t="shared" si="840"/>
        <v>2</v>
      </c>
      <c r="X90" s="3">
        <f t="shared" si="840"/>
        <v>2</v>
      </c>
      <c r="Y90" s="3">
        <f t="shared" si="840"/>
        <v>2</v>
      </c>
      <c r="Z90" s="3">
        <f t="shared" si="840"/>
        <v>2</v>
      </c>
      <c r="AA90" s="37">
        <f t="shared" ref="AA90:AA91" si="841">+CN90</f>
        <v>2</v>
      </c>
      <c r="AB90" s="37">
        <f t="shared" ref="AB90:AB91" si="842">CR90</f>
        <v>2</v>
      </c>
      <c r="AC90" s="37">
        <f t="shared" ref="AC90:AC91" si="843">CV90</f>
        <v>2</v>
      </c>
      <c r="AD90" s="37">
        <f t="shared" ref="AD90:AD91" si="844">CZ90</f>
        <v>2</v>
      </c>
      <c r="AE90" s="37">
        <f t="shared" ref="AE90:AE91" si="845">DD90</f>
        <v>2</v>
      </c>
      <c r="AI90" s="3">
        <f t="shared" ref="AI90:CH90" si="846">AJ90</f>
        <v>2</v>
      </c>
      <c r="AJ90" s="3">
        <f t="shared" si="846"/>
        <v>2</v>
      </c>
      <c r="AK90" s="3">
        <f t="shared" si="846"/>
        <v>2</v>
      </c>
      <c r="AL90" s="3">
        <f t="shared" si="846"/>
        <v>2</v>
      </c>
      <c r="AM90" s="3">
        <f t="shared" si="846"/>
        <v>2</v>
      </c>
      <c r="AN90" s="3">
        <f t="shared" si="846"/>
        <v>2</v>
      </c>
      <c r="AO90" s="3">
        <f t="shared" si="846"/>
        <v>2</v>
      </c>
      <c r="AP90" s="3">
        <f t="shared" si="846"/>
        <v>2</v>
      </c>
      <c r="AQ90" s="3">
        <f t="shared" si="846"/>
        <v>2</v>
      </c>
      <c r="AR90" s="3">
        <f t="shared" si="846"/>
        <v>2</v>
      </c>
      <c r="AS90" s="3">
        <f t="shared" si="846"/>
        <v>2</v>
      </c>
      <c r="AT90" s="3">
        <f t="shared" si="846"/>
        <v>2</v>
      </c>
      <c r="AU90" s="3">
        <f t="shared" si="846"/>
        <v>2</v>
      </c>
      <c r="AV90" s="3">
        <f t="shared" si="846"/>
        <v>2</v>
      </c>
      <c r="AW90" s="3">
        <f t="shared" si="846"/>
        <v>2</v>
      </c>
      <c r="AX90" s="3">
        <f t="shared" si="846"/>
        <v>2</v>
      </c>
      <c r="AY90" s="3">
        <f t="shared" si="846"/>
        <v>2</v>
      </c>
      <c r="AZ90" s="3">
        <f t="shared" si="846"/>
        <v>2</v>
      </c>
      <c r="BA90" s="3">
        <f t="shared" si="846"/>
        <v>2</v>
      </c>
      <c r="BB90" s="3">
        <f t="shared" si="846"/>
        <v>2</v>
      </c>
      <c r="BC90" s="3">
        <f t="shared" si="846"/>
        <v>2</v>
      </c>
      <c r="BD90" s="3">
        <f t="shared" si="846"/>
        <v>2</v>
      </c>
      <c r="BE90" s="3">
        <f t="shared" si="846"/>
        <v>2</v>
      </c>
      <c r="BF90" s="3">
        <f t="shared" si="846"/>
        <v>2</v>
      </c>
      <c r="BG90" s="3">
        <f t="shared" si="846"/>
        <v>2</v>
      </c>
      <c r="BH90" s="3">
        <f t="shared" si="846"/>
        <v>2</v>
      </c>
      <c r="BI90" s="3">
        <f t="shared" si="846"/>
        <v>2</v>
      </c>
      <c r="BJ90" s="3">
        <f t="shared" si="846"/>
        <v>2</v>
      </c>
      <c r="BK90" s="3">
        <f t="shared" si="846"/>
        <v>2</v>
      </c>
      <c r="BL90" s="3">
        <f t="shared" si="846"/>
        <v>2</v>
      </c>
      <c r="BM90" s="3">
        <f t="shared" si="846"/>
        <v>2</v>
      </c>
      <c r="BN90" s="3">
        <f t="shared" si="846"/>
        <v>2</v>
      </c>
      <c r="BO90" s="3">
        <f t="shared" si="846"/>
        <v>2</v>
      </c>
      <c r="BP90" s="3">
        <f t="shared" si="846"/>
        <v>2</v>
      </c>
      <c r="BQ90" s="3">
        <f t="shared" si="846"/>
        <v>2</v>
      </c>
      <c r="BR90" s="3">
        <f t="shared" si="846"/>
        <v>2</v>
      </c>
      <c r="BS90" s="3">
        <f t="shared" si="846"/>
        <v>2</v>
      </c>
      <c r="BT90" s="3">
        <f t="shared" si="846"/>
        <v>2</v>
      </c>
      <c r="BU90" s="3">
        <f t="shared" si="846"/>
        <v>2</v>
      </c>
      <c r="BV90" s="3">
        <f t="shared" si="846"/>
        <v>2</v>
      </c>
      <c r="BW90" s="3">
        <f t="shared" si="846"/>
        <v>2</v>
      </c>
      <c r="BX90" s="3">
        <f t="shared" si="846"/>
        <v>2</v>
      </c>
      <c r="BY90" s="3">
        <f t="shared" si="846"/>
        <v>2</v>
      </c>
      <c r="BZ90" s="3">
        <f t="shared" si="846"/>
        <v>2</v>
      </c>
      <c r="CA90" s="3">
        <f t="shared" si="846"/>
        <v>2</v>
      </c>
      <c r="CB90" s="3">
        <f t="shared" si="846"/>
        <v>2</v>
      </c>
      <c r="CC90" s="3">
        <f t="shared" si="846"/>
        <v>2</v>
      </c>
      <c r="CD90" s="3">
        <f t="shared" si="846"/>
        <v>2</v>
      </c>
      <c r="CE90" s="3">
        <f t="shared" si="846"/>
        <v>2</v>
      </c>
      <c r="CF90" s="3">
        <f t="shared" si="846"/>
        <v>2</v>
      </c>
      <c r="CG90" s="3">
        <f t="shared" si="846"/>
        <v>2</v>
      </c>
      <c r="CH90" s="3">
        <f t="shared" si="846"/>
        <v>2</v>
      </c>
      <c r="CI90" s="3">
        <f>CJ90</f>
        <v>2</v>
      </c>
      <c r="CJ90" s="3">
        <f>'QTR Raw'!BD46</f>
        <v>2</v>
      </c>
      <c r="CK90" s="3">
        <f>'QTR Raw'!BE46</f>
        <v>2</v>
      </c>
      <c r="CL90" s="3">
        <f>'QTR Raw'!BF46</f>
        <v>2</v>
      </c>
      <c r="CM90" s="37">
        <f t="shared" ref="CM90" si="847">+CL90</f>
        <v>2</v>
      </c>
      <c r="CN90" s="37">
        <f t="shared" si="824"/>
        <v>2</v>
      </c>
      <c r="CO90" s="37">
        <f t="shared" si="825"/>
        <v>2</v>
      </c>
      <c r="CP90" s="37">
        <f t="shared" si="826"/>
        <v>2</v>
      </c>
      <c r="CQ90" s="37">
        <f t="shared" ref="CQ90" si="848">+CP90</f>
        <v>2</v>
      </c>
      <c r="CR90" s="37">
        <f t="shared" si="827"/>
        <v>2</v>
      </c>
      <c r="CS90" s="37">
        <f t="shared" si="828"/>
        <v>2</v>
      </c>
      <c r="CT90" s="37">
        <f t="shared" si="829"/>
        <v>2</v>
      </c>
      <c r="CU90" s="37">
        <f t="shared" si="830"/>
        <v>2</v>
      </c>
      <c r="CV90" s="37">
        <f t="shared" si="831"/>
        <v>2</v>
      </c>
      <c r="CW90" s="37">
        <f t="shared" si="832"/>
        <v>2</v>
      </c>
      <c r="CX90" s="37">
        <f t="shared" si="833"/>
        <v>2</v>
      </c>
      <c r="CY90" s="37">
        <f t="shared" si="834"/>
        <v>2</v>
      </c>
      <c r="CZ90" s="37">
        <f t="shared" si="835"/>
        <v>2</v>
      </c>
      <c r="DA90" s="37">
        <f t="shared" si="836"/>
        <v>2</v>
      </c>
      <c r="DB90" s="37">
        <f t="shared" si="837"/>
        <v>2</v>
      </c>
      <c r="DC90" s="37">
        <f t="shared" si="838"/>
        <v>2</v>
      </c>
      <c r="DD90" s="37">
        <f t="shared" si="839"/>
        <v>2</v>
      </c>
      <c r="DE90" s="134"/>
      <c r="DF90" s="3">
        <v>2</v>
      </c>
    </row>
    <row r="91" spans="1:110" s="3" customFormat="1" x14ac:dyDescent="0.2">
      <c r="A91" s="3" t="s">
        <v>29</v>
      </c>
      <c r="B91" s="3" t="e">
        <f>B89/B90</f>
        <v>#DIV/0!</v>
      </c>
      <c r="C91" s="3" t="e">
        <f t="shared" ref="C91:W91" si="849">C89/C90</f>
        <v>#DIV/0!</v>
      </c>
      <c r="D91" s="3" t="e">
        <f t="shared" si="849"/>
        <v>#DIV/0!</v>
      </c>
      <c r="E91" s="3">
        <f t="shared" si="849"/>
        <v>35.6</v>
      </c>
      <c r="F91" s="3">
        <f t="shared" si="849"/>
        <v>35.6</v>
      </c>
      <c r="G91" s="3">
        <f t="shared" si="849"/>
        <v>35.6</v>
      </c>
      <c r="H91" s="3">
        <f t="shared" si="849"/>
        <v>35.6</v>
      </c>
      <c r="I91" s="3">
        <f t="shared" si="849"/>
        <v>35.6</v>
      </c>
      <c r="J91" s="3">
        <f t="shared" si="849"/>
        <v>35.6</v>
      </c>
      <c r="K91" s="3">
        <f t="shared" si="849"/>
        <v>35.6</v>
      </c>
      <c r="L91" s="3">
        <f t="shared" si="849"/>
        <v>35.6</v>
      </c>
      <c r="M91" s="3">
        <f t="shared" si="849"/>
        <v>35.6</v>
      </c>
      <c r="N91" s="3">
        <f t="shared" si="849"/>
        <v>35.6</v>
      </c>
      <c r="O91" s="3">
        <f t="shared" si="849"/>
        <v>35.6</v>
      </c>
      <c r="P91" s="3">
        <f t="shared" si="849"/>
        <v>35.6</v>
      </c>
      <c r="Q91" s="3">
        <f t="shared" si="849"/>
        <v>35.6</v>
      </c>
      <c r="R91" s="3">
        <f t="shared" si="849"/>
        <v>35.6</v>
      </c>
      <c r="S91" s="3">
        <f t="shared" si="849"/>
        <v>35.6</v>
      </c>
      <c r="T91" s="3">
        <f t="shared" si="849"/>
        <v>35.6</v>
      </c>
      <c r="U91" s="3">
        <f t="shared" si="849"/>
        <v>35.6</v>
      </c>
      <c r="V91" s="3">
        <f>V89/V90</f>
        <v>35.6</v>
      </c>
      <c r="W91" s="3">
        <f t="shared" si="849"/>
        <v>35.6</v>
      </c>
      <c r="X91" s="3">
        <f t="shared" ref="X91:Y91" si="850">X89/X90</f>
        <v>35.6</v>
      </c>
      <c r="Y91" s="3">
        <f t="shared" si="850"/>
        <v>35.6</v>
      </c>
      <c r="Z91" s="3">
        <f t="shared" ref="Z91" si="851">Z89/Z90</f>
        <v>35.6</v>
      </c>
      <c r="AA91" s="37">
        <f t="shared" si="841"/>
        <v>35.6</v>
      </c>
      <c r="AB91" s="37">
        <f t="shared" si="842"/>
        <v>35.6</v>
      </c>
      <c r="AC91" s="37">
        <f t="shared" si="843"/>
        <v>35.6</v>
      </c>
      <c r="AD91" s="37">
        <f t="shared" si="844"/>
        <v>35.6</v>
      </c>
      <c r="AE91" s="37">
        <f t="shared" si="845"/>
        <v>35.6</v>
      </c>
      <c r="AI91" s="3">
        <f t="shared" ref="AI91" si="852">AI89/AI90</f>
        <v>35.6</v>
      </c>
      <c r="AJ91" s="3">
        <f t="shared" ref="AJ91" si="853">AJ89/AJ90</f>
        <v>35.6</v>
      </c>
      <c r="AK91" s="3">
        <f t="shared" ref="AK91:AM91" si="854">AK89/AK90</f>
        <v>35.6</v>
      </c>
      <c r="AL91" s="3">
        <f t="shared" si="854"/>
        <v>35.6</v>
      </c>
      <c r="AM91" s="3">
        <f t="shared" si="854"/>
        <v>35.6</v>
      </c>
      <c r="AN91" s="3">
        <f t="shared" ref="AN91:AO91" si="855">AN89/AN90</f>
        <v>35.6</v>
      </c>
      <c r="AO91" s="3">
        <f t="shared" si="855"/>
        <v>35.6</v>
      </c>
      <c r="AP91" s="3">
        <f t="shared" ref="AP91:CD91" si="856">AP89/AP90</f>
        <v>35.6</v>
      </c>
      <c r="AQ91" s="3">
        <f t="shared" si="856"/>
        <v>35.6</v>
      </c>
      <c r="AR91" s="3">
        <f t="shared" si="856"/>
        <v>35.6</v>
      </c>
      <c r="AS91" s="3">
        <f t="shared" si="856"/>
        <v>35.6</v>
      </c>
      <c r="AT91" s="3">
        <f t="shared" si="856"/>
        <v>35.6</v>
      </c>
      <c r="AU91" s="3">
        <f t="shared" si="856"/>
        <v>35.6</v>
      </c>
      <c r="AV91" s="3">
        <f t="shared" si="856"/>
        <v>35.6</v>
      </c>
      <c r="AW91" s="3">
        <f t="shared" si="856"/>
        <v>35.6</v>
      </c>
      <c r="AX91" s="3">
        <f t="shared" si="856"/>
        <v>35.6</v>
      </c>
      <c r="AY91" s="3">
        <f t="shared" si="856"/>
        <v>35.6</v>
      </c>
      <c r="AZ91" s="3">
        <f t="shared" si="856"/>
        <v>35.6</v>
      </c>
      <c r="BA91" s="3">
        <f t="shared" si="856"/>
        <v>35.6</v>
      </c>
      <c r="BB91" s="3">
        <f t="shared" si="856"/>
        <v>35.6</v>
      </c>
      <c r="BC91" s="3">
        <f t="shared" si="856"/>
        <v>35.6</v>
      </c>
      <c r="BD91" s="3">
        <f t="shared" si="856"/>
        <v>35.6</v>
      </c>
      <c r="BE91" s="3">
        <f t="shared" si="856"/>
        <v>35.6</v>
      </c>
      <c r="BF91" s="3">
        <f t="shared" si="856"/>
        <v>35.6</v>
      </c>
      <c r="BG91" s="3">
        <f t="shared" si="856"/>
        <v>35.6</v>
      </c>
      <c r="BH91" s="3">
        <f t="shared" si="856"/>
        <v>35.6</v>
      </c>
      <c r="BI91" s="3">
        <f t="shared" si="856"/>
        <v>35.6</v>
      </c>
      <c r="BJ91" s="3">
        <f t="shared" si="856"/>
        <v>35.6</v>
      </c>
      <c r="BK91" s="3">
        <f t="shared" si="856"/>
        <v>35.6</v>
      </c>
      <c r="BL91" s="3">
        <f t="shared" si="856"/>
        <v>35.6</v>
      </c>
      <c r="BM91" s="3">
        <f t="shared" si="856"/>
        <v>35.6</v>
      </c>
      <c r="BN91" s="3">
        <f t="shared" si="856"/>
        <v>35.6</v>
      </c>
      <c r="BO91" s="3">
        <f t="shared" si="856"/>
        <v>35.6</v>
      </c>
      <c r="BP91" s="3">
        <f t="shared" si="856"/>
        <v>35.6</v>
      </c>
      <c r="BQ91" s="3">
        <f t="shared" si="856"/>
        <v>35.6</v>
      </c>
      <c r="BR91" s="3">
        <f t="shared" si="856"/>
        <v>35.6</v>
      </c>
      <c r="BS91" s="3">
        <f t="shared" si="856"/>
        <v>35.6</v>
      </c>
      <c r="BT91" s="3">
        <f t="shared" si="856"/>
        <v>35.6</v>
      </c>
      <c r="BU91" s="3">
        <f t="shared" si="856"/>
        <v>35.6</v>
      </c>
      <c r="BV91" s="3">
        <f t="shared" si="856"/>
        <v>35.6</v>
      </c>
      <c r="BW91" s="3">
        <f t="shared" si="856"/>
        <v>35.6</v>
      </c>
      <c r="BX91" s="3">
        <f t="shared" si="856"/>
        <v>35.6</v>
      </c>
      <c r="BY91" s="3">
        <f t="shared" si="856"/>
        <v>35.6</v>
      </c>
      <c r="BZ91" s="3">
        <f t="shared" si="856"/>
        <v>35.6</v>
      </c>
      <c r="CA91" s="3">
        <f t="shared" si="856"/>
        <v>35.6</v>
      </c>
      <c r="CB91" s="3">
        <f t="shared" si="856"/>
        <v>35.6</v>
      </c>
      <c r="CC91" s="3">
        <f t="shared" si="856"/>
        <v>35.6</v>
      </c>
      <c r="CD91" s="3">
        <f t="shared" si="856"/>
        <v>35.6</v>
      </c>
      <c r="CE91" s="3">
        <f t="shared" ref="CE91:CF91" si="857">CE89/CE90</f>
        <v>35.6</v>
      </c>
      <c r="CF91" s="3">
        <f t="shared" si="857"/>
        <v>35.6</v>
      </c>
      <c r="CG91" s="3">
        <f t="shared" ref="CG91:CH91" si="858">CG89/CG90</f>
        <v>35.6</v>
      </c>
      <c r="CH91" s="3">
        <f t="shared" si="858"/>
        <v>35.6</v>
      </c>
      <c r="CI91" s="3">
        <f t="shared" ref="CI91:CJ91" si="859">CI89/CI90</f>
        <v>35.6</v>
      </c>
      <c r="CJ91" s="3">
        <f t="shared" si="859"/>
        <v>35.6</v>
      </c>
      <c r="CK91" s="3">
        <f t="shared" ref="CK91" si="860">CK89/CK90</f>
        <v>35.6</v>
      </c>
      <c r="CL91" s="3">
        <f t="shared" ref="CL91" si="861">CL89/CL90</f>
        <v>35.6</v>
      </c>
      <c r="CM91" s="37">
        <f t="shared" ref="CM91:DB91" si="862">CM89/CM90</f>
        <v>35.6</v>
      </c>
      <c r="CN91" s="37">
        <f t="shared" si="862"/>
        <v>35.6</v>
      </c>
      <c r="CO91" s="37">
        <f t="shared" si="862"/>
        <v>35.6</v>
      </c>
      <c r="CP91" s="37">
        <f t="shared" si="862"/>
        <v>35.6</v>
      </c>
      <c r="CQ91" s="37">
        <f t="shared" si="862"/>
        <v>35.6</v>
      </c>
      <c r="CR91" s="37">
        <f t="shared" si="862"/>
        <v>35.6</v>
      </c>
      <c r="CS91" s="37">
        <f t="shared" si="862"/>
        <v>35.6</v>
      </c>
      <c r="CT91" s="37">
        <f t="shared" si="862"/>
        <v>35.6</v>
      </c>
      <c r="CU91" s="37">
        <f t="shared" si="862"/>
        <v>35.6</v>
      </c>
      <c r="CV91" s="37">
        <f t="shared" si="862"/>
        <v>35.6</v>
      </c>
      <c r="CW91" s="37">
        <f t="shared" si="862"/>
        <v>35.6</v>
      </c>
      <c r="CX91" s="37">
        <f t="shared" si="862"/>
        <v>35.6</v>
      </c>
      <c r="CY91" s="37">
        <f t="shared" si="862"/>
        <v>35.6</v>
      </c>
      <c r="CZ91" s="37">
        <f t="shared" si="862"/>
        <v>35.6</v>
      </c>
      <c r="DA91" s="37">
        <f t="shared" si="862"/>
        <v>35.6</v>
      </c>
      <c r="DB91" s="37">
        <f t="shared" si="862"/>
        <v>35.6</v>
      </c>
      <c r="DC91" s="37">
        <f t="shared" ref="DC91:DD91" si="863">DC89/DC90</f>
        <v>35.6</v>
      </c>
      <c r="DD91" s="37">
        <f t="shared" si="863"/>
        <v>35.6</v>
      </c>
      <c r="DE91" s="134"/>
      <c r="DF91" s="3">
        <v>35.6</v>
      </c>
    </row>
    <row r="92" spans="1:110" s="53" customFormat="1" x14ac:dyDescent="0.2">
      <c r="A92" s="53" t="s">
        <v>30</v>
      </c>
      <c r="B92" s="53" t="e">
        <f t="shared" ref="B92:AE92" si="864">(B74-B73)/B91</f>
        <v>#DIV/0!</v>
      </c>
      <c r="C92" s="53" t="e">
        <f t="shared" si="864"/>
        <v>#DIV/0!</v>
      </c>
      <c r="D92" s="53" t="e">
        <f t="shared" si="864"/>
        <v>#DIV/0!</v>
      </c>
      <c r="E92" s="53">
        <f t="shared" si="864"/>
        <v>0</v>
      </c>
      <c r="F92" s="53">
        <f t="shared" si="864"/>
        <v>0</v>
      </c>
      <c r="G92" s="53">
        <f t="shared" si="864"/>
        <v>0</v>
      </c>
      <c r="H92" s="53">
        <f t="shared" si="864"/>
        <v>0</v>
      </c>
      <c r="I92" s="53">
        <f t="shared" si="864"/>
        <v>0</v>
      </c>
      <c r="J92" s="53">
        <f t="shared" si="864"/>
        <v>0</v>
      </c>
      <c r="K92" s="53">
        <f t="shared" si="864"/>
        <v>0</v>
      </c>
      <c r="L92" s="53">
        <f t="shared" si="864"/>
        <v>0</v>
      </c>
      <c r="M92" s="53">
        <f t="shared" si="864"/>
        <v>0</v>
      </c>
      <c r="N92" s="53">
        <f t="shared" si="864"/>
        <v>0</v>
      </c>
      <c r="O92" s="53">
        <f t="shared" si="864"/>
        <v>0</v>
      </c>
      <c r="P92" s="53">
        <f t="shared" si="864"/>
        <v>0</v>
      </c>
      <c r="Q92" s="53">
        <f t="shared" si="864"/>
        <v>0</v>
      </c>
      <c r="R92" s="53">
        <f t="shared" si="864"/>
        <v>0</v>
      </c>
      <c r="S92" s="53">
        <f t="shared" si="864"/>
        <v>0</v>
      </c>
      <c r="T92" s="53">
        <f t="shared" si="864"/>
        <v>0</v>
      </c>
      <c r="U92" s="53">
        <f t="shared" si="864"/>
        <v>0</v>
      </c>
      <c r="V92" s="53">
        <f t="shared" si="864"/>
        <v>0</v>
      </c>
      <c r="W92" s="53">
        <f t="shared" si="864"/>
        <v>0</v>
      </c>
      <c r="X92" s="53">
        <f t="shared" si="864"/>
        <v>0</v>
      </c>
      <c r="Y92" s="53">
        <f t="shared" si="864"/>
        <v>16.853932584269689</v>
      </c>
      <c r="Z92" s="53">
        <f t="shared" ref="Z92" si="865">(Z74-Z73)/Z91</f>
        <v>30.901685393258422</v>
      </c>
      <c r="AA92" s="54">
        <f t="shared" si="864"/>
        <v>44.129210349051156</v>
      </c>
      <c r="AB92" s="54">
        <f t="shared" si="864"/>
        <v>53.210561458367422</v>
      </c>
      <c r="AC92" s="54">
        <f t="shared" si="864"/>
        <v>64.496824778587609</v>
      </c>
      <c r="AD92" s="54">
        <f t="shared" si="864"/>
        <v>76.525993906328608</v>
      </c>
      <c r="AE92" s="54">
        <f t="shared" si="864"/>
        <v>90.581939879734179</v>
      </c>
      <c r="AI92" s="53">
        <f t="shared" ref="AI92:BN92" si="866">(AI74-AI73)/AI91</f>
        <v>0</v>
      </c>
      <c r="AJ92" s="53">
        <f t="shared" si="866"/>
        <v>0</v>
      </c>
      <c r="AK92" s="53">
        <f t="shared" si="866"/>
        <v>0</v>
      </c>
      <c r="AL92" s="53">
        <f t="shared" si="866"/>
        <v>0</v>
      </c>
      <c r="AM92" s="53">
        <f t="shared" si="866"/>
        <v>0</v>
      </c>
      <c r="AN92" s="53">
        <f t="shared" si="866"/>
        <v>0</v>
      </c>
      <c r="AO92" s="53">
        <f t="shared" si="866"/>
        <v>0</v>
      </c>
      <c r="AP92" s="53">
        <f t="shared" si="866"/>
        <v>0</v>
      </c>
      <c r="AQ92" s="53">
        <f t="shared" si="866"/>
        <v>0</v>
      </c>
      <c r="AR92" s="53">
        <f t="shared" si="866"/>
        <v>0</v>
      </c>
      <c r="AS92" s="53">
        <f t="shared" si="866"/>
        <v>0</v>
      </c>
      <c r="AT92" s="53">
        <f t="shared" si="866"/>
        <v>0</v>
      </c>
      <c r="AU92" s="53">
        <f t="shared" si="866"/>
        <v>0</v>
      </c>
      <c r="AV92" s="53">
        <f t="shared" si="866"/>
        <v>0</v>
      </c>
      <c r="AW92" s="53">
        <f t="shared" si="866"/>
        <v>0</v>
      </c>
      <c r="AX92" s="53">
        <f t="shared" si="866"/>
        <v>0</v>
      </c>
      <c r="AY92" s="53">
        <f t="shared" si="866"/>
        <v>0</v>
      </c>
      <c r="AZ92" s="53">
        <f t="shared" si="866"/>
        <v>0</v>
      </c>
      <c r="BA92" s="53">
        <f t="shared" si="866"/>
        <v>0</v>
      </c>
      <c r="BB92" s="53">
        <f t="shared" si="866"/>
        <v>0</v>
      </c>
      <c r="BC92" s="53">
        <f t="shared" si="866"/>
        <v>0</v>
      </c>
      <c r="BD92" s="53">
        <f t="shared" si="866"/>
        <v>0</v>
      </c>
      <c r="BE92" s="53">
        <f t="shared" si="866"/>
        <v>0</v>
      </c>
      <c r="BF92" s="53">
        <f t="shared" si="866"/>
        <v>0</v>
      </c>
      <c r="BG92" s="53">
        <f t="shared" si="866"/>
        <v>0</v>
      </c>
      <c r="BH92" s="53">
        <f t="shared" si="866"/>
        <v>0</v>
      </c>
      <c r="BI92" s="53">
        <f t="shared" si="866"/>
        <v>0</v>
      </c>
      <c r="BJ92" s="53">
        <f t="shared" si="866"/>
        <v>0</v>
      </c>
      <c r="BK92" s="53">
        <f t="shared" si="866"/>
        <v>0</v>
      </c>
      <c r="BL92" s="53">
        <f t="shared" si="866"/>
        <v>0</v>
      </c>
      <c r="BM92" s="53">
        <f t="shared" si="866"/>
        <v>0</v>
      </c>
      <c r="BN92" s="53">
        <f t="shared" si="866"/>
        <v>0</v>
      </c>
      <c r="BO92" s="53">
        <f t="shared" ref="BO92:CT92" si="867">(BO74-BO73)/BO91</f>
        <v>0</v>
      </c>
      <c r="BP92" s="53">
        <f t="shared" si="867"/>
        <v>0</v>
      </c>
      <c r="BQ92" s="53">
        <f t="shared" si="867"/>
        <v>0</v>
      </c>
      <c r="BR92" s="53">
        <f t="shared" si="867"/>
        <v>0</v>
      </c>
      <c r="BS92" s="53">
        <f t="shared" si="867"/>
        <v>0</v>
      </c>
      <c r="BT92" s="53">
        <f t="shared" si="867"/>
        <v>0</v>
      </c>
      <c r="BU92" s="53">
        <f t="shared" si="867"/>
        <v>0</v>
      </c>
      <c r="BV92" s="53">
        <f t="shared" si="867"/>
        <v>0</v>
      </c>
      <c r="BW92" s="53">
        <f t="shared" si="867"/>
        <v>0</v>
      </c>
      <c r="BX92" s="53">
        <f t="shared" si="867"/>
        <v>0</v>
      </c>
      <c r="BY92" s="53">
        <f t="shared" si="867"/>
        <v>0</v>
      </c>
      <c r="BZ92" s="53">
        <f t="shared" si="867"/>
        <v>0</v>
      </c>
      <c r="CA92" s="53">
        <f t="shared" si="867"/>
        <v>0</v>
      </c>
      <c r="CB92" s="53">
        <f t="shared" si="867"/>
        <v>0</v>
      </c>
      <c r="CC92" s="53">
        <f t="shared" si="867"/>
        <v>0</v>
      </c>
      <c r="CD92" s="53">
        <f t="shared" si="867"/>
        <v>5.0702247191011196</v>
      </c>
      <c r="CE92" s="53">
        <f t="shared" si="867"/>
        <v>4.0955056179775298</v>
      </c>
      <c r="CF92" s="53">
        <f t="shared" si="867"/>
        <v>7.6882022471910059</v>
      </c>
      <c r="CG92" s="53">
        <f t="shared" si="867"/>
        <v>6.5084269662921379</v>
      </c>
      <c r="CH92" s="53">
        <f t="shared" si="867"/>
        <v>6.9129213483146055</v>
      </c>
      <c r="CI92" s="53">
        <f t="shared" si="867"/>
        <v>7.3792134831460592</v>
      </c>
      <c r="CJ92" s="53">
        <f t="shared" si="867"/>
        <v>10.101123595505623</v>
      </c>
      <c r="CK92" s="53">
        <f t="shared" ref="CK92" si="868">(CK74-CK73)/CK91</f>
        <v>10.247191011235961</v>
      </c>
      <c r="CL92" s="53">
        <f t="shared" ref="CL92" si="869">(CL74-CL73)/CL91</f>
        <v>10.522471910112356</v>
      </c>
      <c r="CM92" s="54">
        <f t="shared" si="867"/>
        <v>9.4897179308104249</v>
      </c>
      <c r="CN92" s="54">
        <f t="shared" si="867"/>
        <v>13.869829496892416</v>
      </c>
      <c r="CO92" s="54">
        <f t="shared" si="867"/>
        <v>11.36652513199992</v>
      </c>
      <c r="CP92" s="54">
        <f t="shared" si="867"/>
        <v>13.648755454447702</v>
      </c>
      <c r="CQ92" s="54">
        <f t="shared" si="867"/>
        <v>11.430222665251044</v>
      </c>
      <c r="CR92" s="54">
        <f t="shared" si="867"/>
        <v>16.765058206668755</v>
      </c>
      <c r="CS92" s="54">
        <f t="shared" si="867"/>
        <v>13.535819024395163</v>
      </c>
      <c r="CT92" s="54">
        <f t="shared" si="867"/>
        <v>16.547089149580945</v>
      </c>
      <c r="CU92" s="54">
        <f t="shared" ref="CU92:DB92" si="870">(CU74-CU73)/CU91</f>
        <v>14.02640386206793</v>
      </c>
      <c r="CV92" s="54">
        <f t="shared" si="870"/>
        <v>20.387512742543624</v>
      </c>
      <c r="CW92" s="54">
        <f t="shared" si="870"/>
        <v>16.256570993246058</v>
      </c>
      <c r="CX92" s="54">
        <f t="shared" si="870"/>
        <v>19.744685060281483</v>
      </c>
      <c r="CY92" s="54">
        <f t="shared" si="870"/>
        <v>16.639816551451055</v>
      </c>
      <c r="CZ92" s="54">
        <f t="shared" si="870"/>
        <v>23.88492130135003</v>
      </c>
      <c r="DA92" s="54">
        <f t="shared" si="870"/>
        <v>19.351236411948385</v>
      </c>
      <c r="DB92" s="54">
        <f t="shared" si="870"/>
        <v>23.371073771705106</v>
      </c>
      <c r="DC92" s="54">
        <f t="shared" ref="DC92:DD92" si="871">(DC74-DC73)/DC91</f>
        <v>19.701683933670619</v>
      </c>
      <c r="DD92" s="54">
        <f t="shared" si="871"/>
        <v>28.157945762410058</v>
      </c>
      <c r="DE92" s="132"/>
      <c r="DF92" s="53">
        <v>30.901685393258422</v>
      </c>
    </row>
    <row r="93" spans="1:110" s="3" customFormat="1" x14ac:dyDescent="0.2">
      <c r="A93" s="3" t="s">
        <v>31</v>
      </c>
      <c r="B93" s="3">
        <f>'Annual Raw'!C110</f>
        <v>0</v>
      </c>
      <c r="C93" s="3">
        <f>'Annual Raw'!D110</f>
        <v>0</v>
      </c>
      <c r="D93" s="3">
        <f>'Annual Raw'!E110</f>
        <v>0</v>
      </c>
      <c r="E93" s="3">
        <f>'Annual Raw'!F110</f>
        <v>0</v>
      </c>
      <c r="F93" s="3">
        <f>'Annual Raw'!G110</f>
        <v>0</v>
      </c>
      <c r="G93" s="3">
        <f>'Annual Raw'!H110</f>
        <v>0</v>
      </c>
      <c r="H93" s="3">
        <f>'Annual Raw'!I110</f>
        <v>0</v>
      </c>
      <c r="I93" s="3">
        <f>'Annual Raw'!J110</f>
        <v>0</v>
      </c>
      <c r="J93" s="3">
        <f>'Annual Raw'!K110</f>
        <v>0</v>
      </c>
      <c r="K93" s="3">
        <f>'Annual Raw'!L110</f>
        <v>0</v>
      </c>
      <c r="L93" s="3">
        <f>'Annual Raw'!M110</f>
        <v>0</v>
      </c>
      <c r="M93" s="3">
        <f>'Annual Raw'!N110</f>
        <v>0</v>
      </c>
      <c r="N93" s="3">
        <f>'Annual Raw'!O110</f>
        <v>0</v>
      </c>
      <c r="O93" s="3">
        <f>'Annual Raw'!P110</f>
        <v>0</v>
      </c>
      <c r="P93" s="3">
        <f>'Annual Raw'!Q110</f>
        <v>0</v>
      </c>
      <c r="Q93" s="3">
        <f>'Annual Raw'!R110</f>
        <v>0</v>
      </c>
      <c r="R93" s="3">
        <f>'Annual Raw'!S110</f>
        <v>0</v>
      </c>
      <c r="S93" s="3">
        <f>'Annual Raw'!T110</f>
        <v>0</v>
      </c>
      <c r="T93" s="3">
        <f>'Annual Raw'!U110</f>
        <v>0</v>
      </c>
      <c r="U93" s="3">
        <f>'Annual Raw'!V110</f>
        <v>0</v>
      </c>
      <c r="V93" s="3">
        <f>'Annual Raw'!W110</f>
        <v>0</v>
      </c>
      <c r="W93" s="3">
        <f>'Annual Raw'!X110</f>
        <v>0</v>
      </c>
      <c r="X93" s="3">
        <f>'Annual Raw'!Y110</f>
        <v>0</v>
      </c>
      <c r="Y93" s="3">
        <f>'Annual Raw'!Z110</f>
        <v>0</v>
      </c>
      <c r="Z93" s="3">
        <f>'Annual Raw'!AA110</f>
        <v>4</v>
      </c>
      <c r="AA93" s="37"/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134"/>
      <c r="DF93" s="3">
        <v>4</v>
      </c>
    </row>
    <row r="94" spans="1:110" s="3" customFormat="1" x14ac:dyDescent="0.2">
      <c r="A94" s="3" t="s">
        <v>32</v>
      </c>
      <c r="B94" s="3" t="e">
        <f>B93/B92</f>
        <v>#DIV/0!</v>
      </c>
      <c r="C94" s="3" t="e">
        <f t="shared" ref="C94:U94" si="872">C93/C92</f>
        <v>#DIV/0!</v>
      </c>
      <c r="D94" s="3" t="e">
        <f t="shared" si="872"/>
        <v>#DIV/0!</v>
      </c>
      <c r="E94" s="3" t="e">
        <f t="shared" si="872"/>
        <v>#DIV/0!</v>
      </c>
      <c r="F94" s="3" t="e">
        <f t="shared" si="872"/>
        <v>#DIV/0!</v>
      </c>
      <c r="G94" s="3" t="e">
        <f t="shared" si="872"/>
        <v>#DIV/0!</v>
      </c>
      <c r="H94" s="3" t="e">
        <f t="shared" si="872"/>
        <v>#DIV/0!</v>
      </c>
      <c r="I94" s="3" t="e">
        <f t="shared" si="872"/>
        <v>#DIV/0!</v>
      </c>
      <c r="J94" s="3" t="e">
        <f t="shared" si="872"/>
        <v>#DIV/0!</v>
      </c>
      <c r="K94" s="3" t="e">
        <f t="shared" si="872"/>
        <v>#DIV/0!</v>
      </c>
      <c r="L94" s="3" t="e">
        <f t="shared" si="872"/>
        <v>#DIV/0!</v>
      </c>
      <c r="M94" s="3" t="e">
        <f t="shared" si="872"/>
        <v>#DIV/0!</v>
      </c>
      <c r="N94" s="3" t="e">
        <f t="shared" si="872"/>
        <v>#DIV/0!</v>
      </c>
      <c r="O94" s="3" t="e">
        <f t="shared" si="872"/>
        <v>#DIV/0!</v>
      </c>
      <c r="P94" s="3" t="e">
        <f t="shared" si="872"/>
        <v>#DIV/0!</v>
      </c>
      <c r="Q94" s="3" t="e">
        <f t="shared" si="872"/>
        <v>#DIV/0!</v>
      </c>
      <c r="R94" s="3" t="e">
        <f t="shared" si="872"/>
        <v>#DIV/0!</v>
      </c>
      <c r="S94" s="3" t="e">
        <f t="shared" si="872"/>
        <v>#DIV/0!</v>
      </c>
      <c r="T94" s="3" t="e">
        <f t="shared" si="872"/>
        <v>#DIV/0!</v>
      </c>
      <c r="U94" s="3" t="e">
        <f t="shared" si="872"/>
        <v>#DIV/0!</v>
      </c>
      <c r="V94" s="3" t="e">
        <f>V93/V92</f>
        <v>#DIV/0!</v>
      </c>
      <c r="W94" s="3" t="e">
        <f t="shared" ref="W94" si="873">W93/W92</f>
        <v>#DIV/0!</v>
      </c>
      <c r="X94" s="3" t="e">
        <f t="shared" ref="X94:Y94" si="874">X93/X92</f>
        <v>#DIV/0!</v>
      </c>
      <c r="Y94" s="3">
        <f t="shared" si="874"/>
        <v>0</v>
      </c>
      <c r="Z94" s="3">
        <f t="shared" ref="Z94" si="875">Z93/Z92</f>
        <v>0.12944277792927919</v>
      </c>
      <c r="AA94" s="37">
        <f t="shared" ref="AA94:AD94" si="876">AA93/AA92</f>
        <v>0</v>
      </c>
      <c r="AB94" s="37">
        <f t="shared" si="876"/>
        <v>0</v>
      </c>
      <c r="AC94" s="37">
        <f t="shared" si="876"/>
        <v>0</v>
      </c>
      <c r="AD94" s="37">
        <f t="shared" si="876"/>
        <v>0</v>
      </c>
      <c r="AE94" s="37">
        <f t="shared" ref="AE94" si="877">AE93/AE92</f>
        <v>0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134"/>
      <c r="DF94" s="3">
        <v>0.12944277792927919</v>
      </c>
    </row>
    <row r="95" spans="1:110" s="3" customFormat="1" x14ac:dyDescent="0.2">
      <c r="A95" s="3" t="s">
        <v>33</v>
      </c>
      <c r="B95" s="3" t="e">
        <f>+B92</f>
        <v>#DIV/0!</v>
      </c>
      <c r="C95" s="3" t="e">
        <f t="shared" ref="C95:U95" si="878">+C92</f>
        <v>#DIV/0!</v>
      </c>
      <c r="D95" s="3" t="e">
        <f t="shared" si="878"/>
        <v>#DIV/0!</v>
      </c>
      <c r="E95" s="3">
        <f t="shared" si="878"/>
        <v>0</v>
      </c>
      <c r="F95" s="3">
        <f t="shared" si="878"/>
        <v>0</v>
      </c>
      <c r="G95" s="3">
        <f t="shared" si="878"/>
        <v>0</v>
      </c>
      <c r="H95" s="3">
        <f t="shared" si="878"/>
        <v>0</v>
      </c>
      <c r="I95" s="3">
        <f t="shared" si="878"/>
        <v>0</v>
      </c>
      <c r="J95" s="3">
        <f t="shared" si="878"/>
        <v>0</v>
      </c>
      <c r="K95" s="3">
        <f t="shared" si="878"/>
        <v>0</v>
      </c>
      <c r="L95" s="3">
        <f t="shared" si="878"/>
        <v>0</v>
      </c>
      <c r="M95" s="3">
        <f t="shared" si="878"/>
        <v>0</v>
      </c>
      <c r="N95" s="3">
        <f t="shared" si="878"/>
        <v>0</v>
      </c>
      <c r="O95" s="3">
        <f t="shared" si="878"/>
        <v>0</v>
      </c>
      <c r="P95" s="3">
        <f t="shared" si="878"/>
        <v>0</v>
      </c>
      <c r="Q95" s="3">
        <f t="shared" si="878"/>
        <v>0</v>
      </c>
      <c r="R95" s="3">
        <f t="shared" si="878"/>
        <v>0</v>
      </c>
      <c r="S95" s="3">
        <f t="shared" si="878"/>
        <v>0</v>
      </c>
      <c r="T95" s="3">
        <f>+T92</f>
        <v>0</v>
      </c>
      <c r="U95" s="3">
        <f t="shared" si="878"/>
        <v>0</v>
      </c>
      <c r="V95" s="3">
        <f>+V92</f>
        <v>0</v>
      </c>
      <c r="W95" s="3">
        <f t="shared" ref="W95" si="879">+W92</f>
        <v>0</v>
      </c>
      <c r="X95" s="3">
        <f t="shared" ref="X95:Y95" si="880">+X92</f>
        <v>0</v>
      </c>
      <c r="Y95" s="3">
        <f t="shared" si="880"/>
        <v>16.853932584269689</v>
      </c>
      <c r="Z95" s="3">
        <f t="shared" ref="Z95" si="881">+Z92</f>
        <v>30.901685393258422</v>
      </c>
      <c r="AA95" s="37">
        <f t="shared" ref="AA95:AD95" si="882">+AA92</f>
        <v>44.129210349051156</v>
      </c>
      <c r="AB95" s="37">
        <f t="shared" si="882"/>
        <v>53.210561458367422</v>
      </c>
      <c r="AC95" s="37">
        <f t="shared" si="882"/>
        <v>64.496824778587609</v>
      </c>
      <c r="AD95" s="37">
        <f t="shared" si="882"/>
        <v>76.525993906328608</v>
      </c>
      <c r="AE95" s="37">
        <f t="shared" ref="AE95" si="883">+AE92</f>
        <v>90.581939879734179</v>
      </c>
      <c r="AL95" s="3">
        <f>SUM(AI92:AL92)</f>
        <v>0</v>
      </c>
      <c r="AM95" s="3">
        <f t="shared" ref="AM95" si="884">SUM(AJ92:AM92)</f>
        <v>0</v>
      </c>
      <c r="AN95" s="3">
        <f t="shared" ref="AN95" si="885">SUM(AK92:AN92)</f>
        <v>0</v>
      </c>
      <c r="AO95" s="3">
        <f t="shared" ref="AO95" si="886">SUM(AL92:AO92)</f>
        <v>0</v>
      </c>
      <c r="AP95" s="3">
        <f t="shared" ref="AP95" si="887">SUM(AM92:AP92)</f>
        <v>0</v>
      </c>
      <c r="AQ95" s="3">
        <f t="shared" ref="AQ95" si="888">SUM(AN92:AQ92)</f>
        <v>0</v>
      </c>
      <c r="AR95" s="3">
        <f t="shared" ref="AR95" si="889">SUM(AO92:AR92)</f>
        <v>0</v>
      </c>
      <c r="AS95" s="3">
        <f t="shared" ref="AS95" si="890">SUM(AP92:AS92)</f>
        <v>0</v>
      </c>
      <c r="AT95" s="3">
        <f t="shared" ref="AT95" si="891">SUM(AQ92:AT92)</f>
        <v>0</v>
      </c>
      <c r="AU95" s="3">
        <f t="shared" ref="AU95" si="892">SUM(AR92:AU92)</f>
        <v>0</v>
      </c>
      <c r="AV95" s="3">
        <f t="shared" ref="AV95" si="893">SUM(AS92:AV92)</f>
        <v>0</v>
      </c>
      <c r="AW95" s="3">
        <f t="shared" ref="AW95" si="894">SUM(AT92:AW92)</f>
        <v>0</v>
      </c>
      <c r="AX95" s="3">
        <f t="shared" ref="AX95" si="895">SUM(AU92:AX92)</f>
        <v>0</v>
      </c>
      <c r="AY95" s="3">
        <f t="shared" ref="AY95" si="896">SUM(AV92:AY92)</f>
        <v>0</v>
      </c>
      <c r="AZ95" s="3">
        <f t="shared" ref="AZ95" si="897">SUM(AW92:AZ92)</f>
        <v>0</v>
      </c>
      <c r="BA95" s="3">
        <f t="shared" ref="BA95" si="898">SUM(AX92:BA92)</f>
        <v>0</v>
      </c>
      <c r="BB95" s="3">
        <f t="shared" ref="BB95" si="899">SUM(AY92:BB92)</f>
        <v>0</v>
      </c>
      <c r="BC95" s="3">
        <f t="shared" ref="BC95" si="900">SUM(AZ92:BC92)</f>
        <v>0</v>
      </c>
      <c r="BD95" s="3">
        <f t="shared" ref="BD95" si="901">SUM(BA92:BD92)</f>
        <v>0</v>
      </c>
      <c r="BE95" s="3">
        <f t="shared" ref="BE95" si="902">SUM(BB92:BE92)</f>
        <v>0</v>
      </c>
      <c r="BF95" s="3">
        <f t="shared" ref="BF95" si="903">SUM(BC92:BF92)</f>
        <v>0</v>
      </c>
      <c r="BG95" s="3">
        <f t="shared" ref="BG95" si="904">SUM(BD92:BG92)</f>
        <v>0</v>
      </c>
      <c r="BH95" s="3">
        <f t="shared" ref="BH95" si="905">SUM(BE92:BH92)</f>
        <v>0</v>
      </c>
      <c r="BI95" s="3">
        <f t="shared" ref="BI95" si="906">SUM(BF92:BI92)</f>
        <v>0</v>
      </c>
      <c r="BJ95" s="3">
        <f t="shared" ref="BJ95" si="907">SUM(BG92:BJ92)</f>
        <v>0</v>
      </c>
      <c r="BK95" s="3">
        <f t="shared" ref="BK95" si="908">SUM(BH92:BK92)</f>
        <v>0</v>
      </c>
      <c r="BL95" s="3">
        <f t="shared" ref="BL95" si="909">SUM(BI92:BL92)</f>
        <v>0</v>
      </c>
      <c r="BM95" s="3">
        <f t="shared" ref="BM95" si="910">SUM(BJ92:BM92)</f>
        <v>0</v>
      </c>
      <c r="BN95" s="3">
        <f t="shared" ref="BN95" si="911">SUM(BK92:BN92)</f>
        <v>0</v>
      </c>
      <c r="BO95" s="3">
        <f t="shared" ref="BO95" si="912">SUM(BL92:BO92)</f>
        <v>0</v>
      </c>
      <c r="BP95" s="3">
        <f t="shared" ref="BP95" si="913">SUM(BM92:BP92)</f>
        <v>0</v>
      </c>
      <c r="BQ95" s="3">
        <f t="shared" ref="BQ95" si="914">SUM(BN92:BQ92)</f>
        <v>0</v>
      </c>
      <c r="BR95" s="3">
        <f t="shared" ref="BR95" si="915">SUM(BO92:BR92)</f>
        <v>0</v>
      </c>
      <c r="BS95" s="3">
        <f t="shared" ref="BS95" si="916">SUM(BP92:BS92)</f>
        <v>0</v>
      </c>
      <c r="BT95" s="3">
        <f t="shared" ref="BT95" si="917">SUM(BQ92:BT92)</f>
        <v>0</v>
      </c>
      <c r="BU95" s="3">
        <f t="shared" ref="BU95" si="918">SUM(BR92:BU92)</f>
        <v>0</v>
      </c>
      <c r="BV95" s="3">
        <f t="shared" ref="BV95" si="919">SUM(BS92:BV92)</f>
        <v>0</v>
      </c>
      <c r="BW95" s="3">
        <f t="shared" ref="BW95" si="920">SUM(BT92:BW92)</f>
        <v>0</v>
      </c>
      <c r="BX95" s="3">
        <f t="shared" ref="BX95" si="921">SUM(BU92:BX92)</f>
        <v>0</v>
      </c>
      <c r="BY95" s="3">
        <f t="shared" ref="BY95" si="922">SUM(BV92:BY92)</f>
        <v>0</v>
      </c>
      <c r="BZ95" s="3">
        <f t="shared" ref="BZ95" si="923">SUM(BW92:BZ92)</f>
        <v>0</v>
      </c>
      <c r="CA95" s="3">
        <f t="shared" ref="CA95" si="924">SUM(BX92:CA92)</f>
        <v>0</v>
      </c>
      <c r="CB95" s="3">
        <f t="shared" ref="CB95" si="925">SUM(BY92:CB92)</f>
        <v>0</v>
      </c>
      <c r="CC95" s="3">
        <f t="shared" ref="CC95" si="926">SUM(BZ92:CC92)</f>
        <v>0</v>
      </c>
      <c r="CD95" s="3">
        <f t="shared" ref="CD95" si="927">SUM(CA92:CD92)</f>
        <v>5.0702247191011196</v>
      </c>
      <c r="CE95" s="3">
        <f t="shared" ref="CE95" si="928">SUM(CB92:CE92)</f>
        <v>9.1657303370786494</v>
      </c>
      <c r="CF95" s="3">
        <f t="shared" ref="CF95" si="929">SUM(CC92:CF92)</f>
        <v>16.853932584269657</v>
      </c>
      <c r="CG95" s="3">
        <f t="shared" ref="CG95" si="930">SUM(CD92:CG92)</f>
        <v>23.362359550561795</v>
      </c>
      <c r="CH95" s="3">
        <f t="shared" ref="CH95:CL95" si="931">SUM(CE92:CH92)</f>
        <v>25.205056179775276</v>
      </c>
      <c r="CI95" s="3">
        <f t="shared" si="931"/>
        <v>28.48876404494381</v>
      </c>
      <c r="CJ95" s="3">
        <f t="shared" si="931"/>
        <v>30.901685393258425</v>
      </c>
      <c r="CK95" s="3">
        <f t="shared" si="931"/>
        <v>34.640449438202246</v>
      </c>
      <c r="CL95" s="3">
        <f t="shared" si="931"/>
        <v>38.25</v>
      </c>
      <c r="CM95" s="37">
        <f t="shared" ref="CM95" si="932">SUM(CJ92:CM92)</f>
        <v>40.360504447664368</v>
      </c>
      <c r="CN95" s="37">
        <f t="shared" ref="CN95" si="933">SUM(CK92:CN92)</f>
        <v>44.129210349051156</v>
      </c>
      <c r="CO95" s="37">
        <f t="shared" ref="CO95" si="934">SUM(CL92:CO92)</f>
        <v>45.248544469815116</v>
      </c>
      <c r="CP95" s="37">
        <f t="shared" ref="CP95" si="935">SUM(CM92:CP92)</f>
        <v>48.374828014150467</v>
      </c>
      <c r="CQ95" s="37">
        <f t="shared" ref="CQ95" si="936">SUM(CN92:CQ92)</f>
        <v>50.315332748591082</v>
      </c>
      <c r="CR95" s="37">
        <f t="shared" ref="CR95" si="937">SUM(CO92:CR92)</f>
        <v>53.210561458367422</v>
      </c>
      <c r="CS95" s="37">
        <f t="shared" ref="CS95" si="938">SUM(CP92:CS92)</f>
        <v>55.379855350762668</v>
      </c>
      <c r="CT95" s="37">
        <f t="shared" ref="CT95" si="939">SUM(CQ92:CT92)</f>
        <v>58.2781890458959</v>
      </c>
      <c r="CU95" s="37">
        <f t="shared" ref="CU95" si="940">SUM(CR92:CU92)</f>
        <v>60.874370242712793</v>
      </c>
      <c r="CV95" s="37">
        <f t="shared" ref="CV95" si="941">SUM(CS92:CV92)</f>
        <v>64.496824778587666</v>
      </c>
      <c r="CW95" s="37">
        <f t="shared" ref="CW95" si="942">SUM(CT92:CW92)</f>
        <v>67.217576747438557</v>
      </c>
      <c r="CX95" s="37">
        <f t="shared" ref="CX95" si="943">SUM(CU92:CX92)</f>
        <v>70.415172658139099</v>
      </c>
      <c r="CY95" s="37">
        <f t="shared" ref="CY95" si="944">SUM(CV92:CY92)</f>
        <v>73.02858534752221</v>
      </c>
      <c r="CZ95" s="37">
        <f t="shared" ref="CZ95" si="945">SUM(CW92:CZ92)</f>
        <v>76.525993906328623</v>
      </c>
      <c r="DA95" s="37">
        <f t="shared" ref="DA95" si="946">SUM(CX92:DA92)</f>
        <v>79.620659325030942</v>
      </c>
      <c r="DB95" s="37">
        <f t="shared" ref="DB95" si="947">SUM(CY92:DB92)</f>
        <v>83.247048036454572</v>
      </c>
      <c r="DC95" s="37">
        <f t="shared" ref="DC95" si="948">SUM(CZ92:DC92)</f>
        <v>86.308915418674147</v>
      </c>
      <c r="DD95" s="37">
        <f t="shared" ref="DD95" si="949">SUM(DA92:DD92)</f>
        <v>90.581939879734165</v>
      </c>
      <c r="DE95" s="134"/>
      <c r="DF95" s="3">
        <v>30.901685393258422</v>
      </c>
    </row>
    <row r="96" spans="1:110" s="97" customFormat="1" x14ac:dyDescent="0.2">
      <c r="A96" s="97" t="s">
        <v>425</v>
      </c>
      <c r="C96" s="101" t="e">
        <f t="shared" ref="C96:AA96" si="950">+C95/B95-1</f>
        <v>#DIV/0!</v>
      </c>
      <c r="D96" s="101" t="e">
        <f t="shared" si="950"/>
        <v>#DIV/0!</v>
      </c>
      <c r="E96" s="101" t="e">
        <f t="shared" si="950"/>
        <v>#DIV/0!</v>
      </c>
      <c r="F96" s="101" t="e">
        <f t="shared" si="950"/>
        <v>#DIV/0!</v>
      </c>
      <c r="G96" s="101" t="e">
        <f t="shared" si="950"/>
        <v>#DIV/0!</v>
      </c>
      <c r="H96" s="101" t="e">
        <f t="shared" si="950"/>
        <v>#DIV/0!</v>
      </c>
      <c r="I96" s="101" t="e">
        <f t="shared" si="950"/>
        <v>#DIV/0!</v>
      </c>
      <c r="J96" s="101" t="e">
        <f t="shared" si="950"/>
        <v>#DIV/0!</v>
      </c>
      <c r="K96" s="101" t="e">
        <f t="shared" si="950"/>
        <v>#DIV/0!</v>
      </c>
      <c r="L96" s="101" t="e">
        <f t="shared" si="950"/>
        <v>#DIV/0!</v>
      </c>
      <c r="M96" s="101" t="e">
        <f t="shared" si="950"/>
        <v>#DIV/0!</v>
      </c>
      <c r="N96" s="101" t="e">
        <f t="shared" si="950"/>
        <v>#DIV/0!</v>
      </c>
      <c r="O96" s="101" t="e">
        <f t="shared" si="950"/>
        <v>#DIV/0!</v>
      </c>
      <c r="P96" s="101" t="e">
        <f t="shared" si="950"/>
        <v>#DIV/0!</v>
      </c>
      <c r="Q96" s="101" t="e">
        <f t="shared" si="950"/>
        <v>#DIV/0!</v>
      </c>
      <c r="R96" s="101" t="e">
        <f t="shared" si="950"/>
        <v>#DIV/0!</v>
      </c>
      <c r="S96" s="101" t="e">
        <f t="shared" si="950"/>
        <v>#DIV/0!</v>
      </c>
      <c r="T96" s="101" t="e">
        <f t="shared" si="950"/>
        <v>#DIV/0!</v>
      </c>
      <c r="U96" s="101" t="e">
        <f t="shared" si="950"/>
        <v>#DIV/0!</v>
      </c>
      <c r="V96" s="101" t="e">
        <f t="shared" si="950"/>
        <v>#DIV/0!</v>
      </c>
      <c r="W96" s="101" t="e">
        <f t="shared" si="950"/>
        <v>#DIV/0!</v>
      </c>
      <c r="X96" s="101" t="e">
        <f t="shared" si="950"/>
        <v>#DIV/0!</v>
      </c>
      <c r="Y96" s="101" t="e">
        <f t="shared" si="950"/>
        <v>#DIV/0!</v>
      </c>
      <c r="Z96" s="101">
        <f t="shared" si="950"/>
        <v>0.8334999999999968</v>
      </c>
      <c r="AA96" s="173">
        <f t="shared" si="950"/>
        <v>0.42805189385166931</v>
      </c>
      <c r="AB96" s="173">
        <f t="shared" ref="AB96" si="951">+AB95/AA95-1</f>
        <v>0.20579002065717966</v>
      </c>
      <c r="AC96" s="173">
        <f t="shared" ref="AC96" si="952">+AC95/AB95-1</f>
        <v>0.21210569877280272</v>
      </c>
      <c r="AD96" s="173">
        <f t="shared" ref="AD96" si="953">+AD95/AC95-1</f>
        <v>0.18650792762335455</v>
      </c>
      <c r="AE96" s="173">
        <f t="shared" ref="AE96" si="954">+AE95/AD95-1</f>
        <v>0.18367544485094434</v>
      </c>
      <c r="AL96" s="175"/>
      <c r="AM96" s="175"/>
      <c r="AN96" s="175"/>
      <c r="AO96" s="175"/>
      <c r="AP96" s="175" t="e">
        <f t="shared" ref="AP96:CL96" si="955">+IF(AL95&lt;0,1-AP95/AL95,AP95/AL95-1)</f>
        <v>#DIV/0!</v>
      </c>
      <c r="AQ96" s="175" t="e">
        <f t="shared" si="955"/>
        <v>#DIV/0!</v>
      </c>
      <c r="AR96" s="175" t="e">
        <f t="shared" si="955"/>
        <v>#DIV/0!</v>
      </c>
      <c r="AS96" s="175" t="e">
        <f t="shared" si="955"/>
        <v>#DIV/0!</v>
      </c>
      <c r="AT96" s="175" t="e">
        <f t="shared" si="955"/>
        <v>#DIV/0!</v>
      </c>
      <c r="AU96" s="175" t="e">
        <f t="shared" si="955"/>
        <v>#DIV/0!</v>
      </c>
      <c r="AV96" s="175" t="e">
        <f t="shared" si="955"/>
        <v>#DIV/0!</v>
      </c>
      <c r="AW96" s="175" t="e">
        <f t="shared" si="955"/>
        <v>#DIV/0!</v>
      </c>
      <c r="AX96" s="175" t="e">
        <f t="shared" si="955"/>
        <v>#DIV/0!</v>
      </c>
      <c r="AY96" s="175" t="e">
        <f t="shared" si="955"/>
        <v>#DIV/0!</v>
      </c>
      <c r="AZ96" s="175" t="e">
        <f t="shared" si="955"/>
        <v>#DIV/0!</v>
      </c>
      <c r="BA96" s="175" t="e">
        <f t="shared" si="955"/>
        <v>#DIV/0!</v>
      </c>
      <c r="BB96" s="175" t="e">
        <f t="shared" si="955"/>
        <v>#DIV/0!</v>
      </c>
      <c r="BC96" s="175" t="e">
        <f t="shared" si="955"/>
        <v>#DIV/0!</v>
      </c>
      <c r="BD96" s="175" t="e">
        <f t="shared" si="955"/>
        <v>#DIV/0!</v>
      </c>
      <c r="BE96" s="175" t="e">
        <f t="shared" si="955"/>
        <v>#DIV/0!</v>
      </c>
      <c r="BF96" s="175" t="e">
        <f t="shared" si="955"/>
        <v>#DIV/0!</v>
      </c>
      <c r="BG96" s="175" t="e">
        <f t="shared" si="955"/>
        <v>#DIV/0!</v>
      </c>
      <c r="BH96" s="175" t="e">
        <f t="shared" si="955"/>
        <v>#DIV/0!</v>
      </c>
      <c r="BI96" s="175" t="e">
        <f t="shared" si="955"/>
        <v>#DIV/0!</v>
      </c>
      <c r="BJ96" s="175" t="e">
        <f t="shared" si="955"/>
        <v>#DIV/0!</v>
      </c>
      <c r="BK96" s="175" t="e">
        <f t="shared" si="955"/>
        <v>#DIV/0!</v>
      </c>
      <c r="BL96" s="175" t="e">
        <f t="shared" si="955"/>
        <v>#DIV/0!</v>
      </c>
      <c r="BM96" s="175" t="e">
        <f t="shared" si="955"/>
        <v>#DIV/0!</v>
      </c>
      <c r="BN96" s="175" t="e">
        <f t="shared" si="955"/>
        <v>#DIV/0!</v>
      </c>
      <c r="BO96" s="175" t="e">
        <f t="shared" si="955"/>
        <v>#DIV/0!</v>
      </c>
      <c r="BP96" s="175" t="e">
        <f t="shared" si="955"/>
        <v>#DIV/0!</v>
      </c>
      <c r="BQ96" s="175" t="e">
        <f t="shared" si="955"/>
        <v>#DIV/0!</v>
      </c>
      <c r="BR96" s="175" t="e">
        <f t="shared" si="955"/>
        <v>#DIV/0!</v>
      </c>
      <c r="BS96" s="175" t="e">
        <f t="shared" si="955"/>
        <v>#DIV/0!</v>
      </c>
      <c r="BT96" s="175" t="e">
        <f t="shared" si="955"/>
        <v>#DIV/0!</v>
      </c>
      <c r="BU96" s="175" t="e">
        <f t="shared" si="955"/>
        <v>#DIV/0!</v>
      </c>
      <c r="BV96" s="175" t="e">
        <f t="shared" si="955"/>
        <v>#DIV/0!</v>
      </c>
      <c r="BW96" s="175" t="e">
        <f t="shared" si="955"/>
        <v>#DIV/0!</v>
      </c>
      <c r="BX96" s="175" t="e">
        <f t="shared" si="955"/>
        <v>#DIV/0!</v>
      </c>
      <c r="BY96" s="175" t="e">
        <f t="shared" si="955"/>
        <v>#DIV/0!</v>
      </c>
      <c r="BZ96" s="175" t="e">
        <f t="shared" si="955"/>
        <v>#DIV/0!</v>
      </c>
      <c r="CA96" s="175" t="e">
        <f t="shared" si="955"/>
        <v>#DIV/0!</v>
      </c>
      <c r="CB96" s="175" t="e">
        <f t="shared" si="955"/>
        <v>#DIV/0!</v>
      </c>
      <c r="CC96" s="175" t="e">
        <f t="shared" si="955"/>
        <v>#DIV/0!</v>
      </c>
      <c r="CD96" s="175" t="e">
        <f t="shared" si="955"/>
        <v>#DIV/0!</v>
      </c>
      <c r="CE96" s="175" t="e">
        <f t="shared" si="955"/>
        <v>#DIV/0!</v>
      </c>
      <c r="CF96" s="175" t="e">
        <f t="shared" si="955"/>
        <v>#DIV/0!</v>
      </c>
      <c r="CG96" s="175" t="e">
        <f t="shared" si="955"/>
        <v>#DIV/0!</v>
      </c>
      <c r="CH96" s="175">
        <f t="shared" si="955"/>
        <v>3.9711911357340748</v>
      </c>
      <c r="CI96" s="175">
        <f t="shared" si="955"/>
        <v>2.1081826539993869</v>
      </c>
      <c r="CJ96" s="175">
        <f t="shared" si="955"/>
        <v>0.83350000000000057</v>
      </c>
      <c r="CK96" s="175">
        <f t="shared" si="955"/>
        <v>0.48274618251773482</v>
      </c>
      <c r="CL96" s="175">
        <f t="shared" si="955"/>
        <v>0.51755265797392203</v>
      </c>
      <c r="CM96" s="102">
        <f t="shared" ref="CM96:DB96" si="956">+IF(CI95&lt;0,1-CM95/CI95,CM95/CI95-1)</f>
        <v>0.41671658286023661</v>
      </c>
      <c r="CN96" s="102">
        <f t="shared" si="956"/>
        <v>0.42805189385166909</v>
      </c>
      <c r="CO96" s="102">
        <f t="shared" si="956"/>
        <v>0.30623433597584993</v>
      </c>
      <c r="CP96" s="102">
        <f t="shared" si="956"/>
        <v>0.26470138599086179</v>
      </c>
      <c r="CQ96" s="102">
        <f t="shared" si="956"/>
        <v>0.2466477670970435</v>
      </c>
      <c r="CR96" s="102">
        <f t="shared" si="956"/>
        <v>0.20579002065717966</v>
      </c>
      <c r="CS96" s="102">
        <f t="shared" si="956"/>
        <v>0.22390357523447091</v>
      </c>
      <c r="CT96" s="102">
        <f t="shared" si="956"/>
        <v>0.20472136932142737</v>
      </c>
      <c r="CU96" s="102">
        <f t="shared" si="956"/>
        <v>0.20985725259697063</v>
      </c>
      <c r="CV96" s="102">
        <f t="shared" si="956"/>
        <v>0.21210569877280383</v>
      </c>
      <c r="CW96" s="102">
        <f t="shared" si="956"/>
        <v>0.21375500751489174</v>
      </c>
      <c r="CX96" s="102">
        <f t="shared" si="956"/>
        <v>0.20825945024964554</v>
      </c>
      <c r="CY96" s="102">
        <f t="shared" si="956"/>
        <v>0.19966062985701916</v>
      </c>
      <c r="CZ96" s="102">
        <f t="shared" si="956"/>
        <v>0.18650792762335366</v>
      </c>
      <c r="DA96" s="102">
        <f t="shared" si="956"/>
        <v>0.18452141802426736</v>
      </c>
      <c r="DB96" s="102">
        <f t="shared" si="956"/>
        <v>0.18223168237637299</v>
      </c>
      <c r="DC96" s="102">
        <f t="shared" ref="DC96" si="957">+IF(CY95&lt;0,1-DC95/CY95,DC95/CY95-1)</f>
        <v>0.18185112046131846</v>
      </c>
      <c r="DD96" s="102">
        <f t="shared" ref="DD96" si="958">+IF(CZ95&lt;0,1-DD95/CZ95,DD95/CZ95-1)</f>
        <v>0.18367544485094411</v>
      </c>
      <c r="DE96" s="135"/>
      <c r="DF96" s="175">
        <v>0.8334999999999968</v>
      </c>
    </row>
    <row r="97" spans="1:110" s="144" customFormat="1" x14ac:dyDescent="0.2">
      <c r="A97" s="144" t="s">
        <v>424</v>
      </c>
      <c r="AA97" s="145"/>
      <c r="AB97" s="145"/>
      <c r="AC97" s="145"/>
      <c r="AD97" s="145"/>
      <c r="AE97" s="145"/>
      <c r="CM97" s="145"/>
      <c r="CN97" s="145">
        <v>40.5</v>
      </c>
      <c r="CO97" s="145"/>
      <c r="CP97" s="145"/>
      <c r="CQ97" s="145"/>
      <c r="CR97" s="145">
        <v>52.7</v>
      </c>
      <c r="CS97" s="145"/>
      <c r="CT97" s="145"/>
      <c r="CU97" s="145"/>
      <c r="CV97" s="145">
        <v>64.099999999999994</v>
      </c>
      <c r="CW97" s="145"/>
      <c r="CX97" s="145"/>
      <c r="CY97" s="145"/>
      <c r="CZ97" s="145"/>
      <c r="DA97" s="145"/>
      <c r="DB97" s="145"/>
      <c r="DC97" s="145"/>
      <c r="DD97" s="145"/>
      <c r="DE97" s="146"/>
    </row>
    <row r="98" spans="1:110" s="144" customFormat="1" x14ac:dyDescent="0.2">
      <c r="A98" s="144" t="s">
        <v>436</v>
      </c>
      <c r="AA98" s="145"/>
      <c r="AB98" s="145"/>
      <c r="AC98" s="145"/>
      <c r="AD98" s="145"/>
      <c r="AE98" s="145"/>
      <c r="CM98" s="145"/>
      <c r="CN98" s="145">
        <f>+CN97/CN95-1</f>
        <v>-8.2240545895677641E-2</v>
      </c>
      <c r="CO98" s="145"/>
      <c r="CP98" s="145"/>
      <c r="CQ98" s="145"/>
      <c r="CR98" s="145">
        <f>+CR97/CR95-1</f>
        <v>-9.5951150368313032E-3</v>
      </c>
      <c r="CS98" s="145"/>
      <c r="CT98" s="145"/>
      <c r="CU98" s="145"/>
      <c r="CV98" s="145">
        <f>+CV97/CV95-1</f>
        <v>-6.1526250315413478E-3</v>
      </c>
      <c r="CW98" s="145"/>
      <c r="CX98" s="145"/>
      <c r="CY98" s="145"/>
      <c r="CZ98" s="145"/>
      <c r="DA98" s="145"/>
      <c r="DB98" s="145"/>
      <c r="DC98" s="145"/>
      <c r="DD98" s="145"/>
      <c r="DE98" s="146"/>
    </row>
    <row r="99" spans="1:110" s="3" customFormat="1" x14ac:dyDescent="0.2">
      <c r="A99" s="3" t="s">
        <v>34</v>
      </c>
      <c r="B99" s="3">
        <f>'Annual Raw'!C112</f>
        <v>0</v>
      </c>
      <c r="C99" s="3">
        <f>'Annual Raw'!D112</f>
        <v>0</v>
      </c>
      <c r="D99" s="3">
        <f>'Annual Raw'!E112</f>
        <v>0</v>
      </c>
      <c r="E99" s="3">
        <f>'Annual Raw'!F112</f>
        <v>0</v>
      </c>
      <c r="F99" s="3">
        <f>'Annual Raw'!G112</f>
        <v>0</v>
      </c>
      <c r="G99" s="3">
        <f>'Annual Raw'!H112</f>
        <v>0</v>
      </c>
      <c r="H99" s="3">
        <f>'Annual Raw'!I112</f>
        <v>0</v>
      </c>
      <c r="I99" s="3">
        <f>'Annual Raw'!J112</f>
        <v>0</v>
      </c>
      <c r="J99" s="3">
        <f>'Annual Raw'!K112</f>
        <v>0</v>
      </c>
      <c r="K99" s="3">
        <f>'Annual Raw'!L112</f>
        <v>0</v>
      </c>
      <c r="L99" s="3">
        <f>'Annual Raw'!M112</f>
        <v>0</v>
      </c>
      <c r="M99" s="3">
        <f>'Annual Raw'!N112</f>
        <v>0</v>
      </c>
      <c r="N99" s="3">
        <f>'Annual Raw'!O112</f>
        <v>0</v>
      </c>
      <c r="O99" s="3">
        <f>'Annual Raw'!P112</f>
        <v>0</v>
      </c>
      <c r="P99" s="3">
        <f>'Annual Raw'!Q112</f>
        <v>0</v>
      </c>
      <c r="Q99" s="3">
        <f>'Annual Raw'!R112</f>
        <v>0</v>
      </c>
      <c r="R99" s="3">
        <f>'Annual Raw'!S112</f>
        <v>0</v>
      </c>
      <c r="S99" s="3">
        <f>'Annual Raw'!T112</f>
        <v>0</v>
      </c>
      <c r="T99" s="3">
        <f>'Annual Raw'!U112</f>
        <v>0</v>
      </c>
      <c r="U99" s="3">
        <f>'Annual Raw'!V112</f>
        <v>0</v>
      </c>
      <c r="V99" s="3">
        <f>'Annual Raw'!W112</f>
        <v>0</v>
      </c>
      <c r="W99" s="3">
        <f>'Annual Raw'!X112</f>
        <v>0</v>
      </c>
      <c r="X99" s="3">
        <f>'Annual Raw'!Y112</f>
        <v>0</v>
      </c>
      <c r="Y99" s="3">
        <f>'Annual Raw'!Z112</f>
        <v>0</v>
      </c>
      <c r="Z99" s="3">
        <f>'Annual Raw'!AA112</f>
        <v>75</v>
      </c>
      <c r="AA99" s="37"/>
      <c r="AB99" s="37"/>
      <c r="AC99" s="37"/>
      <c r="AD99" s="37"/>
      <c r="AE99" s="37"/>
      <c r="AI99" s="3">
        <f>'QTR Raw'!C49</f>
        <v>0</v>
      </c>
      <c r="AJ99" s="3">
        <f>'QTR Raw'!D49</f>
        <v>0</v>
      </c>
      <c r="AK99" s="3">
        <f>'QTR Raw'!E49</f>
        <v>0</v>
      </c>
      <c r="AL99" s="3">
        <f>'QTR Raw'!F49</f>
        <v>0</v>
      </c>
      <c r="AM99" s="3">
        <f>'QTR Raw'!G49</f>
        <v>0</v>
      </c>
      <c r="AN99" s="3">
        <f>'QTR Raw'!H49</f>
        <v>0</v>
      </c>
      <c r="AO99" s="3">
        <f>'QTR Raw'!I49</f>
        <v>0</v>
      </c>
      <c r="AP99" s="3">
        <f>'QTR Raw'!J49</f>
        <v>0</v>
      </c>
      <c r="AQ99" s="3">
        <f>'QTR Raw'!K49</f>
        <v>0</v>
      </c>
      <c r="AR99" s="3">
        <f>'QTR Raw'!L49</f>
        <v>0</v>
      </c>
      <c r="AS99" s="3">
        <f>'QTR Raw'!M49</f>
        <v>0</v>
      </c>
      <c r="AT99" s="3">
        <f>'QTR Raw'!N49</f>
        <v>0</v>
      </c>
      <c r="AU99" s="3">
        <f>'QTR Raw'!O49</f>
        <v>0</v>
      </c>
      <c r="AV99" s="3">
        <f>'QTR Raw'!P49</f>
        <v>0</v>
      </c>
      <c r="AW99" s="3">
        <f>'QTR Raw'!Q49</f>
        <v>0</v>
      </c>
      <c r="AX99" s="3">
        <f>'QTR Raw'!R49</f>
        <v>0</v>
      </c>
      <c r="AY99" s="3">
        <f>'QTR Raw'!S49</f>
        <v>0</v>
      </c>
      <c r="AZ99" s="3">
        <f>'QTR Raw'!T49</f>
        <v>0</v>
      </c>
      <c r="BA99" s="3">
        <f>'QTR Raw'!U49</f>
        <v>0</v>
      </c>
      <c r="BB99" s="3">
        <f>'QTR Raw'!V49</f>
        <v>0</v>
      </c>
      <c r="BC99" s="3">
        <f>'QTR Raw'!W49</f>
        <v>0</v>
      </c>
      <c r="BD99" s="3">
        <f>'QTR Raw'!X49</f>
        <v>0</v>
      </c>
      <c r="BE99" s="3">
        <f>'QTR Raw'!Y49</f>
        <v>0</v>
      </c>
      <c r="BF99" s="3">
        <f>'QTR Raw'!Z49</f>
        <v>0</v>
      </c>
      <c r="BG99" s="3">
        <f>'QTR Raw'!AA49</f>
        <v>0</v>
      </c>
      <c r="BH99" s="3">
        <f>'QTR Raw'!AB49</f>
        <v>0</v>
      </c>
      <c r="BI99" s="3">
        <f>'QTR Raw'!AC49</f>
        <v>0</v>
      </c>
      <c r="BJ99" s="3">
        <f>'QTR Raw'!AD49</f>
        <v>0</v>
      </c>
      <c r="BK99" s="3">
        <f>'QTR Raw'!AE49</f>
        <v>0</v>
      </c>
      <c r="BL99" s="3">
        <f>'QTR Raw'!AF49</f>
        <v>0</v>
      </c>
      <c r="BM99" s="3">
        <f>'QTR Raw'!AG49</f>
        <v>0</v>
      </c>
      <c r="BN99" s="3">
        <f>'QTR Raw'!AH49</f>
        <v>0</v>
      </c>
      <c r="BO99" s="3">
        <f>'QTR Raw'!AI49</f>
        <v>0</v>
      </c>
      <c r="BP99" s="3">
        <f>'QTR Raw'!AJ49</f>
        <v>0</v>
      </c>
      <c r="BQ99" s="3">
        <f>'QTR Raw'!AK49</f>
        <v>0</v>
      </c>
      <c r="BR99" s="3">
        <f>'QTR Raw'!AL49</f>
        <v>0</v>
      </c>
      <c r="BS99" s="3">
        <f>'QTR Raw'!AM49</f>
        <v>0</v>
      </c>
      <c r="BT99" s="3">
        <f>'QTR Raw'!AN49</f>
        <v>0</v>
      </c>
      <c r="BU99" s="3">
        <f>'QTR Raw'!AO49</f>
        <v>0</v>
      </c>
      <c r="BV99" s="3">
        <f>'QTR Raw'!AP49</f>
        <v>0</v>
      </c>
      <c r="BW99" s="3">
        <f>'QTR Raw'!AQ49</f>
        <v>0</v>
      </c>
      <c r="BX99" s="3">
        <f>'QTR Raw'!AR49</f>
        <v>0</v>
      </c>
      <c r="BY99" s="3">
        <f>'QTR Raw'!AS49</f>
        <v>0</v>
      </c>
      <c r="BZ99" s="3">
        <f>'QTR Raw'!AT49</f>
        <v>0</v>
      </c>
      <c r="CA99" s="3">
        <f>'QTR Raw'!AU49</f>
        <v>0</v>
      </c>
      <c r="CB99" s="3">
        <f>'QTR Raw'!AV49</f>
        <v>0</v>
      </c>
      <c r="CC99" s="3">
        <f>'QTR Raw'!AW49</f>
        <v>0</v>
      </c>
      <c r="CD99" s="3">
        <f>'QTR Raw'!AX49</f>
        <v>0</v>
      </c>
      <c r="CE99" s="3">
        <f>'QTR Raw'!AY49</f>
        <v>0</v>
      </c>
      <c r="CF99" s="3">
        <f>'QTR Raw'!AZ49</f>
        <v>0</v>
      </c>
      <c r="CG99" s="3">
        <f>'QTR Raw'!BA49</f>
        <v>0</v>
      </c>
      <c r="CH99" s="3">
        <f>'QTR Raw'!BB49</f>
        <v>75</v>
      </c>
      <c r="CI99" s="3">
        <f>'QTR Raw'!BC49</f>
        <v>75</v>
      </c>
      <c r="CJ99" s="3">
        <f>'QTR Raw'!BD49</f>
        <v>75</v>
      </c>
      <c r="CK99" s="3">
        <f>'QTR Raw'!BE49</f>
        <v>75</v>
      </c>
      <c r="CL99" s="3">
        <f>'QTR Raw'!BF49</f>
        <v>75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134"/>
      <c r="DF99" s="3">
        <v>75</v>
      </c>
    </row>
    <row r="100" spans="1:110" s="3" customFormat="1" x14ac:dyDescent="0.2">
      <c r="A100" s="3" t="s">
        <v>35</v>
      </c>
      <c r="B100" s="3">
        <f>'Annual Raw'!C113</f>
        <v>0</v>
      </c>
      <c r="C100" s="3">
        <f>'Annual Raw'!D113</f>
        <v>0</v>
      </c>
      <c r="D100" s="3">
        <f>'Annual Raw'!E113</f>
        <v>0</v>
      </c>
      <c r="E100" s="3">
        <f>'Annual Raw'!F113</f>
        <v>0</v>
      </c>
      <c r="F100" s="3">
        <f>'Annual Raw'!G113</f>
        <v>0</v>
      </c>
      <c r="G100" s="3">
        <f>'Annual Raw'!H113</f>
        <v>0</v>
      </c>
      <c r="H100" s="3">
        <f>'Annual Raw'!I113</f>
        <v>0</v>
      </c>
      <c r="I100" s="3">
        <f>'Annual Raw'!J113</f>
        <v>0</v>
      </c>
      <c r="J100" s="3">
        <f>'Annual Raw'!K113</f>
        <v>0</v>
      </c>
      <c r="K100" s="3">
        <f>'Annual Raw'!L113</f>
        <v>0</v>
      </c>
      <c r="L100" s="3">
        <f>'Annual Raw'!M113</f>
        <v>0</v>
      </c>
      <c r="M100" s="3">
        <f>'Annual Raw'!N113</f>
        <v>0</v>
      </c>
      <c r="N100" s="3">
        <f>'Annual Raw'!O113</f>
        <v>0</v>
      </c>
      <c r="O100" s="3">
        <f>'Annual Raw'!P113</f>
        <v>0</v>
      </c>
      <c r="P100" s="3">
        <f>'Annual Raw'!Q113</f>
        <v>0</v>
      </c>
      <c r="Q100" s="3">
        <f>'Annual Raw'!R113</f>
        <v>0</v>
      </c>
      <c r="R100" s="3">
        <f>'Annual Raw'!S113</f>
        <v>0</v>
      </c>
      <c r="S100" s="3">
        <f>'Annual Raw'!T113</f>
        <v>0</v>
      </c>
      <c r="T100" s="3">
        <f>'Annual Raw'!U113</f>
        <v>0</v>
      </c>
      <c r="U100" s="3">
        <f>'Annual Raw'!V113</f>
        <v>0</v>
      </c>
      <c r="V100" s="3">
        <f>'Annual Raw'!W113</f>
        <v>0</v>
      </c>
      <c r="W100" s="3">
        <f>'Annual Raw'!X113</f>
        <v>0</v>
      </c>
      <c r="X100" s="3">
        <f>'Annual Raw'!Y113</f>
        <v>0</v>
      </c>
      <c r="Y100" s="3">
        <f>'Annual Raw'!Z113</f>
        <v>0</v>
      </c>
      <c r="Z100" s="3">
        <f>'Annual Raw'!AA113</f>
        <v>0</v>
      </c>
      <c r="AA100" s="37"/>
      <c r="AB100" s="37"/>
      <c r="AC100" s="37"/>
      <c r="AD100" s="37"/>
      <c r="AE100" s="37"/>
      <c r="AI100" s="3">
        <f>'QTR Raw'!C50</f>
        <v>0</v>
      </c>
      <c r="AJ100" s="3">
        <f>'QTR Raw'!D50</f>
        <v>0</v>
      </c>
      <c r="AK100" s="3">
        <f>'QTR Raw'!E50</f>
        <v>0</v>
      </c>
      <c r="AL100" s="3">
        <f>'QTR Raw'!F50</f>
        <v>0</v>
      </c>
      <c r="AM100" s="3">
        <f>'QTR Raw'!G50</f>
        <v>0</v>
      </c>
      <c r="AN100" s="3">
        <f>'QTR Raw'!H50</f>
        <v>0</v>
      </c>
      <c r="AO100" s="3">
        <f>'QTR Raw'!I50</f>
        <v>0</v>
      </c>
      <c r="AP100" s="3">
        <f>'QTR Raw'!J50</f>
        <v>0</v>
      </c>
      <c r="AQ100" s="3">
        <f>'QTR Raw'!K50</f>
        <v>0</v>
      </c>
      <c r="AR100" s="3">
        <f>'QTR Raw'!L50</f>
        <v>0</v>
      </c>
      <c r="AS100" s="3">
        <f>'QTR Raw'!M50</f>
        <v>0</v>
      </c>
      <c r="AT100" s="3">
        <f>'QTR Raw'!N50</f>
        <v>0</v>
      </c>
      <c r="AU100" s="3">
        <f>'QTR Raw'!O50</f>
        <v>0</v>
      </c>
      <c r="AV100" s="3">
        <f>'QTR Raw'!P50</f>
        <v>0</v>
      </c>
      <c r="AW100" s="3">
        <f>'QTR Raw'!Q50</f>
        <v>0</v>
      </c>
      <c r="AX100" s="3">
        <f>'QTR Raw'!R50</f>
        <v>0</v>
      </c>
      <c r="AY100" s="3">
        <f>'QTR Raw'!S50</f>
        <v>0</v>
      </c>
      <c r="AZ100" s="3">
        <f>'QTR Raw'!T50</f>
        <v>0</v>
      </c>
      <c r="BA100" s="3">
        <f>'QTR Raw'!U50</f>
        <v>0</v>
      </c>
      <c r="BB100" s="3">
        <f>'QTR Raw'!V50</f>
        <v>0</v>
      </c>
      <c r="BC100" s="3">
        <f>'QTR Raw'!W50</f>
        <v>0</v>
      </c>
      <c r="BD100" s="3">
        <f>'QTR Raw'!X50</f>
        <v>0</v>
      </c>
      <c r="BE100" s="3">
        <f>'QTR Raw'!Y50</f>
        <v>0</v>
      </c>
      <c r="BF100" s="3">
        <f>'QTR Raw'!Z50</f>
        <v>0</v>
      </c>
      <c r="BG100" s="3">
        <f>'QTR Raw'!AA50</f>
        <v>0</v>
      </c>
      <c r="BH100" s="3">
        <f>'QTR Raw'!AB50</f>
        <v>0</v>
      </c>
      <c r="BI100" s="3">
        <f>'QTR Raw'!AC50</f>
        <v>0</v>
      </c>
      <c r="BJ100" s="3">
        <f>'QTR Raw'!AD50</f>
        <v>0</v>
      </c>
      <c r="BK100" s="3">
        <f>'QTR Raw'!AE50</f>
        <v>0</v>
      </c>
      <c r="BL100" s="3">
        <f>'QTR Raw'!AF50</f>
        <v>0</v>
      </c>
      <c r="BM100" s="3">
        <f>'QTR Raw'!AG50</f>
        <v>0</v>
      </c>
      <c r="BN100" s="3">
        <f>'QTR Raw'!AH50</f>
        <v>0</v>
      </c>
      <c r="BO100" s="3">
        <f>'QTR Raw'!AI50</f>
        <v>0</v>
      </c>
      <c r="BP100" s="3">
        <f>'QTR Raw'!AJ50</f>
        <v>0</v>
      </c>
      <c r="BQ100" s="3">
        <f>'QTR Raw'!AK50</f>
        <v>0</v>
      </c>
      <c r="BR100" s="3">
        <f>'QTR Raw'!AL50</f>
        <v>0</v>
      </c>
      <c r="BS100" s="3">
        <f>'QTR Raw'!AM50</f>
        <v>0</v>
      </c>
      <c r="BT100" s="3">
        <f>'QTR Raw'!AN50</f>
        <v>0</v>
      </c>
      <c r="BU100" s="3">
        <f>'QTR Raw'!AO50</f>
        <v>0</v>
      </c>
      <c r="BV100" s="3">
        <f>'QTR Raw'!AP50</f>
        <v>0</v>
      </c>
      <c r="BW100" s="3">
        <f>'QTR Raw'!AQ50</f>
        <v>0</v>
      </c>
      <c r="BX100" s="3">
        <f>'QTR Raw'!AR50</f>
        <v>0</v>
      </c>
      <c r="BY100" s="3">
        <f>'QTR Raw'!AS50</f>
        <v>0</v>
      </c>
      <c r="BZ100" s="3">
        <f>'QTR Raw'!AT50</f>
        <v>0</v>
      </c>
      <c r="CA100" s="3">
        <f>'QTR Raw'!AU50</f>
        <v>0</v>
      </c>
      <c r="CB100" s="3">
        <f>'QTR Raw'!AV50</f>
        <v>0</v>
      </c>
      <c r="CC100" s="3">
        <f>'QTR Raw'!AW50</f>
        <v>0</v>
      </c>
      <c r="CD100" s="3">
        <f>'QTR Raw'!AX50</f>
        <v>0</v>
      </c>
      <c r="CE100" s="3">
        <f>'QTR Raw'!AY50</f>
        <v>0</v>
      </c>
      <c r="CF100" s="3">
        <f>'QTR Raw'!AZ50</f>
        <v>0</v>
      </c>
      <c r="CG100" s="3">
        <f>'QTR Raw'!BA50</f>
        <v>0</v>
      </c>
      <c r="CH100" s="3">
        <f>'QTR Raw'!BB50</f>
        <v>0</v>
      </c>
      <c r="CI100" s="3">
        <f>'QTR Raw'!BC50</f>
        <v>0</v>
      </c>
      <c r="CJ100" s="3">
        <f>'QTR Raw'!BD50</f>
        <v>0</v>
      </c>
      <c r="CK100" s="3">
        <f>'QTR Raw'!BE50</f>
        <v>0</v>
      </c>
      <c r="CL100" s="3">
        <f>'QTR Raw'!BF50</f>
        <v>0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134"/>
      <c r="DF100" s="3">
        <v>0</v>
      </c>
    </row>
    <row r="101" spans="1:110" s="3" customFormat="1" x14ac:dyDescent="0.2">
      <c r="AA101" s="37"/>
      <c r="AB101" s="37"/>
      <c r="AC101" s="37"/>
      <c r="AD101" s="37"/>
      <c r="AE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134"/>
    </row>
    <row r="102" spans="1:110" s="13" customFormat="1" x14ac:dyDescent="0.2">
      <c r="A102" s="13" t="s">
        <v>36</v>
      </c>
      <c r="AA102" s="37"/>
      <c r="AB102" s="37"/>
      <c r="AC102" s="37"/>
      <c r="AD102" s="37"/>
      <c r="AE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134"/>
    </row>
    <row r="103" spans="1:110" s="13" customFormat="1" x14ac:dyDescent="0.2">
      <c r="A103" s="13" t="s">
        <v>457</v>
      </c>
      <c r="B103" s="13">
        <f>'Annual Raw'!C106</f>
        <v>0</v>
      </c>
      <c r="C103" s="13">
        <f>'Annual Raw'!D106</f>
        <v>0</v>
      </c>
      <c r="D103" s="13">
        <f>'Annual Raw'!E106</f>
        <v>0</v>
      </c>
      <c r="E103" s="13">
        <f>'Annual Raw'!F106</f>
        <v>0</v>
      </c>
      <c r="F103" s="13">
        <f>'Annual Raw'!G106</f>
        <v>0</v>
      </c>
      <c r="G103" s="13">
        <f>'Annual Raw'!H106</f>
        <v>0</v>
      </c>
      <c r="H103" s="13">
        <f>'Annual Raw'!I106</f>
        <v>0</v>
      </c>
      <c r="I103" s="13">
        <f>'Annual Raw'!J106</f>
        <v>0</v>
      </c>
      <c r="J103" s="13">
        <f>'Annual Raw'!K106</f>
        <v>0</v>
      </c>
      <c r="K103" s="13">
        <f>'Annual Raw'!L106</f>
        <v>0</v>
      </c>
      <c r="L103" s="13">
        <f>'Annual Raw'!M106</f>
        <v>0</v>
      </c>
      <c r="M103" s="13">
        <f>'Annual Raw'!N106</f>
        <v>0</v>
      </c>
      <c r="N103" s="13">
        <f>'Annual Raw'!O106</f>
        <v>0</v>
      </c>
      <c r="O103" s="13">
        <f>'Annual Raw'!P106</f>
        <v>0</v>
      </c>
      <c r="P103" s="13">
        <f>'Annual Raw'!Q106</f>
        <v>0</v>
      </c>
      <c r="Q103" s="13">
        <f>'Annual Raw'!R106</f>
        <v>0</v>
      </c>
      <c r="R103" s="13">
        <f>'Annual Raw'!S106</f>
        <v>0</v>
      </c>
      <c r="S103" s="13">
        <f>'Annual Raw'!T106</f>
        <v>0</v>
      </c>
      <c r="T103" s="13">
        <f>'Annual Raw'!U106</f>
        <v>0</v>
      </c>
      <c r="U103" s="13">
        <f>'Annual Raw'!V106</f>
        <v>0</v>
      </c>
      <c r="V103" s="13">
        <f>'Annual Raw'!W106</f>
        <v>0</v>
      </c>
      <c r="W103" s="13">
        <f>'Annual Raw'!X106</f>
        <v>0</v>
      </c>
      <c r="X103" s="13">
        <f>'Annual Raw'!Y106</f>
        <v>0</v>
      </c>
      <c r="Y103" s="13">
        <f>'Annual Raw'!Z106</f>
        <v>0</v>
      </c>
      <c r="Z103" s="13">
        <f>'Annual Raw'!AA106</f>
        <v>3430.35</v>
      </c>
      <c r="AA103" s="37">
        <f t="shared" ref="AA103:AA105" si="959">+CN103</f>
        <v>3105</v>
      </c>
      <c r="AB103" s="37">
        <f t="shared" ref="AB103:AB105" si="960">CR103</f>
        <v>3105</v>
      </c>
      <c r="AC103" s="37">
        <f t="shared" ref="AC103:AC105" si="961">CV103</f>
        <v>3105</v>
      </c>
      <c r="AD103" s="37">
        <f t="shared" ref="AD103:AD105" si="962">CZ103</f>
        <v>3105</v>
      </c>
      <c r="AE103" s="37">
        <f t="shared" ref="AE103:AE105" si="963">DD103</f>
        <v>3105</v>
      </c>
      <c r="AJ103" s="13">
        <f>'QTR Share Price'!HP21</f>
        <v>0</v>
      </c>
      <c r="AK103" s="13">
        <f>'QTR Share Price'!HQ21</f>
        <v>0</v>
      </c>
      <c r="AL103" s="13">
        <f>'QTR Share Price'!HR21</f>
        <v>0</v>
      </c>
      <c r="AM103" s="13">
        <f>'QTR Share Price'!HS21</f>
        <v>0</v>
      </c>
      <c r="AN103" s="13">
        <f>'QTR Share Price'!HT21</f>
        <v>0</v>
      </c>
      <c r="AO103" s="13">
        <f>'QTR Share Price'!HU21</f>
        <v>0</v>
      </c>
      <c r="AP103" s="13">
        <f>'QTR Share Price'!HV21</f>
        <v>0</v>
      </c>
      <c r="AQ103" s="13">
        <f>'QTR Share Price'!HW21</f>
        <v>0</v>
      </c>
      <c r="AR103" s="13">
        <f>'QTR Share Price'!HX21</f>
        <v>0</v>
      </c>
      <c r="AS103" s="13">
        <f>'QTR Share Price'!HY21</f>
        <v>0</v>
      </c>
      <c r="AT103" s="13">
        <f>'QTR Share Price'!HZ21</f>
        <v>0</v>
      </c>
      <c r="AU103" s="13">
        <f>'QTR Share Price'!IA21</f>
        <v>0</v>
      </c>
      <c r="AV103" s="13">
        <f>'QTR Share Price'!IB21</f>
        <v>0</v>
      </c>
      <c r="AW103" s="13">
        <f>'QTR Share Price'!IC21</f>
        <v>0</v>
      </c>
      <c r="AX103" s="13">
        <f>'QTR Share Price'!ID21</f>
        <v>0</v>
      </c>
      <c r="AY103" s="13">
        <f>'QTR Share Price'!IE21</f>
        <v>0</v>
      </c>
      <c r="AZ103" s="13">
        <f>'QTR Share Price'!IF21</f>
        <v>0</v>
      </c>
      <c r="BA103" s="13">
        <f>'QTR Share Price'!IG21</f>
        <v>0</v>
      </c>
      <c r="BB103" s="13">
        <f>'QTR Share Price'!IH21</f>
        <v>0</v>
      </c>
      <c r="BC103" s="13">
        <f>'QTR Share Price'!II21</f>
        <v>0</v>
      </c>
      <c r="BD103" s="13">
        <f>'QTR Share Price'!IJ21</f>
        <v>0</v>
      </c>
      <c r="BE103" s="13">
        <f>'QTR Share Price'!IK21</f>
        <v>0</v>
      </c>
      <c r="BF103" s="13">
        <f>'QTR Share Price'!IL21</f>
        <v>0</v>
      </c>
      <c r="BG103" s="13">
        <f>'QTR Share Price'!IM21</f>
        <v>0</v>
      </c>
      <c r="BH103" s="13">
        <f>'QTR Share Price'!IN21</f>
        <v>0</v>
      </c>
      <c r="BI103" s="13">
        <f>'QTR Share Price'!IO21</f>
        <v>0</v>
      </c>
      <c r="BJ103" s="13">
        <f>'QTR Share Price'!IP21</f>
        <v>0</v>
      </c>
      <c r="BK103" s="13">
        <f>'QTR Share Price'!IQ21</f>
        <v>0</v>
      </c>
      <c r="BL103" s="13">
        <f>'QTR Share Price'!IR21</f>
        <v>0</v>
      </c>
      <c r="BM103" s="13">
        <f>'QTR Share Price'!IS21</f>
        <v>0</v>
      </c>
      <c r="BN103" s="13">
        <f>'QTR Share Price'!IT21</f>
        <v>0</v>
      </c>
      <c r="BO103" s="13">
        <f>'QTR Share Price'!IU21</f>
        <v>0</v>
      </c>
      <c r="BP103" s="13">
        <f>'QTR Share Price'!IV21</f>
        <v>0</v>
      </c>
      <c r="BQ103" s="13">
        <f>'QTR Share Price'!IW21</f>
        <v>0</v>
      </c>
      <c r="BR103" s="13">
        <f>'QTR Share Price'!IX21</f>
        <v>0</v>
      </c>
      <c r="BS103" s="13">
        <f>'QTR Share Price'!IY21</f>
        <v>0</v>
      </c>
      <c r="BT103" s="13">
        <f>'QTR Share Price'!IZ21</f>
        <v>0</v>
      </c>
      <c r="BU103" s="13">
        <f>'QTR Share Price'!JA21</f>
        <v>0</v>
      </c>
      <c r="BV103" s="13">
        <f>'QTR Share Price'!JB21</f>
        <v>0</v>
      </c>
      <c r="BW103" s="13">
        <f>'QTR Share Price'!JC21</f>
        <v>0</v>
      </c>
      <c r="BX103" s="13">
        <f>'QTR Share Price'!JD21</f>
        <v>0</v>
      </c>
      <c r="BY103" s="13">
        <f>'QTR Share Price'!JE21</f>
        <v>0</v>
      </c>
      <c r="BZ103" s="13">
        <f>'QTR Share Price'!JF21</f>
        <v>0</v>
      </c>
      <c r="CA103" s="13">
        <f>'QTR Share Price'!JG21</f>
        <v>0</v>
      </c>
      <c r="CB103" s="13">
        <f>'QTR Share Price'!JH21</f>
        <v>0</v>
      </c>
      <c r="CC103" s="13">
        <f>'QTR Share Price'!JI21</f>
        <v>0</v>
      </c>
      <c r="CD103" s="13">
        <f>'QTR Share Price'!JJ21</f>
        <v>0</v>
      </c>
      <c r="CE103" s="13">
        <f>'QTR Share Price'!JK21</f>
        <v>0</v>
      </c>
      <c r="CF103" s="13">
        <f>'QTR Share Price'!JL21</f>
        <v>0</v>
      </c>
      <c r="CG103" s="13">
        <f>'QTR Share Price'!JM21</f>
        <v>0</v>
      </c>
      <c r="CH103" s="13">
        <f>'QTR Share Price'!JN21</f>
        <v>0</v>
      </c>
      <c r="CI103" s="13">
        <f>'QTR Share Price'!JO21</f>
        <v>2982</v>
      </c>
      <c r="CJ103" s="13">
        <f>'QTR Share Price'!JP21</f>
        <v>3430.35</v>
      </c>
      <c r="CK103" s="13">
        <f>'QTR Share Price'!JQ21</f>
        <v>2560.8000000000002</v>
      </c>
      <c r="CL103" s="13">
        <f>'QTR Share Price'!JR21</f>
        <v>2569.65</v>
      </c>
      <c r="CM103" s="37">
        <v>3105</v>
      </c>
      <c r="CN103" s="37">
        <f t="shared" ref="CN103" si="964">+CM103</f>
        <v>3105</v>
      </c>
      <c r="CO103" s="37">
        <f t="shared" ref="CO103" si="965">+CN103</f>
        <v>3105</v>
      </c>
      <c r="CP103" s="37">
        <f t="shared" ref="CP103" si="966">+CO103</f>
        <v>3105</v>
      </c>
      <c r="CQ103" s="37">
        <f t="shared" ref="CQ103" si="967">+CP103</f>
        <v>3105</v>
      </c>
      <c r="CR103" s="37">
        <f t="shared" ref="CR103" si="968">+CQ103</f>
        <v>3105</v>
      </c>
      <c r="CS103" s="37">
        <f t="shared" ref="CS103" si="969">+CR103</f>
        <v>3105</v>
      </c>
      <c r="CT103" s="37">
        <f t="shared" ref="CT103" si="970">+CS103</f>
        <v>3105</v>
      </c>
      <c r="CU103" s="37">
        <f t="shared" ref="CU103" si="971">+CT103</f>
        <v>3105</v>
      </c>
      <c r="CV103" s="37">
        <f t="shared" ref="CV103" si="972">+CU103</f>
        <v>3105</v>
      </c>
      <c r="CW103" s="37">
        <f t="shared" ref="CW103" si="973">+CV103</f>
        <v>3105</v>
      </c>
      <c r="CX103" s="37">
        <f t="shared" ref="CX103" si="974">+CW103</f>
        <v>3105</v>
      </c>
      <c r="CY103" s="37">
        <f t="shared" ref="CY103" si="975">+CX103</f>
        <v>3105</v>
      </c>
      <c r="CZ103" s="37">
        <f t="shared" ref="CZ103" si="976">+CY103</f>
        <v>3105</v>
      </c>
      <c r="DA103" s="37">
        <f t="shared" ref="DA103" si="977">+CZ103</f>
        <v>3105</v>
      </c>
      <c r="DB103" s="37">
        <f t="shared" ref="DB103" si="978">+DA103</f>
        <v>3105</v>
      </c>
      <c r="DC103" s="37">
        <f t="shared" ref="DC103" si="979">+DB103</f>
        <v>3105</v>
      </c>
      <c r="DD103" s="37">
        <f t="shared" ref="DD103" si="980">+DC103</f>
        <v>3105</v>
      </c>
      <c r="DE103" s="134"/>
      <c r="DF103" s="13">
        <v>3430.35</v>
      </c>
    </row>
    <row r="104" spans="1:110" s="13" customFormat="1" x14ac:dyDescent="0.2">
      <c r="A104" s="13" t="s">
        <v>458</v>
      </c>
      <c r="B104" s="13">
        <f>'Annual Raw'!C107</f>
        <v>0</v>
      </c>
      <c r="C104" s="13">
        <f>'Annual Raw'!D107</f>
        <v>0</v>
      </c>
      <c r="D104" s="13">
        <f>'Annual Raw'!E107</f>
        <v>0</v>
      </c>
      <c r="E104" s="13">
        <f>'Annual Raw'!F107</f>
        <v>0</v>
      </c>
      <c r="F104" s="13">
        <f>'Annual Raw'!G107</f>
        <v>0</v>
      </c>
      <c r="G104" s="13">
        <f>'Annual Raw'!H107</f>
        <v>0</v>
      </c>
      <c r="H104" s="13">
        <f>'Annual Raw'!I107</f>
        <v>0</v>
      </c>
      <c r="I104" s="13">
        <f>'Annual Raw'!J107</f>
        <v>0</v>
      </c>
      <c r="J104" s="13">
        <f>'Annual Raw'!K107</f>
        <v>0</v>
      </c>
      <c r="K104" s="13">
        <f>'Annual Raw'!L107</f>
        <v>0</v>
      </c>
      <c r="L104" s="13">
        <f>'Annual Raw'!M107</f>
        <v>0</v>
      </c>
      <c r="M104" s="13">
        <f>'Annual Raw'!N107</f>
        <v>0</v>
      </c>
      <c r="N104" s="13">
        <f>'Annual Raw'!O107</f>
        <v>0</v>
      </c>
      <c r="O104" s="13">
        <f>'Annual Raw'!P107</f>
        <v>0</v>
      </c>
      <c r="P104" s="13">
        <f>'Annual Raw'!Q107</f>
        <v>0</v>
      </c>
      <c r="Q104" s="13">
        <f>'Annual Raw'!R107</f>
        <v>0</v>
      </c>
      <c r="R104" s="13">
        <f>'Annual Raw'!S107</f>
        <v>0</v>
      </c>
      <c r="S104" s="13">
        <f>'Annual Raw'!T107</f>
        <v>0</v>
      </c>
      <c r="T104" s="13">
        <f>'Annual Raw'!U107</f>
        <v>0</v>
      </c>
      <c r="U104" s="13">
        <f>'Annual Raw'!V107</f>
        <v>0</v>
      </c>
      <c r="V104" s="13">
        <f>'Annual Raw'!W107</f>
        <v>0</v>
      </c>
      <c r="W104" s="13">
        <f>'Annual Raw'!X107</f>
        <v>0</v>
      </c>
      <c r="X104" s="13">
        <f>'Annual Raw'!Y107</f>
        <v>0</v>
      </c>
      <c r="Y104" s="13">
        <f>'Annual Raw'!Z107</f>
        <v>0</v>
      </c>
      <c r="Z104" s="13">
        <f>'Annual Raw'!AA107</f>
        <v>3624</v>
      </c>
      <c r="AA104" s="37">
        <f t="shared" si="959"/>
        <v>3485.8615061213231</v>
      </c>
      <c r="AB104" s="37">
        <f t="shared" si="960"/>
        <v>4203.2170174740977</v>
      </c>
      <c r="AC104" s="37">
        <f t="shared" si="961"/>
        <v>5094.7433000591809</v>
      </c>
      <c r="AD104" s="37">
        <f t="shared" si="962"/>
        <v>6044.9533147261855</v>
      </c>
      <c r="AE104" s="37">
        <f t="shared" si="963"/>
        <v>7155.2628039117062</v>
      </c>
      <c r="AJ104" s="13">
        <f>'QTR Share Price'!HP19</f>
        <v>0</v>
      </c>
      <c r="AK104" s="13">
        <f>'QTR Share Price'!HQ19</f>
        <v>0</v>
      </c>
      <c r="AL104" s="13">
        <f>'QTR Share Price'!HR19</f>
        <v>0</v>
      </c>
      <c r="AM104" s="13">
        <f>'QTR Share Price'!HS19</f>
        <v>0</v>
      </c>
      <c r="AN104" s="13">
        <f>'QTR Share Price'!HT19</f>
        <v>0</v>
      </c>
      <c r="AO104" s="13">
        <f>'QTR Share Price'!HU19</f>
        <v>0</v>
      </c>
      <c r="AP104" s="13">
        <f>'QTR Share Price'!HV19</f>
        <v>0</v>
      </c>
      <c r="AQ104" s="13">
        <f>'QTR Share Price'!HW19</f>
        <v>0</v>
      </c>
      <c r="AR104" s="13">
        <f>'QTR Share Price'!HX19</f>
        <v>0</v>
      </c>
      <c r="AS104" s="13">
        <f>'QTR Share Price'!HY19</f>
        <v>0</v>
      </c>
      <c r="AT104" s="13">
        <f>'QTR Share Price'!HZ19</f>
        <v>0</v>
      </c>
      <c r="AU104" s="13">
        <f>'QTR Share Price'!IA19</f>
        <v>0</v>
      </c>
      <c r="AV104" s="13">
        <f>'QTR Share Price'!IB19</f>
        <v>0</v>
      </c>
      <c r="AW104" s="13">
        <f>'QTR Share Price'!IC19</f>
        <v>0</v>
      </c>
      <c r="AX104" s="13">
        <f>'QTR Share Price'!ID19</f>
        <v>0</v>
      </c>
      <c r="AY104" s="13">
        <f>'QTR Share Price'!IE19</f>
        <v>0</v>
      </c>
      <c r="AZ104" s="13">
        <f>'QTR Share Price'!IF19</f>
        <v>0</v>
      </c>
      <c r="BA104" s="13">
        <f>'QTR Share Price'!IG19</f>
        <v>0</v>
      </c>
      <c r="BB104" s="13">
        <f>'QTR Share Price'!IH19</f>
        <v>0</v>
      </c>
      <c r="BC104" s="13">
        <f>'QTR Share Price'!II19</f>
        <v>0</v>
      </c>
      <c r="BD104" s="13">
        <f>'QTR Share Price'!IJ19</f>
        <v>0</v>
      </c>
      <c r="BE104" s="13">
        <f>'QTR Share Price'!IK19</f>
        <v>0</v>
      </c>
      <c r="BF104" s="13">
        <f>'QTR Share Price'!IL19</f>
        <v>0</v>
      </c>
      <c r="BG104" s="13">
        <f>'QTR Share Price'!IM19</f>
        <v>0</v>
      </c>
      <c r="BH104" s="13">
        <f>'QTR Share Price'!IN19</f>
        <v>0</v>
      </c>
      <c r="BI104" s="13">
        <f>'QTR Share Price'!IO19</f>
        <v>0</v>
      </c>
      <c r="BJ104" s="13">
        <f>'QTR Share Price'!IP19</f>
        <v>0</v>
      </c>
      <c r="BK104" s="13">
        <f>'QTR Share Price'!IQ19</f>
        <v>0</v>
      </c>
      <c r="BL104" s="13">
        <f>'QTR Share Price'!IR19</f>
        <v>0</v>
      </c>
      <c r="BM104" s="13">
        <f>'QTR Share Price'!IS19</f>
        <v>0</v>
      </c>
      <c r="BN104" s="13">
        <f>'QTR Share Price'!IT19</f>
        <v>0</v>
      </c>
      <c r="BO104" s="13">
        <f>'QTR Share Price'!IU19</f>
        <v>0</v>
      </c>
      <c r="BP104" s="13">
        <f>'QTR Share Price'!IV19</f>
        <v>0</v>
      </c>
      <c r="BQ104" s="13">
        <f>'QTR Share Price'!IW19</f>
        <v>0</v>
      </c>
      <c r="BR104" s="13">
        <f>'QTR Share Price'!IX19</f>
        <v>0</v>
      </c>
      <c r="BS104" s="13">
        <f>'QTR Share Price'!IY19</f>
        <v>0</v>
      </c>
      <c r="BT104" s="13">
        <f>'QTR Share Price'!IZ19</f>
        <v>0</v>
      </c>
      <c r="BU104" s="13">
        <f>'QTR Share Price'!JA19</f>
        <v>0</v>
      </c>
      <c r="BV104" s="13">
        <f>'QTR Share Price'!JB19</f>
        <v>0</v>
      </c>
      <c r="BW104" s="13">
        <f>'QTR Share Price'!JC19</f>
        <v>0</v>
      </c>
      <c r="BX104" s="13">
        <f>'QTR Share Price'!JD19</f>
        <v>0</v>
      </c>
      <c r="BY104" s="13">
        <f>'QTR Share Price'!JE19</f>
        <v>0</v>
      </c>
      <c r="BZ104" s="13">
        <f>'QTR Share Price'!JF19</f>
        <v>0</v>
      </c>
      <c r="CA104" s="13">
        <f>'QTR Share Price'!JG19</f>
        <v>0</v>
      </c>
      <c r="CB104" s="13">
        <f>'QTR Share Price'!JH19</f>
        <v>0</v>
      </c>
      <c r="CC104" s="13">
        <f>'QTR Share Price'!JI19</f>
        <v>0</v>
      </c>
      <c r="CD104" s="13">
        <f>'QTR Share Price'!JJ19</f>
        <v>0</v>
      </c>
      <c r="CE104" s="13">
        <f>'QTR Share Price'!JK19</f>
        <v>0</v>
      </c>
      <c r="CF104" s="13">
        <f>'QTR Share Price'!JL19</f>
        <v>0</v>
      </c>
      <c r="CG104" s="13">
        <f>'QTR Share Price'!JM19</f>
        <v>0</v>
      </c>
      <c r="CH104" s="13">
        <f>'QTR Share Price'!JN19</f>
        <v>0</v>
      </c>
      <c r="CI104" s="13">
        <f>'QTR Share Price'!JO19</f>
        <v>2998</v>
      </c>
      <c r="CJ104" s="13">
        <f>'QTR Share Price'!JP19</f>
        <v>3624</v>
      </c>
      <c r="CK104" s="13">
        <f>'QTR Share Price'!JQ19</f>
        <v>3447.35</v>
      </c>
      <c r="CL104" s="13">
        <f>'QTR Share Price'!JR19</f>
        <v>3021.45</v>
      </c>
      <c r="CM104" s="37">
        <f t="shared" ref="CM104:DB104" si="981">+CM95*CM112</f>
        <v>3188.1632983894247</v>
      </c>
      <c r="CN104" s="37">
        <f t="shared" si="981"/>
        <v>3485.8615061213231</v>
      </c>
      <c r="CO104" s="37">
        <f t="shared" si="981"/>
        <v>3574.2801225705325</v>
      </c>
      <c r="CP104" s="37">
        <f t="shared" si="981"/>
        <v>3821.2320027020892</v>
      </c>
      <c r="CQ104" s="37">
        <f t="shared" si="981"/>
        <v>3974.516657077922</v>
      </c>
      <c r="CR104" s="37">
        <f t="shared" si="981"/>
        <v>4203.2170174740977</v>
      </c>
      <c r="CS104" s="37">
        <f t="shared" si="981"/>
        <v>4374.574220903578</v>
      </c>
      <c r="CT104" s="37">
        <f t="shared" si="981"/>
        <v>4603.5198507901214</v>
      </c>
      <c r="CU104" s="37">
        <f t="shared" si="981"/>
        <v>4808.5978031331906</v>
      </c>
      <c r="CV104" s="37">
        <f t="shared" si="981"/>
        <v>5094.7433000591809</v>
      </c>
      <c r="CW104" s="37">
        <f t="shared" si="981"/>
        <v>5309.6613663672733</v>
      </c>
      <c r="CX104" s="37">
        <f t="shared" si="981"/>
        <v>5562.2463641290033</v>
      </c>
      <c r="CY104" s="37">
        <f t="shared" si="981"/>
        <v>5768.685469235842</v>
      </c>
      <c r="CZ104" s="37">
        <f t="shared" si="981"/>
        <v>6044.9533147261855</v>
      </c>
      <c r="DA104" s="37">
        <f t="shared" si="981"/>
        <v>6289.4076109180323</v>
      </c>
      <c r="DB104" s="37">
        <f t="shared" si="981"/>
        <v>6575.863876856095</v>
      </c>
      <c r="DC104" s="37">
        <f t="shared" ref="DC104:DD104" si="982">+DC95*DC112</f>
        <v>6817.7273854053064</v>
      </c>
      <c r="DD104" s="37">
        <f t="shared" si="982"/>
        <v>7155.2628039117062</v>
      </c>
      <c r="DE104" s="134"/>
      <c r="DF104" s="13">
        <v>3624</v>
      </c>
    </row>
    <row r="105" spans="1:110" s="13" customFormat="1" x14ac:dyDescent="0.2">
      <c r="A105" s="13" t="s">
        <v>459</v>
      </c>
      <c r="B105" s="13">
        <f>'Annual Raw'!C108</f>
        <v>0</v>
      </c>
      <c r="C105" s="13">
        <f>'Annual Raw'!D108</f>
        <v>0</v>
      </c>
      <c r="D105" s="13">
        <f>'Annual Raw'!E108</f>
        <v>0</v>
      </c>
      <c r="E105" s="13">
        <f>'Annual Raw'!F108</f>
        <v>0</v>
      </c>
      <c r="F105" s="13">
        <f>'Annual Raw'!G108</f>
        <v>0</v>
      </c>
      <c r="G105" s="13">
        <f>'Annual Raw'!H108</f>
        <v>0</v>
      </c>
      <c r="H105" s="13">
        <f>'Annual Raw'!I108</f>
        <v>0</v>
      </c>
      <c r="I105" s="13">
        <f>'Annual Raw'!J108</f>
        <v>0</v>
      </c>
      <c r="J105" s="13">
        <f>'Annual Raw'!K108</f>
        <v>0</v>
      </c>
      <c r="K105" s="13">
        <f>'Annual Raw'!L108</f>
        <v>0</v>
      </c>
      <c r="L105" s="13">
        <f>'Annual Raw'!M108</f>
        <v>0</v>
      </c>
      <c r="M105" s="13">
        <f>'Annual Raw'!N108</f>
        <v>0</v>
      </c>
      <c r="N105" s="13">
        <f>'Annual Raw'!O108</f>
        <v>0</v>
      </c>
      <c r="O105" s="13">
        <f>'Annual Raw'!P108</f>
        <v>0</v>
      </c>
      <c r="P105" s="13">
        <f>'Annual Raw'!Q108</f>
        <v>0</v>
      </c>
      <c r="Q105" s="13">
        <f>'Annual Raw'!R108</f>
        <v>0</v>
      </c>
      <c r="R105" s="13">
        <f>'Annual Raw'!S108</f>
        <v>0</v>
      </c>
      <c r="S105" s="13">
        <f>'Annual Raw'!T108</f>
        <v>0</v>
      </c>
      <c r="T105" s="13">
        <f>'Annual Raw'!U108</f>
        <v>0</v>
      </c>
      <c r="U105" s="13">
        <f>'Annual Raw'!V108</f>
        <v>0</v>
      </c>
      <c r="V105" s="13">
        <f>'Annual Raw'!W108</f>
        <v>0</v>
      </c>
      <c r="W105" s="13">
        <f>'Annual Raw'!X108</f>
        <v>0</v>
      </c>
      <c r="X105" s="13">
        <f>'Annual Raw'!Y108</f>
        <v>0</v>
      </c>
      <c r="Y105" s="13">
        <f>'Annual Raw'!Z108</f>
        <v>0</v>
      </c>
      <c r="Z105" s="13">
        <f>'Annual Raw'!AA108</f>
        <v>2529</v>
      </c>
      <c r="AA105" s="37">
        <f t="shared" si="959"/>
        <v>2428.7217559818309</v>
      </c>
      <c r="AB105" s="37">
        <f t="shared" si="960"/>
        <v>2928.5284563158739</v>
      </c>
      <c r="AC105" s="37">
        <f t="shared" si="961"/>
        <v>3549.6860309187928</v>
      </c>
      <c r="AD105" s="37">
        <f t="shared" si="962"/>
        <v>4211.7306162590248</v>
      </c>
      <c r="AE105" s="37">
        <f t="shared" si="963"/>
        <v>4985.322110792742</v>
      </c>
      <c r="AJ105" s="13">
        <f>+'QTR Share Price'!HP20</f>
        <v>0</v>
      </c>
      <c r="AK105" s="13">
        <f>+'QTR Share Price'!HQ20</f>
        <v>0</v>
      </c>
      <c r="AL105" s="13">
        <f>+'QTR Share Price'!HR20</f>
        <v>0</v>
      </c>
      <c r="AM105" s="13">
        <f>+'QTR Share Price'!HS20</f>
        <v>0</v>
      </c>
      <c r="AN105" s="13">
        <f>+'QTR Share Price'!HT20</f>
        <v>0</v>
      </c>
      <c r="AO105" s="13">
        <f>+'QTR Share Price'!HU20</f>
        <v>0</v>
      </c>
      <c r="AP105" s="13">
        <f>+'QTR Share Price'!HV20</f>
        <v>0</v>
      </c>
      <c r="AQ105" s="13">
        <f>+'QTR Share Price'!HW20</f>
        <v>0</v>
      </c>
      <c r="AR105" s="13">
        <f>+'QTR Share Price'!HX20</f>
        <v>0</v>
      </c>
      <c r="AS105" s="13">
        <f>+'QTR Share Price'!HY20</f>
        <v>0</v>
      </c>
      <c r="AT105" s="13">
        <f>+'QTR Share Price'!HZ20</f>
        <v>0</v>
      </c>
      <c r="AU105" s="13">
        <f>+'QTR Share Price'!IA20</f>
        <v>0</v>
      </c>
      <c r="AV105" s="13">
        <f>+'QTR Share Price'!IB20</f>
        <v>0</v>
      </c>
      <c r="AW105" s="13">
        <f>+'QTR Share Price'!IC20</f>
        <v>0</v>
      </c>
      <c r="AX105" s="13">
        <f>+'QTR Share Price'!ID20</f>
        <v>0</v>
      </c>
      <c r="AY105" s="13">
        <f>+'QTR Share Price'!IE20</f>
        <v>0</v>
      </c>
      <c r="AZ105" s="13">
        <f>+'QTR Share Price'!IF20</f>
        <v>0</v>
      </c>
      <c r="BA105" s="13">
        <f>+'QTR Share Price'!IG20</f>
        <v>0</v>
      </c>
      <c r="BB105" s="13">
        <f>+'QTR Share Price'!IH20</f>
        <v>0</v>
      </c>
      <c r="BC105" s="13">
        <f>+'QTR Share Price'!II20</f>
        <v>0</v>
      </c>
      <c r="BD105" s="13">
        <f>+'QTR Share Price'!IJ20</f>
        <v>0</v>
      </c>
      <c r="BE105" s="13">
        <f>+'QTR Share Price'!IK20</f>
        <v>0</v>
      </c>
      <c r="BF105" s="13">
        <f>+'QTR Share Price'!IL20</f>
        <v>0</v>
      </c>
      <c r="BG105" s="13">
        <f>+'QTR Share Price'!IM20</f>
        <v>0</v>
      </c>
      <c r="BH105" s="13">
        <f>+'QTR Share Price'!IN20</f>
        <v>0</v>
      </c>
      <c r="BI105" s="13">
        <f>+'QTR Share Price'!IO20</f>
        <v>0</v>
      </c>
      <c r="BJ105" s="13">
        <f>+'QTR Share Price'!IP20</f>
        <v>0</v>
      </c>
      <c r="BK105" s="13">
        <f>+'QTR Share Price'!IQ20</f>
        <v>0</v>
      </c>
      <c r="BL105" s="13">
        <f>+'QTR Share Price'!IR20</f>
        <v>0</v>
      </c>
      <c r="BM105" s="13">
        <f>+'QTR Share Price'!IS20</f>
        <v>0</v>
      </c>
      <c r="BN105" s="13">
        <f>+'QTR Share Price'!IT20</f>
        <v>0</v>
      </c>
      <c r="BO105" s="13">
        <f>+'QTR Share Price'!IU20</f>
        <v>0</v>
      </c>
      <c r="BP105" s="13">
        <f>+'QTR Share Price'!IV20</f>
        <v>0</v>
      </c>
      <c r="BQ105" s="13">
        <f>+'QTR Share Price'!IW20</f>
        <v>0</v>
      </c>
      <c r="BR105" s="13">
        <f>+'QTR Share Price'!IX20</f>
        <v>0</v>
      </c>
      <c r="BS105" s="13">
        <f>+'QTR Share Price'!IY20</f>
        <v>0</v>
      </c>
      <c r="BT105" s="13">
        <f>+'QTR Share Price'!IZ20</f>
        <v>0</v>
      </c>
      <c r="BU105" s="13">
        <f>+'QTR Share Price'!JA20</f>
        <v>0</v>
      </c>
      <c r="BV105" s="13">
        <f>+'QTR Share Price'!JB20</f>
        <v>0</v>
      </c>
      <c r="BW105" s="13">
        <f>+'QTR Share Price'!JC20</f>
        <v>0</v>
      </c>
      <c r="BX105" s="13">
        <f>+'QTR Share Price'!JD20</f>
        <v>0</v>
      </c>
      <c r="BY105" s="13">
        <f>+'QTR Share Price'!JE20</f>
        <v>0</v>
      </c>
      <c r="BZ105" s="13">
        <f>+'QTR Share Price'!JF20</f>
        <v>0</v>
      </c>
      <c r="CA105" s="13">
        <f>+'QTR Share Price'!JG20</f>
        <v>0</v>
      </c>
      <c r="CB105" s="13">
        <f>+'QTR Share Price'!JH20</f>
        <v>0</v>
      </c>
      <c r="CC105" s="13">
        <f>+'QTR Share Price'!JI20</f>
        <v>0</v>
      </c>
      <c r="CD105" s="13">
        <f>+'QTR Share Price'!JJ20</f>
        <v>0</v>
      </c>
      <c r="CE105" s="13">
        <f>+'QTR Share Price'!JK20</f>
        <v>0</v>
      </c>
      <c r="CF105" s="13">
        <f>+'QTR Share Price'!JL20</f>
        <v>0</v>
      </c>
      <c r="CG105" s="13">
        <f>+'QTR Share Price'!JM20</f>
        <v>0</v>
      </c>
      <c r="CH105" s="13">
        <f>+'QTR Share Price'!JN20</f>
        <v>0</v>
      </c>
      <c r="CI105" s="13">
        <f>+'QTR Share Price'!JO20</f>
        <v>0</v>
      </c>
      <c r="CJ105" s="13">
        <f>+'QTR Share Price'!JP20</f>
        <v>2875</v>
      </c>
      <c r="CK105" s="13">
        <f>+'QTR Share Price'!JQ20</f>
        <v>2535.8000000000002</v>
      </c>
      <c r="CL105" s="13">
        <f>+'QTR Share Price'!JR20</f>
        <v>2105.15</v>
      </c>
      <c r="CM105" s="37">
        <f t="shared" ref="CM105:DB105" si="983">+CM113*CM95</f>
        <v>2221.3049918431543</v>
      </c>
      <c r="CN105" s="37">
        <f t="shared" si="983"/>
        <v>2428.7217559818309</v>
      </c>
      <c r="CO105" s="37">
        <f t="shared" si="983"/>
        <v>2490.3261017158507</v>
      </c>
      <c r="CP105" s="37">
        <f t="shared" si="983"/>
        <v>2662.386122718663</v>
      </c>
      <c r="CQ105" s="37">
        <f t="shared" si="983"/>
        <v>2769.1849081227847</v>
      </c>
      <c r="CR105" s="37">
        <f t="shared" si="983"/>
        <v>2928.5284563158739</v>
      </c>
      <c r="CS105" s="37">
        <f t="shared" si="983"/>
        <v>3047.9190193897525</v>
      </c>
      <c r="CT105" s="37">
        <f t="shared" si="983"/>
        <v>3207.4334554239936</v>
      </c>
      <c r="CU105" s="37">
        <f t="shared" si="983"/>
        <v>3350.3184448744269</v>
      </c>
      <c r="CV105" s="37">
        <f t="shared" si="983"/>
        <v>3549.6860309187928</v>
      </c>
      <c r="CW105" s="37">
        <f t="shared" si="983"/>
        <v>3699.4269722841905</v>
      </c>
      <c r="CX105" s="37">
        <f t="shared" si="983"/>
        <v>3875.4117835629158</v>
      </c>
      <c r="CY105" s="37">
        <f t="shared" si="983"/>
        <v>4019.2451357996438</v>
      </c>
      <c r="CZ105" s="37">
        <f t="shared" si="983"/>
        <v>4211.7306162590248</v>
      </c>
      <c r="DA105" s="37">
        <f t="shared" si="983"/>
        <v>4382.0504830872915</v>
      </c>
      <c r="DB105" s="37">
        <f t="shared" si="983"/>
        <v>4581.6345927828061</v>
      </c>
      <c r="DC105" s="37">
        <f t="shared" ref="DC105:DD105" si="984">+DC113*DC95</f>
        <v>4750.1493671535136</v>
      </c>
      <c r="DD105" s="37">
        <f t="shared" si="984"/>
        <v>4985.322110792742</v>
      </c>
      <c r="DE105" s="134"/>
      <c r="DF105" s="13">
        <v>2529</v>
      </c>
    </row>
    <row r="106" spans="1:110" s="14" customFormat="1" x14ac:dyDescent="0.2">
      <c r="AA106" s="16"/>
      <c r="AB106" s="16"/>
      <c r="AC106" s="16"/>
      <c r="AD106" s="16"/>
      <c r="AE106" s="16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134"/>
    </row>
    <row r="107" spans="1:110" s="51" customFormat="1" x14ac:dyDescent="0.2">
      <c r="A107" s="51" t="s">
        <v>346</v>
      </c>
      <c r="AA107" s="48">
        <f t="shared" ref="AA107" si="985">+AA104/AA103-1</f>
        <v>0.1226607105060622</v>
      </c>
      <c r="AB107" s="48">
        <f t="shared" ref="AB107:AD107" si="986">+AB104/AB103-1</f>
        <v>0.35369308131210886</v>
      </c>
      <c r="AC107" s="48">
        <f t="shared" si="986"/>
        <v>0.64081909824772332</v>
      </c>
      <c r="AD107" s="48">
        <f t="shared" si="986"/>
        <v>0.9468448678667265</v>
      </c>
      <c r="AE107" s="48">
        <f t="shared" ref="AE107" si="987">+AE104/AE103-1</f>
        <v>1.3044324650279249</v>
      </c>
      <c r="CM107" s="48">
        <f t="shared" ref="CM107:DB107" si="988">+CM104/CM103-1</f>
        <v>2.678367097888068E-2</v>
      </c>
      <c r="CN107" s="48">
        <f t="shared" si="988"/>
        <v>0.1226607105060622</v>
      </c>
      <c r="CO107" s="48">
        <f t="shared" si="988"/>
        <v>0.15113691548165309</v>
      </c>
      <c r="CP107" s="48">
        <f t="shared" si="988"/>
        <v>0.23067053227120415</v>
      </c>
      <c r="CQ107" s="48">
        <f t="shared" si="988"/>
        <v>0.28003757071752711</v>
      </c>
      <c r="CR107" s="48">
        <f t="shared" si="988"/>
        <v>0.35369308131210886</v>
      </c>
      <c r="CS107" s="48">
        <f t="shared" si="988"/>
        <v>0.40888058644237613</v>
      </c>
      <c r="CT107" s="48">
        <f t="shared" si="988"/>
        <v>0.48261508882129522</v>
      </c>
      <c r="CU107" s="48">
        <f t="shared" si="988"/>
        <v>0.54866273852920799</v>
      </c>
      <c r="CV107" s="48">
        <f t="shared" si="988"/>
        <v>0.64081909824772332</v>
      </c>
      <c r="CW107" s="48">
        <f t="shared" si="988"/>
        <v>0.71003586678495112</v>
      </c>
      <c r="CX107" s="48">
        <f t="shared" si="988"/>
        <v>0.79138369215104776</v>
      </c>
      <c r="CY107" s="48">
        <f t="shared" si="988"/>
        <v>0.85786971634004572</v>
      </c>
      <c r="CZ107" s="48">
        <f t="shared" si="988"/>
        <v>0.9468448678667265</v>
      </c>
      <c r="DA107" s="48">
        <f t="shared" si="988"/>
        <v>1.0255741097964677</v>
      </c>
      <c r="DB107" s="48">
        <f t="shared" si="988"/>
        <v>1.1178305561533319</v>
      </c>
      <c r="DC107" s="48">
        <f t="shared" ref="DC107:DD107" si="989">+DC104/DC103-1</f>
        <v>1.195725405927635</v>
      </c>
      <c r="DD107" s="48">
        <f t="shared" si="989"/>
        <v>1.3044324650279249</v>
      </c>
      <c r="DE107" s="129"/>
    </row>
    <row r="108" spans="1:110" s="51" customFormat="1" x14ac:dyDescent="0.2">
      <c r="A108" s="51" t="s">
        <v>347</v>
      </c>
      <c r="AA108" s="48">
        <f t="shared" ref="AA108" si="990">+AA105/AA103-1</f>
        <v>-0.21780297713950691</v>
      </c>
      <c r="AB108" s="48">
        <f t="shared" ref="AB108:AD108" si="991">+AB105/AB103-1</f>
        <v>-5.6834635647061593E-2</v>
      </c>
      <c r="AC108" s="48">
        <f t="shared" si="991"/>
        <v>0.14321611301732462</v>
      </c>
      <c r="AD108" s="48">
        <f t="shared" si="991"/>
        <v>0.35643498108181149</v>
      </c>
      <c r="AE108" s="48">
        <f t="shared" ref="AE108" si="992">+AE105/AE103-1</f>
        <v>0.60557877964339513</v>
      </c>
      <c r="CM108" s="48">
        <f t="shared" ref="CM108:DB108" si="993">+CM105/CM103-1</f>
        <v>-0.28460386736130294</v>
      </c>
      <c r="CN108" s="48">
        <f t="shared" si="993"/>
        <v>-0.21780297713950691</v>
      </c>
      <c r="CO108" s="48">
        <f t="shared" si="993"/>
        <v>-0.19796260814304323</v>
      </c>
      <c r="CP108" s="48">
        <f t="shared" si="993"/>
        <v>-0.14254875274761258</v>
      </c>
      <c r="CQ108" s="48">
        <f t="shared" si="993"/>
        <v>-0.108153008656108</v>
      </c>
      <c r="CR108" s="48">
        <f t="shared" si="993"/>
        <v>-5.6834635647061593E-2</v>
      </c>
      <c r="CS108" s="48">
        <f t="shared" si="993"/>
        <v>-1.838356863454027E-2</v>
      </c>
      <c r="CT108" s="48">
        <f t="shared" si="993"/>
        <v>3.2989840716262098E-2</v>
      </c>
      <c r="CU108" s="48">
        <f t="shared" si="993"/>
        <v>7.9007550684195405E-2</v>
      </c>
      <c r="CV108" s="48">
        <f t="shared" si="993"/>
        <v>0.14321611301732462</v>
      </c>
      <c r="CW108" s="48">
        <f t="shared" si="993"/>
        <v>0.19144185902872479</v>
      </c>
      <c r="CX108" s="48">
        <f t="shared" si="993"/>
        <v>0.24811973705729984</v>
      </c>
      <c r="CY108" s="48">
        <f t="shared" si="993"/>
        <v>0.29444287787428136</v>
      </c>
      <c r="CZ108" s="48">
        <f t="shared" si="993"/>
        <v>0.35643498108181149</v>
      </c>
      <c r="DA108" s="48">
        <f t="shared" si="993"/>
        <v>0.41128840035017444</v>
      </c>
      <c r="DB108" s="48">
        <f t="shared" si="993"/>
        <v>0.47556669654840777</v>
      </c>
      <c r="DC108" s="48">
        <f t="shared" ref="DC108:DD108" si="994">+DC105/DC103-1</f>
        <v>0.5298387655888932</v>
      </c>
      <c r="DD108" s="48">
        <f t="shared" si="994"/>
        <v>0.60557877964339513</v>
      </c>
      <c r="DE108" s="129"/>
    </row>
    <row r="109" spans="1:110" s="14" customFormat="1" x14ac:dyDescent="0.2">
      <c r="AA109" s="16"/>
      <c r="AB109" s="16"/>
      <c r="AC109" s="16"/>
      <c r="AD109" s="16"/>
      <c r="AE109" s="16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134"/>
    </row>
    <row r="110" spans="1:110" s="13" customFormat="1" x14ac:dyDescent="0.2">
      <c r="A110" s="13" t="s">
        <v>40</v>
      </c>
      <c r="AA110" s="37"/>
      <c r="AB110" s="37"/>
      <c r="AC110" s="37"/>
      <c r="AD110" s="37"/>
      <c r="AE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134"/>
    </row>
    <row r="111" spans="1:110" s="13" customFormat="1" x14ac:dyDescent="0.2">
      <c r="A111" s="13" t="s">
        <v>460</v>
      </c>
      <c r="B111" s="13" t="e">
        <f t="shared" ref="B111:D111" si="995">+B103/B95</f>
        <v>#DIV/0!</v>
      </c>
      <c r="C111" s="13" t="e">
        <f t="shared" si="995"/>
        <v>#DIV/0!</v>
      </c>
      <c r="D111" s="13" t="e">
        <f t="shared" si="995"/>
        <v>#DIV/0!</v>
      </c>
      <c r="E111" s="13" t="e">
        <f t="shared" ref="E111:AE111" si="996">+E103/E95</f>
        <v>#DIV/0!</v>
      </c>
      <c r="F111" s="13" t="e">
        <f t="shared" si="996"/>
        <v>#DIV/0!</v>
      </c>
      <c r="G111" s="13" t="e">
        <f t="shared" si="996"/>
        <v>#DIV/0!</v>
      </c>
      <c r="H111" s="13" t="e">
        <f t="shared" si="996"/>
        <v>#DIV/0!</v>
      </c>
      <c r="I111" s="13" t="e">
        <f t="shared" si="996"/>
        <v>#DIV/0!</v>
      </c>
      <c r="J111" s="13" t="e">
        <f t="shared" si="996"/>
        <v>#DIV/0!</v>
      </c>
      <c r="K111" s="13" t="e">
        <f t="shared" si="996"/>
        <v>#DIV/0!</v>
      </c>
      <c r="L111" s="13" t="e">
        <f t="shared" si="996"/>
        <v>#DIV/0!</v>
      </c>
      <c r="M111" s="13" t="e">
        <f t="shared" si="996"/>
        <v>#DIV/0!</v>
      </c>
      <c r="N111" s="13" t="e">
        <f t="shared" si="996"/>
        <v>#DIV/0!</v>
      </c>
      <c r="O111" s="13" t="e">
        <f t="shared" si="996"/>
        <v>#DIV/0!</v>
      </c>
      <c r="P111" s="13" t="e">
        <f t="shared" si="996"/>
        <v>#DIV/0!</v>
      </c>
      <c r="Q111" s="13" t="e">
        <f t="shared" si="996"/>
        <v>#DIV/0!</v>
      </c>
      <c r="R111" s="13" t="e">
        <f t="shared" si="996"/>
        <v>#DIV/0!</v>
      </c>
      <c r="S111" s="13" t="e">
        <f t="shared" si="996"/>
        <v>#DIV/0!</v>
      </c>
      <c r="T111" s="13" t="e">
        <f t="shared" si="996"/>
        <v>#DIV/0!</v>
      </c>
      <c r="U111" s="13" t="e">
        <f t="shared" si="996"/>
        <v>#DIV/0!</v>
      </c>
      <c r="V111" s="13" t="e">
        <f t="shared" si="996"/>
        <v>#DIV/0!</v>
      </c>
      <c r="W111" s="13" t="e">
        <f t="shared" si="996"/>
        <v>#DIV/0!</v>
      </c>
      <c r="X111" s="13" t="e">
        <f t="shared" si="996"/>
        <v>#DIV/0!</v>
      </c>
      <c r="Y111" s="13">
        <f t="shared" si="996"/>
        <v>0</v>
      </c>
      <c r="Z111" s="13">
        <f t="shared" ref="Z111" si="997">+Z103/Z95</f>
        <v>111.00850831742571</v>
      </c>
      <c r="AA111" s="37">
        <f t="shared" si="996"/>
        <v>70.361558147998039</v>
      </c>
      <c r="AB111" s="37">
        <f t="shared" si="996"/>
        <v>58.353077188057654</v>
      </c>
      <c r="AC111" s="37">
        <f t="shared" si="996"/>
        <v>48.141904824915244</v>
      </c>
      <c r="AD111" s="37">
        <f t="shared" si="996"/>
        <v>40.57444851746277</v>
      </c>
      <c r="AE111" s="37">
        <f t="shared" si="996"/>
        <v>34.278356194651103</v>
      </c>
      <c r="AL111" s="13" t="e">
        <f t="shared" ref="AL111:BQ111" si="998">+AL103/AL95</f>
        <v>#DIV/0!</v>
      </c>
      <c r="AM111" s="13" t="e">
        <f t="shared" si="998"/>
        <v>#DIV/0!</v>
      </c>
      <c r="AN111" s="13" t="e">
        <f t="shared" si="998"/>
        <v>#DIV/0!</v>
      </c>
      <c r="AO111" s="13" t="e">
        <f t="shared" si="998"/>
        <v>#DIV/0!</v>
      </c>
      <c r="AP111" s="13" t="e">
        <f t="shared" si="998"/>
        <v>#DIV/0!</v>
      </c>
      <c r="AQ111" s="13" t="e">
        <f t="shared" si="998"/>
        <v>#DIV/0!</v>
      </c>
      <c r="AR111" s="13" t="e">
        <f t="shared" si="998"/>
        <v>#DIV/0!</v>
      </c>
      <c r="AS111" s="13" t="e">
        <f t="shared" si="998"/>
        <v>#DIV/0!</v>
      </c>
      <c r="AT111" s="13" t="e">
        <f t="shared" si="998"/>
        <v>#DIV/0!</v>
      </c>
      <c r="AU111" s="13" t="e">
        <f t="shared" si="998"/>
        <v>#DIV/0!</v>
      </c>
      <c r="AV111" s="13" t="e">
        <f t="shared" si="998"/>
        <v>#DIV/0!</v>
      </c>
      <c r="AW111" s="13" t="e">
        <f t="shared" si="998"/>
        <v>#DIV/0!</v>
      </c>
      <c r="AX111" s="13" t="e">
        <f t="shared" si="998"/>
        <v>#DIV/0!</v>
      </c>
      <c r="AY111" s="13" t="e">
        <f t="shared" si="998"/>
        <v>#DIV/0!</v>
      </c>
      <c r="AZ111" s="13" t="e">
        <f t="shared" si="998"/>
        <v>#DIV/0!</v>
      </c>
      <c r="BA111" s="13" t="e">
        <f t="shared" si="998"/>
        <v>#DIV/0!</v>
      </c>
      <c r="BB111" s="13" t="e">
        <f t="shared" si="998"/>
        <v>#DIV/0!</v>
      </c>
      <c r="BC111" s="13" t="e">
        <f t="shared" si="998"/>
        <v>#DIV/0!</v>
      </c>
      <c r="BD111" s="13" t="e">
        <f t="shared" si="998"/>
        <v>#DIV/0!</v>
      </c>
      <c r="BE111" s="13" t="e">
        <f t="shared" si="998"/>
        <v>#DIV/0!</v>
      </c>
      <c r="BF111" s="13" t="e">
        <f t="shared" si="998"/>
        <v>#DIV/0!</v>
      </c>
      <c r="BG111" s="13" t="e">
        <f t="shared" si="998"/>
        <v>#DIV/0!</v>
      </c>
      <c r="BH111" s="13" t="e">
        <f t="shared" si="998"/>
        <v>#DIV/0!</v>
      </c>
      <c r="BI111" s="13" t="e">
        <f t="shared" si="998"/>
        <v>#DIV/0!</v>
      </c>
      <c r="BJ111" s="13" t="e">
        <f t="shared" si="998"/>
        <v>#DIV/0!</v>
      </c>
      <c r="BK111" s="13" t="e">
        <f t="shared" si="998"/>
        <v>#DIV/0!</v>
      </c>
      <c r="BL111" s="13" t="e">
        <f t="shared" si="998"/>
        <v>#DIV/0!</v>
      </c>
      <c r="BM111" s="13" t="e">
        <f t="shared" si="998"/>
        <v>#DIV/0!</v>
      </c>
      <c r="BN111" s="13" t="e">
        <f t="shared" si="998"/>
        <v>#DIV/0!</v>
      </c>
      <c r="BO111" s="13" t="e">
        <f t="shared" si="998"/>
        <v>#DIV/0!</v>
      </c>
      <c r="BP111" s="13" t="e">
        <f t="shared" si="998"/>
        <v>#DIV/0!</v>
      </c>
      <c r="BQ111" s="13" t="e">
        <f t="shared" si="998"/>
        <v>#DIV/0!</v>
      </c>
      <c r="BR111" s="13" t="e">
        <f t="shared" ref="BR111:DB111" si="999">+BR103/BR95</f>
        <v>#DIV/0!</v>
      </c>
      <c r="BS111" s="13" t="e">
        <f t="shared" si="999"/>
        <v>#DIV/0!</v>
      </c>
      <c r="BT111" s="13" t="e">
        <f t="shared" si="999"/>
        <v>#DIV/0!</v>
      </c>
      <c r="BU111" s="13" t="e">
        <f t="shared" si="999"/>
        <v>#DIV/0!</v>
      </c>
      <c r="BV111" s="13" t="e">
        <f t="shared" si="999"/>
        <v>#DIV/0!</v>
      </c>
      <c r="BW111" s="13" t="e">
        <f t="shared" si="999"/>
        <v>#DIV/0!</v>
      </c>
      <c r="BX111" s="13" t="e">
        <f t="shared" si="999"/>
        <v>#DIV/0!</v>
      </c>
      <c r="BY111" s="13" t="e">
        <f t="shared" si="999"/>
        <v>#DIV/0!</v>
      </c>
      <c r="BZ111" s="13" t="e">
        <f t="shared" si="999"/>
        <v>#DIV/0!</v>
      </c>
      <c r="CA111" s="13" t="e">
        <f t="shared" si="999"/>
        <v>#DIV/0!</v>
      </c>
      <c r="CB111" s="13" t="e">
        <f t="shared" si="999"/>
        <v>#DIV/0!</v>
      </c>
      <c r="CC111" s="13" t="e">
        <f t="shared" si="999"/>
        <v>#DIV/0!</v>
      </c>
      <c r="CD111" s="13">
        <f t="shared" si="999"/>
        <v>0</v>
      </c>
      <c r="CE111" s="13">
        <f t="shared" si="999"/>
        <v>0</v>
      </c>
      <c r="CF111" s="13">
        <f t="shared" si="999"/>
        <v>0</v>
      </c>
      <c r="CG111" s="13">
        <f t="shared" si="999"/>
        <v>0</v>
      </c>
      <c r="CH111" s="13">
        <f t="shared" si="999"/>
        <v>0</v>
      </c>
      <c r="CI111" s="13">
        <f t="shared" ref="CI111:CJ111" si="1000">+CI103/CI95</f>
        <v>104.67284559258533</v>
      </c>
      <c r="CJ111" s="13">
        <f t="shared" si="1000"/>
        <v>111.00850831742569</v>
      </c>
      <c r="CK111" s="13">
        <f t="shared" ref="CK111" si="1001">+CK103/CK95</f>
        <v>73.925137852740846</v>
      </c>
      <c r="CL111" s="13">
        <f t="shared" ref="CL111" si="1002">+CL103/CL95</f>
        <v>67.180392156862752</v>
      </c>
      <c r="CM111" s="37">
        <f t="shared" si="999"/>
        <v>76.931644995326209</v>
      </c>
      <c r="CN111" s="37">
        <f t="shared" si="999"/>
        <v>70.361558147998039</v>
      </c>
      <c r="CO111" s="37">
        <f t="shared" si="999"/>
        <v>68.620991821545033</v>
      </c>
      <c r="CP111" s="37">
        <f t="shared" si="999"/>
        <v>64.186274710718024</v>
      </c>
      <c r="CQ111" s="37">
        <f t="shared" si="999"/>
        <v>61.710811205694462</v>
      </c>
      <c r="CR111" s="37">
        <f t="shared" si="999"/>
        <v>58.353077188057654</v>
      </c>
      <c r="CS111" s="37">
        <f t="shared" si="999"/>
        <v>56.067318708827926</v>
      </c>
      <c r="CT111" s="37">
        <f t="shared" si="999"/>
        <v>53.27893764088509</v>
      </c>
      <c r="CU111" s="37">
        <f t="shared" si="999"/>
        <v>51.006687832991524</v>
      </c>
      <c r="CV111" s="37">
        <f t="shared" si="999"/>
        <v>48.141904824915201</v>
      </c>
      <c r="CW111" s="37">
        <f t="shared" si="999"/>
        <v>46.193274888004964</v>
      </c>
      <c r="CX111" s="37">
        <f t="shared" si="999"/>
        <v>44.095610119065746</v>
      </c>
      <c r="CY111" s="37">
        <f t="shared" si="999"/>
        <v>42.51759753012044</v>
      </c>
      <c r="CZ111" s="37">
        <f t="shared" si="999"/>
        <v>40.574448517462763</v>
      </c>
      <c r="DA111" s="37">
        <f t="shared" si="999"/>
        <v>38.997416327898428</v>
      </c>
      <c r="DB111" s="37">
        <f t="shared" si="999"/>
        <v>37.298619869863671</v>
      </c>
      <c r="DC111" s="37">
        <f t="shared" ref="DC111:DD111" si="1003">+DC103/DC95</f>
        <v>35.975426002493705</v>
      </c>
      <c r="DD111" s="37">
        <f t="shared" si="1003"/>
        <v>34.27835619465111</v>
      </c>
      <c r="DE111" s="134"/>
      <c r="DF111" s="13">
        <v>111.00850831742571</v>
      </c>
    </row>
    <row r="112" spans="1:110" s="13" customFormat="1" x14ac:dyDescent="0.2">
      <c r="A112" s="13" t="s">
        <v>461</v>
      </c>
      <c r="B112" s="13" t="e">
        <f t="shared" ref="B112:D112" si="1004">+B104/B95</f>
        <v>#DIV/0!</v>
      </c>
      <c r="C112" s="13" t="e">
        <f t="shared" si="1004"/>
        <v>#DIV/0!</v>
      </c>
      <c r="D112" s="13" t="e">
        <f t="shared" si="1004"/>
        <v>#DIV/0!</v>
      </c>
      <c r="E112" s="13" t="e">
        <f t="shared" ref="E112:AE112" si="1005">+E104/E95</f>
        <v>#DIV/0!</v>
      </c>
      <c r="F112" s="13" t="e">
        <f t="shared" si="1005"/>
        <v>#DIV/0!</v>
      </c>
      <c r="G112" s="13" t="e">
        <f t="shared" si="1005"/>
        <v>#DIV/0!</v>
      </c>
      <c r="H112" s="13" t="e">
        <f t="shared" si="1005"/>
        <v>#DIV/0!</v>
      </c>
      <c r="I112" s="13" t="e">
        <f t="shared" si="1005"/>
        <v>#DIV/0!</v>
      </c>
      <c r="J112" s="13" t="e">
        <f t="shared" si="1005"/>
        <v>#DIV/0!</v>
      </c>
      <c r="K112" s="13" t="e">
        <f t="shared" si="1005"/>
        <v>#DIV/0!</v>
      </c>
      <c r="L112" s="13" t="e">
        <f t="shared" si="1005"/>
        <v>#DIV/0!</v>
      </c>
      <c r="M112" s="13" t="e">
        <f t="shared" si="1005"/>
        <v>#DIV/0!</v>
      </c>
      <c r="N112" s="13" t="e">
        <f t="shared" si="1005"/>
        <v>#DIV/0!</v>
      </c>
      <c r="O112" s="13" t="e">
        <f t="shared" si="1005"/>
        <v>#DIV/0!</v>
      </c>
      <c r="P112" s="13" t="e">
        <f t="shared" si="1005"/>
        <v>#DIV/0!</v>
      </c>
      <c r="Q112" s="13" t="e">
        <f t="shared" si="1005"/>
        <v>#DIV/0!</v>
      </c>
      <c r="R112" s="13" t="e">
        <f t="shared" si="1005"/>
        <v>#DIV/0!</v>
      </c>
      <c r="S112" s="13" t="e">
        <f t="shared" si="1005"/>
        <v>#DIV/0!</v>
      </c>
      <c r="T112" s="13" t="e">
        <f t="shared" si="1005"/>
        <v>#DIV/0!</v>
      </c>
      <c r="U112" s="13" t="e">
        <f t="shared" si="1005"/>
        <v>#DIV/0!</v>
      </c>
      <c r="V112" s="13" t="e">
        <f t="shared" si="1005"/>
        <v>#DIV/0!</v>
      </c>
      <c r="W112" s="13" t="e">
        <f t="shared" si="1005"/>
        <v>#DIV/0!</v>
      </c>
      <c r="X112" s="13" t="e">
        <f t="shared" si="1005"/>
        <v>#DIV/0!</v>
      </c>
      <c r="Y112" s="13">
        <f t="shared" si="1005"/>
        <v>0</v>
      </c>
      <c r="Z112" s="13">
        <f t="shared" ref="Z112" si="1006">+Z104/Z95</f>
        <v>117.27515680392693</v>
      </c>
      <c r="AA112" s="60">
        <f t="shared" si="1005"/>
        <v>78.992156862745091</v>
      </c>
      <c r="AB112" s="60">
        <f t="shared" si="1005"/>
        <v>78.992156862745091</v>
      </c>
      <c r="AC112" s="60">
        <f t="shared" si="1005"/>
        <v>78.992156862745148</v>
      </c>
      <c r="AD112" s="60">
        <f t="shared" si="1005"/>
        <v>78.992156862745105</v>
      </c>
      <c r="AE112" s="60">
        <f t="shared" si="1005"/>
        <v>78.992156862745077</v>
      </c>
      <c r="AL112" s="13" t="e">
        <f t="shared" ref="AL112:BQ112" si="1007">+AL104/AL95</f>
        <v>#DIV/0!</v>
      </c>
      <c r="AM112" s="13" t="e">
        <f t="shared" si="1007"/>
        <v>#DIV/0!</v>
      </c>
      <c r="AN112" s="13" t="e">
        <f t="shared" si="1007"/>
        <v>#DIV/0!</v>
      </c>
      <c r="AO112" s="13" t="e">
        <f t="shared" si="1007"/>
        <v>#DIV/0!</v>
      </c>
      <c r="AP112" s="13" t="e">
        <f t="shared" si="1007"/>
        <v>#DIV/0!</v>
      </c>
      <c r="AQ112" s="13" t="e">
        <f t="shared" si="1007"/>
        <v>#DIV/0!</v>
      </c>
      <c r="AR112" s="13" t="e">
        <f t="shared" si="1007"/>
        <v>#DIV/0!</v>
      </c>
      <c r="AS112" s="13" t="e">
        <f t="shared" si="1007"/>
        <v>#DIV/0!</v>
      </c>
      <c r="AT112" s="13" t="e">
        <f t="shared" si="1007"/>
        <v>#DIV/0!</v>
      </c>
      <c r="AU112" s="13" t="e">
        <f t="shared" si="1007"/>
        <v>#DIV/0!</v>
      </c>
      <c r="AV112" s="13" t="e">
        <f t="shared" si="1007"/>
        <v>#DIV/0!</v>
      </c>
      <c r="AW112" s="13" t="e">
        <f t="shared" si="1007"/>
        <v>#DIV/0!</v>
      </c>
      <c r="AX112" s="13" t="e">
        <f t="shared" si="1007"/>
        <v>#DIV/0!</v>
      </c>
      <c r="AY112" s="13" t="e">
        <f t="shared" si="1007"/>
        <v>#DIV/0!</v>
      </c>
      <c r="AZ112" s="13" t="e">
        <f t="shared" si="1007"/>
        <v>#DIV/0!</v>
      </c>
      <c r="BA112" s="13" t="e">
        <f t="shared" si="1007"/>
        <v>#DIV/0!</v>
      </c>
      <c r="BB112" s="13" t="e">
        <f t="shared" si="1007"/>
        <v>#DIV/0!</v>
      </c>
      <c r="BC112" s="13" t="e">
        <f t="shared" si="1007"/>
        <v>#DIV/0!</v>
      </c>
      <c r="BD112" s="13" t="e">
        <f t="shared" si="1007"/>
        <v>#DIV/0!</v>
      </c>
      <c r="BE112" s="13" t="e">
        <f t="shared" si="1007"/>
        <v>#DIV/0!</v>
      </c>
      <c r="BF112" s="13" t="e">
        <f t="shared" si="1007"/>
        <v>#DIV/0!</v>
      </c>
      <c r="BG112" s="13" t="e">
        <f t="shared" si="1007"/>
        <v>#DIV/0!</v>
      </c>
      <c r="BH112" s="13" t="e">
        <f t="shared" si="1007"/>
        <v>#DIV/0!</v>
      </c>
      <c r="BI112" s="13" t="e">
        <f t="shared" si="1007"/>
        <v>#DIV/0!</v>
      </c>
      <c r="BJ112" s="13" t="e">
        <f t="shared" si="1007"/>
        <v>#DIV/0!</v>
      </c>
      <c r="BK112" s="13" t="e">
        <f t="shared" si="1007"/>
        <v>#DIV/0!</v>
      </c>
      <c r="BL112" s="13" t="e">
        <f t="shared" si="1007"/>
        <v>#DIV/0!</v>
      </c>
      <c r="BM112" s="13" t="e">
        <f t="shared" si="1007"/>
        <v>#DIV/0!</v>
      </c>
      <c r="BN112" s="13" t="e">
        <f t="shared" si="1007"/>
        <v>#DIV/0!</v>
      </c>
      <c r="BO112" s="13" t="e">
        <f t="shared" si="1007"/>
        <v>#DIV/0!</v>
      </c>
      <c r="BP112" s="13" t="e">
        <f t="shared" si="1007"/>
        <v>#DIV/0!</v>
      </c>
      <c r="BQ112" s="13" t="e">
        <f t="shared" si="1007"/>
        <v>#DIV/0!</v>
      </c>
      <c r="BR112" s="13" t="e">
        <f t="shared" ref="BR112:CH112" si="1008">+BR104/BR95</f>
        <v>#DIV/0!</v>
      </c>
      <c r="BS112" s="13" t="e">
        <f t="shared" si="1008"/>
        <v>#DIV/0!</v>
      </c>
      <c r="BT112" s="13" t="e">
        <f t="shared" si="1008"/>
        <v>#DIV/0!</v>
      </c>
      <c r="BU112" s="13" t="e">
        <f t="shared" si="1008"/>
        <v>#DIV/0!</v>
      </c>
      <c r="BV112" s="13" t="e">
        <f t="shared" si="1008"/>
        <v>#DIV/0!</v>
      </c>
      <c r="BW112" s="13" t="e">
        <f t="shared" si="1008"/>
        <v>#DIV/0!</v>
      </c>
      <c r="BX112" s="13" t="e">
        <f t="shared" si="1008"/>
        <v>#DIV/0!</v>
      </c>
      <c r="BY112" s="13" t="e">
        <f t="shared" si="1008"/>
        <v>#DIV/0!</v>
      </c>
      <c r="BZ112" s="13" t="e">
        <f t="shared" si="1008"/>
        <v>#DIV/0!</v>
      </c>
      <c r="CA112" s="13" t="e">
        <f t="shared" si="1008"/>
        <v>#DIV/0!</v>
      </c>
      <c r="CB112" s="13" t="e">
        <f t="shared" si="1008"/>
        <v>#DIV/0!</v>
      </c>
      <c r="CC112" s="13" t="e">
        <f t="shared" si="1008"/>
        <v>#DIV/0!</v>
      </c>
      <c r="CD112" s="13">
        <f t="shared" si="1008"/>
        <v>0</v>
      </c>
      <c r="CE112" s="13">
        <f t="shared" si="1008"/>
        <v>0</v>
      </c>
      <c r="CF112" s="13">
        <f t="shared" si="1008"/>
        <v>0</v>
      </c>
      <c r="CG112" s="13">
        <f t="shared" si="1008"/>
        <v>0</v>
      </c>
      <c r="CH112" s="13">
        <f t="shared" si="1008"/>
        <v>0</v>
      </c>
      <c r="CI112" s="13">
        <f t="shared" ref="CI112:CJ112" si="1009">+CI104/CI95</f>
        <v>105.23447051863542</v>
      </c>
      <c r="CJ112" s="13">
        <f t="shared" si="1009"/>
        <v>117.27515680392692</v>
      </c>
      <c r="CK112" s="13">
        <f t="shared" ref="CK112" si="1010">+CK104/CK95</f>
        <v>99.518050600064868</v>
      </c>
      <c r="CL112" s="13">
        <f t="shared" ref="CL112" si="1011">+CL104/CL95</f>
        <v>78.992156862745091</v>
      </c>
      <c r="CM112" s="60">
        <f t="shared" ref="CM112:CM113" si="1012">+CL112</f>
        <v>78.992156862745091</v>
      </c>
      <c r="CN112" s="60">
        <f t="shared" ref="CN112:CN113" si="1013">+CM112</f>
        <v>78.992156862745091</v>
      </c>
      <c r="CO112" s="60">
        <f t="shared" ref="CO112:CO113" si="1014">+CN112</f>
        <v>78.992156862745091</v>
      </c>
      <c r="CP112" s="60">
        <f t="shared" ref="CP112:CP113" si="1015">+CO112</f>
        <v>78.992156862745091</v>
      </c>
      <c r="CQ112" s="60">
        <f t="shared" ref="CQ112:CQ113" si="1016">+CP112</f>
        <v>78.992156862745091</v>
      </c>
      <c r="CR112" s="60">
        <f t="shared" ref="CR112:CR113" si="1017">+CQ112</f>
        <v>78.992156862745091</v>
      </c>
      <c r="CS112" s="60">
        <f t="shared" ref="CS112:CS113" si="1018">+CR112</f>
        <v>78.992156862745091</v>
      </c>
      <c r="CT112" s="60">
        <f t="shared" ref="CT112:CT113" si="1019">+CS112</f>
        <v>78.992156862745091</v>
      </c>
      <c r="CU112" s="60">
        <f t="shared" ref="CU112:CU113" si="1020">+CT112</f>
        <v>78.992156862745091</v>
      </c>
      <c r="CV112" s="60">
        <f t="shared" ref="CV112:CV113" si="1021">+CU112</f>
        <v>78.992156862745091</v>
      </c>
      <c r="CW112" s="60">
        <f t="shared" ref="CW112:CW113" si="1022">+CV112</f>
        <v>78.992156862745091</v>
      </c>
      <c r="CX112" s="60">
        <f t="shared" ref="CX112:CX113" si="1023">+CW112</f>
        <v>78.992156862745091</v>
      </c>
      <c r="CY112" s="60">
        <f t="shared" ref="CY112:CY113" si="1024">+CX112</f>
        <v>78.992156862745091</v>
      </c>
      <c r="CZ112" s="60">
        <f t="shared" ref="CZ112:CZ113" si="1025">+CY112</f>
        <v>78.992156862745091</v>
      </c>
      <c r="DA112" s="60">
        <f t="shared" ref="DA112:DA113" si="1026">+CZ112</f>
        <v>78.992156862745091</v>
      </c>
      <c r="DB112" s="60">
        <f t="shared" ref="DB112:DB113" si="1027">+DA112</f>
        <v>78.992156862745091</v>
      </c>
      <c r="DC112" s="60">
        <f t="shared" ref="DC112:DC113" si="1028">+DB112</f>
        <v>78.992156862745091</v>
      </c>
      <c r="DD112" s="60">
        <f t="shared" ref="DD112:DD113" si="1029">+DC112</f>
        <v>78.992156862745091</v>
      </c>
      <c r="DE112" s="136"/>
      <c r="DF112" s="13">
        <v>117.27515680392693</v>
      </c>
    </row>
    <row r="113" spans="1:110" s="13" customFormat="1" x14ac:dyDescent="0.2">
      <c r="A113" s="13" t="s">
        <v>462</v>
      </c>
      <c r="B113" s="13" t="e">
        <f t="shared" ref="B113:D113" si="1030">+B105/B95</f>
        <v>#DIV/0!</v>
      </c>
      <c r="C113" s="13" t="e">
        <f t="shared" si="1030"/>
        <v>#DIV/0!</v>
      </c>
      <c r="D113" s="13" t="e">
        <f t="shared" si="1030"/>
        <v>#DIV/0!</v>
      </c>
      <c r="E113" s="13" t="e">
        <f t="shared" ref="E113:AE113" si="1031">+E105/E95</f>
        <v>#DIV/0!</v>
      </c>
      <c r="F113" s="13" t="e">
        <f t="shared" si="1031"/>
        <v>#DIV/0!</v>
      </c>
      <c r="G113" s="13" t="e">
        <f t="shared" si="1031"/>
        <v>#DIV/0!</v>
      </c>
      <c r="H113" s="13" t="e">
        <f t="shared" si="1031"/>
        <v>#DIV/0!</v>
      </c>
      <c r="I113" s="13" t="e">
        <f t="shared" si="1031"/>
        <v>#DIV/0!</v>
      </c>
      <c r="J113" s="13" t="e">
        <f t="shared" si="1031"/>
        <v>#DIV/0!</v>
      </c>
      <c r="K113" s="13" t="e">
        <f t="shared" si="1031"/>
        <v>#DIV/0!</v>
      </c>
      <c r="L113" s="13" t="e">
        <f t="shared" si="1031"/>
        <v>#DIV/0!</v>
      </c>
      <c r="M113" s="13" t="e">
        <f t="shared" si="1031"/>
        <v>#DIV/0!</v>
      </c>
      <c r="N113" s="13" t="e">
        <f t="shared" si="1031"/>
        <v>#DIV/0!</v>
      </c>
      <c r="O113" s="13" t="e">
        <f t="shared" si="1031"/>
        <v>#DIV/0!</v>
      </c>
      <c r="P113" s="13" t="e">
        <f t="shared" si="1031"/>
        <v>#DIV/0!</v>
      </c>
      <c r="Q113" s="13" t="e">
        <f t="shared" si="1031"/>
        <v>#DIV/0!</v>
      </c>
      <c r="R113" s="13" t="e">
        <f t="shared" si="1031"/>
        <v>#DIV/0!</v>
      </c>
      <c r="S113" s="13" t="e">
        <f t="shared" si="1031"/>
        <v>#DIV/0!</v>
      </c>
      <c r="T113" s="13" t="e">
        <f t="shared" si="1031"/>
        <v>#DIV/0!</v>
      </c>
      <c r="U113" s="13" t="e">
        <f t="shared" si="1031"/>
        <v>#DIV/0!</v>
      </c>
      <c r="V113" s="13" t="e">
        <f t="shared" si="1031"/>
        <v>#DIV/0!</v>
      </c>
      <c r="W113" s="13" t="e">
        <f t="shared" si="1031"/>
        <v>#DIV/0!</v>
      </c>
      <c r="X113" s="13" t="e">
        <f t="shared" si="1031"/>
        <v>#DIV/0!</v>
      </c>
      <c r="Y113" s="13">
        <f t="shared" si="1031"/>
        <v>0</v>
      </c>
      <c r="Z113" s="13">
        <f t="shared" ref="Z113" si="1032">+Z105/Z95</f>
        <v>81.840196345786765</v>
      </c>
      <c r="AA113" s="60">
        <f t="shared" si="1031"/>
        <v>55.036601307189535</v>
      </c>
      <c r="AB113" s="60">
        <f t="shared" si="1031"/>
        <v>55.036601307189542</v>
      </c>
      <c r="AC113" s="60">
        <f t="shared" si="1031"/>
        <v>55.036601307189592</v>
      </c>
      <c r="AD113" s="60">
        <f t="shared" si="1031"/>
        <v>55.036601307189549</v>
      </c>
      <c r="AE113" s="60">
        <f t="shared" si="1031"/>
        <v>55.036601307189535</v>
      </c>
      <c r="AL113" s="13" t="e">
        <f t="shared" ref="AL113:BQ113" si="1033">+AL105/AL95</f>
        <v>#DIV/0!</v>
      </c>
      <c r="AM113" s="13" t="e">
        <f t="shared" si="1033"/>
        <v>#DIV/0!</v>
      </c>
      <c r="AN113" s="13" t="e">
        <f t="shared" si="1033"/>
        <v>#DIV/0!</v>
      </c>
      <c r="AO113" s="13" t="e">
        <f t="shared" si="1033"/>
        <v>#DIV/0!</v>
      </c>
      <c r="AP113" s="13" t="e">
        <f t="shared" si="1033"/>
        <v>#DIV/0!</v>
      </c>
      <c r="AQ113" s="13" t="e">
        <f t="shared" si="1033"/>
        <v>#DIV/0!</v>
      </c>
      <c r="AR113" s="13" t="e">
        <f t="shared" si="1033"/>
        <v>#DIV/0!</v>
      </c>
      <c r="AS113" s="13" t="e">
        <f t="shared" si="1033"/>
        <v>#DIV/0!</v>
      </c>
      <c r="AT113" s="13" t="e">
        <f t="shared" si="1033"/>
        <v>#DIV/0!</v>
      </c>
      <c r="AU113" s="13" t="e">
        <f t="shared" si="1033"/>
        <v>#DIV/0!</v>
      </c>
      <c r="AV113" s="13" t="e">
        <f t="shared" si="1033"/>
        <v>#DIV/0!</v>
      </c>
      <c r="AW113" s="13" t="e">
        <f t="shared" si="1033"/>
        <v>#DIV/0!</v>
      </c>
      <c r="AX113" s="13" t="e">
        <f t="shared" si="1033"/>
        <v>#DIV/0!</v>
      </c>
      <c r="AY113" s="13" t="e">
        <f t="shared" si="1033"/>
        <v>#DIV/0!</v>
      </c>
      <c r="AZ113" s="13" t="e">
        <f t="shared" si="1033"/>
        <v>#DIV/0!</v>
      </c>
      <c r="BA113" s="13" t="e">
        <f t="shared" si="1033"/>
        <v>#DIV/0!</v>
      </c>
      <c r="BB113" s="13" t="e">
        <f t="shared" si="1033"/>
        <v>#DIV/0!</v>
      </c>
      <c r="BC113" s="13" t="e">
        <f t="shared" si="1033"/>
        <v>#DIV/0!</v>
      </c>
      <c r="BD113" s="13" t="e">
        <f t="shared" si="1033"/>
        <v>#DIV/0!</v>
      </c>
      <c r="BE113" s="13" t="e">
        <f t="shared" si="1033"/>
        <v>#DIV/0!</v>
      </c>
      <c r="BF113" s="13" t="e">
        <f t="shared" si="1033"/>
        <v>#DIV/0!</v>
      </c>
      <c r="BG113" s="13" t="e">
        <f t="shared" si="1033"/>
        <v>#DIV/0!</v>
      </c>
      <c r="BH113" s="13" t="e">
        <f t="shared" si="1033"/>
        <v>#DIV/0!</v>
      </c>
      <c r="BI113" s="13" t="e">
        <f t="shared" si="1033"/>
        <v>#DIV/0!</v>
      </c>
      <c r="BJ113" s="13" t="e">
        <f t="shared" si="1033"/>
        <v>#DIV/0!</v>
      </c>
      <c r="BK113" s="13" t="e">
        <f t="shared" si="1033"/>
        <v>#DIV/0!</v>
      </c>
      <c r="BL113" s="13" t="e">
        <f t="shared" si="1033"/>
        <v>#DIV/0!</v>
      </c>
      <c r="BM113" s="13" t="e">
        <f t="shared" si="1033"/>
        <v>#DIV/0!</v>
      </c>
      <c r="BN113" s="13" t="e">
        <f t="shared" si="1033"/>
        <v>#DIV/0!</v>
      </c>
      <c r="BO113" s="13" t="e">
        <f t="shared" si="1033"/>
        <v>#DIV/0!</v>
      </c>
      <c r="BP113" s="13" t="e">
        <f t="shared" si="1033"/>
        <v>#DIV/0!</v>
      </c>
      <c r="BQ113" s="13" t="e">
        <f t="shared" si="1033"/>
        <v>#DIV/0!</v>
      </c>
      <c r="BR113" s="13" t="e">
        <f t="shared" ref="BR113:CH113" si="1034">+BR105/BR95</f>
        <v>#DIV/0!</v>
      </c>
      <c r="BS113" s="13" t="e">
        <f t="shared" si="1034"/>
        <v>#DIV/0!</v>
      </c>
      <c r="BT113" s="13" t="e">
        <f t="shared" si="1034"/>
        <v>#DIV/0!</v>
      </c>
      <c r="BU113" s="13" t="e">
        <f t="shared" si="1034"/>
        <v>#DIV/0!</v>
      </c>
      <c r="BV113" s="13" t="e">
        <f t="shared" si="1034"/>
        <v>#DIV/0!</v>
      </c>
      <c r="BW113" s="13" t="e">
        <f t="shared" si="1034"/>
        <v>#DIV/0!</v>
      </c>
      <c r="BX113" s="13" t="e">
        <f t="shared" si="1034"/>
        <v>#DIV/0!</v>
      </c>
      <c r="BY113" s="13" t="e">
        <f t="shared" si="1034"/>
        <v>#DIV/0!</v>
      </c>
      <c r="BZ113" s="13" t="e">
        <f t="shared" si="1034"/>
        <v>#DIV/0!</v>
      </c>
      <c r="CA113" s="13" t="e">
        <f t="shared" si="1034"/>
        <v>#DIV/0!</v>
      </c>
      <c r="CB113" s="13" t="e">
        <f t="shared" si="1034"/>
        <v>#DIV/0!</v>
      </c>
      <c r="CC113" s="13" t="e">
        <f t="shared" si="1034"/>
        <v>#DIV/0!</v>
      </c>
      <c r="CD113" s="13">
        <f t="shared" si="1034"/>
        <v>0</v>
      </c>
      <c r="CE113" s="13">
        <f t="shared" si="1034"/>
        <v>0</v>
      </c>
      <c r="CF113" s="13">
        <f t="shared" si="1034"/>
        <v>0</v>
      </c>
      <c r="CG113" s="13">
        <f t="shared" si="1034"/>
        <v>0</v>
      </c>
      <c r="CH113" s="13">
        <f t="shared" si="1034"/>
        <v>0</v>
      </c>
      <c r="CI113" s="13">
        <f t="shared" ref="CI113:CJ113" si="1035">+CI105/CI95</f>
        <v>0</v>
      </c>
      <c r="CJ113" s="13">
        <f t="shared" si="1035"/>
        <v>93.0369966366694</v>
      </c>
      <c r="CK113" s="13">
        <f t="shared" ref="CK113" si="1036">+CK105/CK95</f>
        <v>73.203438209536174</v>
      </c>
      <c r="CL113" s="13">
        <f t="shared" ref="CL113" si="1037">+CL105/CL95</f>
        <v>55.036601307189542</v>
      </c>
      <c r="CM113" s="60">
        <f t="shared" si="1012"/>
        <v>55.036601307189542</v>
      </c>
      <c r="CN113" s="60">
        <f t="shared" si="1013"/>
        <v>55.036601307189542</v>
      </c>
      <c r="CO113" s="60">
        <f t="shared" si="1014"/>
        <v>55.036601307189542</v>
      </c>
      <c r="CP113" s="60">
        <f t="shared" si="1015"/>
        <v>55.036601307189542</v>
      </c>
      <c r="CQ113" s="60">
        <f t="shared" si="1016"/>
        <v>55.036601307189542</v>
      </c>
      <c r="CR113" s="60">
        <f t="shared" si="1017"/>
        <v>55.036601307189542</v>
      </c>
      <c r="CS113" s="60">
        <f t="shared" si="1018"/>
        <v>55.036601307189542</v>
      </c>
      <c r="CT113" s="60">
        <f t="shared" si="1019"/>
        <v>55.036601307189542</v>
      </c>
      <c r="CU113" s="60">
        <f t="shared" si="1020"/>
        <v>55.036601307189542</v>
      </c>
      <c r="CV113" s="60">
        <f t="shared" si="1021"/>
        <v>55.036601307189542</v>
      </c>
      <c r="CW113" s="60">
        <f t="shared" si="1022"/>
        <v>55.036601307189542</v>
      </c>
      <c r="CX113" s="60">
        <f t="shared" si="1023"/>
        <v>55.036601307189542</v>
      </c>
      <c r="CY113" s="60">
        <f t="shared" si="1024"/>
        <v>55.036601307189542</v>
      </c>
      <c r="CZ113" s="60">
        <f t="shared" si="1025"/>
        <v>55.036601307189542</v>
      </c>
      <c r="DA113" s="60">
        <f t="shared" si="1026"/>
        <v>55.036601307189542</v>
      </c>
      <c r="DB113" s="60">
        <f t="shared" si="1027"/>
        <v>55.036601307189542</v>
      </c>
      <c r="DC113" s="60">
        <f t="shared" si="1028"/>
        <v>55.036601307189542</v>
      </c>
      <c r="DD113" s="60">
        <f t="shared" si="1029"/>
        <v>55.036601307189542</v>
      </c>
      <c r="DE113" s="136"/>
      <c r="DF113" s="13">
        <v>81.840196345786765</v>
      </c>
    </row>
    <row r="114" spans="1:110" s="13" customFormat="1" x14ac:dyDescent="0.2">
      <c r="AA114" s="60"/>
      <c r="AB114" s="60"/>
      <c r="AC114" s="60"/>
      <c r="AD114" s="60"/>
      <c r="AE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136"/>
    </row>
    <row r="115" spans="1:110" s="13" customFormat="1" x14ac:dyDescent="0.2">
      <c r="A115" s="13" t="s">
        <v>463</v>
      </c>
      <c r="B115" s="13" t="e">
        <f t="shared" ref="B115:AD115" si="1038">+B104/C95</f>
        <v>#DIV/0!</v>
      </c>
      <c r="C115" s="13" t="e">
        <f t="shared" si="1038"/>
        <v>#DIV/0!</v>
      </c>
      <c r="D115" s="13" t="e">
        <f t="shared" si="1038"/>
        <v>#DIV/0!</v>
      </c>
      <c r="E115" s="13" t="e">
        <f t="shared" si="1038"/>
        <v>#DIV/0!</v>
      </c>
      <c r="F115" s="13" t="e">
        <f t="shared" si="1038"/>
        <v>#DIV/0!</v>
      </c>
      <c r="G115" s="13" t="e">
        <f t="shared" si="1038"/>
        <v>#DIV/0!</v>
      </c>
      <c r="H115" s="13" t="e">
        <f t="shared" si="1038"/>
        <v>#DIV/0!</v>
      </c>
      <c r="I115" s="13" t="e">
        <f t="shared" si="1038"/>
        <v>#DIV/0!</v>
      </c>
      <c r="J115" s="13" t="e">
        <f t="shared" si="1038"/>
        <v>#DIV/0!</v>
      </c>
      <c r="K115" s="13" t="e">
        <f t="shared" si="1038"/>
        <v>#DIV/0!</v>
      </c>
      <c r="L115" s="13" t="e">
        <f t="shared" si="1038"/>
        <v>#DIV/0!</v>
      </c>
      <c r="M115" s="13" t="e">
        <f t="shared" si="1038"/>
        <v>#DIV/0!</v>
      </c>
      <c r="N115" s="13" t="e">
        <f t="shared" si="1038"/>
        <v>#DIV/0!</v>
      </c>
      <c r="O115" s="13" t="e">
        <f t="shared" si="1038"/>
        <v>#DIV/0!</v>
      </c>
      <c r="P115" s="13" t="e">
        <f t="shared" si="1038"/>
        <v>#DIV/0!</v>
      </c>
      <c r="Q115" s="13" t="e">
        <f t="shared" si="1038"/>
        <v>#DIV/0!</v>
      </c>
      <c r="R115" s="13" t="e">
        <f t="shared" si="1038"/>
        <v>#DIV/0!</v>
      </c>
      <c r="S115" s="13" t="e">
        <f t="shared" si="1038"/>
        <v>#DIV/0!</v>
      </c>
      <c r="T115" s="13" t="e">
        <f t="shared" si="1038"/>
        <v>#DIV/0!</v>
      </c>
      <c r="U115" s="13" t="e">
        <f t="shared" si="1038"/>
        <v>#DIV/0!</v>
      </c>
      <c r="V115" s="13" t="e">
        <f t="shared" si="1038"/>
        <v>#DIV/0!</v>
      </c>
      <c r="W115" s="13" t="e">
        <f t="shared" si="1038"/>
        <v>#DIV/0!</v>
      </c>
      <c r="X115" s="13">
        <f t="shared" si="1038"/>
        <v>0</v>
      </c>
      <c r="Y115" s="13">
        <f t="shared" si="1038"/>
        <v>0</v>
      </c>
      <c r="Z115" s="13">
        <f t="shared" si="1038"/>
        <v>82.122475596890467</v>
      </c>
      <c r="AA115" s="37">
        <f t="shared" si="1038"/>
        <v>65.510707096159905</v>
      </c>
      <c r="AB115" s="37">
        <f t="shared" si="1038"/>
        <v>65.169363482673802</v>
      </c>
      <c r="AC115" s="37">
        <f t="shared" si="1038"/>
        <v>66.575330028321943</v>
      </c>
      <c r="AD115" s="37">
        <f t="shared" si="1038"/>
        <v>66.734641836464107</v>
      </c>
      <c r="AE115" s="37"/>
      <c r="AL115" s="13" t="e">
        <f t="shared" ref="AL115:BQ115" si="1039">+AL104/AP95</f>
        <v>#DIV/0!</v>
      </c>
      <c r="AM115" s="13" t="e">
        <f t="shared" si="1039"/>
        <v>#DIV/0!</v>
      </c>
      <c r="AN115" s="13" t="e">
        <f t="shared" si="1039"/>
        <v>#DIV/0!</v>
      </c>
      <c r="AO115" s="13" t="e">
        <f t="shared" si="1039"/>
        <v>#DIV/0!</v>
      </c>
      <c r="AP115" s="13" t="e">
        <f t="shared" si="1039"/>
        <v>#DIV/0!</v>
      </c>
      <c r="AQ115" s="13" t="e">
        <f t="shared" si="1039"/>
        <v>#DIV/0!</v>
      </c>
      <c r="AR115" s="13" t="e">
        <f t="shared" si="1039"/>
        <v>#DIV/0!</v>
      </c>
      <c r="AS115" s="13" t="e">
        <f t="shared" si="1039"/>
        <v>#DIV/0!</v>
      </c>
      <c r="AT115" s="13" t="e">
        <f t="shared" si="1039"/>
        <v>#DIV/0!</v>
      </c>
      <c r="AU115" s="13" t="e">
        <f t="shared" si="1039"/>
        <v>#DIV/0!</v>
      </c>
      <c r="AV115" s="13" t="e">
        <f t="shared" si="1039"/>
        <v>#DIV/0!</v>
      </c>
      <c r="AW115" s="13" t="e">
        <f t="shared" si="1039"/>
        <v>#DIV/0!</v>
      </c>
      <c r="AX115" s="13" t="e">
        <f t="shared" si="1039"/>
        <v>#DIV/0!</v>
      </c>
      <c r="AY115" s="13" t="e">
        <f t="shared" si="1039"/>
        <v>#DIV/0!</v>
      </c>
      <c r="AZ115" s="13" t="e">
        <f t="shared" si="1039"/>
        <v>#DIV/0!</v>
      </c>
      <c r="BA115" s="13" t="e">
        <f t="shared" si="1039"/>
        <v>#DIV/0!</v>
      </c>
      <c r="BB115" s="13" t="e">
        <f t="shared" si="1039"/>
        <v>#DIV/0!</v>
      </c>
      <c r="BC115" s="13" t="e">
        <f t="shared" si="1039"/>
        <v>#DIV/0!</v>
      </c>
      <c r="BD115" s="13" t="e">
        <f t="shared" si="1039"/>
        <v>#DIV/0!</v>
      </c>
      <c r="BE115" s="13" t="e">
        <f t="shared" si="1039"/>
        <v>#DIV/0!</v>
      </c>
      <c r="BF115" s="13" t="e">
        <f t="shared" si="1039"/>
        <v>#DIV/0!</v>
      </c>
      <c r="BG115" s="13" t="e">
        <f t="shared" si="1039"/>
        <v>#DIV/0!</v>
      </c>
      <c r="BH115" s="13" t="e">
        <f t="shared" si="1039"/>
        <v>#DIV/0!</v>
      </c>
      <c r="BI115" s="13" t="e">
        <f t="shared" si="1039"/>
        <v>#DIV/0!</v>
      </c>
      <c r="BJ115" s="13" t="e">
        <f t="shared" si="1039"/>
        <v>#DIV/0!</v>
      </c>
      <c r="BK115" s="13" t="e">
        <f t="shared" si="1039"/>
        <v>#DIV/0!</v>
      </c>
      <c r="BL115" s="13" t="e">
        <f t="shared" si="1039"/>
        <v>#DIV/0!</v>
      </c>
      <c r="BM115" s="13" t="e">
        <f t="shared" si="1039"/>
        <v>#DIV/0!</v>
      </c>
      <c r="BN115" s="13" t="e">
        <f t="shared" si="1039"/>
        <v>#DIV/0!</v>
      </c>
      <c r="BO115" s="13" t="e">
        <f t="shared" si="1039"/>
        <v>#DIV/0!</v>
      </c>
      <c r="BP115" s="13" t="e">
        <f t="shared" si="1039"/>
        <v>#DIV/0!</v>
      </c>
      <c r="BQ115" s="13" t="e">
        <f t="shared" si="1039"/>
        <v>#DIV/0!</v>
      </c>
      <c r="BR115" s="13" t="e">
        <f t="shared" ref="BR115:CL115" si="1040">+BR104/BV95</f>
        <v>#DIV/0!</v>
      </c>
      <c r="BS115" s="13" t="e">
        <f t="shared" si="1040"/>
        <v>#DIV/0!</v>
      </c>
      <c r="BT115" s="13" t="e">
        <f t="shared" si="1040"/>
        <v>#DIV/0!</v>
      </c>
      <c r="BU115" s="13" t="e">
        <f t="shared" si="1040"/>
        <v>#DIV/0!</v>
      </c>
      <c r="BV115" s="13" t="e">
        <f t="shared" si="1040"/>
        <v>#DIV/0!</v>
      </c>
      <c r="BW115" s="13" t="e">
        <f t="shared" si="1040"/>
        <v>#DIV/0!</v>
      </c>
      <c r="BX115" s="13" t="e">
        <f t="shared" si="1040"/>
        <v>#DIV/0!</v>
      </c>
      <c r="BY115" s="13" t="e">
        <f t="shared" si="1040"/>
        <v>#DIV/0!</v>
      </c>
      <c r="BZ115" s="13">
        <f t="shared" si="1040"/>
        <v>0</v>
      </c>
      <c r="CA115" s="13">
        <f t="shared" si="1040"/>
        <v>0</v>
      </c>
      <c r="CB115" s="13">
        <f t="shared" si="1040"/>
        <v>0</v>
      </c>
      <c r="CC115" s="13">
        <f t="shared" si="1040"/>
        <v>0</v>
      </c>
      <c r="CD115" s="13">
        <f t="shared" si="1040"/>
        <v>0</v>
      </c>
      <c r="CE115" s="13">
        <f t="shared" si="1040"/>
        <v>0</v>
      </c>
      <c r="CF115" s="13">
        <f t="shared" si="1040"/>
        <v>0</v>
      </c>
      <c r="CG115" s="13">
        <f t="shared" si="1040"/>
        <v>0</v>
      </c>
      <c r="CH115" s="13">
        <f t="shared" si="1040"/>
        <v>0</v>
      </c>
      <c r="CI115" s="13">
        <f t="shared" si="1040"/>
        <v>74.280538388401936</v>
      </c>
      <c r="CJ115" s="13">
        <f t="shared" si="1040"/>
        <v>82.122475596890467</v>
      </c>
      <c r="CK115" s="13">
        <f t="shared" si="1040"/>
        <v>76.18698104863229</v>
      </c>
      <c r="CL115" s="13">
        <f t="shared" si="1040"/>
        <v>62.459136787342665</v>
      </c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134"/>
      <c r="DF115" s="13">
        <v>82.122475596890467</v>
      </c>
    </row>
    <row r="116" spans="1:110" s="98" customFormat="1" x14ac:dyDescent="0.2">
      <c r="A116" s="98" t="s">
        <v>426</v>
      </c>
      <c r="AA116" s="99"/>
      <c r="AB116" s="99"/>
      <c r="AC116" s="99"/>
      <c r="AD116" s="99"/>
      <c r="AE116" s="99"/>
      <c r="AL116" s="174"/>
      <c r="AM116" s="174"/>
      <c r="AN116" s="174"/>
      <c r="AO116" s="174" t="e">
        <f t="shared" ref="AO116:CI116" si="1041">+CORREL(AL95:AO95,AL112:AO112)</f>
        <v>#DIV/0!</v>
      </c>
      <c r="AP116" s="174" t="e">
        <f t="shared" si="1041"/>
        <v>#DIV/0!</v>
      </c>
      <c r="AQ116" s="174" t="e">
        <f t="shared" si="1041"/>
        <v>#DIV/0!</v>
      </c>
      <c r="AR116" s="174" t="e">
        <f t="shared" si="1041"/>
        <v>#DIV/0!</v>
      </c>
      <c r="AS116" s="174" t="e">
        <f t="shared" si="1041"/>
        <v>#DIV/0!</v>
      </c>
      <c r="AT116" s="174" t="e">
        <f t="shared" si="1041"/>
        <v>#DIV/0!</v>
      </c>
      <c r="AU116" s="174" t="e">
        <f t="shared" si="1041"/>
        <v>#DIV/0!</v>
      </c>
      <c r="AV116" s="174" t="e">
        <f t="shared" si="1041"/>
        <v>#DIV/0!</v>
      </c>
      <c r="AW116" s="174" t="e">
        <f t="shared" si="1041"/>
        <v>#DIV/0!</v>
      </c>
      <c r="AX116" s="174" t="e">
        <f t="shared" si="1041"/>
        <v>#DIV/0!</v>
      </c>
      <c r="AY116" s="174" t="e">
        <f t="shared" si="1041"/>
        <v>#DIV/0!</v>
      </c>
      <c r="AZ116" s="174" t="e">
        <f t="shared" si="1041"/>
        <v>#DIV/0!</v>
      </c>
      <c r="BA116" s="174" t="e">
        <f t="shared" si="1041"/>
        <v>#DIV/0!</v>
      </c>
      <c r="BB116" s="174" t="e">
        <f t="shared" si="1041"/>
        <v>#DIV/0!</v>
      </c>
      <c r="BC116" s="174" t="e">
        <f t="shared" si="1041"/>
        <v>#DIV/0!</v>
      </c>
      <c r="BD116" s="174" t="e">
        <f t="shared" si="1041"/>
        <v>#DIV/0!</v>
      </c>
      <c r="BE116" s="174" t="e">
        <f t="shared" si="1041"/>
        <v>#DIV/0!</v>
      </c>
      <c r="BF116" s="174" t="e">
        <f t="shared" si="1041"/>
        <v>#DIV/0!</v>
      </c>
      <c r="BG116" s="174" t="e">
        <f t="shared" si="1041"/>
        <v>#DIV/0!</v>
      </c>
      <c r="BH116" s="174" t="e">
        <f t="shared" si="1041"/>
        <v>#DIV/0!</v>
      </c>
      <c r="BI116" s="174" t="e">
        <f t="shared" si="1041"/>
        <v>#DIV/0!</v>
      </c>
      <c r="BJ116" s="174" t="e">
        <f t="shared" si="1041"/>
        <v>#DIV/0!</v>
      </c>
      <c r="BK116" s="174" t="e">
        <f t="shared" si="1041"/>
        <v>#DIV/0!</v>
      </c>
      <c r="BL116" s="174" t="e">
        <f t="shared" si="1041"/>
        <v>#DIV/0!</v>
      </c>
      <c r="BM116" s="174" t="e">
        <f t="shared" si="1041"/>
        <v>#DIV/0!</v>
      </c>
      <c r="BN116" s="174" t="e">
        <f t="shared" si="1041"/>
        <v>#DIV/0!</v>
      </c>
      <c r="BO116" s="174" t="e">
        <f t="shared" si="1041"/>
        <v>#DIV/0!</v>
      </c>
      <c r="BP116" s="174" t="e">
        <f t="shared" si="1041"/>
        <v>#DIV/0!</v>
      </c>
      <c r="BQ116" s="174" t="e">
        <f t="shared" si="1041"/>
        <v>#DIV/0!</v>
      </c>
      <c r="BR116" s="174" t="e">
        <f t="shared" si="1041"/>
        <v>#DIV/0!</v>
      </c>
      <c r="BS116" s="174" t="e">
        <f t="shared" si="1041"/>
        <v>#DIV/0!</v>
      </c>
      <c r="BT116" s="174" t="e">
        <f t="shared" si="1041"/>
        <v>#DIV/0!</v>
      </c>
      <c r="BU116" s="174" t="e">
        <f t="shared" si="1041"/>
        <v>#DIV/0!</v>
      </c>
      <c r="BV116" s="174" t="e">
        <f t="shared" si="1041"/>
        <v>#DIV/0!</v>
      </c>
      <c r="BW116" s="174" t="e">
        <f t="shared" si="1041"/>
        <v>#DIV/0!</v>
      </c>
      <c r="BX116" s="174" t="e">
        <f t="shared" si="1041"/>
        <v>#DIV/0!</v>
      </c>
      <c r="BY116" s="174" t="e">
        <f t="shared" si="1041"/>
        <v>#DIV/0!</v>
      </c>
      <c r="BZ116" s="174" t="e">
        <f t="shared" si="1041"/>
        <v>#DIV/0!</v>
      </c>
      <c r="CA116" s="174" t="e">
        <f t="shared" si="1041"/>
        <v>#DIV/0!</v>
      </c>
      <c r="CB116" s="174" t="e">
        <f t="shared" si="1041"/>
        <v>#DIV/0!</v>
      </c>
      <c r="CC116" s="174" t="e">
        <f t="shared" si="1041"/>
        <v>#DIV/0!</v>
      </c>
      <c r="CD116" s="174" t="e">
        <f t="shared" si="1041"/>
        <v>#DIV/0!</v>
      </c>
      <c r="CE116" s="174" t="e">
        <f t="shared" si="1041"/>
        <v>#DIV/0!</v>
      </c>
      <c r="CF116" s="174" t="e">
        <f t="shared" si="1041"/>
        <v>#DIV/0!</v>
      </c>
      <c r="CG116" s="174" t="e">
        <f t="shared" si="1041"/>
        <v>#DIV/0!</v>
      </c>
      <c r="CH116" s="174" t="e">
        <f t="shared" si="1041"/>
        <v>#DIV/0!</v>
      </c>
      <c r="CI116" s="174">
        <f t="shared" si="1041"/>
        <v>0.68202752611383899</v>
      </c>
      <c r="CJ116" s="174">
        <f>+CORREL(CG95:CJ95,CG112:CJ112)</f>
        <v>0.94917866619116265</v>
      </c>
      <c r="CK116" s="174">
        <f>+CORREL(CH95:CK95,CH112:CK112)</f>
        <v>0.72693459770469981</v>
      </c>
      <c r="CL116" s="174">
        <f>+CORREL(CI95:CL95,CI112:CL112)</f>
        <v>-0.83265990010077495</v>
      </c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137"/>
      <c r="DF116" s="174"/>
    </row>
    <row r="117" spans="1:110" s="4" customFormat="1" x14ac:dyDescent="0.2">
      <c r="A117" s="3"/>
      <c r="AA117" s="17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19"/>
    </row>
    <row r="118" spans="1:110" s="161" customFormat="1" x14ac:dyDescent="0.2">
      <c r="A118" s="49" t="s">
        <v>505</v>
      </c>
      <c r="E118" s="161">
        <f t="shared" ref="E118:AE118" si="1042">+E$146/E$91</f>
        <v>0</v>
      </c>
      <c r="F118" s="161">
        <f t="shared" si="1042"/>
        <v>0</v>
      </c>
      <c r="G118" s="161">
        <f t="shared" si="1042"/>
        <v>0</v>
      </c>
      <c r="H118" s="161">
        <f t="shared" si="1042"/>
        <v>0</v>
      </c>
      <c r="I118" s="161">
        <f t="shared" si="1042"/>
        <v>0</v>
      </c>
      <c r="J118" s="161">
        <f t="shared" si="1042"/>
        <v>0</v>
      </c>
      <c r="K118" s="161">
        <f t="shared" si="1042"/>
        <v>0</v>
      </c>
      <c r="L118" s="161">
        <f t="shared" si="1042"/>
        <v>0</v>
      </c>
      <c r="M118" s="161">
        <f t="shared" si="1042"/>
        <v>0</v>
      </c>
      <c r="N118" s="161">
        <f t="shared" si="1042"/>
        <v>0</v>
      </c>
      <c r="O118" s="161">
        <f t="shared" si="1042"/>
        <v>0</v>
      </c>
      <c r="P118" s="161">
        <f t="shared" si="1042"/>
        <v>0</v>
      </c>
      <c r="Q118" s="161">
        <f t="shared" si="1042"/>
        <v>0</v>
      </c>
      <c r="R118" s="161">
        <f t="shared" si="1042"/>
        <v>0</v>
      </c>
      <c r="S118" s="161">
        <f t="shared" si="1042"/>
        <v>0</v>
      </c>
      <c r="T118" s="161">
        <f t="shared" si="1042"/>
        <v>0</v>
      </c>
      <c r="U118" s="161">
        <f t="shared" si="1042"/>
        <v>0</v>
      </c>
      <c r="V118" s="161">
        <f t="shared" si="1042"/>
        <v>0</v>
      </c>
      <c r="W118" s="161">
        <f t="shared" si="1042"/>
        <v>0</v>
      </c>
      <c r="X118" s="161">
        <f t="shared" si="1042"/>
        <v>0</v>
      </c>
      <c r="Y118" s="161">
        <f t="shared" si="1042"/>
        <v>90.359550561797747</v>
      </c>
      <c r="Z118" s="161">
        <f t="shared" si="1042"/>
        <v>123.07022471910112</v>
      </c>
      <c r="AA118" s="21">
        <f t="shared" si="1042"/>
        <v>158.52246877601746</v>
      </c>
      <c r="AB118" s="21">
        <f t="shared" si="1042"/>
        <v>211.7330302343849</v>
      </c>
      <c r="AC118" s="21">
        <f t="shared" si="1042"/>
        <v>276.22985501297256</v>
      </c>
      <c r="AD118" s="21">
        <f t="shared" si="1042"/>
        <v>352.75584891930123</v>
      </c>
      <c r="AE118" s="21">
        <f t="shared" si="1042"/>
        <v>443.33778879903531</v>
      </c>
      <c r="AL118" s="161">
        <f t="shared" ref="AL118:BQ118" si="1043">+AL$146/AL$91</f>
        <v>0</v>
      </c>
      <c r="AM118" s="161">
        <f t="shared" si="1043"/>
        <v>0</v>
      </c>
      <c r="AN118" s="161">
        <f t="shared" si="1043"/>
        <v>0</v>
      </c>
      <c r="AO118" s="161">
        <f t="shared" si="1043"/>
        <v>0</v>
      </c>
      <c r="AP118" s="161">
        <f t="shared" si="1043"/>
        <v>0</v>
      </c>
      <c r="AQ118" s="161">
        <f t="shared" si="1043"/>
        <v>0</v>
      </c>
      <c r="AR118" s="161">
        <f t="shared" si="1043"/>
        <v>0</v>
      </c>
      <c r="AS118" s="161">
        <f t="shared" si="1043"/>
        <v>0</v>
      </c>
      <c r="AT118" s="161">
        <f t="shared" si="1043"/>
        <v>0</v>
      </c>
      <c r="AU118" s="161">
        <f t="shared" si="1043"/>
        <v>0</v>
      </c>
      <c r="AV118" s="161">
        <f t="shared" si="1043"/>
        <v>0</v>
      </c>
      <c r="AW118" s="161">
        <f t="shared" si="1043"/>
        <v>0</v>
      </c>
      <c r="AX118" s="161">
        <f t="shared" si="1043"/>
        <v>0</v>
      </c>
      <c r="AY118" s="161">
        <f t="shared" si="1043"/>
        <v>0</v>
      </c>
      <c r="AZ118" s="161">
        <f t="shared" si="1043"/>
        <v>0</v>
      </c>
      <c r="BA118" s="161">
        <f t="shared" si="1043"/>
        <v>0</v>
      </c>
      <c r="BB118" s="161">
        <f t="shared" si="1043"/>
        <v>0</v>
      </c>
      <c r="BC118" s="161">
        <f t="shared" si="1043"/>
        <v>0</v>
      </c>
      <c r="BD118" s="161">
        <f t="shared" si="1043"/>
        <v>0</v>
      </c>
      <c r="BE118" s="161">
        <f t="shared" si="1043"/>
        <v>0</v>
      </c>
      <c r="BF118" s="161">
        <f t="shared" si="1043"/>
        <v>0</v>
      </c>
      <c r="BG118" s="161">
        <f t="shared" si="1043"/>
        <v>0</v>
      </c>
      <c r="BH118" s="161">
        <f t="shared" si="1043"/>
        <v>0</v>
      </c>
      <c r="BI118" s="161">
        <f t="shared" si="1043"/>
        <v>0</v>
      </c>
      <c r="BJ118" s="161">
        <f t="shared" si="1043"/>
        <v>0</v>
      </c>
      <c r="BK118" s="161">
        <f t="shared" si="1043"/>
        <v>0</v>
      </c>
      <c r="BL118" s="161">
        <f t="shared" si="1043"/>
        <v>0</v>
      </c>
      <c r="BM118" s="161">
        <f t="shared" si="1043"/>
        <v>0</v>
      </c>
      <c r="BN118" s="161">
        <f t="shared" si="1043"/>
        <v>0</v>
      </c>
      <c r="BO118" s="161">
        <f t="shared" si="1043"/>
        <v>0</v>
      </c>
      <c r="BP118" s="161">
        <f t="shared" si="1043"/>
        <v>0</v>
      </c>
      <c r="BQ118" s="161">
        <f t="shared" si="1043"/>
        <v>0</v>
      </c>
      <c r="BR118" s="161">
        <f t="shared" ref="BR118:DD118" si="1044">+BR$146/BR$91</f>
        <v>0</v>
      </c>
      <c r="BS118" s="161">
        <f t="shared" si="1044"/>
        <v>0</v>
      </c>
      <c r="BT118" s="161">
        <f t="shared" si="1044"/>
        <v>0</v>
      </c>
      <c r="BU118" s="161">
        <f t="shared" si="1044"/>
        <v>0</v>
      </c>
      <c r="BV118" s="161">
        <f t="shared" si="1044"/>
        <v>0</v>
      </c>
      <c r="BW118" s="161">
        <f t="shared" si="1044"/>
        <v>0</v>
      </c>
      <c r="BX118" s="161">
        <f t="shared" si="1044"/>
        <v>0</v>
      </c>
      <c r="BY118" s="161">
        <f t="shared" si="1044"/>
        <v>0</v>
      </c>
      <c r="BZ118" s="161">
        <f t="shared" si="1044"/>
        <v>0</v>
      </c>
      <c r="CA118" s="161">
        <f t="shared" si="1044"/>
        <v>0</v>
      </c>
      <c r="CB118" s="161">
        <f t="shared" si="1044"/>
        <v>0</v>
      </c>
      <c r="CC118" s="161">
        <f t="shared" si="1044"/>
        <v>0</v>
      </c>
      <c r="CD118" s="161">
        <f t="shared" si="1044"/>
        <v>0</v>
      </c>
      <c r="CE118" s="161">
        <f t="shared" si="1044"/>
        <v>4.0955056179775298</v>
      </c>
      <c r="CF118" s="161">
        <f t="shared" si="1044"/>
        <v>90.359550561797747</v>
      </c>
      <c r="CG118" s="161">
        <f t="shared" si="1044"/>
        <v>96.867977528089881</v>
      </c>
      <c r="CH118" s="161">
        <f t="shared" si="1044"/>
        <v>123.07022471910112</v>
      </c>
      <c r="CI118" s="161">
        <f t="shared" si="1044"/>
        <v>130.44943820224719</v>
      </c>
      <c r="CJ118" s="161">
        <f t="shared" si="1044"/>
        <v>123.07022471910112</v>
      </c>
      <c r="CK118" s="161">
        <f t="shared" si="1044"/>
        <v>131.85955056179776</v>
      </c>
      <c r="CL118" s="161">
        <f t="shared" si="1044"/>
        <v>135.1629213483146</v>
      </c>
      <c r="CM118" s="21">
        <f t="shared" si="1044"/>
        <v>144.65263927912505</v>
      </c>
      <c r="CN118" s="21">
        <f t="shared" si="1044"/>
        <v>158.52246877601746</v>
      </c>
      <c r="CO118" s="21">
        <f t="shared" si="1044"/>
        <v>169.8889939080174</v>
      </c>
      <c r="CP118" s="21">
        <f t="shared" si="1044"/>
        <v>183.53774936246509</v>
      </c>
      <c r="CQ118" s="21">
        <f t="shared" si="1044"/>
        <v>194.96797202771612</v>
      </c>
      <c r="CR118" s="21">
        <f t="shared" si="1044"/>
        <v>211.7330302343849</v>
      </c>
      <c r="CS118" s="21">
        <f t="shared" si="1044"/>
        <v>225.26884925878005</v>
      </c>
      <c r="CT118" s="21">
        <f t="shared" si="1044"/>
        <v>241.81593840836101</v>
      </c>
      <c r="CU118" s="21">
        <f t="shared" si="1044"/>
        <v>255.84234227042896</v>
      </c>
      <c r="CV118" s="21">
        <f t="shared" si="1044"/>
        <v>276.22985501297256</v>
      </c>
      <c r="CW118" s="21">
        <f t="shared" si="1044"/>
        <v>292.48642600621861</v>
      </c>
      <c r="CX118" s="21">
        <f t="shared" si="1044"/>
        <v>312.23111106650009</v>
      </c>
      <c r="CY118" s="21">
        <f t="shared" si="1044"/>
        <v>328.87092761795117</v>
      </c>
      <c r="CZ118" s="21">
        <f t="shared" si="1044"/>
        <v>352.75584891930123</v>
      </c>
      <c r="DA118" s="21">
        <f t="shared" si="1044"/>
        <v>372.10708533124955</v>
      </c>
      <c r="DB118" s="21">
        <f t="shared" si="1044"/>
        <v>395.47815910295469</v>
      </c>
      <c r="DC118" s="21">
        <f t="shared" si="1044"/>
        <v>415.17984303662524</v>
      </c>
      <c r="DD118" s="21">
        <f t="shared" si="1044"/>
        <v>443.33778879903531</v>
      </c>
      <c r="DE118" s="22"/>
      <c r="DF118" s="161">
        <v>123.07022471910112</v>
      </c>
    </row>
    <row r="119" spans="1:110" s="161" customFormat="1" x14ac:dyDescent="0.2">
      <c r="A119" s="49" t="s">
        <v>501</v>
      </c>
      <c r="AA119" s="21"/>
      <c r="AB119" s="21"/>
      <c r="AC119" s="21"/>
      <c r="AD119" s="21"/>
      <c r="AE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2"/>
    </row>
    <row r="120" spans="1:110" s="161" customFormat="1" x14ac:dyDescent="0.2">
      <c r="A120" s="49" t="s">
        <v>502</v>
      </c>
      <c r="E120" s="161" t="e">
        <f t="shared" ref="E120:AE122" si="1045">+E103/E$118</f>
        <v>#DIV/0!</v>
      </c>
      <c r="F120" s="161" t="e">
        <f t="shared" si="1045"/>
        <v>#DIV/0!</v>
      </c>
      <c r="G120" s="161" t="e">
        <f t="shared" si="1045"/>
        <v>#DIV/0!</v>
      </c>
      <c r="H120" s="161" t="e">
        <f t="shared" si="1045"/>
        <v>#DIV/0!</v>
      </c>
      <c r="I120" s="161" t="e">
        <f t="shared" si="1045"/>
        <v>#DIV/0!</v>
      </c>
      <c r="J120" s="161" t="e">
        <f t="shared" si="1045"/>
        <v>#DIV/0!</v>
      </c>
      <c r="K120" s="161" t="e">
        <f t="shared" si="1045"/>
        <v>#DIV/0!</v>
      </c>
      <c r="L120" s="161" t="e">
        <f t="shared" si="1045"/>
        <v>#DIV/0!</v>
      </c>
      <c r="M120" s="161" t="e">
        <f t="shared" si="1045"/>
        <v>#DIV/0!</v>
      </c>
      <c r="N120" s="161" t="e">
        <f t="shared" si="1045"/>
        <v>#DIV/0!</v>
      </c>
      <c r="O120" s="161" t="e">
        <f t="shared" si="1045"/>
        <v>#DIV/0!</v>
      </c>
      <c r="P120" s="161" t="e">
        <f t="shared" si="1045"/>
        <v>#DIV/0!</v>
      </c>
      <c r="Q120" s="161" t="e">
        <f t="shared" si="1045"/>
        <v>#DIV/0!</v>
      </c>
      <c r="R120" s="161" t="e">
        <f t="shared" si="1045"/>
        <v>#DIV/0!</v>
      </c>
      <c r="S120" s="161" t="e">
        <f t="shared" si="1045"/>
        <v>#DIV/0!</v>
      </c>
      <c r="T120" s="161" t="e">
        <f t="shared" si="1045"/>
        <v>#DIV/0!</v>
      </c>
      <c r="U120" s="161" t="e">
        <f t="shared" si="1045"/>
        <v>#DIV/0!</v>
      </c>
      <c r="V120" s="161" t="e">
        <f t="shared" si="1045"/>
        <v>#DIV/0!</v>
      </c>
      <c r="W120" s="161" t="e">
        <f t="shared" si="1045"/>
        <v>#DIV/0!</v>
      </c>
      <c r="X120" s="161" t="e">
        <f t="shared" si="1045"/>
        <v>#DIV/0!</v>
      </c>
      <c r="Y120" s="161">
        <f t="shared" si="1045"/>
        <v>0</v>
      </c>
      <c r="Z120" s="161">
        <f t="shared" ref="Z120" si="1046">+Z103/Z$118</f>
        <v>27.873110720562391</v>
      </c>
      <c r="AA120" s="21">
        <f t="shared" si="1045"/>
        <v>19.58712871414572</v>
      </c>
      <c r="AB120" s="21">
        <f t="shared" si="1045"/>
        <v>14.664693536775141</v>
      </c>
      <c r="AC120" s="21">
        <f t="shared" si="1045"/>
        <v>11.240638705958052</v>
      </c>
      <c r="AD120" s="21">
        <f t="shared" si="1045"/>
        <v>8.8021219478357118</v>
      </c>
      <c r="AE120" s="21">
        <f t="shared" si="1045"/>
        <v>7.0036890119635036</v>
      </c>
      <c r="AL120" s="161" t="e">
        <f t="shared" ref="AL120:CI122" si="1047">+AL103/AL$118</f>
        <v>#DIV/0!</v>
      </c>
      <c r="AM120" s="161" t="e">
        <f t="shared" si="1047"/>
        <v>#DIV/0!</v>
      </c>
      <c r="AN120" s="161" t="e">
        <f t="shared" si="1047"/>
        <v>#DIV/0!</v>
      </c>
      <c r="AO120" s="161" t="e">
        <f t="shared" si="1047"/>
        <v>#DIV/0!</v>
      </c>
      <c r="AP120" s="161" t="e">
        <f t="shared" si="1047"/>
        <v>#DIV/0!</v>
      </c>
      <c r="AQ120" s="161" t="e">
        <f t="shared" si="1047"/>
        <v>#DIV/0!</v>
      </c>
      <c r="AR120" s="161" t="e">
        <f t="shared" si="1047"/>
        <v>#DIV/0!</v>
      </c>
      <c r="AS120" s="161" t="e">
        <f t="shared" si="1047"/>
        <v>#DIV/0!</v>
      </c>
      <c r="AT120" s="161" t="e">
        <f t="shared" si="1047"/>
        <v>#DIV/0!</v>
      </c>
      <c r="AU120" s="161" t="e">
        <f t="shared" si="1047"/>
        <v>#DIV/0!</v>
      </c>
      <c r="AV120" s="161" t="e">
        <f t="shared" si="1047"/>
        <v>#DIV/0!</v>
      </c>
      <c r="AW120" s="161" t="e">
        <f t="shared" si="1047"/>
        <v>#DIV/0!</v>
      </c>
      <c r="AX120" s="161" t="e">
        <f t="shared" si="1047"/>
        <v>#DIV/0!</v>
      </c>
      <c r="AY120" s="161" t="e">
        <f t="shared" si="1047"/>
        <v>#DIV/0!</v>
      </c>
      <c r="AZ120" s="161" t="e">
        <f t="shared" si="1047"/>
        <v>#DIV/0!</v>
      </c>
      <c r="BA120" s="161" t="e">
        <f t="shared" si="1047"/>
        <v>#DIV/0!</v>
      </c>
      <c r="BB120" s="161" t="e">
        <f t="shared" si="1047"/>
        <v>#DIV/0!</v>
      </c>
      <c r="BC120" s="161" t="e">
        <f t="shared" si="1047"/>
        <v>#DIV/0!</v>
      </c>
      <c r="BD120" s="161" t="e">
        <f t="shared" si="1047"/>
        <v>#DIV/0!</v>
      </c>
      <c r="BE120" s="161" t="e">
        <f t="shared" si="1047"/>
        <v>#DIV/0!</v>
      </c>
      <c r="BF120" s="161" t="e">
        <f t="shared" si="1047"/>
        <v>#DIV/0!</v>
      </c>
      <c r="BG120" s="161" t="e">
        <f t="shared" si="1047"/>
        <v>#DIV/0!</v>
      </c>
      <c r="BH120" s="161" t="e">
        <f t="shared" si="1047"/>
        <v>#DIV/0!</v>
      </c>
      <c r="BI120" s="161" t="e">
        <f t="shared" si="1047"/>
        <v>#DIV/0!</v>
      </c>
      <c r="BJ120" s="161" t="e">
        <f t="shared" si="1047"/>
        <v>#DIV/0!</v>
      </c>
      <c r="BK120" s="161" t="e">
        <f t="shared" si="1047"/>
        <v>#DIV/0!</v>
      </c>
      <c r="BL120" s="161" t="e">
        <f t="shared" si="1047"/>
        <v>#DIV/0!</v>
      </c>
      <c r="BM120" s="161" t="e">
        <f t="shared" si="1047"/>
        <v>#DIV/0!</v>
      </c>
      <c r="BN120" s="161" t="e">
        <f t="shared" si="1047"/>
        <v>#DIV/0!</v>
      </c>
      <c r="BO120" s="161" t="e">
        <f t="shared" si="1047"/>
        <v>#DIV/0!</v>
      </c>
      <c r="BP120" s="161" t="e">
        <f t="shared" si="1047"/>
        <v>#DIV/0!</v>
      </c>
      <c r="BQ120" s="161" t="e">
        <f t="shared" si="1047"/>
        <v>#DIV/0!</v>
      </c>
      <c r="BR120" s="161" t="e">
        <f t="shared" si="1047"/>
        <v>#DIV/0!</v>
      </c>
      <c r="BS120" s="161" t="e">
        <f t="shared" si="1047"/>
        <v>#DIV/0!</v>
      </c>
      <c r="BT120" s="161" t="e">
        <f t="shared" si="1047"/>
        <v>#DIV/0!</v>
      </c>
      <c r="BU120" s="161" t="e">
        <f t="shared" si="1047"/>
        <v>#DIV/0!</v>
      </c>
      <c r="BV120" s="161" t="e">
        <f t="shared" si="1047"/>
        <v>#DIV/0!</v>
      </c>
      <c r="BW120" s="161" t="e">
        <f t="shared" si="1047"/>
        <v>#DIV/0!</v>
      </c>
      <c r="BX120" s="161" t="e">
        <f t="shared" si="1047"/>
        <v>#DIV/0!</v>
      </c>
      <c r="BY120" s="161" t="e">
        <f t="shared" si="1047"/>
        <v>#DIV/0!</v>
      </c>
      <c r="BZ120" s="161" t="e">
        <f t="shared" si="1047"/>
        <v>#DIV/0!</v>
      </c>
      <c r="CA120" s="161" t="e">
        <f t="shared" si="1047"/>
        <v>#DIV/0!</v>
      </c>
      <c r="CB120" s="161" t="e">
        <f t="shared" si="1047"/>
        <v>#DIV/0!</v>
      </c>
      <c r="CC120" s="161" t="e">
        <f t="shared" si="1047"/>
        <v>#DIV/0!</v>
      </c>
      <c r="CD120" s="161" t="e">
        <f t="shared" si="1047"/>
        <v>#DIV/0!</v>
      </c>
      <c r="CE120" s="161">
        <f t="shared" si="1047"/>
        <v>0</v>
      </c>
      <c r="CF120" s="161">
        <f t="shared" si="1047"/>
        <v>0</v>
      </c>
      <c r="CG120" s="161">
        <f t="shared" si="1047"/>
        <v>0</v>
      </c>
      <c r="CH120" s="161">
        <f t="shared" si="1047"/>
        <v>0</v>
      </c>
      <c r="CI120" s="161">
        <f t="shared" si="1047"/>
        <v>22.859431524547801</v>
      </c>
      <c r="CJ120" s="161">
        <f>+CJ103/CJ$118</f>
        <v>27.873110720562391</v>
      </c>
      <c r="CK120" s="161">
        <f>+CK103/CK$118</f>
        <v>19.420663797878234</v>
      </c>
      <c r="CL120" s="161">
        <f>+CL103/CL$118</f>
        <v>19.01150089363648</v>
      </c>
      <c r="CM120" s="21">
        <f t="shared" ref="CM120:DB120" si="1048">+CM103/CM$118</f>
        <v>21.465214983105291</v>
      </c>
      <c r="CN120" s="21">
        <f t="shared" si="1048"/>
        <v>19.58712871414572</v>
      </c>
      <c r="CO120" s="21">
        <f t="shared" si="1048"/>
        <v>18.27664010819402</v>
      </c>
      <c r="CP120" s="21">
        <f t="shared" si="1048"/>
        <v>16.917500681933266</v>
      </c>
      <c r="CQ120" s="21">
        <f t="shared" si="1048"/>
        <v>15.925692654579192</v>
      </c>
      <c r="CR120" s="21">
        <f t="shared" si="1048"/>
        <v>14.664693536775141</v>
      </c>
      <c r="CS120" s="21">
        <f t="shared" si="1048"/>
        <v>13.783530258251984</v>
      </c>
      <c r="CT120" s="21">
        <f t="shared" si="1048"/>
        <v>12.840344687108688</v>
      </c>
      <c r="CU120" s="21">
        <f t="shared" si="1048"/>
        <v>12.136380446040365</v>
      </c>
      <c r="CV120" s="21">
        <f t="shared" si="1048"/>
        <v>11.240638705958052</v>
      </c>
      <c r="CW120" s="21">
        <f t="shared" si="1048"/>
        <v>10.615877264451186</v>
      </c>
      <c r="CX120" s="21">
        <f t="shared" si="1048"/>
        <v>9.9445567400190491</v>
      </c>
      <c r="CY120" s="21">
        <f t="shared" si="1048"/>
        <v>9.4413939915268941</v>
      </c>
      <c r="CZ120" s="21">
        <f t="shared" si="1048"/>
        <v>8.8021219478357118</v>
      </c>
      <c r="DA120" s="21">
        <f t="shared" si="1048"/>
        <v>8.3443721509251301</v>
      </c>
      <c r="DB120" s="21">
        <f t="shared" si="1048"/>
        <v>7.8512553184806251</v>
      </c>
      <c r="DC120" s="21">
        <f t="shared" ref="DC120:DD120" si="1049">+DC103/DC$118</f>
        <v>7.4786867717132672</v>
      </c>
      <c r="DD120" s="21">
        <f t="shared" si="1049"/>
        <v>7.0036890119635036</v>
      </c>
      <c r="DE120" s="22"/>
      <c r="DF120" s="161">
        <v>27.873110720562391</v>
      </c>
    </row>
    <row r="121" spans="1:110" s="161" customFormat="1" x14ac:dyDescent="0.2">
      <c r="A121" s="49" t="s">
        <v>503</v>
      </c>
      <c r="E121" s="161" t="e">
        <f t="shared" si="1045"/>
        <v>#DIV/0!</v>
      </c>
      <c r="F121" s="161" t="e">
        <f t="shared" si="1045"/>
        <v>#DIV/0!</v>
      </c>
      <c r="G121" s="161" t="e">
        <f t="shared" si="1045"/>
        <v>#DIV/0!</v>
      </c>
      <c r="H121" s="161" t="e">
        <f t="shared" si="1045"/>
        <v>#DIV/0!</v>
      </c>
      <c r="I121" s="161" t="e">
        <f t="shared" si="1045"/>
        <v>#DIV/0!</v>
      </c>
      <c r="J121" s="161" t="e">
        <f t="shared" si="1045"/>
        <v>#DIV/0!</v>
      </c>
      <c r="K121" s="161" t="e">
        <f t="shared" si="1045"/>
        <v>#DIV/0!</v>
      </c>
      <c r="L121" s="161" t="e">
        <f t="shared" si="1045"/>
        <v>#DIV/0!</v>
      </c>
      <c r="M121" s="161" t="e">
        <f t="shared" si="1045"/>
        <v>#DIV/0!</v>
      </c>
      <c r="N121" s="161" t="e">
        <f t="shared" si="1045"/>
        <v>#DIV/0!</v>
      </c>
      <c r="O121" s="161" t="e">
        <f t="shared" si="1045"/>
        <v>#DIV/0!</v>
      </c>
      <c r="P121" s="161" t="e">
        <f t="shared" si="1045"/>
        <v>#DIV/0!</v>
      </c>
      <c r="Q121" s="161" t="e">
        <f t="shared" si="1045"/>
        <v>#DIV/0!</v>
      </c>
      <c r="R121" s="161" t="e">
        <f t="shared" si="1045"/>
        <v>#DIV/0!</v>
      </c>
      <c r="S121" s="161" t="e">
        <f t="shared" si="1045"/>
        <v>#DIV/0!</v>
      </c>
      <c r="T121" s="161" t="e">
        <f t="shared" si="1045"/>
        <v>#DIV/0!</v>
      </c>
      <c r="U121" s="161" t="e">
        <f t="shared" si="1045"/>
        <v>#DIV/0!</v>
      </c>
      <c r="V121" s="161" t="e">
        <f t="shared" si="1045"/>
        <v>#DIV/0!</v>
      </c>
      <c r="W121" s="161" t="e">
        <f t="shared" si="1045"/>
        <v>#DIV/0!</v>
      </c>
      <c r="X121" s="161" t="e">
        <f t="shared" si="1045"/>
        <v>#DIV/0!</v>
      </c>
      <c r="Y121" s="161">
        <f t="shared" si="1045"/>
        <v>0</v>
      </c>
      <c r="Z121" s="161">
        <f t="shared" ref="Z121" si="1050">+Z104/Z$118</f>
        <v>29.446602606532309</v>
      </c>
      <c r="AA121" s="21">
        <f t="shared" si="1045"/>
        <v>21.989699838996525</v>
      </c>
      <c r="AB121" s="21">
        <f t="shared" si="1045"/>
        <v>19.851494180294907</v>
      </c>
      <c r="AC121" s="21">
        <f t="shared" si="1045"/>
        <v>18.443854665238543</v>
      </c>
      <c r="AD121" s="21">
        <f t="shared" si="1045"/>
        <v>17.136365940481031</v>
      </c>
      <c r="AE121" s="21">
        <f t="shared" si="1045"/>
        <v>16.139528334128048</v>
      </c>
      <c r="AL121" s="161" t="e">
        <f t="shared" si="1047"/>
        <v>#DIV/0!</v>
      </c>
      <c r="AM121" s="161" t="e">
        <f t="shared" si="1047"/>
        <v>#DIV/0!</v>
      </c>
      <c r="AN121" s="161" t="e">
        <f t="shared" si="1047"/>
        <v>#DIV/0!</v>
      </c>
      <c r="AO121" s="161" t="e">
        <f t="shared" si="1047"/>
        <v>#DIV/0!</v>
      </c>
      <c r="AP121" s="161" t="e">
        <f t="shared" si="1047"/>
        <v>#DIV/0!</v>
      </c>
      <c r="AQ121" s="161" t="e">
        <f t="shared" si="1047"/>
        <v>#DIV/0!</v>
      </c>
      <c r="AR121" s="161" t="e">
        <f t="shared" si="1047"/>
        <v>#DIV/0!</v>
      </c>
      <c r="AS121" s="161" t="e">
        <f t="shared" si="1047"/>
        <v>#DIV/0!</v>
      </c>
      <c r="AT121" s="161" t="e">
        <f t="shared" si="1047"/>
        <v>#DIV/0!</v>
      </c>
      <c r="AU121" s="161" t="e">
        <f t="shared" si="1047"/>
        <v>#DIV/0!</v>
      </c>
      <c r="AV121" s="161" t="e">
        <f t="shared" si="1047"/>
        <v>#DIV/0!</v>
      </c>
      <c r="AW121" s="161" t="e">
        <f t="shared" si="1047"/>
        <v>#DIV/0!</v>
      </c>
      <c r="AX121" s="161" t="e">
        <f t="shared" si="1047"/>
        <v>#DIV/0!</v>
      </c>
      <c r="AY121" s="161" t="e">
        <f t="shared" si="1047"/>
        <v>#DIV/0!</v>
      </c>
      <c r="AZ121" s="161" t="e">
        <f t="shared" si="1047"/>
        <v>#DIV/0!</v>
      </c>
      <c r="BA121" s="161" t="e">
        <f t="shared" si="1047"/>
        <v>#DIV/0!</v>
      </c>
      <c r="BB121" s="161" t="e">
        <f t="shared" si="1047"/>
        <v>#DIV/0!</v>
      </c>
      <c r="BC121" s="161" t="e">
        <f t="shared" si="1047"/>
        <v>#DIV/0!</v>
      </c>
      <c r="BD121" s="161" t="e">
        <f t="shared" si="1047"/>
        <v>#DIV/0!</v>
      </c>
      <c r="BE121" s="161" t="e">
        <f t="shared" si="1047"/>
        <v>#DIV/0!</v>
      </c>
      <c r="BF121" s="161" t="e">
        <f t="shared" si="1047"/>
        <v>#DIV/0!</v>
      </c>
      <c r="BG121" s="161" t="e">
        <f t="shared" si="1047"/>
        <v>#DIV/0!</v>
      </c>
      <c r="BH121" s="161" t="e">
        <f t="shared" si="1047"/>
        <v>#DIV/0!</v>
      </c>
      <c r="BI121" s="161" t="e">
        <f t="shared" si="1047"/>
        <v>#DIV/0!</v>
      </c>
      <c r="BJ121" s="161" t="e">
        <f t="shared" si="1047"/>
        <v>#DIV/0!</v>
      </c>
      <c r="BK121" s="161" t="e">
        <f t="shared" si="1047"/>
        <v>#DIV/0!</v>
      </c>
      <c r="BL121" s="161" t="e">
        <f t="shared" si="1047"/>
        <v>#DIV/0!</v>
      </c>
      <c r="BM121" s="161" t="e">
        <f t="shared" si="1047"/>
        <v>#DIV/0!</v>
      </c>
      <c r="BN121" s="161" t="e">
        <f t="shared" si="1047"/>
        <v>#DIV/0!</v>
      </c>
      <c r="BO121" s="161" t="e">
        <f t="shared" si="1047"/>
        <v>#DIV/0!</v>
      </c>
      <c r="BP121" s="161" t="e">
        <f t="shared" si="1047"/>
        <v>#DIV/0!</v>
      </c>
      <c r="BQ121" s="161" t="e">
        <f t="shared" si="1047"/>
        <v>#DIV/0!</v>
      </c>
      <c r="BR121" s="161" t="e">
        <f t="shared" si="1047"/>
        <v>#DIV/0!</v>
      </c>
      <c r="BS121" s="161" t="e">
        <f t="shared" si="1047"/>
        <v>#DIV/0!</v>
      </c>
      <c r="BT121" s="161" t="e">
        <f t="shared" si="1047"/>
        <v>#DIV/0!</v>
      </c>
      <c r="BU121" s="161" t="e">
        <f t="shared" si="1047"/>
        <v>#DIV/0!</v>
      </c>
      <c r="BV121" s="161" t="e">
        <f t="shared" si="1047"/>
        <v>#DIV/0!</v>
      </c>
      <c r="BW121" s="161" t="e">
        <f t="shared" si="1047"/>
        <v>#DIV/0!</v>
      </c>
      <c r="BX121" s="161" t="e">
        <f t="shared" si="1047"/>
        <v>#DIV/0!</v>
      </c>
      <c r="BY121" s="161" t="e">
        <f t="shared" si="1047"/>
        <v>#DIV/0!</v>
      </c>
      <c r="BZ121" s="161" t="e">
        <f t="shared" si="1047"/>
        <v>#DIV/0!</v>
      </c>
      <c r="CA121" s="161" t="e">
        <f t="shared" si="1047"/>
        <v>#DIV/0!</v>
      </c>
      <c r="CB121" s="161" t="e">
        <f t="shared" si="1047"/>
        <v>#DIV/0!</v>
      </c>
      <c r="CC121" s="161" t="e">
        <f t="shared" si="1047"/>
        <v>#DIV/0!</v>
      </c>
      <c r="CD121" s="161" t="e">
        <f t="shared" si="1047"/>
        <v>#DIV/0!</v>
      </c>
      <c r="CE121" s="161">
        <f t="shared" si="1047"/>
        <v>0</v>
      </c>
      <c r="CF121" s="161">
        <f t="shared" si="1047"/>
        <v>0</v>
      </c>
      <c r="CG121" s="161">
        <f t="shared" si="1047"/>
        <v>0</v>
      </c>
      <c r="CH121" s="161">
        <f t="shared" si="1047"/>
        <v>0</v>
      </c>
      <c r="CI121" s="161">
        <f t="shared" si="1047"/>
        <v>22.982084409991387</v>
      </c>
      <c r="CJ121" s="161">
        <f t="shared" ref="CJ121:CK122" si="1051">+CJ104/CJ$118</f>
        <v>29.446602606532309</v>
      </c>
      <c r="CK121" s="161">
        <f t="shared" si="1051"/>
        <v>26.1441054918836</v>
      </c>
      <c r="CL121" s="161">
        <f t="shared" ref="CL121" si="1052">+CL104/CL$118</f>
        <v>22.35413358826219</v>
      </c>
      <c r="CM121" s="94">
        <f t="shared" ref="CM121:DB121" si="1053">+CL121</f>
        <v>22.35413358826219</v>
      </c>
      <c r="CN121" s="94">
        <f t="shared" si="1053"/>
        <v>22.35413358826219</v>
      </c>
      <c r="CO121" s="94">
        <f t="shared" si="1053"/>
        <v>22.35413358826219</v>
      </c>
      <c r="CP121" s="94">
        <f t="shared" si="1053"/>
        <v>22.35413358826219</v>
      </c>
      <c r="CQ121" s="94">
        <f t="shared" si="1053"/>
        <v>22.35413358826219</v>
      </c>
      <c r="CR121" s="94">
        <f t="shared" si="1053"/>
        <v>22.35413358826219</v>
      </c>
      <c r="CS121" s="94">
        <f t="shared" si="1053"/>
        <v>22.35413358826219</v>
      </c>
      <c r="CT121" s="94">
        <f t="shared" si="1053"/>
        <v>22.35413358826219</v>
      </c>
      <c r="CU121" s="94">
        <f t="shared" si="1053"/>
        <v>22.35413358826219</v>
      </c>
      <c r="CV121" s="94">
        <f t="shared" si="1053"/>
        <v>22.35413358826219</v>
      </c>
      <c r="CW121" s="94">
        <f t="shared" si="1053"/>
        <v>22.35413358826219</v>
      </c>
      <c r="CX121" s="94">
        <f t="shared" si="1053"/>
        <v>22.35413358826219</v>
      </c>
      <c r="CY121" s="94">
        <f t="shared" si="1053"/>
        <v>22.35413358826219</v>
      </c>
      <c r="CZ121" s="94">
        <f t="shared" si="1053"/>
        <v>22.35413358826219</v>
      </c>
      <c r="DA121" s="94">
        <f t="shared" si="1053"/>
        <v>22.35413358826219</v>
      </c>
      <c r="DB121" s="94">
        <f t="shared" si="1053"/>
        <v>22.35413358826219</v>
      </c>
      <c r="DC121" s="94">
        <f t="shared" ref="DC121:DC122" si="1054">+DB121</f>
        <v>22.35413358826219</v>
      </c>
      <c r="DD121" s="94">
        <f t="shared" ref="DD121:DD122" si="1055">+DC121</f>
        <v>22.35413358826219</v>
      </c>
      <c r="DE121" s="22"/>
      <c r="DF121" s="161">
        <v>29.446602606532309</v>
      </c>
    </row>
    <row r="122" spans="1:110" s="161" customFormat="1" x14ac:dyDescent="0.2">
      <c r="A122" s="49" t="s">
        <v>504</v>
      </c>
      <c r="E122" s="161" t="e">
        <f t="shared" si="1045"/>
        <v>#DIV/0!</v>
      </c>
      <c r="F122" s="161" t="e">
        <f t="shared" si="1045"/>
        <v>#DIV/0!</v>
      </c>
      <c r="G122" s="161" t="e">
        <f t="shared" si="1045"/>
        <v>#DIV/0!</v>
      </c>
      <c r="H122" s="161" t="e">
        <f t="shared" si="1045"/>
        <v>#DIV/0!</v>
      </c>
      <c r="I122" s="161" t="e">
        <f t="shared" si="1045"/>
        <v>#DIV/0!</v>
      </c>
      <c r="J122" s="161" t="e">
        <f t="shared" si="1045"/>
        <v>#DIV/0!</v>
      </c>
      <c r="K122" s="161" t="e">
        <f t="shared" si="1045"/>
        <v>#DIV/0!</v>
      </c>
      <c r="L122" s="161" t="e">
        <f t="shared" si="1045"/>
        <v>#DIV/0!</v>
      </c>
      <c r="M122" s="161" t="e">
        <f t="shared" si="1045"/>
        <v>#DIV/0!</v>
      </c>
      <c r="N122" s="161" t="e">
        <f t="shared" si="1045"/>
        <v>#DIV/0!</v>
      </c>
      <c r="O122" s="161" t="e">
        <f t="shared" si="1045"/>
        <v>#DIV/0!</v>
      </c>
      <c r="P122" s="161" t="e">
        <f t="shared" si="1045"/>
        <v>#DIV/0!</v>
      </c>
      <c r="Q122" s="161" t="e">
        <f t="shared" si="1045"/>
        <v>#DIV/0!</v>
      </c>
      <c r="R122" s="161" t="e">
        <f t="shared" si="1045"/>
        <v>#DIV/0!</v>
      </c>
      <c r="S122" s="161" t="e">
        <f t="shared" si="1045"/>
        <v>#DIV/0!</v>
      </c>
      <c r="T122" s="161" t="e">
        <f t="shared" si="1045"/>
        <v>#DIV/0!</v>
      </c>
      <c r="U122" s="161" t="e">
        <f t="shared" si="1045"/>
        <v>#DIV/0!</v>
      </c>
      <c r="V122" s="161" t="e">
        <f t="shared" si="1045"/>
        <v>#DIV/0!</v>
      </c>
      <c r="W122" s="161" t="e">
        <f t="shared" si="1045"/>
        <v>#DIV/0!</v>
      </c>
      <c r="X122" s="161" t="e">
        <f t="shared" si="1045"/>
        <v>#DIV/0!</v>
      </c>
      <c r="Y122" s="161">
        <f t="shared" si="1045"/>
        <v>0</v>
      </c>
      <c r="Z122" s="161">
        <f t="shared" ref="Z122" si="1056">+Z105/Z$118</f>
        <v>20.549243375253919</v>
      </c>
      <c r="AA122" s="21">
        <f t="shared" si="1045"/>
        <v>15.32099376659006</v>
      </c>
      <c r="AB122" s="21">
        <f t="shared" si="1045"/>
        <v>13.831231022736709</v>
      </c>
      <c r="AC122" s="21">
        <f t="shared" si="1045"/>
        <v>12.850479289257452</v>
      </c>
      <c r="AD122" s="21">
        <f t="shared" si="1045"/>
        <v>11.939506117792332</v>
      </c>
      <c r="AE122" s="21">
        <f t="shared" si="1045"/>
        <v>11.244974456830217</v>
      </c>
      <c r="AL122" s="161" t="e">
        <f t="shared" si="1047"/>
        <v>#DIV/0!</v>
      </c>
      <c r="AM122" s="161" t="e">
        <f t="shared" si="1047"/>
        <v>#DIV/0!</v>
      </c>
      <c r="AN122" s="161" t="e">
        <f t="shared" si="1047"/>
        <v>#DIV/0!</v>
      </c>
      <c r="AO122" s="161" t="e">
        <f t="shared" si="1047"/>
        <v>#DIV/0!</v>
      </c>
      <c r="AP122" s="161" t="e">
        <f t="shared" si="1047"/>
        <v>#DIV/0!</v>
      </c>
      <c r="AQ122" s="161" t="e">
        <f t="shared" si="1047"/>
        <v>#DIV/0!</v>
      </c>
      <c r="AR122" s="161" t="e">
        <f t="shared" si="1047"/>
        <v>#DIV/0!</v>
      </c>
      <c r="AS122" s="161" t="e">
        <f t="shared" si="1047"/>
        <v>#DIV/0!</v>
      </c>
      <c r="AT122" s="161" t="e">
        <f t="shared" si="1047"/>
        <v>#DIV/0!</v>
      </c>
      <c r="AU122" s="161" t="e">
        <f t="shared" si="1047"/>
        <v>#DIV/0!</v>
      </c>
      <c r="AV122" s="161" t="e">
        <f t="shared" si="1047"/>
        <v>#DIV/0!</v>
      </c>
      <c r="AW122" s="161" t="e">
        <f t="shared" si="1047"/>
        <v>#DIV/0!</v>
      </c>
      <c r="AX122" s="161" t="e">
        <f t="shared" si="1047"/>
        <v>#DIV/0!</v>
      </c>
      <c r="AY122" s="161" t="e">
        <f t="shared" si="1047"/>
        <v>#DIV/0!</v>
      </c>
      <c r="AZ122" s="161" t="e">
        <f t="shared" si="1047"/>
        <v>#DIV/0!</v>
      </c>
      <c r="BA122" s="161" t="e">
        <f t="shared" si="1047"/>
        <v>#DIV/0!</v>
      </c>
      <c r="BB122" s="161" t="e">
        <f t="shared" si="1047"/>
        <v>#DIV/0!</v>
      </c>
      <c r="BC122" s="161" t="e">
        <f t="shared" si="1047"/>
        <v>#DIV/0!</v>
      </c>
      <c r="BD122" s="161" t="e">
        <f t="shared" si="1047"/>
        <v>#DIV/0!</v>
      </c>
      <c r="BE122" s="161" t="e">
        <f t="shared" si="1047"/>
        <v>#DIV/0!</v>
      </c>
      <c r="BF122" s="161" t="e">
        <f t="shared" si="1047"/>
        <v>#DIV/0!</v>
      </c>
      <c r="BG122" s="161" t="e">
        <f t="shared" si="1047"/>
        <v>#DIV/0!</v>
      </c>
      <c r="BH122" s="161" t="e">
        <f t="shared" si="1047"/>
        <v>#DIV/0!</v>
      </c>
      <c r="BI122" s="161" t="e">
        <f t="shared" si="1047"/>
        <v>#DIV/0!</v>
      </c>
      <c r="BJ122" s="161" t="e">
        <f t="shared" si="1047"/>
        <v>#DIV/0!</v>
      </c>
      <c r="BK122" s="161" t="e">
        <f t="shared" si="1047"/>
        <v>#DIV/0!</v>
      </c>
      <c r="BL122" s="161" t="e">
        <f t="shared" si="1047"/>
        <v>#DIV/0!</v>
      </c>
      <c r="BM122" s="161" t="e">
        <f t="shared" si="1047"/>
        <v>#DIV/0!</v>
      </c>
      <c r="BN122" s="161" t="e">
        <f t="shared" si="1047"/>
        <v>#DIV/0!</v>
      </c>
      <c r="BO122" s="161" t="e">
        <f t="shared" si="1047"/>
        <v>#DIV/0!</v>
      </c>
      <c r="BP122" s="161" t="e">
        <f t="shared" si="1047"/>
        <v>#DIV/0!</v>
      </c>
      <c r="BQ122" s="161" t="e">
        <f t="shared" si="1047"/>
        <v>#DIV/0!</v>
      </c>
      <c r="BR122" s="161" t="e">
        <f t="shared" si="1047"/>
        <v>#DIV/0!</v>
      </c>
      <c r="BS122" s="161" t="e">
        <f t="shared" si="1047"/>
        <v>#DIV/0!</v>
      </c>
      <c r="BT122" s="161" t="e">
        <f t="shared" si="1047"/>
        <v>#DIV/0!</v>
      </c>
      <c r="BU122" s="161" t="e">
        <f t="shared" si="1047"/>
        <v>#DIV/0!</v>
      </c>
      <c r="BV122" s="161" t="e">
        <f t="shared" si="1047"/>
        <v>#DIV/0!</v>
      </c>
      <c r="BW122" s="161" t="e">
        <f t="shared" si="1047"/>
        <v>#DIV/0!</v>
      </c>
      <c r="BX122" s="161" t="e">
        <f t="shared" si="1047"/>
        <v>#DIV/0!</v>
      </c>
      <c r="BY122" s="161" t="e">
        <f t="shared" si="1047"/>
        <v>#DIV/0!</v>
      </c>
      <c r="BZ122" s="161" t="e">
        <f t="shared" si="1047"/>
        <v>#DIV/0!</v>
      </c>
      <c r="CA122" s="161" t="e">
        <f t="shared" si="1047"/>
        <v>#DIV/0!</v>
      </c>
      <c r="CB122" s="161" t="e">
        <f t="shared" si="1047"/>
        <v>#DIV/0!</v>
      </c>
      <c r="CC122" s="161" t="e">
        <f t="shared" si="1047"/>
        <v>#DIV/0!</v>
      </c>
      <c r="CD122" s="161" t="e">
        <f t="shared" si="1047"/>
        <v>#DIV/0!</v>
      </c>
      <c r="CE122" s="161">
        <f t="shared" si="1047"/>
        <v>0</v>
      </c>
      <c r="CF122" s="161">
        <f t="shared" si="1047"/>
        <v>0</v>
      </c>
      <c r="CG122" s="161">
        <f t="shared" si="1047"/>
        <v>0</v>
      </c>
      <c r="CH122" s="161">
        <f t="shared" si="1047"/>
        <v>0</v>
      </c>
      <c r="CI122" s="161">
        <f t="shared" si="1047"/>
        <v>0</v>
      </c>
      <c r="CJ122" s="161">
        <f t="shared" si="1051"/>
        <v>23.360646383493485</v>
      </c>
      <c r="CK122" s="161">
        <f t="shared" si="1051"/>
        <v>19.231068126624344</v>
      </c>
      <c r="CL122" s="161">
        <f t="shared" ref="CL122" si="1057">+CL105/CL$118</f>
        <v>15.574907519015754</v>
      </c>
      <c r="CM122" s="94">
        <f t="shared" ref="CM122:DB122" si="1058">+CL122</f>
        <v>15.574907519015754</v>
      </c>
      <c r="CN122" s="94">
        <f t="shared" si="1058"/>
        <v>15.574907519015754</v>
      </c>
      <c r="CO122" s="94">
        <f t="shared" si="1058"/>
        <v>15.574907519015754</v>
      </c>
      <c r="CP122" s="94">
        <f t="shared" si="1058"/>
        <v>15.574907519015754</v>
      </c>
      <c r="CQ122" s="94">
        <f t="shared" si="1058"/>
        <v>15.574907519015754</v>
      </c>
      <c r="CR122" s="94">
        <f t="shared" si="1058"/>
        <v>15.574907519015754</v>
      </c>
      <c r="CS122" s="94">
        <f t="shared" si="1058"/>
        <v>15.574907519015754</v>
      </c>
      <c r="CT122" s="94">
        <f t="shared" si="1058"/>
        <v>15.574907519015754</v>
      </c>
      <c r="CU122" s="94">
        <f t="shared" si="1058"/>
        <v>15.574907519015754</v>
      </c>
      <c r="CV122" s="94">
        <f t="shared" si="1058"/>
        <v>15.574907519015754</v>
      </c>
      <c r="CW122" s="94">
        <f t="shared" si="1058"/>
        <v>15.574907519015754</v>
      </c>
      <c r="CX122" s="94">
        <f t="shared" si="1058"/>
        <v>15.574907519015754</v>
      </c>
      <c r="CY122" s="94">
        <f t="shared" si="1058"/>
        <v>15.574907519015754</v>
      </c>
      <c r="CZ122" s="94">
        <f t="shared" si="1058"/>
        <v>15.574907519015754</v>
      </c>
      <c r="DA122" s="94">
        <f t="shared" si="1058"/>
        <v>15.574907519015754</v>
      </c>
      <c r="DB122" s="94">
        <f t="shared" si="1058"/>
        <v>15.574907519015754</v>
      </c>
      <c r="DC122" s="94">
        <f t="shared" si="1054"/>
        <v>15.574907519015754</v>
      </c>
      <c r="DD122" s="94">
        <f t="shared" si="1055"/>
        <v>15.574907519015754</v>
      </c>
      <c r="DE122" s="22"/>
      <c r="DF122" s="161">
        <v>20.549243375253919</v>
      </c>
    </row>
    <row r="123" spans="1:110" s="4" customFormat="1" x14ac:dyDescent="0.2">
      <c r="A123" s="3"/>
      <c r="AA123" s="17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19"/>
    </row>
    <row r="124" spans="1:110" s="176" customFormat="1" x14ac:dyDescent="0.2">
      <c r="A124" s="176" t="s">
        <v>510</v>
      </c>
      <c r="E124" s="176">
        <f t="shared" ref="E124:Y124" si="1059">+E36</f>
        <v>0</v>
      </c>
      <c r="F124" s="176">
        <f t="shared" si="1059"/>
        <v>0</v>
      </c>
      <c r="G124" s="176">
        <f t="shared" si="1059"/>
        <v>0</v>
      </c>
      <c r="H124" s="176">
        <f t="shared" si="1059"/>
        <v>0</v>
      </c>
      <c r="I124" s="176">
        <f t="shared" si="1059"/>
        <v>0</v>
      </c>
      <c r="J124" s="176">
        <f t="shared" si="1059"/>
        <v>0</v>
      </c>
      <c r="K124" s="176">
        <f t="shared" si="1059"/>
        <v>0</v>
      </c>
      <c r="L124" s="176">
        <f t="shared" si="1059"/>
        <v>0</v>
      </c>
      <c r="M124" s="176">
        <f t="shared" si="1059"/>
        <v>0</v>
      </c>
      <c r="N124" s="176">
        <f t="shared" si="1059"/>
        <v>0</v>
      </c>
      <c r="O124" s="176">
        <f t="shared" si="1059"/>
        <v>0</v>
      </c>
      <c r="P124" s="176">
        <f t="shared" si="1059"/>
        <v>0</v>
      </c>
      <c r="Q124" s="176">
        <f t="shared" si="1059"/>
        <v>0</v>
      </c>
      <c r="R124" s="176">
        <f t="shared" si="1059"/>
        <v>0</v>
      </c>
      <c r="S124" s="176">
        <f t="shared" si="1059"/>
        <v>0</v>
      </c>
      <c r="T124" s="176">
        <f t="shared" si="1059"/>
        <v>0</v>
      </c>
      <c r="U124" s="176">
        <f t="shared" si="1059"/>
        <v>0</v>
      </c>
      <c r="V124" s="176">
        <f t="shared" si="1059"/>
        <v>0</v>
      </c>
      <c r="W124" s="176">
        <f t="shared" si="1059"/>
        <v>0</v>
      </c>
      <c r="X124" s="176">
        <f t="shared" si="1059"/>
        <v>0</v>
      </c>
      <c r="Y124" s="176">
        <f t="shared" si="1059"/>
        <v>4759.6000000000004</v>
      </c>
      <c r="Z124" s="176">
        <f t="shared" ref="Z124" si="1060">+Z36</f>
        <v>7826.7</v>
      </c>
      <c r="AA124" s="177">
        <f t="shared" ref="AA124:AE124" si="1061">+AA36</f>
        <v>10035.447986502464</v>
      </c>
      <c r="AB124" s="177">
        <f t="shared" si="1061"/>
        <v>11897.237613770352</v>
      </c>
      <c r="AC124" s="177">
        <f t="shared" si="1061"/>
        <v>13971.121287648717</v>
      </c>
      <c r="AD124" s="177">
        <f t="shared" si="1061"/>
        <v>16375.219899748365</v>
      </c>
      <c r="AE124" s="177">
        <f t="shared" si="1061"/>
        <v>19190.859921872732</v>
      </c>
      <c r="AL124" s="176">
        <f t="shared" ref="AL124:BQ124" si="1062">+SUM(AI34:AL34)</f>
        <v>0</v>
      </c>
      <c r="AM124" s="176">
        <f t="shared" si="1062"/>
        <v>0</v>
      </c>
      <c r="AN124" s="176">
        <f t="shared" si="1062"/>
        <v>0</v>
      </c>
      <c r="AO124" s="176">
        <f t="shared" si="1062"/>
        <v>0</v>
      </c>
      <c r="AP124" s="176">
        <f t="shared" si="1062"/>
        <v>0</v>
      </c>
      <c r="AQ124" s="176">
        <f t="shared" si="1062"/>
        <v>0</v>
      </c>
      <c r="AR124" s="176">
        <f t="shared" si="1062"/>
        <v>0</v>
      </c>
      <c r="AS124" s="176">
        <f t="shared" si="1062"/>
        <v>0</v>
      </c>
      <c r="AT124" s="176">
        <f t="shared" si="1062"/>
        <v>0</v>
      </c>
      <c r="AU124" s="176">
        <f t="shared" si="1062"/>
        <v>0</v>
      </c>
      <c r="AV124" s="176">
        <f t="shared" si="1062"/>
        <v>0</v>
      </c>
      <c r="AW124" s="176">
        <f t="shared" si="1062"/>
        <v>0</v>
      </c>
      <c r="AX124" s="176">
        <f t="shared" si="1062"/>
        <v>0</v>
      </c>
      <c r="AY124" s="176">
        <f t="shared" si="1062"/>
        <v>0</v>
      </c>
      <c r="AZ124" s="176">
        <f t="shared" si="1062"/>
        <v>0</v>
      </c>
      <c r="BA124" s="176">
        <f t="shared" si="1062"/>
        <v>0</v>
      </c>
      <c r="BB124" s="176">
        <f t="shared" si="1062"/>
        <v>0</v>
      </c>
      <c r="BC124" s="176">
        <f t="shared" si="1062"/>
        <v>0</v>
      </c>
      <c r="BD124" s="176">
        <f t="shared" si="1062"/>
        <v>0</v>
      </c>
      <c r="BE124" s="176">
        <f t="shared" si="1062"/>
        <v>0</v>
      </c>
      <c r="BF124" s="176">
        <f t="shared" si="1062"/>
        <v>0</v>
      </c>
      <c r="BG124" s="176">
        <f t="shared" si="1062"/>
        <v>0</v>
      </c>
      <c r="BH124" s="176">
        <f t="shared" si="1062"/>
        <v>0</v>
      </c>
      <c r="BI124" s="176">
        <f t="shared" si="1062"/>
        <v>0</v>
      </c>
      <c r="BJ124" s="176">
        <f t="shared" si="1062"/>
        <v>0</v>
      </c>
      <c r="BK124" s="176">
        <f t="shared" si="1062"/>
        <v>0</v>
      </c>
      <c r="BL124" s="176">
        <f t="shared" si="1062"/>
        <v>0</v>
      </c>
      <c r="BM124" s="176">
        <f t="shared" si="1062"/>
        <v>0</v>
      </c>
      <c r="BN124" s="176">
        <f t="shared" si="1062"/>
        <v>0</v>
      </c>
      <c r="BO124" s="176">
        <f t="shared" si="1062"/>
        <v>0</v>
      </c>
      <c r="BP124" s="176">
        <f t="shared" si="1062"/>
        <v>0</v>
      </c>
      <c r="BQ124" s="176">
        <f t="shared" si="1062"/>
        <v>0</v>
      </c>
      <c r="BR124" s="176">
        <f t="shared" ref="BR124:CW124" si="1063">+SUM(BO34:BR34)</f>
        <v>0</v>
      </c>
      <c r="BS124" s="176">
        <f t="shared" si="1063"/>
        <v>0</v>
      </c>
      <c r="BT124" s="176">
        <f t="shared" si="1063"/>
        <v>0</v>
      </c>
      <c r="BU124" s="176">
        <f t="shared" si="1063"/>
        <v>0</v>
      </c>
      <c r="BV124" s="176">
        <f t="shared" si="1063"/>
        <v>0</v>
      </c>
      <c r="BW124" s="176">
        <f t="shared" si="1063"/>
        <v>0</v>
      </c>
      <c r="BX124" s="176">
        <f t="shared" si="1063"/>
        <v>0</v>
      </c>
      <c r="BY124" s="176">
        <f t="shared" si="1063"/>
        <v>0</v>
      </c>
      <c r="BZ124" s="176">
        <f t="shared" si="1063"/>
        <v>0</v>
      </c>
      <c r="CA124" s="176">
        <f t="shared" si="1063"/>
        <v>0</v>
      </c>
      <c r="CB124" s="176">
        <f t="shared" si="1063"/>
        <v>0</v>
      </c>
      <c r="CC124" s="176">
        <f t="shared" si="1063"/>
        <v>0</v>
      </c>
      <c r="CD124" s="176">
        <f t="shared" si="1063"/>
        <v>1196.5999999999999</v>
      </c>
      <c r="CE124" s="176">
        <f t="shared" si="1063"/>
        <v>2680.8</v>
      </c>
      <c r="CF124" s="176">
        <f t="shared" si="1063"/>
        <v>4759.6000000000004</v>
      </c>
      <c r="CG124" s="176">
        <f t="shared" si="1063"/>
        <v>6276.5</v>
      </c>
      <c r="CH124" s="176">
        <f t="shared" si="1063"/>
        <v>6959.4</v>
      </c>
      <c r="CI124" s="176">
        <f t="shared" si="1063"/>
        <v>7259.8000000000011</v>
      </c>
      <c r="CJ124" s="176">
        <f t="shared" si="1063"/>
        <v>7826.7</v>
      </c>
      <c r="CK124" s="176">
        <f t="shared" si="1063"/>
        <v>8220.6999999999989</v>
      </c>
      <c r="CL124" s="176">
        <f t="shared" si="1063"/>
        <v>8735.2999999999993</v>
      </c>
      <c r="CM124" s="177">
        <f t="shared" si="1063"/>
        <v>9265.4074524631778</v>
      </c>
      <c r="CN124" s="177">
        <f t="shared" si="1063"/>
        <v>10035.447986502464</v>
      </c>
      <c r="CO124" s="177">
        <f t="shared" si="1063"/>
        <v>10598.937373553877</v>
      </c>
      <c r="CP124" s="177">
        <f t="shared" si="1063"/>
        <v>11290.939297076979</v>
      </c>
      <c r="CQ124" s="177">
        <f t="shared" si="1063"/>
        <v>11550.22042144005</v>
      </c>
      <c r="CR124" s="177">
        <f t="shared" si="1063"/>
        <v>11897.237613770352</v>
      </c>
      <c r="CS124" s="177">
        <f t="shared" si="1063"/>
        <v>12370.632415280164</v>
      </c>
      <c r="CT124" s="177">
        <f t="shared" si="1063"/>
        <v>12913.502645477012</v>
      </c>
      <c r="CU124" s="177">
        <f t="shared" si="1063"/>
        <v>13333.484045846304</v>
      </c>
      <c r="CV124" s="177">
        <f t="shared" si="1063"/>
        <v>13971.121287648717</v>
      </c>
      <c r="CW124" s="177">
        <f t="shared" si="1063"/>
        <v>14493.418767117642</v>
      </c>
      <c r="CX124" s="177">
        <f t="shared" ref="CX124:DB124" si="1064">+SUM(CU34:CX34)</f>
        <v>15114.326581589645</v>
      </c>
      <c r="CY124" s="177">
        <f t="shared" si="1064"/>
        <v>15624.26914136041</v>
      </c>
      <c r="CZ124" s="177">
        <f t="shared" si="1064"/>
        <v>16375.219899748365</v>
      </c>
      <c r="DA124" s="177">
        <f t="shared" si="1064"/>
        <v>16980.572691657639</v>
      </c>
      <c r="DB124" s="177">
        <f t="shared" si="1064"/>
        <v>17708.715060498082</v>
      </c>
      <c r="DC124" s="177">
        <f t="shared" ref="DC124" si="1065">+SUM(CZ34:DC34)</f>
        <v>18310.957557820464</v>
      </c>
      <c r="DD124" s="177">
        <f t="shared" ref="DD124" si="1066">+SUM(DA34:DD34)</f>
        <v>19190.859921872732</v>
      </c>
      <c r="DE124" s="178"/>
      <c r="DF124" s="176">
        <v>7826.7</v>
      </c>
    </row>
    <row r="125" spans="1:110" s="162" customFormat="1" x14ac:dyDescent="0.2">
      <c r="A125" s="162" t="s">
        <v>511</v>
      </c>
      <c r="E125" s="162">
        <f t="shared" ref="E125:AE125" si="1067">+E124/E91</f>
        <v>0</v>
      </c>
      <c r="F125" s="162">
        <f t="shared" si="1067"/>
        <v>0</v>
      </c>
      <c r="G125" s="162">
        <f t="shared" si="1067"/>
        <v>0</v>
      </c>
      <c r="H125" s="162">
        <f t="shared" si="1067"/>
        <v>0</v>
      </c>
      <c r="I125" s="162">
        <f t="shared" si="1067"/>
        <v>0</v>
      </c>
      <c r="J125" s="162">
        <f t="shared" si="1067"/>
        <v>0</v>
      </c>
      <c r="K125" s="162">
        <f t="shared" si="1067"/>
        <v>0</v>
      </c>
      <c r="L125" s="162">
        <f t="shared" si="1067"/>
        <v>0</v>
      </c>
      <c r="M125" s="162">
        <f t="shared" si="1067"/>
        <v>0</v>
      </c>
      <c r="N125" s="162">
        <f t="shared" si="1067"/>
        <v>0</v>
      </c>
      <c r="O125" s="162">
        <f t="shared" si="1067"/>
        <v>0</v>
      </c>
      <c r="P125" s="162">
        <f t="shared" si="1067"/>
        <v>0</v>
      </c>
      <c r="Q125" s="162">
        <f t="shared" si="1067"/>
        <v>0</v>
      </c>
      <c r="R125" s="162">
        <f t="shared" si="1067"/>
        <v>0</v>
      </c>
      <c r="S125" s="162">
        <f t="shared" si="1067"/>
        <v>0</v>
      </c>
      <c r="T125" s="162">
        <f t="shared" si="1067"/>
        <v>0</v>
      </c>
      <c r="U125" s="162">
        <f t="shared" si="1067"/>
        <v>0</v>
      </c>
      <c r="V125" s="162">
        <f t="shared" si="1067"/>
        <v>0</v>
      </c>
      <c r="W125" s="162">
        <f t="shared" si="1067"/>
        <v>0</v>
      </c>
      <c r="X125" s="162">
        <f t="shared" si="1067"/>
        <v>0</v>
      </c>
      <c r="Y125" s="162">
        <f t="shared" si="1067"/>
        <v>133.69662921348316</v>
      </c>
      <c r="Z125" s="162">
        <f t="shared" ref="Z125" si="1068">+Z124/Z91</f>
        <v>219.85112359550561</v>
      </c>
      <c r="AA125" s="94">
        <f t="shared" si="1067"/>
        <v>281.89460636242876</v>
      </c>
      <c r="AB125" s="94">
        <f t="shared" si="1067"/>
        <v>334.19206780253796</v>
      </c>
      <c r="AC125" s="94">
        <f t="shared" si="1067"/>
        <v>392.44722718114372</v>
      </c>
      <c r="AD125" s="94">
        <f t="shared" si="1067"/>
        <v>459.97808707158327</v>
      </c>
      <c r="AE125" s="94">
        <f t="shared" si="1067"/>
        <v>539.06909892900933</v>
      </c>
      <c r="AL125" s="162">
        <f t="shared" ref="AL125:BQ125" si="1069">+AL124/AL91</f>
        <v>0</v>
      </c>
      <c r="AM125" s="162">
        <f t="shared" si="1069"/>
        <v>0</v>
      </c>
      <c r="AN125" s="162">
        <f t="shared" si="1069"/>
        <v>0</v>
      </c>
      <c r="AO125" s="162">
        <f t="shared" si="1069"/>
        <v>0</v>
      </c>
      <c r="AP125" s="162">
        <f t="shared" si="1069"/>
        <v>0</v>
      </c>
      <c r="AQ125" s="162">
        <f t="shared" si="1069"/>
        <v>0</v>
      </c>
      <c r="AR125" s="162">
        <f t="shared" si="1069"/>
        <v>0</v>
      </c>
      <c r="AS125" s="162">
        <f t="shared" si="1069"/>
        <v>0</v>
      </c>
      <c r="AT125" s="162">
        <f t="shared" si="1069"/>
        <v>0</v>
      </c>
      <c r="AU125" s="162">
        <f t="shared" si="1069"/>
        <v>0</v>
      </c>
      <c r="AV125" s="162">
        <f t="shared" si="1069"/>
        <v>0</v>
      </c>
      <c r="AW125" s="162">
        <f t="shared" si="1069"/>
        <v>0</v>
      </c>
      <c r="AX125" s="162">
        <f t="shared" si="1069"/>
        <v>0</v>
      </c>
      <c r="AY125" s="162">
        <f t="shared" si="1069"/>
        <v>0</v>
      </c>
      <c r="AZ125" s="162">
        <f t="shared" si="1069"/>
        <v>0</v>
      </c>
      <c r="BA125" s="162">
        <f t="shared" si="1069"/>
        <v>0</v>
      </c>
      <c r="BB125" s="162">
        <f t="shared" si="1069"/>
        <v>0</v>
      </c>
      <c r="BC125" s="162">
        <f t="shared" si="1069"/>
        <v>0</v>
      </c>
      <c r="BD125" s="162">
        <f t="shared" si="1069"/>
        <v>0</v>
      </c>
      <c r="BE125" s="162">
        <f t="shared" si="1069"/>
        <v>0</v>
      </c>
      <c r="BF125" s="162">
        <f t="shared" si="1069"/>
        <v>0</v>
      </c>
      <c r="BG125" s="162">
        <f t="shared" si="1069"/>
        <v>0</v>
      </c>
      <c r="BH125" s="162">
        <f t="shared" si="1069"/>
        <v>0</v>
      </c>
      <c r="BI125" s="162">
        <f t="shared" si="1069"/>
        <v>0</v>
      </c>
      <c r="BJ125" s="162">
        <f t="shared" si="1069"/>
        <v>0</v>
      </c>
      <c r="BK125" s="162">
        <f t="shared" si="1069"/>
        <v>0</v>
      </c>
      <c r="BL125" s="162">
        <f t="shared" si="1069"/>
        <v>0</v>
      </c>
      <c r="BM125" s="162">
        <f t="shared" si="1069"/>
        <v>0</v>
      </c>
      <c r="BN125" s="162">
        <f t="shared" si="1069"/>
        <v>0</v>
      </c>
      <c r="BO125" s="162">
        <f t="shared" si="1069"/>
        <v>0</v>
      </c>
      <c r="BP125" s="162">
        <f t="shared" si="1069"/>
        <v>0</v>
      </c>
      <c r="BQ125" s="162">
        <f t="shared" si="1069"/>
        <v>0</v>
      </c>
      <c r="BR125" s="162">
        <f t="shared" ref="BR125:CW125" si="1070">+BR124/BR91</f>
        <v>0</v>
      </c>
      <c r="BS125" s="162">
        <f t="shared" si="1070"/>
        <v>0</v>
      </c>
      <c r="BT125" s="162">
        <f t="shared" si="1070"/>
        <v>0</v>
      </c>
      <c r="BU125" s="162">
        <f t="shared" si="1070"/>
        <v>0</v>
      </c>
      <c r="BV125" s="162">
        <f t="shared" si="1070"/>
        <v>0</v>
      </c>
      <c r="BW125" s="162">
        <f t="shared" si="1070"/>
        <v>0</v>
      </c>
      <c r="BX125" s="162">
        <f t="shared" si="1070"/>
        <v>0</v>
      </c>
      <c r="BY125" s="162">
        <f t="shared" si="1070"/>
        <v>0</v>
      </c>
      <c r="BZ125" s="162">
        <f t="shared" si="1070"/>
        <v>0</v>
      </c>
      <c r="CA125" s="162">
        <f t="shared" si="1070"/>
        <v>0</v>
      </c>
      <c r="CB125" s="162">
        <f t="shared" si="1070"/>
        <v>0</v>
      </c>
      <c r="CC125" s="162">
        <f t="shared" si="1070"/>
        <v>0</v>
      </c>
      <c r="CD125" s="162">
        <f t="shared" si="1070"/>
        <v>33.612359550561791</v>
      </c>
      <c r="CE125" s="162">
        <f t="shared" si="1070"/>
        <v>75.303370786516851</v>
      </c>
      <c r="CF125" s="162">
        <f t="shared" si="1070"/>
        <v>133.69662921348316</v>
      </c>
      <c r="CG125" s="162">
        <f t="shared" si="1070"/>
        <v>176.3061797752809</v>
      </c>
      <c r="CH125" s="162">
        <f t="shared" si="1070"/>
        <v>195.48876404494379</v>
      </c>
      <c r="CI125" s="162">
        <f t="shared" si="1070"/>
        <v>203.92696629213486</v>
      </c>
      <c r="CJ125" s="162">
        <f t="shared" si="1070"/>
        <v>219.85112359550561</v>
      </c>
      <c r="CK125" s="162">
        <f t="shared" ref="CK125" si="1071">+CK124/CK91</f>
        <v>230.91853932584266</v>
      </c>
      <c r="CL125" s="162">
        <f t="shared" ref="CL125" si="1072">+CL124/CL91</f>
        <v>245.37359550561794</v>
      </c>
      <c r="CM125" s="50">
        <f t="shared" si="1070"/>
        <v>260.26425428267351</v>
      </c>
      <c r="CN125" s="50">
        <f t="shared" si="1070"/>
        <v>281.89460636242876</v>
      </c>
      <c r="CO125" s="50">
        <f t="shared" si="1070"/>
        <v>297.7229599312887</v>
      </c>
      <c r="CP125" s="50">
        <f t="shared" si="1070"/>
        <v>317.16121621002748</v>
      </c>
      <c r="CQ125" s="50">
        <f t="shared" si="1070"/>
        <v>324.44439386067552</v>
      </c>
      <c r="CR125" s="50">
        <f t="shared" si="1070"/>
        <v>334.19206780253796</v>
      </c>
      <c r="CS125" s="50">
        <f t="shared" si="1070"/>
        <v>347.48967458652146</v>
      </c>
      <c r="CT125" s="50">
        <f t="shared" si="1070"/>
        <v>362.73883835609581</v>
      </c>
      <c r="CU125" s="50">
        <f t="shared" si="1070"/>
        <v>374.53606870354787</v>
      </c>
      <c r="CV125" s="50">
        <f t="shared" si="1070"/>
        <v>392.44722718114372</v>
      </c>
      <c r="CW125" s="50">
        <f t="shared" si="1070"/>
        <v>407.11850469431579</v>
      </c>
      <c r="CX125" s="50">
        <f t="shared" ref="CX125:DB125" si="1073">+CX124/CX91</f>
        <v>424.55973543791134</v>
      </c>
      <c r="CY125" s="50">
        <f t="shared" si="1073"/>
        <v>438.88396464495531</v>
      </c>
      <c r="CZ125" s="50">
        <f t="shared" si="1073"/>
        <v>459.97808707158327</v>
      </c>
      <c r="DA125" s="50">
        <f t="shared" si="1073"/>
        <v>476.98237897914714</v>
      </c>
      <c r="DB125" s="50">
        <f t="shared" si="1073"/>
        <v>497.43581630612584</v>
      </c>
      <c r="DC125" s="50">
        <f t="shared" ref="DC125:DD125" si="1074">+DC124/DC91</f>
        <v>514.35274038821524</v>
      </c>
      <c r="DD125" s="50">
        <f t="shared" si="1074"/>
        <v>539.06909892900933</v>
      </c>
      <c r="DE125" s="163"/>
      <c r="DF125" s="162">
        <v>219.85112359550561</v>
      </c>
    </row>
    <row r="126" spans="1:110" s="162" customFormat="1" x14ac:dyDescent="0.2">
      <c r="AA126" s="94"/>
      <c r="AB126" s="94"/>
      <c r="AC126" s="94"/>
      <c r="AD126" s="94"/>
      <c r="AE126" s="94"/>
      <c r="CM126" s="94"/>
      <c r="CN126" s="94"/>
      <c r="CO126" s="94"/>
      <c r="CP126" s="94"/>
      <c r="CQ126" s="94"/>
      <c r="CR126" s="94"/>
      <c r="CS126" s="94"/>
      <c r="CT126" s="94"/>
      <c r="CU126" s="94"/>
      <c r="CV126" s="94"/>
      <c r="CW126" s="94"/>
      <c r="CX126" s="94"/>
      <c r="CY126" s="94"/>
      <c r="CZ126" s="94"/>
      <c r="DA126" s="94"/>
      <c r="DB126" s="94"/>
      <c r="DC126" s="94"/>
      <c r="DD126" s="94"/>
      <c r="DE126" s="163"/>
    </row>
    <row r="127" spans="1:110" s="162" customFormat="1" x14ac:dyDescent="0.2">
      <c r="A127" s="162" t="s">
        <v>506</v>
      </c>
      <c r="AA127" s="94"/>
      <c r="AB127" s="94"/>
      <c r="AC127" s="94"/>
      <c r="AD127" s="94"/>
      <c r="AE127" s="94"/>
      <c r="CM127" s="94"/>
      <c r="CN127" s="94"/>
      <c r="CO127" s="94"/>
      <c r="CP127" s="94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4"/>
      <c r="DC127" s="94"/>
      <c r="DD127" s="94"/>
      <c r="DE127" s="163"/>
    </row>
    <row r="128" spans="1:110" s="162" customFormat="1" x14ac:dyDescent="0.2">
      <c r="A128" s="162" t="s">
        <v>507</v>
      </c>
      <c r="E128" s="162" t="e">
        <f t="shared" ref="E128:AE130" si="1075">+E103/E$125</f>
        <v>#DIV/0!</v>
      </c>
      <c r="F128" s="162" t="e">
        <f t="shared" si="1075"/>
        <v>#DIV/0!</v>
      </c>
      <c r="G128" s="162" t="e">
        <f t="shared" si="1075"/>
        <v>#DIV/0!</v>
      </c>
      <c r="H128" s="162" t="e">
        <f t="shared" si="1075"/>
        <v>#DIV/0!</v>
      </c>
      <c r="I128" s="162" t="e">
        <f t="shared" si="1075"/>
        <v>#DIV/0!</v>
      </c>
      <c r="J128" s="162" t="e">
        <f t="shared" si="1075"/>
        <v>#DIV/0!</v>
      </c>
      <c r="K128" s="162" t="e">
        <f t="shared" si="1075"/>
        <v>#DIV/0!</v>
      </c>
      <c r="L128" s="162" t="e">
        <f t="shared" si="1075"/>
        <v>#DIV/0!</v>
      </c>
      <c r="M128" s="162" t="e">
        <f t="shared" si="1075"/>
        <v>#DIV/0!</v>
      </c>
      <c r="N128" s="162" t="e">
        <f t="shared" si="1075"/>
        <v>#DIV/0!</v>
      </c>
      <c r="O128" s="162" t="e">
        <f t="shared" si="1075"/>
        <v>#DIV/0!</v>
      </c>
      <c r="P128" s="162" t="e">
        <f t="shared" si="1075"/>
        <v>#DIV/0!</v>
      </c>
      <c r="Q128" s="162" t="e">
        <f t="shared" si="1075"/>
        <v>#DIV/0!</v>
      </c>
      <c r="R128" s="162" t="e">
        <f t="shared" si="1075"/>
        <v>#DIV/0!</v>
      </c>
      <c r="S128" s="162" t="e">
        <f t="shared" si="1075"/>
        <v>#DIV/0!</v>
      </c>
      <c r="T128" s="162" t="e">
        <f t="shared" si="1075"/>
        <v>#DIV/0!</v>
      </c>
      <c r="U128" s="162" t="e">
        <f t="shared" si="1075"/>
        <v>#DIV/0!</v>
      </c>
      <c r="V128" s="162" t="e">
        <f t="shared" si="1075"/>
        <v>#DIV/0!</v>
      </c>
      <c r="W128" s="162" t="e">
        <f t="shared" si="1075"/>
        <v>#DIV/0!</v>
      </c>
      <c r="X128" s="162" t="e">
        <f t="shared" si="1075"/>
        <v>#DIV/0!</v>
      </c>
      <c r="Y128" s="162">
        <f t="shared" si="1075"/>
        <v>0</v>
      </c>
      <c r="Z128" s="162">
        <f t="shared" ref="Z128" si="1076">+Z103/Z$125</f>
        <v>15.603058760397102</v>
      </c>
      <c r="AA128" s="50">
        <f t="shared" ref="AA128:AE128" si="1077">+AA103/AA$125</f>
        <v>11.014754911656366</v>
      </c>
      <c r="AB128" s="50">
        <f t="shared" si="1077"/>
        <v>9.2910643284167733</v>
      </c>
      <c r="AC128" s="50">
        <f t="shared" si="1077"/>
        <v>7.9118918033960535</v>
      </c>
      <c r="AD128" s="50">
        <f t="shared" si="1077"/>
        <v>6.7503215637243823</v>
      </c>
      <c r="AE128" s="50">
        <f t="shared" si="1077"/>
        <v>5.7599294898721345</v>
      </c>
      <c r="AL128" s="162" t="e">
        <f t="shared" ref="AL128:BQ128" si="1078">+AL103/AL125</f>
        <v>#DIV/0!</v>
      </c>
      <c r="AM128" s="162" t="e">
        <f t="shared" si="1078"/>
        <v>#DIV/0!</v>
      </c>
      <c r="AN128" s="162" t="e">
        <f t="shared" si="1078"/>
        <v>#DIV/0!</v>
      </c>
      <c r="AO128" s="162" t="e">
        <f t="shared" si="1078"/>
        <v>#DIV/0!</v>
      </c>
      <c r="AP128" s="162" t="e">
        <f t="shared" si="1078"/>
        <v>#DIV/0!</v>
      </c>
      <c r="AQ128" s="162" t="e">
        <f t="shared" si="1078"/>
        <v>#DIV/0!</v>
      </c>
      <c r="AR128" s="162" t="e">
        <f t="shared" si="1078"/>
        <v>#DIV/0!</v>
      </c>
      <c r="AS128" s="162" t="e">
        <f t="shared" si="1078"/>
        <v>#DIV/0!</v>
      </c>
      <c r="AT128" s="162" t="e">
        <f t="shared" si="1078"/>
        <v>#DIV/0!</v>
      </c>
      <c r="AU128" s="162" t="e">
        <f t="shared" si="1078"/>
        <v>#DIV/0!</v>
      </c>
      <c r="AV128" s="162" t="e">
        <f t="shared" si="1078"/>
        <v>#DIV/0!</v>
      </c>
      <c r="AW128" s="162" t="e">
        <f t="shared" si="1078"/>
        <v>#DIV/0!</v>
      </c>
      <c r="AX128" s="162" t="e">
        <f t="shared" si="1078"/>
        <v>#DIV/0!</v>
      </c>
      <c r="AY128" s="162" t="e">
        <f t="shared" si="1078"/>
        <v>#DIV/0!</v>
      </c>
      <c r="AZ128" s="162" t="e">
        <f t="shared" si="1078"/>
        <v>#DIV/0!</v>
      </c>
      <c r="BA128" s="162" t="e">
        <f t="shared" si="1078"/>
        <v>#DIV/0!</v>
      </c>
      <c r="BB128" s="162" t="e">
        <f t="shared" si="1078"/>
        <v>#DIV/0!</v>
      </c>
      <c r="BC128" s="162" t="e">
        <f t="shared" si="1078"/>
        <v>#DIV/0!</v>
      </c>
      <c r="BD128" s="162" t="e">
        <f t="shared" si="1078"/>
        <v>#DIV/0!</v>
      </c>
      <c r="BE128" s="162" t="e">
        <f t="shared" si="1078"/>
        <v>#DIV/0!</v>
      </c>
      <c r="BF128" s="162" t="e">
        <f t="shared" si="1078"/>
        <v>#DIV/0!</v>
      </c>
      <c r="BG128" s="162" t="e">
        <f t="shared" si="1078"/>
        <v>#DIV/0!</v>
      </c>
      <c r="BH128" s="162" t="e">
        <f t="shared" si="1078"/>
        <v>#DIV/0!</v>
      </c>
      <c r="BI128" s="162" t="e">
        <f t="shared" si="1078"/>
        <v>#DIV/0!</v>
      </c>
      <c r="BJ128" s="162" t="e">
        <f t="shared" si="1078"/>
        <v>#DIV/0!</v>
      </c>
      <c r="BK128" s="162" t="e">
        <f t="shared" si="1078"/>
        <v>#DIV/0!</v>
      </c>
      <c r="BL128" s="162" t="e">
        <f t="shared" si="1078"/>
        <v>#DIV/0!</v>
      </c>
      <c r="BM128" s="162" t="e">
        <f t="shared" si="1078"/>
        <v>#DIV/0!</v>
      </c>
      <c r="BN128" s="162" t="e">
        <f t="shared" si="1078"/>
        <v>#DIV/0!</v>
      </c>
      <c r="BO128" s="162" t="e">
        <f t="shared" si="1078"/>
        <v>#DIV/0!</v>
      </c>
      <c r="BP128" s="162" t="e">
        <f t="shared" si="1078"/>
        <v>#DIV/0!</v>
      </c>
      <c r="BQ128" s="162" t="e">
        <f t="shared" si="1078"/>
        <v>#DIV/0!</v>
      </c>
      <c r="BR128" s="162" t="e">
        <f t="shared" ref="BR128:DB128" si="1079">+BR103/BR125</f>
        <v>#DIV/0!</v>
      </c>
      <c r="BS128" s="162" t="e">
        <f t="shared" si="1079"/>
        <v>#DIV/0!</v>
      </c>
      <c r="BT128" s="162" t="e">
        <f t="shared" si="1079"/>
        <v>#DIV/0!</v>
      </c>
      <c r="BU128" s="162" t="e">
        <f t="shared" si="1079"/>
        <v>#DIV/0!</v>
      </c>
      <c r="BV128" s="162" t="e">
        <f t="shared" si="1079"/>
        <v>#DIV/0!</v>
      </c>
      <c r="BW128" s="162" t="e">
        <f t="shared" si="1079"/>
        <v>#DIV/0!</v>
      </c>
      <c r="BX128" s="162" t="e">
        <f t="shared" si="1079"/>
        <v>#DIV/0!</v>
      </c>
      <c r="BY128" s="162" t="e">
        <f t="shared" si="1079"/>
        <v>#DIV/0!</v>
      </c>
      <c r="BZ128" s="162" t="e">
        <f t="shared" si="1079"/>
        <v>#DIV/0!</v>
      </c>
      <c r="CA128" s="162" t="e">
        <f t="shared" si="1079"/>
        <v>#DIV/0!</v>
      </c>
      <c r="CB128" s="162" t="e">
        <f t="shared" si="1079"/>
        <v>#DIV/0!</v>
      </c>
      <c r="CC128" s="162" t="e">
        <f t="shared" si="1079"/>
        <v>#DIV/0!</v>
      </c>
      <c r="CD128" s="162">
        <f t="shared" si="1079"/>
        <v>0</v>
      </c>
      <c r="CE128" s="162">
        <f t="shared" si="1079"/>
        <v>0</v>
      </c>
      <c r="CF128" s="162">
        <f t="shared" si="1079"/>
        <v>0</v>
      </c>
      <c r="CG128" s="162">
        <f t="shared" si="1079"/>
        <v>0</v>
      </c>
      <c r="CH128" s="162">
        <f t="shared" si="1079"/>
        <v>0</v>
      </c>
      <c r="CI128" s="162">
        <f t="shared" si="1079"/>
        <v>14.622882173062617</v>
      </c>
      <c r="CJ128" s="162">
        <f t="shared" si="1079"/>
        <v>15.603058760397102</v>
      </c>
      <c r="CK128" s="162">
        <f t="shared" ref="CK128" si="1080">+CK103/CK125</f>
        <v>11.089624971109519</v>
      </c>
      <c r="CL128" s="162">
        <f t="shared" ref="CL128" si="1081">+CL103/CL125</f>
        <v>10.472398200405253</v>
      </c>
      <c r="CM128" s="50">
        <f t="shared" si="1079"/>
        <v>11.930182300899659</v>
      </c>
      <c r="CN128" s="50">
        <f t="shared" si="1079"/>
        <v>11.014754911656366</v>
      </c>
      <c r="CO128" s="50">
        <f t="shared" si="1079"/>
        <v>10.429158707533343</v>
      </c>
      <c r="CP128" s="50">
        <f t="shared" si="1079"/>
        <v>9.7899738092309381</v>
      </c>
      <c r="CQ128" s="50">
        <f t="shared" si="1079"/>
        <v>9.570206971532274</v>
      </c>
      <c r="CR128" s="50">
        <f t="shared" si="1079"/>
        <v>9.2910643284167733</v>
      </c>
      <c r="CS128" s="50">
        <f t="shared" si="1079"/>
        <v>8.9355173033404363</v>
      </c>
      <c r="CT128" s="50">
        <f t="shared" si="1079"/>
        <v>8.5598774426020068</v>
      </c>
      <c r="CU128" s="50">
        <f t="shared" si="1079"/>
        <v>8.2902562915980837</v>
      </c>
      <c r="CV128" s="50">
        <f t="shared" si="1079"/>
        <v>7.9118918033960535</v>
      </c>
      <c r="CW128" s="50">
        <f t="shared" si="1079"/>
        <v>7.6267719698257972</v>
      </c>
      <c r="CX128" s="50">
        <f t="shared" si="1079"/>
        <v>7.3134584861123333</v>
      </c>
      <c r="CY128" s="50">
        <f t="shared" si="1079"/>
        <v>7.0747629217026802</v>
      </c>
      <c r="CZ128" s="50">
        <f t="shared" si="1079"/>
        <v>6.7503215637243823</v>
      </c>
      <c r="DA128" s="50">
        <f t="shared" si="1079"/>
        <v>6.5096744383836986</v>
      </c>
      <c r="DB128" s="50">
        <f t="shared" si="1079"/>
        <v>6.2420113273250095</v>
      </c>
      <c r="DC128" s="50">
        <f t="shared" ref="DC128:DD128" si="1082">+DC103/DC125</f>
        <v>6.0367132440209339</v>
      </c>
      <c r="DD128" s="50">
        <f t="shared" si="1082"/>
        <v>5.7599294898721345</v>
      </c>
      <c r="DE128" s="106"/>
      <c r="DF128" s="162">
        <v>15.603058760397102</v>
      </c>
    </row>
    <row r="129" spans="1:110" s="162" customFormat="1" x14ac:dyDescent="0.2">
      <c r="A129" s="162" t="s">
        <v>508</v>
      </c>
      <c r="E129" s="162" t="e">
        <f t="shared" si="1075"/>
        <v>#DIV/0!</v>
      </c>
      <c r="F129" s="162" t="e">
        <f t="shared" si="1075"/>
        <v>#DIV/0!</v>
      </c>
      <c r="G129" s="162" t="e">
        <f t="shared" si="1075"/>
        <v>#DIV/0!</v>
      </c>
      <c r="H129" s="162" t="e">
        <f t="shared" si="1075"/>
        <v>#DIV/0!</v>
      </c>
      <c r="I129" s="162" t="e">
        <f t="shared" si="1075"/>
        <v>#DIV/0!</v>
      </c>
      <c r="J129" s="162" t="e">
        <f t="shared" si="1075"/>
        <v>#DIV/0!</v>
      </c>
      <c r="K129" s="162" t="e">
        <f t="shared" si="1075"/>
        <v>#DIV/0!</v>
      </c>
      <c r="L129" s="162" t="e">
        <f t="shared" si="1075"/>
        <v>#DIV/0!</v>
      </c>
      <c r="M129" s="162" t="e">
        <f t="shared" si="1075"/>
        <v>#DIV/0!</v>
      </c>
      <c r="N129" s="162" t="e">
        <f t="shared" si="1075"/>
        <v>#DIV/0!</v>
      </c>
      <c r="O129" s="162" t="e">
        <f t="shared" si="1075"/>
        <v>#DIV/0!</v>
      </c>
      <c r="P129" s="162" t="e">
        <f t="shared" si="1075"/>
        <v>#DIV/0!</v>
      </c>
      <c r="Q129" s="162" t="e">
        <f t="shared" si="1075"/>
        <v>#DIV/0!</v>
      </c>
      <c r="R129" s="162" t="e">
        <f t="shared" si="1075"/>
        <v>#DIV/0!</v>
      </c>
      <c r="S129" s="162" t="e">
        <f t="shared" si="1075"/>
        <v>#DIV/0!</v>
      </c>
      <c r="T129" s="162" t="e">
        <f t="shared" si="1075"/>
        <v>#DIV/0!</v>
      </c>
      <c r="U129" s="162" t="e">
        <f t="shared" si="1075"/>
        <v>#DIV/0!</v>
      </c>
      <c r="V129" s="162" t="e">
        <f t="shared" si="1075"/>
        <v>#DIV/0!</v>
      </c>
      <c r="W129" s="162" t="e">
        <f t="shared" si="1075"/>
        <v>#DIV/0!</v>
      </c>
      <c r="X129" s="162" t="e">
        <f t="shared" si="1075"/>
        <v>#DIV/0!</v>
      </c>
      <c r="Y129" s="162">
        <f t="shared" si="1075"/>
        <v>0</v>
      </c>
      <c r="Z129" s="162">
        <f t="shared" ref="Z129" si="1083">+Z104/Z$125</f>
        <v>16.483882095902487</v>
      </c>
      <c r="AA129" s="94">
        <f t="shared" si="1075"/>
        <v>12.365832575170273</v>
      </c>
      <c r="AB129" s="94">
        <f t="shared" si="1075"/>
        <v>12.57724949940352</v>
      </c>
      <c r="AC129" s="94">
        <f t="shared" si="1075"/>
        <v>12.981983174281867</v>
      </c>
      <c r="AD129" s="94">
        <f t="shared" si="1075"/>
        <v>13.141828892786908</v>
      </c>
      <c r="AE129" s="94">
        <f t="shared" si="1075"/>
        <v>13.27336851273308</v>
      </c>
      <c r="AL129" s="162" t="e">
        <f t="shared" ref="AL129:BQ129" si="1084">+AL104/AL125</f>
        <v>#DIV/0!</v>
      </c>
      <c r="AM129" s="162" t="e">
        <f t="shared" si="1084"/>
        <v>#DIV/0!</v>
      </c>
      <c r="AN129" s="162" t="e">
        <f t="shared" si="1084"/>
        <v>#DIV/0!</v>
      </c>
      <c r="AO129" s="162" t="e">
        <f t="shared" si="1084"/>
        <v>#DIV/0!</v>
      </c>
      <c r="AP129" s="162" t="e">
        <f t="shared" si="1084"/>
        <v>#DIV/0!</v>
      </c>
      <c r="AQ129" s="162" t="e">
        <f t="shared" si="1084"/>
        <v>#DIV/0!</v>
      </c>
      <c r="AR129" s="162" t="e">
        <f t="shared" si="1084"/>
        <v>#DIV/0!</v>
      </c>
      <c r="AS129" s="162" t="e">
        <f t="shared" si="1084"/>
        <v>#DIV/0!</v>
      </c>
      <c r="AT129" s="162" t="e">
        <f t="shared" si="1084"/>
        <v>#DIV/0!</v>
      </c>
      <c r="AU129" s="162" t="e">
        <f t="shared" si="1084"/>
        <v>#DIV/0!</v>
      </c>
      <c r="AV129" s="162" t="e">
        <f t="shared" si="1084"/>
        <v>#DIV/0!</v>
      </c>
      <c r="AW129" s="162" t="e">
        <f t="shared" si="1084"/>
        <v>#DIV/0!</v>
      </c>
      <c r="AX129" s="162" t="e">
        <f t="shared" si="1084"/>
        <v>#DIV/0!</v>
      </c>
      <c r="AY129" s="162" t="e">
        <f t="shared" si="1084"/>
        <v>#DIV/0!</v>
      </c>
      <c r="AZ129" s="162" t="e">
        <f t="shared" si="1084"/>
        <v>#DIV/0!</v>
      </c>
      <c r="BA129" s="162" t="e">
        <f t="shared" si="1084"/>
        <v>#DIV/0!</v>
      </c>
      <c r="BB129" s="162" t="e">
        <f t="shared" si="1084"/>
        <v>#DIV/0!</v>
      </c>
      <c r="BC129" s="162" t="e">
        <f t="shared" si="1084"/>
        <v>#DIV/0!</v>
      </c>
      <c r="BD129" s="162" t="e">
        <f t="shared" si="1084"/>
        <v>#DIV/0!</v>
      </c>
      <c r="BE129" s="162" t="e">
        <f t="shared" si="1084"/>
        <v>#DIV/0!</v>
      </c>
      <c r="BF129" s="162" t="e">
        <f t="shared" si="1084"/>
        <v>#DIV/0!</v>
      </c>
      <c r="BG129" s="162" t="e">
        <f t="shared" si="1084"/>
        <v>#DIV/0!</v>
      </c>
      <c r="BH129" s="162" t="e">
        <f t="shared" si="1084"/>
        <v>#DIV/0!</v>
      </c>
      <c r="BI129" s="162" t="e">
        <f t="shared" si="1084"/>
        <v>#DIV/0!</v>
      </c>
      <c r="BJ129" s="162" t="e">
        <f t="shared" si="1084"/>
        <v>#DIV/0!</v>
      </c>
      <c r="BK129" s="162" t="e">
        <f t="shared" si="1084"/>
        <v>#DIV/0!</v>
      </c>
      <c r="BL129" s="162" t="e">
        <f t="shared" si="1084"/>
        <v>#DIV/0!</v>
      </c>
      <c r="BM129" s="162" t="e">
        <f t="shared" si="1084"/>
        <v>#DIV/0!</v>
      </c>
      <c r="BN129" s="162" t="e">
        <f t="shared" si="1084"/>
        <v>#DIV/0!</v>
      </c>
      <c r="BO129" s="162" t="e">
        <f t="shared" si="1084"/>
        <v>#DIV/0!</v>
      </c>
      <c r="BP129" s="162" t="e">
        <f t="shared" si="1084"/>
        <v>#DIV/0!</v>
      </c>
      <c r="BQ129" s="162" t="e">
        <f t="shared" si="1084"/>
        <v>#DIV/0!</v>
      </c>
      <c r="BR129" s="162" t="e">
        <f t="shared" ref="BR129:CJ129" si="1085">+BR104/BR125</f>
        <v>#DIV/0!</v>
      </c>
      <c r="BS129" s="162" t="e">
        <f t="shared" si="1085"/>
        <v>#DIV/0!</v>
      </c>
      <c r="BT129" s="162" t="e">
        <f t="shared" si="1085"/>
        <v>#DIV/0!</v>
      </c>
      <c r="BU129" s="162" t="e">
        <f t="shared" si="1085"/>
        <v>#DIV/0!</v>
      </c>
      <c r="BV129" s="162" t="e">
        <f t="shared" si="1085"/>
        <v>#DIV/0!</v>
      </c>
      <c r="BW129" s="162" t="e">
        <f t="shared" si="1085"/>
        <v>#DIV/0!</v>
      </c>
      <c r="BX129" s="162" t="e">
        <f t="shared" si="1085"/>
        <v>#DIV/0!</v>
      </c>
      <c r="BY129" s="162" t="e">
        <f t="shared" si="1085"/>
        <v>#DIV/0!</v>
      </c>
      <c r="BZ129" s="162" t="e">
        <f t="shared" si="1085"/>
        <v>#DIV/0!</v>
      </c>
      <c r="CA129" s="162" t="e">
        <f t="shared" si="1085"/>
        <v>#DIV/0!</v>
      </c>
      <c r="CB129" s="162" t="e">
        <f t="shared" si="1085"/>
        <v>#DIV/0!</v>
      </c>
      <c r="CC129" s="162" t="e">
        <f t="shared" si="1085"/>
        <v>#DIV/0!</v>
      </c>
      <c r="CD129" s="162">
        <f t="shared" si="1085"/>
        <v>0</v>
      </c>
      <c r="CE129" s="162">
        <f t="shared" si="1085"/>
        <v>0</v>
      </c>
      <c r="CF129" s="162">
        <f t="shared" si="1085"/>
        <v>0</v>
      </c>
      <c r="CG129" s="162">
        <f t="shared" si="1085"/>
        <v>0</v>
      </c>
      <c r="CH129" s="162">
        <f t="shared" si="1085"/>
        <v>0</v>
      </c>
      <c r="CI129" s="162">
        <f t="shared" si="1085"/>
        <v>14.701341634755776</v>
      </c>
      <c r="CJ129" s="162">
        <f t="shared" si="1085"/>
        <v>16.483882095902487</v>
      </c>
      <c r="CK129" s="162">
        <f t="shared" ref="CK129" si="1086">+CK104/CK125</f>
        <v>14.928857639860354</v>
      </c>
      <c r="CL129" s="162">
        <f t="shared" ref="CL129" si="1087">+CL104/CL125</f>
        <v>12.313672112005312</v>
      </c>
      <c r="CM129" s="94">
        <f t="shared" ref="CM129:DB129" si="1088">+CL129</f>
        <v>12.313672112005312</v>
      </c>
      <c r="CN129" s="94">
        <f t="shared" si="1088"/>
        <v>12.313672112005312</v>
      </c>
      <c r="CO129" s="94">
        <f t="shared" si="1088"/>
        <v>12.313672112005312</v>
      </c>
      <c r="CP129" s="94">
        <f t="shared" si="1088"/>
        <v>12.313672112005312</v>
      </c>
      <c r="CQ129" s="94">
        <f t="shared" si="1088"/>
        <v>12.313672112005312</v>
      </c>
      <c r="CR129" s="94">
        <f t="shared" si="1088"/>
        <v>12.313672112005312</v>
      </c>
      <c r="CS129" s="94">
        <f t="shared" si="1088"/>
        <v>12.313672112005312</v>
      </c>
      <c r="CT129" s="94">
        <f t="shared" si="1088"/>
        <v>12.313672112005312</v>
      </c>
      <c r="CU129" s="94">
        <f t="shared" si="1088"/>
        <v>12.313672112005312</v>
      </c>
      <c r="CV129" s="94">
        <f t="shared" si="1088"/>
        <v>12.313672112005312</v>
      </c>
      <c r="CW129" s="94">
        <f t="shared" si="1088"/>
        <v>12.313672112005312</v>
      </c>
      <c r="CX129" s="94">
        <f t="shared" si="1088"/>
        <v>12.313672112005312</v>
      </c>
      <c r="CY129" s="94">
        <f t="shared" si="1088"/>
        <v>12.313672112005312</v>
      </c>
      <c r="CZ129" s="94">
        <f t="shared" si="1088"/>
        <v>12.313672112005312</v>
      </c>
      <c r="DA129" s="94">
        <f t="shared" si="1088"/>
        <v>12.313672112005312</v>
      </c>
      <c r="DB129" s="94">
        <f t="shared" si="1088"/>
        <v>12.313672112005312</v>
      </c>
      <c r="DC129" s="94">
        <f t="shared" ref="DC129:DC130" si="1089">+DB129</f>
        <v>12.313672112005312</v>
      </c>
      <c r="DD129" s="94">
        <f t="shared" ref="DD129:DD130" si="1090">+DC129</f>
        <v>12.313672112005312</v>
      </c>
      <c r="DE129" s="163"/>
      <c r="DF129" s="162">
        <v>16.483882095902487</v>
      </c>
    </row>
    <row r="130" spans="1:110" s="162" customFormat="1" x14ac:dyDescent="0.2">
      <c r="A130" s="162" t="s">
        <v>509</v>
      </c>
      <c r="E130" s="162" t="e">
        <f t="shared" si="1075"/>
        <v>#DIV/0!</v>
      </c>
      <c r="F130" s="162" t="e">
        <f t="shared" si="1075"/>
        <v>#DIV/0!</v>
      </c>
      <c r="G130" s="162" t="e">
        <f t="shared" si="1075"/>
        <v>#DIV/0!</v>
      </c>
      <c r="H130" s="162" t="e">
        <f t="shared" si="1075"/>
        <v>#DIV/0!</v>
      </c>
      <c r="I130" s="162" t="e">
        <f t="shared" si="1075"/>
        <v>#DIV/0!</v>
      </c>
      <c r="J130" s="162" t="e">
        <f t="shared" si="1075"/>
        <v>#DIV/0!</v>
      </c>
      <c r="K130" s="162" t="e">
        <f t="shared" si="1075"/>
        <v>#DIV/0!</v>
      </c>
      <c r="L130" s="162" t="e">
        <f t="shared" si="1075"/>
        <v>#DIV/0!</v>
      </c>
      <c r="M130" s="162" t="e">
        <f t="shared" si="1075"/>
        <v>#DIV/0!</v>
      </c>
      <c r="N130" s="162" t="e">
        <f t="shared" si="1075"/>
        <v>#DIV/0!</v>
      </c>
      <c r="O130" s="162" t="e">
        <f t="shared" si="1075"/>
        <v>#DIV/0!</v>
      </c>
      <c r="P130" s="162" t="e">
        <f t="shared" si="1075"/>
        <v>#DIV/0!</v>
      </c>
      <c r="Q130" s="162" t="e">
        <f t="shared" si="1075"/>
        <v>#DIV/0!</v>
      </c>
      <c r="R130" s="162" t="e">
        <f t="shared" si="1075"/>
        <v>#DIV/0!</v>
      </c>
      <c r="S130" s="162" t="e">
        <f t="shared" si="1075"/>
        <v>#DIV/0!</v>
      </c>
      <c r="T130" s="162" t="e">
        <f t="shared" si="1075"/>
        <v>#DIV/0!</v>
      </c>
      <c r="U130" s="162" t="e">
        <f t="shared" si="1075"/>
        <v>#DIV/0!</v>
      </c>
      <c r="V130" s="162" t="e">
        <f t="shared" si="1075"/>
        <v>#DIV/0!</v>
      </c>
      <c r="W130" s="162" t="e">
        <f t="shared" si="1075"/>
        <v>#DIV/0!</v>
      </c>
      <c r="X130" s="162" t="e">
        <f t="shared" si="1075"/>
        <v>#DIV/0!</v>
      </c>
      <c r="Y130" s="162">
        <f t="shared" si="1075"/>
        <v>0</v>
      </c>
      <c r="Z130" s="162">
        <f t="shared" ref="Z130" si="1091">+Z105/Z$125</f>
        <v>11.503238912951819</v>
      </c>
      <c r="AA130" s="94">
        <f t="shared" si="1075"/>
        <v>8.6157084994356019</v>
      </c>
      <c r="AB130" s="94">
        <f t="shared" si="1075"/>
        <v>8.7630100725377957</v>
      </c>
      <c r="AC130" s="94">
        <f t="shared" si="1075"/>
        <v>9.0450021940920671</v>
      </c>
      <c r="AD130" s="94">
        <f t="shared" si="1075"/>
        <v>9.156372302586627</v>
      </c>
      <c r="AE130" s="94">
        <f t="shared" si="1075"/>
        <v>9.2480205611809065</v>
      </c>
      <c r="AL130" s="162" t="e">
        <f t="shared" ref="AL130:BQ130" si="1092">+AL105/AL125</f>
        <v>#DIV/0!</v>
      </c>
      <c r="AM130" s="162" t="e">
        <f t="shared" si="1092"/>
        <v>#DIV/0!</v>
      </c>
      <c r="AN130" s="162" t="e">
        <f t="shared" si="1092"/>
        <v>#DIV/0!</v>
      </c>
      <c r="AO130" s="162" t="e">
        <f t="shared" si="1092"/>
        <v>#DIV/0!</v>
      </c>
      <c r="AP130" s="162" t="e">
        <f t="shared" si="1092"/>
        <v>#DIV/0!</v>
      </c>
      <c r="AQ130" s="162" t="e">
        <f t="shared" si="1092"/>
        <v>#DIV/0!</v>
      </c>
      <c r="AR130" s="162" t="e">
        <f t="shared" si="1092"/>
        <v>#DIV/0!</v>
      </c>
      <c r="AS130" s="162" t="e">
        <f t="shared" si="1092"/>
        <v>#DIV/0!</v>
      </c>
      <c r="AT130" s="162" t="e">
        <f t="shared" si="1092"/>
        <v>#DIV/0!</v>
      </c>
      <c r="AU130" s="162" t="e">
        <f t="shared" si="1092"/>
        <v>#DIV/0!</v>
      </c>
      <c r="AV130" s="162" t="e">
        <f t="shared" si="1092"/>
        <v>#DIV/0!</v>
      </c>
      <c r="AW130" s="162" t="e">
        <f t="shared" si="1092"/>
        <v>#DIV/0!</v>
      </c>
      <c r="AX130" s="162" t="e">
        <f t="shared" si="1092"/>
        <v>#DIV/0!</v>
      </c>
      <c r="AY130" s="162" t="e">
        <f t="shared" si="1092"/>
        <v>#DIV/0!</v>
      </c>
      <c r="AZ130" s="162" t="e">
        <f t="shared" si="1092"/>
        <v>#DIV/0!</v>
      </c>
      <c r="BA130" s="162" t="e">
        <f t="shared" si="1092"/>
        <v>#DIV/0!</v>
      </c>
      <c r="BB130" s="162" t="e">
        <f t="shared" si="1092"/>
        <v>#DIV/0!</v>
      </c>
      <c r="BC130" s="162" t="e">
        <f t="shared" si="1092"/>
        <v>#DIV/0!</v>
      </c>
      <c r="BD130" s="162" t="e">
        <f t="shared" si="1092"/>
        <v>#DIV/0!</v>
      </c>
      <c r="BE130" s="162" t="e">
        <f t="shared" si="1092"/>
        <v>#DIV/0!</v>
      </c>
      <c r="BF130" s="162" t="e">
        <f t="shared" si="1092"/>
        <v>#DIV/0!</v>
      </c>
      <c r="BG130" s="162" t="e">
        <f t="shared" si="1092"/>
        <v>#DIV/0!</v>
      </c>
      <c r="BH130" s="162" t="e">
        <f t="shared" si="1092"/>
        <v>#DIV/0!</v>
      </c>
      <c r="BI130" s="162" t="e">
        <f t="shared" si="1092"/>
        <v>#DIV/0!</v>
      </c>
      <c r="BJ130" s="162" t="e">
        <f t="shared" si="1092"/>
        <v>#DIV/0!</v>
      </c>
      <c r="BK130" s="162" t="e">
        <f t="shared" si="1092"/>
        <v>#DIV/0!</v>
      </c>
      <c r="BL130" s="162" t="e">
        <f t="shared" si="1092"/>
        <v>#DIV/0!</v>
      </c>
      <c r="BM130" s="162" t="e">
        <f t="shared" si="1092"/>
        <v>#DIV/0!</v>
      </c>
      <c r="BN130" s="162" t="e">
        <f t="shared" si="1092"/>
        <v>#DIV/0!</v>
      </c>
      <c r="BO130" s="162" t="e">
        <f t="shared" si="1092"/>
        <v>#DIV/0!</v>
      </c>
      <c r="BP130" s="162" t="e">
        <f t="shared" si="1092"/>
        <v>#DIV/0!</v>
      </c>
      <c r="BQ130" s="162" t="e">
        <f t="shared" si="1092"/>
        <v>#DIV/0!</v>
      </c>
      <c r="BR130" s="162" t="e">
        <f t="shared" ref="BR130:CJ130" si="1093">+BR105/BR125</f>
        <v>#DIV/0!</v>
      </c>
      <c r="BS130" s="162" t="e">
        <f t="shared" si="1093"/>
        <v>#DIV/0!</v>
      </c>
      <c r="BT130" s="162" t="e">
        <f t="shared" si="1093"/>
        <v>#DIV/0!</v>
      </c>
      <c r="BU130" s="162" t="e">
        <f t="shared" si="1093"/>
        <v>#DIV/0!</v>
      </c>
      <c r="BV130" s="162" t="e">
        <f t="shared" si="1093"/>
        <v>#DIV/0!</v>
      </c>
      <c r="BW130" s="162" t="e">
        <f t="shared" si="1093"/>
        <v>#DIV/0!</v>
      </c>
      <c r="BX130" s="162" t="e">
        <f t="shared" si="1093"/>
        <v>#DIV/0!</v>
      </c>
      <c r="BY130" s="162" t="e">
        <f t="shared" si="1093"/>
        <v>#DIV/0!</v>
      </c>
      <c r="BZ130" s="162" t="e">
        <f t="shared" si="1093"/>
        <v>#DIV/0!</v>
      </c>
      <c r="CA130" s="162" t="e">
        <f t="shared" si="1093"/>
        <v>#DIV/0!</v>
      </c>
      <c r="CB130" s="162" t="e">
        <f t="shared" si="1093"/>
        <v>#DIV/0!</v>
      </c>
      <c r="CC130" s="162" t="e">
        <f t="shared" si="1093"/>
        <v>#DIV/0!</v>
      </c>
      <c r="CD130" s="162">
        <f t="shared" si="1093"/>
        <v>0</v>
      </c>
      <c r="CE130" s="162">
        <f t="shared" si="1093"/>
        <v>0</v>
      </c>
      <c r="CF130" s="162">
        <f t="shared" si="1093"/>
        <v>0</v>
      </c>
      <c r="CG130" s="162">
        <f t="shared" si="1093"/>
        <v>0</v>
      </c>
      <c r="CH130" s="162">
        <f t="shared" si="1093"/>
        <v>0</v>
      </c>
      <c r="CI130" s="162">
        <f t="shared" si="1093"/>
        <v>0</v>
      </c>
      <c r="CJ130" s="162">
        <f t="shared" si="1093"/>
        <v>13.077031188112487</v>
      </c>
      <c r="CK130" s="162">
        <f t="shared" ref="CK130" si="1094">+CK105/CK125</f>
        <v>10.981361684528084</v>
      </c>
      <c r="CL130" s="162">
        <f t="shared" ref="CL130" si="1095">+CL105/CL125</f>
        <v>8.5793664785410932</v>
      </c>
      <c r="CM130" s="94">
        <f t="shared" ref="CM130:DB130" si="1096">+CL130</f>
        <v>8.5793664785410932</v>
      </c>
      <c r="CN130" s="94">
        <f t="shared" si="1096"/>
        <v>8.5793664785410932</v>
      </c>
      <c r="CO130" s="94">
        <f t="shared" si="1096"/>
        <v>8.5793664785410932</v>
      </c>
      <c r="CP130" s="94">
        <f t="shared" si="1096"/>
        <v>8.5793664785410932</v>
      </c>
      <c r="CQ130" s="94">
        <f t="shared" si="1096"/>
        <v>8.5793664785410932</v>
      </c>
      <c r="CR130" s="94">
        <f t="shared" si="1096"/>
        <v>8.5793664785410932</v>
      </c>
      <c r="CS130" s="94">
        <f t="shared" si="1096"/>
        <v>8.5793664785410932</v>
      </c>
      <c r="CT130" s="94">
        <f t="shared" si="1096"/>
        <v>8.5793664785410932</v>
      </c>
      <c r="CU130" s="94">
        <f t="shared" si="1096"/>
        <v>8.5793664785410932</v>
      </c>
      <c r="CV130" s="94">
        <f t="shared" si="1096"/>
        <v>8.5793664785410932</v>
      </c>
      <c r="CW130" s="94">
        <f t="shared" si="1096"/>
        <v>8.5793664785410932</v>
      </c>
      <c r="CX130" s="94">
        <f t="shared" si="1096"/>
        <v>8.5793664785410932</v>
      </c>
      <c r="CY130" s="94">
        <f t="shared" si="1096"/>
        <v>8.5793664785410932</v>
      </c>
      <c r="CZ130" s="94">
        <f t="shared" si="1096"/>
        <v>8.5793664785410932</v>
      </c>
      <c r="DA130" s="94">
        <f t="shared" si="1096"/>
        <v>8.5793664785410932</v>
      </c>
      <c r="DB130" s="94">
        <f t="shared" si="1096"/>
        <v>8.5793664785410932</v>
      </c>
      <c r="DC130" s="94">
        <f t="shared" si="1089"/>
        <v>8.5793664785410932</v>
      </c>
      <c r="DD130" s="94">
        <f t="shared" si="1090"/>
        <v>8.5793664785410932</v>
      </c>
      <c r="DE130" s="163"/>
      <c r="DF130" s="162">
        <v>11.503238912951819</v>
      </c>
    </row>
    <row r="131" spans="1:110" s="4" customFormat="1" x14ac:dyDescent="0.2">
      <c r="A131" s="3"/>
      <c r="AA131" s="17"/>
      <c r="AB131" s="17"/>
      <c r="AC131" s="17"/>
      <c r="AD131" s="17"/>
      <c r="AE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19"/>
    </row>
    <row r="132" spans="1:110" s="4" customFormat="1" x14ac:dyDescent="0.2">
      <c r="A132" s="3"/>
      <c r="AA132" s="17"/>
      <c r="AB132" s="17"/>
      <c r="AC132" s="17"/>
      <c r="AD132" s="17"/>
      <c r="AE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19"/>
    </row>
    <row r="133" spans="1:110" s="161" customFormat="1" x14ac:dyDescent="0.2">
      <c r="A133" s="49" t="s">
        <v>340</v>
      </c>
      <c r="B133" s="161" t="e">
        <f t="shared" ref="B133:AE133" si="1097">+B104*B91</f>
        <v>#DIV/0!</v>
      </c>
      <c r="C133" s="161" t="e">
        <f t="shared" si="1097"/>
        <v>#DIV/0!</v>
      </c>
      <c r="D133" s="161" t="e">
        <f t="shared" si="1097"/>
        <v>#DIV/0!</v>
      </c>
      <c r="E133" s="161">
        <f t="shared" si="1097"/>
        <v>0</v>
      </c>
      <c r="F133" s="161">
        <f t="shared" si="1097"/>
        <v>0</v>
      </c>
      <c r="G133" s="161">
        <f t="shared" si="1097"/>
        <v>0</v>
      </c>
      <c r="H133" s="161">
        <f t="shared" si="1097"/>
        <v>0</v>
      </c>
      <c r="I133" s="161">
        <f t="shared" si="1097"/>
        <v>0</v>
      </c>
      <c r="J133" s="161">
        <f t="shared" si="1097"/>
        <v>0</v>
      </c>
      <c r="K133" s="161">
        <f t="shared" si="1097"/>
        <v>0</v>
      </c>
      <c r="L133" s="161">
        <f t="shared" si="1097"/>
        <v>0</v>
      </c>
      <c r="M133" s="161">
        <f t="shared" si="1097"/>
        <v>0</v>
      </c>
      <c r="N133" s="161">
        <f t="shared" si="1097"/>
        <v>0</v>
      </c>
      <c r="O133" s="161">
        <f t="shared" si="1097"/>
        <v>0</v>
      </c>
      <c r="P133" s="161">
        <f t="shared" si="1097"/>
        <v>0</v>
      </c>
      <c r="Q133" s="161">
        <f t="shared" si="1097"/>
        <v>0</v>
      </c>
      <c r="R133" s="161">
        <f t="shared" si="1097"/>
        <v>0</v>
      </c>
      <c r="S133" s="161">
        <f t="shared" si="1097"/>
        <v>0</v>
      </c>
      <c r="T133" s="161">
        <f t="shared" si="1097"/>
        <v>0</v>
      </c>
      <c r="U133" s="161">
        <f t="shared" si="1097"/>
        <v>0</v>
      </c>
      <c r="V133" s="161">
        <f t="shared" si="1097"/>
        <v>0</v>
      </c>
      <c r="W133" s="161">
        <f t="shared" si="1097"/>
        <v>0</v>
      </c>
      <c r="X133" s="161">
        <f t="shared" si="1097"/>
        <v>0</v>
      </c>
      <c r="Y133" s="161">
        <f t="shared" si="1097"/>
        <v>0</v>
      </c>
      <c r="Z133" s="161">
        <f t="shared" ref="Z133" si="1098">+Z104*Z91</f>
        <v>129014.40000000001</v>
      </c>
      <c r="AA133" s="21">
        <f t="shared" si="1097"/>
        <v>124096.66961791911</v>
      </c>
      <c r="AB133" s="21">
        <f t="shared" si="1097"/>
        <v>149634.52582207788</v>
      </c>
      <c r="AC133" s="21">
        <f t="shared" si="1097"/>
        <v>181372.86148210685</v>
      </c>
      <c r="AD133" s="21">
        <f t="shared" si="1097"/>
        <v>215200.3380042522</v>
      </c>
      <c r="AE133" s="21">
        <f t="shared" si="1097"/>
        <v>254727.35581925674</v>
      </c>
      <c r="AL133" s="161">
        <f t="shared" ref="AL133:BQ133" si="1099">+AL104*AL91</f>
        <v>0</v>
      </c>
      <c r="AM133" s="161">
        <f t="shared" si="1099"/>
        <v>0</v>
      </c>
      <c r="AN133" s="161">
        <f t="shared" si="1099"/>
        <v>0</v>
      </c>
      <c r="AO133" s="161">
        <f t="shared" si="1099"/>
        <v>0</v>
      </c>
      <c r="AP133" s="161">
        <f t="shared" si="1099"/>
        <v>0</v>
      </c>
      <c r="AQ133" s="161">
        <f t="shared" si="1099"/>
        <v>0</v>
      </c>
      <c r="AR133" s="161">
        <f t="shared" si="1099"/>
        <v>0</v>
      </c>
      <c r="AS133" s="161">
        <f t="shared" si="1099"/>
        <v>0</v>
      </c>
      <c r="AT133" s="161">
        <f t="shared" si="1099"/>
        <v>0</v>
      </c>
      <c r="AU133" s="161">
        <f t="shared" si="1099"/>
        <v>0</v>
      </c>
      <c r="AV133" s="161">
        <f t="shared" si="1099"/>
        <v>0</v>
      </c>
      <c r="AW133" s="161">
        <f t="shared" si="1099"/>
        <v>0</v>
      </c>
      <c r="AX133" s="161">
        <f t="shared" si="1099"/>
        <v>0</v>
      </c>
      <c r="AY133" s="161">
        <f t="shared" si="1099"/>
        <v>0</v>
      </c>
      <c r="AZ133" s="161">
        <f t="shared" si="1099"/>
        <v>0</v>
      </c>
      <c r="BA133" s="161">
        <f t="shared" si="1099"/>
        <v>0</v>
      </c>
      <c r="BB133" s="161">
        <f t="shared" si="1099"/>
        <v>0</v>
      </c>
      <c r="BC133" s="161">
        <f t="shared" si="1099"/>
        <v>0</v>
      </c>
      <c r="BD133" s="161">
        <f t="shared" si="1099"/>
        <v>0</v>
      </c>
      <c r="BE133" s="161">
        <f t="shared" si="1099"/>
        <v>0</v>
      </c>
      <c r="BF133" s="161">
        <f t="shared" si="1099"/>
        <v>0</v>
      </c>
      <c r="BG133" s="161">
        <f t="shared" si="1099"/>
        <v>0</v>
      </c>
      <c r="BH133" s="161">
        <f t="shared" si="1099"/>
        <v>0</v>
      </c>
      <c r="BI133" s="161">
        <f t="shared" si="1099"/>
        <v>0</v>
      </c>
      <c r="BJ133" s="161">
        <f t="shared" si="1099"/>
        <v>0</v>
      </c>
      <c r="BK133" s="161">
        <f t="shared" si="1099"/>
        <v>0</v>
      </c>
      <c r="BL133" s="161">
        <f t="shared" si="1099"/>
        <v>0</v>
      </c>
      <c r="BM133" s="161">
        <f t="shared" si="1099"/>
        <v>0</v>
      </c>
      <c r="BN133" s="161">
        <f t="shared" si="1099"/>
        <v>0</v>
      </c>
      <c r="BO133" s="161">
        <f t="shared" si="1099"/>
        <v>0</v>
      </c>
      <c r="BP133" s="161">
        <f t="shared" si="1099"/>
        <v>0</v>
      </c>
      <c r="BQ133" s="161">
        <f t="shared" si="1099"/>
        <v>0</v>
      </c>
      <c r="BR133" s="161">
        <f t="shared" ref="BR133:CJ133" si="1100">+BR104*BR91</f>
        <v>0</v>
      </c>
      <c r="BS133" s="161">
        <f t="shared" si="1100"/>
        <v>0</v>
      </c>
      <c r="BT133" s="161">
        <f t="shared" si="1100"/>
        <v>0</v>
      </c>
      <c r="BU133" s="161">
        <f t="shared" si="1100"/>
        <v>0</v>
      </c>
      <c r="BV133" s="161">
        <f t="shared" si="1100"/>
        <v>0</v>
      </c>
      <c r="BW133" s="161">
        <f t="shared" si="1100"/>
        <v>0</v>
      </c>
      <c r="BX133" s="161">
        <f t="shared" si="1100"/>
        <v>0</v>
      </c>
      <c r="BY133" s="161">
        <f t="shared" si="1100"/>
        <v>0</v>
      </c>
      <c r="BZ133" s="161">
        <f t="shared" si="1100"/>
        <v>0</v>
      </c>
      <c r="CA133" s="161">
        <f t="shared" si="1100"/>
        <v>0</v>
      </c>
      <c r="CB133" s="161">
        <f t="shared" si="1100"/>
        <v>0</v>
      </c>
      <c r="CC133" s="161">
        <f t="shared" si="1100"/>
        <v>0</v>
      </c>
      <c r="CD133" s="161">
        <f t="shared" si="1100"/>
        <v>0</v>
      </c>
      <c r="CE133" s="161">
        <f t="shared" si="1100"/>
        <v>0</v>
      </c>
      <c r="CF133" s="161">
        <f t="shared" si="1100"/>
        <v>0</v>
      </c>
      <c r="CG133" s="161">
        <f t="shared" si="1100"/>
        <v>0</v>
      </c>
      <c r="CH133" s="161">
        <f t="shared" si="1100"/>
        <v>0</v>
      </c>
      <c r="CI133" s="161">
        <f t="shared" si="1100"/>
        <v>106728.8</v>
      </c>
      <c r="CJ133" s="161">
        <f t="shared" si="1100"/>
        <v>129014.40000000001</v>
      </c>
      <c r="CK133" s="161">
        <f t="shared" ref="CK133" si="1101">+CK104*CK91</f>
        <v>122725.66</v>
      </c>
      <c r="CL133" s="161">
        <f t="shared" ref="CL133" si="1102">+CL104*CL91</f>
        <v>107563.62</v>
      </c>
      <c r="CM133" s="21">
        <f t="shared" ref="CM133:DB133" si="1103">+CM104*CM91</f>
        <v>113498.61342266352</v>
      </c>
      <c r="CN133" s="21">
        <f t="shared" si="1103"/>
        <v>124096.66961791911</v>
      </c>
      <c r="CO133" s="21">
        <f t="shared" si="1103"/>
        <v>127244.37236351096</v>
      </c>
      <c r="CP133" s="21">
        <f t="shared" si="1103"/>
        <v>136035.85929619439</v>
      </c>
      <c r="CQ133" s="21">
        <f t="shared" si="1103"/>
        <v>141492.79299197404</v>
      </c>
      <c r="CR133" s="21">
        <f t="shared" si="1103"/>
        <v>149634.52582207788</v>
      </c>
      <c r="CS133" s="21">
        <f t="shared" si="1103"/>
        <v>155734.84226416738</v>
      </c>
      <c r="CT133" s="21">
        <f t="shared" si="1103"/>
        <v>163885.30668812833</v>
      </c>
      <c r="CU133" s="21">
        <f t="shared" si="1103"/>
        <v>171186.0817915416</v>
      </c>
      <c r="CV133" s="21">
        <f t="shared" si="1103"/>
        <v>181372.86148210685</v>
      </c>
      <c r="CW133" s="21">
        <f t="shared" si="1103"/>
        <v>189023.94464267493</v>
      </c>
      <c r="CX133" s="21">
        <f t="shared" si="1103"/>
        <v>198015.97056299253</v>
      </c>
      <c r="CY133" s="21">
        <f t="shared" si="1103"/>
        <v>205365.20270479599</v>
      </c>
      <c r="CZ133" s="21">
        <f t="shared" si="1103"/>
        <v>215200.3380042522</v>
      </c>
      <c r="DA133" s="21">
        <f t="shared" si="1103"/>
        <v>223902.91094868197</v>
      </c>
      <c r="DB133" s="21">
        <f t="shared" si="1103"/>
        <v>234100.754016077</v>
      </c>
      <c r="DC133" s="21">
        <f t="shared" ref="DC133:DD133" si="1104">+DC104*DC91</f>
        <v>242711.09492042891</v>
      </c>
      <c r="DD133" s="21">
        <f t="shared" si="1104"/>
        <v>254727.35581925674</v>
      </c>
      <c r="DE133" s="22"/>
      <c r="DF133" s="161">
        <v>129014.40000000001</v>
      </c>
    </row>
    <row r="134" spans="1:110" s="161" customFormat="1" x14ac:dyDescent="0.2">
      <c r="A134" s="49" t="s">
        <v>341</v>
      </c>
      <c r="B134" s="161" t="e">
        <f t="shared" ref="B134:AE134" si="1105">+B105*B91</f>
        <v>#DIV/0!</v>
      </c>
      <c r="C134" s="161" t="e">
        <f t="shared" si="1105"/>
        <v>#DIV/0!</v>
      </c>
      <c r="D134" s="161" t="e">
        <f t="shared" si="1105"/>
        <v>#DIV/0!</v>
      </c>
      <c r="E134" s="161">
        <f t="shared" si="1105"/>
        <v>0</v>
      </c>
      <c r="F134" s="161">
        <f t="shared" si="1105"/>
        <v>0</v>
      </c>
      <c r="G134" s="161">
        <f t="shared" si="1105"/>
        <v>0</v>
      </c>
      <c r="H134" s="161">
        <f t="shared" si="1105"/>
        <v>0</v>
      </c>
      <c r="I134" s="161">
        <f t="shared" si="1105"/>
        <v>0</v>
      </c>
      <c r="J134" s="161">
        <f t="shared" si="1105"/>
        <v>0</v>
      </c>
      <c r="K134" s="161">
        <f t="shared" si="1105"/>
        <v>0</v>
      </c>
      <c r="L134" s="161">
        <f t="shared" si="1105"/>
        <v>0</v>
      </c>
      <c r="M134" s="161">
        <f t="shared" si="1105"/>
        <v>0</v>
      </c>
      <c r="N134" s="161">
        <f t="shared" si="1105"/>
        <v>0</v>
      </c>
      <c r="O134" s="161">
        <f t="shared" si="1105"/>
        <v>0</v>
      </c>
      <c r="P134" s="161">
        <f t="shared" si="1105"/>
        <v>0</v>
      </c>
      <c r="Q134" s="161">
        <f t="shared" si="1105"/>
        <v>0</v>
      </c>
      <c r="R134" s="161">
        <f t="shared" si="1105"/>
        <v>0</v>
      </c>
      <c r="S134" s="161">
        <f t="shared" si="1105"/>
        <v>0</v>
      </c>
      <c r="T134" s="161">
        <f t="shared" si="1105"/>
        <v>0</v>
      </c>
      <c r="U134" s="161">
        <f t="shared" si="1105"/>
        <v>0</v>
      </c>
      <c r="V134" s="161">
        <f t="shared" si="1105"/>
        <v>0</v>
      </c>
      <c r="W134" s="161">
        <f t="shared" si="1105"/>
        <v>0</v>
      </c>
      <c r="X134" s="161">
        <f t="shared" si="1105"/>
        <v>0</v>
      </c>
      <c r="Y134" s="161">
        <f t="shared" si="1105"/>
        <v>0</v>
      </c>
      <c r="Z134" s="161">
        <f t="shared" ref="Z134" si="1106">+Z105*Z91</f>
        <v>90032.400000000009</v>
      </c>
      <c r="AA134" s="21">
        <f t="shared" si="1105"/>
        <v>86462.494512953184</v>
      </c>
      <c r="AB134" s="21">
        <f t="shared" si="1105"/>
        <v>104255.61304484511</v>
      </c>
      <c r="AC134" s="21">
        <f t="shared" si="1105"/>
        <v>126368.82270070903</v>
      </c>
      <c r="AD134" s="21">
        <f t="shared" si="1105"/>
        <v>149937.60993882129</v>
      </c>
      <c r="AE134" s="21">
        <f t="shared" si="1105"/>
        <v>177477.46714422162</v>
      </c>
      <c r="AL134" s="161">
        <f t="shared" ref="AL134:BQ134" si="1107">+AL105*AL91</f>
        <v>0</v>
      </c>
      <c r="AM134" s="161">
        <f t="shared" si="1107"/>
        <v>0</v>
      </c>
      <c r="AN134" s="161">
        <f t="shared" si="1107"/>
        <v>0</v>
      </c>
      <c r="AO134" s="161">
        <f t="shared" si="1107"/>
        <v>0</v>
      </c>
      <c r="AP134" s="161">
        <f t="shared" si="1107"/>
        <v>0</v>
      </c>
      <c r="AQ134" s="161">
        <f t="shared" si="1107"/>
        <v>0</v>
      </c>
      <c r="AR134" s="161">
        <f t="shared" si="1107"/>
        <v>0</v>
      </c>
      <c r="AS134" s="161">
        <f t="shared" si="1107"/>
        <v>0</v>
      </c>
      <c r="AT134" s="161">
        <f t="shared" si="1107"/>
        <v>0</v>
      </c>
      <c r="AU134" s="161">
        <f t="shared" si="1107"/>
        <v>0</v>
      </c>
      <c r="AV134" s="161">
        <f t="shared" si="1107"/>
        <v>0</v>
      </c>
      <c r="AW134" s="161">
        <f t="shared" si="1107"/>
        <v>0</v>
      </c>
      <c r="AX134" s="161">
        <f t="shared" si="1107"/>
        <v>0</v>
      </c>
      <c r="AY134" s="161">
        <f t="shared" si="1107"/>
        <v>0</v>
      </c>
      <c r="AZ134" s="161">
        <f t="shared" si="1107"/>
        <v>0</v>
      </c>
      <c r="BA134" s="161">
        <f t="shared" si="1107"/>
        <v>0</v>
      </c>
      <c r="BB134" s="161">
        <f t="shared" si="1107"/>
        <v>0</v>
      </c>
      <c r="BC134" s="161">
        <f t="shared" si="1107"/>
        <v>0</v>
      </c>
      <c r="BD134" s="161">
        <f t="shared" si="1107"/>
        <v>0</v>
      </c>
      <c r="BE134" s="161">
        <f t="shared" si="1107"/>
        <v>0</v>
      </c>
      <c r="BF134" s="161">
        <f t="shared" si="1107"/>
        <v>0</v>
      </c>
      <c r="BG134" s="161">
        <f t="shared" si="1107"/>
        <v>0</v>
      </c>
      <c r="BH134" s="161">
        <f t="shared" si="1107"/>
        <v>0</v>
      </c>
      <c r="BI134" s="161">
        <f t="shared" si="1107"/>
        <v>0</v>
      </c>
      <c r="BJ134" s="161">
        <f t="shared" si="1107"/>
        <v>0</v>
      </c>
      <c r="BK134" s="161">
        <f t="shared" si="1107"/>
        <v>0</v>
      </c>
      <c r="BL134" s="161">
        <f t="shared" si="1107"/>
        <v>0</v>
      </c>
      <c r="BM134" s="161">
        <f t="shared" si="1107"/>
        <v>0</v>
      </c>
      <c r="BN134" s="161">
        <f t="shared" si="1107"/>
        <v>0</v>
      </c>
      <c r="BO134" s="161">
        <f t="shared" si="1107"/>
        <v>0</v>
      </c>
      <c r="BP134" s="161">
        <f t="shared" si="1107"/>
        <v>0</v>
      </c>
      <c r="BQ134" s="161">
        <f t="shared" si="1107"/>
        <v>0</v>
      </c>
      <c r="BR134" s="161">
        <f t="shared" ref="BR134:CJ134" si="1108">+BR105*BR91</f>
        <v>0</v>
      </c>
      <c r="BS134" s="161">
        <f t="shared" si="1108"/>
        <v>0</v>
      </c>
      <c r="BT134" s="161">
        <f t="shared" si="1108"/>
        <v>0</v>
      </c>
      <c r="BU134" s="161">
        <f t="shared" si="1108"/>
        <v>0</v>
      </c>
      <c r="BV134" s="161">
        <f t="shared" si="1108"/>
        <v>0</v>
      </c>
      <c r="BW134" s="161">
        <f t="shared" si="1108"/>
        <v>0</v>
      </c>
      <c r="BX134" s="161">
        <f t="shared" si="1108"/>
        <v>0</v>
      </c>
      <c r="BY134" s="161">
        <f t="shared" si="1108"/>
        <v>0</v>
      </c>
      <c r="BZ134" s="161">
        <f t="shared" si="1108"/>
        <v>0</v>
      </c>
      <c r="CA134" s="161">
        <f t="shared" si="1108"/>
        <v>0</v>
      </c>
      <c r="CB134" s="161">
        <f t="shared" si="1108"/>
        <v>0</v>
      </c>
      <c r="CC134" s="161">
        <f t="shared" si="1108"/>
        <v>0</v>
      </c>
      <c r="CD134" s="161">
        <f t="shared" si="1108"/>
        <v>0</v>
      </c>
      <c r="CE134" s="161">
        <f t="shared" si="1108"/>
        <v>0</v>
      </c>
      <c r="CF134" s="161">
        <f t="shared" si="1108"/>
        <v>0</v>
      </c>
      <c r="CG134" s="161">
        <f t="shared" si="1108"/>
        <v>0</v>
      </c>
      <c r="CH134" s="161">
        <f t="shared" si="1108"/>
        <v>0</v>
      </c>
      <c r="CI134" s="161">
        <f t="shared" si="1108"/>
        <v>0</v>
      </c>
      <c r="CJ134" s="161">
        <f t="shared" si="1108"/>
        <v>102350</v>
      </c>
      <c r="CK134" s="161">
        <f t="shared" ref="CK134" si="1109">+CK105*CK91</f>
        <v>90274.48000000001</v>
      </c>
      <c r="CL134" s="161">
        <f t="shared" ref="CL134" si="1110">+CL105*CL91</f>
        <v>74943.340000000011</v>
      </c>
      <c r="CM134" s="21">
        <f t="shared" ref="CM134:DB134" si="1111">+CM105*CM91</f>
        <v>79078.457709616298</v>
      </c>
      <c r="CN134" s="21">
        <f t="shared" si="1111"/>
        <v>86462.494512953184</v>
      </c>
      <c r="CO134" s="21">
        <f t="shared" si="1111"/>
        <v>88655.609221084291</v>
      </c>
      <c r="CP134" s="21">
        <f t="shared" si="1111"/>
        <v>94780.945968784406</v>
      </c>
      <c r="CQ134" s="21">
        <f t="shared" si="1111"/>
        <v>98582.982729171141</v>
      </c>
      <c r="CR134" s="21">
        <f t="shared" si="1111"/>
        <v>104255.61304484511</v>
      </c>
      <c r="CS134" s="21">
        <f t="shared" si="1111"/>
        <v>108505.91709027519</v>
      </c>
      <c r="CT134" s="21">
        <f t="shared" si="1111"/>
        <v>114184.63101309417</v>
      </c>
      <c r="CU134" s="21">
        <f t="shared" si="1111"/>
        <v>119271.3366375296</v>
      </c>
      <c r="CV134" s="21">
        <f t="shared" si="1111"/>
        <v>126368.82270070903</v>
      </c>
      <c r="CW134" s="21">
        <f t="shared" si="1111"/>
        <v>131699.60021331717</v>
      </c>
      <c r="CX134" s="21">
        <f t="shared" si="1111"/>
        <v>137964.65949483981</v>
      </c>
      <c r="CY134" s="21">
        <f t="shared" si="1111"/>
        <v>143085.12683446732</v>
      </c>
      <c r="CZ134" s="21">
        <f t="shared" si="1111"/>
        <v>149937.60993882129</v>
      </c>
      <c r="DA134" s="21">
        <f t="shared" si="1111"/>
        <v>156000.99719790759</v>
      </c>
      <c r="DB134" s="21">
        <f t="shared" si="1111"/>
        <v>163106.19150306791</v>
      </c>
      <c r="DC134" s="21">
        <f t="shared" ref="DC134:DD134" si="1112">+DC105*DC91</f>
        <v>169105.31747066509</v>
      </c>
      <c r="DD134" s="21">
        <f t="shared" si="1112"/>
        <v>177477.46714422162</v>
      </c>
      <c r="DE134" s="22"/>
      <c r="DF134" s="161">
        <v>90032.400000000009</v>
      </c>
    </row>
    <row r="135" spans="1:110" s="161" customFormat="1" x14ac:dyDescent="0.2">
      <c r="A135" s="49" t="s">
        <v>80</v>
      </c>
      <c r="B135" s="161">
        <f>+B194</f>
        <v>0</v>
      </c>
      <c r="C135" s="161">
        <f t="shared" ref="C135:W135" si="1113">+C194</f>
        <v>0</v>
      </c>
      <c r="D135" s="161">
        <f t="shared" si="1113"/>
        <v>0</v>
      </c>
      <c r="E135" s="161">
        <f t="shared" si="1113"/>
        <v>0</v>
      </c>
      <c r="F135" s="161">
        <f t="shared" si="1113"/>
        <v>0</v>
      </c>
      <c r="G135" s="161">
        <f t="shared" si="1113"/>
        <v>0</v>
      </c>
      <c r="H135" s="161">
        <f t="shared" si="1113"/>
        <v>0</v>
      </c>
      <c r="I135" s="161">
        <f t="shared" si="1113"/>
        <v>0</v>
      </c>
      <c r="J135" s="161">
        <f t="shared" si="1113"/>
        <v>0</v>
      </c>
      <c r="K135" s="161">
        <f t="shared" si="1113"/>
        <v>0</v>
      </c>
      <c r="L135" s="161">
        <f t="shared" si="1113"/>
        <v>0</v>
      </c>
      <c r="M135" s="161">
        <f t="shared" si="1113"/>
        <v>0</v>
      </c>
      <c r="N135" s="161">
        <f t="shared" si="1113"/>
        <v>0</v>
      </c>
      <c r="O135" s="161">
        <f t="shared" si="1113"/>
        <v>0</v>
      </c>
      <c r="P135" s="161">
        <f t="shared" si="1113"/>
        <v>0</v>
      </c>
      <c r="Q135" s="161">
        <f t="shared" si="1113"/>
        <v>0</v>
      </c>
      <c r="R135" s="161">
        <f t="shared" si="1113"/>
        <v>0</v>
      </c>
      <c r="S135" s="161">
        <f t="shared" si="1113"/>
        <v>0</v>
      </c>
      <c r="T135" s="161">
        <f t="shared" si="1113"/>
        <v>0</v>
      </c>
      <c r="U135" s="161">
        <f t="shared" si="1113"/>
        <v>0</v>
      </c>
      <c r="V135" s="161">
        <f t="shared" si="1113"/>
        <v>0</v>
      </c>
      <c r="W135" s="161">
        <f t="shared" si="1113"/>
        <v>0</v>
      </c>
      <c r="X135" s="161">
        <f t="shared" ref="X135:Y135" si="1114">+X194</f>
        <v>0</v>
      </c>
      <c r="Y135" s="161">
        <f t="shared" si="1114"/>
        <v>0</v>
      </c>
      <c r="Z135" s="161">
        <f t="shared" ref="Z135" si="1115">+Z194</f>
        <v>-3462</v>
      </c>
      <c r="AA135" s="21">
        <f t="shared" ref="AA135:AD135" si="1116">+AA194</f>
        <v>-3679.719862632709</v>
      </c>
      <c r="AB135" s="21">
        <f t="shared" si="1116"/>
        <v>-5164.9626319044391</v>
      </c>
      <c r="AC135" s="21">
        <f t="shared" si="1116"/>
        <v>-7047.0269538256071</v>
      </c>
      <c r="AD135" s="21">
        <f t="shared" si="1116"/>
        <v>-9383.2761813089128</v>
      </c>
      <c r="AE135" s="21">
        <f t="shared" ref="AE135" si="1117">+AE194</f>
        <v>-12223.648362805592</v>
      </c>
      <c r="AL135" s="161">
        <f t="shared" ref="AL135:AM135" si="1118">+AL194</f>
        <v>0</v>
      </c>
      <c r="AM135" s="161" t="e">
        <f t="shared" si="1118"/>
        <v>#DIV/0!</v>
      </c>
      <c r="AN135" s="161">
        <f t="shared" ref="AN135:AO135" si="1119">+AN194</f>
        <v>0</v>
      </c>
      <c r="AO135" s="161" t="e">
        <f t="shared" si="1119"/>
        <v>#DIV/0!</v>
      </c>
      <c r="AP135" s="161">
        <f t="shared" ref="AP135:CD135" si="1120">+AP194</f>
        <v>0</v>
      </c>
      <c r="AQ135" s="161" t="e">
        <f t="shared" si="1120"/>
        <v>#DIV/0!</v>
      </c>
      <c r="AR135" s="161">
        <f t="shared" si="1120"/>
        <v>0</v>
      </c>
      <c r="AS135" s="161" t="e">
        <f t="shared" si="1120"/>
        <v>#DIV/0!</v>
      </c>
      <c r="AT135" s="161">
        <f t="shared" si="1120"/>
        <v>0</v>
      </c>
      <c r="AU135" s="161" t="e">
        <f t="shared" si="1120"/>
        <v>#DIV/0!</v>
      </c>
      <c r="AV135" s="161">
        <f t="shared" si="1120"/>
        <v>0</v>
      </c>
      <c r="AW135" s="161" t="e">
        <f t="shared" si="1120"/>
        <v>#DIV/0!</v>
      </c>
      <c r="AX135" s="161">
        <f t="shared" si="1120"/>
        <v>0</v>
      </c>
      <c r="AY135" s="161" t="e">
        <f t="shared" si="1120"/>
        <v>#DIV/0!</v>
      </c>
      <c r="AZ135" s="161">
        <f t="shared" si="1120"/>
        <v>0</v>
      </c>
      <c r="BA135" s="161" t="e">
        <f t="shared" si="1120"/>
        <v>#DIV/0!</v>
      </c>
      <c r="BB135" s="161">
        <f t="shared" si="1120"/>
        <v>0</v>
      </c>
      <c r="BC135" s="161" t="e">
        <f t="shared" si="1120"/>
        <v>#DIV/0!</v>
      </c>
      <c r="BD135" s="161">
        <f t="shared" si="1120"/>
        <v>0</v>
      </c>
      <c r="BE135" s="161" t="e">
        <f t="shared" si="1120"/>
        <v>#DIV/0!</v>
      </c>
      <c r="BF135" s="161">
        <f t="shared" si="1120"/>
        <v>0</v>
      </c>
      <c r="BG135" s="161" t="e">
        <f t="shared" si="1120"/>
        <v>#DIV/0!</v>
      </c>
      <c r="BH135" s="161">
        <f t="shared" si="1120"/>
        <v>0</v>
      </c>
      <c r="BI135" s="161" t="e">
        <f t="shared" si="1120"/>
        <v>#DIV/0!</v>
      </c>
      <c r="BJ135" s="161">
        <f t="shared" si="1120"/>
        <v>0</v>
      </c>
      <c r="BK135" s="161" t="e">
        <f t="shared" si="1120"/>
        <v>#DIV/0!</v>
      </c>
      <c r="BL135" s="161">
        <f t="shared" si="1120"/>
        <v>0</v>
      </c>
      <c r="BM135" s="161" t="e">
        <f t="shared" si="1120"/>
        <v>#DIV/0!</v>
      </c>
      <c r="BN135" s="161">
        <f t="shared" si="1120"/>
        <v>0</v>
      </c>
      <c r="BO135" s="161" t="e">
        <f t="shared" si="1120"/>
        <v>#DIV/0!</v>
      </c>
      <c r="BP135" s="161">
        <f t="shared" si="1120"/>
        <v>0</v>
      </c>
      <c r="BQ135" s="161" t="e">
        <f t="shared" si="1120"/>
        <v>#DIV/0!</v>
      </c>
      <c r="BR135" s="161">
        <f t="shared" si="1120"/>
        <v>0</v>
      </c>
      <c r="BS135" s="161" t="e">
        <f t="shared" si="1120"/>
        <v>#DIV/0!</v>
      </c>
      <c r="BT135" s="161">
        <f t="shared" si="1120"/>
        <v>0</v>
      </c>
      <c r="BU135" s="161" t="e">
        <f t="shared" si="1120"/>
        <v>#DIV/0!</v>
      </c>
      <c r="BV135" s="161">
        <f t="shared" si="1120"/>
        <v>0</v>
      </c>
      <c r="BW135" s="161" t="e">
        <f t="shared" si="1120"/>
        <v>#DIV/0!</v>
      </c>
      <c r="BX135" s="161">
        <f t="shared" si="1120"/>
        <v>0</v>
      </c>
      <c r="BY135" s="161" t="e">
        <f t="shared" si="1120"/>
        <v>#DIV/0!</v>
      </c>
      <c r="BZ135" s="161">
        <f t="shared" si="1120"/>
        <v>0</v>
      </c>
      <c r="CA135" s="161" t="e">
        <f t="shared" si="1120"/>
        <v>#DIV/0!</v>
      </c>
      <c r="CB135" s="161">
        <f t="shared" si="1120"/>
        <v>0</v>
      </c>
      <c r="CC135" s="161" t="e">
        <f t="shared" si="1120"/>
        <v>#DIV/0!</v>
      </c>
      <c r="CD135" s="161">
        <f t="shared" si="1120"/>
        <v>0</v>
      </c>
      <c r="CE135" s="161">
        <f t="shared" ref="CE135:CF135" si="1121">+CE194</f>
        <v>-145.80000000000007</v>
      </c>
      <c r="CF135" s="161">
        <f t="shared" si="1121"/>
        <v>0</v>
      </c>
      <c r="CG135" s="161">
        <f t="shared" ref="CG135:CH135" si="1122">+CG194</f>
        <v>-476.94334712334177</v>
      </c>
      <c r="CH135" s="161">
        <f t="shared" si="1122"/>
        <v>-3462</v>
      </c>
      <c r="CI135" s="161">
        <f t="shared" ref="CI135:CJ135" si="1123">+CI194</f>
        <v>-3756.192689545092</v>
      </c>
      <c r="CJ135" s="161">
        <f t="shared" si="1123"/>
        <v>-3462</v>
      </c>
      <c r="CK135" s="161">
        <f t="shared" ref="CK135" si="1124">+CK194</f>
        <v>-3770.5510526514727</v>
      </c>
      <c r="CL135" s="161">
        <f t="shared" ref="CL135" si="1125">+CL194</f>
        <v>-3295</v>
      </c>
      <c r="CM135" s="21">
        <f t="shared" ref="CM135:DB135" si="1126">+CM194</f>
        <v>-3590.2428817908276</v>
      </c>
      <c r="CN135" s="21">
        <f t="shared" si="1126"/>
        <v>-3679.719862632709</v>
      </c>
      <c r="CO135" s="21">
        <f t="shared" si="1126"/>
        <v>-4292.1569749691262</v>
      </c>
      <c r="CP135" s="21">
        <f t="shared" si="1126"/>
        <v>-4509.6765752582387</v>
      </c>
      <c r="CQ135" s="21">
        <f t="shared" si="1126"/>
        <v>-5003.9477093075202</v>
      </c>
      <c r="CR135" s="21">
        <f t="shared" si="1126"/>
        <v>-5164.9626319044391</v>
      </c>
      <c r="CS135" s="21">
        <f t="shared" si="1126"/>
        <v>-5839.4178314254423</v>
      </c>
      <c r="CT135" s="21">
        <f t="shared" si="1126"/>
        <v>-6160.6770687640383</v>
      </c>
      <c r="CU135" s="21">
        <f t="shared" si="1126"/>
        <v>-6805.9781504486336</v>
      </c>
      <c r="CV135" s="21">
        <f t="shared" si="1126"/>
        <v>-7047.0269538256071</v>
      </c>
      <c r="CW135" s="21">
        <f t="shared" si="1126"/>
        <v>-7871.4672369446962</v>
      </c>
      <c r="CX135" s="21">
        <f t="shared" si="1126"/>
        <v>-8291.773836939994</v>
      </c>
      <c r="CY135" s="21">
        <f t="shared" si="1126"/>
        <v>-9079.2274217711711</v>
      </c>
      <c r="CZ135" s="21">
        <f t="shared" si="1126"/>
        <v>-9383.2761813089128</v>
      </c>
      <c r="DA135" s="21">
        <f t="shared" si="1126"/>
        <v>-10375.527632987996</v>
      </c>
      <c r="DB135" s="21">
        <f t="shared" si="1126"/>
        <v>-10898.124397024067</v>
      </c>
      <c r="DC135" s="21">
        <f t="shared" ref="DC135:DD135" si="1127">+DC194</f>
        <v>-11844.196847081575</v>
      </c>
      <c r="DD135" s="21">
        <f t="shared" si="1127"/>
        <v>-12223.648362805592</v>
      </c>
      <c r="DE135" s="22"/>
      <c r="DF135" s="161">
        <v>-3462</v>
      </c>
    </row>
    <row r="136" spans="1:110" s="161" customFormat="1" x14ac:dyDescent="0.2">
      <c r="A136" s="49" t="s">
        <v>342</v>
      </c>
      <c r="B136" s="161" t="e">
        <f>+B133+B135</f>
        <v>#DIV/0!</v>
      </c>
      <c r="C136" s="161" t="e">
        <f t="shared" ref="C136:W136" si="1128">+C133+C135</f>
        <v>#DIV/0!</v>
      </c>
      <c r="D136" s="161" t="e">
        <f t="shared" si="1128"/>
        <v>#DIV/0!</v>
      </c>
      <c r="E136" s="161">
        <f t="shared" si="1128"/>
        <v>0</v>
      </c>
      <c r="F136" s="161">
        <f t="shared" si="1128"/>
        <v>0</v>
      </c>
      <c r="G136" s="161">
        <f t="shared" si="1128"/>
        <v>0</v>
      </c>
      <c r="H136" s="161">
        <f t="shared" si="1128"/>
        <v>0</v>
      </c>
      <c r="I136" s="161">
        <f t="shared" si="1128"/>
        <v>0</v>
      </c>
      <c r="J136" s="161">
        <f t="shared" si="1128"/>
        <v>0</v>
      </c>
      <c r="K136" s="161">
        <f t="shared" si="1128"/>
        <v>0</v>
      </c>
      <c r="L136" s="161">
        <f t="shared" si="1128"/>
        <v>0</v>
      </c>
      <c r="M136" s="161">
        <f t="shared" si="1128"/>
        <v>0</v>
      </c>
      <c r="N136" s="161">
        <f t="shared" si="1128"/>
        <v>0</v>
      </c>
      <c r="O136" s="161">
        <f t="shared" si="1128"/>
        <v>0</v>
      </c>
      <c r="P136" s="161">
        <f t="shared" si="1128"/>
        <v>0</v>
      </c>
      <c r="Q136" s="161">
        <f t="shared" si="1128"/>
        <v>0</v>
      </c>
      <c r="R136" s="161">
        <f t="shared" si="1128"/>
        <v>0</v>
      </c>
      <c r="S136" s="161">
        <f t="shared" si="1128"/>
        <v>0</v>
      </c>
      <c r="T136" s="161">
        <f t="shared" si="1128"/>
        <v>0</v>
      </c>
      <c r="U136" s="161">
        <f t="shared" si="1128"/>
        <v>0</v>
      </c>
      <c r="V136" s="161">
        <f t="shared" si="1128"/>
        <v>0</v>
      </c>
      <c r="W136" s="161">
        <f t="shared" si="1128"/>
        <v>0</v>
      </c>
      <c r="X136" s="161">
        <f t="shared" ref="X136:Y136" si="1129">+X133+X135</f>
        <v>0</v>
      </c>
      <c r="Y136" s="161">
        <f t="shared" si="1129"/>
        <v>0</v>
      </c>
      <c r="Z136" s="161">
        <f t="shared" ref="Z136" si="1130">+Z133+Z135</f>
        <v>125552.40000000001</v>
      </c>
      <c r="AA136" s="21">
        <f t="shared" ref="AA136:AD136" si="1131">+AA133+AA135</f>
        <v>120416.94975528639</v>
      </c>
      <c r="AB136" s="21">
        <f t="shared" si="1131"/>
        <v>144469.56319017345</v>
      </c>
      <c r="AC136" s="21">
        <f t="shared" si="1131"/>
        <v>174325.83452828124</v>
      </c>
      <c r="AD136" s="21">
        <f t="shared" si="1131"/>
        <v>205817.0618229433</v>
      </c>
      <c r="AE136" s="21">
        <f t="shared" ref="AE136" si="1132">+AE133+AE135</f>
        <v>242503.70745645114</v>
      </c>
      <c r="AL136" s="161">
        <f t="shared" ref="AL136" si="1133">+AL133+AL135</f>
        <v>0</v>
      </c>
      <c r="AM136" s="161" t="e">
        <f t="shared" ref="AM136:AO136" si="1134">+AM133+AM135</f>
        <v>#DIV/0!</v>
      </c>
      <c r="AN136" s="161">
        <f t="shared" si="1134"/>
        <v>0</v>
      </c>
      <c r="AO136" s="161" t="e">
        <f t="shared" si="1134"/>
        <v>#DIV/0!</v>
      </c>
      <c r="AP136" s="161">
        <f t="shared" ref="AP136:CD136" si="1135">+AP133+AP135</f>
        <v>0</v>
      </c>
      <c r="AQ136" s="161" t="e">
        <f t="shared" si="1135"/>
        <v>#DIV/0!</v>
      </c>
      <c r="AR136" s="161">
        <f t="shared" si="1135"/>
        <v>0</v>
      </c>
      <c r="AS136" s="161" t="e">
        <f t="shared" si="1135"/>
        <v>#DIV/0!</v>
      </c>
      <c r="AT136" s="161">
        <f t="shared" si="1135"/>
        <v>0</v>
      </c>
      <c r="AU136" s="161" t="e">
        <f t="shared" si="1135"/>
        <v>#DIV/0!</v>
      </c>
      <c r="AV136" s="161">
        <f t="shared" si="1135"/>
        <v>0</v>
      </c>
      <c r="AW136" s="161" t="e">
        <f t="shared" si="1135"/>
        <v>#DIV/0!</v>
      </c>
      <c r="AX136" s="161">
        <f t="shared" si="1135"/>
        <v>0</v>
      </c>
      <c r="AY136" s="161" t="e">
        <f t="shared" si="1135"/>
        <v>#DIV/0!</v>
      </c>
      <c r="AZ136" s="161">
        <f t="shared" si="1135"/>
        <v>0</v>
      </c>
      <c r="BA136" s="161" t="e">
        <f t="shared" si="1135"/>
        <v>#DIV/0!</v>
      </c>
      <c r="BB136" s="161">
        <f t="shared" si="1135"/>
        <v>0</v>
      </c>
      <c r="BC136" s="161" t="e">
        <f t="shared" si="1135"/>
        <v>#DIV/0!</v>
      </c>
      <c r="BD136" s="161">
        <f t="shared" si="1135"/>
        <v>0</v>
      </c>
      <c r="BE136" s="161" t="e">
        <f t="shared" si="1135"/>
        <v>#DIV/0!</v>
      </c>
      <c r="BF136" s="161">
        <f t="shared" si="1135"/>
        <v>0</v>
      </c>
      <c r="BG136" s="161" t="e">
        <f t="shared" si="1135"/>
        <v>#DIV/0!</v>
      </c>
      <c r="BH136" s="161">
        <f t="shared" si="1135"/>
        <v>0</v>
      </c>
      <c r="BI136" s="161" t="e">
        <f t="shared" si="1135"/>
        <v>#DIV/0!</v>
      </c>
      <c r="BJ136" s="161">
        <f t="shared" si="1135"/>
        <v>0</v>
      </c>
      <c r="BK136" s="161" t="e">
        <f t="shared" si="1135"/>
        <v>#DIV/0!</v>
      </c>
      <c r="BL136" s="161">
        <f t="shared" si="1135"/>
        <v>0</v>
      </c>
      <c r="BM136" s="161" t="e">
        <f t="shared" si="1135"/>
        <v>#DIV/0!</v>
      </c>
      <c r="BN136" s="161">
        <f t="shared" si="1135"/>
        <v>0</v>
      </c>
      <c r="BO136" s="161" t="e">
        <f t="shared" si="1135"/>
        <v>#DIV/0!</v>
      </c>
      <c r="BP136" s="161">
        <f t="shared" si="1135"/>
        <v>0</v>
      </c>
      <c r="BQ136" s="161" t="e">
        <f t="shared" si="1135"/>
        <v>#DIV/0!</v>
      </c>
      <c r="BR136" s="161">
        <f t="shared" si="1135"/>
        <v>0</v>
      </c>
      <c r="BS136" s="161" t="e">
        <f t="shared" si="1135"/>
        <v>#DIV/0!</v>
      </c>
      <c r="BT136" s="161">
        <f t="shared" si="1135"/>
        <v>0</v>
      </c>
      <c r="BU136" s="161" t="e">
        <f t="shared" si="1135"/>
        <v>#DIV/0!</v>
      </c>
      <c r="BV136" s="161">
        <f t="shared" si="1135"/>
        <v>0</v>
      </c>
      <c r="BW136" s="161" t="e">
        <f t="shared" si="1135"/>
        <v>#DIV/0!</v>
      </c>
      <c r="BX136" s="161">
        <f t="shared" si="1135"/>
        <v>0</v>
      </c>
      <c r="BY136" s="161" t="e">
        <f t="shared" si="1135"/>
        <v>#DIV/0!</v>
      </c>
      <c r="BZ136" s="161">
        <f t="shared" si="1135"/>
        <v>0</v>
      </c>
      <c r="CA136" s="161" t="e">
        <f t="shared" si="1135"/>
        <v>#DIV/0!</v>
      </c>
      <c r="CB136" s="161">
        <f t="shared" si="1135"/>
        <v>0</v>
      </c>
      <c r="CC136" s="161" t="e">
        <f t="shared" si="1135"/>
        <v>#DIV/0!</v>
      </c>
      <c r="CD136" s="161">
        <f t="shared" si="1135"/>
        <v>0</v>
      </c>
      <c r="CE136" s="161">
        <f t="shared" ref="CE136:CF136" si="1136">+CE133+CE135</f>
        <v>-145.80000000000007</v>
      </c>
      <c r="CF136" s="161">
        <f t="shared" si="1136"/>
        <v>0</v>
      </c>
      <c r="CG136" s="161">
        <f t="shared" ref="CG136:CH136" si="1137">+CG133+CG135</f>
        <v>-476.94334712334177</v>
      </c>
      <c r="CH136" s="161">
        <f t="shared" si="1137"/>
        <v>-3462</v>
      </c>
      <c r="CI136" s="161">
        <f t="shared" ref="CI136:CJ136" si="1138">+CI133+CI135</f>
        <v>102972.60731045491</v>
      </c>
      <c r="CJ136" s="161">
        <f t="shared" si="1138"/>
        <v>125552.40000000001</v>
      </c>
      <c r="CK136" s="161">
        <f t="shared" ref="CK136" si="1139">+CK133+CK135</f>
        <v>118955.10894734853</v>
      </c>
      <c r="CL136" s="161">
        <f t="shared" ref="CL136" si="1140">+CL133+CL135</f>
        <v>104268.62</v>
      </c>
      <c r="CM136" s="21">
        <f t="shared" ref="CM136:DB136" si="1141">+CM133+CM135</f>
        <v>109908.3705408727</v>
      </c>
      <c r="CN136" s="21">
        <f t="shared" si="1141"/>
        <v>120416.94975528639</v>
      </c>
      <c r="CO136" s="21">
        <f t="shared" si="1141"/>
        <v>122952.21538854184</v>
      </c>
      <c r="CP136" s="21">
        <f t="shared" si="1141"/>
        <v>131526.18272093617</v>
      </c>
      <c r="CQ136" s="21">
        <f t="shared" si="1141"/>
        <v>136488.84528266653</v>
      </c>
      <c r="CR136" s="21">
        <f t="shared" si="1141"/>
        <v>144469.56319017345</v>
      </c>
      <c r="CS136" s="21">
        <f t="shared" si="1141"/>
        <v>149895.42443274194</v>
      </c>
      <c r="CT136" s="21">
        <f t="shared" si="1141"/>
        <v>157724.62961936428</v>
      </c>
      <c r="CU136" s="21">
        <f t="shared" si="1141"/>
        <v>164380.10364109295</v>
      </c>
      <c r="CV136" s="21">
        <f t="shared" si="1141"/>
        <v>174325.83452828124</v>
      </c>
      <c r="CW136" s="21">
        <f t="shared" si="1141"/>
        <v>181152.47740573023</v>
      </c>
      <c r="CX136" s="21">
        <f t="shared" si="1141"/>
        <v>189724.19672605253</v>
      </c>
      <c r="CY136" s="21">
        <f t="shared" si="1141"/>
        <v>196285.9752830248</v>
      </c>
      <c r="CZ136" s="21">
        <f t="shared" si="1141"/>
        <v>205817.0618229433</v>
      </c>
      <c r="DA136" s="21">
        <f t="shared" si="1141"/>
        <v>213527.38331569397</v>
      </c>
      <c r="DB136" s="21">
        <f t="shared" si="1141"/>
        <v>223202.62961905292</v>
      </c>
      <c r="DC136" s="21">
        <f t="shared" ref="DC136:DD136" si="1142">+DC133+DC135</f>
        <v>230866.89807334734</v>
      </c>
      <c r="DD136" s="21">
        <f t="shared" si="1142"/>
        <v>242503.70745645114</v>
      </c>
      <c r="DE136" s="22"/>
      <c r="DF136" s="161">
        <v>125552.40000000001</v>
      </c>
    </row>
    <row r="137" spans="1:110" s="161" customFormat="1" x14ac:dyDescent="0.2">
      <c r="A137" s="49" t="s">
        <v>345</v>
      </c>
      <c r="B137" s="161" t="e">
        <f>+B134+B135</f>
        <v>#DIV/0!</v>
      </c>
      <c r="C137" s="161" t="e">
        <f t="shared" ref="C137:W137" si="1143">+C134+C135</f>
        <v>#DIV/0!</v>
      </c>
      <c r="D137" s="161" t="e">
        <f t="shared" si="1143"/>
        <v>#DIV/0!</v>
      </c>
      <c r="E137" s="161">
        <f t="shared" si="1143"/>
        <v>0</v>
      </c>
      <c r="F137" s="161">
        <f t="shared" si="1143"/>
        <v>0</v>
      </c>
      <c r="G137" s="161">
        <f t="shared" si="1143"/>
        <v>0</v>
      </c>
      <c r="H137" s="161">
        <f t="shared" si="1143"/>
        <v>0</v>
      </c>
      <c r="I137" s="161">
        <f t="shared" si="1143"/>
        <v>0</v>
      </c>
      <c r="J137" s="161">
        <f t="shared" si="1143"/>
        <v>0</v>
      </c>
      <c r="K137" s="161">
        <f t="shared" si="1143"/>
        <v>0</v>
      </c>
      <c r="L137" s="161">
        <f t="shared" si="1143"/>
        <v>0</v>
      </c>
      <c r="M137" s="161">
        <f t="shared" si="1143"/>
        <v>0</v>
      </c>
      <c r="N137" s="161">
        <f t="shared" si="1143"/>
        <v>0</v>
      </c>
      <c r="O137" s="161">
        <f t="shared" si="1143"/>
        <v>0</v>
      </c>
      <c r="P137" s="161">
        <f t="shared" si="1143"/>
        <v>0</v>
      </c>
      <c r="Q137" s="161">
        <f t="shared" si="1143"/>
        <v>0</v>
      </c>
      <c r="R137" s="161">
        <f t="shared" si="1143"/>
        <v>0</v>
      </c>
      <c r="S137" s="161">
        <f t="shared" si="1143"/>
        <v>0</v>
      </c>
      <c r="T137" s="161">
        <f t="shared" si="1143"/>
        <v>0</v>
      </c>
      <c r="U137" s="161">
        <f t="shared" si="1143"/>
        <v>0</v>
      </c>
      <c r="V137" s="161">
        <f t="shared" si="1143"/>
        <v>0</v>
      </c>
      <c r="W137" s="161">
        <f t="shared" si="1143"/>
        <v>0</v>
      </c>
      <c r="X137" s="161">
        <f t="shared" ref="X137:Y137" si="1144">+X134+X135</f>
        <v>0</v>
      </c>
      <c r="Y137" s="161">
        <f t="shared" si="1144"/>
        <v>0</v>
      </c>
      <c r="Z137" s="161">
        <f t="shared" ref="Z137" si="1145">+Z134+Z135</f>
        <v>86570.400000000009</v>
      </c>
      <c r="AA137" s="21">
        <f t="shared" ref="AA137:AD137" si="1146">+AA134+AA135</f>
        <v>82782.774650320469</v>
      </c>
      <c r="AB137" s="21">
        <f t="shared" si="1146"/>
        <v>99090.650412940682</v>
      </c>
      <c r="AC137" s="21">
        <f t="shared" si="1146"/>
        <v>119321.79574688342</v>
      </c>
      <c r="AD137" s="21">
        <f t="shared" si="1146"/>
        <v>140554.33375751239</v>
      </c>
      <c r="AE137" s="21">
        <f t="shared" ref="AE137" si="1147">+AE134+AE135</f>
        <v>165253.81878141602</v>
      </c>
      <c r="AL137" s="161">
        <f t="shared" ref="AL137:AM137" si="1148">+AL134+AL135</f>
        <v>0</v>
      </c>
      <c r="AM137" s="161" t="e">
        <f t="shared" si="1148"/>
        <v>#DIV/0!</v>
      </c>
      <c r="AN137" s="161">
        <f t="shared" ref="AN137:AO137" si="1149">+AN134+AN135</f>
        <v>0</v>
      </c>
      <c r="AO137" s="161" t="e">
        <f t="shared" si="1149"/>
        <v>#DIV/0!</v>
      </c>
      <c r="AP137" s="161">
        <f t="shared" ref="AP137:CD137" si="1150">+AP134+AP135</f>
        <v>0</v>
      </c>
      <c r="AQ137" s="161" t="e">
        <f t="shared" si="1150"/>
        <v>#DIV/0!</v>
      </c>
      <c r="AR137" s="161">
        <f t="shared" si="1150"/>
        <v>0</v>
      </c>
      <c r="AS137" s="161" t="e">
        <f t="shared" si="1150"/>
        <v>#DIV/0!</v>
      </c>
      <c r="AT137" s="161">
        <f t="shared" si="1150"/>
        <v>0</v>
      </c>
      <c r="AU137" s="161" t="e">
        <f t="shared" si="1150"/>
        <v>#DIV/0!</v>
      </c>
      <c r="AV137" s="161">
        <f t="shared" si="1150"/>
        <v>0</v>
      </c>
      <c r="AW137" s="161" t="e">
        <f t="shared" si="1150"/>
        <v>#DIV/0!</v>
      </c>
      <c r="AX137" s="161">
        <f t="shared" si="1150"/>
        <v>0</v>
      </c>
      <c r="AY137" s="161" t="e">
        <f t="shared" si="1150"/>
        <v>#DIV/0!</v>
      </c>
      <c r="AZ137" s="161">
        <f t="shared" si="1150"/>
        <v>0</v>
      </c>
      <c r="BA137" s="161" t="e">
        <f t="shared" si="1150"/>
        <v>#DIV/0!</v>
      </c>
      <c r="BB137" s="161">
        <f t="shared" si="1150"/>
        <v>0</v>
      </c>
      <c r="BC137" s="161" t="e">
        <f t="shared" si="1150"/>
        <v>#DIV/0!</v>
      </c>
      <c r="BD137" s="161">
        <f t="shared" si="1150"/>
        <v>0</v>
      </c>
      <c r="BE137" s="161" t="e">
        <f t="shared" si="1150"/>
        <v>#DIV/0!</v>
      </c>
      <c r="BF137" s="161">
        <f t="shared" si="1150"/>
        <v>0</v>
      </c>
      <c r="BG137" s="161" t="e">
        <f t="shared" si="1150"/>
        <v>#DIV/0!</v>
      </c>
      <c r="BH137" s="161">
        <f t="shared" si="1150"/>
        <v>0</v>
      </c>
      <c r="BI137" s="161" t="e">
        <f t="shared" si="1150"/>
        <v>#DIV/0!</v>
      </c>
      <c r="BJ137" s="161">
        <f t="shared" si="1150"/>
        <v>0</v>
      </c>
      <c r="BK137" s="161" t="e">
        <f t="shared" si="1150"/>
        <v>#DIV/0!</v>
      </c>
      <c r="BL137" s="161">
        <f t="shared" si="1150"/>
        <v>0</v>
      </c>
      <c r="BM137" s="161" t="e">
        <f t="shared" si="1150"/>
        <v>#DIV/0!</v>
      </c>
      <c r="BN137" s="161">
        <f t="shared" si="1150"/>
        <v>0</v>
      </c>
      <c r="BO137" s="161" t="e">
        <f t="shared" si="1150"/>
        <v>#DIV/0!</v>
      </c>
      <c r="BP137" s="161">
        <f t="shared" si="1150"/>
        <v>0</v>
      </c>
      <c r="BQ137" s="161" t="e">
        <f t="shared" si="1150"/>
        <v>#DIV/0!</v>
      </c>
      <c r="BR137" s="161">
        <f t="shared" si="1150"/>
        <v>0</v>
      </c>
      <c r="BS137" s="161" t="e">
        <f t="shared" si="1150"/>
        <v>#DIV/0!</v>
      </c>
      <c r="BT137" s="161">
        <f t="shared" si="1150"/>
        <v>0</v>
      </c>
      <c r="BU137" s="161" t="e">
        <f t="shared" si="1150"/>
        <v>#DIV/0!</v>
      </c>
      <c r="BV137" s="161">
        <f t="shared" si="1150"/>
        <v>0</v>
      </c>
      <c r="BW137" s="161" t="e">
        <f t="shared" si="1150"/>
        <v>#DIV/0!</v>
      </c>
      <c r="BX137" s="161">
        <f t="shared" si="1150"/>
        <v>0</v>
      </c>
      <c r="BY137" s="161" t="e">
        <f t="shared" si="1150"/>
        <v>#DIV/0!</v>
      </c>
      <c r="BZ137" s="161">
        <f t="shared" si="1150"/>
        <v>0</v>
      </c>
      <c r="CA137" s="161" t="e">
        <f t="shared" si="1150"/>
        <v>#DIV/0!</v>
      </c>
      <c r="CB137" s="161">
        <f t="shared" si="1150"/>
        <v>0</v>
      </c>
      <c r="CC137" s="161" t="e">
        <f t="shared" si="1150"/>
        <v>#DIV/0!</v>
      </c>
      <c r="CD137" s="161">
        <f t="shared" si="1150"/>
        <v>0</v>
      </c>
      <c r="CE137" s="161">
        <f t="shared" ref="CE137:CF137" si="1151">+CE134+CE135</f>
        <v>-145.80000000000007</v>
      </c>
      <c r="CF137" s="161">
        <f t="shared" si="1151"/>
        <v>0</v>
      </c>
      <c r="CG137" s="161">
        <f t="shared" ref="CG137:CH137" si="1152">+CG134+CG135</f>
        <v>-476.94334712334177</v>
      </c>
      <c r="CH137" s="161">
        <f t="shared" si="1152"/>
        <v>-3462</v>
      </c>
      <c r="CI137" s="161">
        <f t="shared" ref="CI137:CJ137" si="1153">+CI134+CI135</f>
        <v>-3756.192689545092</v>
      </c>
      <c r="CJ137" s="161">
        <f t="shared" si="1153"/>
        <v>98888</v>
      </c>
      <c r="CK137" s="161">
        <f t="shared" ref="CK137" si="1154">+CK134+CK135</f>
        <v>86503.928947348541</v>
      </c>
      <c r="CL137" s="161">
        <f t="shared" ref="CL137" si="1155">+CL134+CL135</f>
        <v>71648.340000000011</v>
      </c>
      <c r="CM137" s="21">
        <f t="shared" ref="CM137:DB137" si="1156">+CM134+CM135</f>
        <v>75488.214827825475</v>
      </c>
      <c r="CN137" s="21">
        <f t="shared" si="1156"/>
        <v>82782.774650320469</v>
      </c>
      <c r="CO137" s="21">
        <f t="shared" si="1156"/>
        <v>84363.452246115165</v>
      </c>
      <c r="CP137" s="21">
        <f t="shared" si="1156"/>
        <v>90271.269393526163</v>
      </c>
      <c r="CQ137" s="21">
        <f t="shared" si="1156"/>
        <v>93579.035019863615</v>
      </c>
      <c r="CR137" s="21">
        <f t="shared" si="1156"/>
        <v>99090.650412940682</v>
      </c>
      <c r="CS137" s="21">
        <f t="shared" si="1156"/>
        <v>102666.49925884976</v>
      </c>
      <c r="CT137" s="21">
        <f t="shared" si="1156"/>
        <v>108023.95394433013</v>
      </c>
      <c r="CU137" s="21">
        <f t="shared" si="1156"/>
        <v>112465.35848708097</v>
      </c>
      <c r="CV137" s="21">
        <f t="shared" si="1156"/>
        <v>119321.79574688342</v>
      </c>
      <c r="CW137" s="21">
        <f t="shared" si="1156"/>
        <v>123828.13297637248</v>
      </c>
      <c r="CX137" s="21">
        <f t="shared" si="1156"/>
        <v>129672.88565789982</v>
      </c>
      <c r="CY137" s="21">
        <f t="shared" si="1156"/>
        <v>134005.89941269613</v>
      </c>
      <c r="CZ137" s="21">
        <f t="shared" si="1156"/>
        <v>140554.33375751239</v>
      </c>
      <c r="DA137" s="21">
        <f t="shared" si="1156"/>
        <v>145625.46956491959</v>
      </c>
      <c r="DB137" s="21">
        <f t="shared" si="1156"/>
        <v>152208.06710604383</v>
      </c>
      <c r="DC137" s="21">
        <f t="shared" ref="DC137:DD137" si="1157">+DC134+DC135</f>
        <v>157261.12062358353</v>
      </c>
      <c r="DD137" s="21">
        <f t="shared" si="1157"/>
        <v>165253.81878141602</v>
      </c>
      <c r="DE137" s="22"/>
      <c r="DF137" s="161">
        <v>86570.400000000009</v>
      </c>
    </row>
    <row r="138" spans="1:110" s="161" customFormat="1" x14ac:dyDescent="0.2">
      <c r="A138" s="49" t="s">
        <v>13</v>
      </c>
      <c r="B138" s="161">
        <f t="shared" ref="B138:AE138" si="1158">+B54</f>
        <v>0</v>
      </c>
      <c r="C138" s="161">
        <f t="shared" si="1158"/>
        <v>0</v>
      </c>
      <c r="D138" s="161">
        <f t="shared" si="1158"/>
        <v>0</v>
      </c>
      <c r="E138" s="161">
        <f t="shared" si="1158"/>
        <v>0</v>
      </c>
      <c r="F138" s="161">
        <f t="shared" si="1158"/>
        <v>0</v>
      </c>
      <c r="G138" s="161">
        <f t="shared" si="1158"/>
        <v>0</v>
      </c>
      <c r="H138" s="161">
        <f t="shared" si="1158"/>
        <v>0</v>
      </c>
      <c r="I138" s="161">
        <f t="shared" si="1158"/>
        <v>0</v>
      </c>
      <c r="J138" s="161">
        <f t="shared" si="1158"/>
        <v>0</v>
      </c>
      <c r="K138" s="161">
        <f t="shared" si="1158"/>
        <v>0</v>
      </c>
      <c r="L138" s="161">
        <f t="shared" si="1158"/>
        <v>0</v>
      </c>
      <c r="M138" s="161">
        <f t="shared" si="1158"/>
        <v>0</v>
      </c>
      <c r="N138" s="161">
        <f t="shared" si="1158"/>
        <v>0</v>
      </c>
      <c r="O138" s="161">
        <f t="shared" si="1158"/>
        <v>0</v>
      </c>
      <c r="P138" s="161">
        <f t="shared" si="1158"/>
        <v>0</v>
      </c>
      <c r="Q138" s="161">
        <f t="shared" si="1158"/>
        <v>0</v>
      </c>
      <c r="R138" s="161">
        <f t="shared" si="1158"/>
        <v>0</v>
      </c>
      <c r="S138" s="161">
        <f t="shared" si="1158"/>
        <v>0</v>
      </c>
      <c r="T138" s="161">
        <f t="shared" si="1158"/>
        <v>0</v>
      </c>
      <c r="U138" s="161">
        <f t="shared" si="1158"/>
        <v>0</v>
      </c>
      <c r="V138" s="161">
        <f t="shared" si="1158"/>
        <v>0</v>
      </c>
      <c r="W138" s="161">
        <f t="shared" si="1158"/>
        <v>0</v>
      </c>
      <c r="X138" s="161">
        <f t="shared" si="1158"/>
        <v>0</v>
      </c>
      <c r="Y138" s="161">
        <f t="shared" si="1158"/>
        <v>855.50000000000091</v>
      </c>
      <c r="Z138" s="161">
        <f t="shared" ref="Z138" si="1159">+Z54</f>
        <v>1490</v>
      </c>
      <c r="AA138" s="21">
        <f t="shared" si="1158"/>
        <v>2071.6779246659371</v>
      </c>
      <c r="AB138" s="21">
        <f t="shared" si="1158"/>
        <v>2564.7251357933619</v>
      </c>
      <c r="AC138" s="21">
        <f t="shared" si="1158"/>
        <v>3149.4659466873636</v>
      </c>
      <c r="AD138" s="21">
        <f t="shared" si="1158"/>
        <v>3711.9740368133662</v>
      </c>
      <c r="AE138" s="21">
        <f t="shared" si="1158"/>
        <v>4337.6619229759981</v>
      </c>
      <c r="AL138" s="161">
        <f t="shared" ref="AL138:BQ138" si="1160">+SUM(AI54:AL54)</f>
        <v>0</v>
      </c>
      <c r="AM138" s="161">
        <f t="shared" si="1160"/>
        <v>0</v>
      </c>
      <c r="AN138" s="161">
        <f t="shared" si="1160"/>
        <v>0</v>
      </c>
      <c r="AO138" s="161">
        <f t="shared" si="1160"/>
        <v>0</v>
      </c>
      <c r="AP138" s="161">
        <f t="shared" si="1160"/>
        <v>0</v>
      </c>
      <c r="AQ138" s="161">
        <f t="shared" si="1160"/>
        <v>0</v>
      </c>
      <c r="AR138" s="161">
        <f t="shared" si="1160"/>
        <v>0</v>
      </c>
      <c r="AS138" s="161">
        <f t="shared" si="1160"/>
        <v>0</v>
      </c>
      <c r="AT138" s="161">
        <f t="shared" si="1160"/>
        <v>0</v>
      </c>
      <c r="AU138" s="161">
        <f t="shared" si="1160"/>
        <v>0</v>
      </c>
      <c r="AV138" s="161">
        <f t="shared" si="1160"/>
        <v>0</v>
      </c>
      <c r="AW138" s="161">
        <f t="shared" si="1160"/>
        <v>0</v>
      </c>
      <c r="AX138" s="161">
        <f t="shared" si="1160"/>
        <v>0</v>
      </c>
      <c r="AY138" s="161">
        <f t="shared" si="1160"/>
        <v>0</v>
      </c>
      <c r="AZ138" s="161">
        <f t="shared" si="1160"/>
        <v>0</v>
      </c>
      <c r="BA138" s="161">
        <f t="shared" si="1160"/>
        <v>0</v>
      </c>
      <c r="BB138" s="161">
        <f t="shared" si="1160"/>
        <v>0</v>
      </c>
      <c r="BC138" s="161">
        <f t="shared" si="1160"/>
        <v>0</v>
      </c>
      <c r="BD138" s="161">
        <f t="shared" si="1160"/>
        <v>0</v>
      </c>
      <c r="BE138" s="161">
        <f t="shared" si="1160"/>
        <v>0</v>
      </c>
      <c r="BF138" s="161">
        <f t="shared" si="1160"/>
        <v>0</v>
      </c>
      <c r="BG138" s="161">
        <f t="shared" si="1160"/>
        <v>0</v>
      </c>
      <c r="BH138" s="161">
        <f t="shared" si="1160"/>
        <v>0</v>
      </c>
      <c r="BI138" s="161">
        <f t="shared" si="1160"/>
        <v>0</v>
      </c>
      <c r="BJ138" s="161">
        <f t="shared" si="1160"/>
        <v>0</v>
      </c>
      <c r="BK138" s="161">
        <f t="shared" si="1160"/>
        <v>0</v>
      </c>
      <c r="BL138" s="161">
        <f t="shared" si="1160"/>
        <v>0</v>
      </c>
      <c r="BM138" s="161">
        <f t="shared" si="1160"/>
        <v>0</v>
      </c>
      <c r="BN138" s="161">
        <f t="shared" si="1160"/>
        <v>0</v>
      </c>
      <c r="BO138" s="161">
        <f t="shared" si="1160"/>
        <v>0</v>
      </c>
      <c r="BP138" s="161">
        <f t="shared" si="1160"/>
        <v>0</v>
      </c>
      <c r="BQ138" s="161">
        <f t="shared" si="1160"/>
        <v>0</v>
      </c>
      <c r="BR138" s="161">
        <f t="shared" ref="BR138:CW138" si="1161">+SUM(BO54:BR54)</f>
        <v>0</v>
      </c>
      <c r="BS138" s="161">
        <f t="shared" si="1161"/>
        <v>0</v>
      </c>
      <c r="BT138" s="161">
        <f t="shared" si="1161"/>
        <v>0</v>
      </c>
      <c r="BU138" s="161">
        <f t="shared" si="1161"/>
        <v>0</v>
      </c>
      <c r="BV138" s="161">
        <f t="shared" si="1161"/>
        <v>0</v>
      </c>
      <c r="BW138" s="161">
        <f t="shared" si="1161"/>
        <v>0</v>
      </c>
      <c r="BX138" s="161">
        <f t="shared" si="1161"/>
        <v>0</v>
      </c>
      <c r="BY138" s="161">
        <f t="shared" si="1161"/>
        <v>0</v>
      </c>
      <c r="BZ138" s="161">
        <f t="shared" si="1161"/>
        <v>0</v>
      </c>
      <c r="CA138" s="161">
        <f t="shared" si="1161"/>
        <v>0</v>
      </c>
      <c r="CB138" s="161">
        <f t="shared" si="1161"/>
        <v>0</v>
      </c>
      <c r="CC138" s="161">
        <f t="shared" si="1161"/>
        <v>0</v>
      </c>
      <c r="CD138" s="161">
        <f t="shared" si="1161"/>
        <v>269.49999999999989</v>
      </c>
      <c r="CE138" s="161">
        <f t="shared" si="1161"/>
        <v>482.9</v>
      </c>
      <c r="CF138" s="161">
        <f t="shared" si="1161"/>
        <v>867.79999999999984</v>
      </c>
      <c r="CG138" s="161">
        <f t="shared" si="1161"/>
        <v>1203.0999999999999</v>
      </c>
      <c r="CH138" s="161">
        <f t="shared" si="1161"/>
        <v>1292.0999999999999</v>
      </c>
      <c r="CI138" s="161">
        <f t="shared" si="1161"/>
        <v>1418.9999999999995</v>
      </c>
      <c r="CJ138" s="161">
        <f t="shared" si="1161"/>
        <v>1513.4</v>
      </c>
      <c r="CK138" s="161">
        <f t="shared" si="1161"/>
        <v>1638.9</v>
      </c>
      <c r="CL138" s="161">
        <f t="shared" si="1161"/>
        <v>1778.7</v>
      </c>
      <c r="CM138" s="21">
        <f t="shared" si="1161"/>
        <v>1889.3417055205491</v>
      </c>
      <c r="CN138" s="21">
        <f t="shared" si="1161"/>
        <v>2071.6779246659371</v>
      </c>
      <c r="CO138" s="21">
        <f t="shared" si="1161"/>
        <v>2151.0579410392429</v>
      </c>
      <c r="CP138" s="21">
        <f t="shared" si="1161"/>
        <v>2304.8314263919956</v>
      </c>
      <c r="CQ138" s="21">
        <f t="shared" si="1161"/>
        <v>2413.9713548646805</v>
      </c>
      <c r="CR138" s="21">
        <f t="shared" si="1161"/>
        <v>2564.725135793361</v>
      </c>
      <c r="CS138" s="21">
        <f t="shared" si="1161"/>
        <v>2689.2454197223533</v>
      </c>
      <c r="CT138" s="21">
        <f t="shared" si="1161"/>
        <v>2844.0910182676862</v>
      </c>
      <c r="CU138" s="21">
        <f t="shared" si="1161"/>
        <v>2973.3986455830491</v>
      </c>
      <c r="CV138" s="21">
        <f t="shared" si="1161"/>
        <v>3149.4659466873654</v>
      </c>
      <c r="CW138" s="21">
        <f t="shared" si="1161"/>
        <v>3280.2853435019379</v>
      </c>
      <c r="CX138" s="21">
        <f t="shared" ref="CX138:DB138" si="1162">+SUM(CU54:CX54)</f>
        <v>3430.5170467452276</v>
      </c>
      <c r="CY138" s="21">
        <f t="shared" si="1162"/>
        <v>3551.4397285277773</v>
      </c>
      <c r="CZ138" s="21">
        <f t="shared" si="1162"/>
        <v>3711.9740368133671</v>
      </c>
      <c r="DA138" s="21">
        <f t="shared" si="1162"/>
        <v>3851.7417528040892</v>
      </c>
      <c r="DB138" s="21">
        <f t="shared" si="1162"/>
        <v>4014.2154665411376</v>
      </c>
      <c r="DC138" s="21">
        <f t="shared" ref="DC138" si="1163">+SUM(CZ54:DC54)</f>
        <v>4148.39376724455</v>
      </c>
      <c r="DD138" s="21">
        <f t="shared" ref="DD138" si="1164">+SUM(DA54:DD54)</f>
        <v>4337.6619229759981</v>
      </c>
      <c r="DE138" s="22"/>
      <c r="DF138" s="161">
        <v>1490</v>
      </c>
    </row>
    <row r="139" spans="1:110" s="161" customFormat="1" x14ac:dyDescent="0.2">
      <c r="A139" s="49" t="s">
        <v>343</v>
      </c>
      <c r="B139" s="161" t="e">
        <f>+B136/B138</f>
        <v>#DIV/0!</v>
      </c>
      <c r="C139" s="161" t="e">
        <f t="shared" ref="C139:W139" si="1165">+C136/C138</f>
        <v>#DIV/0!</v>
      </c>
      <c r="D139" s="161" t="e">
        <f t="shared" si="1165"/>
        <v>#DIV/0!</v>
      </c>
      <c r="E139" s="161" t="e">
        <f t="shared" si="1165"/>
        <v>#DIV/0!</v>
      </c>
      <c r="F139" s="161" t="e">
        <f t="shared" si="1165"/>
        <v>#DIV/0!</v>
      </c>
      <c r="G139" s="161" t="e">
        <f t="shared" si="1165"/>
        <v>#DIV/0!</v>
      </c>
      <c r="H139" s="161" t="e">
        <f t="shared" si="1165"/>
        <v>#DIV/0!</v>
      </c>
      <c r="I139" s="161" t="e">
        <f t="shared" si="1165"/>
        <v>#DIV/0!</v>
      </c>
      <c r="J139" s="161" t="e">
        <f t="shared" si="1165"/>
        <v>#DIV/0!</v>
      </c>
      <c r="K139" s="161" t="e">
        <f t="shared" si="1165"/>
        <v>#DIV/0!</v>
      </c>
      <c r="L139" s="161" t="e">
        <f t="shared" si="1165"/>
        <v>#DIV/0!</v>
      </c>
      <c r="M139" s="161" t="e">
        <f t="shared" si="1165"/>
        <v>#DIV/0!</v>
      </c>
      <c r="N139" s="161" t="e">
        <f t="shared" si="1165"/>
        <v>#DIV/0!</v>
      </c>
      <c r="O139" s="161" t="e">
        <f t="shared" si="1165"/>
        <v>#DIV/0!</v>
      </c>
      <c r="P139" s="161" t="e">
        <f t="shared" si="1165"/>
        <v>#DIV/0!</v>
      </c>
      <c r="Q139" s="161" t="e">
        <f t="shared" si="1165"/>
        <v>#DIV/0!</v>
      </c>
      <c r="R139" s="161" t="e">
        <f t="shared" si="1165"/>
        <v>#DIV/0!</v>
      </c>
      <c r="S139" s="161" t="e">
        <f t="shared" si="1165"/>
        <v>#DIV/0!</v>
      </c>
      <c r="T139" s="161" t="e">
        <f t="shared" si="1165"/>
        <v>#DIV/0!</v>
      </c>
      <c r="U139" s="161" t="e">
        <f t="shared" si="1165"/>
        <v>#DIV/0!</v>
      </c>
      <c r="V139" s="161" t="e">
        <f t="shared" si="1165"/>
        <v>#DIV/0!</v>
      </c>
      <c r="W139" s="161" t="e">
        <f t="shared" si="1165"/>
        <v>#DIV/0!</v>
      </c>
      <c r="X139" s="161" t="e">
        <f t="shared" ref="X139:Y139" si="1166">+X136/X138</f>
        <v>#DIV/0!</v>
      </c>
      <c r="Y139" s="161">
        <f t="shared" si="1166"/>
        <v>0</v>
      </c>
      <c r="Z139" s="161">
        <f t="shared" ref="Z139" si="1167">+Z136/Z138</f>
        <v>84.263355704697986</v>
      </c>
      <c r="AA139" s="21">
        <f t="shared" ref="AA139:AD139" si="1168">+AA136/AA138</f>
        <v>58.125323594739712</v>
      </c>
      <c r="AB139" s="21">
        <f t="shared" si="1168"/>
        <v>56.329452686353385</v>
      </c>
      <c r="AC139" s="21">
        <f t="shared" si="1168"/>
        <v>55.350919006328262</v>
      </c>
      <c r="AD139" s="21">
        <f t="shared" si="1168"/>
        <v>55.446794557763646</v>
      </c>
      <c r="AE139" s="21">
        <f t="shared" ref="AE139" si="1169">+AE136/AE138</f>
        <v>55.906548680509744</v>
      </c>
      <c r="AL139" s="161" t="e">
        <f t="shared" ref="AL139" si="1170">+AL136/AL138</f>
        <v>#DIV/0!</v>
      </c>
      <c r="AM139" s="161" t="e">
        <f t="shared" ref="AM139:AO139" si="1171">+AM136/AM138</f>
        <v>#DIV/0!</v>
      </c>
      <c r="AN139" s="161" t="e">
        <f t="shared" si="1171"/>
        <v>#DIV/0!</v>
      </c>
      <c r="AO139" s="161" t="e">
        <f t="shared" si="1171"/>
        <v>#DIV/0!</v>
      </c>
      <c r="AP139" s="161" t="e">
        <f t="shared" ref="AP139:CD139" si="1172">+AP136/AP138</f>
        <v>#DIV/0!</v>
      </c>
      <c r="AQ139" s="161" t="e">
        <f t="shared" si="1172"/>
        <v>#DIV/0!</v>
      </c>
      <c r="AR139" s="161" t="e">
        <f t="shared" si="1172"/>
        <v>#DIV/0!</v>
      </c>
      <c r="AS139" s="161" t="e">
        <f t="shared" si="1172"/>
        <v>#DIV/0!</v>
      </c>
      <c r="AT139" s="161" t="e">
        <f t="shared" si="1172"/>
        <v>#DIV/0!</v>
      </c>
      <c r="AU139" s="161" t="e">
        <f t="shared" si="1172"/>
        <v>#DIV/0!</v>
      </c>
      <c r="AV139" s="161" t="e">
        <f t="shared" si="1172"/>
        <v>#DIV/0!</v>
      </c>
      <c r="AW139" s="161" t="e">
        <f t="shared" si="1172"/>
        <v>#DIV/0!</v>
      </c>
      <c r="AX139" s="161" t="e">
        <f t="shared" si="1172"/>
        <v>#DIV/0!</v>
      </c>
      <c r="AY139" s="161" t="e">
        <f t="shared" si="1172"/>
        <v>#DIV/0!</v>
      </c>
      <c r="AZ139" s="161" t="e">
        <f t="shared" si="1172"/>
        <v>#DIV/0!</v>
      </c>
      <c r="BA139" s="161" t="e">
        <f t="shared" si="1172"/>
        <v>#DIV/0!</v>
      </c>
      <c r="BB139" s="161" t="e">
        <f t="shared" si="1172"/>
        <v>#DIV/0!</v>
      </c>
      <c r="BC139" s="161" t="e">
        <f t="shared" si="1172"/>
        <v>#DIV/0!</v>
      </c>
      <c r="BD139" s="161" t="e">
        <f t="shared" si="1172"/>
        <v>#DIV/0!</v>
      </c>
      <c r="BE139" s="161" t="e">
        <f t="shared" si="1172"/>
        <v>#DIV/0!</v>
      </c>
      <c r="BF139" s="161" t="e">
        <f t="shared" si="1172"/>
        <v>#DIV/0!</v>
      </c>
      <c r="BG139" s="161" t="e">
        <f t="shared" si="1172"/>
        <v>#DIV/0!</v>
      </c>
      <c r="BH139" s="161" t="e">
        <f t="shared" si="1172"/>
        <v>#DIV/0!</v>
      </c>
      <c r="BI139" s="161" t="e">
        <f t="shared" si="1172"/>
        <v>#DIV/0!</v>
      </c>
      <c r="BJ139" s="161" t="e">
        <f t="shared" si="1172"/>
        <v>#DIV/0!</v>
      </c>
      <c r="BK139" s="161" t="e">
        <f t="shared" si="1172"/>
        <v>#DIV/0!</v>
      </c>
      <c r="BL139" s="161" t="e">
        <f t="shared" si="1172"/>
        <v>#DIV/0!</v>
      </c>
      <c r="BM139" s="161" t="e">
        <f t="shared" si="1172"/>
        <v>#DIV/0!</v>
      </c>
      <c r="BN139" s="161" t="e">
        <f t="shared" si="1172"/>
        <v>#DIV/0!</v>
      </c>
      <c r="BO139" s="161" t="e">
        <f t="shared" si="1172"/>
        <v>#DIV/0!</v>
      </c>
      <c r="BP139" s="161" t="e">
        <f t="shared" si="1172"/>
        <v>#DIV/0!</v>
      </c>
      <c r="BQ139" s="161" t="e">
        <f t="shared" si="1172"/>
        <v>#DIV/0!</v>
      </c>
      <c r="BR139" s="161" t="e">
        <f t="shared" si="1172"/>
        <v>#DIV/0!</v>
      </c>
      <c r="BS139" s="161" t="e">
        <f t="shared" si="1172"/>
        <v>#DIV/0!</v>
      </c>
      <c r="BT139" s="161" t="e">
        <f t="shared" si="1172"/>
        <v>#DIV/0!</v>
      </c>
      <c r="BU139" s="161" t="e">
        <f t="shared" si="1172"/>
        <v>#DIV/0!</v>
      </c>
      <c r="BV139" s="161" t="e">
        <f t="shared" si="1172"/>
        <v>#DIV/0!</v>
      </c>
      <c r="BW139" s="161" t="e">
        <f t="shared" si="1172"/>
        <v>#DIV/0!</v>
      </c>
      <c r="BX139" s="161" t="e">
        <f t="shared" si="1172"/>
        <v>#DIV/0!</v>
      </c>
      <c r="BY139" s="161" t="e">
        <f t="shared" si="1172"/>
        <v>#DIV/0!</v>
      </c>
      <c r="BZ139" s="161" t="e">
        <f t="shared" si="1172"/>
        <v>#DIV/0!</v>
      </c>
      <c r="CA139" s="161" t="e">
        <f t="shared" si="1172"/>
        <v>#DIV/0!</v>
      </c>
      <c r="CB139" s="161" t="e">
        <f t="shared" si="1172"/>
        <v>#DIV/0!</v>
      </c>
      <c r="CC139" s="161" t="e">
        <f t="shared" si="1172"/>
        <v>#DIV/0!</v>
      </c>
      <c r="CD139" s="161">
        <f t="shared" si="1172"/>
        <v>0</v>
      </c>
      <c r="CE139" s="161">
        <f t="shared" ref="CE139:CF139" si="1173">+CE136/CE138</f>
        <v>-0.30192586456823373</v>
      </c>
      <c r="CF139" s="161">
        <f t="shared" si="1173"/>
        <v>0</v>
      </c>
      <c r="CG139" s="161">
        <f t="shared" ref="CG139:CH139" si="1174">+CG136/CG138</f>
        <v>-0.39642868184136132</v>
      </c>
      <c r="CH139" s="161">
        <f t="shared" si="1174"/>
        <v>-2.6793591827257952</v>
      </c>
      <c r="CI139" s="161">
        <f t="shared" ref="CI139:CJ139" si="1175">+CI136/CI138</f>
        <v>72.567024179319901</v>
      </c>
      <c r="CJ139" s="161">
        <f t="shared" si="1175"/>
        <v>82.960486322188444</v>
      </c>
      <c r="CK139" s="161">
        <f t="shared" ref="CK139" si="1176">+CK136/CK138</f>
        <v>72.582286257458378</v>
      </c>
      <c r="CL139" s="161">
        <f t="shared" ref="CL139" si="1177">+CL136/CL138</f>
        <v>58.620689267442508</v>
      </c>
      <c r="CM139" s="21">
        <f t="shared" ref="CM139:DB139" si="1178">+CM136/CM138</f>
        <v>58.172838835731348</v>
      </c>
      <c r="CN139" s="21">
        <f t="shared" si="1178"/>
        <v>58.125323594739712</v>
      </c>
      <c r="CO139" s="21">
        <f t="shared" si="1178"/>
        <v>57.158950971418186</v>
      </c>
      <c r="CP139" s="21">
        <f t="shared" si="1178"/>
        <v>57.065424054386689</v>
      </c>
      <c r="CQ139" s="21">
        <f t="shared" si="1178"/>
        <v>56.541203360848357</v>
      </c>
      <c r="CR139" s="21">
        <f t="shared" si="1178"/>
        <v>56.329452686353406</v>
      </c>
      <c r="CS139" s="21">
        <f t="shared" si="1178"/>
        <v>55.738841584870173</v>
      </c>
      <c r="CT139" s="21">
        <f t="shared" si="1178"/>
        <v>55.456955704403981</v>
      </c>
      <c r="CU139" s="21">
        <f t="shared" si="1178"/>
        <v>55.283573860934453</v>
      </c>
      <c r="CV139" s="21">
        <f t="shared" si="1178"/>
        <v>55.350919006328233</v>
      </c>
      <c r="CW139" s="21">
        <f t="shared" si="1178"/>
        <v>55.224609579951078</v>
      </c>
      <c r="CX139" s="21">
        <f t="shared" si="1178"/>
        <v>55.304840098683428</v>
      </c>
      <c r="CY139" s="21">
        <f t="shared" si="1178"/>
        <v>55.26940910930049</v>
      </c>
      <c r="CZ139" s="21">
        <f t="shared" si="1178"/>
        <v>55.446794557763631</v>
      </c>
      <c r="DA139" s="21">
        <f t="shared" si="1178"/>
        <v>55.436578311680648</v>
      </c>
      <c r="DB139" s="21">
        <f t="shared" si="1178"/>
        <v>55.603051574951017</v>
      </c>
      <c r="DC139" s="21">
        <f t="shared" ref="DC139:DD139" si="1179">+DC136/DC138</f>
        <v>55.652117669315167</v>
      </c>
      <c r="DD139" s="21">
        <f t="shared" si="1179"/>
        <v>55.906548680509744</v>
      </c>
      <c r="DE139" s="22"/>
      <c r="DF139" s="161">
        <v>84.263355704697986</v>
      </c>
    </row>
    <row r="140" spans="1:110" s="161" customFormat="1" x14ac:dyDescent="0.2">
      <c r="A140" s="49" t="s">
        <v>344</v>
      </c>
      <c r="B140" s="161" t="e">
        <f>+B137/B138</f>
        <v>#DIV/0!</v>
      </c>
      <c r="C140" s="161" t="e">
        <f t="shared" ref="C140:W140" si="1180">+C137/C138</f>
        <v>#DIV/0!</v>
      </c>
      <c r="D140" s="161" t="e">
        <f t="shared" si="1180"/>
        <v>#DIV/0!</v>
      </c>
      <c r="E140" s="161" t="e">
        <f t="shared" si="1180"/>
        <v>#DIV/0!</v>
      </c>
      <c r="F140" s="161" t="e">
        <f t="shared" si="1180"/>
        <v>#DIV/0!</v>
      </c>
      <c r="G140" s="161" t="e">
        <f t="shared" si="1180"/>
        <v>#DIV/0!</v>
      </c>
      <c r="H140" s="161" t="e">
        <f t="shared" si="1180"/>
        <v>#DIV/0!</v>
      </c>
      <c r="I140" s="161" t="e">
        <f t="shared" si="1180"/>
        <v>#DIV/0!</v>
      </c>
      <c r="J140" s="161" t="e">
        <f t="shared" si="1180"/>
        <v>#DIV/0!</v>
      </c>
      <c r="K140" s="161" t="e">
        <f t="shared" si="1180"/>
        <v>#DIV/0!</v>
      </c>
      <c r="L140" s="161" t="e">
        <f t="shared" si="1180"/>
        <v>#DIV/0!</v>
      </c>
      <c r="M140" s="161" t="e">
        <f t="shared" si="1180"/>
        <v>#DIV/0!</v>
      </c>
      <c r="N140" s="161" t="e">
        <f t="shared" si="1180"/>
        <v>#DIV/0!</v>
      </c>
      <c r="O140" s="161" t="e">
        <f t="shared" si="1180"/>
        <v>#DIV/0!</v>
      </c>
      <c r="P140" s="161" t="e">
        <f t="shared" si="1180"/>
        <v>#DIV/0!</v>
      </c>
      <c r="Q140" s="161" t="e">
        <f t="shared" si="1180"/>
        <v>#DIV/0!</v>
      </c>
      <c r="R140" s="161" t="e">
        <f t="shared" si="1180"/>
        <v>#DIV/0!</v>
      </c>
      <c r="S140" s="161" t="e">
        <f t="shared" si="1180"/>
        <v>#DIV/0!</v>
      </c>
      <c r="T140" s="161" t="e">
        <f t="shared" si="1180"/>
        <v>#DIV/0!</v>
      </c>
      <c r="U140" s="161" t="e">
        <f t="shared" si="1180"/>
        <v>#DIV/0!</v>
      </c>
      <c r="V140" s="161" t="e">
        <f t="shared" si="1180"/>
        <v>#DIV/0!</v>
      </c>
      <c r="W140" s="161" t="e">
        <f t="shared" si="1180"/>
        <v>#DIV/0!</v>
      </c>
      <c r="X140" s="161" t="e">
        <f t="shared" ref="X140:Y140" si="1181">+X137/X138</f>
        <v>#DIV/0!</v>
      </c>
      <c r="Y140" s="161">
        <f t="shared" si="1181"/>
        <v>0</v>
      </c>
      <c r="Z140" s="161">
        <f t="shared" ref="Z140" si="1182">+Z137/Z138</f>
        <v>58.100939597315445</v>
      </c>
      <c r="AA140" s="21">
        <f t="shared" ref="AA140:AD140" si="1183">+AA137/AA138</f>
        <v>39.959287910870309</v>
      </c>
      <c r="AB140" s="21">
        <f t="shared" si="1183"/>
        <v>38.635972732527676</v>
      </c>
      <c r="AC140" s="21">
        <f t="shared" si="1183"/>
        <v>37.886358438765512</v>
      </c>
      <c r="AD140" s="21">
        <f t="shared" si="1183"/>
        <v>37.865117687669674</v>
      </c>
      <c r="AE140" s="21">
        <f t="shared" ref="AE140" si="1184">+AE137/AE138</f>
        <v>38.097440906145607</v>
      </c>
      <c r="AL140" s="161" t="e">
        <f t="shared" ref="AL140:AM140" si="1185">+AL137/AL138</f>
        <v>#DIV/0!</v>
      </c>
      <c r="AM140" s="161" t="e">
        <f t="shared" si="1185"/>
        <v>#DIV/0!</v>
      </c>
      <c r="AN140" s="161" t="e">
        <f t="shared" ref="AN140:AO140" si="1186">+AN137/AN138</f>
        <v>#DIV/0!</v>
      </c>
      <c r="AO140" s="161" t="e">
        <f t="shared" si="1186"/>
        <v>#DIV/0!</v>
      </c>
      <c r="AP140" s="161" t="e">
        <f t="shared" ref="AP140:CD140" si="1187">+AP137/AP138</f>
        <v>#DIV/0!</v>
      </c>
      <c r="AQ140" s="161" t="e">
        <f t="shared" si="1187"/>
        <v>#DIV/0!</v>
      </c>
      <c r="AR140" s="161" t="e">
        <f t="shared" si="1187"/>
        <v>#DIV/0!</v>
      </c>
      <c r="AS140" s="161" t="e">
        <f t="shared" si="1187"/>
        <v>#DIV/0!</v>
      </c>
      <c r="AT140" s="161" t="e">
        <f t="shared" si="1187"/>
        <v>#DIV/0!</v>
      </c>
      <c r="AU140" s="161" t="e">
        <f t="shared" si="1187"/>
        <v>#DIV/0!</v>
      </c>
      <c r="AV140" s="161" t="e">
        <f t="shared" si="1187"/>
        <v>#DIV/0!</v>
      </c>
      <c r="AW140" s="161" t="e">
        <f t="shared" si="1187"/>
        <v>#DIV/0!</v>
      </c>
      <c r="AX140" s="161" t="e">
        <f t="shared" si="1187"/>
        <v>#DIV/0!</v>
      </c>
      <c r="AY140" s="161" t="e">
        <f t="shared" si="1187"/>
        <v>#DIV/0!</v>
      </c>
      <c r="AZ140" s="161" t="e">
        <f t="shared" si="1187"/>
        <v>#DIV/0!</v>
      </c>
      <c r="BA140" s="161" t="e">
        <f t="shared" si="1187"/>
        <v>#DIV/0!</v>
      </c>
      <c r="BB140" s="161" t="e">
        <f t="shared" si="1187"/>
        <v>#DIV/0!</v>
      </c>
      <c r="BC140" s="161" t="e">
        <f t="shared" si="1187"/>
        <v>#DIV/0!</v>
      </c>
      <c r="BD140" s="161" t="e">
        <f t="shared" si="1187"/>
        <v>#DIV/0!</v>
      </c>
      <c r="BE140" s="161" t="e">
        <f t="shared" si="1187"/>
        <v>#DIV/0!</v>
      </c>
      <c r="BF140" s="161" t="e">
        <f t="shared" si="1187"/>
        <v>#DIV/0!</v>
      </c>
      <c r="BG140" s="161" t="e">
        <f t="shared" si="1187"/>
        <v>#DIV/0!</v>
      </c>
      <c r="BH140" s="161" t="e">
        <f t="shared" si="1187"/>
        <v>#DIV/0!</v>
      </c>
      <c r="BI140" s="161" t="e">
        <f t="shared" si="1187"/>
        <v>#DIV/0!</v>
      </c>
      <c r="BJ140" s="161" t="e">
        <f t="shared" si="1187"/>
        <v>#DIV/0!</v>
      </c>
      <c r="BK140" s="161" t="e">
        <f t="shared" si="1187"/>
        <v>#DIV/0!</v>
      </c>
      <c r="BL140" s="161" t="e">
        <f t="shared" si="1187"/>
        <v>#DIV/0!</v>
      </c>
      <c r="BM140" s="161" t="e">
        <f t="shared" si="1187"/>
        <v>#DIV/0!</v>
      </c>
      <c r="BN140" s="161" t="e">
        <f t="shared" si="1187"/>
        <v>#DIV/0!</v>
      </c>
      <c r="BO140" s="161" t="e">
        <f t="shared" si="1187"/>
        <v>#DIV/0!</v>
      </c>
      <c r="BP140" s="161" t="e">
        <f t="shared" si="1187"/>
        <v>#DIV/0!</v>
      </c>
      <c r="BQ140" s="161" t="e">
        <f t="shared" si="1187"/>
        <v>#DIV/0!</v>
      </c>
      <c r="BR140" s="161" t="e">
        <f t="shared" si="1187"/>
        <v>#DIV/0!</v>
      </c>
      <c r="BS140" s="161" t="e">
        <f t="shared" si="1187"/>
        <v>#DIV/0!</v>
      </c>
      <c r="BT140" s="161" t="e">
        <f t="shared" si="1187"/>
        <v>#DIV/0!</v>
      </c>
      <c r="BU140" s="161" t="e">
        <f t="shared" si="1187"/>
        <v>#DIV/0!</v>
      </c>
      <c r="BV140" s="161" t="e">
        <f t="shared" si="1187"/>
        <v>#DIV/0!</v>
      </c>
      <c r="BW140" s="161" t="e">
        <f t="shared" si="1187"/>
        <v>#DIV/0!</v>
      </c>
      <c r="BX140" s="161" t="e">
        <f t="shared" si="1187"/>
        <v>#DIV/0!</v>
      </c>
      <c r="BY140" s="161" t="e">
        <f t="shared" si="1187"/>
        <v>#DIV/0!</v>
      </c>
      <c r="BZ140" s="161" t="e">
        <f t="shared" si="1187"/>
        <v>#DIV/0!</v>
      </c>
      <c r="CA140" s="161" t="e">
        <f t="shared" si="1187"/>
        <v>#DIV/0!</v>
      </c>
      <c r="CB140" s="161" t="e">
        <f t="shared" si="1187"/>
        <v>#DIV/0!</v>
      </c>
      <c r="CC140" s="161" t="e">
        <f t="shared" si="1187"/>
        <v>#DIV/0!</v>
      </c>
      <c r="CD140" s="161">
        <f t="shared" si="1187"/>
        <v>0</v>
      </c>
      <c r="CE140" s="161">
        <f t="shared" ref="CE140:CF140" si="1188">+CE137/CE138</f>
        <v>-0.30192586456823373</v>
      </c>
      <c r="CF140" s="161">
        <f t="shared" si="1188"/>
        <v>0</v>
      </c>
      <c r="CG140" s="161">
        <f t="shared" ref="CG140:CH140" si="1189">+CG137/CG138</f>
        <v>-0.39642868184136132</v>
      </c>
      <c r="CH140" s="161">
        <f t="shared" si="1189"/>
        <v>-2.6793591827257952</v>
      </c>
      <c r="CI140" s="161">
        <f t="shared" ref="CI140:CJ140" si="1190">+CI137/CI138</f>
        <v>-2.6470702533792059</v>
      </c>
      <c r="CJ140" s="161">
        <f t="shared" si="1190"/>
        <v>65.341614906832291</v>
      </c>
      <c r="CK140" s="161">
        <f t="shared" ref="CK140" si="1191">+CK137/CK138</f>
        <v>52.781700498717761</v>
      </c>
      <c r="CL140" s="161">
        <f t="shared" ref="CL140" si="1192">+CL137/CL138</f>
        <v>40.281295328048579</v>
      </c>
      <c r="CM140" s="21">
        <f t="shared" ref="CM140:DB140" si="1193">+CM137/CM138</f>
        <v>39.954770811046622</v>
      </c>
      <c r="CN140" s="21">
        <f t="shared" si="1193"/>
        <v>39.959287910870309</v>
      </c>
      <c r="CO140" s="21">
        <f t="shared" si="1193"/>
        <v>39.219516423326354</v>
      </c>
      <c r="CP140" s="21">
        <f t="shared" si="1193"/>
        <v>39.166104887261817</v>
      </c>
      <c r="CQ140" s="21">
        <f t="shared" si="1193"/>
        <v>38.765594641908812</v>
      </c>
      <c r="CR140" s="21">
        <f t="shared" si="1193"/>
        <v>38.635972732527691</v>
      </c>
      <c r="CS140" s="21">
        <f t="shared" si="1193"/>
        <v>38.176693917898127</v>
      </c>
      <c r="CT140" s="21">
        <f t="shared" si="1193"/>
        <v>37.981890611266962</v>
      </c>
      <c r="CU140" s="21">
        <f t="shared" si="1193"/>
        <v>37.823841298289089</v>
      </c>
      <c r="CV140" s="21">
        <f t="shared" si="1193"/>
        <v>37.886358438765491</v>
      </c>
      <c r="CW140" s="21">
        <f t="shared" si="1193"/>
        <v>37.74919557582669</v>
      </c>
      <c r="CX140" s="21">
        <f t="shared" si="1193"/>
        <v>37.799807985484172</v>
      </c>
      <c r="CY140" s="21">
        <f t="shared" si="1193"/>
        <v>37.732837850593981</v>
      </c>
      <c r="CZ140" s="21">
        <f t="shared" si="1193"/>
        <v>37.865117687669667</v>
      </c>
      <c r="DA140" s="21">
        <f t="shared" si="1193"/>
        <v>37.807692963554331</v>
      </c>
      <c r="DB140" s="21">
        <f t="shared" si="1193"/>
        <v>37.917263877515381</v>
      </c>
      <c r="DC140" s="21">
        <f t="shared" ref="DC140:DD140" si="1194">+DC137/DC138</f>
        <v>37.908918354209092</v>
      </c>
      <c r="DD140" s="21">
        <f t="shared" si="1194"/>
        <v>38.097440906145607</v>
      </c>
      <c r="DE140" s="22"/>
      <c r="DF140" s="161">
        <v>58.100939597315445</v>
      </c>
    </row>
    <row r="141" spans="1:110" s="10" customFormat="1" x14ac:dyDescent="0.2">
      <c r="A141" s="149" t="s">
        <v>490</v>
      </c>
      <c r="AA141" s="20"/>
      <c r="AB141" s="20"/>
      <c r="AC141" s="20"/>
      <c r="AD141" s="20"/>
      <c r="AE141" s="20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126"/>
    </row>
    <row r="142" spans="1:110" x14ac:dyDescent="0.2">
      <c r="A142" s="152" t="s">
        <v>491</v>
      </c>
      <c r="DF142" s="111"/>
    </row>
    <row r="143" spans="1:110" s="23" customFormat="1" outlineLevel="1" x14ac:dyDescent="0.2">
      <c r="A143" s="23" t="s">
        <v>41</v>
      </c>
      <c r="B143" s="23">
        <f>'Annual Raw'!C41</f>
        <v>0</v>
      </c>
      <c r="C143" s="23">
        <f>'Annual Raw'!D41</f>
        <v>0</v>
      </c>
      <c r="D143" s="23">
        <f>'Annual Raw'!E41</f>
        <v>0</v>
      </c>
      <c r="E143" s="23">
        <f>'Annual Raw'!F41</f>
        <v>0</v>
      </c>
      <c r="F143" s="23">
        <f>'Annual Raw'!G41</f>
        <v>0</v>
      </c>
      <c r="G143" s="23">
        <f>'Annual Raw'!H41</f>
        <v>0</v>
      </c>
      <c r="H143" s="23">
        <f>'Annual Raw'!I41</f>
        <v>0</v>
      </c>
      <c r="I143" s="23">
        <f>'Annual Raw'!J41</f>
        <v>0</v>
      </c>
      <c r="J143" s="23">
        <f>'Annual Raw'!K41</f>
        <v>0</v>
      </c>
      <c r="K143" s="23">
        <f>'Annual Raw'!L41</f>
        <v>0</v>
      </c>
      <c r="L143" s="23">
        <f>'Annual Raw'!M41</f>
        <v>0</v>
      </c>
      <c r="M143" s="23">
        <f>'Annual Raw'!N41</f>
        <v>0</v>
      </c>
      <c r="N143" s="23">
        <f>'Annual Raw'!O41</f>
        <v>0</v>
      </c>
      <c r="O143" s="23">
        <f>'Annual Raw'!P41</f>
        <v>0</v>
      </c>
      <c r="P143" s="23">
        <f>'Annual Raw'!Q41</f>
        <v>0</v>
      </c>
      <c r="Q143" s="23">
        <f>'Annual Raw'!R41</f>
        <v>0</v>
      </c>
      <c r="R143" s="23">
        <f>'Annual Raw'!S41</f>
        <v>0</v>
      </c>
      <c r="S143" s="23">
        <f>'Annual Raw'!T41</f>
        <v>0</v>
      </c>
      <c r="T143" s="23">
        <f>'Annual Raw'!U41</f>
        <v>0</v>
      </c>
      <c r="U143" s="23">
        <f>'Annual Raw'!V41</f>
        <v>0</v>
      </c>
      <c r="V143" s="23">
        <f>'Annual Raw'!W41</f>
        <v>0</v>
      </c>
      <c r="W143" s="23">
        <f>'Annual Raw'!X41</f>
        <v>0</v>
      </c>
      <c r="X143" s="23">
        <f>'Annual Raw'!Y41</f>
        <v>0</v>
      </c>
      <c r="Y143" s="23">
        <f>'Annual Raw'!Z41</f>
        <v>0</v>
      </c>
      <c r="Z143" s="23">
        <f>'Annual Raw'!AA41</f>
        <v>71.2</v>
      </c>
      <c r="AA143" s="74">
        <f>+CN143</f>
        <v>71.2</v>
      </c>
      <c r="AB143" s="74">
        <f>CR143</f>
        <v>71.2</v>
      </c>
      <c r="AC143" s="74">
        <f>CV143</f>
        <v>71.2</v>
      </c>
      <c r="AD143" s="74">
        <f>CZ143</f>
        <v>71.2</v>
      </c>
      <c r="AE143" s="74">
        <f>DD143</f>
        <v>71.2</v>
      </c>
      <c r="AJ143" s="23">
        <f>+'QTR Raw'!D56</f>
        <v>0</v>
      </c>
      <c r="AK143" s="23">
        <f t="shared" ref="AK143:CE143" si="1195">+AJ143</f>
        <v>0</v>
      </c>
      <c r="AL143" s="23">
        <f>+'QTR Raw'!F56</f>
        <v>0</v>
      </c>
      <c r="AM143" s="23">
        <f t="shared" si="1195"/>
        <v>0</v>
      </c>
      <c r="AN143" s="23">
        <f>+'QTR Raw'!H56</f>
        <v>0</v>
      </c>
      <c r="AO143" s="23">
        <f t="shared" si="1195"/>
        <v>0</v>
      </c>
      <c r="AP143" s="23">
        <f>+'QTR Raw'!J56</f>
        <v>0</v>
      </c>
      <c r="AQ143" s="23">
        <f t="shared" si="1195"/>
        <v>0</v>
      </c>
      <c r="AR143" s="23">
        <f>+'QTR Raw'!L56</f>
        <v>0</v>
      </c>
      <c r="AS143" s="23">
        <f t="shared" si="1195"/>
        <v>0</v>
      </c>
      <c r="AT143" s="23">
        <f>+'QTR Raw'!N56</f>
        <v>0</v>
      </c>
      <c r="AU143" s="23">
        <f t="shared" si="1195"/>
        <v>0</v>
      </c>
      <c r="AV143" s="23">
        <f>+'QTR Raw'!P56</f>
        <v>0</v>
      </c>
      <c r="AW143" s="23">
        <f t="shared" si="1195"/>
        <v>0</v>
      </c>
      <c r="AX143" s="23">
        <f>+'QTR Raw'!R56</f>
        <v>0</v>
      </c>
      <c r="AY143" s="23">
        <f t="shared" si="1195"/>
        <v>0</v>
      </c>
      <c r="AZ143" s="23">
        <f>+'QTR Raw'!T56</f>
        <v>0</v>
      </c>
      <c r="BA143" s="23">
        <f t="shared" si="1195"/>
        <v>0</v>
      </c>
      <c r="BB143" s="23">
        <f>+'QTR Raw'!V56</f>
        <v>0</v>
      </c>
      <c r="BC143" s="23">
        <f t="shared" si="1195"/>
        <v>0</v>
      </c>
      <c r="BD143" s="23">
        <f>+'QTR Raw'!X56</f>
        <v>0</v>
      </c>
      <c r="BE143" s="23">
        <f t="shared" si="1195"/>
        <v>0</v>
      </c>
      <c r="BF143" s="23">
        <f>+'QTR Raw'!Z56</f>
        <v>0</v>
      </c>
      <c r="BG143" s="23">
        <f t="shared" si="1195"/>
        <v>0</v>
      </c>
      <c r="BH143" s="23">
        <f>+'QTR Raw'!AB56</f>
        <v>0</v>
      </c>
      <c r="BI143" s="23">
        <f t="shared" si="1195"/>
        <v>0</v>
      </c>
      <c r="BJ143" s="23">
        <f>+'QTR Raw'!AD56</f>
        <v>0</v>
      </c>
      <c r="BK143" s="23">
        <f t="shared" si="1195"/>
        <v>0</v>
      </c>
      <c r="BL143" s="23">
        <f>+'QTR Raw'!AF56</f>
        <v>0</v>
      </c>
      <c r="BM143" s="23">
        <f t="shared" si="1195"/>
        <v>0</v>
      </c>
      <c r="BN143" s="23">
        <f>+'QTR Raw'!AH56</f>
        <v>0</v>
      </c>
      <c r="BO143" s="23">
        <f t="shared" si="1195"/>
        <v>0</v>
      </c>
      <c r="BP143" s="23">
        <f>+'QTR Raw'!AJ56</f>
        <v>0</v>
      </c>
      <c r="BQ143" s="23">
        <f t="shared" si="1195"/>
        <v>0</v>
      </c>
      <c r="BR143" s="23">
        <f>+'QTR Raw'!AL56</f>
        <v>0</v>
      </c>
      <c r="BS143" s="23">
        <f t="shared" si="1195"/>
        <v>0</v>
      </c>
      <c r="BT143" s="23">
        <f>+'QTR Raw'!AN56</f>
        <v>0</v>
      </c>
      <c r="BU143" s="23">
        <f t="shared" si="1195"/>
        <v>0</v>
      </c>
      <c r="BV143" s="23">
        <f>+'QTR Raw'!AP56</f>
        <v>0</v>
      </c>
      <c r="BW143" s="23">
        <f t="shared" si="1195"/>
        <v>0</v>
      </c>
      <c r="BX143" s="23">
        <f>+'QTR Raw'!AR56</f>
        <v>0</v>
      </c>
      <c r="BY143" s="23">
        <f t="shared" si="1195"/>
        <v>0</v>
      </c>
      <c r="BZ143" s="23">
        <f>+'QTR Raw'!AT56</f>
        <v>0</v>
      </c>
      <c r="CA143" s="23">
        <f t="shared" si="1195"/>
        <v>0</v>
      </c>
      <c r="CB143" s="23">
        <f>+'QTR Raw'!AV56</f>
        <v>0</v>
      </c>
      <c r="CC143" s="23">
        <f t="shared" si="1195"/>
        <v>0</v>
      </c>
      <c r="CD143" s="23">
        <f>+'QTR Raw'!AX56</f>
        <v>0</v>
      </c>
      <c r="CE143" s="23">
        <f t="shared" si="1195"/>
        <v>0</v>
      </c>
      <c r="CF143" s="23">
        <f>+'QTR Raw'!AZ56</f>
        <v>71.2</v>
      </c>
      <c r="CG143" s="23">
        <f t="shared" ref="CG143:CG144" si="1196">+CF143</f>
        <v>71.2</v>
      </c>
      <c r="CH143" s="23">
        <f>Z143</f>
        <v>71.2</v>
      </c>
      <c r="CI143" s="23">
        <f>CH143</f>
        <v>71.2</v>
      </c>
      <c r="CJ143" s="23">
        <f>+'QTR Raw'!BD56</f>
        <v>71.2</v>
      </c>
      <c r="CK143" s="23">
        <f t="shared" ref="CK143:DB143" si="1197">CJ143</f>
        <v>71.2</v>
      </c>
      <c r="CL143" s="23">
        <f>+'QTR Raw'!BF56</f>
        <v>71.2</v>
      </c>
      <c r="CM143" s="24">
        <f t="shared" si="1197"/>
        <v>71.2</v>
      </c>
      <c r="CN143" s="24">
        <f t="shared" si="1197"/>
        <v>71.2</v>
      </c>
      <c r="CO143" s="24">
        <f t="shared" si="1197"/>
        <v>71.2</v>
      </c>
      <c r="CP143" s="24">
        <f t="shared" si="1197"/>
        <v>71.2</v>
      </c>
      <c r="CQ143" s="24">
        <f t="shared" si="1197"/>
        <v>71.2</v>
      </c>
      <c r="CR143" s="24">
        <f t="shared" si="1197"/>
        <v>71.2</v>
      </c>
      <c r="CS143" s="24">
        <f t="shared" si="1197"/>
        <v>71.2</v>
      </c>
      <c r="CT143" s="24">
        <f t="shared" si="1197"/>
        <v>71.2</v>
      </c>
      <c r="CU143" s="24">
        <f t="shared" si="1197"/>
        <v>71.2</v>
      </c>
      <c r="CV143" s="24">
        <f t="shared" si="1197"/>
        <v>71.2</v>
      </c>
      <c r="CW143" s="24">
        <f t="shared" si="1197"/>
        <v>71.2</v>
      </c>
      <c r="CX143" s="24">
        <f t="shared" si="1197"/>
        <v>71.2</v>
      </c>
      <c r="CY143" s="24">
        <f t="shared" si="1197"/>
        <v>71.2</v>
      </c>
      <c r="CZ143" s="24">
        <f t="shared" si="1197"/>
        <v>71.2</v>
      </c>
      <c r="DA143" s="24">
        <f t="shared" si="1197"/>
        <v>71.2</v>
      </c>
      <c r="DB143" s="24">
        <f t="shared" si="1197"/>
        <v>71.2</v>
      </c>
      <c r="DC143" s="24">
        <f t="shared" ref="DC143:DC144" si="1198">DB143</f>
        <v>71.2</v>
      </c>
      <c r="DD143" s="24">
        <f t="shared" ref="DD143:DD144" si="1199">DC143</f>
        <v>71.2</v>
      </c>
      <c r="DE143" s="123"/>
      <c r="DF143" s="23">
        <v>71.2</v>
      </c>
    </row>
    <row r="144" spans="1:110" s="23" customFormat="1" outlineLevel="1" x14ac:dyDescent="0.2">
      <c r="A144" s="23" t="s">
        <v>42</v>
      </c>
      <c r="B144" s="23">
        <f>'Annual Raw'!C42</f>
        <v>0</v>
      </c>
      <c r="C144" s="23">
        <f>'Annual Raw'!D42</f>
        <v>0</v>
      </c>
      <c r="D144" s="23">
        <f>'Annual Raw'!E42</f>
        <v>0</v>
      </c>
      <c r="E144" s="23">
        <f>'Annual Raw'!F42</f>
        <v>0</v>
      </c>
      <c r="F144" s="23">
        <f>'Annual Raw'!G42</f>
        <v>0</v>
      </c>
      <c r="G144" s="23">
        <f>'Annual Raw'!H42</f>
        <v>0</v>
      </c>
      <c r="H144" s="23">
        <f>'Annual Raw'!I42</f>
        <v>0</v>
      </c>
      <c r="I144" s="23">
        <f>'Annual Raw'!J42</f>
        <v>0</v>
      </c>
      <c r="J144" s="23">
        <f>'Annual Raw'!K42</f>
        <v>0</v>
      </c>
      <c r="K144" s="23">
        <f>'Annual Raw'!L42</f>
        <v>0</v>
      </c>
      <c r="L144" s="23">
        <f>'Annual Raw'!M42</f>
        <v>0</v>
      </c>
      <c r="M144" s="23">
        <f>'Annual Raw'!N42</f>
        <v>0</v>
      </c>
      <c r="N144" s="23">
        <f>'Annual Raw'!O42</f>
        <v>0</v>
      </c>
      <c r="O144" s="23">
        <f>'Annual Raw'!P42</f>
        <v>0</v>
      </c>
      <c r="P144" s="23">
        <f>'Annual Raw'!Q42</f>
        <v>0</v>
      </c>
      <c r="Q144" s="23">
        <f>'Annual Raw'!R42</f>
        <v>0</v>
      </c>
      <c r="R144" s="23">
        <f>'Annual Raw'!S42</f>
        <v>0</v>
      </c>
      <c r="S144" s="23">
        <f>'Annual Raw'!T42</f>
        <v>0</v>
      </c>
      <c r="T144" s="23">
        <f>'Annual Raw'!U42</f>
        <v>0</v>
      </c>
      <c r="U144" s="23">
        <f>'Annual Raw'!V42</f>
        <v>0</v>
      </c>
      <c r="V144" s="23">
        <f>'Annual Raw'!W42</f>
        <v>0</v>
      </c>
      <c r="W144" s="23">
        <f>'Annual Raw'!X42</f>
        <v>0</v>
      </c>
      <c r="X144" s="23">
        <f>'Annual Raw'!Y42</f>
        <v>0</v>
      </c>
      <c r="Y144" s="23">
        <f>'Annual Raw'!Z42</f>
        <v>71.2</v>
      </c>
      <c r="Z144" s="23">
        <f>'Annual Raw'!AA42</f>
        <v>0</v>
      </c>
      <c r="AA144" s="74">
        <f>+CN144</f>
        <v>0</v>
      </c>
      <c r="AB144" s="74">
        <f>CR144</f>
        <v>0</v>
      </c>
      <c r="AC144" s="74">
        <f>CV144</f>
        <v>0</v>
      </c>
      <c r="AD144" s="74">
        <f>CZ144</f>
        <v>0</v>
      </c>
      <c r="AE144" s="74">
        <f>DD144</f>
        <v>0</v>
      </c>
      <c r="AJ144" s="23">
        <f>+'QTR Raw'!D57</f>
        <v>0</v>
      </c>
      <c r="AK144" s="23">
        <f t="shared" ref="AK144:CE144" si="1200">+AJ144</f>
        <v>0</v>
      </c>
      <c r="AL144" s="23">
        <f>+'QTR Raw'!F57</f>
        <v>0</v>
      </c>
      <c r="AM144" s="23">
        <f t="shared" si="1200"/>
        <v>0</v>
      </c>
      <c r="AN144" s="23">
        <f>+'QTR Raw'!H57</f>
        <v>0</v>
      </c>
      <c r="AO144" s="23">
        <f t="shared" si="1200"/>
        <v>0</v>
      </c>
      <c r="AP144" s="23">
        <f>+'QTR Raw'!J57</f>
        <v>0</v>
      </c>
      <c r="AQ144" s="23">
        <f t="shared" si="1200"/>
        <v>0</v>
      </c>
      <c r="AR144" s="23">
        <f>+'QTR Raw'!L57</f>
        <v>0</v>
      </c>
      <c r="AS144" s="23">
        <f t="shared" si="1200"/>
        <v>0</v>
      </c>
      <c r="AT144" s="23">
        <f>+'QTR Raw'!N57</f>
        <v>0</v>
      </c>
      <c r="AU144" s="23">
        <f t="shared" si="1200"/>
        <v>0</v>
      </c>
      <c r="AV144" s="23">
        <f>+'QTR Raw'!P57</f>
        <v>0</v>
      </c>
      <c r="AW144" s="23">
        <f t="shared" si="1200"/>
        <v>0</v>
      </c>
      <c r="AX144" s="23">
        <f>+'QTR Raw'!R57</f>
        <v>0</v>
      </c>
      <c r="AY144" s="23">
        <f t="shared" si="1200"/>
        <v>0</v>
      </c>
      <c r="AZ144" s="23">
        <f>+'QTR Raw'!T57</f>
        <v>0</v>
      </c>
      <c r="BA144" s="23">
        <f t="shared" si="1200"/>
        <v>0</v>
      </c>
      <c r="BB144" s="23">
        <f>+'QTR Raw'!V57</f>
        <v>0</v>
      </c>
      <c r="BC144" s="23">
        <f t="shared" si="1200"/>
        <v>0</v>
      </c>
      <c r="BD144" s="23">
        <f>+'QTR Raw'!X57</f>
        <v>0</v>
      </c>
      <c r="BE144" s="23">
        <f t="shared" si="1200"/>
        <v>0</v>
      </c>
      <c r="BF144" s="23">
        <f>+'QTR Raw'!Z57</f>
        <v>0</v>
      </c>
      <c r="BG144" s="23">
        <f t="shared" si="1200"/>
        <v>0</v>
      </c>
      <c r="BH144" s="23">
        <f>+'QTR Raw'!AB57</f>
        <v>0</v>
      </c>
      <c r="BI144" s="23">
        <f t="shared" si="1200"/>
        <v>0</v>
      </c>
      <c r="BJ144" s="23">
        <f>+'QTR Raw'!AD57</f>
        <v>0</v>
      </c>
      <c r="BK144" s="23">
        <f t="shared" si="1200"/>
        <v>0</v>
      </c>
      <c r="BL144" s="23">
        <f>+'QTR Raw'!AF57</f>
        <v>0</v>
      </c>
      <c r="BM144" s="23">
        <f t="shared" si="1200"/>
        <v>0</v>
      </c>
      <c r="BN144" s="23">
        <f>+'QTR Raw'!AH57</f>
        <v>0</v>
      </c>
      <c r="BO144" s="23">
        <f t="shared" si="1200"/>
        <v>0</v>
      </c>
      <c r="BP144" s="23">
        <f>+'QTR Raw'!AJ57</f>
        <v>0</v>
      </c>
      <c r="BQ144" s="23">
        <f t="shared" si="1200"/>
        <v>0</v>
      </c>
      <c r="BR144" s="23">
        <f>+'QTR Raw'!AL57</f>
        <v>0</v>
      </c>
      <c r="BS144" s="23">
        <f t="shared" si="1200"/>
        <v>0</v>
      </c>
      <c r="BT144" s="23">
        <f>+'QTR Raw'!AN57</f>
        <v>0</v>
      </c>
      <c r="BU144" s="23">
        <f t="shared" si="1200"/>
        <v>0</v>
      </c>
      <c r="BV144" s="23">
        <f>+'QTR Raw'!AP57</f>
        <v>0</v>
      </c>
      <c r="BW144" s="23">
        <f t="shared" si="1200"/>
        <v>0</v>
      </c>
      <c r="BX144" s="23">
        <f>+'QTR Raw'!AR57</f>
        <v>0</v>
      </c>
      <c r="BY144" s="23">
        <f t="shared" si="1200"/>
        <v>0</v>
      </c>
      <c r="BZ144" s="23">
        <f>+'QTR Raw'!AT57</f>
        <v>0</v>
      </c>
      <c r="CA144" s="23">
        <f t="shared" si="1200"/>
        <v>0</v>
      </c>
      <c r="CB144" s="23">
        <f>+'QTR Raw'!AV57</f>
        <v>0</v>
      </c>
      <c r="CC144" s="23">
        <f t="shared" si="1200"/>
        <v>0</v>
      </c>
      <c r="CD144" s="23">
        <f>+'QTR Raw'!AX57</f>
        <v>0</v>
      </c>
      <c r="CE144" s="23">
        <f t="shared" si="1200"/>
        <v>0</v>
      </c>
      <c r="CF144" s="23">
        <f>+'QTR Raw'!AZ57</f>
        <v>0</v>
      </c>
      <c r="CG144" s="23">
        <f t="shared" si="1196"/>
        <v>0</v>
      </c>
      <c r="CH144" s="23">
        <f t="shared" ref="CH144:CH145" si="1201">Z144</f>
        <v>0</v>
      </c>
      <c r="CI144" s="23">
        <f>CH144</f>
        <v>0</v>
      </c>
      <c r="CJ144" s="23">
        <f>+'QTR Raw'!BD57</f>
        <v>0</v>
      </c>
      <c r="CK144" s="23">
        <f t="shared" ref="CK144:DB144" si="1202">CJ144</f>
        <v>0</v>
      </c>
      <c r="CL144" s="23">
        <f>+'QTR Raw'!BF57</f>
        <v>0</v>
      </c>
      <c r="CM144" s="24">
        <f t="shared" si="1202"/>
        <v>0</v>
      </c>
      <c r="CN144" s="24">
        <f t="shared" si="1202"/>
        <v>0</v>
      </c>
      <c r="CO144" s="24">
        <f t="shared" si="1202"/>
        <v>0</v>
      </c>
      <c r="CP144" s="24">
        <f t="shared" si="1202"/>
        <v>0</v>
      </c>
      <c r="CQ144" s="24">
        <f t="shared" si="1202"/>
        <v>0</v>
      </c>
      <c r="CR144" s="24">
        <f t="shared" si="1202"/>
        <v>0</v>
      </c>
      <c r="CS144" s="24">
        <f t="shared" si="1202"/>
        <v>0</v>
      </c>
      <c r="CT144" s="24">
        <f t="shared" si="1202"/>
        <v>0</v>
      </c>
      <c r="CU144" s="24">
        <f t="shared" si="1202"/>
        <v>0</v>
      </c>
      <c r="CV144" s="24">
        <f t="shared" si="1202"/>
        <v>0</v>
      </c>
      <c r="CW144" s="24">
        <f t="shared" si="1202"/>
        <v>0</v>
      </c>
      <c r="CX144" s="24">
        <f t="shared" si="1202"/>
        <v>0</v>
      </c>
      <c r="CY144" s="24">
        <f t="shared" si="1202"/>
        <v>0</v>
      </c>
      <c r="CZ144" s="24">
        <f t="shared" si="1202"/>
        <v>0</v>
      </c>
      <c r="DA144" s="24">
        <f t="shared" si="1202"/>
        <v>0</v>
      </c>
      <c r="DB144" s="24">
        <f t="shared" si="1202"/>
        <v>0</v>
      </c>
      <c r="DC144" s="24">
        <f t="shared" si="1198"/>
        <v>0</v>
      </c>
      <c r="DD144" s="24">
        <f t="shared" si="1199"/>
        <v>0</v>
      </c>
      <c r="DE144" s="123"/>
      <c r="DF144" s="23">
        <v>0</v>
      </c>
    </row>
    <row r="145" spans="1:110" s="23" customFormat="1" outlineLevel="1" x14ac:dyDescent="0.2">
      <c r="A145" s="23" t="s">
        <v>43</v>
      </c>
      <c r="B145" s="23">
        <f>'Annual Raw'!C43</f>
        <v>0</v>
      </c>
      <c r="C145" s="23">
        <f>'Annual Raw'!D43</f>
        <v>0</v>
      </c>
      <c r="D145" s="23">
        <f>'Annual Raw'!E43</f>
        <v>0</v>
      </c>
      <c r="E145" s="23">
        <f>'Annual Raw'!F43</f>
        <v>0</v>
      </c>
      <c r="F145" s="23">
        <f>'Annual Raw'!G43</f>
        <v>0</v>
      </c>
      <c r="G145" s="23">
        <f>'Annual Raw'!H43</f>
        <v>0</v>
      </c>
      <c r="H145" s="23">
        <f>'Annual Raw'!I43</f>
        <v>0</v>
      </c>
      <c r="I145" s="23">
        <f>'Annual Raw'!J43</f>
        <v>0</v>
      </c>
      <c r="J145" s="23">
        <f>'Annual Raw'!K43</f>
        <v>0</v>
      </c>
      <c r="K145" s="23">
        <f>'Annual Raw'!L43</f>
        <v>0</v>
      </c>
      <c r="L145" s="23">
        <f>'Annual Raw'!M43</f>
        <v>0</v>
      </c>
      <c r="M145" s="23">
        <f>'Annual Raw'!N43</f>
        <v>0</v>
      </c>
      <c r="N145" s="23">
        <f>'Annual Raw'!O43</f>
        <v>0</v>
      </c>
      <c r="O145" s="23">
        <f>'Annual Raw'!P43</f>
        <v>0</v>
      </c>
      <c r="P145" s="23">
        <f>'Annual Raw'!Q43</f>
        <v>0</v>
      </c>
      <c r="Q145" s="23">
        <f>'Annual Raw'!R43</f>
        <v>0</v>
      </c>
      <c r="R145" s="23">
        <f>'Annual Raw'!S43</f>
        <v>0</v>
      </c>
      <c r="S145" s="23">
        <f>'Annual Raw'!T43</f>
        <v>0</v>
      </c>
      <c r="T145" s="23">
        <f>'Annual Raw'!U43</f>
        <v>0</v>
      </c>
      <c r="U145" s="23">
        <f>'Annual Raw'!V43</f>
        <v>0</v>
      </c>
      <c r="V145" s="23">
        <f>'Annual Raw'!W43</f>
        <v>0</v>
      </c>
      <c r="W145" s="23">
        <f>'Annual Raw'!X43</f>
        <v>0</v>
      </c>
      <c r="X145" s="23">
        <f>'Annual Raw'!Y43</f>
        <v>0</v>
      </c>
      <c r="Y145" s="23">
        <f>'Annual Raw'!Z43</f>
        <v>3145.6</v>
      </c>
      <c r="Z145" s="23">
        <f>'Annual Raw'!AA43</f>
        <v>4310.1000000000004</v>
      </c>
      <c r="AA145" s="74">
        <f>+CN145</f>
        <v>5572.1998884262221</v>
      </c>
      <c r="AB145" s="74">
        <f>CR145</f>
        <v>7466.4958763441027</v>
      </c>
      <c r="AC145" s="74">
        <f>CV145</f>
        <v>9762.5828384618235</v>
      </c>
      <c r="AD145" s="74">
        <f>CZ145</f>
        <v>12486.908221527123</v>
      </c>
      <c r="AE145" s="74">
        <f>DD145</f>
        <v>15711.625281245657</v>
      </c>
      <c r="AJ145" s="23">
        <f>+'QTR Raw'!D58</f>
        <v>0</v>
      </c>
      <c r="AK145" s="23">
        <f>+AJ145+AK74</f>
        <v>0</v>
      </c>
      <c r="AL145" s="23">
        <f>+'QTR Raw'!F58</f>
        <v>0</v>
      </c>
      <c r="AM145" s="23">
        <f>+AL145+AM74</f>
        <v>0</v>
      </c>
      <c r="AN145" s="23">
        <f>+'QTR Raw'!H58</f>
        <v>0</v>
      </c>
      <c r="AO145" s="23">
        <f>+AN145+AO74</f>
        <v>0</v>
      </c>
      <c r="AP145" s="23">
        <f>+'QTR Raw'!J58</f>
        <v>0</v>
      </c>
      <c r="AQ145" s="23">
        <f>+AP145+AQ74</f>
        <v>0</v>
      </c>
      <c r="AR145" s="23">
        <f>+'QTR Raw'!L58</f>
        <v>0</v>
      </c>
      <c r="AS145" s="23">
        <f>+AR145+AS74</f>
        <v>0</v>
      </c>
      <c r="AT145" s="23">
        <f>+'QTR Raw'!N58</f>
        <v>0</v>
      </c>
      <c r="AU145" s="23">
        <f>+AT145+AU74</f>
        <v>0</v>
      </c>
      <c r="AV145" s="23">
        <f>+'QTR Raw'!P58</f>
        <v>0</v>
      </c>
      <c r="AW145" s="23">
        <f>+AV145+AW74</f>
        <v>0</v>
      </c>
      <c r="AX145" s="23">
        <f>+'QTR Raw'!R58</f>
        <v>0</v>
      </c>
      <c r="AY145" s="23">
        <f>+AX145+AY74</f>
        <v>0</v>
      </c>
      <c r="AZ145" s="23">
        <f>+'QTR Raw'!T58</f>
        <v>0</v>
      </c>
      <c r="BA145" s="23">
        <f>+AZ145+BA74</f>
        <v>0</v>
      </c>
      <c r="BB145" s="23">
        <f>+'QTR Raw'!V58</f>
        <v>0</v>
      </c>
      <c r="BC145" s="23">
        <f>+BB145+BC74</f>
        <v>0</v>
      </c>
      <c r="BD145" s="23">
        <f>+'QTR Raw'!X58</f>
        <v>0</v>
      </c>
      <c r="BE145" s="23">
        <f>+BD145+BE74</f>
        <v>0</v>
      </c>
      <c r="BF145" s="23">
        <f>+'QTR Raw'!Z58</f>
        <v>0</v>
      </c>
      <c r="BG145" s="23">
        <f>+BF145+BG74</f>
        <v>0</v>
      </c>
      <c r="BH145" s="23">
        <f>+'QTR Raw'!AB58</f>
        <v>0</v>
      </c>
      <c r="BI145" s="23">
        <f>+BH145+BI74</f>
        <v>0</v>
      </c>
      <c r="BJ145" s="23">
        <f>+'QTR Raw'!AD58</f>
        <v>0</v>
      </c>
      <c r="BK145" s="23">
        <f>+BJ145+BK74</f>
        <v>0</v>
      </c>
      <c r="BL145" s="23">
        <f>+'QTR Raw'!AF58</f>
        <v>0</v>
      </c>
      <c r="BM145" s="23">
        <f>+BL145+BM74</f>
        <v>0</v>
      </c>
      <c r="BN145" s="23">
        <f>+'QTR Raw'!AH58</f>
        <v>0</v>
      </c>
      <c r="BO145" s="23">
        <f>+BN145+BO74</f>
        <v>0</v>
      </c>
      <c r="BP145" s="23">
        <f>+'QTR Raw'!AJ58</f>
        <v>0</v>
      </c>
      <c r="BQ145" s="23">
        <f>+BP145+BQ74</f>
        <v>0</v>
      </c>
      <c r="BR145" s="23">
        <f>+'QTR Raw'!AL58</f>
        <v>0</v>
      </c>
      <c r="BS145" s="23">
        <f>+BR145+BS74</f>
        <v>0</v>
      </c>
      <c r="BT145" s="23">
        <f>+'QTR Raw'!AN58</f>
        <v>0</v>
      </c>
      <c r="BU145" s="23">
        <f>+BT145+BU74</f>
        <v>0</v>
      </c>
      <c r="BV145" s="23">
        <f>+'QTR Raw'!AP58</f>
        <v>0</v>
      </c>
      <c r="BW145" s="23">
        <f>+BV145+BW74</f>
        <v>0</v>
      </c>
      <c r="BX145" s="23">
        <f>+'QTR Raw'!AR58</f>
        <v>0</v>
      </c>
      <c r="BY145" s="23">
        <f>+BX145+BY74</f>
        <v>0</v>
      </c>
      <c r="BZ145" s="23">
        <f>+'QTR Raw'!AT58</f>
        <v>0</v>
      </c>
      <c r="CA145" s="23">
        <f>+BZ145+CA74</f>
        <v>0</v>
      </c>
      <c r="CB145" s="23">
        <f>+'QTR Raw'!AV58</f>
        <v>0</v>
      </c>
      <c r="CC145" s="23">
        <f>+CB145+CC74</f>
        <v>0</v>
      </c>
      <c r="CD145" s="23">
        <f>+'QTR Raw'!AX58</f>
        <v>0</v>
      </c>
      <c r="CE145" s="23">
        <f>+CD145+CE74</f>
        <v>145.80000000000007</v>
      </c>
      <c r="CF145" s="23">
        <f>+'QTR Raw'!AZ58</f>
        <v>3145.6</v>
      </c>
      <c r="CG145" s="23">
        <f>+CF145+CG74</f>
        <v>3377.3</v>
      </c>
      <c r="CH145" s="23">
        <f t="shared" si="1201"/>
        <v>4310.1000000000004</v>
      </c>
      <c r="CI145" s="23">
        <f>CH145+CI74</f>
        <v>4572.8</v>
      </c>
      <c r="CJ145" s="23">
        <f>+'QTR Raw'!BD58</f>
        <v>4310.1000000000004</v>
      </c>
      <c r="CK145" s="23">
        <f t="shared" ref="CK145:DB145" si="1203">CJ145+CK74</f>
        <v>4623.0000000000009</v>
      </c>
      <c r="CL145" s="23">
        <f>+'QTR Raw'!BF58</f>
        <v>4740.6000000000004</v>
      </c>
      <c r="CM145" s="24">
        <f t="shared" si="1203"/>
        <v>5078.4339583368519</v>
      </c>
      <c r="CN145" s="24">
        <f t="shared" si="1203"/>
        <v>5572.1998884262221</v>
      </c>
      <c r="CO145" s="24">
        <f t="shared" si="1203"/>
        <v>5976.8481831254194</v>
      </c>
      <c r="CP145" s="24">
        <f t="shared" si="1203"/>
        <v>6462.7438773037575</v>
      </c>
      <c r="CQ145" s="24">
        <f t="shared" si="1203"/>
        <v>6869.6598041866946</v>
      </c>
      <c r="CR145" s="24">
        <f t="shared" si="1203"/>
        <v>7466.4958763441027</v>
      </c>
      <c r="CS145" s="24">
        <f t="shared" si="1203"/>
        <v>7948.3710336125705</v>
      </c>
      <c r="CT145" s="24">
        <f t="shared" si="1203"/>
        <v>8537.4474073376514</v>
      </c>
      <c r="CU145" s="24">
        <f t="shared" si="1203"/>
        <v>9036.7873848272702</v>
      </c>
      <c r="CV145" s="24">
        <f t="shared" si="1203"/>
        <v>9762.5828384618235</v>
      </c>
      <c r="CW145" s="24">
        <f t="shared" si="1203"/>
        <v>10341.316765821382</v>
      </c>
      <c r="CX145" s="24">
        <f t="shared" si="1203"/>
        <v>11044.227553967403</v>
      </c>
      <c r="CY145" s="24">
        <f t="shared" si="1203"/>
        <v>11636.605023199061</v>
      </c>
      <c r="CZ145" s="24">
        <f t="shared" si="1203"/>
        <v>12486.908221527123</v>
      </c>
      <c r="DA145" s="24">
        <f t="shared" si="1203"/>
        <v>13175.812237792485</v>
      </c>
      <c r="DB145" s="24">
        <f t="shared" si="1203"/>
        <v>14007.822464065186</v>
      </c>
      <c r="DC145" s="24">
        <f t="shared" ref="DC145" si="1204">DB145+DC74</f>
        <v>14709.202412103859</v>
      </c>
      <c r="DD145" s="24">
        <f t="shared" ref="DD145" si="1205">DC145+DD74</f>
        <v>15711.625281245657</v>
      </c>
      <c r="DE145" s="123"/>
      <c r="DF145" s="23">
        <v>4310.1000000000004</v>
      </c>
    </row>
    <row r="146" spans="1:110" s="22" customFormat="1" x14ac:dyDescent="0.2">
      <c r="A146" s="22" t="s">
        <v>44</v>
      </c>
      <c r="B146" s="22">
        <f>B143+B144+B145</f>
        <v>0</v>
      </c>
      <c r="C146" s="22">
        <f t="shared" ref="C146:V146" si="1206">C143+C144+C145</f>
        <v>0</v>
      </c>
      <c r="D146" s="22">
        <f t="shared" si="1206"/>
        <v>0</v>
      </c>
      <c r="E146" s="22">
        <f t="shared" si="1206"/>
        <v>0</v>
      </c>
      <c r="F146" s="22">
        <f t="shared" si="1206"/>
        <v>0</v>
      </c>
      <c r="G146" s="22">
        <f t="shared" si="1206"/>
        <v>0</v>
      </c>
      <c r="H146" s="22">
        <f t="shared" si="1206"/>
        <v>0</v>
      </c>
      <c r="I146" s="22">
        <f t="shared" si="1206"/>
        <v>0</v>
      </c>
      <c r="J146" s="22">
        <f t="shared" si="1206"/>
        <v>0</v>
      </c>
      <c r="K146" s="22">
        <f t="shared" si="1206"/>
        <v>0</v>
      </c>
      <c r="L146" s="22">
        <f t="shared" si="1206"/>
        <v>0</v>
      </c>
      <c r="M146" s="22">
        <f>M143+M144+M145</f>
        <v>0</v>
      </c>
      <c r="N146" s="22">
        <f t="shared" si="1206"/>
        <v>0</v>
      </c>
      <c r="O146" s="22">
        <f t="shared" si="1206"/>
        <v>0</v>
      </c>
      <c r="P146" s="22">
        <f t="shared" si="1206"/>
        <v>0</v>
      </c>
      <c r="Q146" s="22">
        <f t="shared" si="1206"/>
        <v>0</v>
      </c>
      <c r="R146" s="22">
        <f t="shared" si="1206"/>
        <v>0</v>
      </c>
      <c r="S146" s="22">
        <f t="shared" si="1206"/>
        <v>0</v>
      </c>
      <c r="T146" s="22">
        <f t="shared" si="1206"/>
        <v>0</v>
      </c>
      <c r="U146" s="22">
        <f t="shared" si="1206"/>
        <v>0</v>
      </c>
      <c r="V146" s="22">
        <f t="shared" si="1206"/>
        <v>0</v>
      </c>
      <c r="W146" s="22">
        <f t="shared" ref="W146" si="1207">W143+W144+W145</f>
        <v>0</v>
      </c>
      <c r="X146" s="22">
        <f t="shared" ref="X146:Y146" si="1208">X143+X144+X145</f>
        <v>0</v>
      </c>
      <c r="Y146" s="22">
        <f t="shared" si="1208"/>
        <v>3216.7999999999997</v>
      </c>
      <c r="Z146" s="22">
        <f t="shared" ref="Z146" si="1209">Z143+Z144+Z145</f>
        <v>4381.3</v>
      </c>
      <c r="AA146" s="21">
        <f t="shared" ref="AA146:AD146" si="1210">AA143+AA144+AA145</f>
        <v>5643.3998884262219</v>
      </c>
      <c r="AB146" s="21">
        <f t="shared" si="1210"/>
        <v>7537.6958763441025</v>
      </c>
      <c r="AC146" s="21">
        <f t="shared" si="1210"/>
        <v>9833.7828384618242</v>
      </c>
      <c r="AD146" s="21">
        <f t="shared" si="1210"/>
        <v>12558.108221527124</v>
      </c>
      <c r="AE146" s="21">
        <f t="shared" ref="AE146" si="1211">AE143+AE144+AE145</f>
        <v>15782.825281245658</v>
      </c>
      <c r="AJ146" s="22">
        <f t="shared" ref="AJ146" si="1212">AJ143+AJ144+AJ145</f>
        <v>0</v>
      </c>
      <c r="AK146" s="22">
        <f t="shared" ref="AK146" si="1213">AK143+AK144+AK145</f>
        <v>0</v>
      </c>
      <c r="AL146" s="22">
        <f t="shared" ref="AL146:AM146" si="1214">AL143+AL144+AL145</f>
        <v>0</v>
      </c>
      <c r="AM146" s="22">
        <f t="shared" si="1214"/>
        <v>0</v>
      </c>
      <c r="AN146" s="22">
        <f t="shared" ref="AN146:AO146" si="1215">AN143+AN144+AN145</f>
        <v>0</v>
      </c>
      <c r="AO146" s="22">
        <f t="shared" si="1215"/>
        <v>0</v>
      </c>
      <c r="AP146" s="22">
        <f t="shared" ref="AP146:CE146" si="1216">AP143+AP144+AP145</f>
        <v>0</v>
      </c>
      <c r="AQ146" s="22">
        <f t="shared" si="1216"/>
        <v>0</v>
      </c>
      <c r="AR146" s="22">
        <f t="shared" si="1216"/>
        <v>0</v>
      </c>
      <c r="AS146" s="22">
        <f t="shared" si="1216"/>
        <v>0</v>
      </c>
      <c r="AT146" s="22">
        <f t="shared" si="1216"/>
        <v>0</v>
      </c>
      <c r="AU146" s="22">
        <f t="shared" si="1216"/>
        <v>0</v>
      </c>
      <c r="AV146" s="22">
        <f t="shared" si="1216"/>
        <v>0</v>
      </c>
      <c r="AW146" s="22">
        <f t="shared" si="1216"/>
        <v>0</v>
      </c>
      <c r="AX146" s="22">
        <f t="shared" si="1216"/>
        <v>0</v>
      </c>
      <c r="AY146" s="22">
        <f t="shared" si="1216"/>
        <v>0</v>
      </c>
      <c r="AZ146" s="22">
        <f t="shared" si="1216"/>
        <v>0</v>
      </c>
      <c r="BA146" s="22">
        <f t="shared" si="1216"/>
        <v>0</v>
      </c>
      <c r="BB146" s="22">
        <f t="shared" si="1216"/>
        <v>0</v>
      </c>
      <c r="BC146" s="22">
        <f t="shared" si="1216"/>
        <v>0</v>
      </c>
      <c r="BD146" s="22">
        <f t="shared" si="1216"/>
        <v>0</v>
      </c>
      <c r="BE146" s="22">
        <f t="shared" si="1216"/>
        <v>0</v>
      </c>
      <c r="BF146" s="22">
        <f t="shared" si="1216"/>
        <v>0</v>
      </c>
      <c r="BG146" s="22">
        <f t="shared" si="1216"/>
        <v>0</v>
      </c>
      <c r="BH146" s="22">
        <f t="shared" si="1216"/>
        <v>0</v>
      </c>
      <c r="BI146" s="22">
        <f t="shared" si="1216"/>
        <v>0</v>
      </c>
      <c r="BJ146" s="22">
        <f t="shared" si="1216"/>
        <v>0</v>
      </c>
      <c r="BK146" s="22">
        <f t="shared" si="1216"/>
        <v>0</v>
      </c>
      <c r="BL146" s="22">
        <f t="shared" si="1216"/>
        <v>0</v>
      </c>
      <c r="BM146" s="22">
        <f t="shared" si="1216"/>
        <v>0</v>
      </c>
      <c r="BN146" s="22">
        <f t="shared" si="1216"/>
        <v>0</v>
      </c>
      <c r="BO146" s="22">
        <f t="shared" si="1216"/>
        <v>0</v>
      </c>
      <c r="BP146" s="22">
        <f t="shared" si="1216"/>
        <v>0</v>
      </c>
      <c r="BQ146" s="22">
        <f t="shared" si="1216"/>
        <v>0</v>
      </c>
      <c r="BR146" s="22">
        <f t="shared" si="1216"/>
        <v>0</v>
      </c>
      <c r="BS146" s="22">
        <f t="shared" si="1216"/>
        <v>0</v>
      </c>
      <c r="BT146" s="22">
        <f t="shared" si="1216"/>
        <v>0</v>
      </c>
      <c r="BU146" s="22">
        <f t="shared" si="1216"/>
        <v>0</v>
      </c>
      <c r="BV146" s="22">
        <f t="shared" si="1216"/>
        <v>0</v>
      </c>
      <c r="BW146" s="22">
        <f t="shared" si="1216"/>
        <v>0</v>
      </c>
      <c r="BX146" s="22">
        <f t="shared" si="1216"/>
        <v>0</v>
      </c>
      <c r="BY146" s="22">
        <f t="shared" si="1216"/>
        <v>0</v>
      </c>
      <c r="BZ146" s="22">
        <f t="shared" si="1216"/>
        <v>0</v>
      </c>
      <c r="CA146" s="22">
        <f t="shared" si="1216"/>
        <v>0</v>
      </c>
      <c r="CB146" s="22">
        <f t="shared" si="1216"/>
        <v>0</v>
      </c>
      <c r="CC146" s="22">
        <f t="shared" si="1216"/>
        <v>0</v>
      </c>
      <c r="CD146" s="22">
        <f t="shared" si="1216"/>
        <v>0</v>
      </c>
      <c r="CE146" s="22">
        <f t="shared" si="1216"/>
        <v>145.80000000000007</v>
      </c>
      <c r="CF146" s="22">
        <f t="shared" ref="CF146:CG146" si="1217">CF143+CF144+CF145</f>
        <v>3216.7999999999997</v>
      </c>
      <c r="CG146" s="22">
        <f t="shared" si="1217"/>
        <v>3448.5</v>
      </c>
      <c r="CH146" s="22">
        <f t="shared" ref="CH146:CI146" si="1218">CH143+CH144+CH145</f>
        <v>4381.3</v>
      </c>
      <c r="CI146" s="22">
        <f t="shared" si="1218"/>
        <v>4644</v>
      </c>
      <c r="CJ146" s="22">
        <f t="shared" ref="CJ146:DB146" si="1219">CJ143+CJ144+CJ145</f>
        <v>4381.3</v>
      </c>
      <c r="CK146" s="22">
        <f t="shared" si="1219"/>
        <v>4694.2000000000007</v>
      </c>
      <c r="CL146" s="22">
        <f t="shared" ref="CL146" si="1220">CL143+CL144+CL145</f>
        <v>4811.8</v>
      </c>
      <c r="CM146" s="21">
        <f t="shared" si="1219"/>
        <v>5149.6339583368517</v>
      </c>
      <c r="CN146" s="21">
        <f t="shared" si="1219"/>
        <v>5643.3998884262219</v>
      </c>
      <c r="CO146" s="21">
        <f t="shared" si="1219"/>
        <v>6048.0481831254192</v>
      </c>
      <c r="CP146" s="21">
        <f t="shared" si="1219"/>
        <v>6533.9438773037573</v>
      </c>
      <c r="CQ146" s="21">
        <f t="shared" si="1219"/>
        <v>6940.8598041866944</v>
      </c>
      <c r="CR146" s="21">
        <f t="shared" si="1219"/>
        <v>7537.6958763441025</v>
      </c>
      <c r="CS146" s="21">
        <f t="shared" si="1219"/>
        <v>8019.5710336125703</v>
      </c>
      <c r="CT146" s="21">
        <f t="shared" si="1219"/>
        <v>8608.6474073376521</v>
      </c>
      <c r="CU146" s="21">
        <f t="shared" si="1219"/>
        <v>9107.9873848272709</v>
      </c>
      <c r="CV146" s="21">
        <f t="shared" si="1219"/>
        <v>9833.7828384618242</v>
      </c>
      <c r="CW146" s="21">
        <f t="shared" si="1219"/>
        <v>10412.516765821383</v>
      </c>
      <c r="CX146" s="21">
        <f t="shared" si="1219"/>
        <v>11115.427553967404</v>
      </c>
      <c r="CY146" s="21">
        <f t="shared" si="1219"/>
        <v>11707.805023199062</v>
      </c>
      <c r="CZ146" s="21">
        <f t="shared" si="1219"/>
        <v>12558.108221527124</v>
      </c>
      <c r="DA146" s="21">
        <f t="shared" si="1219"/>
        <v>13247.012237792485</v>
      </c>
      <c r="DB146" s="21">
        <f t="shared" si="1219"/>
        <v>14079.022464065187</v>
      </c>
      <c r="DC146" s="21">
        <f t="shared" ref="DC146:DD146" si="1221">DC143+DC144+DC145</f>
        <v>14780.40241210386</v>
      </c>
      <c r="DD146" s="21">
        <f t="shared" si="1221"/>
        <v>15782.825281245658</v>
      </c>
      <c r="DE146" s="126"/>
      <c r="DF146" s="22">
        <v>4381.3</v>
      </c>
    </row>
    <row r="147" spans="1:110" s="22" customFormat="1" x14ac:dyDescent="0.2">
      <c r="AA147" s="21"/>
      <c r="AB147" s="21"/>
      <c r="AC147" s="21"/>
      <c r="AD147" s="21"/>
      <c r="AE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126"/>
    </row>
    <row r="148" spans="1:110" s="23" customFormat="1" x14ac:dyDescent="0.2">
      <c r="A148" s="23" t="s">
        <v>23</v>
      </c>
      <c r="B148" s="23">
        <f>'Annual Raw'!C45</f>
        <v>0</v>
      </c>
      <c r="C148" s="23">
        <f>'Annual Raw'!D45</f>
        <v>0</v>
      </c>
      <c r="D148" s="23">
        <f>'Annual Raw'!E45</f>
        <v>0</v>
      </c>
      <c r="E148" s="23">
        <f>'Annual Raw'!F45</f>
        <v>0</v>
      </c>
      <c r="F148" s="23">
        <f>'Annual Raw'!G45</f>
        <v>0</v>
      </c>
      <c r="G148" s="23">
        <f>'Annual Raw'!H45</f>
        <v>0</v>
      </c>
      <c r="H148" s="23">
        <f>'Annual Raw'!I45</f>
        <v>0</v>
      </c>
      <c r="I148" s="23">
        <f>'Annual Raw'!J45</f>
        <v>0</v>
      </c>
      <c r="J148" s="23">
        <f>'Annual Raw'!K45</f>
        <v>0</v>
      </c>
      <c r="K148" s="23">
        <f>'Annual Raw'!L45</f>
        <v>0</v>
      </c>
      <c r="L148" s="23">
        <f>'Annual Raw'!M45</f>
        <v>0</v>
      </c>
      <c r="M148" s="23">
        <f>'Annual Raw'!N45</f>
        <v>0</v>
      </c>
      <c r="N148" s="23">
        <f>'Annual Raw'!O45</f>
        <v>0</v>
      </c>
      <c r="O148" s="23">
        <f>'Annual Raw'!P45</f>
        <v>0</v>
      </c>
      <c r="P148" s="23">
        <f>'Annual Raw'!Q45</f>
        <v>0</v>
      </c>
      <c r="Q148" s="23">
        <f>'Annual Raw'!R45</f>
        <v>0</v>
      </c>
      <c r="R148" s="23">
        <f>'Annual Raw'!S45</f>
        <v>0</v>
      </c>
      <c r="S148" s="23">
        <f>'Annual Raw'!T45</f>
        <v>0</v>
      </c>
      <c r="T148" s="23">
        <f>'Annual Raw'!U45</f>
        <v>0</v>
      </c>
      <c r="U148" s="23">
        <f>'Annual Raw'!V45</f>
        <v>0</v>
      </c>
      <c r="V148" s="23">
        <f>'Annual Raw'!W45</f>
        <v>0</v>
      </c>
      <c r="W148" s="23">
        <f>'Annual Raw'!X45</f>
        <v>0</v>
      </c>
      <c r="X148" s="23">
        <f>'Annual Raw'!Y45</f>
        <v>0</v>
      </c>
      <c r="Y148" s="23">
        <f>'Annual Raw'!Z45</f>
        <v>0</v>
      </c>
      <c r="Z148" s="23">
        <f>'Annual Raw'!AA45</f>
        <v>0</v>
      </c>
      <c r="AA148" s="74">
        <f>+CN148</f>
        <v>0</v>
      </c>
      <c r="AB148" s="74">
        <f>CR148</f>
        <v>0</v>
      </c>
      <c r="AC148" s="74">
        <f>CV148</f>
        <v>0</v>
      </c>
      <c r="AD148" s="74">
        <f>CZ148</f>
        <v>0</v>
      </c>
      <c r="AE148" s="74">
        <f>DD148</f>
        <v>0</v>
      </c>
      <c r="AJ148" s="23">
        <f>+'QTR Raw'!D60</f>
        <v>0</v>
      </c>
      <c r="AK148" s="23">
        <f t="shared" ref="AK148:CE148" si="1222">+AJ148</f>
        <v>0</v>
      </c>
      <c r="AL148" s="23">
        <f>+'QTR Raw'!F60</f>
        <v>0</v>
      </c>
      <c r="AM148" s="23">
        <f t="shared" si="1222"/>
        <v>0</v>
      </c>
      <c r="AN148" s="23">
        <f>+'QTR Raw'!H60</f>
        <v>0</v>
      </c>
      <c r="AO148" s="23">
        <f t="shared" si="1222"/>
        <v>0</v>
      </c>
      <c r="AP148" s="23">
        <f>+'QTR Raw'!J60</f>
        <v>0</v>
      </c>
      <c r="AQ148" s="23">
        <f t="shared" si="1222"/>
        <v>0</v>
      </c>
      <c r="AR148" s="23">
        <f>+'QTR Raw'!L60</f>
        <v>0</v>
      </c>
      <c r="AS148" s="23">
        <f t="shared" si="1222"/>
        <v>0</v>
      </c>
      <c r="AT148" s="23">
        <f>+'QTR Raw'!N60</f>
        <v>0</v>
      </c>
      <c r="AU148" s="23">
        <f t="shared" si="1222"/>
        <v>0</v>
      </c>
      <c r="AV148" s="23">
        <f>+'QTR Raw'!P60</f>
        <v>0</v>
      </c>
      <c r="AW148" s="23">
        <f t="shared" si="1222"/>
        <v>0</v>
      </c>
      <c r="AX148" s="23">
        <f>+'QTR Raw'!R60</f>
        <v>0</v>
      </c>
      <c r="AY148" s="23">
        <f t="shared" si="1222"/>
        <v>0</v>
      </c>
      <c r="AZ148" s="23">
        <f>+'QTR Raw'!T60</f>
        <v>0</v>
      </c>
      <c r="BA148" s="23">
        <f t="shared" si="1222"/>
        <v>0</v>
      </c>
      <c r="BB148" s="23">
        <f>+'QTR Raw'!V60</f>
        <v>0</v>
      </c>
      <c r="BC148" s="23">
        <f t="shared" si="1222"/>
        <v>0</v>
      </c>
      <c r="BD148" s="23">
        <f>+'QTR Raw'!X60</f>
        <v>0</v>
      </c>
      <c r="BE148" s="23">
        <f t="shared" si="1222"/>
        <v>0</v>
      </c>
      <c r="BF148" s="23">
        <f>+'QTR Raw'!Z60</f>
        <v>0</v>
      </c>
      <c r="BG148" s="23">
        <f t="shared" si="1222"/>
        <v>0</v>
      </c>
      <c r="BH148" s="22">
        <f>+'QTR Raw'!AB60</f>
        <v>0</v>
      </c>
      <c r="BI148" s="23">
        <f t="shared" si="1222"/>
        <v>0</v>
      </c>
      <c r="BJ148" s="23">
        <f>+'QTR Raw'!AD60</f>
        <v>0</v>
      </c>
      <c r="BK148" s="23">
        <f t="shared" si="1222"/>
        <v>0</v>
      </c>
      <c r="BL148" s="23">
        <f>+'QTR Raw'!AF60</f>
        <v>0</v>
      </c>
      <c r="BM148" s="23">
        <f t="shared" si="1222"/>
        <v>0</v>
      </c>
      <c r="BN148" s="23">
        <f>+'QTR Raw'!AH60</f>
        <v>0</v>
      </c>
      <c r="BO148" s="23">
        <f t="shared" si="1222"/>
        <v>0</v>
      </c>
      <c r="BP148" s="23">
        <f>+'QTR Raw'!AJ60</f>
        <v>0</v>
      </c>
      <c r="BQ148" s="23">
        <f t="shared" si="1222"/>
        <v>0</v>
      </c>
      <c r="BR148" s="23">
        <f>+'QTR Raw'!AL60</f>
        <v>0</v>
      </c>
      <c r="BS148" s="23">
        <f t="shared" si="1222"/>
        <v>0</v>
      </c>
      <c r="BT148" s="23">
        <f>+'QTR Raw'!AN60</f>
        <v>0</v>
      </c>
      <c r="BU148" s="23">
        <f t="shared" si="1222"/>
        <v>0</v>
      </c>
      <c r="BV148" s="23">
        <f>+'QTR Raw'!AP60</f>
        <v>0</v>
      </c>
      <c r="BW148" s="23">
        <f t="shared" si="1222"/>
        <v>0</v>
      </c>
      <c r="BX148" s="23">
        <f>+'QTR Raw'!AR60</f>
        <v>0</v>
      </c>
      <c r="BY148" s="23">
        <f t="shared" si="1222"/>
        <v>0</v>
      </c>
      <c r="BZ148" s="23">
        <f>+'QTR Raw'!AT60</f>
        <v>0</v>
      </c>
      <c r="CA148" s="23">
        <f t="shared" si="1222"/>
        <v>0</v>
      </c>
      <c r="CB148" s="23">
        <f>+'QTR Raw'!AV60</f>
        <v>0</v>
      </c>
      <c r="CC148" s="23">
        <f t="shared" si="1222"/>
        <v>0</v>
      </c>
      <c r="CD148" s="23">
        <f>+'QTR Raw'!AX60</f>
        <v>0</v>
      </c>
      <c r="CE148" s="23">
        <f t="shared" si="1222"/>
        <v>0</v>
      </c>
      <c r="CF148" s="23">
        <f>+'QTR Raw'!AZ60</f>
        <v>0</v>
      </c>
      <c r="CG148" s="23">
        <f t="shared" ref="CG148:CI148" si="1223">+CF148</f>
        <v>0</v>
      </c>
      <c r="CH148" s="23">
        <f t="shared" ref="CH148:CH153" si="1224">Z148</f>
        <v>0</v>
      </c>
      <c r="CI148" s="23">
        <f t="shared" si="1223"/>
        <v>0</v>
      </c>
      <c r="CJ148" s="23">
        <f>+'QTR Raw'!BD60</f>
        <v>0</v>
      </c>
      <c r="CK148" s="23">
        <f t="shared" ref="CK148" si="1225">+CJ148</f>
        <v>0</v>
      </c>
      <c r="CL148" s="23">
        <f>+'QTR Raw'!BF60</f>
        <v>0</v>
      </c>
      <c r="CM148" s="24">
        <f t="shared" ref="CM148" si="1226">+CL148</f>
        <v>0</v>
      </c>
      <c r="CN148" s="24">
        <f t="shared" ref="CN148" si="1227">+CM148</f>
        <v>0</v>
      </c>
      <c r="CO148" s="24">
        <f t="shared" ref="CO148" si="1228">+CN148</f>
        <v>0</v>
      </c>
      <c r="CP148" s="24">
        <f t="shared" ref="CP148" si="1229">+CO148</f>
        <v>0</v>
      </c>
      <c r="CQ148" s="24">
        <f t="shared" ref="CQ148" si="1230">+CP148</f>
        <v>0</v>
      </c>
      <c r="CR148" s="24">
        <f t="shared" ref="CR148" si="1231">+CQ148</f>
        <v>0</v>
      </c>
      <c r="CS148" s="24">
        <f t="shared" ref="CS148" si="1232">+CR148</f>
        <v>0</v>
      </c>
      <c r="CT148" s="24">
        <f t="shared" ref="CT148" si="1233">+CS148</f>
        <v>0</v>
      </c>
      <c r="CU148" s="24">
        <f t="shared" ref="CU148" si="1234">+CT148</f>
        <v>0</v>
      </c>
      <c r="CV148" s="24">
        <f t="shared" ref="CV148" si="1235">+CU148</f>
        <v>0</v>
      </c>
      <c r="CW148" s="24">
        <f t="shared" ref="CW148" si="1236">+CV148</f>
        <v>0</v>
      </c>
      <c r="CX148" s="24">
        <f t="shared" ref="CX148" si="1237">+CW148</f>
        <v>0</v>
      </c>
      <c r="CY148" s="24">
        <f t="shared" ref="CY148" si="1238">+CX148</f>
        <v>0</v>
      </c>
      <c r="CZ148" s="24">
        <f t="shared" ref="CZ148" si="1239">+CY148</f>
        <v>0</v>
      </c>
      <c r="DA148" s="24">
        <f t="shared" ref="DA148" si="1240">+CZ148</f>
        <v>0</v>
      </c>
      <c r="DB148" s="24">
        <f t="shared" ref="DB148" si="1241">+DA148</f>
        <v>0</v>
      </c>
      <c r="DC148" s="24">
        <f t="shared" ref="DC148" si="1242">+DB148</f>
        <v>0</v>
      </c>
      <c r="DD148" s="24">
        <f t="shared" ref="DD148" si="1243">+DC148</f>
        <v>0</v>
      </c>
      <c r="DE148" s="123"/>
      <c r="DF148" s="23">
        <v>0</v>
      </c>
    </row>
    <row r="149" spans="1:110" s="23" customFormat="1" x14ac:dyDescent="0.2">
      <c r="AA149" s="24"/>
      <c r="AB149" s="24"/>
      <c r="AC149" s="24"/>
      <c r="AD149" s="24"/>
      <c r="AE149" s="24"/>
      <c r="BH149" s="22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123"/>
    </row>
    <row r="150" spans="1:110" s="23" customFormat="1" outlineLevel="1" x14ac:dyDescent="0.2">
      <c r="A150" s="23" t="s">
        <v>45</v>
      </c>
      <c r="B150" s="23">
        <f>'Annual Raw'!C47</f>
        <v>0</v>
      </c>
      <c r="C150" s="23">
        <f>'Annual Raw'!D47</f>
        <v>0</v>
      </c>
      <c r="D150" s="23">
        <f>'Annual Raw'!E47</f>
        <v>0</v>
      </c>
      <c r="E150" s="23">
        <f>'Annual Raw'!F47</f>
        <v>0</v>
      </c>
      <c r="F150" s="23">
        <f>'Annual Raw'!G47</f>
        <v>0</v>
      </c>
      <c r="G150" s="23">
        <f>'Annual Raw'!H47</f>
        <v>0</v>
      </c>
      <c r="H150" s="23">
        <f>'Annual Raw'!I47</f>
        <v>0</v>
      </c>
      <c r="I150" s="23">
        <f>'Annual Raw'!J47</f>
        <v>0</v>
      </c>
      <c r="J150" s="23">
        <f>'Annual Raw'!K47</f>
        <v>0</v>
      </c>
      <c r="K150" s="23">
        <f>'Annual Raw'!L47</f>
        <v>0</v>
      </c>
      <c r="L150" s="23">
        <f>'Annual Raw'!M47</f>
        <v>0</v>
      </c>
      <c r="M150" s="23">
        <f>'Annual Raw'!N47</f>
        <v>0</v>
      </c>
      <c r="N150" s="23">
        <f>'Annual Raw'!O47</f>
        <v>0</v>
      </c>
      <c r="O150" s="23">
        <f>'Annual Raw'!P47</f>
        <v>0</v>
      </c>
      <c r="P150" s="23">
        <f>'Annual Raw'!Q47</f>
        <v>0</v>
      </c>
      <c r="Q150" s="23">
        <f>'Annual Raw'!R47</f>
        <v>0</v>
      </c>
      <c r="R150" s="23">
        <f>'Annual Raw'!S47</f>
        <v>0</v>
      </c>
      <c r="S150" s="23">
        <f>'Annual Raw'!T47</f>
        <v>0</v>
      </c>
      <c r="T150" s="23">
        <f>'Annual Raw'!U47</f>
        <v>0</v>
      </c>
      <c r="U150" s="23">
        <f>'Annual Raw'!V47</f>
        <v>0</v>
      </c>
      <c r="V150" s="23">
        <f>'Annual Raw'!W47</f>
        <v>0</v>
      </c>
      <c r="W150" s="23">
        <f>'Annual Raw'!X47</f>
        <v>0</v>
      </c>
      <c r="X150" s="23">
        <f>'Annual Raw'!Y47</f>
        <v>0</v>
      </c>
      <c r="Y150" s="23">
        <f>'Annual Raw'!Z47</f>
        <v>0</v>
      </c>
      <c r="Z150" s="23">
        <f>'Annual Raw'!AA47</f>
        <v>0</v>
      </c>
      <c r="AA150" s="74">
        <f>+CN150</f>
        <v>0</v>
      </c>
      <c r="AB150" s="74">
        <f>CR150</f>
        <v>0</v>
      </c>
      <c r="AC150" s="74">
        <f>CV150</f>
        <v>0</v>
      </c>
      <c r="AD150" s="74">
        <f>CZ150</f>
        <v>0</v>
      </c>
      <c r="AE150" s="74">
        <f>DD150</f>
        <v>0</v>
      </c>
      <c r="AJ150" s="23">
        <f>+'QTR Raw'!D62</f>
        <v>0</v>
      </c>
      <c r="AK150" s="23">
        <f t="shared" ref="AK150:CC153" si="1244">+AJ150</f>
        <v>0</v>
      </c>
      <c r="AL150" s="23">
        <f>+'QTR Raw'!F62</f>
        <v>0</v>
      </c>
      <c r="AM150" s="23">
        <f t="shared" si="1244"/>
        <v>0</v>
      </c>
      <c r="AN150" s="23">
        <f>+'QTR Raw'!H62</f>
        <v>0</v>
      </c>
      <c r="AO150" s="23">
        <f t="shared" si="1244"/>
        <v>0</v>
      </c>
      <c r="AP150" s="23">
        <f>+'QTR Raw'!J62</f>
        <v>0</v>
      </c>
      <c r="AQ150" s="23">
        <f t="shared" si="1244"/>
        <v>0</v>
      </c>
      <c r="AR150" s="23">
        <f>+'QTR Raw'!L62</f>
        <v>0</v>
      </c>
      <c r="AS150" s="23">
        <f t="shared" si="1244"/>
        <v>0</v>
      </c>
      <c r="AT150" s="23">
        <f>+'QTR Raw'!N62</f>
        <v>0</v>
      </c>
      <c r="AU150" s="23">
        <f t="shared" si="1244"/>
        <v>0</v>
      </c>
      <c r="AV150" s="23">
        <f>+'QTR Raw'!P62</f>
        <v>0</v>
      </c>
      <c r="AW150" s="23">
        <f t="shared" si="1244"/>
        <v>0</v>
      </c>
      <c r="AX150" s="23">
        <f>+'QTR Raw'!R62</f>
        <v>0</v>
      </c>
      <c r="AY150" s="23">
        <f t="shared" si="1244"/>
        <v>0</v>
      </c>
      <c r="AZ150" s="23">
        <f>+'QTR Raw'!T62</f>
        <v>0</v>
      </c>
      <c r="BA150" s="23">
        <f t="shared" si="1244"/>
        <v>0</v>
      </c>
      <c r="BB150" s="23">
        <f>+'QTR Raw'!V62</f>
        <v>0</v>
      </c>
      <c r="BC150" s="23">
        <f t="shared" si="1244"/>
        <v>0</v>
      </c>
      <c r="BD150" s="23">
        <f>+'QTR Raw'!X62</f>
        <v>0</v>
      </c>
      <c r="BE150" s="23">
        <f t="shared" si="1244"/>
        <v>0</v>
      </c>
      <c r="BF150" s="23">
        <f>+'QTR Raw'!Z62</f>
        <v>0</v>
      </c>
      <c r="BG150" s="23">
        <f t="shared" si="1244"/>
        <v>0</v>
      </c>
      <c r="BH150" s="22">
        <f>+'QTR Raw'!AB62</f>
        <v>0</v>
      </c>
      <c r="BI150" s="23">
        <f t="shared" si="1244"/>
        <v>0</v>
      </c>
      <c r="BJ150" s="23">
        <f>+'QTR Raw'!AD62</f>
        <v>0</v>
      </c>
      <c r="BK150" s="23">
        <f t="shared" si="1244"/>
        <v>0</v>
      </c>
      <c r="BL150" s="23">
        <f>+'QTR Raw'!AF62</f>
        <v>0</v>
      </c>
      <c r="BM150" s="23">
        <f t="shared" si="1244"/>
        <v>0</v>
      </c>
      <c r="BN150" s="23">
        <f>+'QTR Raw'!AH62</f>
        <v>0</v>
      </c>
      <c r="BO150" s="23">
        <f t="shared" si="1244"/>
        <v>0</v>
      </c>
      <c r="BP150" s="23">
        <f>+'QTR Raw'!AJ62</f>
        <v>0</v>
      </c>
      <c r="BQ150" s="23">
        <f t="shared" si="1244"/>
        <v>0</v>
      </c>
      <c r="BR150" s="23">
        <f>+'QTR Raw'!AL62</f>
        <v>0</v>
      </c>
      <c r="BS150" s="23">
        <f t="shared" si="1244"/>
        <v>0</v>
      </c>
      <c r="BT150" s="23">
        <f>+'QTR Raw'!AN62</f>
        <v>0</v>
      </c>
      <c r="BU150" s="23">
        <f t="shared" si="1244"/>
        <v>0</v>
      </c>
      <c r="BV150" s="23">
        <f>+'QTR Raw'!AP62</f>
        <v>0</v>
      </c>
      <c r="BW150" s="23">
        <f t="shared" si="1244"/>
        <v>0</v>
      </c>
      <c r="BX150" s="23">
        <f>+'QTR Raw'!AR62</f>
        <v>0</v>
      </c>
      <c r="BY150" s="23">
        <f t="shared" si="1244"/>
        <v>0</v>
      </c>
      <c r="BZ150" s="23">
        <f>+'QTR Raw'!AT62</f>
        <v>0</v>
      </c>
      <c r="CA150" s="23">
        <f t="shared" si="1244"/>
        <v>0</v>
      </c>
      <c r="CB150" s="23">
        <f>+'QTR Raw'!AV62</f>
        <v>0</v>
      </c>
      <c r="CC150" s="23">
        <f t="shared" si="1244"/>
        <v>0</v>
      </c>
      <c r="CD150" s="23">
        <f>+'QTR Raw'!AX62</f>
        <v>0</v>
      </c>
      <c r="CE150" s="23">
        <f t="shared" ref="CE150:CE153" si="1245">+CD150</f>
        <v>0</v>
      </c>
      <c r="CF150" s="23">
        <f>+'QTR Raw'!AZ62</f>
        <v>0</v>
      </c>
      <c r="CG150" s="23">
        <f t="shared" ref="CG150:CI153" si="1246">+CF150</f>
        <v>0</v>
      </c>
      <c r="CH150" s="23">
        <f t="shared" si="1224"/>
        <v>0</v>
      </c>
      <c r="CI150" s="23">
        <f t="shared" si="1246"/>
        <v>0</v>
      </c>
      <c r="CJ150" s="23">
        <f>+'QTR Raw'!BD62</f>
        <v>0</v>
      </c>
      <c r="CK150" s="23">
        <f t="shared" ref="CK150:CK153" si="1247">+CJ150</f>
        <v>0</v>
      </c>
      <c r="CL150" s="23">
        <f>+'QTR Raw'!BF62</f>
        <v>0</v>
      </c>
      <c r="CM150" s="24">
        <f t="shared" ref="CM150:CM153" si="1248">+CL150</f>
        <v>0</v>
      </c>
      <c r="CN150" s="24">
        <f t="shared" ref="CN150:CN153" si="1249">+CM150</f>
        <v>0</v>
      </c>
      <c r="CO150" s="24">
        <f t="shared" ref="CO150:CO153" si="1250">+CN150</f>
        <v>0</v>
      </c>
      <c r="CP150" s="24">
        <f t="shared" ref="CP150:CP153" si="1251">+CO150</f>
        <v>0</v>
      </c>
      <c r="CQ150" s="24">
        <f t="shared" ref="CQ150:CQ153" si="1252">+CP150</f>
        <v>0</v>
      </c>
      <c r="CR150" s="24">
        <f t="shared" ref="CR150:CR153" si="1253">+CQ150</f>
        <v>0</v>
      </c>
      <c r="CS150" s="24">
        <f t="shared" ref="CS150:CS153" si="1254">+CR150</f>
        <v>0</v>
      </c>
      <c r="CT150" s="24">
        <f t="shared" ref="CT150:CT153" si="1255">+CS150</f>
        <v>0</v>
      </c>
      <c r="CU150" s="24">
        <f t="shared" ref="CU150:CU153" si="1256">+CT150</f>
        <v>0</v>
      </c>
      <c r="CV150" s="24">
        <f t="shared" ref="CV150:CV153" si="1257">+CU150</f>
        <v>0</v>
      </c>
      <c r="CW150" s="24">
        <f t="shared" ref="CW150:CW153" si="1258">+CV150</f>
        <v>0</v>
      </c>
      <c r="CX150" s="24">
        <f t="shared" ref="CX150:CX153" si="1259">+CW150</f>
        <v>0</v>
      </c>
      <c r="CY150" s="24">
        <f t="shared" ref="CY150:CY153" si="1260">+CX150</f>
        <v>0</v>
      </c>
      <c r="CZ150" s="24">
        <f t="shared" ref="CZ150:CZ153" si="1261">+CY150</f>
        <v>0</v>
      </c>
      <c r="DA150" s="24">
        <f t="shared" ref="DA150:DA153" si="1262">+CZ150</f>
        <v>0</v>
      </c>
      <c r="DB150" s="24">
        <f t="shared" ref="DB150:DB153" si="1263">+DA150</f>
        <v>0</v>
      </c>
      <c r="DC150" s="24">
        <f t="shared" ref="DC150:DC153" si="1264">+DB150</f>
        <v>0</v>
      </c>
      <c r="DD150" s="24">
        <f t="shared" ref="DD150:DD153" si="1265">+DC150</f>
        <v>0</v>
      </c>
      <c r="DE150" s="123"/>
      <c r="DF150" s="23">
        <v>0</v>
      </c>
    </row>
    <row r="151" spans="1:110" s="23" customFormat="1" outlineLevel="1" x14ac:dyDescent="0.2">
      <c r="A151" s="23" t="s">
        <v>46</v>
      </c>
      <c r="B151" s="23">
        <f>'Annual Raw'!C48</f>
        <v>0</v>
      </c>
      <c r="C151" s="23">
        <f>'Annual Raw'!D48</f>
        <v>0</v>
      </c>
      <c r="D151" s="23">
        <f>'Annual Raw'!E48</f>
        <v>0</v>
      </c>
      <c r="E151" s="23">
        <f>'Annual Raw'!F48</f>
        <v>0</v>
      </c>
      <c r="F151" s="23">
        <f>'Annual Raw'!G48</f>
        <v>0</v>
      </c>
      <c r="G151" s="23">
        <f>'Annual Raw'!H48</f>
        <v>0</v>
      </c>
      <c r="H151" s="23">
        <f>'Annual Raw'!I48</f>
        <v>0</v>
      </c>
      <c r="I151" s="23">
        <f>'Annual Raw'!J48</f>
        <v>0</v>
      </c>
      <c r="J151" s="23">
        <f>'Annual Raw'!K48</f>
        <v>0</v>
      </c>
      <c r="K151" s="23">
        <f>'Annual Raw'!L48</f>
        <v>0</v>
      </c>
      <c r="L151" s="23">
        <f>'Annual Raw'!M48</f>
        <v>0</v>
      </c>
      <c r="M151" s="23">
        <f>'Annual Raw'!N48</f>
        <v>0</v>
      </c>
      <c r="N151" s="23">
        <f>'Annual Raw'!O48</f>
        <v>0</v>
      </c>
      <c r="O151" s="23">
        <f>'Annual Raw'!P48</f>
        <v>0</v>
      </c>
      <c r="P151" s="23">
        <f>'Annual Raw'!Q48</f>
        <v>0</v>
      </c>
      <c r="Q151" s="23">
        <f>'Annual Raw'!R48</f>
        <v>0</v>
      </c>
      <c r="R151" s="23">
        <f>'Annual Raw'!S48</f>
        <v>0</v>
      </c>
      <c r="S151" s="23">
        <f>'Annual Raw'!T48</f>
        <v>0</v>
      </c>
      <c r="T151" s="23">
        <f>'Annual Raw'!U48</f>
        <v>0</v>
      </c>
      <c r="U151" s="23">
        <f>'Annual Raw'!V48</f>
        <v>0</v>
      </c>
      <c r="V151" s="23">
        <f>'Annual Raw'!W48</f>
        <v>0</v>
      </c>
      <c r="W151" s="23">
        <f>'Annual Raw'!X48</f>
        <v>0</v>
      </c>
      <c r="X151" s="23">
        <f>'Annual Raw'!Y48</f>
        <v>0</v>
      </c>
      <c r="Y151" s="23">
        <f>'Annual Raw'!Z48</f>
        <v>0</v>
      </c>
      <c r="Z151" s="23">
        <f>'Annual Raw'!AA48</f>
        <v>0</v>
      </c>
      <c r="AA151" s="74">
        <f>+CN151</f>
        <v>0</v>
      </c>
      <c r="AB151" s="74">
        <f>CR151</f>
        <v>0</v>
      </c>
      <c r="AC151" s="74">
        <f>CV151</f>
        <v>0</v>
      </c>
      <c r="AD151" s="74">
        <f>CZ151</f>
        <v>0</v>
      </c>
      <c r="AE151" s="74">
        <f>DD151</f>
        <v>0</v>
      </c>
      <c r="AJ151" s="23">
        <f>+'QTR Raw'!D63</f>
        <v>0</v>
      </c>
      <c r="AK151" s="23">
        <f t="shared" si="1244"/>
        <v>0</v>
      </c>
      <c r="AL151" s="23">
        <f>+'QTR Raw'!F63</f>
        <v>0</v>
      </c>
      <c r="AM151" s="23">
        <f t="shared" si="1244"/>
        <v>0</v>
      </c>
      <c r="AN151" s="23">
        <f>+'QTR Raw'!H63</f>
        <v>0</v>
      </c>
      <c r="AO151" s="23">
        <f t="shared" si="1244"/>
        <v>0</v>
      </c>
      <c r="AP151" s="23">
        <f>+'QTR Raw'!J63</f>
        <v>0</v>
      </c>
      <c r="AQ151" s="23">
        <f t="shared" si="1244"/>
        <v>0</v>
      </c>
      <c r="AR151" s="23">
        <f>+'QTR Raw'!L63</f>
        <v>0</v>
      </c>
      <c r="AS151" s="23">
        <f t="shared" si="1244"/>
        <v>0</v>
      </c>
      <c r="AT151" s="23">
        <f>+'QTR Raw'!N63</f>
        <v>0</v>
      </c>
      <c r="AU151" s="23">
        <f t="shared" si="1244"/>
        <v>0</v>
      </c>
      <c r="AV151" s="23">
        <f>+'QTR Raw'!P63</f>
        <v>0</v>
      </c>
      <c r="AW151" s="23">
        <f t="shared" si="1244"/>
        <v>0</v>
      </c>
      <c r="AX151" s="23">
        <f>+'QTR Raw'!R63</f>
        <v>0</v>
      </c>
      <c r="AY151" s="23">
        <f t="shared" si="1244"/>
        <v>0</v>
      </c>
      <c r="AZ151" s="23">
        <f>+'QTR Raw'!T63</f>
        <v>0</v>
      </c>
      <c r="BA151" s="23">
        <f t="shared" si="1244"/>
        <v>0</v>
      </c>
      <c r="BB151" s="23">
        <f>+'QTR Raw'!V63</f>
        <v>0</v>
      </c>
      <c r="BC151" s="23">
        <f t="shared" si="1244"/>
        <v>0</v>
      </c>
      <c r="BD151" s="23">
        <f>+'QTR Raw'!X63</f>
        <v>0</v>
      </c>
      <c r="BE151" s="23">
        <f t="shared" si="1244"/>
        <v>0</v>
      </c>
      <c r="BF151" s="23">
        <f>+'QTR Raw'!Z63</f>
        <v>0</v>
      </c>
      <c r="BG151" s="23">
        <f t="shared" si="1244"/>
        <v>0</v>
      </c>
      <c r="BH151" s="23">
        <f>+'QTR Raw'!AB63</f>
        <v>0</v>
      </c>
      <c r="BI151" s="23">
        <f t="shared" si="1244"/>
        <v>0</v>
      </c>
      <c r="BJ151" s="23">
        <f>+'QTR Raw'!AD63</f>
        <v>0</v>
      </c>
      <c r="BK151" s="23">
        <f t="shared" si="1244"/>
        <v>0</v>
      </c>
      <c r="BL151" s="23">
        <f>+'QTR Raw'!AF63</f>
        <v>0</v>
      </c>
      <c r="BM151" s="23">
        <f t="shared" si="1244"/>
        <v>0</v>
      </c>
      <c r="BN151" s="23">
        <f>+'QTR Raw'!AH63</f>
        <v>0</v>
      </c>
      <c r="BO151" s="23">
        <f t="shared" si="1244"/>
        <v>0</v>
      </c>
      <c r="BP151" s="23">
        <f>+'QTR Raw'!AJ63</f>
        <v>0</v>
      </c>
      <c r="BQ151" s="23">
        <f t="shared" si="1244"/>
        <v>0</v>
      </c>
      <c r="BR151" s="23">
        <f>+'QTR Raw'!AL63</f>
        <v>0</v>
      </c>
      <c r="BS151" s="23">
        <f t="shared" si="1244"/>
        <v>0</v>
      </c>
      <c r="BT151" s="23">
        <f>+'QTR Raw'!AN63</f>
        <v>0</v>
      </c>
      <c r="BU151" s="23">
        <f t="shared" si="1244"/>
        <v>0</v>
      </c>
      <c r="BV151" s="23">
        <f>+'QTR Raw'!AP63</f>
        <v>0</v>
      </c>
      <c r="BW151" s="23">
        <f t="shared" si="1244"/>
        <v>0</v>
      </c>
      <c r="BX151" s="23">
        <f>+'QTR Raw'!AR63</f>
        <v>0</v>
      </c>
      <c r="BY151" s="23">
        <f t="shared" si="1244"/>
        <v>0</v>
      </c>
      <c r="BZ151" s="23">
        <f>+'QTR Raw'!AT63</f>
        <v>0</v>
      </c>
      <c r="CA151" s="23">
        <f t="shared" si="1244"/>
        <v>0</v>
      </c>
      <c r="CB151" s="23">
        <f>+'QTR Raw'!AV63</f>
        <v>0</v>
      </c>
      <c r="CC151" s="23">
        <f t="shared" si="1244"/>
        <v>0</v>
      </c>
      <c r="CD151" s="23">
        <f>+'QTR Raw'!AX63</f>
        <v>0</v>
      </c>
      <c r="CE151" s="23">
        <f t="shared" si="1245"/>
        <v>0</v>
      </c>
      <c r="CF151" s="23">
        <f>+'QTR Raw'!AZ63</f>
        <v>0</v>
      </c>
      <c r="CG151" s="23">
        <f t="shared" si="1246"/>
        <v>0</v>
      </c>
      <c r="CH151" s="23">
        <f t="shared" si="1224"/>
        <v>0</v>
      </c>
      <c r="CI151" s="23">
        <f t="shared" si="1246"/>
        <v>0</v>
      </c>
      <c r="CJ151" s="23">
        <f>+'QTR Raw'!BD63</f>
        <v>0</v>
      </c>
      <c r="CK151" s="23">
        <f t="shared" si="1247"/>
        <v>0</v>
      </c>
      <c r="CL151" s="23">
        <f>+'QTR Raw'!BF63</f>
        <v>0</v>
      </c>
      <c r="CM151" s="24">
        <f t="shared" si="1248"/>
        <v>0</v>
      </c>
      <c r="CN151" s="24">
        <f t="shared" si="1249"/>
        <v>0</v>
      </c>
      <c r="CO151" s="24">
        <f t="shared" si="1250"/>
        <v>0</v>
      </c>
      <c r="CP151" s="24">
        <f t="shared" si="1251"/>
        <v>0</v>
      </c>
      <c r="CQ151" s="24">
        <f t="shared" si="1252"/>
        <v>0</v>
      </c>
      <c r="CR151" s="24">
        <f t="shared" si="1253"/>
        <v>0</v>
      </c>
      <c r="CS151" s="24">
        <f t="shared" si="1254"/>
        <v>0</v>
      </c>
      <c r="CT151" s="24">
        <f t="shared" si="1255"/>
        <v>0</v>
      </c>
      <c r="CU151" s="24">
        <f t="shared" si="1256"/>
        <v>0</v>
      </c>
      <c r="CV151" s="24">
        <f t="shared" si="1257"/>
        <v>0</v>
      </c>
      <c r="CW151" s="24">
        <f t="shared" si="1258"/>
        <v>0</v>
      </c>
      <c r="CX151" s="24">
        <f t="shared" si="1259"/>
        <v>0</v>
      </c>
      <c r="CY151" s="24">
        <f t="shared" si="1260"/>
        <v>0</v>
      </c>
      <c r="CZ151" s="24">
        <f t="shared" si="1261"/>
        <v>0</v>
      </c>
      <c r="DA151" s="24">
        <f t="shared" si="1262"/>
        <v>0</v>
      </c>
      <c r="DB151" s="24">
        <f t="shared" si="1263"/>
        <v>0</v>
      </c>
      <c r="DC151" s="24">
        <f t="shared" si="1264"/>
        <v>0</v>
      </c>
      <c r="DD151" s="24">
        <f t="shared" si="1265"/>
        <v>0</v>
      </c>
      <c r="DE151" s="123"/>
      <c r="DF151" s="23">
        <v>0</v>
      </c>
    </row>
    <row r="152" spans="1:110" s="23" customFormat="1" outlineLevel="1" x14ac:dyDescent="0.2">
      <c r="A152" s="23" t="s">
        <v>47</v>
      </c>
      <c r="B152" s="23">
        <f>'Annual Raw'!C87+'Annual Raw'!C88+'Annual Raw'!C89+'Annual Raw'!C90</f>
        <v>0</v>
      </c>
      <c r="C152" s="23">
        <f>'Annual Raw'!D87+'Annual Raw'!D88+'Annual Raw'!D89+'Annual Raw'!D90</f>
        <v>0</v>
      </c>
      <c r="D152" s="23">
        <f>'Annual Raw'!E87+'Annual Raw'!E88+'Annual Raw'!E89+'Annual Raw'!E90</f>
        <v>0</v>
      </c>
      <c r="E152" s="23">
        <f>'Annual Raw'!F87+'Annual Raw'!F88+'Annual Raw'!F89+'Annual Raw'!F90</f>
        <v>0</v>
      </c>
      <c r="F152" s="23">
        <f>'Annual Raw'!G87+'Annual Raw'!G88+'Annual Raw'!G89+'Annual Raw'!G90</f>
        <v>0</v>
      </c>
      <c r="G152" s="23">
        <f>'Annual Raw'!H87+'Annual Raw'!H88+'Annual Raw'!H89+'Annual Raw'!H90</f>
        <v>0</v>
      </c>
      <c r="H152" s="23">
        <f>'Annual Raw'!I87+'Annual Raw'!I88+'Annual Raw'!I89+'Annual Raw'!I90</f>
        <v>0</v>
      </c>
      <c r="I152" s="23">
        <f>'Annual Raw'!J87+'Annual Raw'!J88+'Annual Raw'!J89+'Annual Raw'!J90</f>
        <v>0</v>
      </c>
      <c r="J152" s="23">
        <f>'Annual Raw'!K87+'Annual Raw'!K88+'Annual Raw'!K89+'Annual Raw'!K90</f>
        <v>0</v>
      </c>
      <c r="K152" s="23">
        <f>'Annual Raw'!L87+'Annual Raw'!L88+'Annual Raw'!L89+'Annual Raw'!L90</f>
        <v>0</v>
      </c>
      <c r="L152" s="23">
        <f>'Annual Raw'!M87+'Annual Raw'!M88+'Annual Raw'!M89+'Annual Raw'!M90</f>
        <v>0</v>
      </c>
      <c r="M152" s="23">
        <f>'Annual Raw'!N87+'Annual Raw'!N88+'Annual Raw'!N89+'Annual Raw'!N90</f>
        <v>0</v>
      </c>
      <c r="N152" s="23">
        <f>'Annual Raw'!O87+'Annual Raw'!O88+'Annual Raw'!O89+'Annual Raw'!O90</f>
        <v>0</v>
      </c>
      <c r="O152" s="23">
        <f>'Annual Raw'!P87+'Annual Raw'!P88+'Annual Raw'!P89+'Annual Raw'!P90</f>
        <v>0</v>
      </c>
      <c r="P152" s="23">
        <f>'Annual Raw'!Q87+'Annual Raw'!Q88+'Annual Raw'!Q89+'Annual Raw'!Q90</f>
        <v>0</v>
      </c>
      <c r="Q152" s="23">
        <f>'Annual Raw'!R87+'Annual Raw'!R88+'Annual Raw'!R89+'Annual Raw'!R90</f>
        <v>0</v>
      </c>
      <c r="R152" s="23">
        <f>'Annual Raw'!S87+'Annual Raw'!S88+'Annual Raw'!S89+'Annual Raw'!S90</f>
        <v>0</v>
      </c>
      <c r="S152" s="23">
        <f>'Annual Raw'!T87+'Annual Raw'!T88+'Annual Raw'!T89+'Annual Raw'!T90</f>
        <v>0</v>
      </c>
      <c r="T152" s="23">
        <f>'Annual Raw'!U87+'Annual Raw'!U88+'Annual Raw'!U89+'Annual Raw'!U90</f>
        <v>0</v>
      </c>
      <c r="U152" s="23">
        <f>'Annual Raw'!V87+'Annual Raw'!V88+'Annual Raw'!V89+'Annual Raw'!V90</f>
        <v>0</v>
      </c>
      <c r="V152" s="23">
        <f>'Annual Raw'!W87+'Annual Raw'!W88+'Annual Raw'!W89+'Annual Raw'!W90</f>
        <v>0</v>
      </c>
      <c r="W152" s="23">
        <f>'Annual Raw'!X87+'Annual Raw'!X88+'Annual Raw'!X89+'Annual Raw'!X90</f>
        <v>0</v>
      </c>
      <c r="X152" s="23">
        <f>'Annual Raw'!Y87+'Annual Raw'!Y88+'Annual Raw'!Y89+'Annual Raw'!Y90</f>
        <v>0</v>
      </c>
      <c r="Y152" s="23">
        <f>'Annual Raw'!Z87+'Annual Raw'!Z88+'Annual Raw'!Z89+'Annual Raw'!Z90</f>
        <v>0</v>
      </c>
      <c r="Z152" s="23">
        <f>'Annual Raw'!AA87+'Annual Raw'!AA88+'Annual Raw'!AA89+'Annual Raw'!AA90</f>
        <v>0</v>
      </c>
      <c r="AA152" s="74">
        <f t="shared" ref="AA152:AA154" si="1266">+CN152</f>
        <v>0</v>
      </c>
      <c r="AB152" s="74">
        <f t="shared" ref="AB152:AB154" si="1267">CR152</f>
        <v>0</v>
      </c>
      <c r="AC152" s="74">
        <f t="shared" ref="AC152:AC154" si="1268">CV152</f>
        <v>0</v>
      </c>
      <c r="AD152" s="74">
        <f t="shared" ref="AD152:AD154" si="1269">CZ152</f>
        <v>0</v>
      </c>
      <c r="AE152" s="74">
        <f t="shared" ref="AE152:AE154" si="1270">DD152</f>
        <v>0</v>
      </c>
      <c r="AJ152" s="23">
        <f>+'QTR Raw'!D90</f>
        <v>0</v>
      </c>
      <c r="AK152" s="23">
        <f t="shared" si="1244"/>
        <v>0</v>
      </c>
      <c r="AL152" s="23">
        <f>+'QTR Raw'!F90</f>
        <v>0</v>
      </c>
      <c r="AM152" s="23">
        <f t="shared" si="1244"/>
        <v>0</v>
      </c>
      <c r="AN152" s="23">
        <f>+'QTR Raw'!H90</f>
        <v>0</v>
      </c>
      <c r="AO152" s="23">
        <f t="shared" si="1244"/>
        <v>0</v>
      </c>
      <c r="AP152" s="23">
        <f>+'QTR Raw'!J90</f>
        <v>0</v>
      </c>
      <c r="AQ152" s="23">
        <f t="shared" si="1244"/>
        <v>0</v>
      </c>
      <c r="AR152" s="23">
        <f>+'QTR Raw'!L90</f>
        <v>0</v>
      </c>
      <c r="AS152" s="23">
        <f t="shared" si="1244"/>
        <v>0</v>
      </c>
      <c r="AT152" s="23">
        <f>+'QTR Raw'!N90</f>
        <v>0</v>
      </c>
      <c r="AU152" s="23">
        <f t="shared" si="1244"/>
        <v>0</v>
      </c>
      <c r="AV152" s="23">
        <f>+'QTR Raw'!P90</f>
        <v>0</v>
      </c>
      <c r="AW152" s="23">
        <f t="shared" si="1244"/>
        <v>0</v>
      </c>
      <c r="AX152" s="23">
        <f>+'QTR Raw'!R90</f>
        <v>0</v>
      </c>
      <c r="AY152" s="23">
        <f t="shared" si="1244"/>
        <v>0</v>
      </c>
      <c r="AZ152" s="23">
        <f>+'QTR Raw'!T90</f>
        <v>0</v>
      </c>
      <c r="BA152" s="23">
        <f t="shared" si="1244"/>
        <v>0</v>
      </c>
      <c r="BB152" s="23">
        <f>+'QTR Raw'!V90</f>
        <v>0</v>
      </c>
      <c r="BC152" s="23">
        <f t="shared" si="1244"/>
        <v>0</v>
      </c>
      <c r="BD152" s="23">
        <f>+'QTR Raw'!X90</f>
        <v>0</v>
      </c>
      <c r="BE152" s="23">
        <f t="shared" si="1244"/>
        <v>0</v>
      </c>
      <c r="BF152" s="23">
        <f>+'QTR Raw'!Z90</f>
        <v>0</v>
      </c>
      <c r="BG152" s="23">
        <f t="shared" si="1244"/>
        <v>0</v>
      </c>
      <c r="BH152" s="22">
        <f>+'QTR Raw'!AB90</f>
        <v>0</v>
      </c>
      <c r="BI152" s="23">
        <f t="shared" si="1244"/>
        <v>0</v>
      </c>
      <c r="BJ152" s="23">
        <f>+'QTR Raw'!AD90</f>
        <v>0</v>
      </c>
      <c r="BK152" s="23">
        <f t="shared" si="1244"/>
        <v>0</v>
      </c>
      <c r="BL152" s="23">
        <f>+'QTR Raw'!AF90</f>
        <v>0</v>
      </c>
      <c r="BM152" s="23">
        <f t="shared" si="1244"/>
        <v>0</v>
      </c>
      <c r="BN152" s="23">
        <f>+'QTR Raw'!AH90</f>
        <v>0</v>
      </c>
      <c r="BO152" s="23">
        <f t="shared" si="1244"/>
        <v>0</v>
      </c>
      <c r="BP152" s="23">
        <f>+'QTR Raw'!AJ90</f>
        <v>0</v>
      </c>
      <c r="BQ152" s="23">
        <f t="shared" si="1244"/>
        <v>0</v>
      </c>
      <c r="BR152" s="23">
        <f>+'QTR Raw'!AL90</f>
        <v>0</v>
      </c>
      <c r="BS152" s="23">
        <f t="shared" si="1244"/>
        <v>0</v>
      </c>
      <c r="BT152" s="23">
        <f>+'QTR Raw'!AN90</f>
        <v>0</v>
      </c>
      <c r="BU152" s="23">
        <f t="shared" si="1244"/>
        <v>0</v>
      </c>
      <c r="BV152" s="23">
        <f>+'QTR Raw'!AP90</f>
        <v>0</v>
      </c>
      <c r="BW152" s="23">
        <f t="shared" si="1244"/>
        <v>0</v>
      </c>
      <c r="BX152" s="23">
        <f>+'QTR Raw'!AR90</f>
        <v>0</v>
      </c>
      <c r="BY152" s="23">
        <f t="shared" si="1244"/>
        <v>0</v>
      </c>
      <c r="BZ152" s="23">
        <f>+'QTR Raw'!AT90</f>
        <v>0</v>
      </c>
      <c r="CA152" s="23">
        <f t="shared" si="1244"/>
        <v>0</v>
      </c>
      <c r="CB152" s="23">
        <f>+'QTR Raw'!AV90</f>
        <v>0</v>
      </c>
      <c r="CC152" s="23">
        <f t="shared" si="1244"/>
        <v>0</v>
      </c>
      <c r="CD152" s="23">
        <f>+'QTR Raw'!AX90</f>
        <v>0</v>
      </c>
      <c r="CE152" s="23">
        <f t="shared" si="1245"/>
        <v>0</v>
      </c>
      <c r="CF152" s="23">
        <f>+'QTR Raw'!AZ90</f>
        <v>0</v>
      </c>
      <c r="CG152" s="23">
        <f t="shared" si="1246"/>
        <v>0</v>
      </c>
      <c r="CH152" s="23">
        <f>+Z152</f>
        <v>0</v>
      </c>
      <c r="CI152" s="23">
        <f t="shared" si="1246"/>
        <v>0</v>
      </c>
      <c r="CJ152" s="23">
        <f>+'QTR Raw'!BD90</f>
        <v>0</v>
      </c>
      <c r="CK152" s="23">
        <f t="shared" si="1247"/>
        <v>0</v>
      </c>
      <c r="CL152" s="23">
        <f>+'QTR Raw'!BF90</f>
        <v>0</v>
      </c>
      <c r="CM152" s="24">
        <f t="shared" si="1248"/>
        <v>0</v>
      </c>
      <c r="CN152" s="24">
        <f t="shared" si="1249"/>
        <v>0</v>
      </c>
      <c r="CO152" s="24">
        <f t="shared" si="1250"/>
        <v>0</v>
      </c>
      <c r="CP152" s="24">
        <f t="shared" si="1251"/>
        <v>0</v>
      </c>
      <c r="CQ152" s="24">
        <f t="shared" si="1252"/>
        <v>0</v>
      </c>
      <c r="CR152" s="24">
        <f t="shared" si="1253"/>
        <v>0</v>
      </c>
      <c r="CS152" s="24">
        <f t="shared" si="1254"/>
        <v>0</v>
      </c>
      <c r="CT152" s="24">
        <f t="shared" si="1255"/>
        <v>0</v>
      </c>
      <c r="CU152" s="24">
        <f t="shared" si="1256"/>
        <v>0</v>
      </c>
      <c r="CV152" s="24">
        <f t="shared" si="1257"/>
        <v>0</v>
      </c>
      <c r="CW152" s="24">
        <f t="shared" si="1258"/>
        <v>0</v>
      </c>
      <c r="CX152" s="24">
        <f t="shared" si="1259"/>
        <v>0</v>
      </c>
      <c r="CY152" s="24">
        <f t="shared" si="1260"/>
        <v>0</v>
      </c>
      <c r="CZ152" s="24">
        <f t="shared" si="1261"/>
        <v>0</v>
      </c>
      <c r="DA152" s="24">
        <f t="shared" si="1262"/>
        <v>0</v>
      </c>
      <c r="DB152" s="24">
        <f t="shared" si="1263"/>
        <v>0</v>
      </c>
      <c r="DC152" s="24">
        <f t="shared" si="1264"/>
        <v>0</v>
      </c>
      <c r="DD152" s="24">
        <f t="shared" si="1265"/>
        <v>0</v>
      </c>
      <c r="DE152" s="123"/>
      <c r="DF152" s="23">
        <v>0</v>
      </c>
    </row>
    <row r="153" spans="1:110" s="23" customFormat="1" outlineLevel="1" x14ac:dyDescent="0.2">
      <c r="A153" s="23" t="s">
        <v>48</v>
      </c>
      <c r="B153" s="23">
        <f>'Annual Raw'!C56</f>
        <v>0</v>
      </c>
      <c r="C153" s="23">
        <f>'Annual Raw'!D56</f>
        <v>0</v>
      </c>
      <c r="D153" s="23">
        <f>'Annual Raw'!E56</f>
        <v>0</v>
      </c>
      <c r="E153" s="23">
        <f>'Annual Raw'!F56</f>
        <v>0</v>
      </c>
      <c r="F153" s="23">
        <f>'Annual Raw'!G56</f>
        <v>0</v>
      </c>
      <c r="G153" s="23">
        <f>'Annual Raw'!H56</f>
        <v>0</v>
      </c>
      <c r="H153" s="23">
        <f>'Annual Raw'!I56</f>
        <v>0</v>
      </c>
      <c r="I153" s="23">
        <f>'Annual Raw'!J56</f>
        <v>0</v>
      </c>
      <c r="J153" s="23">
        <f>'Annual Raw'!K56</f>
        <v>0</v>
      </c>
      <c r="K153" s="23">
        <f>'Annual Raw'!L56</f>
        <v>0</v>
      </c>
      <c r="L153" s="23">
        <f>'Annual Raw'!M56</f>
        <v>0</v>
      </c>
      <c r="M153" s="23">
        <f>'Annual Raw'!N56</f>
        <v>0</v>
      </c>
      <c r="N153" s="23">
        <f>'Annual Raw'!O56</f>
        <v>0</v>
      </c>
      <c r="O153" s="23">
        <f>'Annual Raw'!P56</f>
        <v>0</v>
      </c>
      <c r="P153" s="23">
        <f>'Annual Raw'!Q56</f>
        <v>0</v>
      </c>
      <c r="Q153" s="23">
        <f>'Annual Raw'!R56</f>
        <v>0</v>
      </c>
      <c r="R153" s="23">
        <f>'Annual Raw'!S56</f>
        <v>0</v>
      </c>
      <c r="S153" s="23">
        <f>'Annual Raw'!T56</f>
        <v>0</v>
      </c>
      <c r="T153" s="23">
        <f>'Annual Raw'!U56</f>
        <v>0</v>
      </c>
      <c r="U153" s="23">
        <f>'Annual Raw'!V56</f>
        <v>0</v>
      </c>
      <c r="V153" s="23">
        <f>'Annual Raw'!W56</f>
        <v>0</v>
      </c>
      <c r="W153" s="23">
        <f>'Annual Raw'!X56</f>
        <v>0</v>
      </c>
      <c r="X153" s="23">
        <f>'Annual Raw'!Y56</f>
        <v>0</v>
      </c>
      <c r="Y153" s="23">
        <f>'Annual Raw'!Z56</f>
        <v>0</v>
      </c>
      <c r="Z153" s="23">
        <f>'Annual Raw'!AA56</f>
        <v>0</v>
      </c>
      <c r="AA153" s="74">
        <f t="shared" si="1266"/>
        <v>0</v>
      </c>
      <c r="AB153" s="74">
        <f t="shared" si="1267"/>
        <v>0</v>
      </c>
      <c r="AC153" s="74">
        <f t="shared" si="1268"/>
        <v>0</v>
      </c>
      <c r="AD153" s="74">
        <f t="shared" si="1269"/>
        <v>0</v>
      </c>
      <c r="AE153" s="74">
        <f t="shared" si="1270"/>
        <v>0</v>
      </c>
      <c r="AJ153" s="23">
        <f>+'QTR Raw'!D88</f>
        <v>0</v>
      </c>
      <c r="AK153" s="23">
        <f t="shared" si="1244"/>
        <v>0</v>
      </c>
      <c r="AL153" s="23">
        <f>+'QTR Raw'!F88</f>
        <v>0</v>
      </c>
      <c r="AM153" s="23">
        <f t="shared" si="1244"/>
        <v>0</v>
      </c>
      <c r="AN153" s="23">
        <f>+'QTR Raw'!H88</f>
        <v>0</v>
      </c>
      <c r="AO153" s="23">
        <f t="shared" si="1244"/>
        <v>0</v>
      </c>
      <c r="AP153" s="23">
        <f>+'QTR Raw'!J88</f>
        <v>0</v>
      </c>
      <c r="AQ153" s="23">
        <f t="shared" si="1244"/>
        <v>0</v>
      </c>
      <c r="AR153" s="23">
        <f>+'QTR Raw'!L88</f>
        <v>0</v>
      </c>
      <c r="AS153" s="23">
        <f t="shared" si="1244"/>
        <v>0</v>
      </c>
      <c r="AT153" s="23">
        <f>+'QTR Raw'!N88</f>
        <v>0</v>
      </c>
      <c r="AU153" s="23">
        <f t="shared" si="1244"/>
        <v>0</v>
      </c>
      <c r="AV153" s="23">
        <f>+'QTR Raw'!P88</f>
        <v>0</v>
      </c>
      <c r="AW153" s="23">
        <f t="shared" si="1244"/>
        <v>0</v>
      </c>
      <c r="AX153" s="23">
        <f>+'QTR Raw'!R88</f>
        <v>0</v>
      </c>
      <c r="AY153" s="23">
        <f t="shared" si="1244"/>
        <v>0</v>
      </c>
      <c r="AZ153" s="23">
        <f>+'QTR Raw'!T88</f>
        <v>0</v>
      </c>
      <c r="BA153" s="23">
        <f t="shared" si="1244"/>
        <v>0</v>
      </c>
      <c r="BB153" s="23">
        <f>+'QTR Raw'!V88</f>
        <v>0</v>
      </c>
      <c r="BC153" s="23">
        <f t="shared" si="1244"/>
        <v>0</v>
      </c>
      <c r="BD153" s="23">
        <f>+'QTR Raw'!X88</f>
        <v>0</v>
      </c>
      <c r="BE153" s="23">
        <f t="shared" si="1244"/>
        <v>0</v>
      </c>
      <c r="BF153" s="23">
        <f>+'QTR Raw'!Z88</f>
        <v>0</v>
      </c>
      <c r="BG153" s="23">
        <f t="shared" si="1244"/>
        <v>0</v>
      </c>
      <c r="BH153" s="23">
        <f>+'QTR Raw'!AB88</f>
        <v>0</v>
      </c>
      <c r="BI153" s="23">
        <f t="shared" si="1244"/>
        <v>0</v>
      </c>
      <c r="BJ153" s="23">
        <f>+'QTR Raw'!AD88</f>
        <v>0</v>
      </c>
      <c r="BK153" s="23">
        <f t="shared" si="1244"/>
        <v>0</v>
      </c>
      <c r="BL153" s="23">
        <f>+'QTR Raw'!AF88</f>
        <v>0</v>
      </c>
      <c r="BM153" s="23">
        <f t="shared" si="1244"/>
        <v>0</v>
      </c>
      <c r="BN153" s="23">
        <f>+'QTR Raw'!AH88</f>
        <v>0</v>
      </c>
      <c r="BO153" s="23">
        <f t="shared" si="1244"/>
        <v>0</v>
      </c>
      <c r="BP153" s="23">
        <f>+'QTR Raw'!AJ88</f>
        <v>0</v>
      </c>
      <c r="BQ153" s="23">
        <f t="shared" si="1244"/>
        <v>0</v>
      </c>
      <c r="BR153" s="23">
        <f>+'QTR Raw'!AL88</f>
        <v>0</v>
      </c>
      <c r="BS153" s="23">
        <f t="shared" si="1244"/>
        <v>0</v>
      </c>
      <c r="BT153" s="23">
        <f>+'QTR Raw'!AN88</f>
        <v>0</v>
      </c>
      <c r="BU153" s="23">
        <f t="shared" si="1244"/>
        <v>0</v>
      </c>
      <c r="BV153" s="23">
        <f>+'QTR Raw'!AP88</f>
        <v>0</v>
      </c>
      <c r="BW153" s="23">
        <f t="shared" si="1244"/>
        <v>0</v>
      </c>
      <c r="BX153" s="23">
        <f>+'QTR Raw'!AR88</f>
        <v>0</v>
      </c>
      <c r="BY153" s="23">
        <f t="shared" si="1244"/>
        <v>0</v>
      </c>
      <c r="BZ153" s="23">
        <f>+'QTR Raw'!AT88</f>
        <v>0</v>
      </c>
      <c r="CA153" s="23">
        <f t="shared" si="1244"/>
        <v>0</v>
      </c>
      <c r="CB153" s="23">
        <f>+'QTR Raw'!AV88</f>
        <v>0</v>
      </c>
      <c r="CC153" s="23">
        <f t="shared" si="1244"/>
        <v>0</v>
      </c>
      <c r="CD153" s="23">
        <f>+'QTR Raw'!AX88</f>
        <v>0</v>
      </c>
      <c r="CE153" s="23">
        <f t="shared" si="1245"/>
        <v>0</v>
      </c>
      <c r="CF153" s="23">
        <f>+'QTR Raw'!AZ88</f>
        <v>0</v>
      </c>
      <c r="CG153" s="23">
        <f t="shared" si="1246"/>
        <v>0</v>
      </c>
      <c r="CH153" s="23">
        <f t="shared" si="1224"/>
        <v>0</v>
      </c>
      <c r="CI153" s="23">
        <f t="shared" si="1246"/>
        <v>0</v>
      </c>
      <c r="CJ153" s="23">
        <f>+'QTR Raw'!BD88</f>
        <v>0</v>
      </c>
      <c r="CK153" s="23">
        <f t="shared" si="1247"/>
        <v>0</v>
      </c>
      <c r="CL153" s="23">
        <f>+'QTR Raw'!BF88</f>
        <v>0</v>
      </c>
      <c r="CM153" s="24">
        <f t="shared" si="1248"/>
        <v>0</v>
      </c>
      <c r="CN153" s="24">
        <f t="shared" si="1249"/>
        <v>0</v>
      </c>
      <c r="CO153" s="24">
        <f t="shared" si="1250"/>
        <v>0</v>
      </c>
      <c r="CP153" s="24">
        <f t="shared" si="1251"/>
        <v>0</v>
      </c>
      <c r="CQ153" s="24">
        <f t="shared" si="1252"/>
        <v>0</v>
      </c>
      <c r="CR153" s="24">
        <f t="shared" si="1253"/>
        <v>0</v>
      </c>
      <c r="CS153" s="24">
        <f t="shared" si="1254"/>
        <v>0</v>
      </c>
      <c r="CT153" s="24">
        <f t="shared" si="1255"/>
        <v>0</v>
      </c>
      <c r="CU153" s="24">
        <f t="shared" si="1256"/>
        <v>0</v>
      </c>
      <c r="CV153" s="24">
        <f t="shared" si="1257"/>
        <v>0</v>
      </c>
      <c r="CW153" s="24">
        <f t="shared" si="1258"/>
        <v>0</v>
      </c>
      <c r="CX153" s="24">
        <f t="shared" si="1259"/>
        <v>0</v>
      </c>
      <c r="CY153" s="24">
        <f t="shared" si="1260"/>
        <v>0</v>
      </c>
      <c r="CZ153" s="24">
        <f t="shared" si="1261"/>
        <v>0</v>
      </c>
      <c r="DA153" s="24">
        <f t="shared" si="1262"/>
        <v>0</v>
      </c>
      <c r="DB153" s="24">
        <f t="shared" si="1263"/>
        <v>0</v>
      </c>
      <c r="DC153" s="24">
        <f t="shared" si="1264"/>
        <v>0</v>
      </c>
      <c r="DD153" s="24">
        <f t="shared" si="1265"/>
        <v>0</v>
      </c>
      <c r="DE153" s="123"/>
      <c r="DF153" s="23">
        <v>0</v>
      </c>
    </row>
    <row r="154" spans="1:110" s="22" customFormat="1" x14ac:dyDescent="0.2">
      <c r="A154" s="22" t="s">
        <v>49</v>
      </c>
      <c r="B154" s="22">
        <f>SUM(B150:B153)</f>
        <v>0</v>
      </c>
      <c r="C154" s="22">
        <f t="shared" ref="C154:V154" si="1271">SUM(C150:C153)</f>
        <v>0</v>
      </c>
      <c r="D154" s="22">
        <f t="shared" si="1271"/>
        <v>0</v>
      </c>
      <c r="E154" s="22">
        <f t="shared" si="1271"/>
        <v>0</v>
      </c>
      <c r="F154" s="22">
        <f t="shared" si="1271"/>
        <v>0</v>
      </c>
      <c r="G154" s="22">
        <f t="shared" si="1271"/>
        <v>0</v>
      </c>
      <c r="H154" s="22">
        <f t="shared" si="1271"/>
        <v>0</v>
      </c>
      <c r="I154" s="22">
        <f t="shared" si="1271"/>
        <v>0</v>
      </c>
      <c r="J154" s="22">
        <f t="shared" si="1271"/>
        <v>0</v>
      </c>
      <c r="K154" s="22">
        <f t="shared" si="1271"/>
        <v>0</v>
      </c>
      <c r="L154" s="22">
        <f t="shared" si="1271"/>
        <v>0</v>
      </c>
      <c r="M154" s="22">
        <f t="shared" si="1271"/>
        <v>0</v>
      </c>
      <c r="N154" s="22">
        <f t="shared" si="1271"/>
        <v>0</v>
      </c>
      <c r="O154" s="22">
        <f t="shared" si="1271"/>
        <v>0</v>
      </c>
      <c r="P154" s="22">
        <f t="shared" si="1271"/>
        <v>0</v>
      </c>
      <c r="Q154" s="22">
        <f t="shared" si="1271"/>
        <v>0</v>
      </c>
      <c r="R154" s="22">
        <f t="shared" si="1271"/>
        <v>0</v>
      </c>
      <c r="S154" s="22">
        <f t="shared" si="1271"/>
        <v>0</v>
      </c>
      <c r="T154" s="22">
        <f t="shared" si="1271"/>
        <v>0</v>
      </c>
      <c r="U154" s="22">
        <f t="shared" si="1271"/>
        <v>0</v>
      </c>
      <c r="V154" s="22">
        <f t="shared" si="1271"/>
        <v>0</v>
      </c>
      <c r="W154" s="22">
        <f t="shared" ref="W154" si="1272">SUM(W150:W153)</f>
        <v>0</v>
      </c>
      <c r="X154" s="22">
        <f t="shared" ref="X154:Y154" si="1273">SUM(X150:X153)</f>
        <v>0</v>
      </c>
      <c r="Y154" s="22">
        <f t="shared" si="1273"/>
        <v>0</v>
      </c>
      <c r="Z154" s="22">
        <f t="shared" ref="Z154" si="1274">SUM(Z150:Z153)</f>
        <v>0</v>
      </c>
      <c r="AA154" s="74">
        <f t="shared" si="1266"/>
        <v>0</v>
      </c>
      <c r="AB154" s="74">
        <f t="shared" si="1267"/>
        <v>0</v>
      </c>
      <c r="AC154" s="74">
        <f t="shared" si="1268"/>
        <v>0</v>
      </c>
      <c r="AD154" s="74">
        <f t="shared" si="1269"/>
        <v>0</v>
      </c>
      <c r="AE154" s="74">
        <f t="shared" si="1270"/>
        <v>0</v>
      </c>
      <c r="AJ154" s="22">
        <f t="shared" ref="AJ154" si="1275">SUM(AJ150:AJ153)</f>
        <v>0</v>
      </c>
      <c r="AK154" s="22">
        <f t="shared" ref="AK154" si="1276">SUM(AK150:AK153)</f>
        <v>0</v>
      </c>
      <c r="AL154" s="22">
        <f t="shared" ref="AL154:AM154" si="1277">SUM(AL150:AL153)</f>
        <v>0</v>
      </c>
      <c r="AM154" s="22">
        <f t="shared" si="1277"/>
        <v>0</v>
      </c>
      <c r="AN154" s="22">
        <f t="shared" ref="AN154:AO154" si="1278">SUM(AN150:AN153)</f>
        <v>0</v>
      </c>
      <c r="AO154" s="22">
        <f t="shared" si="1278"/>
        <v>0</v>
      </c>
      <c r="AP154" s="22">
        <f t="shared" ref="AP154:CE154" si="1279">SUM(AP150:AP153)</f>
        <v>0</v>
      </c>
      <c r="AQ154" s="22">
        <f t="shared" si="1279"/>
        <v>0</v>
      </c>
      <c r="AR154" s="22">
        <f t="shared" si="1279"/>
        <v>0</v>
      </c>
      <c r="AS154" s="22">
        <f t="shared" si="1279"/>
        <v>0</v>
      </c>
      <c r="AT154" s="22">
        <f t="shared" si="1279"/>
        <v>0</v>
      </c>
      <c r="AU154" s="22">
        <f t="shared" si="1279"/>
        <v>0</v>
      </c>
      <c r="AV154" s="22">
        <f t="shared" si="1279"/>
        <v>0</v>
      </c>
      <c r="AW154" s="22">
        <f t="shared" si="1279"/>
        <v>0</v>
      </c>
      <c r="AX154" s="22">
        <f t="shared" si="1279"/>
        <v>0</v>
      </c>
      <c r="AY154" s="22">
        <f t="shared" si="1279"/>
        <v>0</v>
      </c>
      <c r="AZ154" s="22">
        <f t="shared" si="1279"/>
        <v>0</v>
      </c>
      <c r="BA154" s="22">
        <f t="shared" si="1279"/>
        <v>0</v>
      </c>
      <c r="BB154" s="22">
        <f t="shared" si="1279"/>
        <v>0</v>
      </c>
      <c r="BC154" s="22">
        <f t="shared" si="1279"/>
        <v>0</v>
      </c>
      <c r="BD154" s="22">
        <f t="shared" si="1279"/>
        <v>0</v>
      </c>
      <c r="BE154" s="22">
        <f t="shared" si="1279"/>
        <v>0</v>
      </c>
      <c r="BF154" s="22">
        <f t="shared" si="1279"/>
        <v>0</v>
      </c>
      <c r="BG154" s="22">
        <f t="shared" si="1279"/>
        <v>0</v>
      </c>
      <c r="BH154" s="22">
        <f t="shared" ref="BH154" si="1280">SUM(BH150:BH153)</f>
        <v>0</v>
      </c>
      <c r="BI154" s="22">
        <f t="shared" si="1279"/>
        <v>0</v>
      </c>
      <c r="BJ154" s="22">
        <f t="shared" si="1279"/>
        <v>0</v>
      </c>
      <c r="BK154" s="22">
        <f t="shared" si="1279"/>
        <v>0</v>
      </c>
      <c r="BL154" s="22">
        <f t="shared" si="1279"/>
        <v>0</v>
      </c>
      <c r="BM154" s="22">
        <f t="shared" si="1279"/>
        <v>0</v>
      </c>
      <c r="BN154" s="22">
        <f t="shared" si="1279"/>
        <v>0</v>
      </c>
      <c r="BO154" s="22">
        <f t="shared" si="1279"/>
        <v>0</v>
      </c>
      <c r="BP154" s="22">
        <f t="shared" si="1279"/>
        <v>0</v>
      </c>
      <c r="BQ154" s="22">
        <f t="shared" si="1279"/>
        <v>0</v>
      </c>
      <c r="BR154" s="22">
        <f t="shared" si="1279"/>
        <v>0</v>
      </c>
      <c r="BS154" s="22">
        <f t="shared" si="1279"/>
        <v>0</v>
      </c>
      <c r="BT154" s="22">
        <f t="shared" si="1279"/>
        <v>0</v>
      </c>
      <c r="BU154" s="22">
        <f t="shared" si="1279"/>
        <v>0</v>
      </c>
      <c r="BV154" s="22">
        <f t="shared" si="1279"/>
        <v>0</v>
      </c>
      <c r="BW154" s="22">
        <f t="shared" si="1279"/>
        <v>0</v>
      </c>
      <c r="BX154" s="22">
        <f t="shared" si="1279"/>
        <v>0</v>
      </c>
      <c r="BY154" s="22">
        <f t="shared" si="1279"/>
        <v>0</v>
      </c>
      <c r="BZ154" s="22">
        <f t="shared" si="1279"/>
        <v>0</v>
      </c>
      <c r="CA154" s="22">
        <f t="shared" si="1279"/>
        <v>0</v>
      </c>
      <c r="CB154" s="22">
        <f t="shared" si="1279"/>
        <v>0</v>
      </c>
      <c r="CC154" s="22">
        <f t="shared" si="1279"/>
        <v>0</v>
      </c>
      <c r="CD154" s="22">
        <f t="shared" si="1279"/>
        <v>0</v>
      </c>
      <c r="CE154" s="22">
        <f t="shared" si="1279"/>
        <v>0</v>
      </c>
      <c r="CF154" s="22">
        <f t="shared" ref="CF154:CG154" si="1281">SUM(CF150:CF153)</f>
        <v>0</v>
      </c>
      <c r="CG154" s="22">
        <f t="shared" si="1281"/>
        <v>0</v>
      </c>
      <c r="CH154" s="22">
        <f t="shared" ref="CH154:CI154" si="1282">SUM(CH150:CH153)</f>
        <v>0</v>
      </c>
      <c r="CI154" s="22">
        <f t="shared" si="1282"/>
        <v>0</v>
      </c>
      <c r="CJ154" s="22">
        <f t="shared" ref="CJ154:DB154" si="1283">SUM(CJ150:CJ153)</f>
        <v>0</v>
      </c>
      <c r="CK154" s="22">
        <f t="shared" si="1283"/>
        <v>0</v>
      </c>
      <c r="CL154" s="22">
        <f t="shared" ref="CL154" si="1284">SUM(CL150:CL153)</f>
        <v>0</v>
      </c>
      <c r="CM154" s="21">
        <f t="shared" si="1283"/>
        <v>0</v>
      </c>
      <c r="CN154" s="21">
        <f t="shared" si="1283"/>
        <v>0</v>
      </c>
      <c r="CO154" s="21">
        <f t="shared" si="1283"/>
        <v>0</v>
      </c>
      <c r="CP154" s="21">
        <f t="shared" si="1283"/>
        <v>0</v>
      </c>
      <c r="CQ154" s="21">
        <f t="shared" si="1283"/>
        <v>0</v>
      </c>
      <c r="CR154" s="21">
        <f t="shared" si="1283"/>
        <v>0</v>
      </c>
      <c r="CS154" s="21">
        <f t="shared" si="1283"/>
        <v>0</v>
      </c>
      <c r="CT154" s="21">
        <f t="shared" si="1283"/>
        <v>0</v>
      </c>
      <c r="CU154" s="21">
        <f t="shared" si="1283"/>
        <v>0</v>
      </c>
      <c r="CV154" s="21">
        <f t="shared" si="1283"/>
        <v>0</v>
      </c>
      <c r="CW154" s="21">
        <f t="shared" si="1283"/>
        <v>0</v>
      </c>
      <c r="CX154" s="21">
        <f t="shared" si="1283"/>
        <v>0</v>
      </c>
      <c r="CY154" s="21">
        <f t="shared" si="1283"/>
        <v>0</v>
      </c>
      <c r="CZ154" s="21">
        <f t="shared" si="1283"/>
        <v>0</v>
      </c>
      <c r="DA154" s="21">
        <f t="shared" si="1283"/>
        <v>0</v>
      </c>
      <c r="DB154" s="21">
        <f t="shared" si="1283"/>
        <v>0</v>
      </c>
      <c r="DC154" s="21">
        <f t="shared" ref="DC154:DD154" si="1285">SUM(DC150:DC153)</f>
        <v>0</v>
      </c>
      <c r="DD154" s="21">
        <f t="shared" si="1285"/>
        <v>0</v>
      </c>
      <c r="DE154" s="126"/>
      <c r="DF154" s="22">
        <v>0</v>
      </c>
    </row>
    <row r="155" spans="1:110" s="26" customFormat="1" x14ac:dyDescent="0.2">
      <c r="A155" s="26" t="s">
        <v>437</v>
      </c>
      <c r="B155" s="26">
        <f>B154+B146+B148</f>
        <v>0</v>
      </c>
      <c r="C155" s="26">
        <f t="shared" ref="C155:V155" si="1286">C154+C146+C148</f>
        <v>0</v>
      </c>
      <c r="D155" s="26">
        <f>D154+D146+D148</f>
        <v>0</v>
      </c>
      <c r="E155" s="26">
        <f t="shared" si="1286"/>
        <v>0</v>
      </c>
      <c r="F155" s="26">
        <f t="shared" si="1286"/>
        <v>0</v>
      </c>
      <c r="G155" s="26">
        <f t="shared" si="1286"/>
        <v>0</v>
      </c>
      <c r="H155" s="26">
        <f t="shared" si="1286"/>
        <v>0</v>
      </c>
      <c r="I155" s="26">
        <f t="shared" si="1286"/>
        <v>0</v>
      </c>
      <c r="J155" s="26">
        <f t="shared" si="1286"/>
        <v>0</v>
      </c>
      <c r="K155" s="26">
        <f t="shared" si="1286"/>
        <v>0</v>
      </c>
      <c r="L155" s="26">
        <f t="shared" si="1286"/>
        <v>0</v>
      </c>
      <c r="M155" s="26">
        <f t="shared" si="1286"/>
        <v>0</v>
      </c>
      <c r="N155" s="26">
        <f t="shared" si="1286"/>
        <v>0</v>
      </c>
      <c r="O155" s="26">
        <f t="shared" si="1286"/>
        <v>0</v>
      </c>
      <c r="P155" s="26">
        <f t="shared" si="1286"/>
        <v>0</v>
      </c>
      <c r="Q155" s="26">
        <f t="shared" si="1286"/>
        <v>0</v>
      </c>
      <c r="R155" s="26">
        <f t="shared" si="1286"/>
        <v>0</v>
      </c>
      <c r="S155" s="26">
        <f t="shared" si="1286"/>
        <v>0</v>
      </c>
      <c r="T155" s="26">
        <f t="shared" si="1286"/>
        <v>0</v>
      </c>
      <c r="U155" s="26">
        <f t="shared" si="1286"/>
        <v>0</v>
      </c>
      <c r="V155" s="26">
        <f t="shared" si="1286"/>
        <v>0</v>
      </c>
      <c r="W155" s="26">
        <f t="shared" ref="W155" si="1287">W154+W146+W148</f>
        <v>0</v>
      </c>
      <c r="X155" s="26">
        <f t="shared" ref="X155:Y155" si="1288">X154+X146+X148</f>
        <v>0</v>
      </c>
      <c r="Y155" s="26">
        <f t="shared" si="1288"/>
        <v>3216.7999999999997</v>
      </c>
      <c r="Z155" s="26">
        <f t="shared" ref="Z155" si="1289">Z154+Z146+Z148</f>
        <v>4381.3</v>
      </c>
      <c r="AA155" s="27">
        <f t="shared" ref="AA155:AD155" si="1290">AA154+AA146+AA148</f>
        <v>5643.3998884262219</v>
      </c>
      <c r="AB155" s="27">
        <f t="shared" si="1290"/>
        <v>7537.6958763441025</v>
      </c>
      <c r="AC155" s="27">
        <f t="shared" si="1290"/>
        <v>9833.7828384618242</v>
      </c>
      <c r="AD155" s="27">
        <f t="shared" si="1290"/>
        <v>12558.108221527124</v>
      </c>
      <c r="AE155" s="27">
        <f t="shared" ref="AE155" si="1291">AE154+AE146+AE148</f>
        <v>15782.825281245658</v>
      </c>
      <c r="AJ155" s="26">
        <f t="shared" ref="AJ155" si="1292">AJ154+AJ146+AJ148</f>
        <v>0</v>
      </c>
      <c r="AK155" s="26">
        <f t="shared" ref="AK155" si="1293">AK154+AK146+AK148</f>
        <v>0</v>
      </c>
      <c r="AL155" s="26">
        <f t="shared" ref="AL155" si="1294">AL154+AL146+AL148</f>
        <v>0</v>
      </c>
      <c r="AM155" s="26">
        <f t="shared" ref="AM155:AO155" si="1295">AM154+AM146+AM148</f>
        <v>0</v>
      </c>
      <c r="AN155" s="26">
        <f t="shared" si="1295"/>
        <v>0</v>
      </c>
      <c r="AO155" s="26">
        <f t="shared" si="1295"/>
        <v>0</v>
      </c>
      <c r="AP155" s="26">
        <f t="shared" ref="AP155:CE155" si="1296">AP154+AP146+AP148</f>
        <v>0</v>
      </c>
      <c r="AQ155" s="26">
        <f t="shared" si="1296"/>
        <v>0</v>
      </c>
      <c r="AR155" s="26">
        <f t="shared" si="1296"/>
        <v>0</v>
      </c>
      <c r="AS155" s="26">
        <f t="shared" si="1296"/>
        <v>0</v>
      </c>
      <c r="AT155" s="26">
        <f t="shared" si="1296"/>
        <v>0</v>
      </c>
      <c r="AU155" s="26">
        <f t="shared" si="1296"/>
        <v>0</v>
      </c>
      <c r="AV155" s="26">
        <f t="shared" si="1296"/>
        <v>0</v>
      </c>
      <c r="AW155" s="26">
        <f t="shared" si="1296"/>
        <v>0</v>
      </c>
      <c r="AX155" s="26">
        <f t="shared" si="1296"/>
        <v>0</v>
      </c>
      <c r="AY155" s="26">
        <f t="shared" si="1296"/>
        <v>0</v>
      </c>
      <c r="AZ155" s="26">
        <f t="shared" si="1296"/>
        <v>0</v>
      </c>
      <c r="BA155" s="26">
        <f t="shared" si="1296"/>
        <v>0</v>
      </c>
      <c r="BB155" s="26">
        <f t="shared" si="1296"/>
        <v>0</v>
      </c>
      <c r="BC155" s="26">
        <f t="shared" si="1296"/>
        <v>0</v>
      </c>
      <c r="BD155" s="26">
        <f t="shared" si="1296"/>
        <v>0</v>
      </c>
      <c r="BE155" s="26">
        <f t="shared" si="1296"/>
        <v>0</v>
      </c>
      <c r="BF155" s="26">
        <f t="shared" si="1296"/>
        <v>0</v>
      </c>
      <c r="BG155" s="26">
        <f t="shared" si="1296"/>
        <v>0</v>
      </c>
      <c r="BH155" s="26">
        <f t="shared" ref="BH155" si="1297">BH154+BH146+BH148</f>
        <v>0</v>
      </c>
      <c r="BI155" s="26">
        <f t="shared" si="1296"/>
        <v>0</v>
      </c>
      <c r="BJ155" s="26">
        <f t="shared" si="1296"/>
        <v>0</v>
      </c>
      <c r="BK155" s="26">
        <f t="shared" si="1296"/>
        <v>0</v>
      </c>
      <c r="BL155" s="26">
        <f t="shared" si="1296"/>
        <v>0</v>
      </c>
      <c r="BM155" s="26">
        <f t="shared" si="1296"/>
        <v>0</v>
      </c>
      <c r="BN155" s="26">
        <f t="shared" si="1296"/>
        <v>0</v>
      </c>
      <c r="BO155" s="26">
        <f t="shared" si="1296"/>
        <v>0</v>
      </c>
      <c r="BP155" s="26">
        <f t="shared" si="1296"/>
        <v>0</v>
      </c>
      <c r="BQ155" s="26">
        <f t="shared" si="1296"/>
        <v>0</v>
      </c>
      <c r="BR155" s="26">
        <f t="shared" si="1296"/>
        <v>0</v>
      </c>
      <c r="BS155" s="26">
        <f t="shared" si="1296"/>
        <v>0</v>
      </c>
      <c r="BT155" s="26">
        <f t="shared" si="1296"/>
        <v>0</v>
      </c>
      <c r="BU155" s="26">
        <f t="shared" si="1296"/>
        <v>0</v>
      </c>
      <c r="BV155" s="26">
        <f t="shared" si="1296"/>
        <v>0</v>
      </c>
      <c r="BW155" s="26">
        <f t="shared" si="1296"/>
        <v>0</v>
      </c>
      <c r="BX155" s="26">
        <f t="shared" si="1296"/>
        <v>0</v>
      </c>
      <c r="BY155" s="26">
        <f t="shared" si="1296"/>
        <v>0</v>
      </c>
      <c r="BZ155" s="26">
        <f t="shared" si="1296"/>
        <v>0</v>
      </c>
      <c r="CA155" s="26">
        <f t="shared" si="1296"/>
        <v>0</v>
      </c>
      <c r="CB155" s="26">
        <f t="shared" si="1296"/>
        <v>0</v>
      </c>
      <c r="CC155" s="26">
        <f t="shared" si="1296"/>
        <v>0</v>
      </c>
      <c r="CD155" s="26">
        <f t="shared" si="1296"/>
        <v>0</v>
      </c>
      <c r="CE155" s="26">
        <f t="shared" si="1296"/>
        <v>145.80000000000007</v>
      </c>
      <c r="CF155" s="26">
        <f t="shared" ref="CF155:CG155" si="1298">CF154+CF146+CF148</f>
        <v>3216.7999999999997</v>
      </c>
      <c r="CG155" s="26">
        <f t="shared" si="1298"/>
        <v>3448.5</v>
      </c>
      <c r="CH155" s="26">
        <f t="shared" ref="CH155:CI155" si="1299">CH154+CH146+CH148</f>
        <v>4381.3</v>
      </c>
      <c r="CI155" s="26">
        <f t="shared" si="1299"/>
        <v>4644</v>
      </c>
      <c r="CJ155" s="26">
        <f t="shared" ref="CJ155:DB155" si="1300">CJ154+CJ146+CJ148</f>
        <v>4381.3</v>
      </c>
      <c r="CK155" s="26">
        <f t="shared" si="1300"/>
        <v>4694.2000000000007</v>
      </c>
      <c r="CL155" s="26">
        <f t="shared" ref="CL155" si="1301">CL154+CL146+CL148</f>
        <v>4811.8</v>
      </c>
      <c r="CM155" s="27">
        <f t="shared" si="1300"/>
        <v>5149.6339583368517</v>
      </c>
      <c r="CN155" s="27">
        <f t="shared" si="1300"/>
        <v>5643.3998884262219</v>
      </c>
      <c r="CO155" s="27">
        <f t="shared" si="1300"/>
        <v>6048.0481831254192</v>
      </c>
      <c r="CP155" s="27">
        <f t="shared" si="1300"/>
        <v>6533.9438773037573</v>
      </c>
      <c r="CQ155" s="27">
        <f t="shared" si="1300"/>
        <v>6940.8598041866944</v>
      </c>
      <c r="CR155" s="27">
        <f t="shared" si="1300"/>
        <v>7537.6958763441025</v>
      </c>
      <c r="CS155" s="27">
        <f t="shared" si="1300"/>
        <v>8019.5710336125703</v>
      </c>
      <c r="CT155" s="27">
        <f t="shared" si="1300"/>
        <v>8608.6474073376521</v>
      </c>
      <c r="CU155" s="27">
        <f t="shared" si="1300"/>
        <v>9107.9873848272709</v>
      </c>
      <c r="CV155" s="27">
        <f t="shared" si="1300"/>
        <v>9833.7828384618242</v>
      </c>
      <c r="CW155" s="27">
        <f t="shared" si="1300"/>
        <v>10412.516765821383</v>
      </c>
      <c r="CX155" s="27">
        <f t="shared" si="1300"/>
        <v>11115.427553967404</v>
      </c>
      <c r="CY155" s="27">
        <f t="shared" si="1300"/>
        <v>11707.805023199062</v>
      </c>
      <c r="CZ155" s="27">
        <f t="shared" si="1300"/>
        <v>12558.108221527124</v>
      </c>
      <c r="DA155" s="27">
        <f t="shared" si="1300"/>
        <v>13247.012237792485</v>
      </c>
      <c r="DB155" s="27">
        <f t="shared" si="1300"/>
        <v>14079.022464065187</v>
      </c>
      <c r="DC155" s="27">
        <f t="shared" ref="DC155:DD155" si="1302">DC154+DC146+DC148</f>
        <v>14780.40241210386</v>
      </c>
      <c r="DD155" s="27">
        <f t="shared" si="1302"/>
        <v>15782.825281245658</v>
      </c>
      <c r="DE155" s="121"/>
      <c r="DF155" s="26">
        <v>4381.3</v>
      </c>
    </row>
    <row r="156" spans="1:110" s="23" customFormat="1" x14ac:dyDescent="0.2">
      <c r="AA156" s="24"/>
      <c r="AB156" s="24"/>
      <c r="AC156" s="24"/>
      <c r="AD156" s="24"/>
      <c r="AE156" s="24"/>
      <c r="CM156" s="24"/>
      <c r="CN156" s="24"/>
      <c r="CO156" s="21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123"/>
    </row>
    <row r="157" spans="1:110" s="23" customFormat="1" outlineLevel="1" x14ac:dyDescent="0.2">
      <c r="A157" s="23" t="s">
        <v>50</v>
      </c>
      <c r="B157" s="23">
        <f>'Annual Raw'!C62</f>
        <v>0</v>
      </c>
      <c r="C157" s="23">
        <f>'Annual Raw'!D62</f>
        <v>0</v>
      </c>
      <c r="D157" s="23">
        <f>'Annual Raw'!E62</f>
        <v>0</v>
      </c>
      <c r="E157" s="23">
        <f>'Annual Raw'!F62-E161</f>
        <v>0</v>
      </c>
      <c r="F157" s="23">
        <f>'Annual Raw'!G62-F161</f>
        <v>0</v>
      </c>
      <c r="G157" s="23">
        <f>'Annual Raw'!H62-G161</f>
        <v>0</v>
      </c>
      <c r="H157" s="23">
        <f>'Annual Raw'!I62-H161</f>
        <v>0</v>
      </c>
      <c r="I157" s="23">
        <f>'Annual Raw'!J62-I161</f>
        <v>0</v>
      </c>
      <c r="J157" s="23">
        <f>'Annual Raw'!K62-J161</f>
        <v>0</v>
      </c>
      <c r="K157" s="23">
        <f>'Annual Raw'!L62-K161</f>
        <v>0</v>
      </c>
      <c r="L157" s="23">
        <f>'Annual Raw'!M62-L161</f>
        <v>0</v>
      </c>
      <c r="M157" s="23">
        <f>'Annual Raw'!N62-M161</f>
        <v>0</v>
      </c>
      <c r="N157" s="23">
        <f>'Annual Raw'!O62-N161</f>
        <v>0</v>
      </c>
      <c r="O157" s="23">
        <f>'Annual Raw'!P62-O161</f>
        <v>0</v>
      </c>
      <c r="P157" s="23">
        <f>'Annual Raw'!Q62-P161</f>
        <v>0</v>
      </c>
      <c r="Q157" s="23">
        <f>'Annual Raw'!R62-Q161</f>
        <v>0</v>
      </c>
      <c r="R157" s="23">
        <f>'Annual Raw'!S62-R161</f>
        <v>0</v>
      </c>
      <c r="S157" s="23">
        <f>'Annual Raw'!T62-S161</f>
        <v>0</v>
      </c>
      <c r="T157" s="23">
        <f>'Annual Raw'!U62-T161</f>
        <v>0</v>
      </c>
      <c r="U157" s="23">
        <f>'Annual Raw'!V62-U161</f>
        <v>0</v>
      </c>
      <c r="V157" s="23">
        <f>'Annual Raw'!W62-V161</f>
        <v>0</v>
      </c>
      <c r="W157" s="23">
        <f>'Annual Raw'!X62-W161</f>
        <v>0</v>
      </c>
      <c r="X157" s="23">
        <f>'Annual Raw'!Y62-X161</f>
        <v>0</v>
      </c>
      <c r="Y157" s="23">
        <f>'Annual Raw'!Z62-Y161</f>
        <v>916.1</v>
      </c>
      <c r="Z157" s="23">
        <f>'Annual Raw'!AA62-Z161</f>
        <v>1118.8</v>
      </c>
      <c r="AA157" s="74">
        <f t="shared" ref="AA157:AA159" si="1303">+CN157</f>
        <v>1316.7</v>
      </c>
      <c r="AB157" s="74">
        <f t="shared" ref="AB157:AB159" si="1304">CR157</f>
        <v>1828.7</v>
      </c>
      <c r="AC157" s="74">
        <f t="shared" ref="AC157:AC159" si="1305">CV157</f>
        <v>2340.6999999999998</v>
      </c>
      <c r="AD157" s="74">
        <f t="shared" ref="AD157:AD159" si="1306">CZ157</f>
        <v>2852.7</v>
      </c>
      <c r="AE157" s="74">
        <f t="shared" ref="AE157:AE159" si="1307">DD157</f>
        <v>3364.7</v>
      </c>
      <c r="AJ157" s="23">
        <f>+'QTR Raw'!D68</f>
        <v>0</v>
      </c>
      <c r="AL157" s="23">
        <f>+'QTR Raw'!F68</f>
        <v>0</v>
      </c>
      <c r="AN157" s="23">
        <f>+'QTR Raw'!H68</f>
        <v>0</v>
      </c>
      <c r="AP157" s="23">
        <f>+'QTR Raw'!J68</f>
        <v>0</v>
      </c>
      <c r="AR157" s="23">
        <f>+'QTR Raw'!L68</f>
        <v>0</v>
      </c>
      <c r="AT157" s="23">
        <f>+'QTR Raw'!N68</f>
        <v>0</v>
      </c>
      <c r="AV157" s="23">
        <f>+'QTR Raw'!P68</f>
        <v>0</v>
      </c>
      <c r="AX157" s="23">
        <f>+'QTR Raw'!R68</f>
        <v>0</v>
      </c>
      <c r="AZ157" s="23">
        <f>+'QTR Raw'!T68</f>
        <v>0</v>
      </c>
      <c r="BB157" s="23">
        <f>+'QTR Raw'!V68</f>
        <v>0</v>
      </c>
      <c r="BD157" s="23">
        <f>+'QTR Raw'!X68</f>
        <v>0</v>
      </c>
      <c r="BF157" s="23">
        <f>+'QTR Raw'!Z68</f>
        <v>0</v>
      </c>
      <c r="BH157" s="23">
        <f>+'QTR Raw'!AB68</f>
        <v>0</v>
      </c>
      <c r="BJ157" s="23">
        <f>+'QTR Raw'!AD68</f>
        <v>0</v>
      </c>
      <c r="BL157" s="23">
        <f>+'QTR Raw'!AF68</f>
        <v>0</v>
      </c>
      <c r="BN157" s="23">
        <f>+'QTR Raw'!AH68</f>
        <v>0</v>
      </c>
      <c r="BP157" s="23">
        <f>+'QTR Raw'!AJ68</f>
        <v>0</v>
      </c>
      <c r="BR157" s="23">
        <f>+'QTR Raw'!AL68</f>
        <v>0</v>
      </c>
      <c r="BT157" s="23">
        <f>+'QTR Raw'!AN68</f>
        <v>0</v>
      </c>
      <c r="BV157" s="23">
        <f>+'QTR Raw'!AP68</f>
        <v>0</v>
      </c>
      <c r="BX157" s="23">
        <f>+'QTR Raw'!AR68</f>
        <v>0</v>
      </c>
      <c r="BZ157" s="23">
        <f>+'QTR Raw'!AT68</f>
        <v>0</v>
      </c>
      <c r="CB157" s="23">
        <f>+'QTR Raw'!AV68</f>
        <v>0</v>
      </c>
      <c r="CD157" s="23">
        <f>+'QTR Raw'!AX68</f>
        <v>0</v>
      </c>
      <c r="CF157" s="23">
        <f>+'QTR Raw'!AZ68</f>
        <v>307.2</v>
      </c>
      <c r="CH157" s="23">
        <f t="shared" ref="CH157:CH163" si="1308">Z157</f>
        <v>1118.8</v>
      </c>
      <c r="CI157" s="23">
        <f>CH157</f>
        <v>1118.8</v>
      </c>
      <c r="CJ157" s="23">
        <f>+CJ158+CJ160</f>
        <v>1045.5999999999999</v>
      </c>
      <c r="CK157" s="23">
        <f>+CJ157+100</f>
        <v>1145.5999999999999</v>
      </c>
      <c r="CL157" s="23">
        <f>+CL158+CL160</f>
        <v>1116.7</v>
      </c>
      <c r="CM157" s="24">
        <f t="shared" ref="CM157:CN157" si="1309">+CL157+100</f>
        <v>1216.7</v>
      </c>
      <c r="CN157" s="24">
        <f t="shared" si="1309"/>
        <v>1316.7</v>
      </c>
      <c r="CO157" s="24">
        <f>+CN157+128</f>
        <v>1444.7</v>
      </c>
      <c r="CP157" s="24">
        <f t="shared" ref="CP157:DD157" si="1310">+CO157+128</f>
        <v>1572.7</v>
      </c>
      <c r="CQ157" s="24">
        <f t="shared" si="1310"/>
        <v>1700.7</v>
      </c>
      <c r="CR157" s="24">
        <f t="shared" si="1310"/>
        <v>1828.7</v>
      </c>
      <c r="CS157" s="24">
        <f t="shared" si="1310"/>
        <v>1956.7</v>
      </c>
      <c r="CT157" s="24">
        <f t="shared" si="1310"/>
        <v>2084.6999999999998</v>
      </c>
      <c r="CU157" s="24">
        <f t="shared" si="1310"/>
        <v>2212.6999999999998</v>
      </c>
      <c r="CV157" s="24">
        <f t="shared" si="1310"/>
        <v>2340.6999999999998</v>
      </c>
      <c r="CW157" s="24">
        <f t="shared" si="1310"/>
        <v>2468.6999999999998</v>
      </c>
      <c r="CX157" s="24">
        <f t="shared" si="1310"/>
        <v>2596.6999999999998</v>
      </c>
      <c r="CY157" s="24">
        <f t="shared" si="1310"/>
        <v>2724.7</v>
      </c>
      <c r="CZ157" s="24">
        <f t="shared" si="1310"/>
        <v>2852.7</v>
      </c>
      <c r="DA157" s="24">
        <f t="shared" si="1310"/>
        <v>2980.7</v>
      </c>
      <c r="DB157" s="24">
        <f t="shared" si="1310"/>
        <v>3108.7</v>
      </c>
      <c r="DC157" s="24">
        <f t="shared" si="1310"/>
        <v>3236.7</v>
      </c>
      <c r="DD157" s="24">
        <f t="shared" si="1310"/>
        <v>3364.7</v>
      </c>
      <c r="DE157" s="123"/>
      <c r="DF157" s="23">
        <v>1118.8</v>
      </c>
    </row>
    <row r="158" spans="1:110" s="23" customFormat="1" outlineLevel="1" x14ac:dyDescent="0.2">
      <c r="A158" s="23" t="s">
        <v>51</v>
      </c>
      <c r="B158" s="23">
        <f>'Annual Raw'!C63</f>
        <v>0</v>
      </c>
      <c r="C158" s="23">
        <f>'Annual Raw'!D63</f>
        <v>0</v>
      </c>
      <c r="D158" s="23">
        <f>'Annual Raw'!E63</f>
        <v>0</v>
      </c>
      <c r="E158" s="23">
        <f>'Annual Raw'!F63</f>
        <v>0</v>
      </c>
      <c r="F158" s="23">
        <f>'Annual Raw'!G63</f>
        <v>0</v>
      </c>
      <c r="G158" s="23">
        <f>'Annual Raw'!H63</f>
        <v>0</v>
      </c>
      <c r="H158" s="23">
        <f>'Annual Raw'!I63</f>
        <v>0</v>
      </c>
      <c r="I158" s="23">
        <f>'Annual Raw'!J63</f>
        <v>0</v>
      </c>
      <c r="J158" s="23">
        <f>'Annual Raw'!K63</f>
        <v>0</v>
      </c>
      <c r="K158" s="23">
        <f>'Annual Raw'!L63</f>
        <v>0</v>
      </c>
      <c r="L158" s="23">
        <f>'Annual Raw'!M63</f>
        <v>0</v>
      </c>
      <c r="M158" s="23">
        <f>'Annual Raw'!N63</f>
        <v>0</v>
      </c>
      <c r="N158" s="23">
        <f>'Annual Raw'!O63</f>
        <v>0</v>
      </c>
      <c r="O158" s="23">
        <f>'Annual Raw'!P63</f>
        <v>0</v>
      </c>
      <c r="P158" s="23">
        <f>'Annual Raw'!Q63</f>
        <v>0</v>
      </c>
      <c r="Q158" s="23">
        <f>'Annual Raw'!R63</f>
        <v>0</v>
      </c>
      <c r="R158" s="23">
        <f>'Annual Raw'!S63</f>
        <v>0</v>
      </c>
      <c r="S158" s="23">
        <f>'Annual Raw'!T63</f>
        <v>0</v>
      </c>
      <c r="T158" s="23">
        <f>'Annual Raw'!U63</f>
        <v>0</v>
      </c>
      <c r="U158" s="23">
        <f>'Annual Raw'!V63</f>
        <v>0</v>
      </c>
      <c r="V158" s="23">
        <f>'Annual Raw'!W63</f>
        <v>0</v>
      </c>
      <c r="W158" s="23">
        <f>'Annual Raw'!X63</f>
        <v>0</v>
      </c>
      <c r="X158" s="23">
        <f>'Annual Raw'!Y63</f>
        <v>0</v>
      </c>
      <c r="Y158" s="23">
        <f>'Annual Raw'!Z63</f>
        <v>486.8</v>
      </c>
      <c r="Z158" s="23">
        <f>'Annual Raw'!AA63</f>
        <v>582.70000000000005</v>
      </c>
      <c r="AA158" s="74">
        <f t="shared" si="1303"/>
        <v>778.52240000000006</v>
      </c>
      <c r="AB158" s="74">
        <f t="shared" si="1304"/>
        <v>989.38209213030404</v>
      </c>
      <c r="AC158" s="74">
        <f t="shared" si="1305"/>
        <v>1285.6472956002212</v>
      </c>
      <c r="AD158" s="74">
        <f t="shared" si="1306"/>
        <v>1643.0964061390375</v>
      </c>
      <c r="AE158" s="74">
        <f t="shared" si="1307"/>
        <v>2044.3772369673072</v>
      </c>
      <c r="AJ158" s="23">
        <f>+'QTR Raw'!D69</f>
        <v>0</v>
      </c>
      <c r="AL158" s="23">
        <f>+'QTR Raw'!F69</f>
        <v>0</v>
      </c>
      <c r="AN158" s="23">
        <f>+'QTR Raw'!H69</f>
        <v>0</v>
      </c>
      <c r="AP158" s="23">
        <f>+'QTR Raw'!J69</f>
        <v>0</v>
      </c>
      <c r="AR158" s="23">
        <f>+'QTR Raw'!L69</f>
        <v>0</v>
      </c>
      <c r="AT158" s="23">
        <f>+'QTR Raw'!N69</f>
        <v>0</v>
      </c>
      <c r="AV158" s="23">
        <f>+'QTR Raw'!P69</f>
        <v>0</v>
      </c>
      <c r="AX158" s="23">
        <f>+'QTR Raw'!R69</f>
        <v>0</v>
      </c>
      <c r="AZ158" s="23">
        <f>+'QTR Raw'!T69</f>
        <v>0</v>
      </c>
      <c r="BB158" s="23">
        <f>+'QTR Raw'!V69</f>
        <v>0</v>
      </c>
      <c r="BD158" s="23">
        <f>+'QTR Raw'!X69</f>
        <v>0</v>
      </c>
      <c r="BF158" s="23">
        <f>+'QTR Raw'!Z69</f>
        <v>0</v>
      </c>
      <c r="BH158" s="23">
        <f>+'QTR Raw'!AB69</f>
        <v>0</v>
      </c>
      <c r="BJ158" s="23">
        <f>+'QTR Raw'!AD69</f>
        <v>0</v>
      </c>
      <c r="BL158" s="23">
        <f>+'QTR Raw'!AF69</f>
        <v>0</v>
      </c>
      <c r="BN158" s="23">
        <f>+'QTR Raw'!AH69</f>
        <v>0</v>
      </c>
      <c r="BP158" s="23">
        <f>+'QTR Raw'!AJ69</f>
        <v>0</v>
      </c>
      <c r="BR158" s="23">
        <f>+'QTR Raw'!AL69</f>
        <v>0</v>
      </c>
      <c r="BT158" s="23">
        <f>+'QTR Raw'!AN69</f>
        <v>0</v>
      </c>
      <c r="BV158" s="23">
        <f>+'QTR Raw'!AP69</f>
        <v>0</v>
      </c>
      <c r="BX158" s="23">
        <f>+'QTR Raw'!AR69</f>
        <v>0</v>
      </c>
      <c r="BZ158" s="23">
        <f>+'QTR Raw'!AT69</f>
        <v>0</v>
      </c>
      <c r="CB158" s="23">
        <f>+'QTR Raw'!AV69</f>
        <v>0</v>
      </c>
      <c r="CD158" s="23">
        <f>+'QTR Raw'!AX69</f>
        <v>0</v>
      </c>
      <c r="CF158" s="23">
        <f>+'QTR Raw'!AZ69</f>
        <v>0</v>
      </c>
      <c r="CH158" s="23">
        <f t="shared" si="1308"/>
        <v>582.70000000000005</v>
      </c>
      <c r="CI158" s="23">
        <f t="shared" ref="CI158:DB158" si="1311">CH158+CI58</f>
        <v>609.30000000000007</v>
      </c>
      <c r="CJ158" s="23">
        <f t="shared" si="1311"/>
        <v>640.70000000000005</v>
      </c>
      <c r="CK158" s="23">
        <f t="shared" si="1311"/>
        <v>673</v>
      </c>
      <c r="CL158" s="23">
        <f t="shared" si="1311"/>
        <v>707.7</v>
      </c>
      <c r="CM158" s="24">
        <f t="shared" si="1311"/>
        <v>740.42000000000007</v>
      </c>
      <c r="CN158" s="24">
        <f t="shared" si="1311"/>
        <v>778.52240000000006</v>
      </c>
      <c r="CO158" s="24">
        <f t="shared" si="1311"/>
        <v>821.57660800000008</v>
      </c>
      <c r="CP158" s="24">
        <f t="shared" si="1311"/>
        <v>871.42647936000003</v>
      </c>
      <c r="CQ158" s="24">
        <f t="shared" si="1311"/>
        <v>927.52836101119999</v>
      </c>
      <c r="CR158" s="24">
        <f t="shared" si="1311"/>
        <v>989.38209213030404</v>
      </c>
      <c r="CS158" s="24">
        <f t="shared" si="1311"/>
        <v>1056.5275247598797</v>
      </c>
      <c r="CT158" s="24">
        <f t="shared" si="1311"/>
        <v>1128.5413227790893</v>
      </c>
      <c r="CU158" s="24">
        <f t="shared" si="1311"/>
        <v>1205.0340169567621</v>
      </c>
      <c r="CV158" s="24">
        <f t="shared" si="1311"/>
        <v>1285.6472956002212</v>
      </c>
      <c r="CW158" s="24">
        <f t="shared" si="1311"/>
        <v>1370.0515119522036</v>
      </c>
      <c r="CX158" s="24">
        <f t="shared" si="1311"/>
        <v>1457.9433909960273</v>
      </c>
      <c r="CY158" s="24">
        <f t="shared" si="1311"/>
        <v>1549.043919716345</v>
      </c>
      <c r="CZ158" s="24">
        <f t="shared" si="1311"/>
        <v>1643.0964061390375</v>
      </c>
      <c r="DA158" s="24">
        <f t="shared" si="1311"/>
        <v>1739.8646936479145</v>
      </c>
      <c r="DB158" s="24">
        <f t="shared" si="1311"/>
        <v>1839.1315181560813</v>
      </c>
      <c r="DC158" s="24">
        <f t="shared" ref="DC158" si="1312">DB158+DC58</f>
        <v>1940.6969967035948</v>
      </c>
      <c r="DD158" s="24">
        <f t="shared" ref="DD158" si="1313">DC158+DD58</f>
        <v>2044.3772369673072</v>
      </c>
      <c r="DE158" s="123"/>
      <c r="DF158" s="23">
        <v>582.70000000000005</v>
      </c>
    </row>
    <row r="159" spans="1:110" s="23" customFormat="1" outlineLevel="1" x14ac:dyDescent="0.2">
      <c r="A159" s="23" t="s">
        <v>52</v>
      </c>
      <c r="B159" s="23">
        <f>'Annual Raw'!C64</f>
        <v>0</v>
      </c>
      <c r="C159" s="23">
        <f>'Annual Raw'!D64</f>
        <v>0</v>
      </c>
      <c r="D159" s="23">
        <f>'Annual Raw'!E64</f>
        <v>0</v>
      </c>
      <c r="E159" s="23">
        <f>'Annual Raw'!F64</f>
        <v>0</v>
      </c>
      <c r="F159" s="23">
        <f>'Annual Raw'!G64</f>
        <v>0</v>
      </c>
      <c r="G159" s="23">
        <f>'Annual Raw'!H64</f>
        <v>0</v>
      </c>
      <c r="H159" s="23">
        <f>'Annual Raw'!I64</f>
        <v>0</v>
      </c>
      <c r="I159" s="23">
        <f>'Annual Raw'!J64</f>
        <v>0</v>
      </c>
      <c r="J159" s="23">
        <f>'Annual Raw'!K64</f>
        <v>0</v>
      </c>
      <c r="K159" s="23">
        <f>'Annual Raw'!L64</f>
        <v>0</v>
      </c>
      <c r="L159" s="23">
        <f>'Annual Raw'!M64</f>
        <v>0</v>
      </c>
      <c r="M159" s="23">
        <f>'Annual Raw'!N64</f>
        <v>0</v>
      </c>
      <c r="N159" s="23">
        <f>'Annual Raw'!O64</f>
        <v>0</v>
      </c>
      <c r="O159" s="23">
        <f>'Annual Raw'!P64</f>
        <v>0</v>
      </c>
      <c r="P159" s="23">
        <f>'Annual Raw'!Q64</f>
        <v>0</v>
      </c>
      <c r="Q159" s="23">
        <f>'Annual Raw'!R64</f>
        <v>0</v>
      </c>
      <c r="R159" s="23">
        <f>'Annual Raw'!S64</f>
        <v>0</v>
      </c>
      <c r="S159" s="23">
        <f>'Annual Raw'!T64</f>
        <v>0</v>
      </c>
      <c r="T159" s="23">
        <f>'Annual Raw'!U64</f>
        <v>0</v>
      </c>
      <c r="U159" s="23">
        <f>'Annual Raw'!V64</f>
        <v>0</v>
      </c>
      <c r="V159" s="23">
        <f>'Annual Raw'!W64</f>
        <v>0</v>
      </c>
      <c r="W159" s="23">
        <f>'Annual Raw'!X64</f>
        <v>0</v>
      </c>
      <c r="X159" s="23">
        <f>'Annual Raw'!Y64</f>
        <v>0</v>
      </c>
      <c r="Y159" s="23">
        <f>'Annual Raw'!Z64</f>
        <v>0</v>
      </c>
      <c r="Z159" s="23">
        <f>'Annual Raw'!AA64</f>
        <v>0</v>
      </c>
      <c r="AA159" s="74">
        <f t="shared" si="1303"/>
        <v>0</v>
      </c>
      <c r="AB159" s="74">
        <f t="shared" si="1304"/>
        <v>0</v>
      </c>
      <c r="AC159" s="74">
        <f t="shared" si="1305"/>
        <v>0</v>
      </c>
      <c r="AD159" s="74">
        <f t="shared" si="1306"/>
        <v>0</v>
      </c>
      <c r="AE159" s="74">
        <f t="shared" si="1307"/>
        <v>0</v>
      </c>
      <c r="AJ159" s="23">
        <f>+'QTR Raw'!D70</f>
        <v>0</v>
      </c>
      <c r="AL159" s="23">
        <f>+'QTR Raw'!F70</f>
        <v>0</v>
      </c>
      <c r="AN159" s="23">
        <f>+'QTR Raw'!H70</f>
        <v>0</v>
      </c>
      <c r="AP159" s="23">
        <f>+'QTR Raw'!J70</f>
        <v>0</v>
      </c>
      <c r="AR159" s="23">
        <f>+'QTR Raw'!L70</f>
        <v>0</v>
      </c>
      <c r="AT159" s="23">
        <f>+'QTR Raw'!N70</f>
        <v>0</v>
      </c>
      <c r="AV159" s="23">
        <f>+'QTR Raw'!P70</f>
        <v>0</v>
      </c>
      <c r="AX159" s="23">
        <f>+'QTR Raw'!R70</f>
        <v>0</v>
      </c>
      <c r="AZ159" s="23">
        <f>+'QTR Raw'!T70</f>
        <v>0</v>
      </c>
      <c r="BB159" s="23">
        <f>+'QTR Raw'!V70</f>
        <v>0</v>
      </c>
      <c r="BD159" s="23">
        <f>+'QTR Raw'!X70</f>
        <v>0</v>
      </c>
      <c r="BF159" s="23">
        <f>+'QTR Raw'!Z70</f>
        <v>0</v>
      </c>
      <c r="BH159" s="23">
        <f>+'QTR Raw'!AB70</f>
        <v>0</v>
      </c>
      <c r="BJ159" s="23">
        <f>+'QTR Raw'!AD70</f>
        <v>0</v>
      </c>
      <c r="BL159" s="23">
        <f>+'QTR Raw'!AF70</f>
        <v>0</v>
      </c>
      <c r="BN159" s="23">
        <f>+'QTR Raw'!AH70</f>
        <v>0</v>
      </c>
      <c r="BP159" s="23">
        <f>+'QTR Raw'!AJ70</f>
        <v>0</v>
      </c>
      <c r="BR159" s="23">
        <f>+'QTR Raw'!AL70</f>
        <v>0</v>
      </c>
      <c r="BT159" s="23">
        <f>+'QTR Raw'!AN70</f>
        <v>0</v>
      </c>
      <c r="BV159" s="23">
        <f>+'QTR Raw'!AP70</f>
        <v>0</v>
      </c>
      <c r="BX159" s="23">
        <f>+'QTR Raw'!AR70</f>
        <v>0</v>
      </c>
      <c r="BZ159" s="23">
        <f>+'QTR Raw'!AT70</f>
        <v>0</v>
      </c>
      <c r="CB159" s="23">
        <f>+'QTR Raw'!AV70</f>
        <v>0</v>
      </c>
      <c r="CD159" s="23">
        <f>+'QTR Raw'!AX70</f>
        <v>0</v>
      </c>
      <c r="CF159" s="23">
        <f>+'QTR Raw'!AZ70</f>
        <v>0</v>
      </c>
      <c r="CH159" s="23">
        <f t="shared" si="1308"/>
        <v>0</v>
      </c>
      <c r="CI159" s="23">
        <f>CH159</f>
        <v>0</v>
      </c>
      <c r="CJ159" s="23">
        <f>+'QTR Raw'!BD70</f>
        <v>0</v>
      </c>
      <c r="CK159" s="23">
        <f t="shared" ref="CK159:DB159" si="1314">CJ159</f>
        <v>0</v>
      </c>
      <c r="CL159" s="23">
        <f>+'QTR Raw'!BF70</f>
        <v>0</v>
      </c>
      <c r="CM159" s="24">
        <f t="shared" si="1314"/>
        <v>0</v>
      </c>
      <c r="CN159" s="24">
        <f t="shared" si="1314"/>
        <v>0</v>
      </c>
      <c r="CO159" s="24">
        <f t="shared" si="1314"/>
        <v>0</v>
      </c>
      <c r="CP159" s="24">
        <f t="shared" si="1314"/>
        <v>0</v>
      </c>
      <c r="CQ159" s="24">
        <f t="shared" si="1314"/>
        <v>0</v>
      </c>
      <c r="CR159" s="24">
        <f t="shared" si="1314"/>
        <v>0</v>
      </c>
      <c r="CS159" s="24">
        <f t="shared" si="1314"/>
        <v>0</v>
      </c>
      <c r="CT159" s="24">
        <f t="shared" si="1314"/>
        <v>0</v>
      </c>
      <c r="CU159" s="24">
        <f t="shared" si="1314"/>
        <v>0</v>
      </c>
      <c r="CV159" s="24">
        <f t="shared" si="1314"/>
        <v>0</v>
      </c>
      <c r="CW159" s="24">
        <f t="shared" si="1314"/>
        <v>0</v>
      </c>
      <c r="CX159" s="24">
        <f t="shared" si="1314"/>
        <v>0</v>
      </c>
      <c r="CY159" s="24">
        <f t="shared" si="1314"/>
        <v>0</v>
      </c>
      <c r="CZ159" s="24">
        <f t="shared" si="1314"/>
        <v>0</v>
      </c>
      <c r="DA159" s="24">
        <f t="shared" si="1314"/>
        <v>0</v>
      </c>
      <c r="DB159" s="24">
        <f t="shared" si="1314"/>
        <v>0</v>
      </c>
      <c r="DC159" s="24">
        <f t="shared" ref="DC159" si="1315">DB159</f>
        <v>0</v>
      </c>
      <c r="DD159" s="24">
        <f t="shared" ref="DD159" si="1316">DC159</f>
        <v>0</v>
      </c>
      <c r="DE159" s="123"/>
      <c r="DF159" s="23">
        <v>0</v>
      </c>
    </row>
    <row r="160" spans="1:110" s="22" customFormat="1" outlineLevel="1" x14ac:dyDescent="0.2">
      <c r="A160" s="22" t="s">
        <v>53</v>
      </c>
      <c r="B160" s="22">
        <f>+B157-B158-B159</f>
        <v>0</v>
      </c>
      <c r="C160" s="22">
        <f t="shared" ref="C160:W160" si="1317">+C157-C158-C159</f>
        <v>0</v>
      </c>
      <c r="D160" s="22">
        <f t="shared" si="1317"/>
        <v>0</v>
      </c>
      <c r="E160" s="22">
        <f t="shared" si="1317"/>
        <v>0</v>
      </c>
      <c r="F160" s="22">
        <f t="shared" si="1317"/>
        <v>0</v>
      </c>
      <c r="G160" s="22">
        <f t="shared" si="1317"/>
        <v>0</v>
      </c>
      <c r="H160" s="22">
        <f t="shared" si="1317"/>
        <v>0</v>
      </c>
      <c r="I160" s="22">
        <f t="shared" si="1317"/>
        <v>0</v>
      </c>
      <c r="J160" s="22">
        <f t="shared" si="1317"/>
        <v>0</v>
      </c>
      <c r="K160" s="22">
        <f t="shared" si="1317"/>
        <v>0</v>
      </c>
      <c r="L160" s="22">
        <f t="shared" si="1317"/>
        <v>0</v>
      </c>
      <c r="M160" s="22">
        <f t="shared" si="1317"/>
        <v>0</v>
      </c>
      <c r="N160" s="22">
        <f t="shared" si="1317"/>
        <v>0</v>
      </c>
      <c r="O160" s="22">
        <f t="shared" si="1317"/>
        <v>0</v>
      </c>
      <c r="P160" s="22">
        <f t="shared" si="1317"/>
        <v>0</v>
      </c>
      <c r="Q160" s="22">
        <f t="shared" si="1317"/>
        <v>0</v>
      </c>
      <c r="R160" s="22">
        <f t="shared" si="1317"/>
        <v>0</v>
      </c>
      <c r="S160" s="22">
        <f t="shared" si="1317"/>
        <v>0</v>
      </c>
      <c r="T160" s="22">
        <f t="shared" si="1317"/>
        <v>0</v>
      </c>
      <c r="U160" s="22">
        <f t="shared" si="1317"/>
        <v>0</v>
      </c>
      <c r="V160" s="22">
        <f t="shared" si="1317"/>
        <v>0</v>
      </c>
      <c r="W160" s="22">
        <f t="shared" si="1317"/>
        <v>0</v>
      </c>
      <c r="X160" s="22">
        <f t="shared" ref="X160:Y160" si="1318">+X157-X158-X159</f>
        <v>0</v>
      </c>
      <c r="Y160" s="22">
        <f t="shared" si="1318"/>
        <v>429.3</v>
      </c>
      <c r="Z160" s="22">
        <f t="shared" ref="Z160" si="1319">+Z157-Z158-Z159</f>
        <v>536.09999999999991</v>
      </c>
      <c r="AA160" s="21">
        <f t="shared" ref="AA160:AE160" si="1320">+AA157-AA158-AA159</f>
        <v>538.17759999999998</v>
      </c>
      <c r="AB160" s="21">
        <f t="shared" si="1320"/>
        <v>839.317907869696</v>
      </c>
      <c r="AC160" s="21">
        <f t="shared" si="1320"/>
        <v>1055.0527043997786</v>
      </c>
      <c r="AD160" s="21">
        <f t="shared" si="1320"/>
        <v>1209.6035938609623</v>
      </c>
      <c r="AE160" s="21">
        <f t="shared" si="1320"/>
        <v>1320.3227630326926</v>
      </c>
      <c r="AJ160" s="22">
        <f t="shared" ref="AJ160:AL160" si="1321">+AJ157-AJ158-AJ159</f>
        <v>0</v>
      </c>
      <c r="AK160" s="22">
        <f t="shared" ref="AK160:CE160" si="1322">+AJ160</f>
        <v>0</v>
      </c>
      <c r="AL160" s="22">
        <f t="shared" si="1321"/>
        <v>0</v>
      </c>
      <c r="AM160" s="22">
        <f t="shared" si="1322"/>
        <v>0</v>
      </c>
      <c r="AN160" s="22">
        <f t="shared" ref="AN160" si="1323">+AN157-AN158-AN159</f>
        <v>0</v>
      </c>
      <c r="AO160" s="22">
        <f t="shared" si="1322"/>
        <v>0</v>
      </c>
      <c r="AP160" s="22">
        <f t="shared" ref="AP160:CD160" si="1324">+AP157-AP158-AP159</f>
        <v>0</v>
      </c>
      <c r="AQ160" s="22">
        <f t="shared" si="1322"/>
        <v>0</v>
      </c>
      <c r="AR160" s="22">
        <f t="shared" si="1324"/>
        <v>0</v>
      </c>
      <c r="AS160" s="22">
        <f t="shared" si="1322"/>
        <v>0</v>
      </c>
      <c r="AT160" s="22">
        <f t="shared" si="1324"/>
        <v>0</v>
      </c>
      <c r="AU160" s="22">
        <f t="shared" si="1322"/>
        <v>0</v>
      </c>
      <c r="AV160" s="22">
        <f t="shared" si="1324"/>
        <v>0</v>
      </c>
      <c r="AW160" s="22">
        <f t="shared" si="1322"/>
        <v>0</v>
      </c>
      <c r="AX160" s="22">
        <f t="shared" si="1324"/>
        <v>0</v>
      </c>
      <c r="AY160" s="22">
        <f t="shared" si="1322"/>
        <v>0</v>
      </c>
      <c r="AZ160" s="22">
        <f t="shared" si="1324"/>
        <v>0</v>
      </c>
      <c r="BA160" s="22">
        <f t="shared" si="1322"/>
        <v>0</v>
      </c>
      <c r="BB160" s="22">
        <f t="shared" si="1324"/>
        <v>0</v>
      </c>
      <c r="BC160" s="22">
        <f t="shared" si="1322"/>
        <v>0</v>
      </c>
      <c r="BD160" s="22">
        <f t="shared" si="1324"/>
        <v>0</v>
      </c>
      <c r="BE160" s="22">
        <f t="shared" si="1322"/>
        <v>0</v>
      </c>
      <c r="BF160" s="22">
        <f t="shared" si="1324"/>
        <v>0</v>
      </c>
      <c r="BG160" s="22">
        <f t="shared" si="1322"/>
        <v>0</v>
      </c>
      <c r="BH160" s="22">
        <f t="shared" si="1324"/>
        <v>0</v>
      </c>
      <c r="BI160" s="22">
        <f t="shared" si="1322"/>
        <v>0</v>
      </c>
      <c r="BJ160" s="22">
        <f t="shared" si="1324"/>
        <v>0</v>
      </c>
      <c r="BK160" s="22">
        <f t="shared" si="1322"/>
        <v>0</v>
      </c>
      <c r="BL160" s="22">
        <f t="shared" si="1324"/>
        <v>0</v>
      </c>
      <c r="BM160" s="22">
        <f t="shared" si="1322"/>
        <v>0</v>
      </c>
      <c r="BN160" s="22">
        <f t="shared" si="1324"/>
        <v>0</v>
      </c>
      <c r="BO160" s="22">
        <f t="shared" si="1322"/>
        <v>0</v>
      </c>
      <c r="BP160" s="22">
        <f t="shared" si="1324"/>
        <v>0</v>
      </c>
      <c r="BQ160" s="22">
        <f t="shared" si="1322"/>
        <v>0</v>
      </c>
      <c r="BR160" s="22">
        <f t="shared" si="1324"/>
        <v>0</v>
      </c>
      <c r="BS160" s="22">
        <f t="shared" si="1322"/>
        <v>0</v>
      </c>
      <c r="BT160" s="22">
        <f t="shared" si="1324"/>
        <v>0</v>
      </c>
      <c r="BU160" s="22">
        <f t="shared" si="1322"/>
        <v>0</v>
      </c>
      <c r="BV160" s="22">
        <f t="shared" si="1324"/>
        <v>0</v>
      </c>
      <c r="BW160" s="22">
        <f t="shared" si="1322"/>
        <v>0</v>
      </c>
      <c r="BX160" s="22">
        <f t="shared" si="1324"/>
        <v>0</v>
      </c>
      <c r="BY160" s="22">
        <f t="shared" si="1322"/>
        <v>0</v>
      </c>
      <c r="BZ160" s="22">
        <f t="shared" si="1324"/>
        <v>0</v>
      </c>
      <c r="CA160" s="22">
        <f t="shared" si="1322"/>
        <v>0</v>
      </c>
      <c r="CB160" s="22">
        <f t="shared" si="1324"/>
        <v>0</v>
      </c>
      <c r="CC160" s="22">
        <f t="shared" si="1322"/>
        <v>0</v>
      </c>
      <c r="CD160" s="22">
        <f t="shared" si="1324"/>
        <v>0</v>
      </c>
      <c r="CE160" s="22">
        <f t="shared" si="1322"/>
        <v>0</v>
      </c>
      <c r="CF160" s="22">
        <f t="shared" ref="CF160:CI160" si="1325">+CF157-CF158-CF159</f>
        <v>307.2</v>
      </c>
      <c r="CG160" s="22">
        <f t="shared" ref="CG160:CI163" si="1326">+CF160</f>
        <v>307.2</v>
      </c>
      <c r="CH160" s="22">
        <f t="shared" si="1325"/>
        <v>536.09999999999991</v>
      </c>
      <c r="CI160" s="22">
        <f t="shared" si="1325"/>
        <v>509.49999999999989</v>
      </c>
      <c r="CJ160" s="23">
        <f>+'QTR Raw'!BD68</f>
        <v>404.9</v>
      </c>
      <c r="CK160" s="23">
        <f t="shared" ref="CK160:DB160" si="1327">+CK157-CK158-CK159</f>
        <v>472.59999999999991</v>
      </c>
      <c r="CL160" s="23">
        <f>+'QTR Raw'!BF68</f>
        <v>409</v>
      </c>
      <c r="CM160" s="21">
        <f t="shared" si="1327"/>
        <v>476.28</v>
      </c>
      <c r="CN160" s="21">
        <f t="shared" si="1327"/>
        <v>538.17759999999998</v>
      </c>
      <c r="CO160" s="21">
        <f t="shared" si="1327"/>
        <v>623.12339199999997</v>
      </c>
      <c r="CP160" s="21">
        <f t="shared" si="1327"/>
        <v>701.27352064000002</v>
      </c>
      <c r="CQ160" s="21">
        <f t="shared" si="1327"/>
        <v>773.17163898880005</v>
      </c>
      <c r="CR160" s="21">
        <f t="shared" si="1327"/>
        <v>839.317907869696</v>
      </c>
      <c r="CS160" s="21">
        <f t="shared" si="1327"/>
        <v>900.17247524012032</v>
      </c>
      <c r="CT160" s="21">
        <f t="shared" si="1327"/>
        <v>956.15867722091048</v>
      </c>
      <c r="CU160" s="21">
        <f t="shared" si="1327"/>
        <v>1007.6659830432377</v>
      </c>
      <c r="CV160" s="21">
        <f t="shared" si="1327"/>
        <v>1055.0527043997786</v>
      </c>
      <c r="CW160" s="21">
        <f t="shared" si="1327"/>
        <v>1098.6484880477963</v>
      </c>
      <c r="CX160" s="21">
        <f t="shared" si="1327"/>
        <v>1138.7566090039725</v>
      </c>
      <c r="CY160" s="21">
        <f t="shared" si="1327"/>
        <v>1175.6560802836548</v>
      </c>
      <c r="CZ160" s="21">
        <f t="shared" si="1327"/>
        <v>1209.6035938609623</v>
      </c>
      <c r="DA160" s="21">
        <f t="shared" si="1327"/>
        <v>1240.8353063520854</v>
      </c>
      <c r="DB160" s="21">
        <f t="shared" si="1327"/>
        <v>1269.5684818439186</v>
      </c>
      <c r="DC160" s="21">
        <f t="shared" ref="DC160:DD160" si="1328">+DC157-DC158-DC159</f>
        <v>1296.003003296405</v>
      </c>
      <c r="DD160" s="21">
        <f t="shared" si="1328"/>
        <v>1320.3227630326926</v>
      </c>
      <c r="DE160" s="126"/>
      <c r="DF160" s="22">
        <v>536.09999999999991</v>
      </c>
    </row>
    <row r="161" spans="1:110" s="23" customFormat="1" outlineLevel="1" x14ac:dyDescent="0.2">
      <c r="A161" s="23" t="s">
        <v>54</v>
      </c>
      <c r="B161" s="23">
        <f>'Annual Raw'!C86</f>
        <v>0</v>
      </c>
      <c r="C161" s="23">
        <f>'Annual Raw'!D86</f>
        <v>0</v>
      </c>
      <c r="D161" s="23">
        <f>'Annual Raw'!E86</f>
        <v>0</v>
      </c>
      <c r="E161" s="23">
        <f>'Annual Raw'!F86</f>
        <v>0</v>
      </c>
      <c r="F161" s="23">
        <f>'Annual Raw'!G86</f>
        <v>0</v>
      </c>
      <c r="G161" s="23">
        <f>'Annual Raw'!H86</f>
        <v>0</v>
      </c>
      <c r="H161" s="23">
        <f>'Annual Raw'!I86</f>
        <v>0</v>
      </c>
      <c r="I161" s="23">
        <f>'Annual Raw'!J86</f>
        <v>0</v>
      </c>
      <c r="J161" s="23">
        <f>'Annual Raw'!K86</f>
        <v>0</v>
      </c>
      <c r="K161" s="23">
        <f>'Annual Raw'!L86</f>
        <v>0</v>
      </c>
      <c r="L161" s="23">
        <f>'Annual Raw'!M86</f>
        <v>0</v>
      </c>
      <c r="M161" s="23">
        <f>'Annual Raw'!N86</f>
        <v>0</v>
      </c>
      <c r="N161" s="23">
        <f>'Annual Raw'!O86</f>
        <v>0</v>
      </c>
      <c r="O161" s="23">
        <f>'Annual Raw'!P86</f>
        <v>0</v>
      </c>
      <c r="P161" s="23">
        <f>'Annual Raw'!Q86</f>
        <v>0</v>
      </c>
      <c r="Q161" s="23">
        <f>'Annual Raw'!R86</f>
        <v>0</v>
      </c>
      <c r="R161" s="23">
        <f>'Annual Raw'!S86</f>
        <v>0</v>
      </c>
      <c r="S161" s="23">
        <f>'Annual Raw'!T86</f>
        <v>0</v>
      </c>
      <c r="T161" s="23">
        <f>'Annual Raw'!U86</f>
        <v>0</v>
      </c>
      <c r="U161" s="23">
        <f>'Annual Raw'!V86</f>
        <v>0</v>
      </c>
      <c r="V161" s="23">
        <f>'Annual Raw'!W86</f>
        <v>0</v>
      </c>
      <c r="W161" s="23">
        <f>'Annual Raw'!X86</f>
        <v>0</v>
      </c>
      <c r="X161" s="23">
        <f>'Annual Raw'!Y86</f>
        <v>0</v>
      </c>
      <c r="Y161" s="23">
        <f>'Annual Raw'!Z86</f>
        <v>0</v>
      </c>
      <c r="Z161" s="23">
        <f>'Annual Raw'!AA86</f>
        <v>0</v>
      </c>
      <c r="AA161" s="74">
        <f t="shared" ref="AA161:AA163" si="1329">+CN161</f>
        <v>0</v>
      </c>
      <c r="AB161" s="74">
        <f t="shared" ref="AB161:AB163" si="1330">CR161</f>
        <v>0</v>
      </c>
      <c r="AC161" s="74">
        <f t="shared" ref="AC161:AC163" si="1331">CV161</f>
        <v>0</v>
      </c>
      <c r="AD161" s="74">
        <f t="shared" ref="AD161:AD163" si="1332">CZ161</f>
        <v>0</v>
      </c>
      <c r="AE161" s="74">
        <f t="shared" ref="AE161:AE163" si="1333">DD161</f>
        <v>0</v>
      </c>
      <c r="AJ161" s="23">
        <f>+'QTR Raw'!D72</f>
        <v>0</v>
      </c>
      <c r="AK161" s="23">
        <f>+AJ161</f>
        <v>0</v>
      </c>
      <c r="AL161" s="23">
        <f>+'QTR Raw'!F72</f>
        <v>0</v>
      </c>
      <c r="AM161" s="23">
        <f t="shared" ref="AK161:CE163" si="1334">+AL161</f>
        <v>0</v>
      </c>
      <c r="AN161" s="23">
        <f>+'QTR Raw'!H72</f>
        <v>0</v>
      </c>
      <c r="AO161" s="23">
        <f t="shared" si="1334"/>
        <v>0</v>
      </c>
      <c r="AP161" s="23">
        <f>+'QTR Raw'!J72</f>
        <v>0</v>
      </c>
      <c r="AQ161" s="23">
        <f t="shared" si="1334"/>
        <v>0</v>
      </c>
      <c r="AR161" s="23">
        <f>+'QTR Raw'!L72</f>
        <v>0</v>
      </c>
      <c r="AS161" s="23">
        <f t="shared" si="1334"/>
        <v>0</v>
      </c>
      <c r="AT161" s="23">
        <f>+'QTR Raw'!N72</f>
        <v>0</v>
      </c>
      <c r="AU161" s="23">
        <f t="shared" si="1334"/>
        <v>0</v>
      </c>
      <c r="AV161" s="23">
        <f>+'QTR Raw'!P72</f>
        <v>0</v>
      </c>
      <c r="AW161" s="23">
        <f t="shared" si="1334"/>
        <v>0</v>
      </c>
      <c r="AX161" s="23">
        <f>+'QTR Raw'!R72</f>
        <v>0</v>
      </c>
      <c r="AY161" s="23">
        <f t="shared" si="1334"/>
        <v>0</v>
      </c>
      <c r="AZ161" s="23">
        <f>+'QTR Raw'!T72</f>
        <v>0</v>
      </c>
      <c r="BA161" s="23">
        <f t="shared" si="1334"/>
        <v>0</v>
      </c>
      <c r="BB161" s="23">
        <f>+'QTR Raw'!V72</f>
        <v>0</v>
      </c>
      <c r="BC161" s="23">
        <f t="shared" si="1334"/>
        <v>0</v>
      </c>
      <c r="BD161" s="23">
        <f>+'QTR Raw'!X72</f>
        <v>0</v>
      </c>
      <c r="BE161" s="23">
        <f t="shared" si="1334"/>
        <v>0</v>
      </c>
      <c r="BF161" s="23">
        <f>+'QTR Raw'!Z72</f>
        <v>0</v>
      </c>
      <c r="BG161" s="23">
        <f t="shared" si="1334"/>
        <v>0</v>
      </c>
      <c r="BH161" s="23">
        <f>+'QTR Raw'!AB72</f>
        <v>0</v>
      </c>
      <c r="BI161" s="23">
        <f t="shared" si="1334"/>
        <v>0</v>
      </c>
      <c r="BJ161" s="23">
        <f>+'QTR Raw'!AD72</f>
        <v>0</v>
      </c>
      <c r="BK161" s="23">
        <f t="shared" si="1334"/>
        <v>0</v>
      </c>
      <c r="BL161" s="23">
        <f>+'QTR Raw'!AF72</f>
        <v>0</v>
      </c>
      <c r="BM161" s="23">
        <f t="shared" si="1334"/>
        <v>0</v>
      </c>
      <c r="BN161" s="23">
        <f>+'QTR Raw'!AH72</f>
        <v>0</v>
      </c>
      <c r="BO161" s="23">
        <f t="shared" si="1334"/>
        <v>0</v>
      </c>
      <c r="BP161" s="23">
        <f>+'QTR Raw'!AJ72</f>
        <v>0</v>
      </c>
      <c r="BQ161" s="23">
        <f t="shared" si="1334"/>
        <v>0</v>
      </c>
      <c r="BR161" s="23">
        <f>+'QTR Raw'!AL72</f>
        <v>0</v>
      </c>
      <c r="BS161" s="23">
        <f t="shared" si="1334"/>
        <v>0</v>
      </c>
      <c r="BT161" s="23">
        <f>+'QTR Raw'!AN72</f>
        <v>0</v>
      </c>
      <c r="BU161" s="23">
        <f t="shared" si="1334"/>
        <v>0</v>
      </c>
      <c r="BV161" s="23">
        <f>+'QTR Raw'!AP72</f>
        <v>0</v>
      </c>
      <c r="BW161" s="23">
        <f t="shared" si="1334"/>
        <v>0</v>
      </c>
      <c r="BX161" s="23">
        <f>+'QTR Raw'!AR72</f>
        <v>0</v>
      </c>
      <c r="BY161" s="23">
        <f t="shared" si="1334"/>
        <v>0</v>
      </c>
      <c r="BZ161" s="23">
        <f>+'QTR Raw'!AT72</f>
        <v>0</v>
      </c>
      <c r="CA161" s="23">
        <f t="shared" si="1334"/>
        <v>0</v>
      </c>
      <c r="CB161" s="23">
        <f>+'QTR Raw'!AV72</f>
        <v>0</v>
      </c>
      <c r="CC161" s="23">
        <f t="shared" si="1334"/>
        <v>0</v>
      </c>
      <c r="CD161" s="23">
        <f>+'QTR Raw'!AX72</f>
        <v>0</v>
      </c>
      <c r="CE161" s="23">
        <f t="shared" si="1334"/>
        <v>0</v>
      </c>
      <c r="CF161" s="23">
        <f>+'QTR Raw'!AZ72</f>
        <v>0</v>
      </c>
      <c r="CG161" s="23">
        <f t="shared" si="1326"/>
        <v>0</v>
      </c>
      <c r="CH161" s="23">
        <f t="shared" si="1308"/>
        <v>0</v>
      </c>
      <c r="CI161" s="23">
        <f t="shared" si="1326"/>
        <v>0</v>
      </c>
      <c r="CJ161" s="23">
        <f>+'QTR Raw'!BD72</f>
        <v>0</v>
      </c>
      <c r="CK161" s="23">
        <f t="shared" ref="CK161:CK163" si="1335">+CJ161</f>
        <v>0</v>
      </c>
      <c r="CL161" s="23">
        <f>+'QTR Raw'!BF72</f>
        <v>0</v>
      </c>
      <c r="CM161" s="24">
        <f t="shared" ref="CM161:CM163" si="1336">+CL161</f>
        <v>0</v>
      </c>
      <c r="CN161" s="24">
        <f t="shared" ref="CN161:CN163" si="1337">+CM161</f>
        <v>0</v>
      </c>
      <c r="CO161" s="24">
        <f t="shared" ref="CO161:CO163" si="1338">+CN161</f>
        <v>0</v>
      </c>
      <c r="CP161" s="24">
        <f t="shared" ref="CP161:CP163" si="1339">+CO161</f>
        <v>0</v>
      </c>
      <c r="CQ161" s="24">
        <f t="shared" ref="CQ161:CQ163" si="1340">+CP161</f>
        <v>0</v>
      </c>
      <c r="CR161" s="24">
        <f t="shared" ref="CR161:CR163" si="1341">+CQ161</f>
        <v>0</v>
      </c>
      <c r="CS161" s="24">
        <f t="shared" ref="CS161:CS163" si="1342">+CR161</f>
        <v>0</v>
      </c>
      <c r="CT161" s="24">
        <f t="shared" ref="CT161:CT163" si="1343">+CS161</f>
        <v>0</v>
      </c>
      <c r="CU161" s="24">
        <f t="shared" ref="CU161:CU163" si="1344">+CT161</f>
        <v>0</v>
      </c>
      <c r="CV161" s="24">
        <f t="shared" ref="CV161:CV163" si="1345">+CU161</f>
        <v>0</v>
      </c>
      <c r="CW161" s="24">
        <f t="shared" ref="CW161:CW163" si="1346">+CV161</f>
        <v>0</v>
      </c>
      <c r="CX161" s="24">
        <f t="shared" ref="CX161:CX163" si="1347">+CW161</f>
        <v>0</v>
      </c>
      <c r="CY161" s="24">
        <f t="shared" ref="CY161:CY163" si="1348">+CX161</f>
        <v>0</v>
      </c>
      <c r="CZ161" s="24">
        <f t="shared" ref="CZ161:CZ163" si="1349">+CY161</f>
        <v>0</v>
      </c>
      <c r="DA161" s="24">
        <f t="shared" ref="DA161:DA163" si="1350">+CZ161</f>
        <v>0</v>
      </c>
      <c r="DB161" s="24">
        <f t="shared" ref="DB161:DB163" si="1351">+DA161</f>
        <v>0</v>
      </c>
      <c r="DC161" s="24">
        <f t="shared" ref="DC161:DC163" si="1352">+DB161</f>
        <v>0</v>
      </c>
      <c r="DD161" s="24">
        <f t="shared" ref="DD161:DD163" si="1353">+DC161</f>
        <v>0</v>
      </c>
      <c r="DE161" s="123"/>
      <c r="DF161" s="23">
        <v>0</v>
      </c>
    </row>
    <row r="162" spans="1:110" s="23" customFormat="1" outlineLevel="1" x14ac:dyDescent="0.2">
      <c r="A162" s="23" t="s">
        <v>55</v>
      </c>
      <c r="B162" s="23">
        <f>'Annual Raw'!C68</f>
        <v>0</v>
      </c>
      <c r="C162" s="23">
        <f>'Annual Raw'!D68</f>
        <v>0</v>
      </c>
      <c r="D162" s="23">
        <f>'Annual Raw'!E68</f>
        <v>0</v>
      </c>
      <c r="E162" s="23">
        <f>'Annual Raw'!F68</f>
        <v>0</v>
      </c>
      <c r="F162" s="23">
        <f>'Annual Raw'!G68</f>
        <v>0</v>
      </c>
      <c r="G162" s="23">
        <f>'Annual Raw'!H68</f>
        <v>0</v>
      </c>
      <c r="H162" s="23">
        <f>'Annual Raw'!I68</f>
        <v>0</v>
      </c>
      <c r="I162" s="23">
        <f>'Annual Raw'!J68</f>
        <v>0</v>
      </c>
      <c r="J162" s="23">
        <f>'Annual Raw'!K68</f>
        <v>0</v>
      </c>
      <c r="K162" s="23">
        <f>'Annual Raw'!L68</f>
        <v>0</v>
      </c>
      <c r="L162" s="23">
        <f>'Annual Raw'!M68</f>
        <v>0</v>
      </c>
      <c r="M162" s="23">
        <f>'Annual Raw'!N68</f>
        <v>0</v>
      </c>
      <c r="N162" s="23">
        <f>'Annual Raw'!O68</f>
        <v>0</v>
      </c>
      <c r="O162" s="23">
        <f>'Annual Raw'!P68</f>
        <v>0</v>
      </c>
      <c r="P162" s="23">
        <f>'Annual Raw'!Q68</f>
        <v>0</v>
      </c>
      <c r="Q162" s="23">
        <f>'Annual Raw'!R68</f>
        <v>0</v>
      </c>
      <c r="R162" s="23">
        <f>'Annual Raw'!S68</f>
        <v>0</v>
      </c>
      <c r="S162" s="23">
        <f>'Annual Raw'!T68</f>
        <v>0</v>
      </c>
      <c r="T162" s="23">
        <f>'Annual Raw'!U68</f>
        <v>0</v>
      </c>
      <c r="U162" s="23">
        <f>'Annual Raw'!V68</f>
        <v>0</v>
      </c>
      <c r="V162" s="23">
        <f>'Annual Raw'!W68</f>
        <v>0</v>
      </c>
      <c r="W162" s="23">
        <f>'Annual Raw'!X68</f>
        <v>0</v>
      </c>
      <c r="X162" s="23">
        <f>'Annual Raw'!Y68</f>
        <v>0</v>
      </c>
      <c r="Y162" s="23">
        <f>'Annual Raw'!Z68</f>
        <v>0</v>
      </c>
      <c r="Z162" s="23">
        <f>'Annual Raw'!AA68</f>
        <v>0</v>
      </c>
      <c r="AA162" s="74">
        <f t="shared" si="1329"/>
        <v>0</v>
      </c>
      <c r="AB162" s="74">
        <f t="shared" si="1330"/>
        <v>0</v>
      </c>
      <c r="AC162" s="74">
        <f t="shared" si="1331"/>
        <v>0</v>
      </c>
      <c r="AD162" s="74">
        <f t="shared" si="1332"/>
        <v>0</v>
      </c>
      <c r="AE162" s="74">
        <f t="shared" si="1333"/>
        <v>0</v>
      </c>
      <c r="AK162" s="23">
        <f t="shared" si="1334"/>
        <v>0</v>
      </c>
      <c r="AM162" s="23">
        <f t="shared" si="1334"/>
        <v>0</v>
      </c>
      <c r="AO162" s="23">
        <f t="shared" si="1334"/>
        <v>0</v>
      </c>
      <c r="AQ162" s="23">
        <f t="shared" si="1334"/>
        <v>0</v>
      </c>
      <c r="AS162" s="23">
        <f t="shared" si="1334"/>
        <v>0</v>
      </c>
      <c r="AU162" s="23">
        <f t="shared" si="1334"/>
        <v>0</v>
      </c>
      <c r="AW162" s="23">
        <f t="shared" si="1334"/>
        <v>0</v>
      </c>
      <c r="AY162" s="23">
        <f t="shared" si="1334"/>
        <v>0</v>
      </c>
      <c r="BA162" s="23">
        <f t="shared" si="1334"/>
        <v>0</v>
      </c>
      <c r="BC162" s="23">
        <f t="shared" si="1334"/>
        <v>0</v>
      </c>
      <c r="BE162" s="23">
        <f t="shared" si="1334"/>
        <v>0</v>
      </c>
      <c r="BG162" s="23">
        <f t="shared" si="1334"/>
        <v>0</v>
      </c>
      <c r="BI162" s="23">
        <f t="shared" si="1334"/>
        <v>0</v>
      </c>
      <c r="BK162" s="23">
        <f t="shared" si="1334"/>
        <v>0</v>
      </c>
      <c r="BM162" s="23">
        <f t="shared" si="1334"/>
        <v>0</v>
      </c>
      <c r="BO162" s="23">
        <f t="shared" si="1334"/>
        <v>0</v>
      </c>
      <c r="BQ162" s="23">
        <f t="shared" si="1334"/>
        <v>0</v>
      </c>
      <c r="BS162" s="23">
        <f t="shared" si="1334"/>
        <v>0</v>
      </c>
      <c r="BU162" s="23">
        <f t="shared" si="1334"/>
        <v>0</v>
      </c>
      <c r="BW162" s="23">
        <f t="shared" si="1334"/>
        <v>0</v>
      </c>
      <c r="BY162" s="23">
        <f t="shared" si="1334"/>
        <v>0</v>
      </c>
      <c r="CA162" s="23">
        <f t="shared" si="1334"/>
        <v>0</v>
      </c>
      <c r="CC162" s="23">
        <f t="shared" si="1334"/>
        <v>0</v>
      </c>
      <c r="CE162" s="23">
        <f t="shared" si="1334"/>
        <v>0</v>
      </c>
      <c r="CG162" s="23">
        <f t="shared" si="1326"/>
        <v>0</v>
      </c>
      <c r="CH162" s="23">
        <f t="shared" si="1308"/>
        <v>0</v>
      </c>
      <c r="CI162" s="23">
        <f t="shared" si="1326"/>
        <v>0</v>
      </c>
      <c r="CK162" s="23">
        <f t="shared" si="1335"/>
        <v>0</v>
      </c>
      <c r="CM162" s="24">
        <f t="shared" si="1336"/>
        <v>0</v>
      </c>
      <c r="CN162" s="24">
        <f t="shared" si="1337"/>
        <v>0</v>
      </c>
      <c r="CO162" s="24">
        <f t="shared" si="1338"/>
        <v>0</v>
      </c>
      <c r="CP162" s="24">
        <f t="shared" si="1339"/>
        <v>0</v>
      </c>
      <c r="CQ162" s="24">
        <f t="shared" si="1340"/>
        <v>0</v>
      </c>
      <c r="CR162" s="24">
        <f t="shared" si="1341"/>
        <v>0</v>
      </c>
      <c r="CS162" s="24">
        <f t="shared" si="1342"/>
        <v>0</v>
      </c>
      <c r="CT162" s="24">
        <f t="shared" si="1343"/>
        <v>0</v>
      </c>
      <c r="CU162" s="24">
        <f t="shared" si="1344"/>
        <v>0</v>
      </c>
      <c r="CV162" s="24">
        <f t="shared" si="1345"/>
        <v>0</v>
      </c>
      <c r="CW162" s="24">
        <f t="shared" si="1346"/>
        <v>0</v>
      </c>
      <c r="CX162" s="24">
        <f t="shared" si="1347"/>
        <v>0</v>
      </c>
      <c r="CY162" s="24">
        <f t="shared" si="1348"/>
        <v>0</v>
      </c>
      <c r="CZ162" s="24">
        <f t="shared" si="1349"/>
        <v>0</v>
      </c>
      <c r="DA162" s="24">
        <f t="shared" si="1350"/>
        <v>0</v>
      </c>
      <c r="DB162" s="24">
        <f t="shared" si="1351"/>
        <v>0</v>
      </c>
      <c r="DC162" s="24">
        <f t="shared" si="1352"/>
        <v>0</v>
      </c>
      <c r="DD162" s="24">
        <f t="shared" si="1353"/>
        <v>0</v>
      </c>
      <c r="DE162" s="123"/>
      <c r="DF162" s="23">
        <v>0</v>
      </c>
    </row>
    <row r="163" spans="1:110" s="23" customFormat="1" outlineLevel="1" x14ac:dyDescent="0.2">
      <c r="A163" s="23" t="s">
        <v>56</v>
      </c>
      <c r="B163" s="23">
        <f>'Annual Raw'!C67+'Annual Raw'!C66+'Annual Raw'!C69+'Annual Raw'!C70</f>
        <v>0</v>
      </c>
      <c r="C163" s="23">
        <f>'Annual Raw'!D67+'Annual Raw'!D66+'Annual Raw'!D69+'Annual Raw'!D70</f>
        <v>0</v>
      </c>
      <c r="D163" s="23">
        <f>'Annual Raw'!E67+'Annual Raw'!E66+'Annual Raw'!E69+'Annual Raw'!E70</f>
        <v>0</v>
      </c>
      <c r="E163" s="23">
        <f>'Annual Raw'!F67+'Annual Raw'!F66+'Annual Raw'!F69+'Annual Raw'!F70</f>
        <v>0</v>
      </c>
      <c r="F163" s="23">
        <f>'Annual Raw'!G67+'Annual Raw'!G66+'Annual Raw'!G69+'Annual Raw'!G70</f>
        <v>0</v>
      </c>
      <c r="G163" s="23">
        <f>'Annual Raw'!H67+'Annual Raw'!H66+'Annual Raw'!H69+'Annual Raw'!H70</f>
        <v>0</v>
      </c>
      <c r="H163" s="23">
        <f>'Annual Raw'!I67+'Annual Raw'!I66+'Annual Raw'!I69+'Annual Raw'!I70</f>
        <v>0</v>
      </c>
      <c r="I163" s="23">
        <f>'Annual Raw'!J67+'Annual Raw'!J66+'Annual Raw'!J69+'Annual Raw'!J70</f>
        <v>0</v>
      </c>
      <c r="J163" s="23">
        <f>'Annual Raw'!K67+'Annual Raw'!K66+'Annual Raw'!K69+'Annual Raw'!K70</f>
        <v>0</v>
      </c>
      <c r="K163" s="23">
        <f>'Annual Raw'!L67+'Annual Raw'!L66+'Annual Raw'!L69+'Annual Raw'!L70</f>
        <v>0</v>
      </c>
      <c r="L163" s="23">
        <f>'Annual Raw'!M67+'Annual Raw'!M66+'Annual Raw'!M69+'Annual Raw'!M70</f>
        <v>0</v>
      </c>
      <c r="M163" s="23">
        <f>'Annual Raw'!N67+'Annual Raw'!N66+'Annual Raw'!N69+'Annual Raw'!N70</f>
        <v>0</v>
      </c>
      <c r="N163" s="23">
        <f>'Annual Raw'!O67+'Annual Raw'!O66+'Annual Raw'!O69+'Annual Raw'!O70</f>
        <v>0</v>
      </c>
      <c r="O163" s="23">
        <f>'Annual Raw'!P67+'Annual Raw'!P66+'Annual Raw'!P69+'Annual Raw'!P70</f>
        <v>0</v>
      </c>
      <c r="P163" s="23">
        <f>'Annual Raw'!Q67+'Annual Raw'!Q66+'Annual Raw'!Q69+'Annual Raw'!Q70</f>
        <v>0</v>
      </c>
      <c r="Q163" s="23">
        <f>'Annual Raw'!R67+'Annual Raw'!R66+'Annual Raw'!R69+'Annual Raw'!R70</f>
        <v>0</v>
      </c>
      <c r="R163" s="23">
        <f>'Annual Raw'!S67+'Annual Raw'!S66+'Annual Raw'!S69+'Annual Raw'!S70</f>
        <v>0</v>
      </c>
      <c r="S163" s="23">
        <f>'Annual Raw'!T67+'Annual Raw'!T66+'Annual Raw'!T69+'Annual Raw'!T70</f>
        <v>0</v>
      </c>
      <c r="T163" s="23">
        <f>'Annual Raw'!U67+'Annual Raw'!U66+'Annual Raw'!U69+'Annual Raw'!U70</f>
        <v>0</v>
      </c>
      <c r="U163" s="23">
        <f>'Annual Raw'!V67+'Annual Raw'!V66+'Annual Raw'!V69+'Annual Raw'!V70</f>
        <v>0</v>
      </c>
      <c r="V163" s="23">
        <f>'Annual Raw'!W67+'Annual Raw'!W66+'Annual Raw'!W69+'Annual Raw'!W70</f>
        <v>0</v>
      </c>
      <c r="W163" s="23">
        <f>'Annual Raw'!X67+'Annual Raw'!X66+'Annual Raw'!X69+'Annual Raw'!X70</f>
        <v>0</v>
      </c>
      <c r="X163" s="23">
        <f>'Annual Raw'!Y67+'Annual Raw'!Y66+'Annual Raw'!Y69+'Annual Raw'!Y70</f>
        <v>0</v>
      </c>
      <c r="Y163" s="23">
        <f>'Annual Raw'!Z67+'Annual Raw'!Z66+'Annual Raw'!Z69+'Annual Raw'!Z70</f>
        <v>52.1</v>
      </c>
      <c r="Z163" s="23">
        <f>'Annual Raw'!AA67+'Annual Raw'!AA66+'Annual Raw'!AA69+'Annual Raw'!AA70</f>
        <v>75.900000000000006</v>
      </c>
      <c r="AA163" s="74">
        <f t="shared" si="1329"/>
        <v>115.7</v>
      </c>
      <c r="AB163" s="74">
        <f t="shared" si="1330"/>
        <v>115.7</v>
      </c>
      <c r="AC163" s="74">
        <f t="shared" si="1331"/>
        <v>115.7</v>
      </c>
      <c r="AD163" s="74">
        <f t="shared" si="1332"/>
        <v>115.7</v>
      </c>
      <c r="AE163" s="74">
        <f t="shared" si="1333"/>
        <v>115.7</v>
      </c>
      <c r="AJ163" s="23">
        <f>+'QTR Raw'!D74+'QTR Raw'!D75</f>
        <v>0</v>
      </c>
      <c r="AK163" s="23">
        <f t="shared" si="1334"/>
        <v>0</v>
      </c>
      <c r="AL163" s="23">
        <f>+'QTR Raw'!F74+'QTR Raw'!F75</f>
        <v>0</v>
      </c>
      <c r="AM163" s="23">
        <f t="shared" si="1334"/>
        <v>0</v>
      </c>
      <c r="AN163" s="23">
        <f>+'QTR Raw'!H74+'QTR Raw'!H75</f>
        <v>0</v>
      </c>
      <c r="AO163" s="23">
        <f t="shared" si="1334"/>
        <v>0</v>
      </c>
      <c r="AP163" s="23">
        <f>+'QTR Raw'!J74+'QTR Raw'!J75</f>
        <v>0</v>
      </c>
      <c r="AQ163" s="23">
        <f t="shared" si="1334"/>
        <v>0</v>
      </c>
      <c r="AR163" s="23">
        <f>+'QTR Raw'!L74+'QTR Raw'!L75</f>
        <v>0</v>
      </c>
      <c r="AS163" s="23">
        <f t="shared" si="1334"/>
        <v>0</v>
      </c>
      <c r="AT163" s="23">
        <f>+'QTR Raw'!N74+'QTR Raw'!N75</f>
        <v>0</v>
      </c>
      <c r="AU163" s="23">
        <f t="shared" si="1334"/>
        <v>0</v>
      </c>
      <c r="AV163" s="23">
        <f>+'QTR Raw'!P74+'QTR Raw'!P75</f>
        <v>0</v>
      </c>
      <c r="AW163" s="23">
        <f t="shared" si="1334"/>
        <v>0</v>
      </c>
      <c r="AX163" s="23">
        <f>+'QTR Raw'!R74+'QTR Raw'!R75</f>
        <v>0</v>
      </c>
      <c r="AY163" s="23">
        <f t="shared" si="1334"/>
        <v>0</v>
      </c>
      <c r="AZ163" s="23">
        <f>+'QTR Raw'!T74+'QTR Raw'!T75</f>
        <v>0</v>
      </c>
      <c r="BA163" s="23">
        <f t="shared" si="1334"/>
        <v>0</v>
      </c>
      <c r="BB163" s="23">
        <f>+'QTR Raw'!V74+'QTR Raw'!V75</f>
        <v>0</v>
      </c>
      <c r="BC163" s="23">
        <f t="shared" si="1334"/>
        <v>0</v>
      </c>
      <c r="BD163" s="23">
        <f>+'QTR Raw'!X74+'QTR Raw'!X75</f>
        <v>0</v>
      </c>
      <c r="BE163" s="23">
        <f t="shared" si="1334"/>
        <v>0</v>
      </c>
      <c r="BF163" s="23">
        <f>+'QTR Raw'!Z74+'QTR Raw'!Z75</f>
        <v>0</v>
      </c>
      <c r="BG163" s="23">
        <f t="shared" si="1334"/>
        <v>0</v>
      </c>
      <c r="BH163" s="23">
        <f>+'QTR Raw'!AB74+'QTR Raw'!AB75</f>
        <v>0</v>
      </c>
      <c r="BI163" s="23">
        <f t="shared" si="1334"/>
        <v>0</v>
      </c>
      <c r="BJ163" s="23">
        <f>+'QTR Raw'!AD74+'QTR Raw'!AD75</f>
        <v>0</v>
      </c>
      <c r="BK163" s="23">
        <f t="shared" si="1334"/>
        <v>0</v>
      </c>
      <c r="BL163" s="23">
        <f>+'QTR Raw'!AF74+'QTR Raw'!AF75</f>
        <v>0</v>
      </c>
      <c r="BM163" s="23">
        <f t="shared" si="1334"/>
        <v>0</v>
      </c>
      <c r="BN163" s="23">
        <f>+'QTR Raw'!AH74+'QTR Raw'!AH75</f>
        <v>0</v>
      </c>
      <c r="BO163" s="23">
        <f t="shared" si="1334"/>
        <v>0</v>
      </c>
      <c r="BP163" s="23">
        <f>+'QTR Raw'!AJ74+'QTR Raw'!AJ75</f>
        <v>0</v>
      </c>
      <c r="BQ163" s="23">
        <f t="shared" si="1334"/>
        <v>0</v>
      </c>
      <c r="BR163" s="23">
        <f>+'QTR Raw'!AL74+'QTR Raw'!AL75</f>
        <v>0</v>
      </c>
      <c r="BS163" s="23">
        <f t="shared" si="1334"/>
        <v>0</v>
      </c>
      <c r="BT163" s="23">
        <f>+'QTR Raw'!AN74+'QTR Raw'!AN75</f>
        <v>0</v>
      </c>
      <c r="BU163" s="23">
        <f t="shared" si="1334"/>
        <v>0</v>
      </c>
      <c r="BV163" s="23">
        <f>+'QTR Raw'!AP74+'QTR Raw'!AP75</f>
        <v>0</v>
      </c>
      <c r="BW163" s="23">
        <f t="shared" si="1334"/>
        <v>0</v>
      </c>
      <c r="BX163" s="23">
        <f>+'QTR Raw'!AR74+'QTR Raw'!AR75</f>
        <v>0</v>
      </c>
      <c r="BY163" s="23">
        <f t="shared" si="1334"/>
        <v>0</v>
      </c>
      <c r="BZ163" s="23">
        <f>+'QTR Raw'!AT74+'QTR Raw'!AT75</f>
        <v>0</v>
      </c>
      <c r="CA163" s="23">
        <f t="shared" si="1334"/>
        <v>0</v>
      </c>
      <c r="CB163" s="23">
        <f>+'QTR Raw'!AV74+'QTR Raw'!AV75</f>
        <v>0</v>
      </c>
      <c r="CC163" s="23">
        <f t="shared" si="1334"/>
        <v>0</v>
      </c>
      <c r="CD163" s="23">
        <f>+'QTR Raw'!AX74+'QTR Raw'!AX75</f>
        <v>0</v>
      </c>
      <c r="CE163" s="23">
        <f t="shared" si="1334"/>
        <v>0</v>
      </c>
      <c r="CF163" s="23">
        <f>+'QTR Raw'!AZ74+'QTR Raw'!AZ75</f>
        <v>52.1</v>
      </c>
      <c r="CG163" s="23">
        <f t="shared" si="1326"/>
        <v>52.1</v>
      </c>
      <c r="CH163" s="23">
        <f t="shared" si="1308"/>
        <v>75.900000000000006</v>
      </c>
      <c r="CI163" s="23">
        <f t="shared" si="1326"/>
        <v>75.900000000000006</v>
      </c>
      <c r="CJ163" s="23">
        <f>+'QTR Raw'!BD74+'QTR Raw'!BD75</f>
        <v>75.900000000000006</v>
      </c>
      <c r="CK163" s="23">
        <f t="shared" si="1335"/>
        <v>75.900000000000006</v>
      </c>
      <c r="CL163" s="23">
        <f>+'QTR Raw'!BF74+'QTR Raw'!BF75</f>
        <v>115.7</v>
      </c>
      <c r="CM163" s="24">
        <f t="shared" si="1336"/>
        <v>115.7</v>
      </c>
      <c r="CN163" s="24">
        <f t="shared" si="1337"/>
        <v>115.7</v>
      </c>
      <c r="CO163" s="24">
        <f t="shared" si="1338"/>
        <v>115.7</v>
      </c>
      <c r="CP163" s="24">
        <f t="shared" si="1339"/>
        <v>115.7</v>
      </c>
      <c r="CQ163" s="24">
        <f t="shared" si="1340"/>
        <v>115.7</v>
      </c>
      <c r="CR163" s="24">
        <f t="shared" si="1341"/>
        <v>115.7</v>
      </c>
      <c r="CS163" s="24">
        <f t="shared" si="1342"/>
        <v>115.7</v>
      </c>
      <c r="CT163" s="24">
        <f t="shared" si="1343"/>
        <v>115.7</v>
      </c>
      <c r="CU163" s="24">
        <f t="shared" si="1344"/>
        <v>115.7</v>
      </c>
      <c r="CV163" s="24">
        <f t="shared" si="1345"/>
        <v>115.7</v>
      </c>
      <c r="CW163" s="24">
        <f t="shared" si="1346"/>
        <v>115.7</v>
      </c>
      <c r="CX163" s="24">
        <f t="shared" si="1347"/>
        <v>115.7</v>
      </c>
      <c r="CY163" s="24">
        <f t="shared" si="1348"/>
        <v>115.7</v>
      </c>
      <c r="CZ163" s="24">
        <f t="shared" si="1349"/>
        <v>115.7</v>
      </c>
      <c r="DA163" s="24">
        <f t="shared" si="1350"/>
        <v>115.7</v>
      </c>
      <c r="DB163" s="24">
        <f t="shared" si="1351"/>
        <v>115.7</v>
      </c>
      <c r="DC163" s="24">
        <f t="shared" si="1352"/>
        <v>115.7</v>
      </c>
      <c r="DD163" s="24">
        <f t="shared" si="1353"/>
        <v>115.7</v>
      </c>
      <c r="DE163" s="123"/>
      <c r="DF163" s="23">
        <v>75.900000000000006</v>
      </c>
    </row>
    <row r="164" spans="1:110" s="22" customFormat="1" x14ac:dyDescent="0.2">
      <c r="A164" s="22" t="s">
        <v>57</v>
      </c>
      <c r="B164" s="22">
        <f>B160+B163+B162</f>
        <v>0</v>
      </c>
      <c r="C164" s="22">
        <f t="shared" ref="C164:D164" si="1354">C160+C163+C162</f>
        <v>0</v>
      </c>
      <c r="D164" s="22">
        <f t="shared" si="1354"/>
        <v>0</v>
      </c>
      <c r="E164" s="22">
        <f t="shared" ref="E164:Y164" si="1355">E160+E163+E162+E161</f>
        <v>0</v>
      </c>
      <c r="F164" s="22">
        <f t="shared" si="1355"/>
        <v>0</v>
      </c>
      <c r="G164" s="22">
        <f t="shared" si="1355"/>
        <v>0</v>
      </c>
      <c r="H164" s="22">
        <f t="shared" si="1355"/>
        <v>0</v>
      </c>
      <c r="I164" s="22">
        <f t="shared" si="1355"/>
        <v>0</v>
      </c>
      <c r="J164" s="22">
        <f t="shared" si="1355"/>
        <v>0</v>
      </c>
      <c r="K164" s="22">
        <f t="shared" si="1355"/>
        <v>0</v>
      </c>
      <c r="L164" s="22">
        <f t="shared" si="1355"/>
        <v>0</v>
      </c>
      <c r="M164" s="22">
        <f t="shared" si="1355"/>
        <v>0</v>
      </c>
      <c r="N164" s="22">
        <f t="shared" si="1355"/>
        <v>0</v>
      </c>
      <c r="O164" s="22">
        <f t="shared" si="1355"/>
        <v>0</v>
      </c>
      <c r="P164" s="22">
        <f t="shared" si="1355"/>
        <v>0</v>
      </c>
      <c r="Q164" s="22">
        <f t="shared" si="1355"/>
        <v>0</v>
      </c>
      <c r="R164" s="22">
        <f t="shared" si="1355"/>
        <v>0</v>
      </c>
      <c r="S164" s="22">
        <f t="shared" si="1355"/>
        <v>0</v>
      </c>
      <c r="T164" s="22">
        <f t="shared" si="1355"/>
        <v>0</v>
      </c>
      <c r="U164" s="22">
        <f t="shared" si="1355"/>
        <v>0</v>
      </c>
      <c r="V164" s="22">
        <f t="shared" si="1355"/>
        <v>0</v>
      </c>
      <c r="W164" s="22">
        <f t="shared" si="1355"/>
        <v>0</v>
      </c>
      <c r="X164" s="22">
        <f t="shared" si="1355"/>
        <v>0</v>
      </c>
      <c r="Y164" s="22">
        <f t="shared" si="1355"/>
        <v>481.40000000000003</v>
      </c>
      <c r="Z164" s="22">
        <f t="shared" ref="Z164" si="1356">Z160+Z163+Z162+Z161</f>
        <v>611.99999999999989</v>
      </c>
      <c r="AA164" s="21">
        <f>AA160+AA163+AA162+AA161</f>
        <v>653.87760000000003</v>
      </c>
      <c r="AB164" s="21">
        <f t="shared" ref="AB164:AE164" si="1357">AB160+AB163+AB162+AB161</f>
        <v>955.01790786969605</v>
      </c>
      <c r="AC164" s="21">
        <f t="shared" si="1357"/>
        <v>1170.7527043997786</v>
      </c>
      <c r="AD164" s="21">
        <f t="shared" si="1357"/>
        <v>1325.3035938609623</v>
      </c>
      <c r="AE164" s="21">
        <f t="shared" si="1357"/>
        <v>1436.0227630326926</v>
      </c>
      <c r="AJ164" s="22">
        <f t="shared" ref="AJ164" si="1358">AJ160+AJ163+AJ161+AJ162</f>
        <v>0</v>
      </c>
      <c r="AK164" s="22">
        <f t="shared" ref="AK164" si="1359">AK160+AK163+AK161+AK162</f>
        <v>0</v>
      </c>
      <c r="AL164" s="22">
        <f t="shared" ref="AL164:AM164" si="1360">AL160+AL163+AL161+AL162</f>
        <v>0</v>
      </c>
      <c r="AM164" s="22">
        <f t="shared" si="1360"/>
        <v>0</v>
      </c>
      <c r="AN164" s="22">
        <f t="shared" ref="AN164:AO164" si="1361">AN160+AN163+AN161+AN162</f>
        <v>0</v>
      </c>
      <c r="AO164" s="22">
        <f t="shared" si="1361"/>
        <v>0</v>
      </c>
      <c r="AP164" s="22">
        <f t="shared" ref="AP164:CE164" si="1362">AP160+AP163+AP161+AP162</f>
        <v>0</v>
      </c>
      <c r="AQ164" s="22">
        <f t="shared" si="1362"/>
        <v>0</v>
      </c>
      <c r="AR164" s="22">
        <f t="shared" si="1362"/>
        <v>0</v>
      </c>
      <c r="AS164" s="22">
        <f t="shared" si="1362"/>
        <v>0</v>
      </c>
      <c r="AT164" s="22">
        <f t="shared" si="1362"/>
        <v>0</v>
      </c>
      <c r="AU164" s="22">
        <f t="shared" si="1362"/>
        <v>0</v>
      </c>
      <c r="AV164" s="22">
        <f t="shared" si="1362"/>
        <v>0</v>
      </c>
      <c r="AW164" s="22">
        <f t="shared" si="1362"/>
        <v>0</v>
      </c>
      <c r="AX164" s="22">
        <f t="shared" si="1362"/>
        <v>0</v>
      </c>
      <c r="AY164" s="22">
        <f t="shared" si="1362"/>
        <v>0</v>
      </c>
      <c r="AZ164" s="22">
        <f t="shared" si="1362"/>
        <v>0</v>
      </c>
      <c r="BA164" s="22">
        <f t="shared" si="1362"/>
        <v>0</v>
      </c>
      <c r="BB164" s="22">
        <f t="shared" si="1362"/>
        <v>0</v>
      </c>
      <c r="BC164" s="22">
        <f t="shared" si="1362"/>
        <v>0</v>
      </c>
      <c r="BD164" s="22">
        <f t="shared" si="1362"/>
        <v>0</v>
      </c>
      <c r="BE164" s="22">
        <f t="shared" si="1362"/>
        <v>0</v>
      </c>
      <c r="BF164" s="22">
        <f t="shared" si="1362"/>
        <v>0</v>
      </c>
      <c r="BG164" s="22">
        <f t="shared" si="1362"/>
        <v>0</v>
      </c>
      <c r="BH164" s="22">
        <f t="shared" si="1362"/>
        <v>0</v>
      </c>
      <c r="BI164" s="22">
        <f t="shared" si="1362"/>
        <v>0</v>
      </c>
      <c r="BJ164" s="22">
        <f t="shared" si="1362"/>
        <v>0</v>
      </c>
      <c r="BK164" s="22">
        <f t="shared" si="1362"/>
        <v>0</v>
      </c>
      <c r="BL164" s="22">
        <f t="shared" si="1362"/>
        <v>0</v>
      </c>
      <c r="BM164" s="22">
        <f t="shared" si="1362"/>
        <v>0</v>
      </c>
      <c r="BN164" s="22">
        <f t="shared" si="1362"/>
        <v>0</v>
      </c>
      <c r="BO164" s="22">
        <f t="shared" si="1362"/>
        <v>0</v>
      </c>
      <c r="BP164" s="22">
        <f t="shared" si="1362"/>
        <v>0</v>
      </c>
      <c r="BQ164" s="22">
        <f t="shared" si="1362"/>
        <v>0</v>
      </c>
      <c r="BR164" s="22">
        <f t="shared" si="1362"/>
        <v>0</v>
      </c>
      <c r="BS164" s="22">
        <f t="shared" si="1362"/>
        <v>0</v>
      </c>
      <c r="BT164" s="22">
        <f t="shared" si="1362"/>
        <v>0</v>
      </c>
      <c r="BU164" s="22">
        <f t="shared" si="1362"/>
        <v>0</v>
      </c>
      <c r="BV164" s="22">
        <f t="shared" si="1362"/>
        <v>0</v>
      </c>
      <c r="BW164" s="22">
        <f t="shared" si="1362"/>
        <v>0</v>
      </c>
      <c r="BX164" s="22">
        <f t="shared" si="1362"/>
        <v>0</v>
      </c>
      <c r="BY164" s="22">
        <f t="shared" si="1362"/>
        <v>0</v>
      </c>
      <c r="BZ164" s="22">
        <f t="shared" si="1362"/>
        <v>0</v>
      </c>
      <c r="CA164" s="22">
        <f t="shared" si="1362"/>
        <v>0</v>
      </c>
      <c r="CB164" s="22">
        <f t="shared" si="1362"/>
        <v>0</v>
      </c>
      <c r="CC164" s="22">
        <f t="shared" si="1362"/>
        <v>0</v>
      </c>
      <c r="CD164" s="22">
        <f t="shared" si="1362"/>
        <v>0</v>
      </c>
      <c r="CE164" s="22">
        <f t="shared" si="1362"/>
        <v>0</v>
      </c>
      <c r="CF164" s="22">
        <f t="shared" ref="CF164:CG164" si="1363">CF160+CF163+CF161+CF162</f>
        <v>359.3</v>
      </c>
      <c r="CG164" s="22">
        <f t="shared" si="1363"/>
        <v>359.3</v>
      </c>
      <c r="CH164" s="22">
        <f t="shared" ref="CH164:CJ164" si="1364">CH160+CH163+CH161+CH162</f>
        <v>611.99999999999989</v>
      </c>
      <c r="CI164" s="22">
        <f t="shared" si="1364"/>
        <v>585.39999999999986</v>
      </c>
      <c r="CJ164" s="22">
        <f t="shared" si="1364"/>
        <v>480.79999999999995</v>
      </c>
      <c r="CK164" s="22">
        <f t="shared" ref="CK164:DB164" si="1365">CK160+CK163+CK161+CK162</f>
        <v>548.49999999999989</v>
      </c>
      <c r="CL164" s="22">
        <f t="shared" si="1365"/>
        <v>524.70000000000005</v>
      </c>
      <c r="CM164" s="21">
        <f t="shared" si="1365"/>
        <v>591.98</v>
      </c>
      <c r="CN164" s="21">
        <f t="shared" si="1365"/>
        <v>653.87760000000003</v>
      </c>
      <c r="CO164" s="21">
        <f t="shared" si="1365"/>
        <v>738.82339200000001</v>
      </c>
      <c r="CP164" s="21">
        <f t="shared" si="1365"/>
        <v>816.97352064000006</v>
      </c>
      <c r="CQ164" s="21">
        <f t="shared" si="1365"/>
        <v>888.8716389888001</v>
      </c>
      <c r="CR164" s="21">
        <f t="shared" si="1365"/>
        <v>955.01790786969605</v>
      </c>
      <c r="CS164" s="21">
        <f t="shared" si="1365"/>
        <v>1015.8724752401204</v>
      </c>
      <c r="CT164" s="21">
        <f t="shared" si="1365"/>
        <v>1071.8586772209105</v>
      </c>
      <c r="CU164" s="21">
        <f t="shared" si="1365"/>
        <v>1123.3659830432377</v>
      </c>
      <c r="CV164" s="21">
        <f t="shared" si="1365"/>
        <v>1170.7527043997786</v>
      </c>
      <c r="CW164" s="21">
        <f t="shared" si="1365"/>
        <v>1214.3484880477963</v>
      </c>
      <c r="CX164" s="21">
        <f t="shared" si="1365"/>
        <v>1254.4566090039725</v>
      </c>
      <c r="CY164" s="21">
        <f t="shared" si="1365"/>
        <v>1291.3560802836548</v>
      </c>
      <c r="CZ164" s="21">
        <f t="shared" si="1365"/>
        <v>1325.3035938609623</v>
      </c>
      <c r="DA164" s="21">
        <f t="shared" si="1365"/>
        <v>1356.5353063520854</v>
      </c>
      <c r="DB164" s="21">
        <f t="shared" si="1365"/>
        <v>1385.2684818439186</v>
      </c>
      <c r="DC164" s="21">
        <f t="shared" ref="DC164:DD164" si="1366">DC160+DC163+DC161+DC162</f>
        <v>1411.7030032964051</v>
      </c>
      <c r="DD164" s="21">
        <f t="shared" si="1366"/>
        <v>1436.0227630326926</v>
      </c>
      <c r="DE164" s="126"/>
      <c r="DF164" s="22">
        <v>611.99999999999989</v>
      </c>
    </row>
    <row r="165" spans="1:110" s="23" customFormat="1" x14ac:dyDescent="0.2">
      <c r="AA165" s="24"/>
      <c r="AB165" s="24"/>
      <c r="AC165" s="24"/>
      <c r="AD165" s="24"/>
      <c r="AE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123"/>
    </row>
    <row r="166" spans="1:110" s="23" customFormat="1" x14ac:dyDescent="0.2">
      <c r="A166" s="23" t="s">
        <v>58</v>
      </c>
      <c r="B166" s="23">
        <f>'Annual Raw'!C71</f>
        <v>0</v>
      </c>
      <c r="C166" s="23">
        <f>'Annual Raw'!D71</f>
        <v>0</v>
      </c>
      <c r="D166" s="23">
        <f>'Annual Raw'!E71</f>
        <v>0</v>
      </c>
      <c r="E166" s="23">
        <f>'Annual Raw'!F71</f>
        <v>0</v>
      </c>
      <c r="F166" s="23">
        <f>'Annual Raw'!G71</f>
        <v>0</v>
      </c>
      <c r="G166" s="23">
        <f>'Annual Raw'!H71</f>
        <v>0</v>
      </c>
      <c r="H166" s="23">
        <f>'Annual Raw'!I71</f>
        <v>0</v>
      </c>
      <c r="I166" s="23">
        <f>'Annual Raw'!J71</f>
        <v>0</v>
      </c>
      <c r="J166" s="23">
        <f>'Annual Raw'!K71</f>
        <v>0</v>
      </c>
      <c r="K166" s="23">
        <f>'Annual Raw'!L71</f>
        <v>0</v>
      </c>
      <c r="L166" s="23">
        <f>'Annual Raw'!M71</f>
        <v>0</v>
      </c>
      <c r="M166" s="23">
        <f>'Annual Raw'!N71</f>
        <v>0</v>
      </c>
      <c r="N166" s="23">
        <f>'Annual Raw'!O71</f>
        <v>0</v>
      </c>
      <c r="O166" s="23">
        <f>'Annual Raw'!P71</f>
        <v>0</v>
      </c>
      <c r="P166" s="23">
        <f>'Annual Raw'!Q71</f>
        <v>0</v>
      </c>
      <c r="Q166" s="23">
        <f>'Annual Raw'!R71</f>
        <v>0</v>
      </c>
      <c r="R166" s="23">
        <f>'Annual Raw'!S71</f>
        <v>0</v>
      </c>
      <c r="S166" s="23">
        <f>'Annual Raw'!T71</f>
        <v>0</v>
      </c>
      <c r="T166" s="23">
        <f>'Annual Raw'!U71</f>
        <v>0</v>
      </c>
      <c r="U166" s="23">
        <f>'Annual Raw'!V71</f>
        <v>0</v>
      </c>
      <c r="V166" s="23">
        <f>'Annual Raw'!W71</f>
        <v>0</v>
      </c>
      <c r="W166" s="23">
        <f>'Annual Raw'!X71</f>
        <v>0</v>
      </c>
      <c r="X166" s="23">
        <f>'Annual Raw'!Y71</f>
        <v>0</v>
      </c>
      <c r="Y166" s="23">
        <f>'Annual Raw'!Z71</f>
        <v>0</v>
      </c>
      <c r="Z166" s="23">
        <f>'Annual Raw'!AA71</f>
        <v>0</v>
      </c>
      <c r="AA166" s="74">
        <f t="shared" ref="AA166:AA173" si="1367">+CN166</f>
        <v>0</v>
      </c>
      <c r="AB166" s="74">
        <f t="shared" ref="AB166:AB173" si="1368">CR166</f>
        <v>0</v>
      </c>
      <c r="AC166" s="74">
        <f t="shared" ref="AC166:AC173" si="1369">CV166</f>
        <v>0</v>
      </c>
      <c r="AD166" s="74">
        <f t="shared" ref="AD166:AD173" si="1370">CZ166</f>
        <v>0</v>
      </c>
      <c r="AE166" s="74">
        <f t="shared" ref="AE166:AE173" si="1371">DD166</f>
        <v>0</v>
      </c>
      <c r="AJ166" s="23">
        <f>+'QTR Raw'!D77</f>
        <v>0</v>
      </c>
      <c r="AK166" s="23">
        <f t="shared" ref="AK166:CE166" si="1372">+AJ166</f>
        <v>0</v>
      </c>
      <c r="AL166" s="23">
        <f>+'QTR Raw'!F77</f>
        <v>0</v>
      </c>
      <c r="AM166" s="23">
        <f t="shared" si="1372"/>
        <v>0</v>
      </c>
      <c r="AN166" s="23">
        <f>+'QTR Raw'!H77</f>
        <v>0</v>
      </c>
      <c r="AO166" s="23">
        <f t="shared" si="1372"/>
        <v>0</v>
      </c>
      <c r="AP166" s="23">
        <f>+'QTR Raw'!J77</f>
        <v>0</v>
      </c>
      <c r="AQ166" s="23">
        <f t="shared" si="1372"/>
        <v>0</v>
      </c>
      <c r="AR166" s="23">
        <f>+'QTR Raw'!L77</f>
        <v>0</v>
      </c>
      <c r="AS166" s="23">
        <f t="shared" si="1372"/>
        <v>0</v>
      </c>
      <c r="AT166" s="23">
        <f>+'QTR Raw'!N77</f>
        <v>0</v>
      </c>
      <c r="AU166" s="23">
        <f t="shared" si="1372"/>
        <v>0</v>
      </c>
      <c r="AV166" s="23">
        <f>+'QTR Raw'!P77</f>
        <v>0</v>
      </c>
      <c r="AW166" s="23">
        <f t="shared" si="1372"/>
        <v>0</v>
      </c>
      <c r="AX166" s="23">
        <f>+'QTR Raw'!R77</f>
        <v>0</v>
      </c>
      <c r="AY166" s="23">
        <f t="shared" si="1372"/>
        <v>0</v>
      </c>
      <c r="AZ166" s="23">
        <f>+'QTR Raw'!T77</f>
        <v>0</v>
      </c>
      <c r="BA166" s="23">
        <f t="shared" si="1372"/>
        <v>0</v>
      </c>
      <c r="BB166" s="23">
        <f>+'QTR Raw'!V77</f>
        <v>0</v>
      </c>
      <c r="BC166" s="23">
        <f t="shared" si="1372"/>
        <v>0</v>
      </c>
      <c r="BD166" s="23">
        <f>+'QTR Raw'!X77</f>
        <v>0</v>
      </c>
      <c r="BE166" s="23">
        <f t="shared" si="1372"/>
        <v>0</v>
      </c>
      <c r="BF166" s="23">
        <f>+'QTR Raw'!Z77</f>
        <v>0</v>
      </c>
      <c r="BG166" s="23">
        <f t="shared" si="1372"/>
        <v>0</v>
      </c>
      <c r="BH166" s="23">
        <f>+'QTR Raw'!AB77</f>
        <v>0</v>
      </c>
      <c r="BI166" s="23">
        <f t="shared" si="1372"/>
        <v>0</v>
      </c>
      <c r="BJ166" s="23">
        <f>+'QTR Raw'!AD77</f>
        <v>0</v>
      </c>
      <c r="BK166" s="23">
        <f t="shared" si="1372"/>
        <v>0</v>
      </c>
      <c r="BL166" s="23">
        <f>+'QTR Raw'!AF77</f>
        <v>0</v>
      </c>
      <c r="BM166" s="23">
        <f t="shared" si="1372"/>
        <v>0</v>
      </c>
      <c r="BN166" s="23">
        <f>+'QTR Raw'!AH77</f>
        <v>0</v>
      </c>
      <c r="BO166" s="23">
        <f t="shared" si="1372"/>
        <v>0</v>
      </c>
      <c r="BP166" s="23">
        <f>+'QTR Raw'!AJ77</f>
        <v>0</v>
      </c>
      <c r="BQ166" s="23">
        <f t="shared" si="1372"/>
        <v>0</v>
      </c>
      <c r="BR166" s="23">
        <f>+'QTR Raw'!AL77</f>
        <v>0</v>
      </c>
      <c r="BS166" s="23">
        <f t="shared" si="1372"/>
        <v>0</v>
      </c>
      <c r="BT166" s="23">
        <f>+'QTR Raw'!AN77</f>
        <v>0</v>
      </c>
      <c r="BU166" s="23">
        <f t="shared" si="1372"/>
        <v>0</v>
      </c>
      <c r="BV166" s="23">
        <f>+'QTR Raw'!AP77</f>
        <v>0</v>
      </c>
      <c r="BW166" s="23">
        <f t="shared" si="1372"/>
        <v>0</v>
      </c>
      <c r="BX166" s="23">
        <f>+'QTR Raw'!AR77</f>
        <v>0</v>
      </c>
      <c r="BY166" s="23">
        <f t="shared" si="1372"/>
        <v>0</v>
      </c>
      <c r="BZ166" s="23">
        <f>+'QTR Raw'!AT77</f>
        <v>0</v>
      </c>
      <c r="CA166" s="23">
        <f t="shared" si="1372"/>
        <v>0</v>
      </c>
      <c r="CB166" s="23">
        <f>+'QTR Raw'!AV77</f>
        <v>0</v>
      </c>
      <c r="CC166" s="23">
        <f t="shared" si="1372"/>
        <v>0</v>
      </c>
      <c r="CD166" s="23">
        <f>+'QTR Raw'!AX77</f>
        <v>0</v>
      </c>
      <c r="CE166" s="23">
        <f t="shared" si="1372"/>
        <v>0</v>
      </c>
      <c r="CF166" s="23">
        <f>+'QTR Raw'!AZ77</f>
        <v>0</v>
      </c>
      <c r="CG166" s="23">
        <f t="shared" ref="CG166:CI169" si="1373">+CF166</f>
        <v>0</v>
      </c>
      <c r="CH166" s="23">
        <f t="shared" ref="CH166:CH181" si="1374">Z166</f>
        <v>0</v>
      </c>
      <c r="CI166" s="23">
        <f t="shared" si="1373"/>
        <v>0</v>
      </c>
      <c r="CJ166" s="23">
        <f>+'QTR Raw'!BD77</f>
        <v>0</v>
      </c>
      <c r="CK166" s="23">
        <f t="shared" ref="CK166" si="1375">+CJ166</f>
        <v>0</v>
      </c>
      <c r="CL166" s="23">
        <f>+'QTR Raw'!BF77</f>
        <v>0</v>
      </c>
      <c r="CM166" s="24">
        <f t="shared" ref="CM166" si="1376">+CL166</f>
        <v>0</v>
      </c>
      <c r="CN166" s="24">
        <f t="shared" ref="CN166" si="1377">+CM166</f>
        <v>0</v>
      </c>
      <c r="CO166" s="24">
        <f t="shared" ref="CO166" si="1378">+CN166</f>
        <v>0</v>
      </c>
      <c r="CP166" s="24">
        <f t="shared" ref="CP166" si="1379">+CO166</f>
        <v>0</v>
      </c>
      <c r="CQ166" s="24">
        <f t="shared" ref="CQ166" si="1380">+CP166</f>
        <v>0</v>
      </c>
      <c r="CR166" s="24">
        <f t="shared" ref="CR166" si="1381">+CQ166</f>
        <v>0</v>
      </c>
      <c r="CS166" s="24">
        <f t="shared" ref="CS166" si="1382">+CR166</f>
        <v>0</v>
      </c>
      <c r="CT166" s="24">
        <f t="shared" ref="CT166" si="1383">+CS166</f>
        <v>0</v>
      </c>
      <c r="CU166" s="24">
        <f t="shared" ref="CU166" si="1384">+CT166</f>
        <v>0</v>
      </c>
      <c r="CV166" s="24">
        <f t="shared" ref="CV166" si="1385">+CU166</f>
        <v>0</v>
      </c>
      <c r="CW166" s="24">
        <f t="shared" ref="CW166" si="1386">+CV166</f>
        <v>0</v>
      </c>
      <c r="CX166" s="24">
        <f t="shared" ref="CX166" si="1387">+CW166</f>
        <v>0</v>
      </c>
      <c r="CY166" s="24">
        <f t="shared" ref="CY166" si="1388">+CX166</f>
        <v>0</v>
      </c>
      <c r="CZ166" s="24">
        <f t="shared" ref="CZ166" si="1389">+CY166</f>
        <v>0</v>
      </c>
      <c r="DA166" s="24">
        <f t="shared" ref="DA166" si="1390">+CZ166</f>
        <v>0</v>
      </c>
      <c r="DB166" s="24">
        <f t="shared" ref="DB166" si="1391">+DA166</f>
        <v>0</v>
      </c>
      <c r="DC166" s="24">
        <f t="shared" ref="DC166" si="1392">+DB166</f>
        <v>0</v>
      </c>
      <c r="DD166" s="24">
        <f t="shared" ref="DD166" si="1393">+DC166</f>
        <v>0</v>
      </c>
      <c r="DE166" s="123"/>
      <c r="DF166" s="23">
        <v>0</v>
      </c>
    </row>
    <row r="167" spans="1:110" s="23" customFormat="1" x14ac:dyDescent="0.2">
      <c r="AA167" s="74">
        <f t="shared" si="1367"/>
        <v>0</v>
      </c>
      <c r="AB167" s="74">
        <f t="shared" si="1368"/>
        <v>0</v>
      </c>
      <c r="AC167" s="74">
        <f t="shared" si="1369"/>
        <v>0</v>
      </c>
      <c r="AD167" s="74">
        <f t="shared" si="1370"/>
        <v>0</v>
      </c>
      <c r="AE167" s="74">
        <f t="shared" si="1371"/>
        <v>0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123"/>
    </row>
    <row r="168" spans="1:110" s="23" customFormat="1" outlineLevel="1" x14ac:dyDescent="0.2">
      <c r="A168" s="23" t="s">
        <v>59</v>
      </c>
      <c r="B168" s="23">
        <f>'Annual Raw'!C72</f>
        <v>0</v>
      </c>
      <c r="C168" s="23">
        <f>'Annual Raw'!D72</f>
        <v>0</v>
      </c>
      <c r="D168" s="23">
        <f>'Annual Raw'!E72</f>
        <v>0</v>
      </c>
      <c r="E168" s="23">
        <f>'Annual Raw'!F72+'Annual Raw'!F61</f>
        <v>0</v>
      </c>
      <c r="F168" s="23">
        <f>'Annual Raw'!G72+'Annual Raw'!G61</f>
        <v>0</v>
      </c>
      <c r="G168" s="23">
        <f>'Annual Raw'!H72+'Annual Raw'!H61</f>
        <v>0</v>
      </c>
      <c r="H168" s="23">
        <f>'Annual Raw'!I72+'Annual Raw'!I61</f>
        <v>0</v>
      </c>
      <c r="I168" s="23">
        <f>'Annual Raw'!J72+'Annual Raw'!J61</f>
        <v>0</v>
      </c>
      <c r="J168" s="23">
        <f>'Annual Raw'!K72+'Annual Raw'!K61</f>
        <v>0</v>
      </c>
      <c r="K168" s="23">
        <f>'Annual Raw'!L72+'Annual Raw'!L61</f>
        <v>0</v>
      </c>
      <c r="L168" s="23">
        <f>'Annual Raw'!M72+'Annual Raw'!M61</f>
        <v>0</v>
      </c>
      <c r="M168" s="23">
        <f>'Annual Raw'!N72+'Annual Raw'!N61</f>
        <v>0</v>
      </c>
      <c r="N168" s="23">
        <f>'Annual Raw'!O72+'Annual Raw'!O61</f>
        <v>0</v>
      </c>
      <c r="O168" s="23">
        <f>'Annual Raw'!P72+'Annual Raw'!P61</f>
        <v>0</v>
      </c>
      <c r="P168" s="23">
        <f>'Annual Raw'!Q72+'Annual Raw'!Q61</f>
        <v>0</v>
      </c>
      <c r="Q168" s="23">
        <f>'Annual Raw'!R72+'Annual Raw'!R61</f>
        <v>0</v>
      </c>
      <c r="R168" s="23">
        <f>'Annual Raw'!S72+'Annual Raw'!S61</f>
        <v>0</v>
      </c>
      <c r="S168" s="23">
        <f>'Annual Raw'!T72+'Annual Raw'!T61</f>
        <v>0</v>
      </c>
      <c r="T168" s="23">
        <f>'Annual Raw'!U72+'Annual Raw'!U61</f>
        <v>0</v>
      </c>
      <c r="U168" s="23">
        <f>'Annual Raw'!V72+'Annual Raw'!V61</f>
        <v>0</v>
      </c>
      <c r="V168" s="23">
        <f>'Annual Raw'!W72+'Annual Raw'!W61</f>
        <v>0</v>
      </c>
      <c r="W168" s="23">
        <f>'Annual Raw'!X72+'Annual Raw'!X61</f>
        <v>0</v>
      </c>
      <c r="X168" s="23">
        <f>'Annual Raw'!Y72+'Annual Raw'!Y61</f>
        <v>0</v>
      </c>
      <c r="Y168" s="23">
        <f>'Annual Raw'!Z72+'Annual Raw'!Z61</f>
        <v>123.9</v>
      </c>
      <c r="Z168" s="23">
        <f>'Annual Raw'!AA72+'Annual Raw'!AA61</f>
        <v>140.9</v>
      </c>
      <c r="AA168" s="74">
        <f t="shared" si="1367"/>
        <v>0</v>
      </c>
      <c r="AB168" s="74">
        <f t="shared" si="1368"/>
        <v>0</v>
      </c>
      <c r="AC168" s="74">
        <f t="shared" si="1369"/>
        <v>0</v>
      </c>
      <c r="AD168" s="74">
        <f t="shared" si="1370"/>
        <v>0</v>
      </c>
      <c r="AE168" s="74">
        <f t="shared" si="1371"/>
        <v>0</v>
      </c>
      <c r="AJ168" s="23">
        <f>+'QTR Raw'!D78</f>
        <v>0</v>
      </c>
      <c r="AK168" s="23">
        <f t="shared" ref="AK168:CE173" si="1394">+AJ168</f>
        <v>0</v>
      </c>
      <c r="AL168" s="23">
        <f>+'QTR Raw'!F78</f>
        <v>0</v>
      </c>
      <c r="AM168" s="23">
        <f t="shared" si="1394"/>
        <v>0</v>
      </c>
      <c r="AN168" s="23">
        <f>+'QTR Raw'!H78</f>
        <v>0</v>
      </c>
      <c r="AO168" s="23">
        <f t="shared" si="1394"/>
        <v>0</v>
      </c>
      <c r="AP168" s="23">
        <f>+'QTR Raw'!J78</f>
        <v>0</v>
      </c>
      <c r="AQ168" s="23">
        <f t="shared" si="1394"/>
        <v>0</v>
      </c>
      <c r="AR168" s="23">
        <f>+'QTR Raw'!L78</f>
        <v>0</v>
      </c>
      <c r="AS168" s="23">
        <f t="shared" si="1394"/>
        <v>0</v>
      </c>
      <c r="AT168" s="23">
        <f>+'QTR Raw'!N78</f>
        <v>0</v>
      </c>
      <c r="AU168" s="23">
        <f t="shared" si="1394"/>
        <v>0</v>
      </c>
      <c r="AV168" s="23">
        <f>+'QTR Raw'!P78</f>
        <v>0</v>
      </c>
      <c r="AW168" s="23">
        <f t="shared" si="1394"/>
        <v>0</v>
      </c>
      <c r="AX168" s="23">
        <f>+'QTR Raw'!R78</f>
        <v>0</v>
      </c>
      <c r="AY168" s="23">
        <f t="shared" si="1394"/>
        <v>0</v>
      </c>
      <c r="AZ168" s="23">
        <f>+'QTR Raw'!T78</f>
        <v>0</v>
      </c>
      <c r="BA168" s="23">
        <f t="shared" si="1394"/>
        <v>0</v>
      </c>
      <c r="BB168" s="23">
        <f>+'QTR Raw'!V78</f>
        <v>0</v>
      </c>
      <c r="BC168" s="23">
        <f t="shared" si="1394"/>
        <v>0</v>
      </c>
      <c r="BD168" s="23">
        <f>+'QTR Raw'!X78</f>
        <v>0</v>
      </c>
      <c r="BE168" s="23">
        <f t="shared" si="1394"/>
        <v>0</v>
      </c>
      <c r="BF168" s="23">
        <f>+'QTR Raw'!Z78</f>
        <v>0</v>
      </c>
      <c r="BG168" s="23">
        <f t="shared" si="1394"/>
        <v>0</v>
      </c>
      <c r="BH168" s="23">
        <f>+'QTR Raw'!AB78</f>
        <v>0</v>
      </c>
      <c r="BI168" s="23">
        <f t="shared" si="1394"/>
        <v>0</v>
      </c>
      <c r="BJ168" s="23">
        <f>+'QTR Raw'!AD78</f>
        <v>0</v>
      </c>
      <c r="BK168" s="23">
        <f t="shared" si="1394"/>
        <v>0</v>
      </c>
      <c r="BL168" s="23">
        <f>+'QTR Raw'!AF78</f>
        <v>0</v>
      </c>
      <c r="BM168" s="23">
        <f t="shared" si="1394"/>
        <v>0</v>
      </c>
      <c r="BN168" s="23">
        <f>+'QTR Raw'!AH78</f>
        <v>0</v>
      </c>
      <c r="BO168" s="23">
        <f t="shared" si="1394"/>
        <v>0</v>
      </c>
      <c r="BP168" s="23">
        <f>+'QTR Raw'!AJ78</f>
        <v>0</v>
      </c>
      <c r="BQ168" s="23">
        <f t="shared" si="1394"/>
        <v>0</v>
      </c>
      <c r="BR168" s="23">
        <f>+'QTR Raw'!AL78</f>
        <v>0</v>
      </c>
      <c r="BS168" s="23">
        <f t="shared" si="1394"/>
        <v>0</v>
      </c>
      <c r="BT168" s="23">
        <f>+'QTR Raw'!AN78</f>
        <v>0</v>
      </c>
      <c r="BU168" s="23">
        <f t="shared" si="1394"/>
        <v>0</v>
      </c>
      <c r="BV168" s="23">
        <f>+'QTR Raw'!AP78</f>
        <v>0</v>
      </c>
      <c r="BW168" s="23">
        <f t="shared" si="1394"/>
        <v>0</v>
      </c>
      <c r="BX168" s="23">
        <f>+'QTR Raw'!AR78</f>
        <v>0</v>
      </c>
      <c r="BY168" s="23">
        <f t="shared" si="1394"/>
        <v>0</v>
      </c>
      <c r="BZ168" s="23">
        <f>+'QTR Raw'!AT78</f>
        <v>0</v>
      </c>
      <c r="CA168" s="23">
        <f t="shared" si="1394"/>
        <v>0</v>
      </c>
      <c r="CB168" s="23">
        <f>+'QTR Raw'!AV78</f>
        <v>0</v>
      </c>
      <c r="CC168" s="23">
        <f t="shared" si="1394"/>
        <v>0</v>
      </c>
      <c r="CD168" s="23">
        <f>+'QTR Raw'!AX78</f>
        <v>0</v>
      </c>
      <c r="CE168" s="23">
        <f t="shared" si="1394"/>
        <v>0</v>
      </c>
      <c r="CF168" s="23">
        <f>+'QTR Raw'!AZ78</f>
        <v>0</v>
      </c>
      <c r="CG168" s="23">
        <f t="shared" si="1373"/>
        <v>0</v>
      </c>
      <c r="CH168" s="23">
        <f t="shared" si="1374"/>
        <v>140.9</v>
      </c>
      <c r="CJ168" s="23">
        <f>+'QTR Raw'!BD78</f>
        <v>0</v>
      </c>
      <c r="CL168" s="23">
        <f>+'QTR Raw'!BF78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123"/>
      <c r="DF168" s="23">
        <v>140.9</v>
      </c>
    </row>
    <row r="169" spans="1:110" s="23" customFormat="1" outlineLevel="1" x14ac:dyDescent="0.2">
      <c r="A169" s="23" t="s">
        <v>60</v>
      </c>
      <c r="B169" s="23">
        <f>'Annual Raw'!C73+'Annual Raw'!C81</f>
        <v>0</v>
      </c>
      <c r="C169" s="23">
        <f>'Annual Raw'!D73+'Annual Raw'!D81</f>
        <v>0</v>
      </c>
      <c r="D169" s="23">
        <f>'Annual Raw'!E73+'Annual Raw'!E81</f>
        <v>0</v>
      </c>
      <c r="E169" s="23">
        <f>'Annual Raw'!F73+'Annual Raw'!F81</f>
        <v>0</v>
      </c>
      <c r="F169" s="23">
        <f>'Annual Raw'!G73+'Annual Raw'!G81</f>
        <v>0</v>
      </c>
      <c r="G169" s="23">
        <f>'Annual Raw'!H73+'Annual Raw'!H81</f>
        <v>0</v>
      </c>
      <c r="H169" s="23">
        <f>'Annual Raw'!I73+'Annual Raw'!I81</f>
        <v>0</v>
      </c>
      <c r="I169" s="23">
        <f>'Annual Raw'!J73+'Annual Raw'!J81</f>
        <v>0</v>
      </c>
      <c r="J169" s="23">
        <f>'Annual Raw'!K73+'Annual Raw'!K81</f>
        <v>0</v>
      </c>
      <c r="K169" s="23">
        <f>'Annual Raw'!L73+'Annual Raw'!L81</f>
        <v>0</v>
      </c>
      <c r="L169" s="23">
        <f>'Annual Raw'!M73+'Annual Raw'!M81</f>
        <v>0</v>
      </c>
      <c r="M169" s="23">
        <f>'Annual Raw'!N73+'Annual Raw'!N81</f>
        <v>0</v>
      </c>
      <c r="N169" s="23">
        <f>'Annual Raw'!O73+'Annual Raw'!O81</f>
        <v>0</v>
      </c>
      <c r="O169" s="23">
        <f>'Annual Raw'!P73+'Annual Raw'!P81</f>
        <v>0</v>
      </c>
      <c r="P169" s="23">
        <f>'Annual Raw'!Q73+'Annual Raw'!Q81</f>
        <v>0</v>
      </c>
      <c r="Q169" s="23">
        <f>'Annual Raw'!R73+'Annual Raw'!R81</f>
        <v>0</v>
      </c>
      <c r="R169" s="23">
        <f>'Annual Raw'!S73+'Annual Raw'!S81</f>
        <v>0</v>
      </c>
      <c r="S169" s="23">
        <f>'Annual Raw'!T73+'Annual Raw'!T81</f>
        <v>0</v>
      </c>
      <c r="T169" s="23">
        <f>'Annual Raw'!U73+'Annual Raw'!U81</f>
        <v>0</v>
      </c>
      <c r="U169" s="23">
        <f>'Annual Raw'!V73+'Annual Raw'!V81</f>
        <v>0</v>
      </c>
      <c r="V169" s="23">
        <f>'Annual Raw'!W73+'Annual Raw'!W81</f>
        <v>0</v>
      </c>
      <c r="W169" s="23">
        <f>'Annual Raw'!X73+'Annual Raw'!X81</f>
        <v>0</v>
      </c>
      <c r="X169" s="23">
        <f>'Annual Raw'!Y73+'Annual Raw'!Y81</f>
        <v>0</v>
      </c>
      <c r="Y169" s="23">
        <f>'Annual Raw'!Z73+'Annual Raw'!Z81</f>
        <v>3.3</v>
      </c>
      <c r="Z169" s="23">
        <f>'Annual Raw'!AA73+'Annual Raw'!AA81</f>
        <v>4.2</v>
      </c>
      <c r="AA169" s="74">
        <f t="shared" si="1367"/>
        <v>0</v>
      </c>
      <c r="AB169" s="74">
        <f t="shared" si="1368"/>
        <v>0</v>
      </c>
      <c r="AC169" s="74">
        <f t="shared" si="1369"/>
        <v>0</v>
      </c>
      <c r="AD169" s="74">
        <f t="shared" si="1370"/>
        <v>0</v>
      </c>
      <c r="AE169" s="74">
        <f t="shared" si="1371"/>
        <v>0</v>
      </c>
      <c r="AJ169" s="23">
        <f>+'QTR Raw'!D79+'QTR Raw'!D76</f>
        <v>0</v>
      </c>
      <c r="AK169" s="23">
        <f t="shared" si="1394"/>
        <v>0</v>
      </c>
      <c r="AL169" s="23">
        <f>+'QTR Raw'!F79+'QTR Raw'!F76</f>
        <v>0</v>
      </c>
      <c r="AM169" s="23">
        <f t="shared" si="1394"/>
        <v>0</v>
      </c>
      <c r="AN169" s="23">
        <f>+'QTR Raw'!H79+'QTR Raw'!H76</f>
        <v>0</v>
      </c>
      <c r="AO169" s="23">
        <f t="shared" si="1394"/>
        <v>0</v>
      </c>
      <c r="AP169" s="23">
        <f>+'QTR Raw'!J79+'QTR Raw'!J76</f>
        <v>0</v>
      </c>
      <c r="AQ169" s="23">
        <f t="shared" si="1394"/>
        <v>0</v>
      </c>
      <c r="AR169" s="23">
        <f>+'QTR Raw'!L79+'QTR Raw'!L76</f>
        <v>0</v>
      </c>
      <c r="AS169" s="23">
        <f t="shared" si="1394"/>
        <v>0</v>
      </c>
      <c r="AT169" s="23">
        <f>+'QTR Raw'!N79+'QTR Raw'!N76</f>
        <v>0</v>
      </c>
      <c r="AU169" s="23">
        <f t="shared" si="1394"/>
        <v>0</v>
      </c>
      <c r="AV169" s="23">
        <f>+'QTR Raw'!P79+'QTR Raw'!P76</f>
        <v>0</v>
      </c>
      <c r="AW169" s="23">
        <f t="shared" si="1394"/>
        <v>0</v>
      </c>
      <c r="AX169" s="23">
        <f>+'QTR Raw'!R79+'QTR Raw'!R76</f>
        <v>0</v>
      </c>
      <c r="AY169" s="23">
        <f t="shared" si="1394"/>
        <v>0</v>
      </c>
      <c r="AZ169" s="23">
        <f>+'QTR Raw'!T79+'QTR Raw'!T76</f>
        <v>0</v>
      </c>
      <c r="BA169" s="23">
        <f t="shared" si="1394"/>
        <v>0</v>
      </c>
      <c r="BB169" s="23">
        <f>+'QTR Raw'!V79+'QTR Raw'!V76</f>
        <v>0</v>
      </c>
      <c r="BC169" s="23">
        <f t="shared" si="1394"/>
        <v>0</v>
      </c>
      <c r="BD169" s="23">
        <f>+'QTR Raw'!X79+'QTR Raw'!X76</f>
        <v>0</v>
      </c>
      <c r="BE169" s="23">
        <f t="shared" si="1394"/>
        <v>0</v>
      </c>
      <c r="BF169" s="23">
        <f>+'QTR Raw'!Z79+'QTR Raw'!Z76</f>
        <v>0</v>
      </c>
      <c r="BG169" s="23">
        <f t="shared" si="1394"/>
        <v>0</v>
      </c>
      <c r="BH169" s="23">
        <f>+'QTR Raw'!AB79+'QTR Raw'!AB76</f>
        <v>0</v>
      </c>
      <c r="BI169" s="23">
        <f t="shared" si="1394"/>
        <v>0</v>
      </c>
      <c r="BJ169" s="23">
        <f>+'QTR Raw'!AD79+'QTR Raw'!AD76</f>
        <v>0</v>
      </c>
      <c r="BK169" s="23">
        <f t="shared" si="1394"/>
        <v>0</v>
      </c>
      <c r="BL169" s="23">
        <f>+'QTR Raw'!AF79+'QTR Raw'!AF76</f>
        <v>0</v>
      </c>
      <c r="BM169" s="23">
        <f t="shared" si="1394"/>
        <v>0</v>
      </c>
      <c r="BN169" s="23">
        <f>+'QTR Raw'!AH79+'QTR Raw'!AH76</f>
        <v>0</v>
      </c>
      <c r="BO169" s="23">
        <f t="shared" si="1394"/>
        <v>0</v>
      </c>
      <c r="BP169" s="23">
        <f>+'QTR Raw'!AJ79+'QTR Raw'!AJ76</f>
        <v>0</v>
      </c>
      <c r="BQ169" s="23">
        <f t="shared" si="1394"/>
        <v>0</v>
      </c>
      <c r="BR169" s="23">
        <f>+'QTR Raw'!AL79+'QTR Raw'!AL76</f>
        <v>0</v>
      </c>
      <c r="BS169" s="23">
        <f t="shared" si="1394"/>
        <v>0</v>
      </c>
      <c r="BT169" s="23">
        <f>+'QTR Raw'!AN79+'QTR Raw'!AN76</f>
        <v>0</v>
      </c>
      <c r="BU169" s="23">
        <f t="shared" si="1394"/>
        <v>0</v>
      </c>
      <c r="BV169" s="23">
        <f>+'QTR Raw'!AP79+'QTR Raw'!AP76</f>
        <v>0</v>
      </c>
      <c r="BW169" s="23">
        <f t="shared" si="1394"/>
        <v>0</v>
      </c>
      <c r="BX169" s="23">
        <f>+'QTR Raw'!AR79+'QTR Raw'!AR76</f>
        <v>0</v>
      </c>
      <c r="BY169" s="23">
        <f t="shared" si="1394"/>
        <v>0</v>
      </c>
      <c r="BZ169" s="23">
        <f>+'QTR Raw'!AT79+'QTR Raw'!AT76</f>
        <v>0</v>
      </c>
      <c r="CA169" s="23">
        <f t="shared" si="1394"/>
        <v>0</v>
      </c>
      <c r="CB169" s="23">
        <f>+'QTR Raw'!AV79+'QTR Raw'!AV76</f>
        <v>0</v>
      </c>
      <c r="CC169" s="23">
        <f t="shared" si="1394"/>
        <v>0</v>
      </c>
      <c r="CD169" s="23">
        <f>+'QTR Raw'!AX79+'QTR Raw'!AX76</f>
        <v>0</v>
      </c>
      <c r="CE169" s="23">
        <f t="shared" si="1394"/>
        <v>0</v>
      </c>
      <c r="CF169" s="23">
        <f>+'QTR Raw'!AZ79+'QTR Raw'!AZ76</f>
        <v>249.3</v>
      </c>
      <c r="CG169" s="23">
        <f t="shared" si="1373"/>
        <v>249.3</v>
      </c>
      <c r="CH169" s="23">
        <f t="shared" si="1374"/>
        <v>4.2</v>
      </c>
      <c r="CJ169" s="23">
        <f>+'QTR Raw'!BD79+'QTR Raw'!BD76</f>
        <v>276.3</v>
      </c>
      <c r="CL169" s="23">
        <f>+'QTR Raw'!BF79+'QTR Raw'!BF76</f>
        <v>363.9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123"/>
      <c r="DF169" s="23">
        <v>4.2</v>
      </c>
    </row>
    <row r="170" spans="1:110" s="23" customFormat="1" outlineLevel="1" x14ac:dyDescent="0.2">
      <c r="A170" s="23" t="s">
        <v>61</v>
      </c>
      <c r="B170" s="23">
        <f>'Annual Raw'!C76</f>
        <v>0</v>
      </c>
      <c r="C170" s="23">
        <f>'Annual Raw'!D76</f>
        <v>0</v>
      </c>
      <c r="D170" s="23">
        <f>'Annual Raw'!E76</f>
        <v>0</v>
      </c>
      <c r="E170" s="23">
        <f>'Annual Raw'!F76</f>
        <v>0</v>
      </c>
      <c r="F170" s="23">
        <f>'Annual Raw'!G76</f>
        <v>0</v>
      </c>
      <c r="G170" s="23">
        <f>'Annual Raw'!H76</f>
        <v>0</v>
      </c>
      <c r="H170" s="23">
        <f>'Annual Raw'!I76</f>
        <v>0</v>
      </c>
      <c r="I170" s="23">
        <f>'Annual Raw'!J76</f>
        <v>0</v>
      </c>
      <c r="J170" s="23">
        <f>'Annual Raw'!K76</f>
        <v>0</v>
      </c>
      <c r="K170" s="23">
        <f>'Annual Raw'!L76</f>
        <v>0</v>
      </c>
      <c r="L170" s="23">
        <f>'Annual Raw'!M76</f>
        <v>0</v>
      </c>
      <c r="M170" s="23">
        <f>'Annual Raw'!N76</f>
        <v>0</v>
      </c>
      <c r="N170" s="23">
        <f>'Annual Raw'!O76</f>
        <v>0</v>
      </c>
      <c r="O170" s="23">
        <f>'Annual Raw'!P76</f>
        <v>0</v>
      </c>
      <c r="P170" s="23">
        <f>'Annual Raw'!Q76</f>
        <v>0</v>
      </c>
      <c r="Q170" s="23">
        <f>'Annual Raw'!R76</f>
        <v>0</v>
      </c>
      <c r="R170" s="23">
        <f>'Annual Raw'!S76</f>
        <v>0</v>
      </c>
      <c r="S170" s="23">
        <f>'Annual Raw'!T76</f>
        <v>0</v>
      </c>
      <c r="T170" s="23">
        <f>'Annual Raw'!U76</f>
        <v>0</v>
      </c>
      <c r="U170" s="23">
        <f>'Annual Raw'!V76</f>
        <v>0</v>
      </c>
      <c r="V170" s="23">
        <f>'Annual Raw'!W76</f>
        <v>0</v>
      </c>
      <c r="W170" s="23">
        <f>'Annual Raw'!X76</f>
        <v>0</v>
      </c>
      <c r="X170" s="23">
        <f>'Annual Raw'!Y76</f>
        <v>0</v>
      </c>
      <c r="Y170" s="23">
        <f>'Annual Raw'!Z76</f>
        <v>773.6</v>
      </c>
      <c r="Z170" s="23">
        <f>'Annual Raw'!AA76</f>
        <v>760.3</v>
      </c>
      <c r="AA170" s="74">
        <f t="shared" si="1367"/>
        <v>1407.4717166491612</v>
      </c>
      <c r="AB170" s="74">
        <f t="shared" si="1368"/>
        <v>1550.4617589338789</v>
      </c>
      <c r="AC170" s="74">
        <f t="shared" si="1369"/>
        <v>1813.203139426791</v>
      </c>
      <c r="AD170" s="74">
        <f t="shared" si="1370"/>
        <v>2122.6358795586648</v>
      </c>
      <c r="AE170" s="74">
        <f t="shared" si="1371"/>
        <v>2485.2037264061491</v>
      </c>
      <c r="AJ170" s="23">
        <f>+'QTR Raw'!D81</f>
        <v>0</v>
      </c>
      <c r="AK170" s="23" t="e">
        <f>+AK205*AK36/90</f>
        <v>#DIV/0!</v>
      </c>
      <c r="AL170" s="23">
        <f>+'QTR Raw'!F81</f>
        <v>0</v>
      </c>
      <c r="AM170" s="23" t="e">
        <f>+AM205*AM36/90</f>
        <v>#DIV/0!</v>
      </c>
      <c r="AN170" s="23">
        <f>+'QTR Raw'!H81</f>
        <v>0</v>
      </c>
      <c r="AO170" s="23" t="e">
        <f>+AO205*AO36/90</f>
        <v>#DIV/0!</v>
      </c>
      <c r="AP170" s="23">
        <f>+'QTR Raw'!J81</f>
        <v>0</v>
      </c>
      <c r="AQ170" s="23" t="e">
        <f>+AQ205*AQ36/90</f>
        <v>#DIV/0!</v>
      </c>
      <c r="AR170" s="23">
        <f>+'QTR Raw'!L81</f>
        <v>0</v>
      </c>
      <c r="AS170" s="23" t="e">
        <f>+AS205*AS36/90</f>
        <v>#DIV/0!</v>
      </c>
      <c r="AT170" s="23">
        <f>+'QTR Raw'!N81</f>
        <v>0</v>
      </c>
      <c r="AU170" s="23" t="e">
        <f>+AU205*AU36/90</f>
        <v>#DIV/0!</v>
      </c>
      <c r="AV170" s="23">
        <f>+'QTR Raw'!P81</f>
        <v>0</v>
      </c>
      <c r="AW170" s="23" t="e">
        <f>+AW205*AW36/90</f>
        <v>#DIV/0!</v>
      </c>
      <c r="AX170" s="23">
        <f>+'QTR Raw'!R81</f>
        <v>0</v>
      </c>
      <c r="AY170" s="23" t="e">
        <f>+AY205*AY36/90</f>
        <v>#DIV/0!</v>
      </c>
      <c r="AZ170" s="23">
        <f>+'QTR Raw'!T81</f>
        <v>0</v>
      </c>
      <c r="BA170" s="23" t="e">
        <f>+BA205*BA36/90</f>
        <v>#DIV/0!</v>
      </c>
      <c r="BB170" s="23">
        <f>+'QTR Raw'!V81</f>
        <v>0</v>
      </c>
      <c r="BC170" s="23" t="e">
        <f>+BC205*BC36/90</f>
        <v>#DIV/0!</v>
      </c>
      <c r="BD170" s="23">
        <f>+'QTR Raw'!X81</f>
        <v>0</v>
      </c>
      <c r="BE170" s="23" t="e">
        <f>+BE205*BE36/90</f>
        <v>#DIV/0!</v>
      </c>
      <c r="BF170" s="23">
        <f>+'QTR Raw'!Z81</f>
        <v>0</v>
      </c>
      <c r="BG170" s="23" t="e">
        <f>+BG205*BG36/90</f>
        <v>#DIV/0!</v>
      </c>
      <c r="BH170" s="23">
        <f>+'QTR Raw'!AB81</f>
        <v>0</v>
      </c>
      <c r="BI170" s="23" t="e">
        <f>+BI205*BI36/90</f>
        <v>#DIV/0!</v>
      </c>
      <c r="BJ170" s="23">
        <f>+'QTR Raw'!AD81</f>
        <v>0</v>
      </c>
      <c r="BK170" s="23" t="e">
        <f>+BK205*BK36/90</f>
        <v>#DIV/0!</v>
      </c>
      <c r="BL170" s="23">
        <f>+'QTR Raw'!AF81</f>
        <v>0</v>
      </c>
      <c r="BM170" s="23" t="e">
        <f>+BM205*BM36/90</f>
        <v>#DIV/0!</v>
      </c>
      <c r="BN170" s="23">
        <f>+'QTR Raw'!AH81</f>
        <v>0</v>
      </c>
      <c r="BO170" s="23" t="e">
        <f>+BO205*BO36/90</f>
        <v>#DIV/0!</v>
      </c>
      <c r="BP170" s="23">
        <f>+'QTR Raw'!AJ81</f>
        <v>0</v>
      </c>
      <c r="BQ170" s="23" t="e">
        <f>+BQ205*BQ36/90</f>
        <v>#DIV/0!</v>
      </c>
      <c r="BR170" s="23">
        <f>+'QTR Raw'!AL81</f>
        <v>0</v>
      </c>
      <c r="BS170" s="23" t="e">
        <f>+BS205*BS36/90</f>
        <v>#DIV/0!</v>
      </c>
      <c r="BT170" s="23">
        <f>+'QTR Raw'!AN81</f>
        <v>0</v>
      </c>
      <c r="BU170" s="23" t="e">
        <f>+BU205*BU36/90</f>
        <v>#DIV/0!</v>
      </c>
      <c r="BV170" s="23">
        <f>+'QTR Raw'!AP81</f>
        <v>0</v>
      </c>
      <c r="BW170" s="23" t="e">
        <f>+BW205*BW36/90</f>
        <v>#DIV/0!</v>
      </c>
      <c r="BX170" s="23">
        <f>+'QTR Raw'!AR81</f>
        <v>0</v>
      </c>
      <c r="BY170" s="23" t="e">
        <f>+BY205*BY36/90</f>
        <v>#DIV/0!</v>
      </c>
      <c r="BZ170" s="23">
        <f>+'QTR Raw'!AT81</f>
        <v>0</v>
      </c>
      <c r="CA170" s="23" t="e">
        <f>+CA205*CA36/90</f>
        <v>#DIV/0!</v>
      </c>
      <c r="CB170" s="23">
        <f>+'QTR Raw'!AV81</f>
        <v>0</v>
      </c>
      <c r="CC170" s="23" t="e">
        <f>+CC205*CC36/90</f>
        <v>#DIV/0!</v>
      </c>
      <c r="CD170" s="23">
        <f>+'QTR Raw'!AX81</f>
        <v>0</v>
      </c>
      <c r="CE170" s="23">
        <f>+CE205*CE36/90</f>
        <v>0</v>
      </c>
      <c r="CF170" s="23">
        <f>+'QTR Raw'!AZ81</f>
        <v>773.6</v>
      </c>
      <c r="CG170" s="23">
        <f>+CG205*CG36/90</f>
        <v>564.49578603040209</v>
      </c>
      <c r="CH170" s="23">
        <f t="shared" si="1374"/>
        <v>760.3</v>
      </c>
      <c r="CI170" s="23">
        <f>+CI205*CI36/90</f>
        <v>721.91081670657081</v>
      </c>
      <c r="CJ170" s="23">
        <f>+'QTR Raw'!BD81</f>
        <v>760.3</v>
      </c>
      <c r="CK170" s="23">
        <f t="shared" ref="CK170:DB170" si="1395">+CK205*CK36/90</f>
        <v>549.13908228446167</v>
      </c>
      <c r="CL170" s="23">
        <f>+'QTR Raw'!BF81</f>
        <v>986.5</v>
      </c>
      <c r="CM170" s="24">
        <f t="shared" si="1395"/>
        <v>953.78593285782733</v>
      </c>
      <c r="CN170" s="24">
        <f t="shared" si="1395"/>
        <v>1407.4717166491612</v>
      </c>
      <c r="CO170" s="24">
        <f t="shared" si="1395"/>
        <v>1019.5836140203913</v>
      </c>
      <c r="CP170" s="24">
        <f t="shared" si="1395"/>
        <v>1271.6425995386742</v>
      </c>
      <c r="CQ170" s="24">
        <f t="shared" si="1395"/>
        <v>1060.6239217405682</v>
      </c>
      <c r="CR170" s="24">
        <f t="shared" si="1395"/>
        <v>1550.4617589338789</v>
      </c>
      <c r="CS170" s="24">
        <f t="shared" si="1395"/>
        <v>1214.648135840461</v>
      </c>
      <c r="CT170" s="24">
        <f t="shared" si="1395"/>
        <v>1495.3347937198666</v>
      </c>
      <c r="CU170" s="24">
        <f t="shared" si="1395"/>
        <v>1233.6792040864621</v>
      </c>
      <c r="CV170" s="24">
        <f t="shared" si="1395"/>
        <v>1813.203139426791</v>
      </c>
      <c r="CW170" s="24">
        <f t="shared" si="1395"/>
        <v>1429.8632327437208</v>
      </c>
      <c r="CX170" s="24">
        <f t="shared" si="1395"/>
        <v>1751.1827361519415</v>
      </c>
      <c r="CY170" s="24">
        <f t="shared" si="1395"/>
        <v>1443.8033990715753</v>
      </c>
      <c r="CZ170" s="24">
        <f t="shared" si="1395"/>
        <v>2122.6358795586648</v>
      </c>
      <c r="DA170" s="24">
        <f t="shared" si="1395"/>
        <v>1679.3016560420372</v>
      </c>
      <c r="DB170" s="24">
        <f t="shared" si="1395"/>
        <v>2051.2171736696287</v>
      </c>
      <c r="DC170" s="24">
        <f t="shared" ref="DC170:DD170" si="1396">+DC205*DC36/90</f>
        <v>1691.9602110712967</v>
      </c>
      <c r="DD170" s="24">
        <f t="shared" si="1396"/>
        <v>2485.2037264061491</v>
      </c>
      <c r="DE170" s="123"/>
      <c r="DF170" s="23">
        <v>760.3</v>
      </c>
    </row>
    <row r="171" spans="1:110" s="23" customFormat="1" outlineLevel="1" x14ac:dyDescent="0.2">
      <c r="A171" s="23" t="s">
        <v>62</v>
      </c>
      <c r="B171" s="23">
        <f>'Annual Raw'!C77</f>
        <v>0</v>
      </c>
      <c r="C171" s="23">
        <f>'Annual Raw'!D77</f>
        <v>0</v>
      </c>
      <c r="D171" s="23">
        <f>'Annual Raw'!E77</f>
        <v>0</v>
      </c>
      <c r="E171" s="23">
        <f>'Annual Raw'!F77</f>
        <v>0</v>
      </c>
      <c r="F171" s="23">
        <f>'Annual Raw'!G77</f>
        <v>0</v>
      </c>
      <c r="G171" s="23">
        <f>'Annual Raw'!H77</f>
        <v>0</v>
      </c>
      <c r="H171" s="23">
        <f>'Annual Raw'!I77</f>
        <v>0</v>
      </c>
      <c r="I171" s="23">
        <f>'Annual Raw'!J77</f>
        <v>0</v>
      </c>
      <c r="J171" s="23">
        <f>'Annual Raw'!K77</f>
        <v>0</v>
      </c>
      <c r="K171" s="23">
        <f>'Annual Raw'!L77</f>
        <v>0</v>
      </c>
      <c r="L171" s="23">
        <f>'Annual Raw'!M77</f>
        <v>0</v>
      </c>
      <c r="M171" s="23">
        <f>'Annual Raw'!N77</f>
        <v>0</v>
      </c>
      <c r="N171" s="23">
        <f>'Annual Raw'!O77</f>
        <v>0</v>
      </c>
      <c r="O171" s="23">
        <f>'Annual Raw'!P77</f>
        <v>0</v>
      </c>
      <c r="P171" s="23">
        <f>'Annual Raw'!Q77</f>
        <v>0</v>
      </c>
      <c r="Q171" s="23">
        <f>'Annual Raw'!R77</f>
        <v>0</v>
      </c>
      <c r="R171" s="23">
        <f>'Annual Raw'!S77</f>
        <v>0</v>
      </c>
      <c r="S171" s="23">
        <f>'Annual Raw'!T77</f>
        <v>0</v>
      </c>
      <c r="T171" s="23">
        <f>'Annual Raw'!U77</f>
        <v>0</v>
      </c>
      <c r="U171" s="23">
        <f>'Annual Raw'!V77</f>
        <v>0</v>
      </c>
      <c r="V171" s="23">
        <f>'Annual Raw'!W77</f>
        <v>0</v>
      </c>
      <c r="W171" s="23">
        <f>'Annual Raw'!X77</f>
        <v>0</v>
      </c>
      <c r="X171" s="23">
        <f>'Annual Raw'!Y77</f>
        <v>0</v>
      </c>
      <c r="Y171" s="23">
        <f>'Annual Raw'!Z77</f>
        <v>1877.5</v>
      </c>
      <c r="Z171" s="23">
        <f>'Annual Raw'!AA77</f>
        <v>1920.5</v>
      </c>
      <c r="AA171" s="74">
        <f t="shared" si="1367"/>
        <v>3616.0537920398365</v>
      </c>
      <c r="AB171" s="74">
        <f t="shared" si="1368"/>
        <v>3983.4215185179082</v>
      </c>
      <c r="AC171" s="74">
        <f t="shared" si="1369"/>
        <v>4658.452465156819</v>
      </c>
      <c r="AD171" s="74">
        <f t="shared" si="1370"/>
        <v>5453.4421051611098</v>
      </c>
      <c r="AE171" s="74">
        <f t="shared" si="1371"/>
        <v>6384.9456103156463</v>
      </c>
      <c r="AJ171" s="23">
        <f>+'QTR Raw'!D82</f>
        <v>0</v>
      </c>
      <c r="AK171" s="23" t="e">
        <f>+AK206*AK36/90</f>
        <v>#DIV/0!</v>
      </c>
      <c r="AL171" s="23">
        <f>+'QTR Raw'!F82</f>
        <v>0</v>
      </c>
      <c r="AM171" s="23" t="e">
        <f>+AM206*AM36/90</f>
        <v>#DIV/0!</v>
      </c>
      <c r="AN171" s="23">
        <f>+'QTR Raw'!H82</f>
        <v>0</v>
      </c>
      <c r="AO171" s="23" t="e">
        <f>+AO206*AO36/90</f>
        <v>#DIV/0!</v>
      </c>
      <c r="AP171" s="23">
        <f>+'QTR Raw'!J82</f>
        <v>0</v>
      </c>
      <c r="AQ171" s="23" t="e">
        <f>+AQ206*AQ36/90</f>
        <v>#DIV/0!</v>
      </c>
      <c r="AR171" s="23">
        <f>+'QTR Raw'!L82</f>
        <v>0</v>
      </c>
      <c r="AS171" s="23" t="e">
        <f>+AS206*AS36/90</f>
        <v>#DIV/0!</v>
      </c>
      <c r="AT171" s="23">
        <f>+'QTR Raw'!N82</f>
        <v>0</v>
      </c>
      <c r="AU171" s="23" t="e">
        <f>+AU206*AU36/90</f>
        <v>#DIV/0!</v>
      </c>
      <c r="AV171" s="23">
        <f>+'QTR Raw'!P82</f>
        <v>0</v>
      </c>
      <c r="AW171" s="23" t="e">
        <f>+AW206*AW36/90</f>
        <v>#DIV/0!</v>
      </c>
      <c r="AX171" s="23">
        <f>+'QTR Raw'!R82</f>
        <v>0</v>
      </c>
      <c r="AY171" s="23" t="e">
        <f>+AY206*AY36/90</f>
        <v>#DIV/0!</v>
      </c>
      <c r="AZ171" s="23">
        <f>+'QTR Raw'!T82</f>
        <v>0</v>
      </c>
      <c r="BA171" s="23" t="e">
        <f>+BA206*BA36/90</f>
        <v>#DIV/0!</v>
      </c>
      <c r="BB171" s="23">
        <f>+'QTR Raw'!V82</f>
        <v>0</v>
      </c>
      <c r="BC171" s="23" t="e">
        <f>+BC206*BC36/90</f>
        <v>#DIV/0!</v>
      </c>
      <c r="BD171" s="23">
        <f>+'QTR Raw'!X82</f>
        <v>0</v>
      </c>
      <c r="BE171" s="23" t="e">
        <f>+BE206*BE36/90</f>
        <v>#DIV/0!</v>
      </c>
      <c r="BF171" s="23">
        <f>+'QTR Raw'!Z82</f>
        <v>0</v>
      </c>
      <c r="BG171" s="23" t="e">
        <f>+BG206*BG36/90</f>
        <v>#DIV/0!</v>
      </c>
      <c r="BH171" s="23">
        <f>+'QTR Raw'!AB82</f>
        <v>0</v>
      </c>
      <c r="BI171" s="23" t="e">
        <f>+BI206*BI36/90</f>
        <v>#DIV/0!</v>
      </c>
      <c r="BJ171" s="23">
        <f>+'QTR Raw'!AD82</f>
        <v>0</v>
      </c>
      <c r="BK171" s="23" t="e">
        <f>+BK206*BK36/90</f>
        <v>#DIV/0!</v>
      </c>
      <c r="BL171" s="23">
        <f>+'QTR Raw'!AF82</f>
        <v>0</v>
      </c>
      <c r="BM171" s="23" t="e">
        <f>+BM206*BM36/90</f>
        <v>#DIV/0!</v>
      </c>
      <c r="BN171" s="23">
        <f>+'QTR Raw'!AH82</f>
        <v>0</v>
      </c>
      <c r="BO171" s="23" t="e">
        <f>+BO206*BO36/90</f>
        <v>#DIV/0!</v>
      </c>
      <c r="BP171" s="23">
        <f>+'QTR Raw'!AJ82</f>
        <v>0</v>
      </c>
      <c r="BQ171" s="23" t="e">
        <f>+BQ206*BQ36/90</f>
        <v>#DIV/0!</v>
      </c>
      <c r="BR171" s="23">
        <f>+'QTR Raw'!AL82</f>
        <v>0</v>
      </c>
      <c r="BS171" s="23" t="e">
        <f>+BS206*BS36/90</f>
        <v>#DIV/0!</v>
      </c>
      <c r="BT171" s="23">
        <f>+'QTR Raw'!AN82</f>
        <v>0</v>
      </c>
      <c r="BU171" s="23" t="e">
        <f>+BU206*BU36/90</f>
        <v>#DIV/0!</v>
      </c>
      <c r="BV171" s="23">
        <f>+'QTR Raw'!AP82</f>
        <v>0</v>
      </c>
      <c r="BW171" s="23" t="e">
        <f>+BW206*BW36/90</f>
        <v>#DIV/0!</v>
      </c>
      <c r="BX171" s="23">
        <f>+'QTR Raw'!AR82</f>
        <v>0</v>
      </c>
      <c r="BY171" s="23" t="e">
        <f>+BY206*BY36/90</f>
        <v>#DIV/0!</v>
      </c>
      <c r="BZ171" s="23">
        <f>+'QTR Raw'!AT82</f>
        <v>0</v>
      </c>
      <c r="CA171" s="23" t="e">
        <f>+CA206*CA36/90</f>
        <v>#DIV/0!</v>
      </c>
      <c r="CB171" s="23">
        <f>+'QTR Raw'!AV82</f>
        <v>0</v>
      </c>
      <c r="CC171" s="23" t="e">
        <f>+CC206*CC36/90</f>
        <v>#DIV/0!</v>
      </c>
      <c r="CD171" s="23">
        <f>+'QTR Raw'!AX82</f>
        <v>0</v>
      </c>
      <c r="CE171" s="23">
        <f>+CE206*CE36/90</f>
        <v>0</v>
      </c>
      <c r="CF171" s="23">
        <f>+'QTR Raw'!AZ82</f>
        <v>1877.5</v>
      </c>
      <c r="CG171" s="23">
        <f>+CG206*CG36/90</f>
        <v>1370.0114248604964</v>
      </c>
      <c r="CH171" s="23">
        <f t="shared" si="1374"/>
        <v>1920.5</v>
      </c>
      <c r="CI171" s="23">
        <f>+CI206*CI36/90</f>
        <v>1823.5298217611064</v>
      </c>
      <c r="CJ171" s="23">
        <f>+'QTR Raw'!BD82</f>
        <v>1920.5</v>
      </c>
      <c r="CK171" s="23">
        <f t="shared" ref="CK171:DB171" si="1397">+CK206*CK36/90</f>
        <v>1387.112465510073</v>
      </c>
      <c r="CL171" s="23">
        <f>+'QTR Raw'!BF82</f>
        <v>2534.5</v>
      </c>
      <c r="CM171" s="24">
        <f t="shared" si="1397"/>
        <v>2450.451542653992</v>
      </c>
      <c r="CN171" s="24">
        <f t="shared" si="1397"/>
        <v>3616.0537920398365</v>
      </c>
      <c r="CO171" s="24">
        <f t="shared" si="1397"/>
        <v>2619.4978912667834</v>
      </c>
      <c r="CP171" s="24">
        <f t="shared" si="1397"/>
        <v>3267.0837998284537</v>
      </c>
      <c r="CQ171" s="24">
        <f t="shared" si="1397"/>
        <v>2724.937992550907</v>
      </c>
      <c r="CR171" s="24">
        <f t="shared" si="1397"/>
        <v>3983.4215185179082</v>
      </c>
      <c r="CS171" s="24">
        <f t="shared" si="1397"/>
        <v>3120.6545365308148</v>
      </c>
      <c r="CT171" s="24">
        <f t="shared" si="1397"/>
        <v>3841.7902024156128</v>
      </c>
      <c r="CU171" s="24">
        <f t="shared" si="1397"/>
        <v>3169.5488522626842</v>
      </c>
      <c r="CV171" s="24">
        <f t="shared" si="1397"/>
        <v>4658.452465156819</v>
      </c>
      <c r="CW171" s="24">
        <f t="shared" si="1397"/>
        <v>3673.5817165625554</v>
      </c>
      <c r="CX171" s="24">
        <f t="shared" si="1397"/>
        <v>4499.1106383954339</v>
      </c>
      <c r="CY171" s="24">
        <f t="shared" si="1397"/>
        <v>3709.3965686233223</v>
      </c>
      <c r="CZ171" s="24">
        <f t="shared" si="1397"/>
        <v>5453.4421051611098</v>
      </c>
      <c r="DA171" s="24">
        <f t="shared" si="1397"/>
        <v>4314.434918640186</v>
      </c>
      <c r="DB171" s="24">
        <f t="shared" si="1397"/>
        <v>5269.9543098486301</v>
      </c>
      <c r="DC171" s="24">
        <f t="shared" ref="DC171:DD171" si="1398">+DC206*DC36/90</f>
        <v>4346.9570754791703</v>
      </c>
      <c r="DD171" s="24">
        <f t="shared" si="1398"/>
        <v>6384.9456103156463</v>
      </c>
      <c r="DE171" s="123"/>
      <c r="DF171" s="23">
        <v>1920.5</v>
      </c>
    </row>
    <row r="172" spans="1:110" s="23" customFormat="1" outlineLevel="1" x14ac:dyDescent="0.2">
      <c r="A172" s="23" t="s">
        <v>63</v>
      </c>
      <c r="B172" s="23">
        <f>'Annual Raw'!C79</f>
        <v>0</v>
      </c>
      <c r="C172" s="23">
        <f>'Annual Raw'!D79</f>
        <v>0</v>
      </c>
      <c r="D172" s="23">
        <f>'Annual Raw'!E79</f>
        <v>0</v>
      </c>
      <c r="E172" s="23">
        <f>'Annual Raw'!F79</f>
        <v>0</v>
      </c>
      <c r="F172" s="23">
        <f>'Annual Raw'!G79</f>
        <v>0</v>
      </c>
      <c r="G172" s="23">
        <f>'Annual Raw'!H79</f>
        <v>0</v>
      </c>
      <c r="H172" s="23">
        <f>'Annual Raw'!I79</f>
        <v>0</v>
      </c>
      <c r="I172" s="23">
        <f>'Annual Raw'!J79</f>
        <v>0</v>
      </c>
      <c r="J172" s="23">
        <f>'Annual Raw'!K79</f>
        <v>0</v>
      </c>
      <c r="K172" s="23">
        <f>'Annual Raw'!L79</f>
        <v>0</v>
      </c>
      <c r="L172" s="23">
        <f>'Annual Raw'!M79</f>
        <v>0</v>
      </c>
      <c r="M172" s="23">
        <f>'Annual Raw'!N79</f>
        <v>0</v>
      </c>
      <c r="N172" s="23">
        <f>'Annual Raw'!O79</f>
        <v>0</v>
      </c>
      <c r="O172" s="23">
        <f>'Annual Raw'!P79</f>
        <v>0</v>
      </c>
      <c r="P172" s="23">
        <f>'Annual Raw'!Q79</f>
        <v>0</v>
      </c>
      <c r="Q172" s="23">
        <f>'Annual Raw'!R79</f>
        <v>0</v>
      </c>
      <c r="R172" s="23">
        <f>'Annual Raw'!S79</f>
        <v>0</v>
      </c>
      <c r="S172" s="23">
        <f>'Annual Raw'!T79</f>
        <v>0</v>
      </c>
      <c r="T172" s="23">
        <f>'Annual Raw'!U79</f>
        <v>0</v>
      </c>
      <c r="U172" s="23">
        <f>'Annual Raw'!V79</f>
        <v>0</v>
      </c>
      <c r="V172" s="23">
        <f>'Annual Raw'!W79</f>
        <v>0</v>
      </c>
      <c r="W172" s="23">
        <f>'Annual Raw'!X79</f>
        <v>0</v>
      </c>
      <c r="X172" s="23">
        <f>'Annual Raw'!Y79</f>
        <v>0</v>
      </c>
      <c r="Y172" s="23">
        <f>'Annual Raw'!Z79</f>
        <v>2312.3000000000002</v>
      </c>
      <c r="Z172" s="23">
        <f>'Annual Raw'!AA79</f>
        <v>375.7</v>
      </c>
      <c r="AA172" s="74">
        <f t="shared" si="1367"/>
        <v>3751.308043168413</v>
      </c>
      <c r="AB172" s="74">
        <f t="shared" si="1368"/>
        <v>4132.4167286009615</v>
      </c>
      <c r="AC172" s="74">
        <f t="shared" si="1369"/>
        <v>4832.6964161123788</v>
      </c>
      <c r="AD172" s="74">
        <f t="shared" si="1370"/>
        <v>5657.4217112251363</v>
      </c>
      <c r="AE172" s="74">
        <f t="shared" si="1371"/>
        <v>6623.7670125085542</v>
      </c>
      <c r="AJ172" s="23">
        <f>+'QTR Raw'!D84</f>
        <v>0</v>
      </c>
      <c r="AK172" s="23">
        <f t="shared" si="1394"/>
        <v>0</v>
      </c>
      <c r="AL172" s="23">
        <f>+'QTR Raw'!F84</f>
        <v>0</v>
      </c>
      <c r="AM172" s="23">
        <f t="shared" si="1394"/>
        <v>0</v>
      </c>
      <c r="AN172" s="23">
        <f>+'QTR Raw'!H84</f>
        <v>0</v>
      </c>
      <c r="AO172" s="23">
        <f t="shared" si="1394"/>
        <v>0</v>
      </c>
      <c r="AP172" s="23">
        <f>+'QTR Raw'!J84</f>
        <v>0</v>
      </c>
      <c r="AQ172" s="23">
        <f t="shared" si="1394"/>
        <v>0</v>
      </c>
      <c r="AR172" s="23">
        <f>+'QTR Raw'!L84</f>
        <v>0</v>
      </c>
      <c r="AS172" s="23">
        <f t="shared" si="1394"/>
        <v>0</v>
      </c>
      <c r="AT172" s="23">
        <f>+'QTR Raw'!N84</f>
        <v>0</v>
      </c>
      <c r="AU172" s="23">
        <f t="shared" si="1394"/>
        <v>0</v>
      </c>
      <c r="AV172" s="23">
        <f>+'QTR Raw'!P84</f>
        <v>0</v>
      </c>
      <c r="AW172" s="23">
        <f t="shared" si="1394"/>
        <v>0</v>
      </c>
      <c r="AX172" s="23">
        <f>+'QTR Raw'!R84</f>
        <v>0</v>
      </c>
      <c r="AY172" s="23">
        <f t="shared" si="1394"/>
        <v>0</v>
      </c>
      <c r="AZ172" s="23">
        <f>+'QTR Raw'!T84</f>
        <v>0</v>
      </c>
      <c r="BA172" s="23">
        <f t="shared" si="1394"/>
        <v>0</v>
      </c>
      <c r="BB172" s="23">
        <f>+'QTR Raw'!V84</f>
        <v>0</v>
      </c>
      <c r="BC172" s="23">
        <f t="shared" si="1394"/>
        <v>0</v>
      </c>
      <c r="BD172" s="23">
        <f>+'QTR Raw'!X84</f>
        <v>0</v>
      </c>
      <c r="BE172" s="23">
        <f t="shared" si="1394"/>
        <v>0</v>
      </c>
      <c r="BF172" s="23">
        <f>+'QTR Raw'!Z84</f>
        <v>0</v>
      </c>
      <c r="BG172" s="23">
        <f t="shared" si="1394"/>
        <v>0</v>
      </c>
      <c r="BH172" s="23">
        <f>+'QTR Raw'!AB84</f>
        <v>0</v>
      </c>
      <c r="BI172" s="23">
        <f t="shared" si="1394"/>
        <v>0</v>
      </c>
      <c r="BJ172" s="23">
        <f>+'QTR Raw'!AD84</f>
        <v>0</v>
      </c>
      <c r="BK172" s="23">
        <f t="shared" si="1394"/>
        <v>0</v>
      </c>
      <c r="BL172" s="23">
        <f>+'QTR Raw'!AF84</f>
        <v>0</v>
      </c>
      <c r="BM172" s="23">
        <f t="shared" si="1394"/>
        <v>0</v>
      </c>
      <c r="BN172" s="23">
        <f>+'QTR Raw'!AH84</f>
        <v>0</v>
      </c>
      <c r="BO172" s="23">
        <f t="shared" si="1394"/>
        <v>0</v>
      </c>
      <c r="BP172" s="23">
        <f>+'QTR Raw'!AJ84</f>
        <v>0</v>
      </c>
      <c r="BQ172" s="23">
        <f t="shared" si="1394"/>
        <v>0</v>
      </c>
      <c r="BR172" s="23">
        <f>+'QTR Raw'!AL84</f>
        <v>0</v>
      </c>
      <c r="BS172" s="23">
        <f t="shared" si="1394"/>
        <v>0</v>
      </c>
      <c r="BT172" s="23">
        <f>+'QTR Raw'!AN84</f>
        <v>0</v>
      </c>
      <c r="BU172" s="23">
        <f t="shared" si="1394"/>
        <v>0</v>
      </c>
      <c r="BV172" s="23">
        <f>+'QTR Raw'!AP84</f>
        <v>0</v>
      </c>
      <c r="BW172" s="23">
        <f t="shared" si="1394"/>
        <v>0</v>
      </c>
      <c r="BX172" s="23">
        <f>+'QTR Raw'!AR84</f>
        <v>0</v>
      </c>
      <c r="BY172" s="23">
        <f t="shared" si="1394"/>
        <v>0</v>
      </c>
      <c r="BZ172" s="23">
        <f>+'QTR Raw'!AT84</f>
        <v>0</v>
      </c>
      <c r="CA172" s="23">
        <f t="shared" si="1394"/>
        <v>0</v>
      </c>
      <c r="CB172" s="23">
        <f>+'QTR Raw'!AV84</f>
        <v>0</v>
      </c>
      <c r="CC172" s="23">
        <f t="shared" si="1394"/>
        <v>0</v>
      </c>
      <c r="CD172" s="23">
        <f>+'QTR Raw'!AX84</f>
        <v>0</v>
      </c>
      <c r="CE172" s="23">
        <f t="shared" si="1394"/>
        <v>0</v>
      </c>
      <c r="CF172" s="23">
        <f>+'QTR Raw'!AZ84</f>
        <v>3627.7</v>
      </c>
      <c r="CG172" s="23">
        <f t="shared" ref="CG172:CG173" si="1399">+CF172</f>
        <v>3627.7</v>
      </c>
      <c r="CH172" s="23">
        <f t="shared" si="1374"/>
        <v>375.7</v>
      </c>
      <c r="CI172" s="23">
        <f>CI36/90*CI207</f>
        <v>2666.2180367118908</v>
      </c>
      <c r="CJ172" s="23">
        <f>+'QTR Raw'!BD84</f>
        <v>2434.8000000000002</v>
      </c>
      <c r="CK172" s="23">
        <f t="shared" ref="CK172:DB172" si="1400">CK36/90*CK207</f>
        <v>1958.2084438900858</v>
      </c>
      <c r="CL172" s="23">
        <f>+'QTR Raw'!BF84</f>
        <v>2265.4</v>
      </c>
      <c r="CM172" s="24">
        <f t="shared" si="1400"/>
        <v>2542.107808680269</v>
      </c>
      <c r="CN172" s="24">
        <f t="shared" si="1400"/>
        <v>3751.308043168413</v>
      </c>
      <c r="CO172" s="24">
        <f t="shared" si="1400"/>
        <v>2717.4771377028032</v>
      </c>
      <c r="CP172" s="24">
        <f t="shared" si="1400"/>
        <v>3389.2852376756573</v>
      </c>
      <c r="CQ172" s="24">
        <f t="shared" si="1400"/>
        <v>2826.8611023137109</v>
      </c>
      <c r="CR172" s="24">
        <f t="shared" si="1400"/>
        <v>4132.4167286009615</v>
      </c>
      <c r="CS172" s="24">
        <f t="shared" si="1400"/>
        <v>3237.3789595188287</v>
      </c>
      <c r="CT172" s="24">
        <f t="shared" si="1400"/>
        <v>3985.487859227213</v>
      </c>
      <c r="CU172" s="24">
        <f t="shared" si="1400"/>
        <v>3288.1021097866546</v>
      </c>
      <c r="CV172" s="24">
        <f t="shared" si="1400"/>
        <v>4832.6964161123788</v>
      </c>
      <c r="CW172" s="24">
        <f t="shared" si="1400"/>
        <v>3810.9877322382822</v>
      </c>
      <c r="CX172" s="24">
        <f t="shared" si="1400"/>
        <v>4667.3945951994929</v>
      </c>
      <c r="CY172" s="24">
        <f t="shared" si="1400"/>
        <v>3848.1421968361815</v>
      </c>
      <c r="CZ172" s="24">
        <f t="shared" si="1400"/>
        <v>5657.4217112251363</v>
      </c>
      <c r="DA172" s="24">
        <f t="shared" si="1400"/>
        <v>4475.8112967372817</v>
      </c>
      <c r="DB172" s="24">
        <f t="shared" si="1400"/>
        <v>5467.0707701262581</v>
      </c>
      <c r="DC172" s="24">
        <f t="shared" ref="DC172:DD172" si="1401">DC36/90*DC207</f>
        <v>4509.5499067103501</v>
      </c>
      <c r="DD172" s="24">
        <f t="shared" si="1401"/>
        <v>6623.7670125085542</v>
      </c>
      <c r="DE172" s="123"/>
      <c r="DF172" s="23">
        <v>375.7</v>
      </c>
    </row>
    <row r="173" spans="1:110" s="23" customFormat="1" outlineLevel="1" x14ac:dyDescent="0.2">
      <c r="A173" s="23" t="s">
        <v>64</v>
      </c>
      <c r="B173" s="23">
        <f>'Annual Raw'!C80</f>
        <v>0</v>
      </c>
      <c r="C173" s="23">
        <f>'Annual Raw'!D80</f>
        <v>0</v>
      </c>
      <c r="D173" s="23">
        <f>'Annual Raw'!E80</f>
        <v>0</v>
      </c>
      <c r="E173" s="23">
        <f>'Annual Raw'!F80</f>
        <v>0</v>
      </c>
      <c r="F173" s="23">
        <f>'Annual Raw'!G80</f>
        <v>0</v>
      </c>
      <c r="G173" s="23">
        <f>'Annual Raw'!H80</f>
        <v>0</v>
      </c>
      <c r="H173" s="23">
        <f>'Annual Raw'!I80</f>
        <v>0</v>
      </c>
      <c r="I173" s="23">
        <f>'Annual Raw'!J80</f>
        <v>0</v>
      </c>
      <c r="J173" s="23">
        <f>'Annual Raw'!K80</f>
        <v>0</v>
      </c>
      <c r="K173" s="23">
        <f>'Annual Raw'!L80</f>
        <v>0</v>
      </c>
      <c r="L173" s="23">
        <f>'Annual Raw'!M80</f>
        <v>0</v>
      </c>
      <c r="M173" s="23">
        <f>'Annual Raw'!N80</f>
        <v>0</v>
      </c>
      <c r="N173" s="23">
        <f>'Annual Raw'!O80</f>
        <v>0</v>
      </c>
      <c r="O173" s="23">
        <f>'Annual Raw'!P80</f>
        <v>0</v>
      </c>
      <c r="P173" s="23">
        <f>'Annual Raw'!Q80</f>
        <v>0</v>
      </c>
      <c r="Q173" s="23">
        <f>'Annual Raw'!R80</f>
        <v>0</v>
      </c>
      <c r="R173" s="23">
        <f>'Annual Raw'!S80</f>
        <v>0</v>
      </c>
      <c r="S173" s="23">
        <f>'Annual Raw'!T80</f>
        <v>0</v>
      </c>
      <c r="T173" s="23">
        <f>'Annual Raw'!U80</f>
        <v>0</v>
      </c>
      <c r="U173" s="23">
        <f>'Annual Raw'!V80</f>
        <v>0</v>
      </c>
      <c r="V173" s="23">
        <f>'Annual Raw'!W80</f>
        <v>0</v>
      </c>
      <c r="W173" s="23">
        <f>'Annual Raw'!X80</f>
        <v>0</v>
      </c>
      <c r="X173" s="23">
        <f>'Annual Raw'!Y80</f>
        <v>0</v>
      </c>
      <c r="Y173" s="23">
        <f>'Annual Raw'!Z80</f>
        <v>1316</v>
      </c>
      <c r="Z173" s="23">
        <f>'Annual Raw'!AA80</f>
        <v>2287.1999999999998</v>
      </c>
      <c r="AA173" s="74">
        <f t="shared" si="1367"/>
        <v>0</v>
      </c>
      <c r="AB173" s="74">
        <f t="shared" si="1368"/>
        <v>0</v>
      </c>
      <c r="AC173" s="74">
        <f t="shared" si="1369"/>
        <v>0</v>
      </c>
      <c r="AD173" s="74">
        <f t="shared" si="1370"/>
        <v>0</v>
      </c>
      <c r="AE173" s="74">
        <f t="shared" si="1371"/>
        <v>0</v>
      </c>
      <c r="AJ173" s="23">
        <f>+'QTR Raw'!D85</f>
        <v>0</v>
      </c>
      <c r="AK173" s="23">
        <f t="shared" si="1394"/>
        <v>0</v>
      </c>
      <c r="AL173" s="23">
        <f>+'QTR Raw'!F85</f>
        <v>0</v>
      </c>
      <c r="AM173" s="23">
        <f t="shared" si="1394"/>
        <v>0</v>
      </c>
      <c r="AN173" s="23">
        <f>+'QTR Raw'!H85</f>
        <v>0</v>
      </c>
      <c r="AO173" s="23">
        <f t="shared" si="1394"/>
        <v>0</v>
      </c>
      <c r="AP173" s="23">
        <f>+'QTR Raw'!J85</f>
        <v>0</v>
      </c>
      <c r="AQ173" s="23">
        <f t="shared" si="1394"/>
        <v>0</v>
      </c>
      <c r="AR173" s="23">
        <f>+'QTR Raw'!L85</f>
        <v>0</v>
      </c>
      <c r="AS173" s="23">
        <f t="shared" si="1394"/>
        <v>0</v>
      </c>
      <c r="AT173" s="23">
        <f>+'QTR Raw'!N85</f>
        <v>0</v>
      </c>
      <c r="AU173" s="23">
        <f t="shared" si="1394"/>
        <v>0</v>
      </c>
      <c r="AV173" s="23">
        <f>+'QTR Raw'!P85</f>
        <v>0</v>
      </c>
      <c r="AW173" s="23">
        <f t="shared" si="1394"/>
        <v>0</v>
      </c>
      <c r="AX173" s="23">
        <f>+'QTR Raw'!R85</f>
        <v>0</v>
      </c>
      <c r="AY173" s="23">
        <f t="shared" si="1394"/>
        <v>0</v>
      </c>
      <c r="AZ173" s="23">
        <f>+'QTR Raw'!T85</f>
        <v>0</v>
      </c>
      <c r="BA173" s="23">
        <f t="shared" si="1394"/>
        <v>0</v>
      </c>
      <c r="BB173" s="23">
        <f>+'QTR Raw'!V85</f>
        <v>0</v>
      </c>
      <c r="BC173" s="23">
        <f t="shared" si="1394"/>
        <v>0</v>
      </c>
      <c r="BD173" s="23">
        <f>+'QTR Raw'!X85</f>
        <v>0</v>
      </c>
      <c r="BE173" s="23">
        <f t="shared" si="1394"/>
        <v>0</v>
      </c>
      <c r="BF173" s="23">
        <f>+'QTR Raw'!Z85</f>
        <v>0</v>
      </c>
      <c r="BG173" s="23">
        <f t="shared" si="1394"/>
        <v>0</v>
      </c>
      <c r="BH173" s="23">
        <f>+'QTR Raw'!AB85</f>
        <v>0</v>
      </c>
      <c r="BI173" s="23">
        <f t="shared" si="1394"/>
        <v>0</v>
      </c>
      <c r="BJ173" s="23">
        <f>+'QTR Raw'!AD85</f>
        <v>0</v>
      </c>
      <c r="BK173" s="23">
        <f t="shared" si="1394"/>
        <v>0</v>
      </c>
      <c r="BL173" s="23">
        <f>+'QTR Raw'!AF85</f>
        <v>0</v>
      </c>
      <c r="BM173" s="23">
        <f t="shared" si="1394"/>
        <v>0</v>
      </c>
      <c r="BN173" s="23">
        <f>+'QTR Raw'!AH85</f>
        <v>0</v>
      </c>
      <c r="BO173" s="23">
        <f t="shared" si="1394"/>
        <v>0</v>
      </c>
      <c r="BP173" s="23">
        <f>+'QTR Raw'!AJ85</f>
        <v>0</v>
      </c>
      <c r="BQ173" s="23">
        <f t="shared" si="1394"/>
        <v>0</v>
      </c>
      <c r="BR173" s="23">
        <f>+'QTR Raw'!AL85</f>
        <v>0</v>
      </c>
      <c r="BS173" s="23">
        <f t="shared" si="1394"/>
        <v>0</v>
      </c>
      <c r="BT173" s="23">
        <f>+'QTR Raw'!AN85</f>
        <v>0</v>
      </c>
      <c r="BU173" s="23">
        <f t="shared" si="1394"/>
        <v>0</v>
      </c>
      <c r="BV173" s="23">
        <f>+'QTR Raw'!AP85</f>
        <v>0</v>
      </c>
      <c r="BW173" s="23">
        <f t="shared" si="1394"/>
        <v>0</v>
      </c>
      <c r="BX173" s="23">
        <f>+'QTR Raw'!AR85</f>
        <v>0</v>
      </c>
      <c r="BY173" s="23">
        <f t="shared" si="1394"/>
        <v>0</v>
      </c>
      <c r="BZ173" s="23">
        <f>+'QTR Raw'!AT85</f>
        <v>0</v>
      </c>
      <c r="CA173" s="23">
        <f t="shared" si="1394"/>
        <v>0</v>
      </c>
      <c r="CB173" s="23">
        <f>+'QTR Raw'!AV85</f>
        <v>0</v>
      </c>
      <c r="CC173" s="23">
        <f t="shared" si="1394"/>
        <v>0</v>
      </c>
      <c r="CD173" s="23">
        <f>+'QTR Raw'!AX85</f>
        <v>0</v>
      </c>
      <c r="CE173" s="23">
        <f t="shared" si="1394"/>
        <v>0</v>
      </c>
      <c r="CF173" s="23">
        <f>+'QTR Raw'!AZ85</f>
        <v>0.6</v>
      </c>
      <c r="CG173" s="23">
        <f t="shared" si="1399"/>
        <v>0.6</v>
      </c>
      <c r="CH173" s="23">
        <f t="shared" si="1374"/>
        <v>2287.1999999999998</v>
      </c>
      <c r="CJ173" s="23">
        <f>+'QTR Raw'!BD85</f>
        <v>0.1</v>
      </c>
      <c r="CL173" s="23">
        <f>+'QTR Raw'!BF85</f>
        <v>0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123"/>
      <c r="DF173" s="23">
        <v>2287.1999999999998</v>
      </c>
    </row>
    <row r="174" spans="1:110" s="22" customFormat="1" x14ac:dyDescent="0.2">
      <c r="A174" s="22" t="s">
        <v>65</v>
      </c>
      <c r="B174" s="22">
        <f>SUM(B168:B173)</f>
        <v>0</v>
      </c>
      <c r="C174" s="22">
        <f t="shared" ref="C174:V174" si="1402">SUM(C168:C173)</f>
        <v>0</v>
      </c>
      <c r="D174" s="22">
        <f t="shared" si="1402"/>
        <v>0</v>
      </c>
      <c r="E174" s="22">
        <f t="shared" si="1402"/>
        <v>0</v>
      </c>
      <c r="F174" s="22">
        <f t="shared" si="1402"/>
        <v>0</v>
      </c>
      <c r="G174" s="22">
        <f t="shared" si="1402"/>
        <v>0</v>
      </c>
      <c r="H174" s="22">
        <f t="shared" si="1402"/>
        <v>0</v>
      </c>
      <c r="I174" s="22">
        <f t="shared" si="1402"/>
        <v>0</v>
      </c>
      <c r="J174" s="22">
        <f t="shared" si="1402"/>
        <v>0</v>
      </c>
      <c r="K174" s="22">
        <f t="shared" si="1402"/>
        <v>0</v>
      </c>
      <c r="L174" s="22">
        <f>SUM(L168:L173)</f>
        <v>0</v>
      </c>
      <c r="M174" s="22">
        <f>SUM(M168:M173)</f>
        <v>0</v>
      </c>
      <c r="N174" s="22">
        <f t="shared" si="1402"/>
        <v>0</v>
      </c>
      <c r="O174" s="22">
        <f t="shared" si="1402"/>
        <v>0</v>
      </c>
      <c r="P174" s="22">
        <f t="shared" si="1402"/>
        <v>0</v>
      </c>
      <c r="Q174" s="22">
        <f t="shared" si="1402"/>
        <v>0</v>
      </c>
      <c r="R174" s="22">
        <f t="shared" si="1402"/>
        <v>0</v>
      </c>
      <c r="S174" s="22">
        <f t="shared" si="1402"/>
        <v>0</v>
      </c>
      <c r="T174" s="22">
        <f t="shared" si="1402"/>
        <v>0</v>
      </c>
      <c r="U174" s="22">
        <f t="shared" si="1402"/>
        <v>0</v>
      </c>
      <c r="V174" s="22">
        <f t="shared" si="1402"/>
        <v>0</v>
      </c>
      <c r="W174" s="22">
        <f t="shared" ref="W174" si="1403">SUM(W168:W173)</f>
        <v>0</v>
      </c>
      <c r="X174" s="22">
        <f t="shared" ref="X174:Y174" si="1404">SUM(X168:X173)</f>
        <v>0</v>
      </c>
      <c r="Y174" s="22">
        <f t="shared" si="1404"/>
        <v>6406.6</v>
      </c>
      <c r="Z174" s="22">
        <f t="shared" ref="Z174" si="1405">SUM(Z168:Z173)</f>
        <v>5488.7999999999993</v>
      </c>
      <c r="AA174" s="21">
        <f t="shared" ref="AA174:AD174" si="1406">SUM(AA168:AA173)</f>
        <v>8774.8335518574095</v>
      </c>
      <c r="AB174" s="21">
        <f t="shared" si="1406"/>
        <v>9666.3000060527484</v>
      </c>
      <c r="AC174" s="21">
        <f t="shared" si="1406"/>
        <v>11304.352020695987</v>
      </c>
      <c r="AD174" s="21">
        <f t="shared" si="1406"/>
        <v>13233.499695944911</v>
      </c>
      <c r="AE174" s="21">
        <f t="shared" ref="AE174" si="1407">SUM(AE168:AE173)</f>
        <v>15493.916349230349</v>
      </c>
      <c r="AJ174" s="22">
        <f t="shared" ref="AJ174" si="1408">SUM(AJ168:AJ173)</f>
        <v>0</v>
      </c>
      <c r="AK174" s="22" t="e">
        <f t="shared" ref="AK174" si="1409">SUM(AK168:AK173)</f>
        <v>#DIV/0!</v>
      </c>
      <c r="AL174" s="22">
        <f t="shared" ref="AL174:AM174" si="1410">SUM(AL168:AL173)</f>
        <v>0</v>
      </c>
      <c r="AM174" s="22" t="e">
        <f t="shared" si="1410"/>
        <v>#DIV/0!</v>
      </c>
      <c r="AN174" s="22">
        <f t="shared" ref="AN174:AO174" si="1411">SUM(AN168:AN173)</f>
        <v>0</v>
      </c>
      <c r="AO174" s="22" t="e">
        <f t="shared" si="1411"/>
        <v>#DIV/0!</v>
      </c>
      <c r="AP174" s="22">
        <f t="shared" ref="AP174:CE174" si="1412">SUM(AP168:AP173)</f>
        <v>0</v>
      </c>
      <c r="AQ174" s="22" t="e">
        <f t="shared" si="1412"/>
        <v>#DIV/0!</v>
      </c>
      <c r="AR174" s="22">
        <f t="shared" si="1412"/>
        <v>0</v>
      </c>
      <c r="AS174" s="22" t="e">
        <f t="shared" si="1412"/>
        <v>#DIV/0!</v>
      </c>
      <c r="AT174" s="22">
        <f t="shared" si="1412"/>
        <v>0</v>
      </c>
      <c r="AU174" s="22" t="e">
        <f t="shared" si="1412"/>
        <v>#DIV/0!</v>
      </c>
      <c r="AV174" s="22">
        <f t="shared" si="1412"/>
        <v>0</v>
      </c>
      <c r="AW174" s="22" t="e">
        <f t="shared" si="1412"/>
        <v>#DIV/0!</v>
      </c>
      <c r="AX174" s="22">
        <f t="shared" si="1412"/>
        <v>0</v>
      </c>
      <c r="AY174" s="22" t="e">
        <f t="shared" si="1412"/>
        <v>#DIV/0!</v>
      </c>
      <c r="AZ174" s="22">
        <f t="shared" si="1412"/>
        <v>0</v>
      </c>
      <c r="BA174" s="22" t="e">
        <f t="shared" si="1412"/>
        <v>#DIV/0!</v>
      </c>
      <c r="BB174" s="22">
        <f t="shared" si="1412"/>
        <v>0</v>
      </c>
      <c r="BC174" s="22" t="e">
        <f t="shared" si="1412"/>
        <v>#DIV/0!</v>
      </c>
      <c r="BD174" s="22">
        <f t="shared" si="1412"/>
        <v>0</v>
      </c>
      <c r="BE174" s="22" t="e">
        <f t="shared" si="1412"/>
        <v>#DIV/0!</v>
      </c>
      <c r="BF174" s="22">
        <f t="shared" si="1412"/>
        <v>0</v>
      </c>
      <c r="BG174" s="22" t="e">
        <f t="shared" si="1412"/>
        <v>#DIV/0!</v>
      </c>
      <c r="BH174" s="22">
        <f t="shared" si="1412"/>
        <v>0</v>
      </c>
      <c r="BI174" s="22" t="e">
        <f t="shared" si="1412"/>
        <v>#DIV/0!</v>
      </c>
      <c r="BJ174" s="22">
        <f t="shared" si="1412"/>
        <v>0</v>
      </c>
      <c r="BK174" s="22" t="e">
        <f t="shared" si="1412"/>
        <v>#DIV/0!</v>
      </c>
      <c r="BL174" s="22">
        <f t="shared" si="1412"/>
        <v>0</v>
      </c>
      <c r="BM174" s="22" t="e">
        <f t="shared" si="1412"/>
        <v>#DIV/0!</v>
      </c>
      <c r="BN174" s="22">
        <f t="shared" si="1412"/>
        <v>0</v>
      </c>
      <c r="BO174" s="22" t="e">
        <f t="shared" si="1412"/>
        <v>#DIV/0!</v>
      </c>
      <c r="BP174" s="22">
        <f t="shared" si="1412"/>
        <v>0</v>
      </c>
      <c r="BQ174" s="22" t="e">
        <f t="shared" si="1412"/>
        <v>#DIV/0!</v>
      </c>
      <c r="BR174" s="22">
        <f t="shared" si="1412"/>
        <v>0</v>
      </c>
      <c r="BS174" s="22" t="e">
        <f t="shared" si="1412"/>
        <v>#DIV/0!</v>
      </c>
      <c r="BT174" s="22">
        <f t="shared" si="1412"/>
        <v>0</v>
      </c>
      <c r="BU174" s="22" t="e">
        <f t="shared" si="1412"/>
        <v>#DIV/0!</v>
      </c>
      <c r="BV174" s="22">
        <f t="shared" si="1412"/>
        <v>0</v>
      </c>
      <c r="BW174" s="22" t="e">
        <f t="shared" si="1412"/>
        <v>#DIV/0!</v>
      </c>
      <c r="BX174" s="22">
        <f t="shared" si="1412"/>
        <v>0</v>
      </c>
      <c r="BY174" s="22" t="e">
        <f t="shared" si="1412"/>
        <v>#DIV/0!</v>
      </c>
      <c r="BZ174" s="22">
        <f t="shared" si="1412"/>
        <v>0</v>
      </c>
      <c r="CA174" s="22" t="e">
        <f t="shared" si="1412"/>
        <v>#DIV/0!</v>
      </c>
      <c r="CB174" s="22">
        <f t="shared" si="1412"/>
        <v>0</v>
      </c>
      <c r="CC174" s="22" t="e">
        <f t="shared" si="1412"/>
        <v>#DIV/0!</v>
      </c>
      <c r="CD174" s="22">
        <f t="shared" si="1412"/>
        <v>0</v>
      </c>
      <c r="CE174" s="22">
        <f t="shared" si="1412"/>
        <v>0</v>
      </c>
      <c r="CF174" s="22">
        <f t="shared" ref="CF174:CG174" si="1413">SUM(CF168:CF173)</f>
        <v>6528.7000000000007</v>
      </c>
      <c r="CG174" s="22">
        <f t="shared" si="1413"/>
        <v>5812.1072108908984</v>
      </c>
      <c r="CH174" s="22">
        <f t="shared" ref="CH174:CI174" si="1414">SUM(CH168:CH173)</f>
        <v>5488.7999999999993</v>
      </c>
      <c r="CI174" s="22">
        <f t="shared" si="1414"/>
        <v>5211.6586751795676</v>
      </c>
      <c r="CJ174" s="22">
        <f t="shared" ref="CJ174:DB174" si="1415">SUM(CJ168:CJ173)</f>
        <v>5392</v>
      </c>
      <c r="CK174" s="22">
        <f t="shared" si="1415"/>
        <v>3894.4599916846205</v>
      </c>
      <c r="CL174" s="22">
        <f t="shared" ref="CL174" si="1416">SUM(CL168:CL173)</f>
        <v>6150.3</v>
      </c>
      <c r="CM174" s="21">
        <f t="shared" si="1415"/>
        <v>5946.345284192088</v>
      </c>
      <c r="CN174" s="21">
        <f t="shared" si="1415"/>
        <v>8774.8335518574095</v>
      </c>
      <c r="CO174" s="21">
        <f t="shared" si="1415"/>
        <v>6356.5586429899777</v>
      </c>
      <c r="CP174" s="21">
        <f t="shared" si="1415"/>
        <v>7928.011637042785</v>
      </c>
      <c r="CQ174" s="21">
        <f t="shared" si="1415"/>
        <v>6612.4230166051857</v>
      </c>
      <c r="CR174" s="21">
        <f t="shared" si="1415"/>
        <v>9666.3000060527484</v>
      </c>
      <c r="CS174" s="21">
        <f t="shared" si="1415"/>
        <v>7572.6816318901037</v>
      </c>
      <c r="CT174" s="21">
        <f t="shared" si="1415"/>
        <v>9322.6128553626932</v>
      </c>
      <c r="CU174" s="21">
        <f t="shared" si="1415"/>
        <v>7691.3301661358</v>
      </c>
      <c r="CV174" s="21">
        <f t="shared" si="1415"/>
        <v>11304.352020695987</v>
      </c>
      <c r="CW174" s="21">
        <f t="shared" si="1415"/>
        <v>8914.4326815445584</v>
      </c>
      <c r="CX174" s="21">
        <f t="shared" si="1415"/>
        <v>10917.687969746868</v>
      </c>
      <c r="CY174" s="21">
        <f t="shared" si="1415"/>
        <v>9001.3421645310791</v>
      </c>
      <c r="CZ174" s="21">
        <f t="shared" si="1415"/>
        <v>13233.499695944911</v>
      </c>
      <c r="DA174" s="21">
        <f t="shared" si="1415"/>
        <v>10469.547871419505</v>
      </c>
      <c r="DB174" s="21">
        <f t="shared" si="1415"/>
        <v>12788.242253644517</v>
      </c>
      <c r="DC174" s="21">
        <f t="shared" ref="DC174:DD174" si="1417">SUM(DC168:DC173)</f>
        <v>10548.467193260818</v>
      </c>
      <c r="DD174" s="21">
        <f t="shared" si="1417"/>
        <v>15493.916349230349</v>
      </c>
      <c r="DE174" s="126"/>
      <c r="DF174" s="22">
        <v>5488.7999999999993</v>
      </c>
    </row>
    <row r="175" spans="1:110" s="23" customFormat="1" outlineLevel="1" x14ac:dyDescent="0.2">
      <c r="A175" s="23" t="s">
        <v>66</v>
      </c>
      <c r="B175" s="23">
        <f>'Annual Raw'!C50+'Annual Raw'!C58</f>
        <v>0</v>
      </c>
      <c r="C175" s="23">
        <f>'Annual Raw'!D50+'Annual Raw'!D58</f>
        <v>0</v>
      </c>
      <c r="D175" s="23">
        <f>'Annual Raw'!E50+'Annual Raw'!E58</f>
        <v>0</v>
      </c>
      <c r="E175" s="23">
        <f>'Annual Raw'!F50+'Annual Raw'!F58</f>
        <v>0</v>
      </c>
      <c r="F175" s="23">
        <f>'Annual Raw'!G50+'Annual Raw'!G58</f>
        <v>0</v>
      </c>
      <c r="G175" s="23">
        <f>'Annual Raw'!H50+'Annual Raw'!H58</f>
        <v>0</v>
      </c>
      <c r="H175" s="23">
        <f>'Annual Raw'!I50+'Annual Raw'!I58</f>
        <v>0</v>
      </c>
      <c r="I175" s="23">
        <f>'Annual Raw'!J50+'Annual Raw'!J58</f>
        <v>0</v>
      </c>
      <c r="J175" s="23">
        <f>'Annual Raw'!K50+'Annual Raw'!K58</f>
        <v>0</v>
      </c>
      <c r="K175" s="23">
        <f>'Annual Raw'!L50+'Annual Raw'!L58</f>
        <v>0</v>
      </c>
      <c r="L175" s="23">
        <f>'Annual Raw'!M50+'Annual Raw'!M58</f>
        <v>0</v>
      </c>
      <c r="M175" s="23">
        <f>'Annual Raw'!N50+'Annual Raw'!N58</f>
        <v>0</v>
      </c>
      <c r="N175" s="23">
        <f>'Annual Raw'!O50+'Annual Raw'!O58</f>
        <v>0</v>
      </c>
      <c r="O175" s="23">
        <f>'Annual Raw'!P50+'Annual Raw'!P58</f>
        <v>0</v>
      </c>
      <c r="P175" s="23">
        <f>'Annual Raw'!Q50+'Annual Raw'!Q58</f>
        <v>0</v>
      </c>
      <c r="Q175" s="23">
        <f>'Annual Raw'!R50+'Annual Raw'!R58</f>
        <v>0</v>
      </c>
      <c r="R175" s="23">
        <f>'Annual Raw'!S50+'Annual Raw'!S58</f>
        <v>0</v>
      </c>
      <c r="S175" s="23">
        <f>'Annual Raw'!T50+'Annual Raw'!T58</f>
        <v>0</v>
      </c>
      <c r="T175" s="23">
        <f>'Annual Raw'!U50+'Annual Raw'!U58</f>
        <v>0</v>
      </c>
      <c r="U175" s="23">
        <f>'Annual Raw'!V50+'Annual Raw'!V58</f>
        <v>0</v>
      </c>
      <c r="V175" s="23">
        <f>'Annual Raw'!W50+'Annual Raw'!W58</f>
        <v>0</v>
      </c>
      <c r="W175" s="23">
        <f>'Annual Raw'!X50+'Annual Raw'!X58</f>
        <v>0</v>
      </c>
      <c r="X175" s="23">
        <f>'Annual Raw'!Y50+'Annual Raw'!Y58</f>
        <v>0</v>
      </c>
      <c r="Y175" s="23">
        <f>'Annual Raw'!Z50+'Annual Raw'!Z58</f>
        <v>118.6</v>
      </c>
      <c r="Z175" s="23">
        <f>'Annual Raw'!AA50+'Annual Raw'!AA58</f>
        <v>382.6</v>
      </c>
      <c r="AA175" s="74">
        <f t="shared" ref="AA175:AA181" si="1418">+CN175</f>
        <v>0</v>
      </c>
      <c r="AB175" s="74">
        <f t="shared" ref="AB175:AB181" si="1419">CR175</f>
        <v>0</v>
      </c>
      <c r="AC175" s="74">
        <f t="shared" ref="AC175:AC181" si="1420">CV175</f>
        <v>0</v>
      </c>
      <c r="AD175" s="74">
        <f t="shared" ref="AD175:AD181" si="1421">CZ175</f>
        <v>0</v>
      </c>
      <c r="AE175" s="74">
        <f t="shared" ref="AE175:AE181" si="1422">DD175</f>
        <v>0</v>
      </c>
      <c r="AJ175" s="23">
        <f>+'QTR Raw'!D64</f>
        <v>0</v>
      </c>
      <c r="AK175" s="23">
        <f t="shared" ref="AK175:CE181" si="1423">+AJ175</f>
        <v>0</v>
      </c>
      <c r="AL175" s="23">
        <f>+'QTR Raw'!F64</f>
        <v>0</v>
      </c>
      <c r="AM175" s="23">
        <f t="shared" si="1423"/>
        <v>0</v>
      </c>
      <c r="AN175" s="23">
        <f>+'QTR Raw'!H64</f>
        <v>0</v>
      </c>
      <c r="AO175" s="23">
        <f t="shared" si="1423"/>
        <v>0</v>
      </c>
      <c r="AP175" s="23">
        <f>+'QTR Raw'!J64</f>
        <v>0</v>
      </c>
      <c r="AQ175" s="23">
        <f t="shared" si="1423"/>
        <v>0</v>
      </c>
      <c r="AR175" s="23">
        <f>+'QTR Raw'!L64</f>
        <v>0</v>
      </c>
      <c r="AS175" s="23">
        <f t="shared" si="1423"/>
        <v>0</v>
      </c>
      <c r="AT175" s="23">
        <f>+'QTR Raw'!N64</f>
        <v>0</v>
      </c>
      <c r="AU175" s="23">
        <f t="shared" si="1423"/>
        <v>0</v>
      </c>
      <c r="AV175" s="23">
        <f>+'QTR Raw'!P64</f>
        <v>0</v>
      </c>
      <c r="AW175" s="23">
        <f t="shared" si="1423"/>
        <v>0</v>
      </c>
      <c r="AX175" s="23">
        <f>+'QTR Raw'!R64</f>
        <v>0</v>
      </c>
      <c r="AY175" s="23">
        <f t="shared" si="1423"/>
        <v>0</v>
      </c>
      <c r="AZ175" s="23">
        <f>+'QTR Raw'!T64</f>
        <v>0</v>
      </c>
      <c r="BA175" s="23">
        <f t="shared" si="1423"/>
        <v>0</v>
      </c>
      <c r="BB175" s="23">
        <f>+'QTR Raw'!V64</f>
        <v>0</v>
      </c>
      <c r="BC175" s="23">
        <f t="shared" si="1423"/>
        <v>0</v>
      </c>
      <c r="BD175" s="23">
        <f>+'QTR Raw'!X64</f>
        <v>0</v>
      </c>
      <c r="BE175" s="23">
        <f t="shared" si="1423"/>
        <v>0</v>
      </c>
      <c r="BF175" s="23">
        <f>+'QTR Raw'!Z64</f>
        <v>0</v>
      </c>
      <c r="BG175" s="23">
        <f t="shared" si="1423"/>
        <v>0</v>
      </c>
      <c r="BH175" s="23">
        <f>+'QTR Raw'!AB64</f>
        <v>0</v>
      </c>
      <c r="BI175" s="23">
        <f t="shared" si="1423"/>
        <v>0</v>
      </c>
      <c r="BJ175" s="23">
        <f>+'QTR Raw'!AD64</f>
        <v>0</v>
      </c>
      <c r="BK175" s="23">
        <f t="shared" si="1423"/>
        <v>0</v>
      </c>
      <c r="BL175" s="23">
        <f>+'QTR Raw'!AF64</f>
        <v>0</v>
      </c>
      <c r="BM175" s="23">
        <f t="shared" si="1423"/>
        <v>0</v>
      </c>
      <c r="BN175" s="23">
        <f>+'QTR Raw'!AH64</f>
        <v>0</v>
      </c>
      <c r="BO175" s="23">
        <f t="shared" si="1423"/>
        <v>0</v>
      </c>
      <c r="BP175" s="23">
        <f>+'QTR Raw'!AJ64</f>
        <v>0</v>
      </c>
      <c r="BQ175" s="23">
        <f t="shared" si="1423"/>
        <v>0</v>
      </c>
      <c r="BR175" s="23">
        <f>+'QTR Raw'!AL64</f>
        <v>0</v>
      </c>
      <c r="BS175" s="23">
        <f t="shared" si="1423"/>
        <v>0</v>
      </c>
      <c r="BT175" s="23">
        <f>+'QTR Raw'!AN64</f>
        <v>0</v>
      </c>
      <c r="BU175" s="23">
        <f t="shared" si="1423"/>
        <v>0</v>
      </c>
      <c r="BV175" s="23">
        <f>+'QTR Raw'!AP64</f>
        <v>0</v>
      </c>
      <c r="BW175" s="23">
        <f t="shared" si="1423"/>
        <v>0</v>
      </c>
      <c r="BX175" s="23">
        <f>+'QTR Raw'!AR64</f>
        <v>0</v>
      </c>
      <c r="BY175" s="23">
        <f t="shared" si="1423"/>
        <v>0</v>
      </c>
      <c r="BZ175" s="23">
        <f>+'QTR Raw'!AT64</f>
        <v>0</v>
      </c>
      <c r="CA175" s="23">
        <f t="shared" si="1423"/>
        <v>0</v>
      </c>
      <c r="CB175" s="23">
        <f>+'QTR Raw'!AV64</f>
        <v>0</v>
      </c>
      <c r="CC175" s="23">
        <f t="shared" si="1423"/>
        <v>0</v>
      </c>
      <c r="CD175" s="23">
        <f>+'QTR Raw'!AX64</f>
        <v>0</v>
      </c>
      <c r="CE175" s="23">
        <f t="shared" si="1423"/>
        <v>0</v>
      </c>
      <c r="CF175" s="23">
        <f>+'QTR Raw'!AZ64</f>
        <v>118.6</v>
      </c>
      <c r="CG175" s="23">
        <f t="shared" ref="CG175:CG178" si="1424">+CF175</f>
        <v>118.6</v>
      </c>
      <c r="CH175" s="23">
        <f t="shared" si="1374"/>
        <v>382.6</v>
      </c>
      <c r="CJ175" s="23">
        <f>+'QTR Raw'!BD64</f>
        <v>382.6</v>
      </c>
      <c r="CL175" s="23">
        <f>+'QTR Raw'!BF64</f>
        <v>540.1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123"/>
      <c r="DF175" s="23">
        <v>382.6</v>
      </c>
    </row>
    <row r="176" spans="1:110" s="23" customFormat="1" outlineLevel="1" x14ac:dyDescent="0.2">
      <c r="A176" s="23" t="s">
        <v>67</v>
      </c>
      <c r="B176" s="23">
        <f>'Annual Raw'!C51</f>
        <v>0</v>
      </c>
      <c r="C176" s="23">
        <f>'Annual Raw'!D51</f>
        <v>0</v>
      </c>
      <c r="D176" s="23">
        <f>'Annual Raw'!E51</f>
        <v>0</v>
      </c>
      <c r="E176" s="23">
        <f>'Annual Raw'!F51</f>
        <v>0</v>
      </c>
      <c r="F176" s="23">
        <f>'Annual Raw'!G51</f>
        <v>0</v>
      </c>
      <c r="G176" s="23">
        <f>'Annual Raw'!H51</f>
        <v>0</v>
      </c>
      <c r="H176" s="23">
        <f>'Annual Raw'!I51</f>
        <v>0</v>
      </c>
      <c r="I176" s="23">
        <f>'Annual Raw'!J51</f>
        <v>0</v>
      </c>
      <c r="J176" s="23">
        <f>'Annual Raw'!K51</f>
        <v>0</v>
      </c>
      <c r="K176" s="23">
        <f>'Annual Raw'!L51</f>
        <v>0</v>
      </c>
      <c r="L176" s="23">
        <f>'Annual Raw'!M51</f>
        <v>0</v>
      </c>
      <c r="M176" s="23">
        <f>'Annual Raw'!N51</f>
        <v>0</v>
      </c>
      <c r="N176" s="23">
        <f>'Annual Raw'!O51</f>
        <v>0</v>
      </c>
      <c r="O176" s="23">
        <f>'Annual Raw'!P51</f>
        <v>0</v>
      </c>
      <c r="P176" s="23">
        <f>'Annual Raw'!Q51</f>
        <v>0</v>
      </c>
      <c r="Q176" s="23">
        <f>'Annual Raw'!R51</f>
        <v>0</v>
      </c>
      <c r="R176" s="23">
        <f>'Annual Raw'!S51</f>
        <v>0</v>
      </c>
      <c r="S176" s="23">
        <f>'Annual Raw'!T51</f>
        <v>0</v>
      </c>
      <c r="T176" s="23">
        <f>'Annual Raw'!U51</f>
        <v>0</v>
      </c>
      <c r="U176" s="23">
        <f>'Annual Raw'!V51</f>
        <v>0</v>
      </c>
      <c r="V176" s="23">
        <f>'Annual Raw'!W51</f>
        <v>0</v>
      </c>
      <c r="W176" s="23">
        <f>'Annual Raw'!X51</f>
        <v>0</v>
      </c>
      <c r="X176" s="23">
        <f>'Annual Raw'!Y51</f>
        <v>0</v>
      </c>
      <c r="Y176" s="23">
        <f>'Annual Raw'!Z51</f>
        <v>3.6</v>
      </c>
      <c r="Z176" s="23">
        <f>'Annual Raw'!AA51</f>
        <v>0.1</v>
      </c>
      <c r="AA176" s="74">
        <f t="shared" si="1418"/>
        <v>0</v>
      </c>
      <c r="AB176" s="74">
        <f t="shared" si="1419"/>
        <v>0</v>
      </c>
      <c r="AC176" s="74">
        <f t="shared" si="1420"/>
        <v>0</v>
      </c>
      <c r="AD176" s="74">
        <f t="shared" si="1421"/>
        <v>0</v>
      </c>
      <c r="AE176" s="74">
        <f t="shared" si="1422"/>
        <v>0</v>
      </c>
      <c r="AJ176" s="23">
        <f>+'QTR Raw'!D65</f>
        <v>0</v>
      </c>
      <c r="AK176" s="23">
        <f t="shared" si="1423"/>
        <v>0</v>
      </c>
      <c r="AL176" s="23">
        <f>+'QTR Raw'!F65</f>
        <v>0</v>
      </c>
      <c r="AM176" s="23">
        <f t="shared" si="1423"/>
        <v>0</v>
      </c>
      <c r="AN176" s="23">
        <f>+'QTR Raw'!H65</f>
        <v>0</v>
      </c>
      <c r="AO176" s="23">
        <f t="shared" si="1423"/>
        <v>0</v>
      </c>
      <c r="AP176" s="23">
        <f>+'QTR Raw'!J65</f>
        <v>0</v>
      </c>
      <c r="AQ176" s="23">
        <f t="shared" si="1423"/>
        <v>0</v>
      </c>
      <c r="AR176" s="23">
        <f>+'QTR Raw'!L65</f>
        <v>0</v>
      </c>
      <c r="AS176" s="23">
        <f t="shared" si="1423"/>
        <v>0</v>
      </c>
      <c r="AT176" s="23">
        <f>+'QTR Raw'!N65</f>
        <v>0</v>
      </c>
      <c r="AU176" s="23">
        <f t="shared" si="1423"/>
        <v>0</v>
      </c>
      <c r="AV176" s="23">
        <f>+'QTR Raw'!P65</f>
        <v>0</v>
      </c>
      <c r="AW176" s="23">
        <f t="shared" si="1423"/>
        <v>0</v>
      </c>
      <c r="AX176" s="23">
        <f>+'QTR Raw'!R65</f>
        <v>0</v>
      </c>
      <c r="AY176" s="23">
        <f t="shared" si="1423"/>
        <v>0</v>
      </c>
      <c r="AZ176" s="23">
        <f>+'QTR Raw'!T65</f>
        <v>0</v>
      </c>
      <c r="BA176" s="23">
        <f t="shared" si="1423"/>
        <v>0</v>
      </c>
      <c r="BB176" s="23">
        <f>+'QTR Raw'!V65</f>
        <v>0</v>
      </c>
      <c r="BC176" s="23">
        <f t="shared" si="1423"/>
        <v>0</v>
      </c>
      <c r="BD176" s="23">
        <f>+'QTR Raw'!X65</f>
        <v>0</v>
      </c>
      <c r="BE176" s="23">
        <f t="shared" si="1423"/>
        <v>0</v>
      </c>
      <c r="BF176" s="23">
        <f>+'QTR Raw'!Z65</f>
        <v>0</v>
      </c>
      <c r="BG176" s="23">
        <f t="shared" si="1423"/>
        <v>0</v>
      </c>
      <c r="BH176" s="23">
        <f>+'QTR Raw'!AB65</f>
        <v>0</v>
      </c>
      <c r="BI176" s="23">
        <f t="shared" si="1423"/>
        <v>0</v>
      </c>
      <c r="BJ176" s="23">
        <f>+'QTR Raw'!AD65</f>
        <v>0</v>
      </c>
      <c r="BK176" s="23">
        <f t="shared" si="1423"/>
        <v>0</v>
      </c>
      <c r="BL176" s="23">
        <f>+'QTR Raw'!AF65</f>
        <v>0</v>
      </c>
      <c r="BM176" s="23">
        <f t="shared" si="1423"/>
        <v>0</v>
      </c>
      <c r="BN176" s="23">
        <f>+'QTR Raw'!AH65</f>
        <v>0</v>
      </c>
      <c r="BO176" s="23">
        <f t="shared" si="1423"/>
        <v>0</v>
      </c>
      <c r="BP176" s="23">
        <f>+'QTR Raw'!AJ65</f>
        <v>0</v>
      </c>
      <c r="BQ176" s="23">
        <f t="shared" si="1423"/>
        <v>0</v>
      </c>
      <c r="BR176" s="23">
        <f>+'QTR Raw'!AL65</f>
        <v>0</v>
      </c>
      <c r="BS176" s="23">
        <f t="shared" si="1423"/>
        <v>0</v>
      </c>
      <c r="BT176" s="23">
        <f>+'QTR Raw'!AN65</f>
        <v>0</v>
      </c>
      <c r="BU176" s="23">
        <f t="shared" si="1423"/>
        <v>0</v>
      </c>
      <c r="BV176" s="23">
        <f>+'QTR Raw'!AP65</f>
        <v>0</v>
      </c>
      <c r="BW176" s="23">
        <f t="shared" si="1423"/>
        <v>0</v>
      </c>
      <c r="BX176" s="23">
        <f>+'QTR Raw'!AR65</f>
        <v>0</v>
      </c>
      <c r="BY176" s="23">
        <f t="shared" si="1423"/>
        <v>0</v>
      </c>
      <c r="BZ176" s="23">
        <f>+'QTR Raw'!AT65</f>
        <v>0</v>
      </c>
      <c r="CA176" s="23">
        <f t="shared" si="1423"/>
        <v>0</v>
      </c>
      <c r="CB176" s="23">
        <f>+'QTR Raw'!AV65</f>
        <v>0</v>
      </c>
      <c r="CC176" s="23">
        <f t="shared" si="1423"/>
        <v>0</v>
      </c>
      <c r="CD176" s="23">
        <f>+'QTR Raw'!AX65</f>
        <v>0</v>
      </c>
      <c r="CE176" s="23">
        <f t="shared" si="1423"/>
        <v>0</v>
      </c>
      <c r="CF176" s="23">
        <f>+'QTR Raw'!AZ65</f>
        <v>3.6</v>
      </c>
      <c r="CG176" s="23">
        <f t="shared" si="1424"/>
        <v>3.6</v>
      </c>
      <c r="CH176" s="23">
        <f t="shared" si="1374"/>
        <v>0.1</v>
      </c>
      <c r="CJ176" s="23">
        <f>+'QTR Raw'!BD65</f>
        <v>0.1</v>
      </c>
      <c r="CL176" s="23">
        <f>+'QTR Raw'!BF65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123"/>
      <c r="DF176" s="23">
        <v>0.1</v>
      </c>
    </row>
    <row r="177" spans="1:110" s="23" customFormat="1" outlineLevel="1" x14ac:dyDescent="0.2">
      <c r="A177" s="23" t="s">
        <v>68</v>
      </c>
      <c r="B177" s="23">
        <f>'Annual Raw'!C52</f>
        <v>0</v>
      </c>
      <c r="C177" s="23">
        <f>'Annual Raw'!D52</f>
        <v>0</v>
      </c>
      <c r="D177" s="23">
        <f>'Annual Raw'!E52</f>
        <v>0</v>
      </c>
      <c r="E177" s="23">
        <f>'Annual Raw'!F52</f>
        <v>0</v>
      </c>
      <c r="F177" s="23">
        <f>'Annual Raw'!G52</f>
        <v>0</v>
      </c>
      <c r="G177" s="23">
        <f>'Annual Raw'!H52</f>
        <v>0</v>
      </c>
      <c r="H177" s="23">
        <f>'Annual Raw'!I52</f>
        <v>0</v>
      </c>
      <c r="I177" s="23">
        <f>'Annual Raw'!J52</f>
        <v>0</v>
      </c>
      <c r="J177" s="23">
        <f>'Annual Raw'!K52</f>
        <v>0</v>
      </c>
      <c r="K177" s="23">
        <f>'Annual Raw'!L52</f>
        <v>0</v>
      </c>
      <c r="L177" s="23">
        <f>'Annual Raw'!M52</f>
        <v>0</v>
      </c>
      <c r="M177" s="23">
        <f>'Annual Raw'!N52</f>
        <v>0</v>
      </c>
      <c r="N177" s="23">
        <f>'Annual Raw'!O52</f>
        <v>0</v>
      </c>
      <c r="O177" s="23">
        <f>'Annual Raw'!P52</f>
        <v>0</v>
      </c>
      <c r="P177" s="23">
        <f>'Annual Raw'!Q52</f>
        <v>0</v>
      </c>
      <c r="Q177" s="23">
        <f>'Annual Raw'!R52</f>
        <v>0</v>
      </c>
      <c r="R177" s="23">
        <f>'Annual Raw'!S52</f>
        <v>0</v>
      </c>
      <c r="S177" s="23">
        <f>'Annual Raw'!T52</f>
        <v>0</v>
      </c>
      <c r="T177" s="23">
        <f>'Annual Raw'!U52</f>
        <v>0</v>
      </c>
      <c r="U177" s="23">
        <f>'Annual Raw'!V52</f>
        <v>0</v>
      </c>
      <c r="V177" s="23">
        <f>'Annual Raw'!W52</f>
        <v>0</v>
      </c>
      <c r="W177" s="23">
        <f>'Annual Raw'!X52</f>
        <v>0</v>
      </c>
      <c r="X177" s="23">
        <f>'Annual Raw'!Y52</f>
        <v>0</v>
      </c>
      <c r="Y177" s="23">
        <f>'Annual Raw'!Z52</f>
        <v>445.2</v>
      </c>
      <c r="Z177" s="23">
        <f>'Annual Raw'!AA52</f>
        <v>422.1</v>
      </c>
      <c r="AA177" s="74">
        <f t="shared" si="1418"/>
        <v>0</v>
      </c>
      <c r="AB177" s="74">
        <f t="shared" si="1419"/>
        <v>0</v>
      </c>
      <c r="AC177" s="74">
        <f t="shared" si="1420"/>
        <v>0</v>
      </c>
      <c r="AD177" s="74">
        <f t="shared" si="1421"/>
        <v>0</v>
      </c>
      <c r="AE177" s="74">
        <f t="shared" si="1422"/>
        <v>0</v>
      </c>
      <c r="AJ177" s="23">
        <f>+'QTR Raw'!D66</f>
        <v>0</v>
      </c>
      <c r="AK177" s="23">
        <f t="shared" si="1423"/>
        <v>0</v>
      </c>
      <c r="AL177" s="23">
        <f>+'QTR Raw'!F66</f>
        <v>0</v>
      </c>
      <c r="AM177" s="23">
        <f t="shared" si="1423"/>
        <v>0</v>
      </c>
      <c r="AN177" s="23">
        <f>+'QTR Raw'!H66</f>
        <v>0</v>
      </c>
      <c r="AO177" s="23">
        <f t="shared" si="1423"/>
        <v>0</v>
      </c>
      <c r="AP177" s="23">
        <f>+'QTR Raw'!J66</f>
        <v>0</v>
      </c>
      <c r="AQ177" s="23">
        <f t="shared" si="1423"/>
        <v>0</v>
      </c>
      <c r="AR177" s="23">
        <f>+'QTR Raw'!L66</f>
        <v>0</v>
      </c>
      <c r="AS177" s="23">
        <f t="shared" si="1423"/>
        <v>0</v>
      </c>
      <c r="AT177" s="23">
        <f>+'QTR Raw'!N66</f>
        <v>0</v>
      </c>
      <c r="AU177" s="23">
        <f t="shared" si="1423"/>
        <v>0</v>
      </c>
      <c r="AV177" s="23">
        <f>+'QTR Raw'!P66</f>
        <v>0</v>
      </c>
      <c r="AW177" s="23">
        <f t="shared" si="1423"/>
        <v>0</v>
      </c>
      <c r="AX177" s="23">
        <f>+'QTR Raw'!R66</f>
        <v>0</v>
      </c>
      <c r="AY177" s="23">
        <f t="shared" si="1423"/>
        <v>0</v>
      </c>
      <c r="AZ177" s="23">
        <f>+'QTR Raw'!T66</f>
        <v>0</v>
      </c>
      <c r="BA177" s="23">
        <f t="shared" si="1423"/>
        <v>0</v>
      </c>
      <c r="BB177" s="23">
        <f>+'QTR Raw'!V66</f>
        <v>0</v>
      </c>
      <c r="BC177" s="23">
        <f t="shared" si="1423"/>
        <v>0</v>
      </c>
      <c r="BD177" s="23">
        <f>+'QTR Raw'!X66</f>
        <v>0</v>
      </c>
      <c r="BE177" s="23">
        <f t="shared" si="1423"/>
        <v>0</v>
      </c>
      <c r="BF177" s="23">
        <f>+'QTR Raw'!Z66</f>
        <v>0</v>
      </c>
      <c r="BG177" s="23">
        <f t="shared" si="1423"/>
        <v>0</v>
      </c>
      <c r="BH177" s="23">
        <f>+'QTR Raw'!AB66</f>
        <v>0</v>
      </c>
      <c r="BI177" s="23">
        <f t="shared" si="1423"/>
        <v>0</v>
      </c>
      <c r="BJ177" s="23">
        <f>+'QTR Raw'!AD66</f>
        <v>0</v>
      </c>
      <c r="BK177" s="23">
        <f t="shared" si="1423"/>
        <v>0</v>
      </c>
      <c r="BL177" s="23">
        <f>+'QTR Raw'!AF66</f>
        <v>0</v>
      </c>
      <c r="BM177" s="23">
        <f t="shared" si="1423"/>
        <v>0</v>
      </c>
      <c r="BN177" s="23">
        <f>+'QTR Raw'!AH66</f>
        <v>0</v>
      </c>
      <c r="BO177" s="23">
        <f t="shared" si="1423"/>
        <v>0</v>
      </c>
      <c r="BP177" s="23">
        <f>+'QTR Raw'!AJ66</f>
        <v>0</v>
      </c>
      <c r="BQ177" s="23">
        <f t="shared" si="1423"/>
        <v>0</v>
      </c>
      <c r="BR177" s="23">
        <f>+'QTR Raw'!AL66</f>
        <v>0</v>
      </c>
      <c r="BS177" s="23">
        <f t="shared" si="1423"/>
        <v>0</v>
      </c>
      <c r="BT177" s="23">
        <f>+'QTR Raw'!AN66</f>
        <v>0</v>
      </c>
      <c r="BU177" s="23">
        <f t="shared" si="1423"/>
        <v>0</v>
      </c>
      <c r="BV177" s="23">
        <f>+'QTR Raw'!AP66</f>
        <v>0</v>
      </c>
      <c r="BW177" s="23">
        <f t="shared" si="1423"/>
        <v>0</v>
      </c>
      <c r="BX177" s="23">
        <f>+'QTR Raw'!AR66</f>
        <v>0</v>
      </c>
      <c r="BY177" s="23">
        <f t="shared" si="1423"/>
        <v>0</v>
      </c>
      <c r="BZ177" s="23">
        <f>+'QTR Raw'!AT66</f>
        <v>0</v>
      </c>
      <c r="CA177" s="23">
        <f t="shared" si="1423"/>
        <v>0</v>
      </c>
      <c r="CB177" s="23">
        <f>+'QTR Raw'!AV66</f>
        <v>0</v>
      </c>
      <c r="CC177" s="23">
        <f t="shared" si="1423"/>
        <v>0</v>
      </c>
      <c r="CD177" s="23">
        <f>+'QTR Raw'!AX66</f>
        <v>0</v>
      </c>
      <c r="CE177" s="23">
        <f t="shared" si="1423"/>
        <v>0</v>
      </c>
      <c r="CF177" s="23">
        <f>+'QTR Raw'!AZ66</f>
        <v>445.2</v>
      </c>
      <c r="CG177" s="23">
        <f t="shared" si="1424"/>
        <v>445.2</v>
      </c>
      <c r="CH177" s="23">
        <f t="shared" si="1374"/>
        <v>422.1</v>
      </c>
      <c r="CJ177" s="23">
        <f>+'QTR Raw'!BD66</f>
        <v>422.1</v>
      </c>
      <c r="CL177" s="23">
        <f>+'QTR Raw'!BF66</f>
        <v>465.6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123"/>
      <c r="DF177" s="23">
        <v>422.1</v>
      </c>
    </row>
    <row r="178" spans="1:110" s="23" customFormat="1" outlineLevel="1" x14ac:dyDescent="0.2">
      <c r="A178" s="23" t="s">
        <v>69</v>
      </c>
      <c r="B178" s="23">
        <v>0</v>
      </c>
      <c r="C178" s="23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74">
        <f t="shared" si="1418"/>
        <v>4560.1227579868719</v>
      </c>
      <c r="AB178" s="74">
        <f t="shared" si="1419"/>
        <v>5023.4017981798934</v>
      </c>
      <c r="AC178" s="74">
        <f t="shared" si="1420"/>
        <v>5874.6678907611858</v>
      </c>
      <c r="AD178" s="74">
        <f t="shared" si="1421"/>
        <v>6877.2111487535785</v>
      </c>
      <c r="AE178" s="74">
        <f t="shared" si="1422"/>
        <v>8051.908920769727</v>
      </c>
      <c r="AJ178" s="23">
        <f>+'QTR Raw'!D87</f>
        <v>0</v>
      </c>
      <c r="AK178" s="23">
        <f t="shared" si="1423"/>
        <v>0</v>
      </c>
      <c r="AL178" s="23">
        <f>+'QTR Raw'!F87</f>
        <v>0</v>
      </c>
      <c r="AM178" s="23">
        <f t="shared" si="1423"/>
        <v>0</v>
      </c>
      <c r="AN178" s="23">
        <f>+'QTR Raw'!H87</f>
        <v>0</v>
      </c>
      <c r="AO178" s="23">
        <f t="shared" si="1423"/>
        <v>0</v>
      </c>
      <c r="AP178" s="23">
        <f>+'QTR Raw'!J87</f>
        <v>0</v>
      </c>
      <c r="AQ178" s="23">
        <f t="shared" si="1423"/>
        <v>0</v>
      </c>
      <c r="AR178" s="23">
        <f>+'QTR Raw'!L87</f>
        <v>0</v>
      </c>
      <c r="AS178" s="23">
        <f t="shared" si="1423"/>
        <v>0</v>
      </c>
      <c r="AT178" s="23">
        <f>+'QTR Raw'!N87</f>
        <v>0</v>
      </c>
      <c r="AU178" s="23">
        <f t="shared" si="1423"/>
        <v>0</v>
      </c>
      <c r="AV178" s="23">
        <f>+'QTR Raw'!P87</f>
        <v>0</v>
      </c>
      <c r="AW178" s="23">
        <f t="shared" si="1423"/>
        <v>0</v>
      </c>
      <c r="AX178" s="23">
        <f>+'QTR Raw'!R87</f>
        <v>0</v>
      </c>
      <c r="AY178" s="23">
        <f t="shared" si="1423"/>
        <v>0</v>
      </c>
      <c r="AZ178" s="23">
        <f>+'QTR Raw'!T87</f>
        <v>0</v>
      </c>
      <c r="BA178" s="23">
        <f t="shared" si="1423"/>
        <v>0</v>
      </c>
      <c r="BB178" s="23">
        <f>+'QTR Raw'!V87</f>
        <v>0</v>
      </c>
      <c r="BC178" s="23">
        <f t="shared" si="1423"/>
        <v>0</v>
      </c>
      <c r="BD178" s="23">
        <f>+'QTR Raw'!X87</f>
        <v>0</v>
      </c>
      <c r="BE178" s="23">
        <f t="shared" si="1423"/>
        <v>0</v>
      </c>
      <c r="BF178" s="23">
        <f>+'QTR Raw'!Z87</f>
        <v>0</v>
      </c>
      <c r="BG178" s="23">
        <f t="shared" si="1423"/>
        <v>0</v>
      </c>
      <c r="BH178" s="23">
        <f>+'QTR Raw'!AB87</f>
        <v>0</v>
      </c>
      <c r="BI178" s="23">
        <f t="shared" si="1423"/>
        <v>0</v>
      </c>
      <c r="BJ178" s="23">
        <f>+'QTR Raw'!AD87</f>
        <v>0</v>
      </c>
      <c r="BK178" s="23">
        <f t="shared" si="1423"/>
        <v>0</v>
      </c>
      <c r="BL178" s="23">
        <f>+'QTR Raw'!AF87</f>
        <v>0</v>
      </c>
      <c r="BM178" s="23">
        <f t="shared" si="1423"/>
        <v>0</v>
      </c>
      <c r="BN178" s="23">
        <f>+'QTR Raw'!AH87</f>
        <v>0</v>
      </c>
      <c r="BO178" s="23">
        <f t="shared" si="1423"/>
        <v>0</v>
      </c>
      <c r="BP178" s="23">
        <f>+'QTR Raw'!AJ87</f>
        <v>0</v>
      </c>
      <c r="BQ178" s="23">
        <f t="shared" si="1423"/>
        <v>0</v>
      </c>
      <c r="BR178" s="23">
        <f>+'QTR Raw'!AL87</f>
        <v>0</v>
      </c>
      <c r="BS178" s="23">
        <f t="shared" si="1423"/>
        <v>0</v>
      </c>
      <c r="BT178" s="23">
        <f>+'QTR Raw'!AN87</f>
        <v>0</v>
      </c>
      <c r="BU178" s="23">
        <f t="shared" si="1423"/>
        <v>0</v>
      </c>
      <c r="BV178" s="23">
        <f>+'QTR Raw'!AP87</f>
        <v>0</v>
      </c>
      <c r="BW178" s="23">
        <f t="shared" si="1423"/>
        <v>0</v>
      </c>
      <c r="BX178" s="23">
        <f>+'QTR Raw'!AR87</f>
        <v>0</v>
      </c>
      <c r="BY178" s="23">
        <f t="shared" si="1423"/>
        <v>0</v>
      </c>
      <c r="BZ178" s="23">
        <f>+'QTR Raw'!AT87</f>
        <v>0</v>
      </c>
      <c r="CA178" s="23">
        <f t="shared" si="1423"/>
        <v>0</v>
      </c>
      <c r="CB178" s="23">
        <f>+'QTR Raw'!AV87</f>
        <v>0</v>
      </c>
      <c r="CC178" s="23">
        <f t="shared" si="1423"/>
        <v>0</v>
      </c>
      <c r="CD178" s="23">
        <f>+'QTR Raw'!AX87</f>
        <v>0</v>
      </c>
      <c r="CE178" s="23">
        <f t="shared" si="1423"/>
        <v>0</v>
      </c>
      <c r="CF178" s="23">
        <f>+'QTR Raw'!AZ87</f>
        <v>0</v>
      </c>
      <c r="CG178" s="23">
        <f t="shared" si="1424"/>
        <v>0</v>
      </c>
      <c r="CH178" s="23">
        <f t="shared" si="1374"/>
        <v>0</v>
      </c>
      <c r="CI178" s="23">
        <f>CI36/90*CI210</f>
        <v>2898.8474594306999</v>
      </c>
      <c r="CJ178" s="23">
        <f>+'QTR Raw'!BD87</f>
        <v>0</v>
      </c>
      <c r="CK178" s="23">
        <f t="shared" ref="CK178:DB178" si="1425">CK36/90*CK210</f>
        <v>2040.4023509846174</v>
      </c>
      <c r="CL178" s="23">
        <f>+'QTR Raw'!BF87</f>
        <v>0</v>
      </c>
      <c r="CM178" s="24">
        <f t="shared" si="1425"/>
        <v>3090.2084121644075</v>
      </c>
      <c r="CN178" s="24">
        <f t="shared" si="1425"/>
        <v>4560.1227579868719</v>
      </c>
      <c r="CO178" s="24">
        <f t="shared" si="1425"/>
        <v>3303.3888972447799</v>
      </c>
      <c r="CP178" s="24">
        <f t="shared" si="1425"/>
        <v>4120.0446798231224</v>
      </c>
      <c r="CQ178" s="24">
        <f t="shared" si="1425"/>
        <v>3436.3569981421228</v>
      </c>
      <c r="CR178" s="24">
        <f t="shared" si="1425"/>
        <v>5023.4017981798934</v>
      </c>
      <c r="CS178" s="24">
        <f t="shared" si="1425"/>
        <v>3935.3860839060135</v>
      </c>
      <c r="CT178" s="24">
        <f t="shared" si="1425"/>
        <v>4844.7937837683112</v>
      </c>
      <c r="CU178" s="24">
        <f t="shared" si="1425"/>
        <v>3997.0455875328439</v>
      </c>
      <c r="CV178" s="24">
        <f t="shared" si="1425"/>
        <v>5874.6678907611858</v>
      </c>
      <c r="CW178" s="24">
        <f t="shared" si="1425"/>
        <v>4632.6699082569503</v>
      </c>
      <c r="CX178" s="24">
        <f t="shared" si="1425"/>
        <v>5673.7255562988703</v>
      </c>
      <c r="CY178" s="24">
        <f t="shared" si="1425"/>
        <v>4677.835199303162</v>
      </c>
      <c r="CZ178" s="24">
        <f t="shared" si="1425"/>
        <v>6877.2111487535785</v>
      </c>
      <c r="DA178" s="24">
        <f t="shared" si="1425"/>
        <v>5440.8352286280387</v>
      </c>
      <c r="DB178" s="24">
        <f t="shared" si="1425"/>
        <v>6645.8188854362561</v>
      </c>
      <c r="DC178" s="24">
        <f t="shared" ref="DC178:DD178" si="1426">DC36/90*DC210</f>
        <v>5481.8481770157923</v>
      </c>
      <c r="DD178" s="24">
        <f t="shared" si="1426"/>
        <v>8051.908920769727</v>
      </c>
      <c r="DE178" s="123"/>
      <c r="DF178" s="23">
        <v>0</v>
      </c>
    </row>
    <row r="179" spans="1:110" s="23" customFormat="1" outlineLevel="1" x14ac:dyDescent="0.2">
      <c r="A179" s="23" t="s">
        <v>70</v>
      </c>
      <c r="B179" s="23">
        <f>'Annual Raw'!C54</f>
        <v>0</v>
      </c>
      <c r="C179" s="23">
        <f>'Annual Raw'!D54</f>
        <v>0</v>
      </c>
      <c r="D179" s="23">
        <f>'Annual Raw'!E54</f>
        <v>0</v>
      </c>
      <c r="E179" s="23">
        <f>'Annual Raw'!F54</f>
        <v>0</v>
      </c>
      <c r="F179" s="23">
        <f>'Annual Raw'!G54</f>
        <v>0</v>
      </c>
      <c r="G179" s="23">
        <f>'Annual Raw'!H54</f>
        <v>0</v>
      </c>
      <c r="H179" s="23">
        <f>'Annual Raw'!I54</f>
        <v>0</v>
      </c>
      <c r="I179" s="23">
        <f>'Annual Raw'!J54</f>
        <v>0</v>
      </c>
      <c r="J179" s="23">
        <f>'Annual Raw'!K54</f>
        <v>0</v>
      </c>
      <c r="K179" s="23">
        <f>'Annual Raw'!L54</f>
        <v>0</v>
      </c>
      <c r="L179" s="23">
        <f>'Annual Raw'!M54</f>
        <v>0</v>
      </c>
      <c r="M179" s="23">
        <f>'Annual Raw'!N54</f>
        <v>0</v>
      </c>
      <c r="N179" s="23">
        <f>'Annual Raw'!O54</f>
        <v>0</v>
      </c>
      <c r="O179" s="23">
        <f>'Annual Raw'!P54</f>
        <v>0</v>
      </c>
      <c r="P179" s="23">
        <f>'Annual Raw'!Q54</f>
        <v>0</v>
      </c>
      <c r="Q179" s="23">
        <f>'Annual Raw'!R54</f>
        <v>0</v>
      </c>
      <c r="R179" s="23">
        <f>'Annual Raw'!S54</f>
        <v>0</v>
      </c>
      <c r="S179" s="23">
        <f>'Annual Raw'!T54</f>
        <v>0</v>
      </c>
      <c r="T179" s="23">
        <f>'Annual Raw'!U54</f>
        <v>0</v>
      </c>
      <c r="U179" s="23">
        <f>'Annual Raw'!V54</f>
        <v>0</v>
      </c>
      <c r="V179" s="23">
        <f>'Annual Raw'!W54</f>
        <v>0</v>
      </c>
      <c r="W179" s="23">
        <f>'Annual Raw'!X54</f>
        <v>0</v>
      </c>
      <c r="X179" s="23">
        <f>'Annual Raw'!Y54</f>
        <v>0</v>
      </c>
      <c r="Y179" s="23">
        <f>'Annual Raw'!Z54</f>
        <v>1743.8</v>
      </c>
      <c r="Z179" s="23">
        <f>'Annual Raw'!AA54</f>
        <v>2338.9</v>
      </c>
      <c r="AA179" s="74">
        <f t="shared" si="1418"/>
        <v>3152.5083680770263</v>
      </c>
      <c r="AB179" s="74">
        <f t="shared" si="1419"/>
        <v>3472.782871302888</v>
      </c>
      <c r="AC179" s="74">
        <f t="shared" si="1420"/>
        <v>4061.2809496983646</v>
      </c>
      <c r="AD179" s="74">
        <f t="shared" si="1421"/>
        <v>4754.3601008340847</v>
      </c>
      <c r="AE179" s="74">
        <f t="shared" si="1422"/>
        <v>5566.4532730532464</v>
      </c>
      <c r="AJ179" s="23">
        <f>+'QTR Raw'!D89</f>
        <v>0</v>
      </c>
      <c r="AK179" s="23" t="e">
        <f>+AK209*AK36/90</f>
        <v>#DIV/0!</v>
      </c>
      <c r="AL179" s="23">
        <f>+'QTR Raw'!F89</f>
        <v>0</v>
      </c>
      <c r="AM179" s="23" t="e">
        <f>+AM209*AM36/90</f>
        <v>#DIV/0!</v>
      </c>
      <c r="AN179" s="23">
        <f>+'QTR Raw'!H89</f>
        <v>0</v>
      </c>
      <c r="AO179" s="23" t="e">
        <f>+AO209*AO36/90</f>
        <v>#DIV/0!</v>
      </c>
      <c r="AP179" s="23">
        <f>+'QTR Raw'!J89</f>
        <v>0</v>
      </c>
      <c r="AQ179" s="23" t="e">
        <f>+AQ209*AQ36/90</f>
        <v>#DIV/0!</v>
      </c>
      <c r="AR179" s="23">
        <f>+'QTR Raw'!L89</f>
        <v>0</v>
      </c>
      <c r="AS179" s="23" t="e">
        <f>+AS209*AS36/90</f>
        <v>#DIV/0!</v>
      </c>
      <c r="AT179" s="23">
        <f>+'QTR Raw'!N89</f>
        <v>0</v>
      </c>
      <c r="AU179" s="23" t="e">
        <f>+AU209*AU36/90</f>
        <v>#DIV/0!</v>
      </c>
      <c r="AV179" s="23">
        <f>+'QTR Raw'!P89</f>
        <v>0</v>
      </c>
      <c r="AW179" s="23" t="e">
        <f>+AW209*AW36/90</f>
        <v>#DIV/0!</v>
      </c>
      <c r="AX179" s="23">
        <f>+'QTR Raw'!R89</f>
        <v>0</v>
      </c>
      <c r="AY179" s="23" t="e">
        <f>+AY209*AY36/90</f>
        <v>#DIV/0!</v>
      </c>
      <c r="AZ179" s="23">
        <f>+'QTR Raw'!T89</f>
        <v>0</v>
      </c>
      <c r="BA179" s="23" t="e">
        <f>+BA209*BA36/90</f>
        <v>#DIV/0!</v>
      </c>
      <c r="BB179" s="23">
        <f>+'QTR Raw'!V89</f>
        <v>0</v>
      </c>
      <c r="BC179" s="23" t="e">
        <f>+BC209*BC36/90</f>
        <v>#DIV/0!</v>
      </c>
      <c r="BD179" s="23">
        <f>+'QTR Raw'!X89</f>
        <v>0</v>
      </c>
      <c r="BE179" s="23" t="e">
        <f>+BE209*BE36/90</f>
        <v>#DIV/0!</v>
      </c>
      <c r="BF179" s="23">
        <f>+'QTR Raw'!Z89</f>
        <v>0</v>
      </c>
      <c r="BG179" s="23" t="e">
        <f>+BG209*BG36/90</f>
        <v>#DIV/0!</v>
      </c>
      <c r="BH179" s="23">
        <f>+'QTR Raw'!AB89</f>
        <v>0</v>
      </c>
      <c r="BI179" s="23" t="e">
        <f>+BI209*BI36/90</f>
        <v>#DIV/0!</v>
      </c>
      <c r="BJ179" s="23">
        <f>+'QTR Raw'!AD89</f>
        <v>0</v>
      </c>
      <c r="BK179" s="23" t="e">
        <f>+BK209*BK36/90</f>
        <v>#DIV/0!</v>
      </c>
      <c r="BL179" s="23">
        <f>+'QTR Raw'!AF89</f>
        <v>0</v>
      </c>
      <c r="BM179" s="23" t="e">
        <f>+BM209*BM36/90</f>
        <v>#DIV/0!</v>
      </c>
      <c r="BN179" s="23">
        <f>+'QTR Raw'!AH89</f>
        <v>0</v>
      </c>
      <c r="BO179" s="23" t="e">
        <f>+BO209*BO36/90</f>
        <v>#DIV/0!</v>
      </c>
      <c r="BP179" s="23">
        <f>+'QTR Raw'!AJ89</f>
        <v>0</v>
      </c>
      <c r="BQ179" s="23" t="e">
        <f>+BQ209*BQ36/90</f>
        <v>#DIV/0!</v>
      </c>
      <c r="BR179" s="23">
        <f>+'QTR Raw'!AL89</f>
        <v>0</v>
      </c>
      <c r="BS179" s="23" t="e">
        <f>+BS209*BS36/90</f>
        <v>#DIV/0!</v>
      </c>
      <c r="BT179" s="23">
        <f>+'QTR Raw'!AN89</f>
        <v>0</v>
      </c>
      <c r="BU179" s="23" t="e">
        <f>+BU209*BU36/90</f>
        <v>#DIV/0!</v>
      </c>
      <c r="BV179" s="23">
        <f>+'QTR Raw'!AP89</f>
        <v>0</v>
      </c>
      <c r="BW179" s="23" t="e">
        <f>+BW209*BW36/90</f>
        <v>#DIV/0!</v>
      </c>
      <c r="BX179" s="23">
        <f>+'QTR Raw'!AR89</f>
        <v>0</v>
      </c>
      <c r="BY179" s="23" t="e">
        <f>+BY209*BY36/90</f>
        <v>#DIV/0!</v>
      </c>
      <c r="BZ179" s="23">
        <f>+'QTR Raw'!AT89</f>
        <v>0</v>
      </c>
      <c r="CA179" s="23" t="e">
        <f>+CA209*CA36/90</f>
        <v>#DIV/0!</v>
      </c>
      <c r="CB179" s="23">
        <f>+'QTR Raw'!AV89</f>
        <v>0</v>
      </c>
      <c r="CC179" s="23" t="e">
        <f>+CC209*CC36/90</f>
        <v>#DIV/0!</v>
      </c>
      <c r="CD179" s="23">
        <f>+'QTR Raw'!AX89</f>
        <v>0</v>
      </c>
      <c r="CE179" s="23">
        <f>+CE209*CE36/90</f>
        <v>0</v>
      </c>
      <c r="CF179" s="23">
        <f>+'QTR Raw'!AZ89</f>
        <v>1743.8</v>
      </c>
      <c r="CG179" s="23">
        <f>+CG209*CG36/90</f>
        <v>1272.4505580142388</v>
      </c>
      <c r="CH179" s="23">
        <f t="shared" si="1374"/>
        <v>2338.9</v>
      </c>
      <c r="CI179" s="23">
        <f>+CI209*CI36/90</f>
        <v>2220.8039052939612</v>
      </c>
      <c r="CJ179" s="23">
        <f>+'QTR Raw'!BD89</f>
        <v>2338.9</v>
      </c>
      <c r="CK179" s="23">
        <f t="shared" ref="CK179:DB179" si="1427">+CK209*CK36/90</f>
        <v>1689.3086933514762</v>
      </c>
      <c r="CL179" s="23">
        <f>+'QTR Raw'!BF89</f>
        <v>2209.6</v>
      </c>
      <c r="CM179" s="24">
        <f t="shared" si="1427"/>
        <v>2136.3257954816572</v>
      </c>
      <c r="CN179" s="24">
        <f t="shared" si="1427"/>
        <v>3152.5083680770263</v>
      </c>
      <c r="CO179" s="24">
        <f t="shared" si="1427"/>
        <v>2283.7019295889068</v>
      </c>
      <c r="CP179" s="24">
        <f t="shared" si="1427"/>
        <v>2848.2731758141449</v>
      </c>
      <c r="CQ179" s="24">
        <f t="shared" si="1427"/>
        <v>2375.6255625726903</v>
      </c>
      <c r="CR179" s="24">
        <f t="shared" si="1427"/>
        <v>3472.782871302888</v>
      </c>
      <c r="CS179" s="24">
        <f t="shared" si="1427"/>
        <v>2720.6148210370829</v>
      </c>
      <c r="CT179" s="24">
        <f t="shared" si="1427"/>
        <v>3349.3074102416795</v>
      </c>
      <c r="CU179" s="24">
        <f t="shared" si="1427"/>
        <v>2763.2413272675581</v>
      </c>
      <c r="CV179" s="24">
        <f t="shared" si="1427"/>
        <v>4061.2809496983646</v>
      </c>
      <c r="CW179" s="24">
        <f t="shared" si="1427"/>
        <v>3202.6617324587178</v>
      </c>
      <c r="CX179" s="24">
        <f t="shared" si="1427"/>
        <v>3922.365305424561</v>
      </c>
      <c r="CY179" s="24">
        <f t="shared" si="1427"/>
        <v>3233.8854440836817</v>
      </c>
      <c r="CZ179" s="24">
        <f t="shared" si="1427"/>
        <v>4754.3601008340847</v>
      </c>
      <c r="DA179" s="24">
        <f t="shared" si="1427"/>
        <v>3761.3633443390627</v>
      </c>
      <c r="DB179" s="24">
        <f t="shared" si="1427"/>
        <v>4594.3937830110599</v>
      </c>
      <c r="DC179" s="24">
        <f t="shared" ref="DC179:DD179" si="1428">+DC209*DC36/90</f>
        <v>3789.7164545191454</v>
      </c>
      <c r="DD179" s="24">
        <f t="shared" si="1428"/>
        <v>5566.4532730532464</v>
      </c>
      <c r="DE179" s="123"/>
      <c r="DF179" s="23">
        <v>2338.9</v>
      </c>
    </row>
    <row r="180" spans="1:110" s="23" customFormat="1" outlineLevel="1" x14ac:dyDescent="0.2">
      <c r="A180" s="23" t="s">
        <v>71</v>
      </c>
      <c r="B180" s="23">
        <f>'Annual Raw'!C55-Template!B152</f>
        <v>0</v>
      </c>
      <c r="C180" s="23">
        <f>'Annual Raw'!D55-Template!C152</f>
        <v>0</v>
      </c>
      <c r="D180" s="23">
        <f>'Annual Raw'!E55-Template!D152</f>
        <v>0</v>
      </c>
      <c r="E180" s="23">
        <f>'Annual Raw'!F55-Template!E152</f>
        <v>0</v>
      </c>
      <c r="F180" s="23">
        <f>'Annual Raw'!G55-Template!F152</f>
        <v>0</v>
      </c>
      <c r="G180" s="23">
        <f>'Annual Raw'!H55-Template!G152</f>
        <v>0</v>
      </c>
      <c r="H180" s="23">
        <f>'Annual Raw'!I55-Template!H152</f>
        <v>0</v>
      </c>
      <c r="I180" s="23">
        <f>'Annual Raw'!J55-Template!I152</f>
        <v>0</v>
      </c>
      <c r="J180" s="23">
        <f>'Annual Raw'!K55-Template!J152</f>
        <v>0</v>
      </c>
      <c r="K180" s="23">
        <f>'Annual Raw'!L55-Template!K152</f>
        <v>0</v>
      </c>
      <c r="L180" s="23">
        <f>'Annual Raw'!M55-Template!L152</f>
        <v>0</v>
      </c>
      <c r="M180" s="23">
        <f>'Annual Raw'!N55-Template!M152</f>
        <v>0</v>
      </c>
      <c r="N180" s="23">
        <f>'Annual Raw'!O55-Template!N152</f>
        <v>0</v>
      </c>
      <c r="O180" s="23">
        <f>'Annual Raw'!P55-Template!O152</f>
        <v>0</v>
      </c>
      <c r="P180" s="23">
        <f>'Annual Raw'!Q55-Template!P152</f>
        <v>0</v>
      </c>
      <c r="Q180" s="23">
        <f>'Annual Raw'!R55-Template!Q152</f>
        <v>0</v>
      </c>
      <c r="R180" s="23">
        <f>'Annual Raw'!S55-Template!R152</f>
        <v>0</v>
      </c>
      <c r="S180" s="23">
        <f>'Annual Raw'!T55-Template!S152</f>
        <v>0</v>
      </c>
      <c r="T180" s="23">
        <f>'Annual Raw'!U55-Template!T152</f>
        <v>0</v>
      </c>
      <c r="U180" s="23">
        <f>'Annual Raw'!V55-Template!U152</f>
        <v>0</v>
      </c>
      <c r="V180" s="23">
        <f>'Annual Raw'!W55-Template!V152</f>
        <v>0</v>
      </c>
      <c r="W180" s="23">
        <f>'Annual Raw'!X55-Template!W152</f>
        <v>0</v>
      </c>
      <c r="X180" s="23">
        <f>'Annual Raw'!Y55-Template!X152</f>
        <v>0</v>
      </c>
      <c r="Y180" s="23">
        <f>'Annual Raw'!Z55-Template!Y152</f>
        <v>1114.2</v>
      </c>
      <c r="Z180" s="23">
        <f>'Annual Raw'!AA55-Template!Z152</f>
        <v>1507.9</v>
      </c>
      <c r="AA180" s="74">
        <f t="shared" si="1418"/>
        <v>0</v>
      </c>
      <c r="AB180" s="74">
        <f t="shared" si="1419"/>
        <v>0</v>
      </c>
      <c r="AC180" s="74">
        <f t="shared" si="1420"/>
        <v>0</v>
      </c>
      <c r="AD180" s="74">
        <f t="shared" si="1421"/>
        <v>0</v>
      </c>
      <c r="AE180" s="74">
        <f t="shared" si="1422"/>
        <v>0</v>
      </c>
      <c r="AJ180" s="23">
        <f>+'QTR Raw'!D91</f>
        <v>0</v>
      </c>
      <c r="AK180" s="23">
        <f t="shared" si="1423"/>
        <v>0</v>
      </c>
      <c r="AL180" s="23">
        <f>+'QTR Raw'!F91</f>
        <v>0</v>
      </c>
      <c r="AM180" s="23">
        <f t="shared" si="1423"/>
        <v>0</v>
      </c>
      <c r="AN180" s="23">
        <f>+'QTR Raw'!H91</f>
        <v>0</v>
      </c>
      <c r="AO180" s="23">
        <f t="shared" si="1423"/>
        <v>0</v>
      </c>
      <c r="AP180" s="23">
        <f>+'QTR Raw'!J91</f>
        <v>0</v>
      </c>
      <c r="AQ180" s="23">
        <f t="shared" si="1423"/>
        <v>0</v>
      </c>
      <c r="AR180" s="23">
        <f>+'QTR Raw'!L91</f>
        <v>0</v>
      </c>
      <c r="AS180" s="23">
        <f t="shared" si="1423"/>
        <v>0</v>
      </c>
      <c r="AT180" s="23">
        <f>+'QTR Raw'!N91</f>
        <v>0</v>
      </c>
      <c r="AU180" s="23">
        <f t="shared" si="1423"/>
        <v>0</v>
      </c>
      <c r="AV180" s="23">
        <f>+'QTR Raw'!P91</f>
        <v>0</v>
      </c>
      <c r="AW180" s="23">
        <f t="shared" si="1423"/>
        <v>0</v>
      </c>
      <c r="AX180" s="23">
        <f>+'QTR Raw'!R91</f>
        <v>0</v>
      </c>
      <c r="AY180" s="23">
        <f t="shared" si="1423"/>
        <v>0</v>
      </c>
      <c r="AZ180" s="23">
        <f>+'QTR Raw'!T91</f>
        <v>0</v>
      </c>
      <c r="BA180" s="23">
        <f t="shared" si="1423"/>
        <v>0</v>
      </c>
      <c r="BB180" s="23">
        <f>+'QTR Raw'!V91</f>
        <v>0</v>
      </c>
      <c r="BC180" s="23">
        <f t="shared" si="1423"/>
        <v>0</v>
      </c>
      <c r="BD180" s="23">
        <f>+'QTR Raw'!X91</f>
        <v>0</v>
      </c>
      <c r="BE180" s="23">
        <f t="shared" si="1423"/>
        <v>0</v>
      </c>
      <c r="BF180" s="23">
        <f>+'QTR Raw'!Z91</f>
        <v>0</v>
      </c>
      <c r="BG180" s="23">
        <f t="shared" si="1423"/>
        <v>0</v>
      </c>
      <c r="BH180" s="23">
        <f>+'QTR Raw'!AB91</f>
        <v>0</v>
      </c>
      <c r="BI180" s="23">
        <f t="shared" si="1423"/>
        <v>0</v>
      </c>
      <c r="BJ180" s="23">
        <f>+'QTR Raw'!AD91</f>
        <v>0</v>
      </c>
      <c r="BK180" s="23">
        <f t="shared" si="1423"/>
        <v>0</v>
      </c>
      <c r="BL180" s="23">
        <f>+'QTR Raw'!AF91</f>
        <v>0</v>
      </c>
      <c r="BM180" s="23">
        <f t="shared" si="1423"/>
        <v>0</v>
      </c>
      <c r="BN180" s="23">
        <f>+'QTR Raw'!AH91</f>
        <v>0</v>
      </c>
      <c r="BO180" s="23">
        <f t="shared" si="1423"/>
        <v>0</v>
      </c>
      <c r="BP180" s="23">
        <f>+'QTR Raw'!AJ91</f>
        <v>0</v>
      </c>
      <c r="BQ180" s="23">
        <f t="shared" si="1423"/>
        <v>0</v>
      </c>
      <c r="BR180" s="23">
        <f>+'QTR Raw'!AL91</f>
        <v>0</v>
      </c>
      <c r="BS180" s="23">
        <f t="shared" si="1423"/>
        <v>0</v>
      </c>
      <c r="BT180" s="23">
        <f>+'QTR Raw'!AN91</f>
        <v>0</v>
      </c>
      <c r="BU180" s="23">
        <f t="shared" si="1423"/>
        <v>0</v>
      </c>
      <c r="BV180" s="23">
        <f>+'QTR Raw'!AP91</f>
        <v>0</v>
      </c>
      <c r="BW180" s="23">
        <f t="shared" si="1423"/>
        <v>0</v>
      </c>
      <c r="BX180" s="23">
        <f>+'QTR Raw'!AR91</f>
        <v>0</v>
      </c>
      <c r="BY180" s="23">
        <f t="shared" si="1423"/>
        <v>0</v>
      </c>
      <c r="BZ180" s="23">
        <f>+'QTR Raw'!AT91</f>
        <v>0</v>
      </c>
      <c r="CA180" s="23">
        <f t="shared" si="1423"/>
        <v>0</v>
      </c>
      <c r="CB180" s="23">
        <f>+'QTR Raw'!AV91</f>
        <v>0</v>
      </c>
      <c r="CC180" s="23">
        <f t="shared" si="1423"/>
        <v>0</v>
      </c>
      <c r="CD180" s="23">
        <f>+'QTR Raw'!AX91</f>
        <v>0</v>
      </c>
      <c r="CE180" s="23">
        <f t="shared" si="1423"/>
        <v>0</v>
      </c>
      <c r="CF180" s="23">
        <f>+'QTR Raw'!AZ91</f>
        <v>1114.2</v>
      </c>
      <c r="CG180" s="23">
        <f t="shared" ref="CG180:CG181" si="1429">+CF180</f>
        <v>1114.2</v>
      </c>
      <c r="CH180" s="23">
        <f t="shared" si="1374"/>
        <v>1507.9</v>
      </c>
      <c r="CJ180" s="23">
        <f>+'QTR Raw'!BD91</f>
        <v>1544.7</v>
      </c>
      <c r="CL180" s="23">
        <f>+'QTR Raw'!BF91</f>
        <v>1680.7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123"/>
      <c r="DF180" s="23">
        <v>1507.9</v>
      </c>
    </row>
    <row r="181" spans="1:110" s="23" customFormat="1" outlineLevel="1" x14ac:dyDescent="0.2">
      <c r="A181" s="23" t="s">
        <v>72</v>
      </c>
      <c r="B181" s="23">
        <f>'Annual Raw'!C57</f>
        <v>0</v>
      </c>
      <c r="C181" s="23">
        <f>'Annual Raw'!D57</f>
        <v>0</v>
      </c>
      <c r="D181" s="23">
        <f>'Annual Raw'!E57</f>
        <v>0</v>
      </c>
      <c r="E181" s="23">
        <f>'Annual Raw'!F57</f>
        <v>0</v>
      </c>
      <c r="F181" s="23">
        <f>'Annual Raw'!G57</f>
        <v>0</v>
      </c>
      <c r="G181" s="23">
        <f>'Annual Raw'!H57</f>
        <v>0</v>
      </c>
      <c r="H181" s="23">
        <f>'Annual Raw'!I57</f>
        <v>0</v>
      </c>
      <c r="I181" s="23">
        <f>'Annual Raw'!J57</f>
        <v>0</v>
      </c>
      <c r="J181" s="23">
        <f>'Annual Raw'!K57</f>
        <v>0</v>
      </c>
      <c r="K181" s="23">
        <f>'Annual Raw'!L57</f>
        <v>0</v>
      </c>
      <c r="L181" s="23">
        <f>'Annual Raw'!M57</f>
        <v>0</v>
      </c>
      <c r="M181" s="23">
        <f>'Annual Raw'!N57</f>
        <v>0</v>
      </c>
      <c r="N181" s="23">
        <f>'Annual Raw'!O57</f>
        <v>0</v>
      </c>
      <c r="O181" s="23">
        <f>'Annual Raw'!P57</f>
        <v>0</v>
      </c>
      <c r="P181" s="23">
        <f>'Annual Raw'!Q57</f>
        <v>0</v>
      </c>
      <c r="Q181" s="23">
        <f>'Annual Raw'!R57</f>
        <v>0</v>
      </c>
      <c r="R181" s="23">
        <f>'Annual Raw'!S57</f>
        <v>0</v>
      </c>
      <c r="S181" s="23">
        <f>'Annual Raw'!T57</f>
        <v>0</v>
      </c>
      <c r="T181" s="23">
        <f>'Annual Raw'!U57</f>
        <v>0</v>
      </c>
      <c r="U181" s="23">
        <f>'Annual Raw'!V57</f>
        <v>0</v>
      </c>
      <c r="V181" s="23">
        <f>'Annual Raw'!W57</f>
        <v>0</v>
      </c>
      <c r="W181" s="23">
        <f>'Annual Raw'!X57</f>
        <v>0</v>
      </c>
      <c r="X181" s="23">
        <f>'Annual Raw'!Y57</f>
        <v>0</v>
      </c>
      <c r="Y181" s="23">
        <f>'Annual Raw'!Z57</f>
        <v>405.5</v>
      </c>
      <c r="Z181" s="23">
        <f>'Annual Raw'!AA57</f>
        <v>740.3</v>
      </c>
      <c r="AA181" s="74">
        <f t="shared" si="1418"/>
        <v>0</v>
      </c>
      <c r="AB181" s="74">
        <f t="shared" si="1419"/>
        <v>0</v>
      </c>
      <c r="AC181" s="74">
        <f t="shared" si="1420"/>
        <v>0</v>
      </c>
      <c r="AD181" s="74">
        <f t="shared" si="1421"/>
        <v>0</v>
      </c>
      <c r="AE181" s="74">
        <f t="shared" si="1422"/>
        <v>0</v>
      </c>
      <c r="AJ181" s="23">
        <f>+'QTR Raw'!D92</f>
        <v>0</v>
      </c>
      <c r="AK181" s="23">
        <f t="shared" si="1423"/>
        <v>0</v>
      </c>
      <c r="AL181" s="23">
        <f>+'QTR Raw'!F92</f>
        <v>0</v>
      </c>
      <c r="AM181" s="23">
        <f t="shared" si="1423"/>
        <v>0</v>
      </c>
      <c r="AN181" s="23">
        <f>+'QTR Raw'!H92</f>
        <v>0</v>
      </c>
      <c r="AO181" s="23">
        <f t="shared" si="1423"/>
        <v>0</v>
      </c>
      <c r="AP181" s="23">
        <f>+'QTR Raw'!J92</f>
        <v>0</v>
      </c>
      <c r="AQ181" s="23">
        <f t="shared" si="1423"/>
        <v>0</v>
      </c>
      <c r="AR181" s="23">
        <f>+'QTR Raw'!L92</f>
        <v>0</v>
      </c>
      <c r="AS181" s="23">
        <f t="shared" si="1423"/>
        <v>0</v>
      </c>
      <c r="AT181" s="23">
        <f>+'QTR Raw'!N92</f>
        <v>0</v>
      </c>
      <c r="AU181" s="23">
        <f t="shared" si="1423"/>
        <v>0</v>
      </c>
      <c r="AV181" s="23">
        <f>+'QTR Raw'!P92</f>
        <v>0</v>
      </c>
      <c r="AW181" s="23">
        <f t="shared" si="1423"/>
        <v>0</v>
      </c>
      <c r="AX181" s="23">
        <f>+'QTR Raw'!R92</f>
        <v>0</v>
      </c>
      <c r="AY181" s="23">
        <f t="shared" si="1423"/>
        <v>0</v>
      </c>
      <c r="AZ181" s="23">
        <f>+'QTR Raw'!T92</f>
        <v>0</v>
      </c>
      <c r="BA181" s="23">
        <f t="shared" si="1423"/>
        <v>0</v>
      </c>
      <c r="BB181" s="23">
        <f>+'QTR Raw'!V92</f>
        <v>0</v>
      </c>
      <c r="BC181" s="23">
        <f t="shared" si="1423"/>
        <v>0</v>
      </c>
      <c r="BD181" s="23">
        <f>+'QTR Raw'!X92</f>
        <v>0</v>
      </c>
      <c r="BE181" s="23">
        <f t="shared" si="1423"/>
        <v>0</v>
      </c>
      <c r="BF181" s="23">
        <f>+'QTR Raw'!Z92</f>
        <v>0</v>
      </c>
      <c r="BG181" s="23">
        <f t="shared" si="1423"/>
        <v>0</v>
      </c>
      <c r="BH181" s="23">
        <f>+'QTR Raw'!AB92</f>
        <v>0</v>
      </c>
      <c r="BI181" s="23">
        <f t="shared" si="1423"/>
        <v>0</v>
      </c>
      <c r="BJ181" s="23">
        <f>+'QTR Raw'!AD92</f>
        <v>0</v>
      </c>
      <c r="BK181" s="23">
        <f t="shared" si="1423"/>
        <v>0</v>
      </c>
      <c r="BL181" s="23">
        <f>+'QTR Raw'!AF92</f>
        <v>0</v>
      </c>
      <c r="BM181" s="23">
        <f t="shared" si="1423"/>
        <v>0</v>
      </c>
      <c r="BN181" s="23">
        <f>+'QTR Raw'!AH92</f>
        <v>0</v>
      </c>
      <c r="BO181" s="23">
        <f t="shared" si="1423"/>
        <v>0</v>
      </c>
      <c r="BP181" s="23">
        <f>+'QTR Raw'!AJ92</f>
        <v>0</v>
      </c>
      <c r="BQ181" s="23">
        <f t="shared" si="1423"/>
        <v>0</v>
      </c>
      <c r="BR181" s="23">
        <f>+'QTR Raw'!AL92</f>
        <v>0</v>
      </c>
      <c r="BS181" s="23">
        <f t="shared" si="1423"/>
        <v>0</v>
      </c>
      <c r="BT181" s="23">
        <f>+'QTR Raw'!AN92</f>
        <v>0</v>
      </c>
      <c r="BU181" s="23">
        <f t="shared" si="1423"/>
        <v>0</v>
      </c>
      <c r="BV181" s="23">
        <f>+'QTR Raw'!AP92</f>
        <v>0</v>
      </c>
      <c r="BW181" s="23">
        <f t="shared" si="1423"/>
        <v>0</v>
      </c>
      <c r="BX181" s="23">
        <f>+'QTR Raw'!AR92</f>
        <v>0</v>
      </c>
      <c r="BY181" s="23">
        <f t="shared" si="1423"/>
        <v>0</v>
      </c>
      <c r="BZ181" s="23">
        <f>+'QTR Raw'!AT92</f>
        <v>0</v>
      </c>
      <c r="CA181" s="23">
        <f t="shared" si="1423"/>
        <v>0</v>
      </c>
      <c r="CB181" s="23">
        <f>+'QTR Raw'!AV92</f>
        <v>0</v>
      </c>
      <c r="CC181" s="23">
        <f t="shared" si="1423"/>
        <v>0</v>
      </c>
      <c r="CD181" s="23">
        <f>+'QTR Raw'!AX92</f>
        <v>0</v>
      </c>
      <c r="CE181" s="23">
        <f t="shared" si="1423"/>
        <v>0</v>
      </c>
      <c r="CF181" s="23">
        <f>+'QTR Raw'!AZ92</f>
        <v>405.5</v>
      </c>
      <c r="CG181" s="23">
        <f t="shared" si="1429"/>
        <v>405.5</v>
      </c>
      <c r="CH181" s="23">
        <f t="shared" si="1374"/>
        <v>740.3</v>
      </c>
      <c r="CJ181" s="23">
        <f>+'QTR Raw'!BD92</f>
        <v>475.5</v>
      </c>
      <c r="CL181" s="23">
        <f>+'QTR Raw'!BF92</f>
        <v>509.8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123"/>
      <c r="DF181" s="23">
        <v>740.3</v>
      </c>
    </row>
    <row r="182" spans="1:110" s="22" customFormat="1" x14ac:dyDescent="0.2">
      <c r="A182" s="22" t="s">
        <v>73</v>
      </c>
      <c r="B182" s="22">
        <f>SUM(B175:B181)</f>
        <v>0</v>
      </c>
      <c r="C182" s="22">
        <f t="shared" ref="C182:V182" si="1430">SUM(C175:C181)</f>
        <v>0</v>
      </c>
      <c r="D182" s="22">
        <f t="shared" si="1430"/>
        <v>0</v>
      </c>
      <c r="E182" s="22">
        <f t="shared" si="1430"/>
        <v>0</v>
      </c>
      <c r="F182" s="22">
        <f t="shared" si="1430"/>
        <v>0</v>
      </c>
      <c r="G182" s="22">
        <f t="shared" si="1430"/>
        <v>0</v>
      </c>
      <c r="H182" s="22">
        <f t="shared" si="1430"/>
        <v>0</v>
      </c>
      <c r="I182" s="22">
        <f t="shared" si="1430"/>
        <v>0</v>
      </c>
      <c r="J182" s="22">
        <f t="shared" si="1430"/>
        <v>0</v>
      </c>
      <c r="K182" s="22">
        <f t="shared" si="1430"/>
        <v>0</v>
      </c>
      <c r="L182" s="22">
        <f t="shared" si="1430"/>
        <v>0</v>
      </c>
      <c r="M182" s="22">
        <f t="shared" si="1430"/>
        <v>0</v>
      </c>
      <c r="N182" s="22">
        <f t="shared" si="1430"/>
        <v>0</v>
      </c>
      <c r="O182" s="22">
        <f t="shared" si="1430"/>
        <v>0</v>
      </c>
      <c r="P182" s="22">
        <f t="shared" si="1430"/>
        <v>0</v>
      </c>
      <c r="Q182" s="22">
        <f t="shared" si="1430"/>
        <v>0</v>
      </c>
      <c r="R182" s="22">
        <f t="shared" si="1430"/>
        <v>0</v>
      </c>
      <c r="S182" s="22">
        <f t="shared" si="1430"/>
        <v>0</v>
      </c>
      <c r="T182" s="22">
        <f t="shared" si="1430"/>
        <v>0</v>
      </c>
      <c r="U182" s="22">
        <f t="shared" si="1430"/>
        <v>0</v>
      </c>
      <c r="V182" s="22">
        <f t="shared" si="1430"/>
        <v>0</v>
      </c>
      <c r="W182" s="22">
        <f t="shared" ref="W182" si="1431">SUM(W175:W181)</f>
        <v>0</v>
      </c>
      <c r="X182" s="22">
        <f t="shared" ref="X182:Y182" si="1432">SUM(X175:X181)</f>
        <v>0</v>
      </c>
      <c r="Y182" s="22">
        <f t="shared" si="1432"/>
        <v>3830.8999999999996</v>
      </c>
      <c r="Z182" s="22">
        <f t="shared" ref="Z182" si="1433">SUM(Z175:Z181)</f>
        <v>5391.9000000000005</v>
      </c>
      <c r="AA182" s="21">
        <f t="shared" ref="AA182:AD182" si="1434">SUM(AA175:AA181)</f>
        <v>7712.6311260638977</v>
      </c>
      <c r="AB182" s="21">
        <f t="shared" si="1434"/>
        <v>8496.1846694827818</v>
      </c>
      <c r="AC182" s="21">
        <f t="shared" si="1434"/>
        <v>9935.9488404595504</v>
      </c>
      <c r="AD182" s="21">
        <f t="shared" si="1434"/>
        <v>11631.571249587663</v>
      </c>
      <c r="AE182" s="21">
        <f t="shared" ref="AE182" si="1435">SUM(AE175:AE181)</f>
        <v>13618.362193822973</v>
      </c>
      <c r="AJ182" s="22">
        <f t="shared" ref="AJ182" si="1436">SUM(AJ175:AJ181)</f>
        <v>0</v>
      </c>
      <c r="AK182" s="22" t="e">
        <f t="shared" ref="AK182" si="1437">SUM(AK175:AK181)</f>
        <v>#DIV/0!</v>
      </c>
      <c r="AL182" s="22">
        <f t="shared" ref="AL182:AM182" si="1438">SUM(AL175:AL181)</f>
        <v>0</v>
      </c>
      <c r="AM182" s="22" t="e">
        <f t="shared" si="1438"/>
        <v>#DIV/0!</v>
      </c>
      <c r="AN182" s="22">
        <f t="shared" ref="AN182:AO182" si="1439">SUM(AN175:AN181)</f>
        <v>0</v>
      </c>
      <c r="AO182" s="22" t="e">
        <f t="shared" si="1439"/>
        <v>#DIV/0!</v>
      </c>
      <c r="AP182" s="22">
        <f t="shared" ref="AP182:CE182" si="1440">SUM(AP175:AP181)</f>
        <v>0</v>
      </c>
      <c r="AQ182" s="22" t="e">
        <f t="shared" si="1440"/>
        <v>#DIV/0!</v>
      </c>
      <c r="AR182" s="22">
        <f t="shared" si="1440"/>
        <v>0</v>
      </c>
      <c r="AS182" s="22" t="e">
        <f t="shared" si="1440"/>
        <v>#DIV/0!</v>
      </c>
      <c r="AT182" s="22">
        <f t="shared" si="1440"/>
        <v>0</v>
      </c>
      <c r="AU182" s="22" t="e">
        <f t="shared" si="1440"/>
        <v>#DIV/0!</v>
      </c>
      <c r="AV182" s="22">
        <f t="shared" si="1440"/>
        <v>0</v>
      </c>
      <c r="AW182" s="22" t="e">
        <f t="shared" si="1440"/>
        <v>#DIV/0!</v>
      </c>
      <c r="AX182" s="22">
        <f t="shared" si="1440"/>
        <v>0</v>
      </c>
      <c r="AY182" s="22" t="e">
        <f t="shared" si="1440"/>
        <v>#DIV/0!</v>
      </c>
      <c r="AZ182" s="22">
        <f t="shared" si="1440"/>
        <v>0</v>
      </c>
      <c r="BA182" s="22" t="e">
        <f t="shared" si="1440"/>
        <v>#DIV/0!</v>
      </c>
      <c r="BB182" s="22">
        <f t="shared" si="1440"/>
        <v>0</v>
      </c>
      <c r="BC182" s="22" t="e">
        <f t="shared" si="1440"/>
        <v>#DIV/0!</v>
      </c>
      <c r="BD182" s="22">
        <f t="shared" si="1440"/>
        <v>0</v>
      </c>
      <c r="BE182" s="22" t="e">
        <f t="shared" si="1440"/>
        <v>#DIV/0!</v>
      </c>
      <c r="BF182" s="22">
        <f t="shared" si="1440"/>
        <v>0</v>
      </c>
      <c r="BG182" s="22" t="e">
        <f t="shared" si="1440"/>
        <v>#DIV/0!</v>
      </c>
      <c r="BH182" s="22">
        <f t="shared" ref="BH182" si="1441">SUM(BH175:BH181)</f>
        <v>0</v>
      </c>
      <c r="BI182" s="22" t="e">
        <f t="shared" si="1440"/>
        <v>#DIV/0!</v>
      </c>
      <c r="BJ182" s="22">
        <f t="shared" si="1440"/>
        <v>0</v>
      </c>
      <c r="BK182" s="22" t="e">
        <f t="shared" si="1440"/>
        <v>#DIV/0!</v>
      </c>
      <c r="BL182" s="22">
        <f t="shared" si="1440"/>
        <v>0</v>
      </c>
      <c r="BM182" s="22" t="e">
        <f t="shared" si="1440"/>
        <v>#DIV/0!</v>
      </c>
      <c r="BN182" s="22">
        <f t="shared" si="1440"/>
        <v>0</v>
      </c>
      <c r="BO182" s="22" t="e">
        <f t="shared" si="1440"/>
        <v>#DIV/0!</v>
      </c>
      <c r="BP182" s="22">
        <f t="shared" si="1440"/>
        <v>0</v>
      </c>
      <c r="BQ182" s="22" t="e">
        <f t="shared" si="1440"/>
        <v>#DIV/0!</v>
      </c>
      <c r="BR182" s="22">
        <f t="shared" si="1440"/>
        <v>0</v>
      </c>
      <c r="BS182" s="22" t="e">
        <f t="shared" si="1440"/>
        <v>#DIV/0!</v>
      </c>
      <c r="BT182" s="22">
        <f t="shared" si="1440"/>
        <v>0</v>
      </c>
      <c r="BU182" s="22" t="e">
        <f t="shared" si="1440"/>
        <v>#DIV/0!</v>
      </c>
      <c r="BV182" s="22">
        <f t="shared" si="1440"/>
        <v>0</v>
      </c>
      <c r="BW182" s="22" t="e">
        <f t="shared" si="1440"/>
        <v>#DIV/0!</v>
      </c>
      <c r="BX182" s="22">
        <f t="shared" si="1440"/>
        <v>0</v>
      </c>
      <c r="BY182" s="22" t="e">
        <f t="shared" si="1440"/>
        <v>#DIV/0!</v>
      </c>
      <c r="BZ182" s="22">
        <f t="shared" si="1440"/>
        <v>0</v>
      </c>
      <c r="CA182" s="22" t="e">
        <f t="shared" si="1440"/>
        <v>#DIV/0!</v>
      </c>
      <c r="CB182" s="22">
        <f t="shared" si="1440"/>
        <v>0</v>
      </c>
      <c r="CC182" s="22" t="e">
        <f t="shared" si="1440"/>
        <v>#DIV/0!</v>
      </c>
      <c r="CD182" s="22">
        <f t="shared" si="1440"/>
        <v>0</v>
      </c>
      <c r="CE182" s="22">
        <f t="shared" si="1440"/>
        <v>0</v>
      </c>
      <c r="CF182" s="22">
        <f t="shared" ref="CF182:CG182" si="1442">SUM(CF175:CF181)</f>
        <v>3830.8999999999996</v>
      </c>
      <c r="CG182" s="22">
        <f t="shared" si="1442"/>
        <v>3359.550558014239</v>
      </c>
      <c r="CH182" s="22">
        <f t="shared" ref="CH182:CI182" si="1443">SUM(CH175:CH181)</f>
        <v>5391.9000000000005</v>
      </c>
      <c r="CI182" s="22">
        <f t="shared" si="1443"/>
        <v>5119.6513647246611</v>
      </c>
      <c r="CJ182" s="22">
        <f t="shared" ref="CJ182:DB182" si="1444">SUM(CJ175:CJ181)</f>
        <v>5163.9000000000005</v>
      </c>
      <c r="CK182" s="22">
        <f t="shared" si="1444"/>
        <v>3729.7110443360934</v>
      </c>
      <c r="CL182" s="22">
        <f t="shared" ref="CL182" si="1445">SUM(CL175:CL181)</f>
        <v>5405.8</v>
      </c>
      <c r="CM182" s="21">
        <f t="shared" si="1444"/>
        <v>5226.5342076460647</v>
      </c>
      <c r="CN182" s="21">
        <f t="shared" si="1444"/>
        <v>7712.6311260638977</v>
      </c>
      <c r="CO182" s="21">
        <f t="shared" si="1444"/>
        <v>5587.0908268336862</v>
      </c>
      <c r="CP182" s="21">
        <f t="shared" si="1444"/>
        <v>6968.3178556372677</v>
      </c>
      <c r="CQ182" s="21">
        <f t="shared" si="1444"/>
        <v>5811.9825607148132</v>
      </c>
      <c r="CR182" s="21">
        <f t="shared" si="1444"/>
        <v>8496.1846694827818</v>
      </c>
      <c r="CS182" s="21">
        <f t="shared" si="1444"/>
        <v>6656.0009049430964</v>
      </c>
      <c r="CT182" s="21">
        <f t="shared" si="1444"/>
        <v>8194.1011940099906</v>
      </c>
      <c r="CU182" s="21">
        <f t="shared" si="1444"/>
        <v>6760.286914800402</v>
      </c>
      <c r="CV182" s="21">
        <f t="shared" si="1444"/>
        <v>9935.9488404595504</v>
      </c>
      <c r="CW182" s="21">
        <f t="shared" si="1444"/>
        <v>7835.3316407156681</v>
      </c>
      <c r="CX182" s="21">
        <f t="shared" si="1444"/>
        <v>9596.0908617234309</v>
      </c>
      <c r="CY182" s="21">
        <f t="shared" si="1444"/>
        <v>7911.7206433868432</v>
      </c>
      <c r="CZ182" s="21">
        <f t="shared" si="1444"/>
        <v>11631.571249587663</v>
      </c>
      <c r="DA182" s="21">
        <f t="shared" si="1444"/>
        <v>9202.1985729671014</v>
      </c>
      <c r="DB182" s="21">
        <f t="shared" si="1444"/>
        <v>11240.212668447315</v>
      </c>
      <c r="DC182" s="21">
        <f t="shared" ref="DC182:DD182" si="1446">SUM(DC175:DC181)</f>
        <v>9271.5646315349368</v>
      </c>
      <c r="DD182" s="21">
        <f t="shared" si="1446"/>
        <v>13618.362193822973</v>
      </c>
      <c r="DE182" s="126"/>
      <c r="DF182" s="22">
        <v>5391.9000000000005</v>
      </c>
    </row>
    <row r="183" spans="1:110" s="22" customFormat="1" x14ac:dyDescent="0.2">
      <c r="A183" s="22" t="s">
        <v>74</v>
      </c>
      <c r="B183" s="22">
        <f>B174-B182</f>
        <v>0</v>
      </c>
      <c r="C183" s="22">
        <f t="shared" ref="C183:V183" si="1447">C174-C182</f>
        <v>0</v>
      </c>
      <c r="D183" s="22">
        <f t="shared" si="1447"/>
        <v>0</v>
      </c>
      <c r="E183" s="22">
        <f t="shared" si="1447"/>
        <v>0</v>
      </c>
      <c r="F183" s="22">
        <f t="shared" si="1447"/>
        <v>0</v>
      </c>
      <c r="G183" s="22">
        <f t="shared" si="1447"/>
        <v>0</v>
      </c>
      <c r="H183" s="22">
        <f t="shared" si="1447"/>
        <v>0</v>
      </c>
      <c r="I183" s="22">
        <f t="shared" si="1447"/>
        <v>0</v>
      </c>
      <c r="J183" s="22">
        <f t="shared" si="1447"/>
        <v>0</v>
      </c>
      <c r="K183" s="22">
        <f t="shared" si="1447"/>
        <v>0</v>
      </c>
      <c r="L183" s="22">
        <f t="shared" si="1447"/>
        <v>0</v>
      </c>
      <c r="M183" s="22">
        <f t="shared" si="1447"/>
        <v>0</v>
      </c>
      <c r="N183" s="22">
        <f t="shared" si="1447"/>
        <v>0</v>
      </c>
      <c r="O183" s="22">
        <f t="shared" si="1447"/>
        <v>0</v>
      </c>
      <c r="P183" s="22">
        <f t="shared" si="1447"/>
        <v>0</v>
      </c>
      <c r="Q183" s="22">
        <f t="shared" si="1447"/>
        <v>0</v>
      </c>
      <c r="R183" s="22">
        <f t="shared" si="1447"/>
        <v>0</v>
      </c>
      <c r="S183" s="22">
        <f t="shared" si="1447"/>
        <v>0</v>
      </c>
      <c r="T183" s="22">
        <f t="shared" si="1447"/>
        <v>0</v>
      </c>
      <c r="U183" s="22">
        <f t="shared" si="1447"/>
        <v>0</v>
      </c>
      <c r="V183" s="22">
        <f t="shared" si="1447"/>
        <v>0</v>
      </c>
      <c r="W183" s="22">
        <f t="shared" ref="W183" si="1448">W174-W182</f>
        <v>0</v>
      </c>
      <c r="X183" s="22">
        <f t="shared" ref="X183:Y183" si="1449">X174-X182</f>
        <v>0</v>
      </c>
      <c r="Y183" s="22">
        <f t="shared" si="1449"/>
        <v>2575.7000000000007</v>
      </c>
      <c r="Z183" s="22">
        <f t="shared" ref="Z183" si="1450">Z174-Z182</f>
        <v>96.899999999998727</v>
      </c>
      <c r="AA183" s="21">
        <f t="shared" ref="AA183:AD183" si="1451">AA174-AA182</f>
        <v>1062.2024257935118</v>
      </c>
      <c r="AB183" s="21">
        <f t="shared" si="1451"/>
        <v>1170.1153365699665</v>
      </c>
      <c r="AC183" s="21">
        <f t="shared" si="1451"/>
        <v>1368.403180236437</v>
      </c>
      <c r="AD183" s="21">
        <f t="shared" si="1451"/>
        <v>1601.9284463572476</v>
      </c>
      <c r="AE183" s="21">
        <f t="shared" ref="AE183" si="1452">AE174-AE182</f>
        <v>1875.5541554073752</v>
      </c>
      <c r="AJ183" s="22">
        <f t="shared" ref="AJ183" si="1453">AJ174-AJ182</f>
        <v>0</v>
      </c>
      <c r="AK183" s="22" t="e">
        <f t="shared" ref="AK183" si="1454">AK174-AK182</f>
        <v>#DIV/0!</v>
      </c>
      <c r="AL183" s="22">
        <f t="shared" ref="AL183:AM183" si="1455">AL174-AL182</f>
        <v>0</v>
      </c>
      <c r="AM183" s="22" t="e">
        <f t="shared" si="1455"/>
        <v>#DIV/0!</v>
      </c>
      <c r="AN183" s="22">
        <f t="shared" ref="AN183:AO183" si="1456">AN174-AN182</f>
        <v>0</v>
      </c>
      <c r="AO183" s="22" t="e">
        <f t="shared" si="1456"/>
        <v>#DIV/0!</v>
      </c>
      <c r="AP183" s="22">
        <f t="shared" ref="AP183:CE183" si="1457">AP174-AP182</f>
        <v>0</v>
      </c>
      <c r="AQ183" s="22" t="e">
        <f t="shared" si="1457"/>
        <v>#DIV/0!</v>
      </c>
      <c r="AR183" s="22">
        <f t="shared" si="1457"/>
        <v>0</v>
      </c>
      <c r="AS183" s="22" t="e">
        <f t="shared" si="1457"/>
        <v>#DIV/0!</v>
      </c>
      <c r="AT183" s="22">
        <f t="shared" si="1457"/>
        <v>0</v>
      </c>
      <c r="AU183" s="22" t="e">
        <f t="shared" si="1457"/>
        <v>#DIV/0!</v>
      </c>
      <c r="AV183" s="22">
        <f t="shared" si="1457"/>
        <v>0</v>
      </c>
      <c r="AW183" s="22" t="e">
        <f t="shared" si="1457"/>
        <v>#DIV/0!</v>
      </c>
      <c r="AX183" s="22">
        <f t="shared" si="1457"/>
        <v>0</v>
      </c>
      <c r="AY183" s="22" t="e">
        <f t="shared" si="1457"/>
        <v>#DIV/0!</v>
      </c>
      <c r="AZ183" s="22">
        <f t="shared" si="1457"/>
        <v>0</v>
      </c>
      <c r="BA183" s="22" t="e">
        <f t="shared" si="1457"/>
        <v>#DIV/0!</v>
      </c>
      <c r="BB183" s="22">
        <f t="shared" si="1457"/>
        <v>0</v>
      </c>
      <c r="BC183" s="22" t="e">
        <f t="shared" si="1457"/>
        <v>#DIV/0!</v>
      </c>
      <c r="BD183" s="22">
        <f t="shared" si="1457"/>
        <v>0</v>
      </c>
      <c r="BE183" s="22" t="e">
        <f t="shared" si="1457"/>
        <v>#DIV/0!</v>
      </c>
      <c r="BF183" s="22">
        <f t="shared" si="1457"/>
        <v>0</v>
      </c>
      <c r="BG183" s="22" t="e">
        <f t="shared" si="1457"/>
        <v>#DIV/0!</v>
      </c>
      <c r="BH183" s="22">
        <f t="shared" ref="BH183" si="1458">BH174-BH182</f>
        <v>0</v>
      </c>
      <c r="BI183" s="22" t="e">
        <f t="shared" si="1457"/>
        <v>#DIV/0!</v>
      </c>
      <c r="BJ183" s="22">
        <f t="shared" si="1457"/>
        <v>0</v>
      </c>
      <c r="BK183" s="22" t="e">
        <f t="shared" si="1457"/>
        <v>#DIV/0!</v>
      </c>
      <c r="BL183" s="22">
        <f t="shared" si="1457"/>
        <v>0</v>
      </c>
      <c r="BM183" s="22" t="e">
        <f t="shared" si="1457"/>
        <v>#DIV/0!</v>
      </c>
      <c r="BN183" s="22">
        <f t="shared" si="1457"/>
        <v>0</v>
      </c>
      <c r="BO183" s="22" t="e">
        <f t="shared" si="1457"/>
        <v>#DIV/0!</v>
      </c>
      <c r="BP183" s="22">
        <f t="shared" si="1457"/>
        <v>0</v>
      </c>
      <c r="BQ183" s="22" t="e">
        <f t="shared" si="1457"/>
        <v>#DIV/0!</v>
      </c>
      <c r="BR183" s="22">
        <f t="shared" si="1457"/>
        <v>0</v>
      </c>
      <c r="BS183" s="22" t="e">
        <f t="shared" si="1457"/>
        <v>#DIV/0!</v>
      </c>
      <c r="BT183" s="22">
        <f t="shared" si="1457"/>
        <v>0</v>
      </c>
      <c r="BU183" s="22" t="e">
        <f t="shared" si="1457"/>
        <v>#DIV/0!</v>
      </c>
      <c r="BV183" s="22">
        <f t="shared" si="1457"/>
        <v>0</v>
      </c>
      <c r="BW183" s="22" t="e">
        <f t="shared" si="1457"/>
        <v>#DIV/0!</v>
      </c>
      <c r="BX183" s="22">
        <f t="shared" si="1457"/>
        <v>0</v>
      </c>
      <c r="BY183" s="22" t="e">
        <f t="shared" si="1457"/>
        <v>#DIV/0!</v>
      </c>
      <c r="BZ183" s="22">
        <f t="shared" si="1457"/>
        <v>0</v>
      </c>
      <c r="CA183" s="22" t="e">
        <f t="shared" si="1457"/>
        <v>#DIV/0!</v>
      </c>
      <c r="CB183" s="22">
        <f t="shared" si="1457"/>
        <v>0</v>
      </c>
      <c r="CC183" s="22" t="e">
        <f t="shared" si="1457"/>
        <v>#DIV/0!</v>
      </c>
      <c r="CD183" s="22">
        <f t="shared" si="1457"/>
        <v>0</v>
      </c>
      <c r="CE183" s="22">
        <f t="shared" si="1457"/>
        <v>0</v>
      </c>
      <c r="CF183" s="22">
        <f t="shared" ref="CF183:CG183" si="1459">CF174-CF182</f>
        <v>2697.8000000000011</v>
      </c>
      <c r="CG183" s="22">
        <f t="shared" si="1459"/>
        <v>2452.5566528766594</v>
      </c>
      <c r="CH183" s="22">
        <f t="shared" ref="CH183:CI183" si="1460">CH174-CH182</f>
        <v>96.899999999998727</v>
      </c>
      <c r="CI183" s="22">
        <f t="shared" si="1460"/>
        <v>92.007310454906474</v>
      </c>
      <c r="CJ183" s="22">
        <f t="shared" ref="CJ183:DB183" si="1461">CJ174-CJ182</f>
        <v>228.09999999999945</v>
      </c>
      <c r="CK183" s="22">
        <f t="shared" si="1461"/>
        <v>164.74894734852705</v>
      </c>
      <c r="CL183" s="22">
        <f t="shared" ref="CL183" si="1462">CL174-CL182</f>
        <v>744.5</v>
      </c>
      <c r="CM183" s="21">
        <f t="shared" si="1461"/>
        <v>719.81107654602329</v>
      </c>
      <c r="CN183" s="21">
        <f t="shared" si="1461"/>
        <v>1062.2024257935118</v>
      </c>
      <c r="CO183" s="21">
        <f t="shared" si="1461"/>
        <v>769.46781615629152</v>
      </c>
      <c r="CP183" s="21">
        <f t="shared" si="1461"/>
        <v>959.69378140551726</v>
      </c>
      <c r="CQ183" s="21">
        <f t="shared" si="1461"/>
        <v>800.4404558903725</v>
      </c>
      <c r="CR183" s="21">
        <f t="shared" si="1461"/>
        <v>1170.1153365699665</v>
      </c>
      <c r="CS183" s="21">
        <f t="shared" si="1461"/>
        <v>916.68072694700732</v>
      </c>
      <c r="CT183" s="21">
        <f t="shared" si="1461"/>
        <v>1128.5116613527025</v>
      </c>
      <c r="CU183" s="21">
        <f t="shared" si="1461"/>
        <v>931.04325133539805</v>
      </c>
      <c r="CV183" s="21">
        <f t="shared" si="1461"/>
        <v>1368.403180236437</v>
      </c>
      <c r="CW183" s="21">
        <f t="shared" si="1461"/>
        <v>1079.1010408288903</v>
      </c>
      <c r="CX183" s="21">
        <f t="shared" si="1461"/>
        <v>1321.5971080234376</v>
      </c>
      <c r="CY183" s="21">
        <f t="shared" si="1461"/>
        <v>1089.6215211442359</v>
      </c>
      <c r="CZ183" s="21">
        <f t="shared" si="1461"/>
        <v>1601.9284463572476</v>
      </c>
      <c r="DA183" s="21">
        <f t="shared" si="1461"/>
        <v>1267.3492984524037</v>
      </c>
      <c r="DB183" s="21">
        <f t="shared" si="1461"/>
        <v>1548.0295851972023</v>
      </c>
      <c r="DC183" s="21">
        <f t="shared" ref="DC183:DD183" si="1463">DC174-DC182</f>
        <v>1276.9025617258812</v>
      </c>
      <c r="DD183" s="21">
        <f t="shared" si="1463"/>
        <v>1875.5541554073752</v>
      </c>
      <c r="DE183" s="126"/>
      <c r="DF183" s="22">
        <v>96.899999999998727</v>
      </c>
    </row>
    <row r="184" spans="1:110" s="23" customFormat="1" x14ac:dyDescent="0.2">
      <c r="AA184" s="24"/>
      <c r="AB184" s="24"/>
      <c r="AC184" s="24"/>
      <c r="AD184" s="24"/>
      <c r="AE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123"/>
    </row>
    <row r="185" spans="1:110" s="23" customFormat="1" outlineLevel="1" x14ac:dyDescent="0.2">
      <c r="A185" s="23" t="s">
        <v>75</v>
      </c>
      <c r="B185" s="23">
        <f>'Annual Raw'!C75</f>
        <v>0</v>
      </c>
      <c r="C185" s="23">
        <f>'Annual Raw'!D75</f>
        <v>0</v>
      </c>
      <c r="D185" s="23">
        <f>'Annual Raw'!E75</f>
        <v>0</v>
      </c>
      <c r="E185" s="23">
        <f>'Annual Raw'!F75</f>
        <v>0</v>
      </c>
      <c r="F185" s="23">
        <f>'Annual Raw'!G75</f>
        <v>0</v>
      </c>
      <c r="G185" s="23">
        <f>'Annual Raw'!H75</f>
        <v>0</v>
      </c>
      <c r="H185" s="23">
        <f>'Annual Raw'!I75</f>
        <v>0</v>
      </c>
      <c r="I185" s="23">
        <f>'Annual Raw'!J75</f>
        <v>0</v>
      </c>
      <c r="J185" s="23">
        <f>'Annual Raw'!K75</f>
        <v>0</v>
      </c>
      <c r="K185" s="23">
        <f>'Annual Raw'!L75</f>
        <v>0</v>
      </c>
      <c r="L185" s="23">
        <f>'Annual Raw'!M75</f>
        <v>0</v>
      </c>
      <c r="M185" s="23">
        <f>'Annual Raw'!N75</f>
        <v>0</v>
      </c>
      <c r="N185" s="23">
        <f>'Annual Raw'!O75</f>
        <v>0</v>
      </c>
      <c r="O185" s="23">
        <f>'Annual Raw'!P75</f>
        <v>0</v>
      </c>
      <c r="P185" s="23">
        <f>'Annual Raw'!Q75</f>
        <v>0</v>
      </c>
      <c r="Q185" s="23">
        <f>'Annual Raw'!R75</f>
        <v>0</v>
      </c>
      <c r="R185" s="23">
        <f>'Annual Raw'!S75</f>
        <v>0</v>
      </c>
      <c r="S185" s="23">
        <f>'Annual Raw'!T75</f>
        <v>0</v>
      </c>
      <c r="T185" s="23">
        <f>'Annual Raw'!U75</f>
        <v>0</v>
      </c>
      <c r="U185" s="23">
        <f>'Annual Raw'!V75</f>
        <v>0</v>
      </c>
      <c r="V185" s="23">
        <f>'Annual Raw'!W75</f>
        <v>0</v>
      </c>
      <c r="W185" s="23">
        <f>'Annual Raw'!X75</f>
        <v>0</v>
      </c>
      <c r="X185" s="23">
        <f>'Annual Raw'!Y75</f>
        <v>0</v>
      </c>
      <c r="Y185" s="23">
        <f>'Annual Raw'!Z75</f>
        <v>0</v>
      </c>
      <c r="Z185" s="23">
        <f>'Annual Raw'!AA75</f>
        <v>0</v>
      </c>
      <c r="AA185" s="74">
        <f t="shared" ref="AA185:AA186" si="1464">+CN185</f>
        <v>0</v>
      </c>
      <c r="AB185" s="74">
        <f t="shared" ref="AB185:AB186" si="1465">CR185</f>
        <v>0</v>
      </c>
      <c r="AC185" s="74">
        <f t="shared" ref="AC185:AC186" si="1466">CV185</f>
        <v>0</v>
      </c>
      <c r="AD185" s="74">
        <f t="shared" ref="AD185:AD186" si="1467">CZ185</f>
        <v>0</v>
      </c>
      <c r="AE185" s="74">
        <f t="shared" ref="AE185:AE186" si="1468">DD185</f>
        <v>0</v>
      </c>
      <c r="AJ185" s="23">
        <f>+'QTR Raw'!D80</f>
        <v>0</v>
      </c>
      <c r="AL185" s="23">
        <f>+'QTR Raw'!F80</f>
        <v>0</v>
      </c>
      <c r="AN185" s="23">
        <f>+'QTR Raw'!H80</f>
        <v>0</v>
      </c>
      <c r="AP185" s="23">
        <f>+'QTR Raw'!J80</f>
        <v>0</v>
      </c>
      <c r="AR185" s="23">
        <f>+'QTR Raw'!L80</f>
        <v>0</v>
      </c>
      <c r="AT185" s="23">
        <f>+'QTR Raw'!N80</f>
        <v>0</v>
      </c>
      <c r="AV185" s="23">
        <f>+'QTR Raw'!P80</f>
        <v>0</v>
      </c>
      <c r="AX185" s="23">
        <f>+'QTR Raw'!R80</f>
        <v>0</v>
      </c>
      <c r="AZ185" s="23">
        <f>+'QTR Raw'!T80</f>
        <v>0</v>
      </c>
      <c r="BB185" s="23">
        <f>+'QTR Raw'!V80</f>
        <v>0</v>
      </c>
      <c r="BD185" s="23">
        <f>+'QTR Raw'!X80</f>
        <v>0</v>
      </c>
      <c r="BF185" s="23">
        <f>+'QTR Raw'!Z80</f>
        <v>0</v>
      </c>
      <c r="BH185" s="23">
        <f>+'QTR Raw'!AB80</f>
        <v>0</v>
      </c>
      <c r="BJ185" s="23">
        <f>+'QTR Raw'!AD80</f>
        <v>0</v>
      </c>
      <c r="BL185" s="23">
        <f>+'QTR Raw'!AF80</f>
        <v>0</v>
      </c>
      <c r="BN185" s="23">
        <f>+'QTR Raw'!AH80</f>
        <v>0</v>
      </c>
      <c r="BP185" s="23">
        <f>+'QTR Raw'!AJ80</f>
        <v>0</v>
      </c>
      <c r="BR185" s="23">
        <f>+'QTR Raw'!AL80</f>
        <v>0</v>
      </c>
      <c r="BT185" s="23">
        <f>+'QTR Raw'!AN80</f>
        <v>0</v>
      </c>
      <c r="BV185" s="23">
        <f>+'QTR Raw'!AP80</f>
        <v>0</v>
      </c>
      <c r="BX185" s="23">
        <f>+'QTR Raw'!AR80</f>
        <v>0</v>
      </c>
      <c r="BZ185" s="23">
        <f>+'QTR Raw'!AT80</f>
        <v>0</v>
      </c>
      <c r="CB185" s="23">
        <f>+'QTR Raw'!AV80</f>
        <v>0</v>
      </c>
      <c r="CD185" s="23">
        <f>+'QTR Raw'!AX80</f>
        <v>0</v>
      </c>
      <c r="CF185" s="23">
        <f>+'QTR Raw'!AZ80</f>
        <v>0</v>
      </c>
      <c r="CH185" s="23">
        <f t="shared" ref="CH185:CH186" si="1469">Z185</f>
        <v>0</v>
      </c>
      <c r="CJ185" s="23">
        <f>+'QTR Raw'!BD80</f>
        <v>0</v>
      </c>
      <c r="CL185" s="23">
        <f>+'QTR Raw'!BF80</f>
        <v>0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123"/>
      <c r="DF185" s="23">
        <v>0</v>
      </c>
    </row>
    <row r="186" spans="1:110" s="23" customFormat="1" outlineLevel="1" x14ac:dyDescent="0.2">
      <c r="A186" s="23" t="s">
        <v>76</v>
      </c>
      <c r="B186" s="23">
        <f>'Annual Raw'!C78</f>
        <v>0</v>
      </c>
      <c r="C186" s="23">
        <f>'Annual Raw'!D78</f>
        <v>0</v>
      </c>
      <c r="D186" s="23">
        <f>'Annual Raw'!E78</f>
        <v>0</v>
      </c>
      <c r="E186" s="23">
        <f>'Annual Raw'!F78</f>
        <v>0</v>
      </c>
      <c r="F186" s="23">
        <f>'Annual Raw'!G78</f>
        <v>0</v>
      </c>
      <c r="G186" s="23">
        <f>'Annual Raw'!H78</f>
        <v>0</v>
      </c>
      <c r="H186" s="23">
        <f>'Annual Raw'!I78</f>
        <v>0</v>
      </c>
      <c r="I186" s="23">
        <f>'Annual Raw'!J78</f>
        <v>0</v>
      </c>
      <c r="J186" s="23">
        <f>'Annual Raw'!K78</f>
        <v>0</v>
      </c>
      <c r="K186" s="23">
        <f>'Annual Raw'!L78</f>
        <v>0</v>
      </c>
      <c r="L186" s="23">
        <f>'Annual Raw'!M78</f>
        <v>0</v>
      </c>
      <c r="M186" s="23">
        <f>'Annual Raw'!N78</f>
        <v>0</v>
      </c>
      <c r="N186" s="23">
        <f>'Annual Raw'!O78</f>
        <v>0</v>
      </c>
      <c r="O186" s="23">
        <f>'Annual Raw'!P78</f>
        <v>0</v>
      </c>
      <c r="P186" s="23">
        <f>'Annual Raw'!Q78</f>
        <v>0</v>
      </c>
      <c r="Q186" s="23">
        <f>'Annual Raw'!R78</f>
        <v>0</v>
      </c>
      <c r="R186" s="23">
        <f>'Annual Raw'!S78</f>
        <v>0</v>
      </c>
      <c r="S186" s="23">
        <f>'Annual Raw'!T78</f>
        <v>0</v>
      </c>
      <c r="T186" s="23">
        <f>'Annual Raw'!U78</f>
        <v>0</v>
      </c>
      <c r="U186" s="23">
        <f>'Annual Raw'!V78</f>
        <v>0</v>
      </c>
      <c r="V186" s="23">
        <f>'Annual Raw'!W78</f>
        <v>0</v>
      </c>
      <c r="W186" s="23">
        <f>'Annual Raw'!X78</f>
        <v>0</v>
      </c>
      <c r="X186" s="23">
        <f>'Annual Raw'!Y78</f>
        <v>0</v>
      </c>
      <c r="Y186" s="23">
        <f>'Annual Raw'!Z78</f>
        <v>0</v>
      </c>
      <c r="Z186" s="23">
        <f>'Annual Raw'!AA78</f>
        <v>3462</v>
      </c>
      <c r="AA186" s="74">
        <f t="shared" si="1464"/>
        <v>3679.719862632709</v>
      </c>
      <c r="AB186" s="74">
        <f t="shared" si="1465"/>
        <v>5164.9626319044391</v>
      </c>
      <c r="AC186" s="74">
        <f t="shared" si="1466"/>
        <v>7047.0269538256071</v>
      </c>
      <c r="AD186" s="74">
        <f t="shared" si="1467"/>
        <v>9383.2761813089128</v>
      </c>
      <c r="AE186" s="74">
        <f t="shared" si="1468"/>
        <v>12223.648362805592</v>
      </c>
      <c r="AJ186" s="23">
        <f>+'QTR Raw'!D83</f>
        <v>0</v>
      </c>
      <c r="AK186" s="23" t="e">
        <f t="shared" ref="AK186:AM186" si="1470">+AK236</f>
        <v>#DIV/0!</v>
      </c>
      <c r="AL186" s="23">
        <f>+'QTR Raw'!F83</f>
        <v>0</v>
      </c>
      <c r="AM186" s="23" t="e">
        <f t="shared" si="1470"/>
        <v>#DIV/0!</v>
      </c>
      <c r="AN186" s="23">
        <f>+'QTR Raw'!H83</f>
        <v>0</v>
      </c>
      <c r="AO186" s="23" t="e">
        <f t="shared" ref="AO186" si="1471">+AO236</f>
        <v>#DIV/0!</v>
      </c>
      <c r="AP186" s="23">
        <f>+'QTR Raw'!J83</f>
        <v>0</v>
      </c>
      <c r="AQ186" s="23" t="e">
        <f t="shared" ref="AQ186" si="1472">+AQ236</f>
        <v>#DIV/0!</v>
      </c>
      <c r="AR186" s="23">
        <f>+'QTR Raw'!L83</f>
        <v>0</v>
      </c>
      <c r="AS186" s="23" t="e">
        <f t="shared" ref="AS186" si="1473">+AS236</f>
        <v>#DIV/0!</v>
      </c>
      <c r="AT186" s="23">
        <f>+'QTR Raw'!N83</f>
        <v>0</v>
      </c>
      <c r="AU186" s="23" t="e">
        <f t="shared" ref="AU186" si="1474">+AU236</f>
        <v>#DIV/0!</v>
      </c>
      <c r="AV186" s="23">
        <f>+'QTR Raw'!P83</f>
        <v>0</v>
      </c>
      <c r="AW186" s="23" t="e">
        <f t="shared" ref="AW186" si="1475">+AW236</f>
        <v>#DIV/0!</v>
      </c>
      <c r="AX186" s="23">
        <f>+'QTR Raw'!R83</f>
        <v>0</v>
      </c>
      <c r="AY186" s="23" t="e">
        <f t="shared" ref="AY186" si="1476">+AY236</f>
        <v>#DIV/0!</v>
      </c>
      <c r="AZ186" s="23">
        <f>+'QTR Raw'!T83</f>
        <v>0</v>
      </c>
      <c r="BA186" s="23" t="e">
        <f t="shared" ref="BA186" si="1477">+BA236</f>
        <v>#DIV/0!</v>
      </c>
      <c r="BB186" s="23">
        <f>+'QTR Raw'!V83</f>
        <v>0</v>
      </c>
      <c r="BC186" s="23" t="e">
        <f t="shared" ref="BC186" si="1478">+BC236</f>
        <v>#DIV/0!</v>
      </c>
      <c r="BD186" s="23">
        <f>+'QTR Raw'!X83</f>
        <v>0</v>
      </c>
      <c r="BE186" s="23" t="e">
        <f t="shared" ref="BE186" si="1479">+BE236</f>
        <v>#DIV/0!</v>
      </c>
      <c r="BF186" s="23">
        <f>+'QTR Raw'!Z83</f>
        <v>0</v>
      </c>
      <c r="BG186" s="23" t="e">
        <f t="shared" ref="BG186" si="1480">+BG236</f>
        <v>#DIV/0!</v>
      </c>
      <c r="BH186" s="23">
        <f>+'QTR Raw'!AB83</f>
        <v>0</v>
      </c>
      <c r="BI186" s="23" t="e">
        <f t="shared" ref="BI186" si="1481">+BI236</f>
        <v>#DIV/0!</v>
      </c>
      <c r="BJ186" s="23">
        <f>+'QTR Raw'!AD83</f>
        <v>0</v>
      </c>
      <c r="BK186" s="23" t="e">
        <f t="shared" ref="BK186" si="1482">+BK236</f>
        <v>#DIV/0!</v>
      </c>
      <c r="BL186" s="23">
        <f>+'QTR Raw'!AF83</f>
        <v>0</v>
      </c>
      <c r="BM186" s="23" t="e">
        <f t="shared" ref="BM186" si="1483">+BM236</f>
        <v>#DIV/0!</v>
      </c>
      <c r="BN186" s="23">
        <f>+'QTR Raw'!AH83</f>
        <v>0</v>
      </c>
      <c r="BO186" s="23" t="e">
        <f t="shared" ref="BO186" si="1484">+BO236</f>
        <v>#DIV/0!</v>
      </c>
      <c r="BP186" s="23">
        <f>+'QTR Raw'!AJ83</f>
        <v>0</v>
      </c>
      <c r="BQ186" s="23" t="e">
        <f t="shared" ref="BQ186" si="1485">+BQ236</f>
        <v>#DIV/0!</v>
      </c>
      <c r="BR186" s="23">
        <f>+'QTR Raw'!AL83</f>
        <v>0</v>
      </c>
      <c r="BS186" s="23" t="e">
        <f t="shared" ref="BS186" si="1486">+BS236</f>
        <v>#DIV/0!</v>
      </c>
      <c r="BT186" s="23">
        <f>+'QTR Raw'!AN83</f>
        <v>0</v>
      </c>
      <c r="BU186" s="23" t="e">
        <f t="shared" ref="BU186" si="1487">+BU236</f>
        <v>#DIV/0!</v>
      </c>
      <c r="BV186" s="23">
        <f>+'QTR Raw'!AP83</f>
        <v>0</v>
      </c>
      <c r="BW186" s="23" t="e">
        <f t="shared" ref="BW186" si="1488">+BW236</f>
        <v>#DIV/0!</v>
      </c>
      <c r="BX186" s="23">
        <f>+'QTR Raw'!AR83</f>
        <v>0</v>
      </c>
      <c r="BY186" s="23" t="e">
        <f t="shared" ref="BY186" si="1489">+BY236</f>
        <v>#DIV/0!</v>
      </c>
      <c r="BZ186" s="23">
        <f>+'QTR Raw'!AT83</f>
        <v>0</v>
      </c>
      <c r="CA186" s="23" t="e">
        <f t="shared" ref="CA186" si="1490">+CA236</f>
        <v>#DIV/0!</v>
      </c>
      <c r="CB186" s="23">
        <f>+'QTR Raw'!AV83</f>
        <v>0</v>
      </c>
      <c r="CC186" s="23" t="e">
        <f t="shared" ref="CC186" si="1491">+CC236</f>
        <v>#DIV/0!</v>
      </c>
      <c r="CD186" s="23">
        <f>+'QTR Raw'!AX83</f>
        <v>0</v>
      </c>
      <c r="CE186" s="23">
        <f t="shared" ref="CE186" si="1492">+CE236</f>
        <v>145.80000000000007</v>
      </c>
      <c r="CF186" s="23">
        <f>+'QTR Raw'!AZ83</f>
        <v>0</v>
      </c>
      <c r="CG186" s="23">
        <f t="shared" ref="CG186:CI186" si="1493">+CG236</f>
        <v>476.94334712334177</v>
      </c>
      <c r="CH186" s="23">
        <f t="shared" si="1469"/>
        <v>3462</v>
      </c>
      <c r="CI186" s="23">
        <f t="shared" si="1493"/>
        <v>3756.192689545092</v>
      </c>
      <c r="CJ186" s="23">
        <f>+'QTR Raw'!BD83</f>
        <v>3462</v>
      </c>
      <c r="CK186" s="23">
        <f t="shared" ref="CK186:DB186" si="1494">+CK236</f>
        <v>3770.5510526514727</v>
      </c>
      <c r="CL186" s="23">
        <f>+'QTR Raw'!BF83</f>
        <v>3295</v>
      </c>
      <c r="CM186" s="24">
        <f t="shared" si="1494"/>
        <v>3590.2428817908276</v>
      </c>
      <c r="CN186" s="24">
        <f t="shared" si="1494"/>
        <v>3679.719862632709</v>
      </c>
      <c r="CO186" s="24">
        <f t="shared" si="1494"/>
        <v>4292.1569749691262</v>
      </c>
      <c r="CP186" s="24">
        <f t="shared" si="1494"/>
        <v>4509.6765752582387</v>
      </c>
      <c r="CQ186" s="24">
        <f t="shared" si="1494"/>
        <v>5003.9477093075202</v>
      </c>
      <c r="CR186" s="24">
        <f t="shared" si="1494"/>
        <v>5164.9626319044391</v>
      </c>
      <c r="CS186" s="24">
        <f t="shared" si="1494"/>
        <v>5839.4178314254423</v>
      </c>
      <c r="CT186" s="24">
        <f t="shared" si="1494"/>
        <v>6160.6770687640383</v>
      </c>
      <c r="CU186" s="24">
        <f t="shared" si="1494"/>
        <v>6805.9781504486336</v>
      </c>
      <c r="CV186" s="24">
        <f t="shared" si="1494"/>
        <v>7047.0269538256071</v>
      </c>
      <c r="CW186" s="24">
        <f t="shared" si="1494"/>
        <v>7871.4672369446962</v>
      </c>
      <c r="CX186" s="24">
        <f t="shared" si="1494"/>
        <v>8291.773836939994</v>
      </c>
      <c r="CY186" s="24">
        <f t="shared" si="1494"/>
        <v>9079.2274217711711</v>
      </c>
      <c r="CZ186" s="24">
        <f t="shared" si="1494"/>
        <v>9383.2761813089128</v>
      </c>
      <c r="DA186" s="24">
        <f t="shared" si="1494"/>
        <v>10375.527632987996</v>
      </c>
      <c r="DB186" s="24">
        <f t="shared" si="1494"/>
        <v>10898.124397024067</v>
      </c>
      <c r="DC186" s="24">
        <f t="shared" ref="DC186:DD186" si="1495">+DC236</f>
        <v>11844.196847081575</v>
      </c>
      <c r="DD186" s="24">
        <f t="shared" si="1495"/>
        <v>12223.648362805592</v>
      </c>
      <c r="DE186" s="123"/>
      <c r="DF186" s="23">
        <v>3462</v>
      </c>
    </row>
    <row r="187" spans="1:110" s="22" customFormat="1" x14ac:dyDescent="0.2">
      <c r="A187" s="22" t="s">
        <v>77</v>
      </c>
      <c r="B187" s="22">
        <f>B185+B186</f>
        <v>0</v>
      </c>
      <c r="C187" s="22">
        <f t="shared" ref="C187:V187" si="1496">C185+C186</f>
        <v>0</v>
      </c>
      <c r="D187" s="22">
        <f t="shared" si="1496"/>
        <v>0</v>
      </c>
      <c r="E187" s="22">
        <f t="shared" si="1496"/>
        <v>0</v>
      </c>
      <c r="F187" s="22">
        <f t="shared" si="1496"/>
        <v>0</v>
      </c>
      <c r="G187" s="22">
        <f t="shared" si="1496"/>
        <v>0</v>
      </c>
      <c r="H187" s="22">
        <f t="shared" si="1496"/>
        <v>0</v>
      </c>
      <c r="I187" s="22">
        <f t="shared" si="1496"/>
        <v>0</v>
      </c>
      <c r="J187" s="22">
        <f t="shared" si="1496"/>
        <v>0</v>
      </c>
      <c r="K187" s="22">
        <f t="shared" si="1496"/>
        <v>0</v>
      </c>
      <c r="L187" s="22">
        <f t="shared" si="1496"/>
        <v>0</v>
      </c>
      <c r="M187" s="22">
        <f t="shared" si="1496"/>
        <v>0</v>
      </c>
      <c r="N187" s="22">
        <f t="shared" si="1496"/>
        <v>0</v>
      </c>
      <c r="O187" s="22">
        <f t="shared" si="1496"/>
        <v>0</v>
      </c>
      <c r="P187" s="22">
        <f t="shared" si="1496"/>
        <v>0</v>
      </c>
      <c r="Q187" s="22">
        <f t="shared" si="1496"/>
        <v>0</v>
      </c>
      <c r="R187" s="22">
        <f t="shared" si="1496"/>
        <v>0</v>
      </c>
      <c r="S187" s="22">
        <f t="shared" si="1496"/>
        <v>0</v>
      </c>
      <c r="T187" s="22">
        <f t="shared" si="1496"/>
        <v>0</v>
      </c>
      <c r="U187" s="22">
        <f t="shared" si="1496"/>
        <v>0</v>
      </c>
      <c r="V187" s="22">
        <f t="shared" si="1496"/>
        <v>0</v>
      </c>
      <c r="W187" s="22">
        <f t="shared" ref="W187" si="1497">W185+W186</f>
        <v>0</v>
      </c>
      <c r="X187" s="22">
        <f t="shared" ref="X187:Y187" si="1498">X185+X186</f>
        <v>0</v>
      </c>
      <c r="Y187" s="22">
        <f t="shared" si="1498"/>
        <v>0</v>
      </c>
      <c r="Z187" s="22">
        <f t="shared" ref="Z187" si="1499">Z185+Z186</f>
        <v>3462</v>
      </c>
      <c r="AA187" s="21">
        <f t="shared" ref="AA187:AD187" si="1500">AA185+AA186</f>
        <v>3679.719862632709</v>
      </c>
      <c r="AB187" s="21">
        <f t="shared" si="1500"/>
        <v>5164.9626319044391</v>
      </c>
      <c r="AC187" s="21">
        <f t="shared" si="1500"/>
        <v>7047.0269538256071</v>
      </c>
      <c r="AD187" s="21">
        <f t="shared" si="1500"/>
        <v>9383.2761813089128</v>
      </c>
      <c r="AE187" s="21">
        <f t="shared" ref="AE187" si="1501">AE185+AE186</f>
        <v>12223.648362805592</v>
      </c>
      <c r="AJ187" s="22">
        <f t="shared" ref="AJ187" si="1502">AJ185+AJ186</f>
        <v>0</v>
      </c>
      <c r="AK187" s="22" t="e">
        <f t="shared" ref="AK187" si="1503">AK185+AK186</f>
        <v>#DIV/0!</v>
      </c>
      <c r="AL187" s="22">
        <f t="shared" ref="AL187:AM187" si="1504">AL185+AL186</f>
        <v>0</v>
      </c>
      <c r="AM187" s="22" t="e">
        <f t="shared" si="1504"/>
        <v>#DIV/0!</v>
      </c>
      <c r="AN187" s="22">
        <f t="shared" ref="AN187:AO187" si="1505">AN185+AN186</f>
        <v>0</v>
      </c>
      <c r="AO187" s="22" t="e">
        <f t="shared" si="1505"/>
        <v>#DIV/0!</v>
      </c>
      <c r="AP187" s="22">
        <f t="shared" ref="AP187:CE187" si="1506">AP185+AP186</f>
        <v>0</v>
      </c>
      <c r="AQ187" s="22" t="e">
        <f t="shared" si="1506"/>
        <v>#DIV/0!</v>
      </c>
      <c r="AR187" s="22">
        <f t="shared" si="1506"/>
        <v>0</v>
      </c>
      <c r="AS187" s="22" t="e">
        <f t="shared" si="1506"/>
        <v>#DIV/0!</v>
      </c>
      <c r="AT187" s="22">
        <f t="shared" si="1506"/>
        <v>0</v>
      </c>
      <c r="AU187" s="22" t="e">
        <f t="shared" si="1506"/>
        <v>#DIV/0!</v>
      </c>
      <c r="AV187" s="22">
        <f t="shared" si="1506"/>
        <v>0</v>
      </c>
      <c r="AW187" s="22" t="e">
        <f t="shared" si="1506"/>
        <v>#DIV/0!</v>
      </c>
      <c r="AX187" s="22">
        <f t="shared" si="1506"/>
        <v>0</v>
      </c>
      <c r="AY187" s="22" t="e">
        <f t="shared" si="1506"/>
        <v>#DIV/0!</v>
      </c>
      <c r="AZ187" s="22">
        <f t="shared" si="1506"/>
        <v>0</v>
      </c>
      <c r="BA187" s="22" t="e">
        <f t="shared" si="1506"/>
        <v>#DIV/0!</v>
      </c>
      <c r="BB187" s="22">
        <f t="shared" si="1506"/>
        <v>0</v>
      </c>
      <c r="BC187" s="22" t="e">
        <f t="shared" si="1506"/>
        <v>#DIV/0!</v>
      </c>
      <c r="BD187" s="22">
        <f t="shared" si="1506"/>
        <v>0</v>
      </c>
      <c r="BE187" s="22" t="e">
        <f t="shared" si="1506"/>
        <v>#DIV/0!</v>
      </c>
      <c r="BF187" s="22">
        <f t="shared" si="1506"/>
        <v>0</v>
      </c>
      <c r="BG187" s="22" t="e">
        <f t="shared" si="1506"/>
        <v>#DIV/0!</v>
      </c>
      <c r="BH187" s="22">
        <f t="shared" si="1506"/>
        <v>0</v>
      </c>
      <c r="BI187" s="22" t="e">
        <f t="shared" si="1506"/>
        <v>#DIV/0!</v>
      </c>
      <c r="BJ187" s="22">
        <f t="shared" si="1506"/>
        <v>0</v>
      </c>
      <c r="BK187" s="22" t="e">
        <f t="shared" si="1506"/>
        <v>#DIV/0!</v>
      </c>
      <c r="BL187" s="22">
        <f t="shared" si="1506"/>
        <v>0</v>
      </c>
      <c r="BM187" s="22" t="e">
        <f t="shared" si="1506"/>
        <v>#DIV/0!</v>
      </c>
      <c r="BN187" s="22">
        <f t="shared" si="1506"/>
        <v>0</v>
      </c>
      <c r="BO187" s="22" t="e">
        <f t="shared" si="1506"/>
        <v>#DIV/0!</v>
      </c>
      <c r="BP187" s="22">
        <f t="shared" si="1506"/>
        <v>0</v>
      </c>
      <c r="BQ187" s="22" t="e">
        <f t="shared" si="1506"/>
        <v>#DIV/0!</v>
      </c>
      <c r="BR187" s="22">
        <f t="shared" si="1506"/>
        <v>0</v>
      </c>
      <c r="BS187" s="22" t="e">
        <f t="shared" si="1506"/>
        <v>#DIV/0!</v>
      </c>
      <c r="BT187" s="22">
        <f t="shared" si="1506"/>
        <v>0</v>
      </c>
      <c r="BU187" s="22" t="e">
        <f t="shared" si="1506"/>
        <v>#DIV/0!</v>
      </c>
      <c r="BV187" s="22">
        <f t="shared" si="1506"/>
        <v>0</v>
      </c>
      <c r="BW187" s="22" t="e">
        <f t="shared" si="1506"/>
        <v>#DIV/0!</v>
      </c>
      <c r="BX187" s="22">
        <f t="shared" si="1506"/>
        <v>0</v>
      </c>
      <c r="BY187" s="22" t="e">
        <f t="shared" si="1506"/>
        <v>#DIV/0!</v>
      </c>
      <c r="BZ187" s="22">
        <f t="shared" si="1506"/>
        <v>0</v>
      </c>
      <c r="CA187" s="22" t="e">
        <f t="shared" si="1506"/>
        <v>#DIV/0!</v>
      </c>
      <c r="CB187" s="22">
        <f t="shared" si="1506"/>
        <v>0</v>
      </c>
      <c r="CC187" s="22" t="e">
        <f t="shared" si="1506"/>
        <v>#DIV/0!</v>
      </c>
      <c r="CD187" s="22">
        <f t="shared" si="1506"/>
        <v>0</v>
      </c>
      <c r="CE187" s="22">
        <f t="shared" si="1506"/>
        <v>145.80000000000007</v>
      </c>
      <c r="CF187" s="22">
        <f t="shared" ref="CF187:CG187" si="1507">CF185+CF186</f>
        <v>0</v>
      </c>
      <c r="CG187" s="22">
        <f t="shared" si="1507"/>
        <v>476.94334712334177</v>
      </c>
      <c r="CH187" s="22">
        <f t="shared" ref="CH187:CI187" si="1508">CH185+CH186</f>
        <v>3462</v>
      </c>
      <c r="CI187" s="22">
        <f t="shared" si="1508"/>
        <v>3756.192689545092</v>
      </c>
      <c r="CJ187" s="22">
        <f t="shared" ref="CJ187:DB187" si="1509">CJ185+CJ186</f>
        <v>3462</v>
      </c>
      <c r="CK187" s="22">
        <f t="shared" si="1509"/>
        <v>3770.5510526514727</v>
      </c>
      <c r="CL187" s="22">
        <f t="shared" ref="CL187" si="1510">CL185+CL186</f>
        <v>3295</v>
      </c>
      <c r="CM187" s="21">
        <f t="shared" si="1509"/>
        <v>3590.2428817908276</v>
      </c>
      <c r="CN187" s="21">
        <f t="shared" si="1509"/>
        <v>3679.719862632709</v>
      </c>
      <c r="CO187" s="21">
        <f t="shared" si="1509"/>
        <v>4292.1569749691262</v>
      </c>
      <c r="CP187" s="21">
        <f t="shared" si="1509"/>
        <v>4509.6765752582387</v>
      </c>
      <c r="CQ187" s="21">
        <f t="shared" si="1509"/>
        <v>5003.9477093075202</v>
      </c>
      <c r="CR187" s="21">
        <f t="shared" si="1509"/>
        <v>5164.9626319044391</v>
      </c>
      <c r="CS187" s="21">
        <f t="shared" si="1509"/>
        <v>5839.4178314254423</v>
      </c>
      <c r="CT187" s="21">
        <f t="shared" si="1509"/>
        <v>6160.6770687640383</v>
      </c>
      <c r="CU187" s="21">
        <f t="shared" si="1509"/>
        <v>6805.9781504486336</v>
      </c>
      <c r="CV187" s="21">
        <f t="shared" si="1509"/>
        <v>7047.0269538256071</v>
      </c>
      <c r="CW187" s="21">
        <f t="shared" si="1509"/>
        <v>7871.4672369446962</v>
      </c>
      <c r="CX187" s="21">
        <f t="shared" si="1509"/>
        <v>8291.773836939994</v>
      </c>
      <c r="CY187" s="21">
        <f t="shared" si="1509"/>
        <v>9079.2274217711711</v>
      </c>
      <c r="CZ187" s="21">
        <f t="shared" si="1509"/>
        <v>9383.2761813089128</v>
      </c>
      <c r="DA187" s="21">
        <f t="shared" si="1509"/>
        <v>10375.527632987996</v>
      </c>
      <c r="DB187" s="21">
        <f t="shared" si="1509"/>
        <v>10898.124397024067</v>
      </c>
      <c r="DC187" s="21">
        <f t="shared" ref="DC187:DD187" si="1511">DC185+DC186</f>
        <v>11844.196847081575</v>
      </c>
      <c r="DD187" s="21">
        <f t="shared" si="1511"/>
        <v>12223.648362805592</v>
      </c>
      <c r="DE187" s="126"/>
      <c r="DF187" s="22">
        <v>3462</v>
      </c>
    </row>
    <row r="188" spans="1:110" s="23" customFormat="1" x14ac:dyDescent="0.2">
      <c r="AA188" s="24"/>
      <c r="AB188" s="24"/>
      <c r="AC188" s="24"/>
      <c r="AD188" s="24"/>
      <c r="AE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123"/>
    </row>
    <row r="189" spans="1:110" s="23" customFormat="1" x14ac:dyDescent="0.2">
      <c r="A189" s="23" t="s">
        <v>78</v>
      </c>
      <c r="B189" s="23">
        <f>-'Annual Raw'!C49</f>
        <v>0</v>
      </c>
      <c r="C189" s="23">
        <f>-'Annual Raw'!D49</f>
        <v>0</v>
      </c>
      <c r="D189" s="23">
        <f>-'Annual Raw'!E49</f>
        <v>0</v>
      </c>
      <c r="E189" s="23">
        <f>-'Annual Raw'!F49</f>
        <v>0</v>
      </c>
      <c r="F189" s="23">
        <f>-'Annual Raw'!G49</f>
        <v>0</v>
      </c>
      <c r="G189" s="23">
        <f>-'Annual Raw'!H49</f>
        <v>0</v>
      </c>
      <c r="H189" s="23">
        <f>-'Annual Raw'!I49</f>
        <v>0</v>
      </c>
      <c r="I189" s="23">
        <f>-'Annual Raw'!J49</f>
        <v>0</v>
      </c>
      <c r="J189" s="23">
        <f>-'Annual Raw'!K49</f>
        <v>0</v>
      </c>
      <c r="K189" s="23">
        <f>-'Annual Raw'!L49</f>
        <v>0</v>
      </c>
      <c r="L189" s="23">
        <f>-'Annual Raw'!M49</f>
        <v>0</v>
      </c>
      <c r="M189" s="23">
        <f>-'Annual Raw'!N49</f>
        <v>0</v>
      </c>
      <c r="N189" s="23">
        <f>-'Annual Raw'!O49</f>
        <v>0</v>
      </c>
      <c r="O189" s="23">
        <f>-'Annual Raw'!P49</f>
        <v>0</v>
      </c>
      <c r="P189" s="23">
        <f>-'Annual Raw'!Q49</f>
        <v>0</v>
      </c>
      <c r="Q189" s="23">
        <f>-'Annual Raw'!R49</f>
        <v>0</v>
      </c>
      <c r="R189" s="23">
        <f>-'Annual Raw'!S49</f>
        <v>0</v>
      </c>
      <c r="S189" s="23">
        <f>-'Annual Raw'!T49</f>
        <v>0</v>
      </c>
      <c r="T189" s="23">
        <f>-'Annual Raw'!U49</f>
        <v>0</v>
      </c>
      <c r="U189" s="23">
        <f>-'Annual Raw'!V49</f>
        <v>0</v>
      </c>
      <c r="V189" s="23">
        <f>-'Annual Raw'!W49</f>
        <v>0</v>
      </c>
      <c r="W189" s="23">
        <f>-'Annual Raw'!X49</f>
        <v>0</v>
      </c>
      <c r="X189" s="23">
        <f>-'Annual Raw'!Y49</f>
        <v>0</v>
      </c>
      <c r="Y189" s="23">
        <f>-'Annual Raw'!Z49</f>
        <v>159.69999999999999</v>
      </c>
      <c r="Z189" s="23">
        <f>-'Annual Raw'!AA49</f>
        <v>210.4</v>
      </c>
      <c r="AA189" s="74">
        <f t="shared" ref="AA189:AA190" si="1512">+CN189</f>
        <v>247.6</v>
      </c>
      <c r="AB189" s="74">
        <f t="shared" ref="AB189:AB190" si="1513">CR189</f>
        <v>247.6</v>
      </c>
      <c r="AC189" s="74">
        <f t="shared" ref="AC189:AC190" si="1514">CV189</f>
        <v>247.6</v>
      </c>
      <c r="AD189" s="74">
        <f t="shared" ref="AD189:AD190" si="1515">CZ189</f>
        <v>247.6</v>
      </c>
      <c r="AE189" s="74">
        <f t="shared" ref="AE189:AE190" si="1516">DD189</f>
        <v>247.6</v>
      </c>
      <c r="AJ189" s="23">
        <f>+'QTR Raw'!D96</f>
        <v>0</v>
      </c>
      <c r="AK189" s="23">
        <f t="shared" ref="AK189:CE189" si="1517">+AJ189</f>
        <v>0</v>
      </c>
      <c r="AL189" s="23">
        <f>+'QTR Raw'!F96</f>
        <v>0</v>
      </c>
      <c r="AM189" s="23">
        <f t="shared" si="1517"/>
        <v>0</v>
      </c>
      <c r="AN189" s="23">
        <f>+'QTR Raw'!H96</f>
        <v>0</v>
      </c>
      <c r="AO189" s="23">
        <f t="shared" si="1517"/>
        <v>0</v>
      </c>
      <c r="AP189" s="23">
        <f>+'QTR Raw'!J96</f>
        <v>0</v>
      </c>
      <c r="AQ189" s="23">
        <f t="shared" si="1517"/>
        <v>0</v>
      </c>
      <c r="AR189" s="23">
        <f>+'QTR Raw'!L96</f>
        <v>0</v>
      </c>
      <c r="AS189" s="23">
        <f t="shared" si="1517"/>
        <v>0</v>
      </c>
      <c r="AT189" s="23">
        <f>+'QTR Raw'!N96</f>
        <v>0</v>
      </c>
      <c r="AU189" s="23">
        <f t="shared" si="1517"/>
        <v>0</v>
      </c>
      <c r="AV189" s="23">
        <f>+'QTR Raw'!P96</f>
        <v>0</v>
      </c>
      <c r="AW189" s="23">
        <f t="shared" si="1517"/>
        <v>0</v>
      </c>
      <c r="AX189" s="23">
        <f>+'QTR Raw'!R96</f>
        <v>0</v>
      </c>
      <c r="AY189" s="23">
        <f t="shared" si="1517"/>
        <v>0</v>
      </c>
      <c r="AZ189" s="23">
        <f>+'QTR Raw'!T96</f>
        <v>0</v>
      </c>
      <c r="BA189" s="23">
        <f t="shared" si="1517"/>
        <v>0</v>
      </c>
      <c r="BB189" s="23">
        <f>+'QTR Raw'!V96</f>
        <v>0</v>
      </c>
      <c r="BC189" s="23">
        <f t="shared" si="1517"/>
        <v>0</v>
      </c>
      <c r="BD189" s="23">
        <f>+'QTR Raw'!X96</f>
        <v>0</v>
      </c>
      <c r="BE189" s="23">
        <f t="shared" si="1517"/>
        <v>0</v>
      </c>
      <c r="BF189" s="23">
        <f>+'QTR Raw'!Z96</f>
        <v>0</v>
      </c>
      <c r="BG189" s="23">
        <f t="shared" si="1517"/>
        <v>0</v>
      </c>
      <c r="BH189" s="23">
        <f>+'QTR Raw'!AB96</f>
        <v>0</v>
      </c>
      <c r="BI189" s="23">
        <f t="shared" si="1517"/>
        <v>0</v>
      </c>
      <c r="BJ189" s="23">
        <f>+'QTR Raw'!AD96</f>
        <v>0</v>
      </c>
      <c r="BK189" s="23">
        <f t="shared" si="1517"/>
        <v>0</v>
      </c>
      <c r="BL189" s="23">
        <f>+'QTR Raw'!AF96</f>
        <v>0</v>
      </c>
      <c r="BM189" s="23">
        <f t="shared" si="1517"/>
        <v>0</v>
      </c>
      <c r="BN189" s="23">
        <f>+'QTR Raw'!AH96</f>
        <v>0</v>
      </c>
      <c r="BO189" s="23">
        <f t="shared" si="1517"/>
        <v>0</v>
      </c>
      <c r="BP189" s="23">
        <f>+'QTR Raw'!AJ96</f>
        <v>0</v>
      </c>
      <c r="BQ189" s="23">
        <f t="shared" si="1517"/>
        <v>0</v>
      </c>
      <c r="BR189" s="23">
        <f>+'QTR Raw'!AL96</f>
        <v>0</v>
      </c>
      <c r="BS189" s="23">
        <f t="shared" si="1517"/>
        <v>0</v>
      </c>
      <c r="BT189" s="23">
        <f>+'QTR Raw'!AN96</f>
        <v>0</v>
      </c>
      <c r="BU189" s="23">
        <f t="shared" si="1517"/>
        <v>0</v>
      </c>
      <c r="BV189" s="23">
        <f>+'QTR Raw'!AP96</f>
        <v>0</v>
      </c>
      <c r="BW189" s="23">
        <f t="shared" si="1517"/>
        <v>0</v>
      </c>
      <c r="BX189" s="23">
        <f>+'QTR Raw'!AR96</f>
        <v>0</v>
      </c>
      <c r="BY189" s="23">
        <f t="shared" si="1517"/>
        <v>0</v>
      </c>
      <c r="BZ189" s="23">
        <f>+'QTR Raw'!AT96</f>
        <v>0</v>
      </c>
      <c r="CA189" s="23">
        <f t="shared" si="1517"/>
        <v>0</v>
      </c>
      <c r="CB189" s="23">
        <f>+'QTR Raw'!AV96</f>
        <v>0</v>
      </c>
      <c r="CC189" s="23">
        <f t="shared" si="1517"/>
        <v>0</v>
      </c>
      <c r="CD189" s="23">
        <f>+'QTR Raw'!AX96</f>
        <v>0</v>
      </c>
      <c r="CE189" s="23">
        <f t="shared" si="1517"/>
        <v>0</v>
      </c>
      <c r="CF189" s="23">
        <f>+'QTR Raw'!AZ96</f>
        <v>159.69999999999999</v>
      </c>
      <c r="CG189" s="23">
        <f t="shared" ref="CG189:CI190" si="1518">+CF189</f>
        <v>159.69999999999999</v>
      </c>
      <c r="CH189" s="23">
        <f t="shared" ref="CH189:CH190" si="1519">Z189</f>
        <v>210.4</v>
      </c>
      <c r="CI189" s="23">
        <f t="shared" si="1518"/>
        <v>210.4</v>
      </c>
      <c r="CJ189" s="23">
        <f>+'QTR Raw'!BD96</f>
        <v>210.4</v>
      </c>
      <c r="CK189" s="23">
        <f t="shared" ref="CK189:CK190" si="1520">+CJ189</f>
        <v>210.4</v>
      </c>
      <c r="CL189" s="23">
        <f>+'QTR Raw'!BF96</f>
        <v>247.6</v>
      </c>
      <c r="CM189" s="24">
        <f t="shared" ref="CM189:CM190" si="1521">+CL189</f>
        <v>247.6</v>
      </c>
      <c r="CN189" s="24">
        <f t="shared" ref="CN189:CN190" si="1522">+CM189</f>
        <v>247.6</v>
      </c>
      <c r="CO189" s="24">
        <f t="shared" ref="CO189:CO190" si="1523">+CN189</f>
        <v>247.6</v>
      </c>
      <c r="CP189" s="24">
        <f t="shared" ref="CP189:CP190" si="1524">+CO189</f>
        <v>247.6</v>
      </c>
      <c r="CQ189" s="24">
        <f t="shared" ref="CQ189:CQ190" si="1525">+CP189</f>
        <v>247.6</v>
      </c>
      <c r="CR189" s="24">
        <f t="shared" ref="CR189:CR190" si="1526">+CQ189</f>
        <v>247.6</v>
      </c>
      <c r="CS189" s="24">
        <f t="shared" ref="CS189:CS190" si="1527">+CR189</f>
        <v>247.6</v>
      </c>
      <c r="CT189" s="24">
        <f t="shared" ref="CT189:CT190" si="1528">+CS189</f>
        <v>247.6</v>
      </c>
      <c r="CU189" s="24">
        <f t="shared" ref="CU189:CU190" si="1529">+CT189</f>
        <v>247.6</v>
      </c>
      <c r="CV189" s="24">
        <f t="shared" ref="CV189:CV190" si="1530">+CU189</f>
        <v>247.6</v>
      </c>
      <c r="CW189" s="24">
        <f t="shared" ref="CW189:CW190" si="1531">+CV189</f>
        <v>247.6</v>
      </c>
      <c r="CX189" s="24">
        <f t="shared" ref="CX189:CX190" si="1532">+CW189</f>
        <v>247.6</v>
      </c>
      <c r="CY189" s="24">
        <f t="shared" ref="CY189:CY190" si="1533">+CX189</f>
        <v>247.6</v>
      </c>
      <c r="CZ189" s="24">
        <f t="shared" ref="CZ189:CZ190" si="1534">+CY189</f>
        <v>247.6</v>
      </c>
      <c r="DA189" s="24">
        <f t="shared" ref="DA189:DA190" si="1535">+CZ189</f>
        <v>247.6</v>
      </c>
      <c r="DB189" s="24">
        <f t="shared" ref="DB189:DB190" si="1536">+DA189</f>
        <v>247.6</v>
      </c>
      <c r="DC189" s="24">
        <f t="shared" ref="DC189:DC190" si="1537">+DB189</f>
        <v>247.6</v>
      </c>
      <c r="DD189" s="24">
        <f t="shared" ref="DD189:DD190" si="1538">+DC189</f>
        <v>247.6</v>
      </c>
      <c r="DE189" s="123"/>
      <c r="DF189" s="23">
        <v>210.4</v>
      </c>
    </row>
    <row r="190" spans="1:110" s="23" customFormat="1" x14ac:dyDescent="0.2">
      <c r="A190" s="23" t="s">
        <v>79</v>
      </c>
      <c r="B190" s="23">
        <f>'Annual Raw'!C83</f>
        <v>0</v>
      </c>
      <c r="C190" s="23">
        <f>'Annual Raw'!D83</f>
        <v>0</v>
      </c>
      <c r="D190" s="23">
        <f>'Annual Raw'!E83</f>
        <v>0</v>
      </c>
      <c r="E190" s="23">
        <f>'Annual Raw'!F83</f>
        <v>0</v>
      </c>
      <c r="F190" s="23">
        <f>'Annual Raw'!G83</f>
        <v>0</v>
      </c>
      <c r="G190" s="23">
        <f>'Annual Raw'!H83</f>
        <v>0</v>
      </c>
      <c r="H190" s="23">
        <f>'Annual Raw'!I83</f>
        <v>0</v>
      </c>
      <c r="I190" s="23">
        <f>'Annual Raw'!J83</f>
        <v>0</v>
      </c>
      <c r="J190" s="23">
        <f>'Annual Raw'!K83</f>
        <v>0</v>
      </c>
      <c r="K190" s="23">
        <f>'Annual Raw'!L83</f>
        <v>0</v>
      </c>
      <c r="L190" s="23">
        <f>'Annual Raw'!M83</f>
        <v>0</v>
      </c>
      <c r="M190" s="23">
        <f>'Annual Raw'!N83</f>
        <v>0</v>
      </c>
      <c r="N190" s="23">
        <f>'Annual Raw'!O83</f>
        <v>0</v>
      </c>
      <c r="O190" s="23">
        <f>'Annual Raw'!P83</f>
        <v>0</v>
      </c>
      <c r="P190" s="23">
        <f>'Annual Raw'!Q83</f>
        <v>0</v>
      </c>
      <c r="Q190" s="23">
        <f>'Annual Raw'!R83</f>
        <v>0</v>
      </c>
      <c r="R190" s="23">
        <f>'Annual Raw'!S83</f>
        <v>0</v>
      </c>
      <c r="S190" s="23">
        <f>'Annual Raw'!T83</f>
        <v>0</v>
      </c>
      <c r="T190" s="23">
        <f>'Annual Raw'!U83</f>
        <v>0</v>
      </c>
      <c r="U190" s="23">
        <f>'Annual Raw'!V83</f>
        <v>0</v>
      </c>
      <c r="V190" s="23">
        <f>'Annual Raw'!W83</f>
        <v>0</v>
      </c>
      <c r="W190" s="23">
        <f>'Annual Raw'!X83</f>
        <v>0</v>
      </c>
      <c r="X190" s="23">
        <f>'Annual Raw'!Y83</f>
        <v>0</v>
      </c>
      <c r="Y190" s="23">
        <f>'Annual Raw'!Z83</f>
        <v>0</v>
      </c>
      <c r="Z190" s="23">
        <f>'Annual Raw'!AA83</f>
        <v>0</v>
      </c>
      <c r="AA190" s="74">
        <f t="shared" si="1512"/>
        <v>0</v>
      </c>
      <c r="AB190" s="74">
        <f t="shared" si="1513"/>
        <v>0</v>
      </c>
      <c r="AC190" s="74">
        <f t="shared" si="1514"/>
        <v>0</v>
      </c>
      <c r="AD190" s="74">
        <f t="shared" si="1515"/>
        <v>0</v>
      </c>
      <c r="AE190" s="74">
        <f t="shared" si="1516"/>
        <v>0</v>
      </c>
      <c r="AJ190" s="23">
        <f>+'QTR Raw'!D95</f>
        <v>0</v>
      </c>
      <c r="AK190" s="23">
        <f t="shared" ref="AK190:CE190" si="1539">+AJ190</f>
        <v>0</v>
      </c>
      <c r="AL190" s="23">
        <f>+'QTR Raw'!F95</f>
        <v>0</v>
      </c>
      <c r="AM190" s="23">
        <f t="shared" si="1539"/>
        <v>0</v>
      </c>
      <c r="AN190" s="23">
        <f>+'QTR Raw'!H95</f>
        <v>0</v>
      </c>
      <c r="AO190" s="23">
        <f t="shared" si="1539"/>
        <v>0</v>
      </c>
      <c r="AP190" s="23">
        <f>+'QTR Raw'!J95</f>
        <v>0</v>
      </c>
      <c r="AQ190" s="23">
        <f t="shared" si="1539"/>
        <v>0</v>
      </c>
      <c r="AR190" s="23">
        <f>+'QTR Raw'!L95</f>
        <v>0</v>
      </c>
      <c r="AS190" s="23">
        <f t="shared" si="1539"/>
        <v>0</v>
      </c>
      <c r="AT190" s="23">
        <f>+'QTR Raw'!N95</f>
        <v>0</v>
      </c>
      <c r="AU190" s="23">
        <f t="shared" si="1539"/>
        <v>0</v>
      </c>
      <c r="AV190" s="23">
        <f>+'QTR Raw'!P95</f>
        <v>0</v>
      </c>
      <c r="AW190" s="23">
        <f t="shared" si="1539"/>
        <v>0</v>
      </c>
      <c r="AX190" s="23">
        <f>+'QTR Raw'!R95</f>
        <v>0</v>
      </c>
      <c r="AY190" s="23">
        <f t="shared" si="1539"/>
        <v>0</v>
      </c>
      <c r="AZ190" s="23">
        <f>+'QTR Raw'!T95</f>
        <v>0</v>
      </c>
      <c r="BA190" s="23">
        <f t="shared" si="1539"/>
        <v>0</v>
      </c>
      <c r="BB190" s="23">
        <f>+'QTR Raw'!V95</f>
        <v>0</v>
      </c>
      <c r="BC190" s="23">
        <f t="shared" si="1539"/>
        <v>0</v>
      </c>
      <c r="BD190" s="23">
        <f>+'QTR Raw'!X95</f>
        <v>0</v>
      </c>
      <c r="BE190" s="23">
        <f t="shared" si="1539"/>
        <v>0</v>
      </c>
      <c r="BF190" s="23">
        <f>+'QTR Raw'!Z95</f>
        <v>0</v>
      </c>
      <c r="BG190" s="23">
        <f t="shared" si="1539"/>
        <v>0</v>
      </c>
      <c r="BH190" s="23">
        <f>+'QTR Raw'!AB95</f>
        <v>0</v>
      </c>
      <c r="BI190" s="23">
        <f t="shared" si="1539"/>
        <v>0</v>
      </c>
      <c r="BJ190" s="23">
        <f>+'QTR Raw'!AD95</f>
        <v>0</v>
      </c>
      <c r="BK190" s="23">
        <f t="shared" si="1539"/>
        <v>0</v>
      </c>
      <c r="BL190" s="23">
        <f>+'QTR Raw'!AF95</f>
        <v>0</v>
      </c>
      <c r="BM190" s="23">
        <f t="shared" si="1539"/>
        <v>0</v>
      </c>
      <c r="BN190" s="23">
        <f>+'QTR Raw'!AH95</f>
        <v>0</v>
      </c>
      <c r="BO190" s="23">
        <f t="shared" si="1539"/>
        <v>0</v>
      </c>
      <c r="BP190" s="23">
        <f>+'QTR Raw'!AJ95</f>
        <v>0</v>
      </c>
      <c r="BQ190" s="23">
        <f t="shared" si="1539"/>
        <v>0</v>
      </c>
      <c r="BR190" s="23">
        <f>+'QTR Raw'!AL95</f>
        <v>0</v>
      </c>
      <c r="BS190" s="23">
        <f t="shared" si="1539"/>
        <v>0</v>
      </c>
      <c r="BT190" s="23">
        <f>+'QTR Raw'!AN95</f>
        <v>0</v>
      </c>
      <c r="BU190" s="23">
        <f t="shared" si="1539"/>
        <v>0</v>
      </c>
      <c r="BV190" s="23">
        <f>+'QTR Raw'!AP95</f>
        <v>0</v>
      </c>
      <c r="BW190" s="23">
        <f t="shared" si="1539"/>
        <v>0</v>
      </c>
      <c r="BX190" s="23">
        <f>+'QTR Raw'!AR95</f>
        <v>0</v>
      </c>
      <c r="BY190" s="23">
        <f t="shared" si="1539"/>
        <v>0</v>
      </c>
      <c r="BZ190" s="23">
        <f>+'QTR Raw'!AT95</f>
        <v>0</v>
      </c>
      <c r="CA190" s="23">
        <f t="shared" si="1539"/>
        <v>0</v>
      </c>
      <c r="CB190" s="23">
        <f>+'QTR Raw'!AV95</f>
        <v>0</v>
      </c>
      <c r="CC190" s="23">
        <f t="shared" si="1539"/>
        <v>0</v>
      </c>
      <c r="CD190" s="23">
        <f>+'QTR Raw'!AX95</f>
        <v>0</v>
      </c>
      <c r="CE190" s="23">
        <f t="shared" si="1539"/>
        <v>0</v>
      </c>
      <c r="CF190" s="23">
        <f>+'QTR Raw'!AZ95</f>
        <v>0</v>
      </c>
      <c r="CG190" s="23">
        <f t="shared" si="1518"/>
        <v>0</v>
      </c>
      <c r="CH190" s="23">
        <f t="shared" si="1519"/>
        <v>0</v>
      </c>
      <c r="CI190" s="23">
        <f t="shared" si="1518"/>
        <v>0</v>
      </c>
      <c r="CJ190" s="23">
        <f>+'QTR Raw'!BD95</f>
        <v>0</v>
      </c>
      <c r="CK190" s="23">
        <f t="shared" si="1520"/>
        <v>0</v>
      </c>
      <c r="CL190" s="23">
        <f>+'QTR Raw'!BF95</f>
        <v>0</v>
      </c>
      <c r="CM190" s="24">
        <f t="shared" si="1521"/>
        <v>0</v>
      </c>
      <c r="CN190" s="24">
        <f t="shared" si="1522"/>
        <v>0</v>
      </c>
      <c r="CO190" s="24">
        <f t="shared" si="1523"/>
        <v>0</v>
      </c>
      <c r="CP190" s="24">
        <f t="shared" si="1524"/>
        <v>0</v>
      </c>
      <c r="CQ190" s="24">
        <f t="shared" si="1525"/>
        <v>0</v>
      </c>
      <c r="CR190" s="24">
        <f t="shared" si="1526"/>
        <v>0</v>
      </c>
      <c r="CS190" s="24">
        <f t="shared" si="1527"/>
        <v>0</v>
      </c>
      <c r="CT190" s="24">
        <f t="shared" si="1528"/>
        <v>0</v>
      </c>
      <c r="CU190" s="24">
        <f t="shared" si="1529"/>
        <v>0</v>
      </c>
      <c r="CV190" s="24">
        <f t="shared" si="1530"/>
        <v>0</v>
      </c>
      <c r="CW190" s="24">
        <f t="shared" si="1531"/>
        <v>0</v>
      </c>
      <c r="CX190" s="24">
        <f t="shared" si="1532"/>
        <v>0</v>
      </c>
      <c r="CY190" s="24">
        <f t="shared" si="1533"/>
        <v>0</v>
      </c>
      <c r="CZ190" s="24">
        <f t="shared" si="1534"/>
        <v>0</v>
      </c>
      <c r="DA190" s="24">
        <f t="shared" si="1535"/>
        <v>0</v>
      </c>
      <c r="DB190" s="24">
        <f t="shared" si="1536"/>
        <v>0</v>
      </c>
      <c r="DC190" s="24">
        <f t="shared" si="1537"/>
        <v>0</v>
      </c>
      <c r="DD190" s="24">
        <f t="shared" si="1538"/>
        <v>0</v>
      </c>
      <c r="DE190" s="123"/>
      <c r="DF190" s="23">
        <v>0</v>
      </c>
    </row>
    <row r="191" spans="1:110" s="26" customFormat="1" x14ac:dyDescent="0.2">
      <c r="A191" s="26" t="s">
        <v>438</v>
      </c>
      <c r="B191" s="26">
        <f t="shared" ref="B191:W191" si="1540">B189+B187+B183+B166+B164+B190</f>
        <v>0</v>
      </c>
      <c r="C191" s="26">
        <f t="shared" si="1540"/>
        <v>0</v>
      </c>
      <c r="D191" s="26">
        <f t="shared" si="1540"/>
        <v>0</v>
      </c>
      <c r="E191" s="26">
        <f t="shared" si="1540"/>
        <v>0</v>
      </c>
      <c r="F191" s="26">
        <f t="shared" si="1540"/>
        <v>0</v>
      </c>
      <c r="G191" s="26">
        <f t="shared" si="1540"/>
        <v>0</v>
      </c>
      <c r="H191" s="26">
        <f t="shared" si="1540"/>
        <v>0</v>
      </c>
      <c r="I191" s="26">
        <f t="shared" si="1540"/>
        <v>0</v>
      </c>
      <c r="J191" s="26">
        <f t="shared" si="1540"/>
        <v>0</v>
      </c>
      <c r="K191" s="26">
        <f t="shared" si="1540"/>
        <v>0</v>
      </c>
      <c r="L191" s="26">
        <f t="shared" si="1540"/>
        <v>0</v>
      </c>
      <c r="M191" s="26">
        <f t="shared" si="1540"/>
        <v>0</v>
      </c>
      <c r="N191" s="26">
        <f t="shared" si="1540"/>
        <v>0</v>
      </c>
      <c r="O191" s="26">
        <f t="shared" si="1540"/>
        <v>0</v>
      </c>
      <c r="P191" s="26">
        <f t="shared" si="1540"/>
        <v>0</v>
      </c>
      <c r="Q191" s="26">
        <f t="shared" si="1540"/>
        <v>0</v>
      </c>
      <c r="R191" s="26">
        <f t="shared" si="1540"/>
        <v>0</v>
      </c>
      <c r="S191" s="26">
        <f t="shared" si="1540"/>
        <v>0</v>
      </c>
      <c r="T191" s="26">
        <f t="shared" si="1540"/>
        <v>0</v>
      </c>
      <c r="U191" s="26">
        <f t="shared" si="1540"/>
        <v>0</v>
      </c>
      <c r="V191" s="26">
        <f t="shared" si="1540"/>
        <v>0</v>
      </c>
      <c r="W191" s="26">
        <f t="shared" si="1540"/>
        <v>0</v>
      </c>
      <c r="X191" s="26">
        <f t="shared" ref="X191:Y191" si="1541">X189+X187+X183+X166+X164+X190</f>
        <v>0</v>
      </c>
      <c r="Y191" s="26">
        <f t="shared" si="1541"/>
        <v>3216.8000000000006</v>
      </c>
      <c r="Z191" s="26">
        <f t="shared" ref="Z191" si="1542">Z189+Z187+Z183+Z166+Z164+Z190</f>
        <v>4381.2999999999984</v>
      </c>
      <c r="AA191" s="27">
        <f t="shared" ref="AA191:AD191" si="1543">AA189+AA187+AA183+AA166+AA164+AA190</f>
        <v>5643.3998884262201</v>
      </c>
      <c r="AB191" s="27">
        <f t="shared" si="1543"/>
        <v>7537.6958763441016</v>
      </c>
      <c r="AC191" s="27">
        <f t="shared" si="1543"/>
        <v>9833.7828384618224</v>
      </c>
      <c r="AD191" s="27">
        <f t="shared" si="1543"/>
        <v>12558.108221527124</v>
      </c>
      <c r="AE191" s="27">
        <f t="shared" ref="AE191" si="1544">AE189+AE187+AE183+AE166+AE164+AE190</f>
        <v>15782.825281245659</v>
      </c>
      <c r="AJ191" s="26">
        <f t="shared" ref="AJ191" si="1545">AJ189+AJ187+AJ183+AJ166+AJ164+AJ190</f>
        <v>0</v>
      </c>
      <c r="AK191" s="26" t="e">
        <f t="shared" ref="AK191:AL191" si="1546">AK189+AK187+AK183+AK166+AK164+AK190</f>
        <v>#DIV/0!</v>
      </c>
      <c r="AL191" s="26">
        <f t="shared" si="1546"/>
        <v>0</v>
      </c>
      <c r="AM191" s="26" t="e">
        <f t="shared" ref="AM191:AO191" si="1547">AM189+AM187+AM183+AM166+AM164+AM190</f>
        <v>#DIV/0!</v>
      </c>
      <c r="AN191" s="26">
        <f t="shared" si="1547"/>
        <v>0</v>
      </c>
      <c r="AO191" s="26" t="e">
        <f t="shared" si="1547"/>
        <v>#DIV/0!</v>
      </c>
      <c r="AP191" s="26">
        <f t="shared" ref="AP191:CE191" si="1548">AP189+AP187+AP183+AP166+AP164+AP190</f>
        <v>0</v>
      </c>
      <c r="AQ191" s="26" t="e">
        <f t="shared" si="1548"/>
        <v>#DIV/0!</v>
      </c>
      <c r="AR191" s="26">
        <f t="shared" si="1548"/>
        <v>0</v>
      </c>
      <c r="AS191" s="26" t="e">
        <f t="shared" si="1548"/>
        <v>#DIV/0!</v>
      </c>
      <c r="AT191" s="26">
        <f t="shared" si="1548"/>
        <v>0</v>
      </c>
      <c r="AU191" s="26" t="e">
        <f t="shared" si="1548"/>
        <v>#DIV/0!</v>
      </c>
      <c r="AV191" s="26">
        <f t="shared" si="1548"/>
        <v>0</v>
      </c>
      <c r="AW191" s="26" t="e">
        <f t="shared" si="1548"/>
        <v>#DIV/0!</v>
      </c>
      <c r="AX191" s="26">
        <f t="shared" si="1548"/>
        <v>0</v>
      </c>
      <c r="AY191" s="26" t="e">
        <f t="shared" si="1548"/>
        <v>#DIV/0!</v>
      </c>
      <c r="AZ191" s="26">
        <f t="shared" si="1548"/>
        <v>0</v>
      </c>
      <c r="BA191" s="26" t="e">
        <f t="shared" si="1548"/>
        <v>#DIV/0!</v>
      </c>
      <c r="BB191" s="26">
        <f t="shared" si="1548"/>
        <v>0</v>
      </c>
      <c r="BC191" s="26" t="e">
        <f t="shared" si="1548"/>
        <v>#DIV/0!</v>
      </c>
      <c r="BD191" s="26">
        <f t="shared" si="1548"/>
        <v>0</v>
      </c>
      <c r="BE191" s="26" t="e">
        <f t="shared" si="1548"/>
        <v>#DIV/0!</v>
      </c>
      <c r="BF191" s="26">
        <f t="shared" si="1548"/>
        <v>0</v>
      </c>
      <c r="BG191" s="26" t="e">
        <f t="shared" si="1548"/>
        <v>#DIV/0!</v>
      </c>
      <c r="BH191" s="26">
        <f t="shared" ref="BH191" si="1549">BH189+BH187+BH183+BH166+BH164+BH190</f>
        <v>0</v>
      </c>
      <c r="BI191" s="26" t="e">
        <f t="shared" si="1548"/>
        <v>#DIV/0!</v>
      </c>
      <c r="BJ191" s="26">
        <f t="shared" si="1548"/>
        <v>0</v>
      </c>
      <c r="BK191" s="26" t="e">
        <f t="shared" si="1548"/>
        <v>#DIV/0!</v>
      </c>
      <c r="BL191" s="26">
        <f t="shared" si="1548"/>
        <v>0</v>
      </c>
      <c r="BM191" s="26" t="e">
        <f t="shared" si="1548"/>
        <v>#DIV/0!</v>
      </c>
      <c r="BN191" s="26">
        <f t="shared" si="1548"/>
        <v>0</v>
      </c>
      <c r="BO191" s="26" t="e">
        <f t="shared" si="1548"/>
        <v>#DIV/0!</v>
      </c>
      <c r="BP191" s="26">
        <f t="shared" si="1548"/>
        <v>0</v>
      </c>
      <c r="BQ191" s="26" t="e">
        <f t="shared" si="1548"/>
        <v>#DIV/0!</v>
      </c>
      <c r="BR191" s="26">
        <f t="shared" si="1548"/>
        <v>0</v>
      </c>
      <c r="BS191" s="26" t="e">
        <f t="shared" si="1548"/>
        <v>#DIV/0!</v>
      </c>
      <c r="BT191" s="26">
        <f t="shared" si="1548"/>
        <v>0</v>
      </c>
      <c r="BU191" s="26" t="e">
        <f t="shared" si="1548"/>
        <v>#DIV/0!</v>
      </c>
      <c r="BV191" s="26">
        <f t="shared" si="1548"/>
        <v>0</v>
      </c>
      <c r="BW191" s="26" t="e">
        <f t="shared" si="1548"/>
        <v>#DIV/0!</v>
      </c>
      <c r="BX191" s="26">
        <f t="shared" si="1548"/>
        <v>0</v>
      </c>
      <c r="BY191" s="26" t="e">
        <f t="shared" si="1548"/>
        <v>#DIV/0!</v>
      </c>
      <c r="BZ191" s="26">
        <f t="shared" si="1548"/>
        <v>0</v>
      </c>
      <c r="CA191" s="26" t="e">
        <f t="shared" si="1548"/>
        <v>#DIV/0!</v>
      </c>
      <c r="CB191" s="26">
        <f t="shared" si="1548"/>
        <v>0</v>
      </c>
      <c r="CC191" s="26" t="e">
        <f t="shared" si="1548"/>
        <v>#DIV/0!</v>
      </c>
      <c r="CD191" s="26">
        <f t="shared" si="1548"/>
        <v>0</v>
      </c>
      <c r="CE191" s="26">
        <f t="shared" si="1548"/>
        <v>145.80000000000007</v>
      </c>
      <c r="CF191" s="26">
        <f t="shared" ref="CF191:CG191" si="1550">CF189+CF187+CF183+CF166+CF164+CF190</f>
        <v>3216.8000000000011</v>
      </c>
      <c r="CG191" s="26">
        <f t="shared" si="1550"/>
        <v>3448.5000000000014</v>
      </c>
      <c r="CH191" s="26">
        <f t="shared" ref="CH191:CI191" si="1551">CH189+CH187+CH183+CH166+CH164+CH190</f>
        <v>4381.2999999999984</v>
      </c>
      <c r="CI191" s="26">
        <f t="shared" si="1551"/>
        <v>4643.9999999999982</v>
      </c>
      <c r="CJ191" s="26">
        <f t="shared" ref="CJ191:DB191" si="1552">CJ189+CJ187+CJ183+CJ166+CJ164+CJ190</f>
        <v>4381.2999999999993</v>
      </c>
      <c r="CK191" s="26">
        <f t="shared" si="1552"/>
        <v>4694.2</v>
      </c>
      <c r="CL191" s="26">
        <f t="shared" ref="CL191" si="1553">CL189+CL187+CL183+CL166+CL164+CL190</f>
        <v>4811.8</v>
      </c>
      <c r="CM191" s="27">
        <f t="shared" si="1552"/>
        <v>5149.6339583368499</v>
      </c>
      <c r="CN191" s="27">
        <f t="shared" si="1552"/>
        <v>5643.3998884262201</v>
      </c>
      <c r="CO191" s="27">
        <f t="shared" si="1552"/>
        <v>6048.0481831254183</v>
      </c>
      <c r="CP191" s="27">
        <f t="shared" si="1552"/>
        <v>6533.9438773037564</v>
      </c>
      <c r="CQ191" s="27">
        <f t="shared" si="1552"/>
        <v>6940.8598041866935</v>
      </c>
      <c r="CR191" s="27">
        <f t="shared" si="1552"/>
        <v>7537.6958763441016</v>
      </c>
      <c r="CS191" s="27">
        <f t="shared" si="1552"/>
        <v>8019.5710336125703</v>
      </c>
      <c r="CT191" s="27">
        <f t="shared" si="1552"/>
        <v>8608.6474073376521</v>
      </c>
      <c r="CU191" s="27">
        <f t="shared" si="1552"/>
        <v>9107.9873848272691</v>
      </c>
      <c r="CV191" s="27">
        <f t="shared" si="1552"/>
        <v>9833.7828384618224</v>
      </c>
      <c r="CW191" s="27">
        <f t="shared" si="1552"/>
        <v>10412.516765821383</v>
      </c>
      <c r="CX191" s="27">
        <f t="shared" si="1552"/>
        <v>11115.427553967405</v>
      </c>
      <c r="CY191" s="27">
        <f t="shared" si="1552"/>
        <v>11707.805023199062</v>
      </c>
      <c r="CZ191" s="27">
        <f t="shared" si="1552"/>
        <v>12558.108221527124</v>
      </c>
      <c r="DA191" s="27">
        <f t="shared" si="1552"/>
        <v>13247.012237792485</v>
      </c>
      <c r="DB191" s="27">
        <f t="shared" si="1552"/>
        <v>14079.022464065189</v>
      </c>
      <c r="DC191" s="27">
        <f t="shared" ref="DC191:DD191" si="1554">DC189+DC187+DC183+DC166+DC164+DC190</f>
        <v>14780.402412103862</v>
      </c>
      <c r="DD191" s="27">
        <f t="shared" si="1554"/>
        <v>15782.825281245659</v>
      </c>
      <c r="DE191" s="121"/>
      <c r="DF191" s="26">
        <v>4381.2999999999984</v>
      </c>
    </row>
    <row r="192" spans="1:110" s="23" customFormat="1" x14ac:dyDescent="0.2">
      <c r="A192" s="28" t="s">
        <v>439</v>
      </c>
      <c r="B192" s="23">
        <f t="shared" ref="B192:W192" si="1555">B191-B155</f>
        <v>0</v>
      </c>
      <c r="C192" s="23">
        <f t="shared" si="1555"/>
        <v>0</v>
      </c>
      <c r="D192" s="23">
        <f t="shared" si="1555"/>
        <v>0</v>
      </c>
      <c r="E192" s="23">
        <f t="shared" si="1555"/>
        <v>0</v>
      </c>
      <c r="F192" s="23">
        <f t="shared" si="1555"/>
        <v>0</v>
      </c>
      <c r="G192" s="23">
        <f t="shared" si="1555"/>
        <v>0</v>
      </c>
      <c r="H192" s="23">
        <f t="shared" si="1555"/>
        <v>0</v>
      </c>
      <c r="I192" s="23">
        <f t="shared" si="1555"/>
        <v>0</v>
      </c>
      <c r="J192" s="23">
        <f t="shared" si="1555"/>
        <v>0</v>
      </c>
      <c r="K192" s="23">
        <f t="shared" si="1555"/>
        <v>0</v>
      </c>
      <c r="L192" s="23">
        <f t="shared" si="1555"/>
        <v>0</v>
      </c>
      <c r="M192" s="23">
        <f t="shared" si="1555"/>
        <v>0</v>
      </c>
      <c r="N192" s="23">
        <f t="shared" si="1555"/>
        <v>0</v>
      </c>
      <c r="O192" s="23">
        <f t="shared" si="1555"/>
        <v>0</v>
      </c>
      <c r="P192" s="23">
        <f t="shared" si="1555"/>
        <v>0</v>
      </c>
      <c r="Q192" s="23">
        <f t="shared" si="1555"/>
        <v>0</v>
      </c>
      <c r="R192" s="23">
        <f t="shared" si="1555"/>
        <v>0</v>
      </c>
      <c r="S192" s="23">
        <f t="shared" si="1555"/>
        <v>0</v>
      </c>
      <c r="T192" s="23">
        <f t="shared" si="1555"/>
        <v>0</v>
      </c>
      <c r="U192" s="23">
        <f t="shared" si="1555"/>
        <v>0</v>
      </c>
      <c r="V192" s="23">
        <f t="shared" si="1555"/>
        <v>0</v>
      </c>
      <c r="W192" s="23">
        <f t="shared" si="1555"/>
        <v>0</v>
      </c>
      <c r="X192" s="23">
        <f t="shared" ref="X192:Y192" si="1556">X191-X155</f>
        <v>0</v>
      </c>
      <c r="Y192" s="23">
        <f t="shared" si="1556"/>
        <v>0</v>
      </c>
      <c r="Z192" s="23">
        <f t="shared" ref="Z192" si="1557">Z191-Z155</f>
        <v>0</v>
      </c>
      <c r="AA192" s="24">
        <f t="shared" ref="AA192:AD192" si="1558">AA191-AA155</f>
        <v>0</v>
      </c>
      <c r="AB192" s="24">
        <f t="shared" si="1558"/>
        <v>0</v>
      </c>
      <c r="AC192" s="24">
        <f t="shared" si="1558"/>
        <v>0</v>
      </c>
      <c r="AD192" s="24">
        <f t="shared" si="1558"/>
        <v>0</v>
      </c>
      <c r="AE192" s="24">
        <f t="shared" ref="AE192" si="1559">AE191-AE155</f>
        <v>0</v>
      </c>
      <c r="AJ192" s="23">
        <f t="shared" ref="AJ192" si="1560">AJ191-AJ155</f>
        <v>0</v>
      </c>
      <c r="AK192" s="23" t="e">
        <f t="shared" ref="AK192" si="1561">AK191-AK155</f>
        <v>#DIV/0!</v>
      </c>
      <c r="AL192" s="23">
        <f t="shared" ref="AL192:AM192" si="1562">AL191-AL155</f>
        <v>0</v>
      </c>
      <c r="AM192" s="23" t="e">
        <f t="shared" si="1562"/>
        <v>#DIV/0!</v>
      </c>
      <c r="AN192" s="23">
        <f t="shared" ref="AN192:AO192" si="1563">AN191-AN155</f>
        <v>0</v>
      </c>
      <c r="AO192" s="23" t="e">
        <f t="shared" si="1563"/>
        <v>#DIV/0!</v>
      </c>
      <c r="AP192" s="23">
        <f t="shared" ref="AP192:CE192" si="1564">AP191-AP155</f>
        <v>0</v>
      </c>
      <c r="AQ192" s="23" t="e">
        <f t="shared" si="1564"/>
        <v>#DIV/0!</v>
      </c>
      <c r="AR192" s="23">
        <f t="shared" si="1564"/>
        <v>0</v>
      </c>
      <c r="AS192" s="23" t="e">
        <f t="shared" si="1564"/>
        <v>#DIV/0!</v>
      </c>
      <c r="AT192" s="23">
        <f t="shared" si="1564"/>
        <v>0</v>
      </c>
      <c r="AU192" s="23" t="e">
        <f t="shared" si="1564"/>
        <v>#DIV/0!</v>
      </c>
      <c r="AV192" s="23">
        <f t="shared" si="1564"/>
        <v>0</v>
      </c>
      <c r="AW192" s="23" t="e">
        <f t="shared" si="1564"/>
        <v>#DIV/0!</v>
      </c>
      <c r="AX192" s="23">
        <f t="shared" si="1564"/>
        <v>0</v>
      </c>
      <c r="AY192" s="23" t="e">
        <f t="shared" si="1564"/>
        <v>#DIV/0!</v>
      </c>
      <c r="AZ192" s="23">
        <f t="shared" si="1564"/>
        <v>0</v>
      </c>
      <c r="BA192" s="23" t="e">
        <f t="shared" si="1564"/>
        <v>#DIV/0!</v>
      </c>
      <c r="BB192" s="23">
        <f t="shared" si="1564"/>
        <v>0</v>
      </c>
      <c r="BC192" s="23" t="e">
        <f t="shared" si="1564"/>
        <v>#DIV/0!</v>
      </c>
      <c r="BD192" s="23">
        <f t="shared" si="1564"/>
        <v>0</v>
      </c>
      <c r="BE192" s="23" t="e">
        <f t="shared" si="1564"/>
        <v>#DIV/0!</v>
      </c>
      <c r="BF192" s="23">
        <f t="shared" si="1564"/>
        <v>0</v>
      </c>
      <c r="BG192" s="23" t="e">
        <f t="shared" si="1564"/>
        <v>#DIV/0!</v>
      </c>
      <c r="BH192" s="23">
        <f t="shared" ref="BH192" si="1565">BH191-BH155</f>
        <v>0</v>
      </c>
      <c r="BI192" s="23" t="e">
        <f t="shared" si="1564"/>
        <v>#DIV/0!</v>
      </c>
      <c r="BJ192" s="23">
        <f t="shared" si="1564"/>
        <v>0</v>
      </c>
      <c r="BK192" s="23" t="e">
        <f t="shared" si="1564"/>
        <v>#DIV/0!</v>
      </c>
      <c r="BL192" s="23">
        <f t="shared" si="1564"/>
        <v>0</v>
      </c>
      <c r="BM192" s="23" t="e">
        <f t="shared" si="1564"/>
        <v>#DIV/0!</v>
      </c>
      <c r="BN192" s="23">
        <f t="shared" si="1564"/>
        <v>0</v>
      </c>
      <c r="BO192" s="23" t="e">
        <f t="shared" si="1564"/>
        <v>#DIV/0!</v>
      </c>
      <c r="BP192" s="23">
        <f t="shared" si="1564"/>
        <v>0</v>
      </c>
      <c r="BQ192" s="23" t="e">
        <f t="shared" si="1564"/>
        <v>#DIV/0!</v>
      </c>
      <c r="BR192" s="23">
        <f t="shared" si="1564"/>
        <v>0</v>
      </c>
      <c r="BS192" s="23" t="e">
        <f t="shared" si="1564"/>
        <v>#DIV/0!</v>
      </c>
      <c r="BT192" s="23">
        <f t="shared" si="1564"/>
        <v>0</v>
      </c>
      <c r="BU192" s="23" t="e">
        <f t="shared" si="1564"/>
        <v>#DIV/0!</v>
      </c>
      <c r="BV192" s="23">
        <f t="shared" si="1564"/>
        <v>0</v>
      </c>
      <c r="BW192" s="23" t="e">
        <f t="shared" si="1564"/>
        <v>#DIV/0!</v>
      </c>
      <c r="BX192" s="23">
        <f t="shared" si="1564"/>
        <v>0</v>
      </c>
      <c r="BY192" s="23" t="e">
        <f t="shared" si="1564"/>
        <v>#DIV/0!</v>
      </c>
      <c r="BZ192" s="23">
        <f t="shared" si="1564"/>
        <v>0</v>
      </c>
      <c r="CA192" s="23" t="e">
        <f t="shared" si="1564"/>
        <v>#DIV/0!</v>
      </c>
      <c r="CB192" s="23">
        <f t="shared" si="1564"/>
        <v>0</v>
      </c>
      <c r="CC192" s="23" t="e">
        <f t="shared" si="1564"/>
        <v>#DIV/0!</v>
      </c>
      <c r="CD192" s="23">
        <f t="shared" si="1564"/>
        <v>0</v>
      </c>
      <c r="CE192" s="23">
        <f t="shared" si="1564"/>
        <v>0</v>
      </c>
      <c r="CF192" s="23">
        <f t="shared" ref="CF192:CG192" si="1566">CF191-CF155</f>
        <v>0</v>
      </c>
      <c r="CG192" s="23">
        <f t="shared" si="1566"/>
        <v>0</v>
      </c>
      <c r="CH192" s="23">
        <f t="shared" ref="CH192:CI192" si="1567">CH191-CH155</f>
        <v>0</v>
      </c>
      <c r="CI192" s="23">
        <f t="shared" si="1567"/>
        <v>0</v>
      </c>
      <c r="CJ192" s="23">
        <f t="shared" ref="CJ192:DB192" si="1568">CJ191-CJ155</f>
        <v>0</v>
      </c>
      <c r="CK192" s="23">
        <f t="shared" si="1568"/>
        <v>0</v>
      </c>
      <c r="CL192" s="23">
        <f t="shared" ref="CL192" si="1569">CL191-CL155</f>
        <v>0</v>
      </c>
      <c r="CM192" s="24">
        <f t="shared" si="1568"/>
        <v>0</v>
      </c>
      <c r="CN192" s="24">
        <f t="shared" si="1568"/>
        <v>0</v>
      </c>
      <c r="CO192" s="24">
        <f t="shared" si="1568"/>
        <v>0</v>
      </c>
      <c r="CP192" s="24">
        <f t="shared" si="1568"/>
        <v>0</v>
      </c>
      <c r="CQ192" s="24">
        <f t="shared" si="1568"/>
        <v>0</v>
      </c>
      <c r="CR192" s="24">
        <f t="shared" si="1568"/>
        <v>0</v>
      </c>
      <c r="CS192" s="24">
        <f t="shared" si="1568"/>
        <v>0</v>
      </c>
      <c r="CT192" s="24">
        <f t="shared" si="1568"/>
        <v>0</v>
      </c>
      <c r="CU192" s="24">
        <f t="shared" si="1568"/>
        <v>0</v>
      </c>
      <c r="CV192" s="24">
        <f t="shared" si="1568"/>
        <v>0</v>
      </c>
      <c r="CW192" s="24">
        <f t="shared" si="1568"/>
        <v>0</v>
      </c>
      <c r="CX192" s="24">
        <f t="shared" si="1568"/>
        <v>0</v>
      </c>
      <c r="CY192" s="24">
        <f t="shared" si="1568"/>
        <v>0</v>
      </c>
      <c r="CZ192" s="24">
        <f t="shared" si="1568"/>
        <v>0</v>
      </c>
      <c r="DA192" s="24">
        <f t="shared" si="1568"/>
        <v>0</v>
      </c>
      <c r="DB192" s="24">
        <f t="shared" si="1568"/>
        <v>0</v>
      </c>
      <c r="DC192" s="24">
        <f t="shared" ref="DC192:DD192" si="1570">DC191-DC155</f>
        <v>0</v>
      </c>
      <c r="DD192" s="24">
        <f t="shared" si="1570"/>
        <v>0</v>
      </c>
      <c r="DE192" s="123"/>
      <c r="DF192" s="23">
        <v>0</v>
      </c>
    </row>
    <row r="193" spans="1:110" s="23" customFormat="1" x14ac:dyDescent="0.2">
      <c r="A193" s="28"/>
      <c r="AA193" s="24"/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123"/>
    </row>
    <row r="194" spans="1:110" s="22" customFormat="1" x14ac:dyDescent="0.2">
      <c r="A194" s="22" t="s">
        <v>80</v>
      </c>
      <c r="B194" s="22">
        <f t="shared" ref="B194:W194" si="1571">B154-B187</f>
        <v>0</v>
      </c>
      <c r="C194" s="22">
        <f t="shared" si="1571"/>
        <v>0</v>
      </c>
      <c r="D194" s="22">
        <f t="shared" si="1571"/>
        <v>0</v>
      </c>
      <c r="E194" s="22">
        <f t="shared" si="1571"/>
        <v>0</v>
      </c>
      <c r="F194" s="22">
        <f t="shared" si="1571"/>
        <v>0</v>
      </c>
      <c r="G194" s="22">
        <f t="shared" si="1571"/>
        <v>0</v>
      </c>
      <c r="H194" s="22">
        <f t="shared" si="1571"/>
        <v>0</v>
      </c>
      <c r="I194" s="22">
        <f t="shared" si="1571"/>
        <v>0</v>
      </c>
      <c r="J194" s="22">
        <f t="shared" si="1571"/>
        <v>0</v>
      </c>
      <c r="K194" s="22">
        <f t="shared" si="1571"/>
        <v>0</v>
      </c>
      <c r="L194" s="22">
        <f t="shared" si="1571"/>
        <v>0</v>
      </c>
      <c r="M194" s="22">
        <f t="shared" si="1571"/>
        <v>0</v>
      </c>
      <c r="N194" s="22">
        <f t="shared" si="1571"/>
        <v>0</v>
      </c>
      <c r="O194" s="22">
        <f t="shared" si="1571"/>
        <v>0</v>
      </c>
      <c r="P194" s="22">
        <f t="shared" si="1571"/>
        <v>0</v>
      </c>
      <c r="Q194" s="22">
        <f t="shared" si="1571"/>
        <v>0</v>
      </c>
      <c r="R194" s="22">
        <f t="shared" si="1571"/>
        <v>0</v>
      </c>
      <c r="S194" s="22">
        <f t="shared" si="1571"/>
        <v>0</v>
      </c>
      <c r="T194" s="22">
        <f t="shared" si="1571"/>
        <v>0</v>
      </c>
      <c r="U194" s="22">
        <f t="shared" si="1571"/>
        <v>0</v>
      </c>
      <c r="V194" s="22">
        <f t="shared" si="1571"/>
        <v>0</v>
      </c>
      <c r="W194" s="22">
        <f t="shared" si="1571"/>
        <v>0</v>
      </c>
      <c r="X194" s="22">
        <f t="shared" ref="X194:Y194" si="1572">X154-X187</f>
        <v>0</v>
      </c>
      <c r="Y194" s="22">
        <f t="shared" si="1572"/>
        <v>0</v>
      </c>
      <c r="Z194" s="22">
        <f t="shared" ref="Z194" si="1573">Z154-Z187</f>
        <v>-3462</v>
      </c>
      <c r="AA194" s="21">
        <f t="shared" ref="AA194:AD194" si="1574">AA154-AA187</f>
        <v>-3679.719862632709</v>
      </c>
      <c r="AB194" s="21">
        <f t="shared" si="1574"/>
        <v>-5164.9626319044391</v>
      </c>
      <c r="AC194" s="21">
        <f t="shared" si="1574"/>
        <v>-7047.0269538256071</v>
      </c>
      <c r="AD194" s="21">
        <f t="shared" si="1574"/>
        <v>-9383.2761813089128</v>
      </c>
      <c r="AE194" s="21">
        <f t="shared" ref="AE194" si="1575">AE154-AE187</f>
        <v>-12223.648362805592</v>
      </c>
      <c r="AJ194" s="22">
        <f t="shared" ref="AJ194:AM194" si="1576">AJ154-AJ187</f>
        <v>0</v>
      </c>
      <c r="AK194" s="22" t="e">
        <f t="shared" si="1576"/>
        <v>#DIV/0!</v>
      </c>
      <c r="AL194" s="22">
        <f t="shared" si="1576"/>
        <v>0</v>
      </c>
      <c r="AM194" s="22" t="e">
        <f t="shared" si="1576"/>
        <v>#DIV/0!</v>
      </c>
      <c r="AN194" s="22">
        <f t="shared" ref="AN194:AO194" si="1577">AN154-AN187</f>
        <v>0</v>
      </c>
      <c r="AO194" s="22" t="e">
        <f t="shared" si="1577"/>
        <v>#DIV/0!</v>
      </c>
      <c r="AP194" s="22">
        <f t="shared" ref="AP194:CE194" si="1578">AP154-AP187</f>
        <v>0</v>
      </c>
      <c r="AQ194" s="22" t="e">
        <f t="shared" si="1578"/>
        <v>#DIV/0!</v>
      </c>
      <c r="AR194" s="22">
        <f t="shared" si="1578"/>
        <v>0</v>
      </c>
      <c r="AS194" s="22" t="e">
        <f t="shared" si="1578"/>
        <v>#DIV/0!</v>
      </c>
      <c r="AT194" s="22">
        <f t="shared" si="1578"/>
        <v>0</v>
      </c>
      <c r="AU194" s="22" t="e">
        <f t="shared" si="1578"/>
        <v>#DIV/0!</v>
      </c>
      <c r="AV194" s="22">
        <f t="shared" si="1578"/>
        <v>0</v>
      </c>
      <c r="AW194" s="22" t="e">
        <f t="shared" si="1578"/>
        <v>#DIV/0!</v>
      </c>
      <c r="AX194" s="22">
        <f t="shared" si="1578"/>
        <v>0</v>
      </c>
      <c r="AY194" s="22" t="e">
        <f t="shared" si="1578"/>
        <v>#DIV/0!</v>
      </c>
      <c r="AZ194" s="22">
        <f t="shared" si="1578"/>
        <v>0</v>
      </c>
      <c r="BA194" s="22" t="e">
        <f t="shared" si="1578"/>
        <v>#DIV/0!</v>
      </c>
      <c r="BB194" s="22">
        <f t="shared" si="1578"/>
        <v>0</v>
      </c>
      <c r="BC194" s="22" t="e">
        <f t="shared" si="1578"/>
        <v>#DIV/0!</v>
      </c>
      <c r="BD194" s="22">
        <f t="shared" si="1578"/>
        <v>0</v>
      </c>
      <c r="BE194" s="22" t="e">
        <f t="shared" si="1578"/>
        <v>#DIV/0!</v>
      </c>
      <c r="BF194" s="22">
        <f t="shared" si="1578"/>
        <v>0</v>
      </c>
      <c r="BG194" s="22" t="e">
        <f t="shared" si="1578"/>
        <v>#DIV/0!</v>
      </c>
      <c r="BH194" s="22">
        <f t="shared" si="1578"/>
        <v>0</v>
      </c>
      <c r="BI194" s="22" t="e">
        <f t="shared" si="1578"/>
        <v>#DIV/0!</v>
      </c>
      <c r="BJ194" s="22">
        <f t="shared" si="1578"/>
        <v>0</v>
      </c>
      <c r="BK194" s="22" t="e">
        <f t="shared" si="1578"/>
        <v>#DIV/0!</v>
      </c>
      <c r="BL194" s="22">
        <f t="shared" si="1578"/>
        <v>0</v>
      </c>
      <c r="BM194" s="22" t="e">
        <f t="shared" si="1578"/>
        <v>#DIV/0!</v>
      </c>
      <c r="BN194" s="22">
        <f t="shared" si="1578"/>
        <v>0</v>
      </c>
      <c r="BO194" s="22" t="e">
        <f t="shared" si="1578"/>
        <v>#DIV/0!</v>
      </c>
      <c r="BP194" s="22">
        <f t="shared" si="1578"/>
        <v>0</v>
      </c>
      <c r="BQ194" s="22" t="e">
        <f t="shared" si="1578"/>
        <v>#DIV/0!</v>
      </c>
      <c r="BR194" s="22">
        <f t="shared" si="1578"/>
        <v>0</v>
      </c>
      <c r="BS194" s="22" t="e">
        <f t="shared" si="1578"/>
        <v>#DIV/0!</v>
      </c>
      <c r="BT194" s="22">
        <f t="shared" si="1578"/>
        <v>0</v>
      </c>
      <c r="BU194" s="22" t="e">
        <f t="shared" si="1578"/>
        <v>#DIV/0!</v>
      </c>
      <c r="BV194" s="22">
        <f t="shared" si="1578"/>
        <v>0</v>
      </c>
      <c r="BW194" s="22" t="e">
        <f t="shared" si="1578"/>
        <v>#DIV/0!</v>
      </c>
      <c r="BX194" s="22">
        <f t="shared" si="1578"/>
        <v>0</v>
      </c>
      <c r="BY194" s="22" t="e">
        <f t="shared" si="1578"/>
        <v>#DIV/0!</v>
      </c>
      <c r="BZ194" s="22">
        <f t="shared" si="1578"/>
        <v>0</v>
      </c>
      <c r="CA194" s="22" t="e">
        <f t="shared" si="1578"/>
        <v>#DIV/0!</v>
      </c>
      <c r="CB194" s="22">
        <f t="shared" si="1578"/>
        <v>0</v>
      </c>
      <c r="CC194" s="22" t="e">
        <f t="shared" si="1578"/>
        <v>#DIV/0!</v>
      </c>
      <c r="CD194" s="22">
        <f t="shared" si="1578"/>
        <v>0</v>
      </c>
      <c r="CE194" s="22">
        <f t="shared" si="1578"/>
        <v>-145.80000000000007</v>
      </c>
      <c r="CF194" s="22">
        <f t="shared" ref="CF194:CG194" si="1579">CF154-CF187</f>
        <v>0</v>
      </c>
      <c r="CG194" s="22">
        <f t="shared" si="1579"/>
        <v>-476.94334712334177</v>
      </c>
      <c r="CH194" s="22">
        <f t="shared" ref="CH194:CI194" si="1580">CH154-CH187</f>
        <v>-3462</v>
      </c>
      <c r="CI194" s="22">
        <f t="shared" si="1580"/>
        <v>-3756.192689545092</v>
      </c>
      <c r="CJ194" s="22">
        <f t="shared" ref="CJ194:DB194" si="1581">CJ154-CJ187</f>
        <v>-3462</v>
      </c>
      <c r="CK194" s="22">
        <f t="shared" si="1581"/>
        <v>-3770.5510526514727</v>
      </c>
      <c r="CL194" s="22">
        <f t="shared" ref="CL194" si="1582">CL154-CL187</f>
        <v>-3295</v>
      </c>
      <c r="CM194" s="21">
        <f t="shared" si="1581"/>
        <v>-3590.2428817908276</v>
      </c>
      <c r="CN194" s="21">
        <f t="shared" si="1581"/>
        <v>-3679.719862632709</v>
      </c>
      <c r="CO194" s="21">
        <f t="shared" si="1581"/>
        <v>-4292.1569749691262</v>
      </c>
      <c r="CP194" s="21">
        <f t="shared" si="1581"/>
        <v>-4509.6765752582387</v>
      </c>
      <c r="CQ194" s="21">
        <f t="shared" si="1581"/>
        <v>-5003.9477093075202</v>
      </c>
      <c r="CR194" s="21">
        <f t="shared" si="1581"/>
        <v>-5164.9626319044391</v>
      </c>
      <c r="CS194" s="21">
        <f t="shared" si="1581"/>
        <v>-5839.4178314254423</v>
      </c>
      <c r="CT194" s="21">
        <f t="shared" si="1581"/>
        <v>-6160.6770687640383</v>
      </c>
      <c r="CU194" s="21">
        <f t="shared" si="1581"/>
        <v>-6805.9781504486336</v>
      </c>
      <c r="CV194" s="21">
        <f t="shared" si="1581"/>
        <v>-7047.0269538256071</v>
      </c>
      <c r="CW194" s="21">
        <f t="shared" si="1581"/>
        <v>-7871.4672369446962</v>
      </c>
      <c r="CX194" s="21">
        <f t="shared" si="1581"/>
        <v>-8291.773836939994</v>
      </c>
      <c r="CY194" s="21">
        <f t="shared" si="1581"/>
        <v>-9079.2274217711711</v>
      </c>
      <c r="CZ194" s="21">
        <f t="shared" si="1581"/>
        <v>-9383.2761813089128</v>
      </c>
      <c r="DA194" s="21">
        <f t="shared" si="1581"/>
        <v>-10375.527632987996</v>
      </c>
      <c r="DB194" s="21">
        <f t="shared" si="1581"/>
        <v>-10898.124397024067</v>
      </c>
      <c r="DC194" s="21">
        <f t="shared" ref="DC194:DD194" si="1583">DC154-DC187</f>
        <v>-11844.196847081575</v>
      </c>
      <c r="DD194" s="21">
        <f t="shared" si="1583"/>
        <v>-12223.648362805592</v>
      </c>
      <c r="DE194" s="126"/>
      <c r="DF194" s="22">
        <v>-3462</v>
      </c>
    </row>
    <row r="195" spans="1:110" x14ac:dyDescent="0.2">
      <c r="CE195" s="111"/>
      <c r="CG195" s="111"/>
      <c r="DF195" s="111"/>
    </row>
    <row r="196" spans="1:110" s="49" customFormat="1" x14ac:dyDescent="0.2">
      <c r="A196" s="49" t="s">
        <v>81</v>
      </c>
      <c r="B196" s="49">
        <f>'Annual Raw'!C85</f>
        <v>0</v>
      </c>
      <c r="C196" s="49">
        <f>'Annual Raw'!D85</f>
        <v>0</v>
      </c>
      <c r="D196" s="49">
        <f>'Annual Raw'!E85</f>
        <v>0</v>
      </c>
      <c r="E196" s="49">
        <f>'Annual Raw'!F85</f>
        <v>0</v>
      </c>
      <c r="F196" s="49">
        <f>'Annual Raw'!G85</f>
        <v>0</v>
      </c>
      <c r="G196" s="49">
        <f>'Annual Raw'!H85</f>
        <v>0</v>
      </c>
      <c r="H196" s="49">
        <f>'Annual Raw'!I85</f>
        <v>0</v>
      </c>
      <c r="I196" s="49">
        <f>'Annual Raw'!J85</f>
        <v>0</v>
      </c>
      <c r="J196" s="49">
        <f>'Annual Raw'!K85</f>
        <v>0</v>
      </c>
      <c r="K196" s="49">
        <f>'Annual Raw'!L85</f>
        <v>0</v>
      </c>
      <c r="L196" s="49">
        <f>'Annual Raw'!M85</f>
        <v>0</v>
      </c>
      <c r="M196" s="49">
        <f>'Annual Raw'!N85</f>
        <v>0</v>
      </c>
      <c r="N196" s="49">
        <f>'Annual Raw'!O85</f>
        <v>0</v>
      </c>
      <c r="O196" s="49">
        <f>'Annual Raw'!P85</f>
        <v>0</v>
      </c>
      <c r="P196" s="49">
        <f>'Annual Raw'!Q85</f>
        <v>0</v>
      </c>
      <c r="Q196" s="49">
        <f>'Annual Raw'!R85</f>
        <v>0</v>
      </c>
      <c r="R196" s="49">
        <f>'Annual Raw'!S85</f>
        <v>0</v>
      </c>
      <c r="S196" s="49">
        <f>'Annual Raw'!T85</f>
        <v>0</v>
      </c>
      <c r="T196" s="49">
        <f>'Annual Raw'!U85</f>
        <v>0</v>
      </c>
      <c r="U196" s="49">
        <f>'Annual Raw'!V85</f>
        <v>0</v>
      </c>
      <c r="V196" s="49">
        <f>'Annual Raw'!W85</f>
        <v>0</v>
      </c>
      <c r="W196" s="49">
        <f>'Annual Raw'!X85</f>
        <v>0</v>
      </c>
      <c r="X196" s="49">
        <f>'Annual Raw'!Y85</f>
        <v>0</v>
      </c>
      <c r="Y196" s="49">
        <f>'Annual Raw'!Z85</f>
        <v>0.7</v>
      </c>
      <c r="Z196" s="49">
        <f>'Annual Raw'!AA85</f>
        <v>0</v>
      </c>
      <c r="AA196" s="50"/>
      <c r="AB196" s="50"/>
      <c r="AC196" s="50"/>
      <c r="AD196" s="50"/>
      <c r="AE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  <c r="DD196" s="50"/>
      <c r="DE196" s="138"/>
      <c r="DF196" s="49">
        <v>0</v>
      </c>
    </row>
    <row r="197" spans="1:110" s="29" customFormat="1" x14ac:dyDescent="0.2">
      <c r="A197" s="29" t="s">
        <v>82</v>
      </c>
      <c r="B197" s="29">
        <f>'Annual Raw'!C95</f>
        <v>0</v>
      </c>
      <c r="C197" s="29">
        <f>'Annual Raw'!D95</f>
        <v>0</v>
      </c>
      <c r="D197" s="29">
        <f>'Annual Raw'!E95</f>
        <v>0</v>
      </c>
      <c r="E197" s="29">
        <f>'Annual Raw'!F95</f>
        <v>0</v>
      </c>
      <c r="F197" s="29">
        <f>'Annual Raw'!G95</f>
        <v>0</v>
      </c>
      <c r="G197" s="29">
        <f>'Annual Raw'!H95</f>
        <v>0</v>
      </c>
      <c r="H197" s="29">
        <f>'Annual Raw'!I95</f>
        <v>0</v>
      </c>
      <c r="I197" s="29">
        <f>'Annual Raw'!J95</f>
        <v>0</v>
      </c>
      <c r="J197" s="29">
        <f>'Annual Raw'!K95</f>
        <v>0</v>
      </c>
      <c r="K197" s="29">
        <f>'Annual Raw'!L95</f>
        <v>0</v>
      </c>
      <c r="L197" s="29">
        <f>'Annual Raw'!M95</f>
        <v>0</v>
      </c>
      <c r="M197" s="29">
        <f>'Annual Raw'!N95</f>
        <v>0</v>
      </c>
      <c r="N197" s="29">
        <f>'Annual Raw'!O95</f>
        <v>0</v>
      </c>
      <c r="O197" s="29">
        <f>'Annual Raw'!P95</f>
        <v>0</v>
      </c>
      <c r="P197" s="29">
        <f>'Annual Raw'!Q95</f>
        <v>0</v>
      </c>
      <c r="Q197" s="29">
        <f>'Annual Raw'!R95</f>
        <v>0</v>
      </c>
      <c r="R197" s="29">
        <f>'Annual Raw'!S95</f>
        <v>0</v>
      </c>
      <c r="S197" s="29">
        <f>'Annual Raw'!T95</f>
        <v>0</v>
      </c>
      <c r="T197" s="29">
        <f>'Annual Raw'!U95</f>
        <v>0</v>
      </c>
      <c r="U197" s="29">
        <f>'Annual Raw'!V95</f>
        <v>0</v>
      </c>
      <c r="V197" s="29">
        <f>'Annual Raw'!W95</f>
        <v>0</v>
      </c>
      <c r="W197" s="29">
        <f>'Annual Raw'!X95</f>
        <v>0</v>
      </c>
      <c r="X197" s="29">
        <f>'Annual Raw'!Y95</f>
        <v>0</v>
      </c>
      <c r="Y197" s="29">
        <f>'Annual Raw'!Z95</f>
        <v>0</v>
      </c>
      <c r="Z197" s="29">
        <f>'Annual Raw'!AA95</f>
        <v>0</v>
      </c>
      <c r="AA197" s="30"/>
      <c r="AB197" s="30"/>
      <c r="AC197" s="30"/>
      <c r="AD197" s="30"/>
      <c r="AE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139"/>
      <c r="DF197" s="29">
        <v>0</v>
      </c>
    </row>
    <row r="198" spans="1:110" s="29" customFormat="1" x14ac:dyDescent="0.2">
      <c r="A198" s="29" t="s">
        <v>83</v>
      </c>
      <c r="B198" s="29">
        <f>'Annual Raw'!C93</f>
        <v>0</v>
      </c>
      <c r="C198" s="29">
        <f>'Annual Raw'!D93</f>
        <v>0</v>
      </c>
      <c r="D198" s="29">
        <f>'Annual Raw'!E93</f>
        <v>0</v>
      </c>
      <c r="E198" s="29">
        <f>'Annual Raw'!F93</f>
        <v>0</v>
      </c>
      <c r="F198" s="29">
        <f>'Annual Raw'!G93</f>
        <v>0</v>
      </c>
      <c r="G198" s="29">
        <f>'Annual Raw'!H93</f>
        <v>0</v>
      </c>
      <c r="H198" s="29">
        <f>'Annual Raw'!I93</f>
        <v>0</v>
      </c>
      <c r="I198" s="29">
        <f>'Annual Raw'!J93</f>
        <v>0</v>
      </c>
      <c r="J198" s="29">
        <f>'Annual Raw'!K93</f>
        <v>0</v>
      </c>
      <c r="K198" s="29">
        <f>'Annual Raw'!L93</f>
        <v>0</v>
      </c>
      <c r="L198" s="29">
        <f>'Annual Raw'!M93</f>
        <v>0</v>
      </c>
      <c r="M198" s="29">
        <f>'Annual Raw'!N93</f>
        <v>0</v>
      </c>
      <c r="N198" s="29">
        <f>'Annual Raw'!O93</f>
        <v>0</v>
      </c>
      <c r="O198" s="29">
        <f>'Annual Raw'!P93</f>
        <v>0</v>
      </c>
      <c r="P198" s="29">
        <f>'Annual Raw'!Q93</f>
        <v>0</v>
      </c>
      <c r="Q198" s="29">
        <f>'Annual Raw'!R93</f>
        <v>0</v>
      </c>
      <c r="R198" s="29">
        <f>'Annual Raw'!S93</f>
        <v>0</v>
      </c>
      <c r="S198" s="29">
        <f>'Annual Raw'!T93</f>
        <v>0</v>
      </c>
      <c r="T198" s="29">
        <f>'Annual Raw'!U93</f>
        <v>0</v>
      </c>
      <c r="U198" s="29">
        <f>'Annual Raw'!V93</f>
        <v>0</v>
      </c>
      <c r="V198" s="29">
        <f>'Annual Raw'!W93</f>
        <v>0</v>
      </c>
      <c r="W198" s="29">
        <f>'Annual Raw'!X93</f>
        <v>0</v>
      </c>
      <c r="X198" s="29">
        <f>'Annual Raw'!Y93</f>
        <v>0</v>
      </c>
      <c r="Y198" s="29">
        <f>'Annual Raw'!Z93</f>
        <v>0.7</v>
      </c>
      <c r="Z198" s="29">
        <f>'Annual Raw'!AA93</f>
        <v>0</v>
      </c>
      <c r="AA198" s="30"/>
      <c r="AB198" s="30"/>
      <c r="AC198" s="30"/>
      <c r="AD198" s="30"/>
      <c r="AE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139"/>
      <c r="DF198" s="29">
        <v>0</v>
      </c>
    </row>
    <row r="199" spans="1:110" s="29" customFormat="1" x14ac:dyDescent="0.2">
      <c r="A199" s="29" t="s">
        <v>84</v>
      </c>
      <c r="B199" s="29">
        <f t="shared" ref="B199:V199" si="1584">B196-B197-B198</f>
        <v>0</v>
      </c>
      <c r="C199" s="29">
        <f t="shared" si="1584"/>
        <v>0</v>
      </c>
      <c r="D199" s="29">
        <f t="shared" si="1584"/>
        <v>0</v>
      </c>
      <c r="E199" s="29">
        <f t="shared" si="1584"/>
        <v>0</v>
      </c>
      <c r="F199" s="29">
        <f t="shared" si="1584"/>
        <v>0</v>
      </c>
      <c r="G199" s="29">
        <f t="shared" si="1584"/>
        <v>0</v>
      </c>
      <c r="H199" s="29">
        <f t="shared" si="1584"/>
        <v>0</v>
      </c>
      <c r="I199" s="29">
        <f t="shared" si="1584"/>
        <v>0</v>
      </c>
      <c r="J199" s="29">
        <f t="shared" si="1584"/>
        <v>0</v>
      </c>
      <c r="K199" s="29">
        <f t="shared" si="1584"/>
        <v>0</v>
      </c>
      <c r="L199" s="29">
        <f t="shared" si="1584"/>
        <v>0</v>
      </c>
      <c r="M199" s="29">
        <f t="shared" si="1584"/>
        <v>0</v>
      </c>
      <c r="N199" s="29">
        <f t="shared" si="1584"/>
        <v>0</v>
      </c>
      <c r="O199" s="29">
        <f t="shared" si="1584"/>
        <v>0</v>
      </c>
      <c r="P199" s="29">
        <f t="shared" si="1584"/>
        <v>0</v>
      </c>
      <c r="Q199" s="29">
        <f t="shared" si="1584"/>
        <v>0</v>
      </c>
      <c r="R199" s="29">
        <f t="shared" si="1584"/>
        <v>0</v>
      </c>
      <c r="S199" s="29">
        <f t="shared" si="1584"/>
        <v>0</v>
      </c>
      <c r="T199" s="29">
        <f t="shared" si="1584"/>
        <v>0</v>
      </c>
      <c r="U199" s="29">
        <f t="shared" si="1584"/>
        <v>0</v>
      </c>
      <c r="V199" s="29">
        <f t="shared" si="1584"/>
        <v>0</v>
      </c>
      <c r="W199" s="29">
        <f t="shared" ref="W199" si="1585">W196-W197-W198</f>
        <v>0</v>
      </c>
      <c r="X199" s="29">
        <f t="shared" ref="X199:Y199" si="1586">X196-X197-X198</f>
        <v>0</v>
      </c>
      <c r="Y199" s="29">
        <f t="shared" si="1586"/>
        <v>0</v>
      </c>
      <c r="Z199" s="29">
        <f t="shared" ref="Z199" si="1587">Z196-Z197-Z198</f>
        <v>0</v>
      </c>
      <c r="AA199" s="30">
        <f t="shared" ref="AA199:AD199" si="1588">AA196-AA197-AA198</f>
        <v>0</v>
      </c>
      <c r="AB199" s="30">
        <f t="shared" si="1588"/>
        <v>0</v>
      </c>
      <c r="AC199" s="30">
        <f t="shared" si="1588"/>
        <v>0</v>
      </c>
      <c r="AD199" s="30">
        <f t="shared" si="1588"/>
        <v>0</v>
      </c>
      <c r="AE199" s="30">
        <f t="shared" ref="AE199" si="1589">AE196-AE197-AE198</f>
        <v>0</v>
      </c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139"/>
      <c r="DF199" s="29">
        <v>0</v>
      </c>
    </row>
    <row r="200" spans="1:110" s="5" customFormat="1" x14ac:dyDescent="0.2">
      <c r="AA200" s="63"/>
      <c r="AB200" s="63"/>
      <c r="AC200" s="63"/>
      <c r="AD200" s="63"/>
      <c r="AE200" s="63"/>
      <c r="CE200" s="112"/>
      <c r="CG200" s="112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139"/>
      <c r="DF200" s="112"/>
    </row>
    <row r="201" spans="1:110" s="95" customFormat="1" x14ac:dyDescent="0.2">
      <c r="A201" s="95" t="s">
        <v>85</v>
      </c>
      <c r="B201" s="95" t="e">
        <f t="shared" ref="B201:W201" si="1590">B196/B146</f>
        <v>#DIV/0!</v>
      </c>
      <c r="C201" s="95" t="e">
        <f t="shared" si="1590"/>
        <v>#DIV/0!</v>
      </c>
      <c r="D201" s="95" t="e">
        <f t="shared" si="1590"/>
        <v>#DIV/0!</v>
      </c>
      <c r="E201" s="95" t="e">
        <f t="shared" si="1590"/>
        <v>#DIV/0!</v>
      </c>
      <c r="F201" s="95" t="e">
        <f t="shared" si="1590"/>
        <v>#DIV/0!</v>
      </c>
      <c r="G201" s="95" t="e">
        <f t="shared" si="1590"/>
        <v>#DIV/0!</v>
      </c>
      <c r="H201" s="95" t="e">
        <f t="shared" si="1590"/>
        <v>#DIV/0!</v>
      </c>
      <c r="I201" s="95" t="e">
        <f t="shared" si="1590"/>
        <v>#DIV/0!</v>
      </c>
      <c r="J201" s="95" t="e">
        <f t="shared" si="1590"/>
        <v>#DIV/0!</v>
      </c>
      <c r="K201" s="95" t="e">
        <f t="shared" si="1590"/>
        <v>#DIV/0!</v>
      </c>
      <c r="L201" s="95" t="e">
        <f t="shared" si="1590"/>
        <v>#DIV/0!</v>
      </c>
      <c r="M201" s="95" t="e">
        <f t="shared" si="1590"/>
        <v>#DIV/0!</v>
      </c>
      <c r="N201" s="95" t="e">
        <f t="shared" si="1590"/>
        <v>#DIV/0!</v>
      </c>
      <c r="O201" s="95" t="e">
        <f t="shared" si="1590"/>
        <v>#DIV/0!</v>
      </c>
      <c r="P201" s="95" t="e">
        <f t="shared" si="1590"/>
        <v>#DIV/0!</v>
      </c>
      <c r="Q201" s="95" t="e">
        <f t="shared" si="1590"/>
        <v>#DIV/0!</v>
      </c>
      <c r="R201" s="95" t="e">
        <f t="shared" si="1590"/>
        <v>#DIV/0!</v>
      </c>
      <c r="S201" s="95" t="e">
        <f t="shared" si="1590"/>
        <v>#DIV/0!</v>
      </c>
      <c r="T201" s="95" t="e">
        <f t="shared" si="1590"/>
        <v>#DIV/0!</v>
      </c>
      <c r="U201" s="95" t="e">
        <f t="shared" si="1590"/>
        <v>#DIV/0!</v>
      </c>
      <c r="V201" s="95" t="e">
        <f t="shared" si="1590"/>
        <v>#DIV/0!</v>
      </c>
      <c r="W201" s="95" t="e">
        <f t="shared" si="1590"/>
        <v>#DIV/0!</v>
      </c>
      <c r="X201" s="95" t="e">
        <f t="shared" ref="X201:Y201" si="1591">X196/X146</f>
        <v>#DIV/0!</v>
      </c>
      <c r="Y201" s="95">
        <f t="shared" si="1591"/>
        <v>2.17607560308381E-4</v>
      </c>
      <c r="Z201" s="95">
        <f t="shared" ref="Z201" si="1592">Z196/Z146</f>
        <v>0</v>
      </c>
      <c r="AA201" s="87">
        <f t="shared" ref="AA201:AD201" si="1593">AA196/AA146</f>
        <v>0</v>
      </c>
      <c r="AB201" s="87">
        <f t="shared" si="1593"/>
        <v>0</v>
      </c>
      <c r="AC201" s="87">
        <f t="shared" si="1593"/>
        <v>0</v>
      </c>
      <c r="AD201" s="87">
        <f t="shared" si="1593"/>
        <v>0</v>
      </c>
      <c r="AE201" s="87">
        <f t="shared" ref="AE201" si="1594">AE196/AE146</f>
        <v>0</v>
      </c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140"/>
      <c r="DF201" s="95">
        <v>0</v>
      </c>
    </row>
    <row r="202" spans="1:110" x14ac:dyDescent="0.2">
      <c r="A202" s="152" t="s">
        <v>492</v>
      </c>
      <c r="CE202" s="111"/>
      <c r="CG202" s="111"/>
      <c r="DF202" s="111"/>
    </row>
    <row r="203" spans="1:110" s="6" customFormat="1" x14ac:dyDescent="0.2">
      <c r="AA203" s="19"/>
      <c r="AB203" s="19"/>
      <c r="AC203" s="19"/>
      <c r="AD203" s="19"/>
      <c r="AE203" s="19"/>
      <c r="CE203" s="113"/>
      <c r="CG203" s="113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123"/>
      <c r="DF203" s="113"/>
    </row>
    <row r="204" spans="1:110" s="62" customFormat="1" x14ac:dyDescent="0.2">
      <c r="A204" s="153" t="s">
        <v>493</v>
      </c>
      <c r="AA204" s="63"/>
      <c r="AB204" s="63"/>
      <c r="AC204" s="63"/>
      <c r="AD204" s="63"/>
      <c r="AE204" s="63"/>
      <c r="CE204" s="114"/>
      <c r="CG204" s="114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139"/>
      <c r="DF204" s="114"/>
    </row>
    <row r="205" spans="1:110" s="62" customFormat="1" outlineLevel="1" x14ac:dyDescent="0.2">
      <c r="A205" s="68" t="s">
        <v>464</v>
      </c>
      <c r="B205" s="67" t="e">
        <f t="shared" ref="B205:AE205" si="1595">B170/B34*365</f>
        <v>#DIV/0!</v>
      </c>
      <c r="C205" s="67" t="e">
        <f t="shared" si="1595"/>
        <v>#DIV/0!</v>
      </c>
      <c r="D205" s="67" t="e">
        <f t="shared" si="1595"/>
        <v>#DIV/0!</v>
      </c>
      <c r="E205" s="67" t="e">
        <f t="shared" si="1595"/>
        <v>#DIV/0!</v>
      </c>
      <c r="F205" s="67" t="e">
        <f t="shared" si="1595"/>
        <v>#DIV/0!</v>
      </c>
      <c r="G205" s="67" t="e">
        <f t="shared" si="1595"/>
        <v>#DIV/0!</v>
      </c>
      <c r="H205" s="67" t="e">
        <f t="shared" si="1595"/>
        <v>#DIV/0!</v>
      </c>
      <c r="I205" s="67" t="e">
        <f t="shared" si="1595"/>
        <v>#DIV/0!</v>
      </c>
      <c r="J205" s="67" t="e">
        <f t="shared" si="1595"/>
        <v>#DIV/0!</v>
      </c>
      <c r="K205" s="67" t="e">
        <f t="shared" si="1595"/>
        <v>#DIV/0!</v>
      </c>
      <c r="L205" s="67" t="e">
        <f t="shared" si="1595"/>
        <v>#DIV/0!</v>
      </c>
      <c r="M205" s="67" t="e">
        <f t="shared" si="1595"/>
        <v>#DIV/0!</v>
      </c>
      <c r="N205" s="67" t="e">
        <f t="shared" si="1595"/>
        <v>#DIV/0!</v>
      </c>
      <c r="O205" s="67" t="e">
        <f t="shared" si="1595"/>
        <v>#DIV/0!</v>
      </c>
      <c r="P205" s="67" t="e">
        <f t="shared" si="1595"/>
        <v>#DIV/0!</v>
      </c>
      <c r="Q205" s="67" t="e">
        <f t="shared" si="1595"/>
        <v>#DIV/0!</v>
      </c>
      <c r="R205" s="67" t="e">
        <f t="shared" si="1595"/>
        <v>#DIV/0!</v>
      </c>
      <c r="S205" s="67" t="e">
        <f t="shared" si="1595"/>
        <v>#DIV/0!</v>
      </c>
      <c r="T205" s="67" t="e">
        <f t="shared" si="1595"/>
        <v>#DIV/0!</v>
      </c>
      <c r="U205" s="67" t="e">
        <f t="shared" si="1595"/>
        <v>#DIV/0!</v>
      </c>
      <c r="V205" s="67" t="e">
        <f t="shared" si="1595"/>
        <v>#DIV/0!</v>
      </c>
      <c r="W205" s="67" t="e">
        <f t="shared" si="1595"/>
        <v>#DIV/0!</v>
      </c>
      <c r="X205" s="67" t="e">
        <f t="shared" si="1595"/>
        <v>#DIV/0!</v>
      </c>
      <c r="Y205" s="67">
        <f t="shared" si="1595"/>
        <v>59.325153374233125</v>
      </c>
      <c r="Z205" s="67">
        <f t="shared" ref="Z205" si="1596">Z170/Z34*365</f>
        <v>35.456769775256497</v>
      </c>
      <c r="AA205" s="18">
        <f t="shared" si="1595"/>
        <v>51.191254966185831</v>
      </c>
      <c r="AB205" s="18">
        <f t="shared" si="1595"/>
        <v>47.567221936951846</v>
      </c>
      <c r="AC205" s="18">
        <f t="shared" si="1595"/>
        <v>47.370510373842748</v>
      </c>
      <c r="AD205" s="18">
        <f t="shared" si="1595"/>
        <v>47.313080421644798</v>
      </c>
      <c r="AE205" s="18">
        <f t="shared" si="1595"/>
        <v>47.267259717965018</v>
      </c>
      <c r="AI205" s="67" t="e">
        <f>AJ170/AI34*90</f>
        <v>#DIV/0!</v>
      </c>
      <c r="AJ205" s="67" t="e">
        <f>AJ170/AJ34*90</f>
        <v>#DIV/0!</v>
      </c>
      <c r="AK205" s="67" t="e">
        <f t="shared" ref="AK205:CE205" si="1597">+AJ205</f>
        <v>#DIV/0!</v>
      </c>
      <c r="AL205" s="67" t="e">
        <f>AL170/AL34*90</f>
        <v>#DIV/0!</v>
      </c>
      <c r="AM205" s="67" t="e">
        <f t="shared" ref="AM205:AM206" si="1598">+AL205</f>
        <v>#DIV/0!</v>
      </c>
      <c r="AN205" s="67" t="e">
        <f>AN170/AN34*90</f>
        <v>#DIV/0!</v>
      </c>
      <c r="AO205" s="67" t="e">
        <f t="shared" ref="AO205:AO206" si="1599">+AN205</f>
        <v>#DIV/0!</v>
      </c>
      <c r="AP205" s="67" t="e">
        <f>AP170/AP34*90</f>
        <v>#DIV/0!</v>
      </c>
      <c r="AQ205" s="67" t="e">
        <f t="shared" ref="AQ205:AQ206" si="1600">+AP205</f>
        <v>#DIV/0!</v>
      </c>
      <c r="AR205" s="67" t="e">
        <f>AR170/AR34*90</f>
        <v>#DIV/0!</v>
      </c>
      <c r="AS205" s="67" t="e">
        <f t="shared" ref="AS205:AS206" si="1601">+AR205</f>
        <v>#DIV/0!</v>
      </c>
      <c r="AT205" s="67" t="e">
        <f>AT170/AT34*90</f>
        <v>#DIV/0!</v>
      </c>
      <c r="AU205" s="67" t="e">
        <f t="shared" ref="AU205:AU206" si="1602">+AT205</f>
        <v>#DIV/0!</v>
      </c>
      <c r="AV205" s="67" t="e">
        <f>AV170/AV34*90</f>
        <v>#DIV/0!</v>
      </c>
      <c r="AW205" s="67" t="e">
        <f t="shared" ref="AW205:AW206" si="1603">+AV205</f>
        <v>#DIV/0!</v>
      </c>
      <c r="AX205" s="67" t="e">
        <f>AX170/AX34*90</f>
        <v>#DIV/0!</v>
      </c>
      <c r="AY205" s="67" t="e">
        <f t="shared" ref="AY205:AY206" si="1604">+AX205</f>
        <v>#DIV/0!</v>
      </c>
      <c r="AZ205" s="67" t="e">
        <f>AZ170/AZ34*90</f>
        <v>#DIV/0!</v>
      </c>
      <c r="BA205" s="67" t="e">
        <f t="shared" ref="BA205:BA206" si="1605">+AZ205</f>
        <v>#DIV/0!</v>
      </c>
      <c r="BB205" s="67" t="e">
        <f>BB170/BB34*90</f>
        <v>#DIV/0!</v>
      </c>
      <c r="BC205" s="67" t="e">
        <f t="shared" ref="BC205:BC206" si="1606">+BB205</f>
        <v>#DIV/0!</v>
      </c>
      <c r="BD205" s="67" t="e">
        <f>BD170/BD34*90</f>
        <v>#DIV/0!</v>
      </c>
      <c r="BE205" s="67" t="e">
        <f t="shared" ref="BE205:BE206" si="1607">+BD205</f>
        <v>#DIV/0!</v>
      </c>
      <c r="BF205" s="67" t="e">
        <f>BF170/BF34*90</f>
        <v>#DIV/0!</v>
      </c>
      <c r="BG205" s="67" t="e">
        <f t="shared" ref="BG205:BG206" si="1608">+BF205</f>
        <v>#DIV/0!</v>
      </c>
      <c r="BH205" s="67" t="e">
        <f>BH170/BH34*90</f>
        <v>#DIV/0!</v>
      </c>
      <c r="BI205" s="67" t="e">
        <f t="shared" ref="BI205:BI206" si="1609">+BH205</f>
        <v>#DIV/0!</v>
      </c>
      <c r="BJ205" s="67" t="e">
        <f>BJ170/BJ34*90</f>
        <v>#DIV/0!</v>
      </c>
      <c r="BK205" s="67" t="e">
        <f t="shared" ref="BK205:BK206" si="1610">+BJ205</f>
        <v>#DIV/0!</v>
      </c>
      <c r="BL205" s="67" t="e">
        <f>BL170/BL34*90</f>
        <v>#DIV/0!</v>
      </c>
      <c r="BM205" s="67" t="e">
        <f t="shared" ref="BM205:BM206" si="1611">+BL205</f>
        <v>#DIV/0!</v>
      </c>
      <c r="BN205" s="67" t="e">
        <f>BN170/BN34*90</f>
        <v>#DIV/0!</v>
      </c>
      <c r="BO205" s="67" t="e">
        <f t="shared" ref="BO205:BO206" si="1612">+BN205</f>
        <v>#DIV/0!</v>
      </c>
      <c r="BP205" s="67" t="e">
        <f>BP170/BP34*90</f>
        <v>#DIV/0!</v>
      </c>
      <c r="BQ205" s="67" t="e">
        <f t="shared" ref="BQ205:BQ206" si="1613">+BP205</f>
        <v>#DIV/0!</v>
      </c>
      <c r="BR205" s="67" t="e">
        <f>BR170/BR34*90</f>
        <v>#DIV/0!</v>
      </c>
      <c r="BS205" s="67" t="e">
        <f t="shared" ref="BS205:BS206" si="1614">+BR205</f>
        <v>#DIV/0!</v>
      </c>
      <c r="BT205" s="67" t="e">
        <f>BT170/BT34*90</f>
        <v>#DIV/0!</v>
      </c>
      <c r="BU205" s="67" t="e">
        <f t="shared" ref="BU205:BU206" si="1615">+BT205</f>
        <v>#DIV/0!</v>
      </c>
      <c r="BV205" s="67" t="e">
        <f>BV170/BV34*90</f>
        <v>#DIV/0!</v>
      </c>
      <c r="BW205" s="67" t="e">
        <f t="shared" ref="BW205:BW206" si="1616">+BV205</f>
        <v>#DIV/0!</v>
      </c>
      <c r="BX205" s="67" t="e">
        <f>BX170/BX34*90</f>
        <v>#DIV/0!</v>
      </c>
      <c r="BY205" s="67" t="e">
        <f t="shared" ref="BY205:BY206" si="1617">+BX205</f>
        <v>#DIV/0!</v>
      </c>
      <c r="BZ205" s="67" t="e">
        <f>BZ170/BZ34*90</f>
        <v>#DIV/0!</v>
      </c>
      <c r="CA205" s="67" t="e">
        <f t="shared" ref="CA205:CA206" si="1618">+BZ205</f>
        <v>#DIV/0!</v>
      </c>
      <c r="CB205" s="67" t="e">
        <f>CB170/CB34*90</f>
        <v>#DIV/0!</v>
      </c>
      <c r="CC205" s="67" t="e">
        <f t="shared" ref="CC205:CC206" si="1619">+CB205</f>
        <v>#DIV/0!</v>
      </c>
      <c r="CD205" s="67">
        <f>CD170/CD34*90</f>
        <v>0</v>
      </c>
      <c r="CE205" s="67">
        <f t="shared" si="1597"/>
        <v>0</v>
      </c>
      <c r="CF205" s="67">
        <f>CF170/CF34*90</f>
        <v>33.492399461227627</v>
      </c>
      <c r="CG205" s="67">
        <f t="shared" ref="CG205:CI206" si="1620">+CF205</f>
        <v>33.492399461227627</v>
      </c>
      <c r="CH205" s="67">
        <f>CH170/CH34*90</f>
        <v>36.407023144453312</v>
      </c>
      <c r="CI205" s="67">
        <f t="shared" si="1620"/>
        <v>36.407023144453312</v>
      </c>
      <c r="CJ205" s="67">
        <f>CJ170/CJ34*90</f>
        <v>25.863476584646786</v>
      </c>
      <c r="CK205" s="67">
        <f t="shared" ref="CK205:CK206" si="1621">+CJ205</f>
        <v>25.863476584646786</v>
      </c>
      <c r="CL205" s="67">
        <f>CL170/CL34*90</f>
        <v>37.084917087840942</v>
      </c>
      <c r="CM205" s="30">
        <f t="shared" ref="CM205:CM206" si="1622">+CL205</f>
        <v>37.084917087840942</v>
      </c>
      <c r="CN205" s="30">
        <f t="shared" ref="CN205:CN206" si="1623">+CM205</f>
        <v>37.084917087840942</v>
      </c>
      <c r="CO205" s="30">
        <f t="shared" ref="CO205:CO206" si="1624">+CN205</f>
        <v>37.084917087840942</v>
      </c>
      <c r="CP205" s="30">
        <f t="shared" ref="CP205:CP206" si="1625">+CO205</f>
        <v>37.084917087840942</v>
      </c>
      <c r="CQ205" s="30">
        <f t="shared" ref="CQ205:CQ206" si="1626">+CP205</f>
        <v>37.084917087840942</v>
      </c>
      <c r="CR205" s="30">
        <f t="shared" ref="CR205:CR206" si="1627">+CQ205</f>
        <v>37.084917087840942</v>
      </c>
      <c r="CS205" s="30">
        <f t="shared" ref="CS205:CS206" si="1628">+CR205</f>
        <v>37.084917087840942</v>
      </c>
      <c r="CT205" s="30">
        <f t="shared" ref="CT205:CT206" si="1629">+CS205</f>
        <v>37.084917087840942</v>
      </c>
      <c r="CU205" s="30">
        <f t="shared" ref="CU205:CU206" si="1630">+CT205</f>
        <v>37.084917087840942</v>
      </c>
      <c r="CV205" s="30">
        <f t="shared" ref="CV205:CV206" si="1631">+CU205</f>
        <v>37.084917087840942</v>
      </c>
      <c r="CW205" s="30">
        <f t="shared" ref="CW205:CW206" si="1632">+CV205</f>
        <v>37.084917087840942</v>
      </c>
      <c r="CX205" s="30">
        <f t="shared" ref="CX205:CX206" si="1633">+CW205</f>
        <v>37.084917087840942</v>
      </c>
      <c r="CY205" s="30">
        <f t="shared" ref="CY205:CY206" si="1634">+CX205</f>
        <v>37.084917087840942</v>
      </c>
      <c r="CZ205" s="30">
        <f t="shared" ref="CZ205:CZ206" si="1635">+CY205</f>
        <v>37.084917087840942</v>
      </c>
      <c r="DA205" s="30">
        <f t="shared" ref="DA205:DA206" si="1636">+CZ205</f>
        <v>37.084917087840942</v>
      </c>
      <c r="DB205" s="30">
        <f t="shared" ref="DB205:DB206" si="1637">+DA205</f>
        <v>37.084917087840942</v>
      </c>
      <c r="DC205" s="30">
        <f t="shared" ref="DC205:DC206" si="1638">+DB205</f>
        <v>37.084917087840942</v>
      </c>
      <c r="DD205" s="30">
        <f t="shared" ref="DD205:DD206" si="1639">+DC205</f>
        <v>37.084917087840942</v>
      </c>
      <c r="DE205" s="139"/>
      <c r="DF205" s="114">
        <v>35.456769775256497</v>
      </c>
    </row>
    <row r="206" spans="1:110" s="62" customFormat="1" outlineLevel="1" x14ac:dyDescent="0.2">
      <c r="A206" s="68" t="s">
        <v>465</v>
      </c>
      <c r="B206" s="67" t="e">
        <f t="shared" ref="B206:AE206" si="1640">B171/B34*365</f>
        <v>#DIV/0!</v>
      </c>
      <c r="C206" s="67" t="e">
        <f t="shared" si="1640"/>
        <v>#DIV/0!</v>
      </c>
      <c r="D206" s="67" t="e">
        <f t="shared" si="1640"/>
        <v>#DIV/0!</v>
      </c>
      <c r="E206" s="67" t="e">
        <f t="shared" si="1640"/>
        <v>#DIV/0!</v>
      </c>
      <c r="F206" s="67" t="e">
        <f t="shared" si="1640"/>
        <v>#DIV/0!</v>
      </c>
      <c r="G206" s="67" t="e">
        <f t="shared" si="1640"/>
        <v>#DIV/0!</v>
      </c>
      <c r="H206" s="67" t="e">
        <f t="shared" si="1640"/>
        <v>#DIV/0!</v>
      </c>
      <c r="I206" s="67" t="e">
        <f t="shared" si="1640"/>
        <v>#DIV/0!</v>
      </c>
      <c r="J206" s="67" t="e">
        <f t="shared" si="1640"/>
        <v>#DIV/0!</v>
      </c>
      <c r="K206" s="67" t="e">
        <f t="shared" si="1640"/>
        <v>#DIV/0!</v>
      </c>
      <c r="L206" s="67" t="e">
        <f t="shared" si="1640"/>
        <v>#DIV/0!</v>
      </c>
      <c r="M206" s="67" t="e">
        <f t="shared" si="1640"/>
        <v>#DIV/0!</v>
      </c>
      <c r="N206" s="67" t="e">
        <f t="shared" si="1640"/>
        <v>#DIV/0!</v>
      </c>
      <c r="O206" s="67" t="e">
        <f t="shared" si="1640"/>
        <v>#DIV/0!</v>
      </c>
      <c r="P206" s="67" t="e">
        <f t="shared" si="1640"/>
        <v>#DIV/0!</v>
      </c>
      <c r="Q206" s="67" t="e">
        <f t="shared" si="1640"/>
        <v>#DIV/0!</v>
      </c>
      <c r="R206" s="67" t="e">
        <f t="shared" si="1640"/>
        <v>#DIV/0!</v>
      </c>
      <c r="S206" s="67" t="e">
        <f t="shared" si="1640"/>
        <v>#DIV/0!</v>
      </c>
      <c r="T206" s="67" t="e">
        <f t="shared" si="1640"/>
        <v>#DIV/0!</v>
      </c>
      <c r="U206" s="67" t="e">
        <f t="shared" si="1640"/>
        <v>#DIV/0!</v>
      </c>
      <c r="V206" s="67" t="e">
        <f t="shared" si="1640"/>
        <v>#DIV/0!</v>
      </c>
      <c r="W206" s="67" t="e">
        <f t="shared" si="1640"/>
        <v>#DIV/0!</v>
      </c>
      <c r="X206" s="67" t="e">
        <f t="shared" si="1640"/>
        <v>#DIV/0!</v>
      </c>
      <c r="Y206" s="67">
        <f t="shared" si="1640"/>
        <v>143.98006134969324</v>
      </c>
      <c r="Z206" s="67">
        <f t="shared" ref="Z206" si="1641">Z171/Z34*365</f>
        <v>89.562970345100752</v>
      </c>
      <c r="AA206" s="18">
        <f t="shared" si="1640"/>
        <v>131.51975236877647</v>
      </c>
      <c r="AB206" s="18">
        <f t="shared" si="1640"/>
        <v>122.20894475337505</v>
      </c>
      <c r="AC206" s="18">
        <f t="shared" si="1640"/>
        <v>121.70355655601058</v>
      </c>
      <c r="AD206" s="18">
        <f t="shared" si="1640"/>
        <v>121.55600844263428</v>
      </c>
      <c r="AE206" s="18">
        <f t="shared" si="1640"/>
        <v>121.43828662461466</v>
      </c>
      <c r="AI206" s="67" t="e">
        <f>AJ171/AI34*90</f>
        <v>#DIV/0!</v>
      </c>
      <c r="AJ206" s="67" t="e">
        <f>AJ171/AJ34*90</f>
        <v>#DIV/0!</v>
      </c>
      <c r="AK206" s="67" t="e">
        <f>+AJ206</f>
        <v>#DIV/0!</v>
      </c>
      <c r="AL206" s="67" t="e">
        <f>AL171/AL34*90</f>
        <v>#DIV/0!</v>
      </c>
      <c r="AM206" s="67" t="e">
        <f t="shared" si="1598"/>
        <v>#DIV/0!</v>
      </c>
      <c r="AN206" s="67" t="e">
        <f>AN171/AN34*90</f>
        <v>#DIV/0!</v>
      </c>
      <c r="AO206" s="67" t="e">
        <f t="shared" si="1599"/>
        <v>#DIV/0!</v>
      </c>
      <c r="AP206" s="67" t="e">
        <f>AP171/AP34*90</f>
        <v>#DIV/0!</v>
      </c>
      <c r="AQ206" s="67" t="e">
        <f t="shared" si="1600"/>
        <v>#DIV/0!</v>
      </c>
      <c r="AR206" s="67" t="e">
        <f>AR171/AR34*90</f>
        <v>#DIV/0!</v>
      </c>
      <c r="AS206" s="67" t="e">
        <f t="shared" si="1601"/>
        <v>#DIV/0!</v>
      </c>
      <c r="AT206" s="67" t="e">
        <f>AT171/AT34*90</f>
        <v>#DIV/0!</v>
      </c>
      <c r="AU206" s="67" t="e">
        <f t="shared" si="1602"/>
        <v>#DIV/0!</v>
      </c>
      <c r="AV206" s="67" t="e">
        <f>AV171/AV34*90</f>
        <v>#DIV/0!</v>
      </c>
      <c r="AW206" s="67" t="e">
        <f t="shared" si="1603"/>
        <v>#DIV/0!</v>
      </c>
      <c r="AX206" s="67" t="e">
        <f>AX171/AX34*90</f>
        <v>#DIV/0!</v>
      </c>
      <c r="AY206" s="67" t="e">
        <f t="shared" si="1604"/>
        <v>#DIV/0!</v>
      </c>
      <c r="AZ206" s="67" t="e">
        <f>AZ171/AZ34*90</f>
        <v>#DIV/0!</v>
      </c>
      <c r="BA206" s="67" t="e">
        <f t="shared" si="1605"/>
        <v>#DIV/0!</v>
      </c>
      <c r="BB206" s="67" t="e">
        <f>BB171/BB34*90</f>
        <v>#DIV/0!</v>
      </c>
      <c r="BC206" s="67" t="e">
        <f t="shared" si="1606"/>
        <v>#DIV/0!</v>
      </c>
      <c r="BD206" s="67" t="e">
        <f>BD171/BD34*90</f>
        <v>#DIV/0!</v>
      </c>
      <c r="BE206" s="67" t="e">
        <f t="shared" si="1607"/>
        <v>#DIV/0!</v>
      </c>
      <c r="BF206" s="67" t="e">
        <f>BF171/BF34*90</f>
        <v>#DIV/0!</v>
      </c>
      <c r="BG206" s="67" t="e">
        <f t="shared" si="1608"/>
        <v>#DIV/0!</v>
      </c>
      <c r="BH206" s="67" t="e">
        <f>BH171/BH34*90</f>
        <v>#DIV/0!</v>
      </c>
      <c r="BI206" s="67" t="e">
        <f t="shared" si="1609"/>
        <v>#DIV/0!</v>
      </c>
      <c r="BJ206" s="67" t="e">
        <f>BJ171/BJ34*90</f>
        <v>#DIV/0!</v>
      </c>
      <c r="BK206" s="67" t="e">
        <f t="shared" si="1610"/>
        <v>#DIV/0!</v>
      </c>
      <c r="BL206" s="67" t="e">
        <f>BL171/BL34*90</f>
        <v>#DIV/0!</v>
      </c>
      <c r="BM206" s="67" t="e">
        <f t="shared" si="1611"/>
        <v>#DIV/0!</v>
      </c>
      <c r="BN206" s="67" t="e">
        <f>BN171/BN34*90</f>
        <v>#DIV/0!</v>
      </c>
      <c r="BO206" s="67" t="e">
        <f t="shared" si="1612"/>
        <v>#DIV/0!</v>
      </c>
      <c r="BP206" s="67" t="e">
        <f>BP171/BP34*90</f>
        <v>#DIV/0!</v>
      </c>
      <c r="BQ206" s="67" t="e">
        <f t="shared" si="1613"/>
        <v>#DIV/0!</v>
      </c>
      <c r="BR206" s="67" t="e">
        <f>BR171/BR34*90</f>
        <v>#DIV/0!</v>
      </c>
      <c r="BS206" s="67" t="e">
        <f t="shared" si="1614"/>
        <v>#DIV/0!</v>
      </c>
      <c r="BT206" s="67" t="e">
        <f>BT171/BT34*90</f>
        <v>#DIV/0!</v>
      </c>
      <c r="BU206" s="67" t="e">
        <f t="shared" si="1615"/>
        <v>#DIV/0!</v>
      </c>
      <c r="BV206" s="67" t="e">
        <f>BV171/BV34*90</f>
        <v>#DIV/0!</v>
      </c>
      <c r="BW206" s="67" t="e">
        <f t="shared" si="1616"/>
        <v>#DIV/0!</v>
      </c>
      <c r="BX206" s="67" t="e">
        <f>BX171/BX34*90</f>
        <v>#DIV/0!</v>
      </c>
      <c r="BY206" s="67" t="e">
        <f t="shared" si="1617"/>
        <v>#DIV/0!</v>
      </c>
      <c r="BZ206" s="67" t="e">
        <f>BZ171/BZ34*90</f>
        <v>#DIV/0!</v>
      </c>
      <c r="CA206" s="67" t="e">
        <f t="shared" si="1618"/>
        <v>#DIV/0!</v>
      </c>
      <c r="CB206" s="67" t="e">
        <f>CB171/CB34*90</f>
        <v>#DIV/0!</v>
      </c>
      <c r="CC206" s="67" t="e">
        <f t="shared" si="1619"/>
        <v>#DIV/0!</v>
      </c>
      <c r="CD206" s="67">
        <f>CD171/CD34*90</f>
        <v>0</v>
      </c>
      <c r="CE206" s="114">
        <f t="shared" ref="CE206" si="1642">+CD206</f>
        <v>0</v>
      </c>
      <c r="CF206" s="67">
        <f>CF171/CF34*90</f>
        <v>81.284875889936501</v>
      </c>
      <c r="CG206" s="67">
        <f t="shared" si="1620"/>
        <v>81.284875889936501</v>
      </c>
      <c r="CH206" s="67">
        <f>CH171/CH34*90</f>
        <v>91.963288108539501</v>
      </c>
      <c r="CI206" s="67">
        <f t="shared" si="1620"/>
        <v>91.963288108539501</v>
      </c>
      <c r="CJ206" s="67">
        <f>CJ171/CJ34*90</f>
        <v>65.330536341988889</v>
      </c>
      <c r="CK206" s="67">
        <f t="shared" si="1621"/>
        <v>65.330536341988889</v>
      </c>
      <c r="CL206" s="67">
        <f>CL171/CL34*90</f>
        <v>95.27797502192891</v>
      </c>
      <c r="CM206" s="30">
        <f t="shared" si="1622"/>
        <v>95.27797502192891</v>
      </c>
      <c r="CN206" s="30">
        <f t="shared" si="1623"/>
        <v>95.27797502192891</v>
      </c>
      <c r="CO206" s="30">
        <f t="shared" si="1624"/>
        <v>95.27797502192891</v>
      </c>
      <c r="CP206" s="30">
        <f t="shared" si="1625"/>
        <v>95.27797502192891</v>
      </c>
      <c r="CQ206" s="30">
        <f t="shared" si="1626"/>
        <v>95.27797502192891</v>
      </c>
      <c r="CR206" s="30">
        <f t="shared" si="1627"/>
        <v>95.27797502192891</v>
      </c>
      <c r="CS206" s="30">
        <f t="shared" si="1628"/>
        <v>95.27797502192891</v>
      </c>
      <c r="CT206" s="30">
        <f t="shared" si="1629"/>
        <v>95.27797502192891</v>
      </c>
      <c r="CU206" s="30">
        <f t="shared" si="1630"/>
        <v>95.27797502192891</v>
      </c>
      <c r="CV206" s="30">
        <f t="shared" si="1631"/>
        <v>95.27797502192891</v>
      </c>
      <c r="CW206" s="30">
        <f t="shared" si="1632"/>
        <v>95.27797502192891</v>
      </c>
      <c r="CX206" s="30">
        <f t="shared" si="1633"/>
        <v>95.27797502192891</v>
      </c>
      <c r="CY206" s="30">
        <f t="shared" si="1634"/>
        <v>95.27797502192891</v>
      </c>
      <c r="CZ206" s="30">
        <f t="shared" si="1635"/>
        <v>95.27797502192891</v>
      </c>
      <c r="DA206" s="30">
        <f t="shared" si="1636"/>
        <v>95.27797502192891</v>
      </c>
      <c r="DB206" s="30">
        <f t="shared" si="1637"/>
        <v>95.27797502192891</v>
      </c>
      <c r="DC206" s="30">
        <f t="shared" si="1638"/>
        <v>95.27797502192891</v>
      </c>
      <c r="DD206" s="30">
        <f t="shared" si="1639"/>
        <v>95.27797502192891</v>
      </c>
      <c r="DE206" s="139"/>
      <c r="DF206" s="114">
        <v>89.562970345100752</v>
      </c>
    </row>
    <row r="207" spans="1:110" s="62" customFormat="1" outlineLevel="1" x14ac:dyDescent="0.2">
      <c r="A207" s="68" t="s">
        <v>466</v>
      </c>
      <c r="B207" s="67" t="e">
        <f>B208-B206-B205</f>
        <v>#DIV/0!</v>
      </c>
      <c r="C207" s="67" t="e">
        <f t="shared" ref="C207:U207" si="1643">C208-C206-C205</f>
        <v>#DIV/0!</v>
      </c>
      <c r="D207" s="67" t="e">
        <f t="shared" si="1643"/>
        <v>#DIV/0!</v>
      </c>
      <c r="E207" s="67" t="e">
        <f t="shared" si="1643"/>
        <v>#DIV/0!</v>
      </c>
      <c r="F207" s="67" t="e">
        <f t="shared" si="1643"/>
        <v>#DIV/0!</v>
      </c>
      <c r="G207" s="67" t="e">
        <f t="shared" si="1643"/>
        <v>#DIV/0!</v>
      </c>
      <c r="H207" s="67" t="e">
        <f t="shared" si="1643"/>
        <v>#DIV/0!</v>
      </c>
      <c r="I207" s="67" t="e">
        <f t="shared" si="1643"/>
        <v>#DIV/0!</v>
      </c>
      <c r="J207" s="67" t="e">
        <f t="shared" si="1643"/>
        <v>#DIV/0!</v>
      </c>
      <c r="K207" s="67" t="e">
        <f t="shared" si="1643"/>
        <v>#DIV/0!</v>
      </c>
      <c r="L207" s="67" t="e">
        <f t="shared" si="1643"/>
        <v>#DIV/0!</v>
      </c>
      <c r="M207" s="67" t="e">
        <f t="shared" si="1643"/>
        <v>#DIV/0!</v>
      </c>
      <c r="N207" s="67" t="e">
        <f t="shared" si="1643"/>
        <v>#DIV/0!</v>
      </c>
      <c r="O207" s="67" t="e">
        <f t="shared" si="1643"/>
        <v>#DIV/0!</v>
      </c>
      <c r="P207" s="67" t="e">
        <f t="shared" si="1643"/>
        <v>#DIV/0!</v>
      </c>
      <c r="Q207" s="67" t="e">
        <f t="shared" si="1643"/>
        <v>#DIV/0!</v>
      </c>
      <c r="R207" s="67" t="e">
        <f t="shared" si="1643"/>
        <v>#DIV/0!</v>
      </c>
      <c r="S207" s="67" t="e">
        <f t="shared" si="1643"/>
        <v>#DIV/0!</v>
      </c>
      <c r="T207" s="67" t="e">
        <f t="shared" si="1643"/>
        <v>#DIV/0!</v>
      </c>
      <c r="U207" s="67" t="e">
        <f t="shared" si="1643"/>
        <v>#DIV/0!</v>
      </c>
      <c r="V207" s="67" t="e">
        <f>V208-V206-V205</f>
        <v>#DIV/0!</v>
      </c>
      <c r="W207" s="67" t="e">
        <f t="shared" ref="W207" si="1644">W208-W206-W205</f>
        <v>#DIV/0!</v>
      </c>
      <c r="X207" s="67" t="e">
        <f t="shared" ref="X207:Y207" si="1645">X208-X206-X205</f>
        <v>#DIV/0!</v>
      </c>
      <c r="Y207" s="67">
        <f t="shared" si="1645"/>
        <v>287.99846625766867</v>
      </c>
      <c r="Z207" s="67">
        <f t="shared" ref="Z207" si="1646">Z208-Z206-Z205</f>
        <v>130.95174211353441</v>
      </c>
      <c r="AA207" s="18">
        <f t="shared" ref="AA207:AD207" si="1647">AA208-AA206-AA205</f>
        <v>136.43909445777228</v>
      </c>
      <c r="AB207" s="18">
        <f t="shared" si="1647"/>
        <v>126.78002700337302</v>
      </c>
      <c r="AC207" s="18">
        <f t="shared" si="1647"/>
        <v>126.25573535321304</v>
      </c>
      <c r="AD207" s="18">
        <f t="shared" si="1647"/>
        <v>126.10266837570268</v>
      </c>
      <c r="AE207" s="18">
        <f t="shared" ref="AE207" si="1648">AE208-AE206-AE205</f>
        <v>125.98054331114589</v>
      </c>
      <c r="AI207" s="67" t="e">
        <f t="shared" ref="AI207:AK207" si="1649">AI208-AI206-AI205</f>
        <v>#DIV/0!</v>
      </c>
      <c r="AJ207" s="67" t="e">
        <f t="shared" ref="AJ207:AM207" si="1650">AJ208-AJ206-AJ205</f>
        <v>#DIV/0!</v>
      </c>
      <c r="AK207" s="67" t="e">
        <f t="shared" si="1649"/>
        <v>#DIV/0!</v>
      </c>
      <c r="AL207" s="67" t="e">
        <f t="shared" si="1650"/>
        <v>#DIV/0!</v>
      </c>
      <c r="AM207" s="67" t="e">
        <f t="shared" si="1650"/>
        <v>#DIV/0!</v>
      </c>
      <c r="AN207" s="67" t="e">
        <f t="shared" ref="AN207:AY207" si="1651">AN208-AN206-AN205</f>
        <v>#DIV/0!</v>
      </c>
      <c r="AO207" s="67" t="e">
        <f t="shared" si="1651"/>
        <v>#DIV/0!</v>
      </c>
      <c r="AP207" s="67" t="e">
        <f t="shared" si="1651"/>
        <v>#DIV/0!</v>
      </c>
      <c r="AQ207" s="67" t="e">
        <f t="shared" si="1651"/>
        <v>#DIV/0!</v>
      </c>
      <c r="AR207" s="67" t="e">
        <f t="shared" si="1651"/>
        <v>#DIV/0!</v>
      </c>
      <c r="AS207" s="67" t="e">
        <f t="shared" si="1651"/>
        <v>#DIV/0!</v>
      </c>
      <c r="AT207" s="67" t="e">
        <f t="shared" si="1651"/>
        <v>#DIV/0!</v>
      </c>
      <c r="AU207" s="67" t="e">
        <f t="shared" si="1651"/>
        <v>#DIV/0!</v>
      </c>
      <c r="AV207" s="67" t="e">
        <f t="shared" si="1651"/>
        <v>#DIV/0!</v>
      </c>
      <c r="AW207" s="67" t="e">
        <f t="shared" si="1651"/>
        <v>#DIV/0!</v>
      </c>
      <c r="AX207" s="67" t="e">
        <f t="shared" si="1651"/>
        <v>#DIV/0!</v>
      </c>
      <c r="AY207" s="67" t="e">
        <f t="shared" si="1651"/>
        <v>#DIV/0!</v>
      </c>
      <c r="AZ207" s="67" t="e">
        <f t="shared" ref="AZ207:BC207" si="1652">AZ208-AZ206-AZ205</f>
        <v>#DIV/0!</v>
      </c>
      <c r="BA207" s="67" t="e">
        <f t="shared" si="1652"/>
        <v>#DIV/0!</v>
      </c>
      <c r="BB207" s="67" t="e">
        <f t="shared" si="1652"/>
        <v>#DIV/0!</v>
      </c>
      <c r="BC207" s="67" t="e">
        <f t="shared" si="1652"/>
        <v>#DIV/0!</v>
      </c>
      <c r="BD207" s="67" t="e">
        <f t="shared" ref="BD207:CE207" si="1653">BD208-BD206-BD205</f>
        <v>#DIV/0!</v>
      </c>
      <c r="BE207" s="67" t="e">
        <f t="shared" si="1653"/>
        <v>#DIV/0!</v>
      </c>
      <c r="BF207" s="67" t="e">
        <f t="shared" si="1653"/>
        <v>#DIV/0!</v>
      </c>
      <c r="BG207" s="67" t="e">
        <f t="shared" si="1653"/>
        <v>#DIV/0!</v>
      </c>
      <c r="BH207" s="67" t="e">
        <f t="shared" si="1653"/>
        <v>#DIV/0!</v>
      </c>
      <c r="BI207" s="67" t="e">
        <f t="shared" si="1653"/>
        <v>#DIV/0!</v>
      </c>
      <c r="BJ207" s="67" t="e">
        <f t="shared" si="1653"/>
        <v>#DIV/0!</v>
      </c>
      <c r="BK207" s="67" t="e">
        <f t="shared" si="1653"/>
        <v>#DIV/0!</v>
      </c>
      <c r="BL207" s="67" t="e">
        <f t="shared" si="1653"/>
        <v>#DIV/0!</v>
      </c>
      <c r="BM207" s="67" t="e">
        <f t="shared" si="1653"/>
        <v>#DIV/0!</v>
      </c>
      <c r="BN207" s="67" t="e">
        <f t="shared" si="1653"/>
        <v>#DIV/0!</v>
      </c>
      <c r="BO207" s="67" t="e">
        <f t="shared" si="1653"/>
        <v>#DIV/0!</v>
      </c>
      <c r="BP207" s="67" t="e">
        <f t="shared" si="1653"/>
        <v>#DIV/0!</v>
      </c>
      <c r="BQ207" s="67" t="e">
        <f t="shared" si="1653"/>
        <v>#DIV/0!</v>
      </c>
      <c r="BR207" s="67" t="e">
        <f t="shared" si="1653"/>
        <v>#DIV/0!</v>
      </c>
      <c r="BS207" s="67" t="e">
        <f t="shared" si="1653"/>
        <v>#DIV/0!</v>
      </c>
      <c r="BT207" s="67" t="e">
        <f t="shared" si="1653"/>
        <v>#DIV/0!</v>
      </c>
      <c r="BU207" s="67" t="e">
        <f t="shared" si="1653"/>
        <v>#DIV/0!</v>
      </c>
      <c r="BV207" s="67" t="e">
        <f t="shared" si="1653"/>
        <v>#DIV/0!</v>
      </c>
      <c r="BW207" s="67" t="e">
        <f t="shared" si="1653"/>
        <v>#DIV/0!</v>
      </c>
      <c r="BX207" s="67" t="e">
        <f t="shared" si="1653"/>
        <v>#DIV/0!</v>
      </c>
      <c r="BY207" s="67" t="e">
        <f t="shared" si="1653"/>
        <v>#DIV/0!</v>
      </c>
      <c r="BZ207" s="67" t="e">
        <f t="shared" si="1653"/>
        <v>#DIV/0!</v>
      </c>
      <c r="CA207" s="67" t="e">
        <f t="shared" si="1653"/>
        <v>#DIV/0!</v>
      </c>
      <c r="CB207" s="67" t="e">
        <f t="shared" si="1653"/>
        <v>#DIV/0!</v>
      </c>
      <c r="CC207" s="67" t="e">
        <f t="shared" si="1653"/>
        <v>#DIV/0!</v>
      </c>
      <c r="CD207" s="67">
        <f t="shared" si="1653"/>
        <v>0</v>
      </c>
      <c r="CE207" s="114">
        <f t="shared" si="1653"/>
        <v>0</v>
      </c>
      <c r="CF207" s="67">
        <f t="shared" ref="CF207:CG207" si="1654">CF208-CF206-CF205</f>
        <v>167.87762170482972</v>
      </c>
      <c r="CG207" s="67">
        <f t="shared" si="1654"/>
        <v>230.06394620607816</v>
      </c>
      <c r="CH207" s="67">
        <f t="shared" ref="CH207" si="1655">CH208-CH206-CH205</f>
        <v>134.46129289704706</v>
      </c>
      <c r="CI207" s="67">
        <f>CH207</f>
        <v>134.46129289704706</v>
      </c>
      <c r="CJ207" s="67">
        <f t="shared" ref="CJ207" si="1656">CJ208-CJ206-CJ205</f>
        <v>92.228143780473971</v>
      </c>
      <c r="CK207" s="67">
        <f t="shared" ref="CK207:DB207" si="1657">CJ207</f>
        <v>92.228143780473971</v>
      </c>
      <c r="CL207" s="67">
        <f t="shared" ref="CL207" si="1658">CL208-CL206-CL205</f>
        <v>98.84173593417151</v>
      </c>
      <c r="CM207" s="30">
        <f t="shared" si="1657"/>
        <v>98.84173593417151</v>
      </c>
      <c r="CN207" s="30">
        <f t="shared" si="1657"/>
        <v>98.84173593417151</v>
      </c>
      <c r="CO207" s="30">
        <f t="shared" si="1657"/>
        <v>98.84173593417151</v>
      </c>
      <c r="CP207" s="30">
        <f t="shared" si="1657"/>
        <v>98.84173593417151</v>
      </c>
      <c r="CQ207" s="30">
        <f t="shared" si="1657"/>
        <v>98.84173593417151</v>
      </c>
      <c r="CR207" s="30">
        <f t="shared" si="1657"/>
        <v>98.84173593417151</v>
      </c>
      <c r="CS207" s="30">
        <f t="shared" si="1657"/>
        <v>98.84173593417151</v>
      </c>
      <c r="CT207" s="30">
        <f t="shared" si="1657"/>
        <v>98.84173593417151</v>
      </c>
      <c r="CU207" s="30">
        <f t="shared" si="1657"/>
        <v>98.84173593417151</v>
      </c>
      <c r="CV207" s="30">
        <f t="shared" si="1657"/>
        <v>98.84173593417151</v>
      </c>
      <c r="CW207" s="30">
        <f t="shared" si="1657"/>
        <v>98.84173593417151</v>
      </c>
      <c r="CX207" s="30">
        <f t="shared" si="1657"/>
        <v>98.84173593417151</v>
      </c>
      <c r="CY207" s="30">
        <f t="shared" si="1657"/>
        <v>98.84173593417151</v>
      </c>
      <c r="CZ207" s="30">
        <f t="shared" si="1657"/>
        <v>98.84173593417151</v>
      </c>
      <c r="DA207" s="30">
        <f t="shared" si="1657"/>
        <v>98.84173593417151</v>
      </c>
      <c r="DB207" s="30">
        <f t="shared" si="1657"/>
        <v>98.84173593417151</v>
      </c>
      <c r="DC207" s="30">
        <f t="shared" ref="DC207" si="1659">DB207</f>
        <v>98.84173593417151</v>
      </c>
      <c r="DD207" s="30">
        <f t="shared" ref="DD207" si="1660">DC207</f>
        <v>98.84173593417151</v>
      </c>
      <c r="DE207" s="139"/>
      <c r="DF207" s="114">
        <v>130.95174211353441</v>
      </c>
    </row>
    <row r="208" spans="1:110" s="7" customFormat="1" outlineLevel="1" x14ac:dyDescent="0.2">
      <c r="A208" s="69" t="s">
        <v>467</v>
      </c>
      <c r="B208" s="70" t="e">
        <f t="shared" ref="B208:AE208" si="1661">B174/B34*365</f>
        <v>#DIV/0!</v>
      </c>
      <c r="C208" s="70" t="e">
        <f t="shared" si="1661"/>
        <v>#DIV/0!</v>
      </c>
      <c r="D208" s="70" t="e">
        <f t="shared" si="1661"/>
        <v>#DIV/0!</v>
      </c>
      <c r="E208" s="70" t="e">
        <f t="shared" si="1661"/>
        <v>#DIV/0!</v>
      </c>
      <c r="F208" s="70" t="e">
        <f t="shared" si="1661"/>
        <v>#DIV/0!</v>
      </c>
      <c r="G208" s="70" t="e">
        <f t="shared" si="1661"/>
        <v>#DIV/0!</v>
      </c>
      <c r="H208" s="70" t="e">
        <f t="shared" si="1661"/>
        <v>#DIV/0!</v>
      </c>
      <c r="I208" s="70" t="e">
        <f t="shared" si="1661"/>
        <v>#DIV/0!</v>
      </c>
      <c r="J208" s="70" t="e">
        <f t="shared" si="1661"/>
        <v>#DIV/0!</v>
      </c>
      <c r="K208" s="70" t="e">
        <f t="shared" si="1661"/>
        <v>#DIV/0!</v>
      </c>
      <c r="L208" s="70" t="e">
        <f t="shared" si="1661"/>
        <v>#DIV/0!</v>
      </c>
      <c r="M208" s="70" t="e">
        <f t="shared" si="1661"/>
        <v>#DIV/0!</v>
      </c>
      <c r="N208" s="70" t="e">
        <f t="shared" si="1661"/>
        <v>#DIV/0!</v>
      </c>
      <c r="O208" s="70" t="e">
        <f t="shared" si="1661"/>
        <v>#DIV/0!</v>
      </c>
      <c r="P208" s="70" t="e">
        <f t="shared" si="1661"/>
        <v>#DIV/0!</v>
      </c>
      <c r="Q208" s="70" t="e">
        <f t="shared" si="1661"/>
        <v>#DIV/0!</v>
      </c>
      <c r="R208" s="70" t="e">
        <f t="shared" si="1661"/>
        <v>#DIV/0!</v>
      </c>
      <c r="S208" s="70" t="e">
        <f t="shared" si="1661"/>
        <v>#DIV/0!</v>
      </c>
      <c r="T208" s="70" t="e">
        <f t="shared" si="1661"/>
        <v>#DIV/0!</v>
      </c>
      <c r="U208" s="70" t="e">
        <f t="shared" si="1661"/>
        <v>#DIV/0!</v>
      </c>
      <c r="V208" s="70" t="e">
        <f t="shared" si="1661"/>
        <v>#DIV/0!</v>
      </c>
      <c r="W208" s="70" t="e">
        <f t="shared" si="1661"/>
        <v>#DIV/0!</v>
      </c>
      <c r="X208" s="70" t="e">
        <f t="shared" si="1661"/>
        <v>#DIV/0!</v>
      </c>
      <c r="Y208" s="70">
        <f t="shared" si="1661"/>
        <v>491.30368098159505</v>
      </c>
      <c r="Z208" s="70">
        <f t="shared" ref="Z208" si="1662">Z174/Z34*365</f>
        <v>255.97148223389166</v>
      </c>
      <c r="AA208" s="71">
        <f t="shared" si="1661"/>
        <v>319.15010179273457</v>
      </c>
      <c r="AB208" s="71">
        <f t="shared" si="1661"/>
        <v>296.55619369369992</v>
      </c>
      <c r="AC208" s="71">
        <f t="shared" si="1661"/>
        <v>295.32980228306639</v>
      </c>
      <c r="AD208" s="71">
        <f t="shared" si="1661"/>
        <v>294.97175723998174</v>
      </c>
      <c r="AE208" s="71">
        <f t="shared" si="1661"/>
        <v>294.68608965372556</v>
      </c>
      <c r="AI208" s="70" t="e">
        <f t="shared" ref="AI208:CD208" si="1663">AI174/AI34*90</f>
        <v>#DIV/0!</v>
      </c>
      <c r="AJ208" s="70" t="e">
        <f t="shared" si="1663"/>
        <v>#DIV/0!</v>
      </c>
      <c r="AK208" s="70" t="e">
        <f t="shared" si="1663"/>
        <v>#DIV/0!</v>
      </c>
      <c r="AL208" s="70" t="e">
        <f t="shared" si="1663"/>
        <v>#DIV/0!</v>
      </c>
      <c r="AM208" s="70" t="e">
        <f t="shared" si="1663"/>
        <v>#DIV/0!</v>
      </c>
      <c r="AN208" s="70" t="e">
        <f t="shared" si="1663"/>
        <v>#DIV/0!</v>
      </c>
      <c r="AO208" s="70" t="e">
        <f t="shared" si="1663"/>
        <v>#DIV/0!</v>
      </c>
      <c r="AP208" s="70" t="e">
        <f t="shared" si="1663"/>
        <v>#DIV/0!</v>
      </c>
      <c r="AQ208" s="70" t="e">
        <f t="shared" si="1663"/>
        <v>#DIV/0!</v>
      </c>
      <c r="AR208" s="70" t="e">
        <f t="shared" si="1663"/>
        <v>#DIV/0!</v>
      </c>
      <c r="AS208" s="70" t="e">
        <f t="shared" si="1663"/>
        <v>#DIV/0!</v>
      </c>
      <c r="AT208" s="70" t="e">
        <f t="shared" si="1663"/>
        <v>#DIV/0!</v>
      </c>
      <c r="AU208" s="70" t="e">
        <f t="shared" si="1663"/>
        <v>#DIV/0!</v>
      </c>
      <c r="AV208" s="70" t="e">
        <f t="shared" si="1663"/>
        <v>#DIV/0!</v>
      </c>
      <c r="AW208" s="70" t="e">
        <f t="shared" si="1663"/>
        <v>#DIV/0!</v>
      </c>
      <c r="AX208" s="70" t="e">
        <f t="shared" si="1663"/>
        <v>#DIV/0!</v>
      </c>
      <c r="AY208" s="70" t="e">
        <f t="shared" si="1663"/>
        <v>#DIV/0!</v>
      </c>
      <c r="AZ208" s="70" t="e">
        <f t="shared" si="1663"/>
        <v>#DIV/0!</v>
      </c>
      <c r="BA208" s="70" t="e">
        <f t="shared" si="1663"/>
        <v>#DIV/0!</v>
      </c>
      <c r="BB208" s="70" t="e">
        <f t="shared" si="1663"/>
        <v>#DIV/0!</v>
      </c>
      <c r="BC208" s="70" t="e">
        <f t="shared" si="1663"/>
        <v>#DIV/0!</v>
      </c>
      <c r="BD208" s="70" t="e">
        <f t="shared" si="1663"/>
        <v>#DIV/0!</v>
      </c>
      <c r="BE208" s="70" t="e">
        <f t="shared" si="1663"/>
        <v>#DIV/0!</v>
      </c>
      <c r="BF208" s="70" t="e">
        <f t="shared" si="1663"/>
        <v>#DIV/0!</v>
      </c>
      <c r="BG208" s="70" t="e">
        <f t="shared" si="1663"/>
        <v>#DIV/0!</v>
      </c>
      <c r="BH208" s="70" t="e">
        <f t="shared" si="1663"/>
        <v>#DIV/0!</v>
      </c>
      <c r="BI208" s="70" t="e">
        <f t="shared" si="1663"/>
        <v>#DIV/0!</v>
      </c>
      <c r="BJ208" s="70" t="e">
        <f t="shared" si="1663"/>
        <v>#DIV/0!</v>
      </c>
      <c r="BK208" s="70" t="e">
        <f t="shared" si="1663"/>
        <v>#DIV/0!</v>
      </c>
      <c r="BL208" s="70" t="e">
        <f t="shared" si="1663"/>
        <v>#DIV/0!</v>
      </c>
      <c r="BM208" s="70" t="e">
        <f t="shared" si="1663"/>
        <v>#DIV/0!</v>
      </c>
      <c r="BN208" s="70" t="e">
        <f t="shared" si="1663"/>
        <v>#DIV/0!</v>
      </c>
      <c r="BO208" s="70" t="e">
        <f t="shared" si="1663"/>
        <v>#DIV/0!</v>
      </c>
      <c r="BP208" s="70" t="e">
        <f t="shared" si="1663"/>
        <v>#DIV/0!</v>
      </c>
      <c r="BQ208" s="70" t="e">
        <f t="shared" si="1663"/>
        <v>#DIV/0!</v>
      </c>
      <c r="BR208" s="70" t="e">
        <f t="shared" si="1663"/>
        <v>#DIV/0!</v>
      </c>
      <c r="BS208" s="70" t="e">
        <f t="shared" si="1663"/>
        <v>#DIV/0!</v>
      </c>
      <c r="BT208" s="70" t="e">
        <f t="shared" si="1663"/>
        <v>#DIV/0!</v>
      </c>
      <c r="BU208" s="70" t="e">
        <f t="shared" si="1663"/>
        <v>#DIV/0!</v>
      </c>
      <c r="BV208" s="70" t="e">
        <f t="shared" si="1663"/>
        <v>#DIV/0!</v>
      </c>
      <c r="BW208" s="70" t="e">
        <f t="shared" si="1663"/>
        <v>#DIV/0!</v>
      </c>
      <c r="BX208" s="70" t="e">
        <f t="shared" si="1663"/>
        <v>#DIV/0!</v>
      </c>
      <c r="BY208" s="70" t="e">
        <f t="shared" si="1663"/>
        <v>#DIV/0!</v>
      </c>
      <c r="BZ208" s="70" t="e">
        <f t="shared" si="1663"/>
        <v>#DIV/0!</v>
      </c>
      <c r="CA208" s="70" t="e">
        <f t="shared" si="1663"/>
        <v>#DIV/0!</v>
      </c>
      <c r="CB208" s="70" t="e">
        <f t="shared" si="1663"/>
        <v>#DIV/0!</v>
      </c>
      <c r="CC208" s="70" t="e">
        <f t="shared" si="1663"/>
        <v>#DIV/0!</v>
      </c>
      <c r="CD208" s="70">
        <f t="shared" si="1663"/>
        <v>0</v>
      </c>
      <c r="CE208" s="115">
        <f>CE174/CE36*90</f>
        <v>0</v>
      </c>
      <c r="CF208" s="70">
        <f>CF174/CF34*90</f>
        <v>282.65489705599384</v>
      </c>
      <c r="CG208" s="70">
        <f>CG174/CG36*90</f>
        <v>344.84122155724231</v>
      </c>
      <c r="CH208" s="70">
        <f>CH174/CH34*90</f>
        <v>262.83160415003988</v>
      </c>
      <c r="CI208" s="70">
        <f>CI205+CI206+CI207</f>
        <v>262.83160415003988</v>
      </c>
      <c r="CJ208" s="70">
        <f>CJ174/CJ34*90</f>
        <v>183.42215670710965</v>
      </c>
      <c r="CK208" s="70">
        <f t="shared" ref="CK208:DB208" si="1664">CK205+CK206+CK207</f>
        <v>183.42215670710965</v>
      </c>
      <c r="CL208" s="70">
        <f>CL174/CL34*90</f>
        <v>231.20462804394137</v>
      </c>
      <c r="CM208" s="50">
        <f t="shared" si="1664"/>
        <v>231.20462804394137</v>
      </c>
      <c r="CN208" s="50">
        <f t="shared" si="1664"/>
        <v>231.20462804394137</v>
      </c>
      <c r="CO208" s="50">
        <f t="shared" si="1664"/>
        <v>231.20462804394137</v>
      </c>
      <c r="CP208" s="50">
        <f t="shared" si="1664"/>
        <v>231.20462804394137</v>
      </c>
      <c r="CQ208" s="50">
        <f t="shared" si="1664"/>
        <v>231.20462804394137</v>
      </c>
      <c r="CR208" s="50">
        <f t="shared" si="1664"/>
        <v>231.20462804394137</v>
      </c>
      <c r="CS208" s="50">
        <f t="shared" si="1664"/>
        <v>231.20462804394137</v>
      </c>
      <c r="CT208" s="50">
        <f t="shared" si="1664"/>
        <v>231.20462804394137</v>
      </c>
      <c r="CU208" s="50">
        <f t="shared" si="1664"/>
        <v>231.20462804394137</v>
      </c>
      <c r="CV208" s="50">
        <f t="shared" si="1664"/>
        <v>231.20462804394137</v>
      </c>
      <c r="CW208" s="50">
        <f t="shared" si="1664"/>
        <v>231.20462804394137</v>
      </c>
      <c r="CX208" s="50">
        <f t="shared" si="1664"/>
        <v>231.20462804394137</v>
      </c>
      <c r="CY208" s="50">
        <f t="shared" si="1664"/>
        <v>231.20462804394137</v>
      </c>
      <c r="CZ208" s="50">
        <f t="shared" si="1664"/>
        <v>231.20462804394137</v>
      </c>
      <c r="DA208" s="50">
        <f t="shared" si="1664"/>
        <v>231.20462804394137</v>
      </c>
      <c r="DB208" s="50">
        <f t="shared" si="1664"/>
        <v>231.20462804394137</v>
      </c>
      <c r="DC208" s="50">
        <f t="shared" ref="DC208:DD208" si="1665">DC205+DC206+DC207</f>
        <v>231.20462804394137</v>
      </c>
      <c r="DD208" s="50">
        <f t="shared" si="1665"/>
        <v>231.20462804394137</v>
      </c>
      <c r="DE208" s="138"/>
      <c r="DF208" s="115">
        <v>255.97148223389166</v>
      </c>
    </row>
    <row r="209" spans="1:110" s="62" customFormat="1" outlineLevel="1" x14ac:dyDescent="0.2">
      <c r="A209" s="68" t="s">
        <v>468</v>
      </c>
      <c r="B209" s="67" t="e">
        <f t="shared" ref="B209:AE209" si="1666">B179/B34*365</f>
        <v>#DIV/0!</v>
      </c>
      <c r="C209" s="67" t="e">
        <f t="shared" si="1666"/>
        <v>#DIV/0!</v>
      </c>
      <c r="D209" s="67" t="e">
        <f t="shared" si="1666"/>
        <v>#DIV/0!</v>
      </c>
      <c r="E209" s="67" t="e">
        <f t="shared" si="1666"/>
        <v>#DIV/0!</v>
      </c>
      <c r="F209" s="67" t="e">
        <f t="shared" si="1666"/>
        <v>#DIV/0!</v>
      </c>
      <c r="G209" s="67" t="e">
        <f t="shared" si="1666"/>
        <v>#DIV/0!</v>
      </c>
      <c r="H209" s="67" t="e">
        <f t="shared" si="1666"/>
        <v>#DIV/0!</v>
      </c>
      <c r="I209" s="67" t="e">
        <f t="shared" si="1666"/>
        <v>#DIV/0!</v>
      </c>
      <c r="J209" s="67" t="e">
        <f t="shared" si="1666"/>
        <v>#DIV/0!</v>
      </c>
      <c r="K209" s="67" t="e">
        <f t="shared" si="1666"/>
        <v>#DIV/0!</v>
      </c>
      <c r="L209" s="67" t="e">
        <f t="shared" si="1666"/>
        <v>#DIV/0!</v>
      </c>
      <c r="M209" s="67" t="e">
        <f t="shared" si="1666"/>
        <v>#DIV/0!</v>
      </c>
      <c r="N209" s="67" t="e">
        <f t="shared" si="1666"/>
        <v>#DIV/0!</v>
      </c>
      <c r="O209" s="67" t="e">
        <f t="shared" si="1666"/>
        <v>#DIV/0!</v>
      </c>
      <c r="P209" s="67" t="e">
        <f t="shared" si="1666"/>
        <v>#DIV/0!</v>
      </c>
      <c r="Q209" s="67" t="e">
        <f t="shared" si="1666"/>
        <v>#DIV/0!</v>
      </c>
      <c r="R209" s="67" t="e">
        <f t="shared" si="1666"/>
        <v>#DIV/0!</v>
      </c>
      <c r="S209" s="67" t="e">
        <f t="shared" si="1666"/>
        <v>#DIV/0!</v>
      </c>
      <c r="T209" s="67" t="e">
        <f t="shared" si="1666"/>
        <v>#DIV/0!</v>
      </c>
      <c r="U209" s="67" t="e">
        <f t="shared" si="1666"/>
        <v>#DIV/0!</v>
      </c>
      <c r="V209" s="67" t="e">
        <f t="shared" si="1666"/>
        <v>#DIV/0!</v>
      </c>
      <c r="W209" s="67" t="e">
        <f t="shared" si="1666"/>
        <v>#DIV/0!</v>
      </c>
      <c r="X209" s="67" t="e">
        <f t="shared" si="1666"/>
        <v>#DIV/0!</v>
      </c>
      <c r="Y209" s="67">
        <f t="shared" si="1666"/>
        <v>133.72699386503066</v>
      </c>
      <c r="Z209" s="67">
        <f t="shared" ref="Z209" si="1667">Z179/Z34*365</f>
        <v>109.07515300190376</v>
      </c>
      <c r="AA209" s="18">
        <f t="shared" si="1666"/>
        <v>114.66010843718621</v>
      </c>
      <c r="AB209" s="18">
        <f t="shared" si="1666"/>
        <v>106.54286223202109</v>
      </c>
      <c r="AC209" s="18">
        <f t="shared" si="1666"/>
        <v>106.10226023521834</v>
      </c>
      <c r="AD209" s="18">
        <f t="shared" si="1666"/>
        <v>105.97362645683357</v>
      </c>
      <c r="AE209" s="18">
        <f t="shared" si="1666"/>
        <v>105.87099551223065</v>
      </c>
      <c r="AI209" s="67" t="e">
        <f>AJ179/AI34*90</f>
        <v>#DIV/0!</v>
      </c>
      <c r="AJ209" s="67" t="e">
        <f>AJ179/AJ34*90</f>
        <v>#DIV/0!</v>
      </c>
      <c r="AK209" s="67" t="e">
        <f t="shared" ref="AK209:CE209" si="1668">+AJ209</f>
        <v>#DIV/0!</v>
      </c>
      <c r="AL209" s="67" t="e">
        <f>AL179/AL34*90</f>
        <v>#DIV/0!</v>
      </c>
      <c r="AM209" s="67" t="e">
        <f t="shared" ref="AM209" si="1669">+AL209</f>
        <v>#DIV/0!</v>
      </c>
      <c r="AN209" s="67" t="e">
        <f>AN179/AN34*90</f>
        <v>#DIV/0!</v>
      </c>
      <c r="AO209" s="67" t="e">
        <f t="shared" ref="AO209" si="1670">+AN209</f>
        <v>#DIV/0!</v>
      </c>
      <c r="AP209" s="67" t="e">
        <f>AP179/AP34*90</f>
        <v>#DIV/0!</v>
      </c>
      <c r="AQ209" s="67" t="e">
        <f t="shared" ref="AQ209" si="1671">+AP209</f>
        <v>#DIV/0!</v>
      </c>
      <c r="AR209" s="67" t="e">
        <f>AR179/AR34*90</f>
        <v>#DIV/0!</v>
      </c>
      <c r="AS209" s="67" t="e">
        <f t="shared" ref="AS209" si="1672">+AR209</f>
        <v>#DIV/0!</v>
      </c>
      <c r="AT209" s="67" t="e">
        <f>AT179/AT34*90</f>
        <v>#DIV/0!</v>
      </c>
      <c r="AU209" s="67" t="e">
        <f t="shared" ref="AU209" si="1673">+AT209</f>
        <v>#DIV/0!</v>
      </c>
      <c r="AV209" s="67" t="e">
        <f>AV179/AV34*90</f>
        <v>#DIV/0!</v>
      </c>
      <c r="AW209" s="67" t="e">
        <f t="shared" ref="AW209" si="1674">+AV209</f>
        <v>#DIV/0!</v>
      </c>
      <c r="AX209" s="67" t="e">
        <f>AX179/AX34*90</f>
        <v>#DIV/0!</v>
      </c>
      <c r="AY209" s="67" t="e">
        <f t="shared" ref="AY209" si="1675">+AX209</f>
        <v>#DIV/0!</v>
      </c>
      <c r="AZ209" s="67" t="e">
        <f>AZ179/AZ34*90</f>
        <v>#DIV/0!</v>
      </c>
      <c r="BA209" s="67" t="e">
        <f t="shared" ref="BA209" si="1676">+AZ209</f>
        <v>#DIV/0!</v>
      </c>
      <c r="BB209" s="67" t="e">
        <f>BB179/BB34*90</f>
        <v>#DIV/0!</v>
      </c>
      <c r="BC209" s="67" t="e">
        <f t="shared" ref="BC209" si="1677">+BB209</f>
        <v>#DIV/0!</v>
      </c>
      <c r="BD209" s="67" t="e">
        <f>BD179/BD34*90</f>
        <v>#DIV/0!</v>
      </c>
      <c r="BE209" s="67" t="e">
        <f t="shared" ref="BE209" si="1678">+BD209</f>
        <v>#DIV/0!</v>
      </c>
      <c r="BF209" s="67" t="e">
        <f>BF179/BF34*90</f>
        <v>#DIV/0!</v>
      </c>
      <c r="BG209" s="67" t="e">
        <f t="shared" ref="BG209" si="1679">+BF209</f>
        <v>#DIV/0!</v>
      </c>
      <c r="BH209" s="67" t="e">
        <f>BH179/BH34*90</f>
        <v>#DIV/0!</v>
      </c>
      <c r="BI209" s="67" t="e">
        <f t="shared" ref="BI209" si="1680">+BH209</f>
        <v>#DIV/0!</v>
      </c>
      <c r="BJ209" s="67" t="e">
        <f>BJ179/BJ34*90</f>
        <v>#DIV/0!</v>
      </c>
      <c r="BK209" s="67" t="e">
        <f t="shared" ref="BK209" si="1681">+BJ209</f>
        <v>#DIV/0!</v>
      </c>
      <c r="BL209" s="67" t="e">
        <f>BL179/BL34*90</f>
        <v>#DIV/0!</v>
      </c>
      <c r="BM209" s="67" t="e">
        <f t="shared" ref="BM209" si="1682">+BL209</f>
        <v>#DIV/0!</v>
      </c>
      <c r="BN209" s="67" t="e">
        <f>BN179/BN34*90</f>
        <v>#DIV/0!</v>
      </c>
      <c r="BO209" s="67" t="e">
        <f t="shared" ref="BO209" si="1683">+BN209</f>
        <v>#DIV/0!</v>
      </c>
      <c r="BP209" s="67" t="e">
        <f>BP179/BP34*90</f>
        <v>#DIV/0!</v>
      </c>
      <c r="BQ209" s="67" t="e">
        <f t="shared" ref="BQ209" si="1684">+BP209</f>
        <v>#DIV/0!</v>
      </c>
      <c r="BR209" s="67" t="e">
        <f>BR179/BR34*90</f>
        <v>#DIV/0!</v>
      </c>
      <c r="BS209" s="67" t="e">
        <f t="shared" ref="BS209" si="1685">+BR209</f>
        <v>#DIV/0!</v>
      </c>
      <c r="BT209" s="67" t="e">
        <f>BT179/BT34*90</f>
        <v>#DIV/0!</v>
      </c>
      <c r="BU209" s="67" t="e">
        <f t="shared" ref="BU209" si="1686">+BT209</f>
        <v>#DIV/0!</v>
      </c>
      <c r="BV209" s="67" t="e">
        <f>BV179/BV34*90</f>
        <v>#DIV/0!</v>
      </c>
      <c r="BW209" s="67" t="e">
        <f t="shared" ref="BW209" si="1687">+BV209</f>
        <v>#DIV/0!</v>
      </c>
      <c r="BX209" s="67" t="e">
        <f>BX179/BX34*90</f>
        <v>#DIV/0!</v>
      </c>
      <c r="BY209" s="67" t="e">
        <f t="shared" ref="BY209" si="1688">+BX209</f>
        <v>#DIV/0!</v>
      </c>
      <c r="BZ209" s="67" t="e">
        <f>BZ179/BZ34*90</f>
        <v>#DIV/0!</v>
      </c>
      <c r="CA209" s="67" t="e">
        <f t="shared" ref="CA209" si="1689">+BZ209</f>
        <v>#DIV/0!</v>
      </c>
      <c r="CB209" s="67" t="e">
        <f>CB179/CB34*90</f>
        <v>#DIV/0!</v>
      </c>
      <c r="CC209" s="67" t="e">
        <f t="shared" ref="CC209" si="1690">+CB209</f>
        <v>#DIV/0!</v>
      </c>
      <c r="CD209" s="67">
        <f>CD179/CD34*90</f>
        <v>0</v>
      </c>
      <c r="CE209" s="114">
        <f t="shared" si="1668"/>
        <v>0</v>
      </c>
      <c r="CF209" s="67">
        <f>CF179/CF34*90</f>
        <v>75.496440253992674</v>
      </c>
      <c r="CG209" s="67">
        <f t="shared" ref="CG209:CI209" si="1691">+CF209</f>
        <v>75.496440253992674</v>
      </c>
      <c r="CH209" s="67">
        <f>CH179/CH34*90</f>
        <v>111.99840383080607</v>
      </c>
      <c r="CI209" s="67">
        <f t="shared" si="1691"/>
        <v>111.99840383080607</v>
      </c>
      <c r="CJ209" s="67">
        <f>CJ179/CJ34*90</f>
        <v>79.563442567184495</v>
      </c>
      <c r="CK209" s="67">
        <f t="shared" ref="CK209" si="1692">+CJ209</f>
        <v>79.563442567184495</v>
      </c>
      <c r="CL209" s="67">
        <f>CL179/CL34*90</f>
        <v>83.064199490413927</v>
      </c>
      <c r="CM209" s="30">
        <f t="shared" ref="CM209" si="1693">+CL209</f>
        <v>83.064199490413927</v>
      </c>
      <c r="CN209" s="30">
        <f t="shared" ref="CN209" si="1694">+CM209</f>
        <v>83.064199490413927</v>
      </c>
      <c r="CO209" s="30">
        <f t="shared" ref="CO209" si="1695">+CN209</f>
        <v>83.064199490413927</v>
      </c>
      <c r="CP209" s="30">
        <f t="shared" ref="CP209" si="1696">+CO209</f>
        <v>83.064199490413927</v>
      </c>
      <c r="CQ209" s="30">
        <f t="shared" ref="CQ209" si="1697">+CP209</f>
        <v>83.064199490413927</v>
      </c>
      <c r="CR209" s="30">
        <f t="shared" ref="CR209" si="1698">+CQ209</f>
        <v>83.064199490413927</v>
      </c>
      <c r="CS209" s="30">
        <f t="shared" ref="CS209" si="1699">+CR209</f>
        <v>83.064199490413927</v>
      </c>
      <c r="CT209" s="30">
        <f t="shared" ref="CT209" si="1700">+CS209</f>
        <v>83.064199490413927</v>
      </c>
      <c r="CU209" s="30">
        <f t="shared" ref="CU209" si="1701">+CT209</f>
        <v>83.064199490413927</v>
      </c>
      <c r="CV209" s="30">
        <f t="shared" ref="CV209" si="1702">+CU209</f>
        <v>83.064199490413927</v>
      </c>
      <c r="CW209" s="30">
        <f t="shared" ref="CW209" si="1703">+CV209</f>
        <v>83.064199490413927</v>
      </c>
      <c r="CX209" s="30">
        <f t="shared" ref="CX209" si="1704">+CW209</f>
        <v>83.064199490413927</v>
      </c>
      <c r="CY209" s="30">
        <f t="shared" ref="CY209" si="1705">+CX209</f>
        <v>83.064199490413927</v>
      </c>
      <c r="CZ209" s="30">
        <f t="shared" ref="CZ209" si="1706">+CY209</f>
        <v>83.064199490413927</v>
      </c>
      <c r="DA209" s="30">
        <f t="shared" ref="DA209" si="1707">+CZ209</f>
        <v>83.064199490413927</v>
      </c>
      <c r="DB209" s="30">
        <f t="shared" ref="DB209" si="1708">+DA209</f>
        <v>83.064199490413927</v>
      </c>
      <c r="DC209" s="30">
        <f t="shared" ref="DC209" si="1709">+DB209</f>
        <v>83.064199490413927</v>
      </c>
      <c r="DD209" s="30">
        <f t="shared" ref="DD209" si="1710">+DC209</f>
        <v>83.064199490413927</v>
      </c>
      <c r="DE209" s="139"/>
      <c r="DF209" s="114">
        <v>109.07515300190376</v>
      </c>
    </row>
    <row r="210" spans="1:110" s="62" customFormat="1" outlineLevel="1" x14ac:dyDescent="0.2">
      <c r="A210" s="68" t="s">
        <v>466</v>
      </c>
      <c r="B210" s="67" t="e">
        <f>B211-B209</f>
        <v>#DIV/0!</v>
      </c>
      <c r="C210" s="67" t="e">
        <f t="shared" ref="C210:V210" si="1711">C211-C209</f>
        <v>#DIV/0!</v>
      </c>
      <c r="D210" s="67" t="e">
        <f t="shared" si="1711"/>
        <v>#DIV/0!</v>
      </c>
      <c r="E210" s="67" t="e">
        <f t="shared" si="1711"/>
        <v>#DIV/0!</v>
      </c>
      <c r="F210" s="67" t="e">
        <f t="shared" si="1711"/>
        <v>#DIV/0!</v>
      </c>
      <c r="G210" s="67" t="e">
        <f t="shared" si="1711"/>
        <v>#DIV/0!</v>
      </c>
      <c r="H210" s="67" t="e">
        <f t="shared" si="1711"/>
        <v>#DIV/0!</v>
      </c>
      <c r="I210" s="67" t="e">
        <f t="shared" si="1711"/>
        <v>#DIV/0!</v>
      </c>
      <c r="J210" s="67" t="e">
        <f t="shared" si="1711"/>
        <v>#DIV/0!</v>
      </c>
      <c r="K210" s="67" t="e">
        <f t="shared" si="1711"/>
        <v>#DIV/0!</v>
      </c>
      <c r="L210" s="67" t="e">
        <f t="shared" si="1711"/>
        <v>#DIV/0!</v>
      </c>
      <c r="M210" s="67" t="e">
        <f t="shared" si="1711"/>
        <v>#DIV/0!</v>
      </c>
      <c r="N210" s="67" t="e">
        <f t="shared" si="1711"/>
        <v>#DIV/0!</v>
      </c>
      <c r="O210" s="67" t="e">
        <f t="shared" si="1711"/>
        <v>#DIV/0!</v>
      </c>
      <c r="P210" s="67" t="e">
        <f t="shared" si="1711"/>
        <v>#DIV/0!</v>
      </c>
      <c r="Q210" s="67" t="e">
        <f t="shared" si="1711"/>
        <v>#DIV/0!</v>
      </c>
      <c r="R210" s="67" t="e">
        <f t="shared" si="1711"/>
        <v>#DIV/0!</v>
      </c>
      <c r="S210" s="67" t="e">
        <f t="shared" si="1711"/>
        <v>#DIV/0!</v>
      </c>
      <c r="T210" s="67" t="e">
        <f t="shared" si="1711"/>
        <v>#DIV/0!</v>
      </c>
      <c r="U210" s="67" t="e">
        <f t="shared" si="1711"/>
        <v>#DIV/0!</v>
      </c>
      <c r="V210" s="67" t="e">
        <f t="shared" si="1711"/>
        <v>#DIV/0!</v>
      </c>
      <c r="W210" s="67" t="e">
        <f t="shared" ref="W210" si="1712">W211-W209</f>
        <v>#DIV/0!</v>
      </c>
      <c r="X210" s="67" t="e">
        <f t="shared" ref="X210:Y210" si="1713">X211-X209</f>
        <v>#DIV/0!</v>
      </c>
      <c r="Y210" s="67">
        <f t="shared" si="1713"/>
        <v>160.05368098159508</v>
      </c>
      <c r="Z210" s="67">
        <f t="shared" ref="Z210" si="1714">Z211-Z209</f>
        <v>142.3773748834119</v>
      </c>
      <c r="AA210" s="18">
        <f t="shared" ref="AA210:AD210" si="1715">AA211-AA209</f>
        <v>165.85655258279078</v>
      </c>
      <c r="AB210" s="18">
        <f t="shared" si="1715"/>
        <v>154.11490598569242</v>
      </c>
      <c r="AC210" s="18">
        <f t="shared" si="1715"/>
        <v>153.4775724854295</v>
      </c>
      <c r="AD210" s="18">
        <f t="shared" si="1715"/>
        <v>153.29150293326012</v>
      </c>
      <c r="AE210" s="18">
        <f t="shared" ref="AE210" si="1716">AE211-AE209</f>
        <v>153.14304664020256</v>
      </c>
      <c r="AI210" s="67" t="e">
        <f t="shared" ref="AI210:AK210" si="1717">AI211-AI209</f>
        <v>#DIV/0!</v>
      </c>
      <c r="AJ210" s="67" t="e">
        <f t="shared" ref="AJ210:AM210" si="1718">AJ211-AJ209</f>
        <v>#DIV/0!</v>
      </c>
      <c r="AK210" s="67" t="e">
        <f t="shared" si="1717"/>
        <v>#DIV/0!</v>
      </c>
      <c r="AL210" s="67" t="e">
        <f t="shared" si="1718"/>
        <v>#DIV/0!</v>
      </c>
      <c r="AM210" s="67" t="e">
        <f t="shared" si="1718"/>
        <v>#DIV/0!</v>
      </c>
      <c r="AN210" s="67" t="e">
        <f t="shared" ref="AN210:AY210" si="1719">AN211-AN209</f>
        <v>#DIV/0!</v>
      </c>
      <c r="AO210" s="67" t="e">
        <f t="shared" si="1719"/>
        <v>#DIV/0!</v>
      </c>
      <c r="AP210" s="67" t="e">
        <f t="shared" si="1719"/>
        <v>#DIV/0!</v>
      </c>
      <c r="AQ210" s="67" t="e">
        <f t="shared" si="1719"/>
        <v>#DIV/0!</v>
      </c>
      <c r="AR210" s="67" t="e">
        <f t="shared" si="1719"/>
        <v>#DIV/0!</v>
      </c>
      <c r="AS210" s="67" t="e">
        <f t="shared" si="1719"/>
        <v>#DIV/0!</v>
      </c>
      <c r="AT210" s="67" t="e">
        <f t="shared" si="1719"/>
        <v>#DIV/0!</v>
      </c>
      <c r="AU210" s="67" t="e">
        <f t="shared" si="1719"/>
        <v>#DIV/0!</v>
      </c>
      <c r="AV210" s="67" t="e">
        <f t="shared" si="1719"/>
        <v>#DIV/0!</v>
      </c>
      <c r="AW210" s="67" t="e">
        <f t="shared" si="1719"/>
        <v>#DIV/0!</v>
      </c>
      <c r="AX210" s="67" t="e">
        <f t="shared" si="1719"/>
        <v>#DIV/0!</v>
      </c>
      <c r="AY210" s="67" t="e">
        <f t="shared" si="1719"/>
        <v>#DIV/0!</v>
      </c>
      <c r="AZ210" s="67" t="e">
        <f t="shared" ref="AZ210:BC210" si="1720">AZ211-AZ209</f>
        <v>#DIV/0!</v>
      </c>
      <c r="BA210" s="67" t="e">
        <f t="shared" si="1720"/>
        <v>#DIV/0!</v>
      </c>
      <c r="BB210" s="67" t="e">
        <f t="shared" si="1720"/>
        <v>#DIV/0!</v>
      </c>
      <c r="BC210" s="67" t="e">
        <f t="shared" si="1720"/>
        <v>#DIV/0!</v>
      </c>
      <c r="BD210" s="67" t="e">
        <f t="shared" ref="BD210:CE210" si="1721">BD211-BD209</f>
        <v>#DIV/0!</v>
      </c>
      <c r="BE210" s="67" t="e">
        <f t="shared" si="1721"/>
        <v>#DIV/0!</v>
      </c>
      <c r="BF210" s="67" t="e">
        <f t="shared" si="1721"/>
        <v>#DIV/0!</v>
      </c>
      <c r="BG210" s="67" t="e">
        <f t="shared" si="1721"/>
        <v>#DIV/0!</v>
      </c>
      <c r="BH210" s="67" t="e">
        <f t="shared" si="1721"/>
        <v>#DIV/0!</v>
      </c>
      <c r="BI210" s="67" t="e">
        <f t="shared" si="1721"/>
        <v>#DIV/0!</v>
      </c>
      <c r="BJ210" s="67" t="e">
        <f t="shared" si="1721"/>
        <v>#DIV/0!</v>
      </c>
      <c r="BK210" s="67" t="e">
        <f t="shared" si="1721"/>
        <v>#DIV/0!</v>
      </c>
      <c r="BL210" s="67" t="e">
        <f t="shared" si="1721"/>
        <v>#DIV/0!</v>
      </c>
      <c r="BM210" s="67" t="e">
        <f t="shared" si="1721"/>
        <v>#DIV/0!</v>
      </c>
      <c r="BN210" s="67" t="e">
        <f t="shared" si="1721"/>
        <v>#DIV/0!</v>
      </c>
      <c r="BO210" s="67" t="e">
        <f t="shared" si="1721"/>
        <v>#DIV/0!</v>
      </c>
      <c r="BP210" s="67" t="e">
        <f t="shared" si="1721"/>
        <v>#DIV/0!</v>
      </c>
      <c r="BQ210" s="67" t="e">
        <f t="shared" si="1721"/>
        <v>#DIV/0!</v>
      </c>
      <c r="BR210" s="67" t="e">
        <f t="shared" si="1721"/>
        <v>#DIV/0!</v>
      </c>
      <c r="BS210" s="67" t="e">
        <f t="shared" si="1721"/>
        <v>#DIV/0!</v>
      </c>
      <c r="BT210" s="67" t="e">
        <f t="shared" si="1721"/>
        <v>#DIV/0!</v>
      </c>
      <c r="BU210" s="67" t="e">
        <f t="shared" si="1721"/>
        <v>#DIV/0!</v>
      </c>
      <c r="BV210" s="67" t="e">
        <f t="shared" si="1721"/>
        <v>#DIV/0!</v>
      </c>
      <c r="BW210" s="67" t="e">
        <f t="shared" si="1721"/>
        <v>#DIV/0!</v>
      </c>
      <c r="BX210" s="67" t="e">
        <f t="shared" si="1721"/>
        <v>#DIV/0!</v>
      </c>
      <c r="BY210" s="67" t="e">
        <f t="shared" si="1721"/>
        <v>#DIV/0!</v>
      </c>
      <c r="BZ210" s="67" t="e">
        <f t="shared" si="1721"/>
        <v>#DIV/0!</v>
      </c>
      <c r="CA210" s="67" t="e">
        <f t="shared" si="1721"/>
        <v>#DIV/0!</v>
      </c>
      <c r="CB210" s="67" t="e">
        <f t="shared" si="1721"/>
        <v>#DIV/0!</v>
      </c>
      <c r="CC210" s="67" t="e">
        <f t="shared" si="1721"/>
        <v>#DIV/0!</v>
      </c>
      <c r="CD210" s="67">
        <f t="shared" si="1721"/>
        <v>0</v>
      </c>
      <c r="CE210" s="114">
        <f t="shared" si="1721"/>
        <v>0</v>
      </c>
      <c r="CF210" s="67">
        <f t="shared" ref="CF210:CG210" si="1722">CF211-CF209</f>
        <v>90.359341928035391</v>
      </c>
      <c r="CG210" s="67">
        <f t="shared" si="1722"/>
        <v>123.83083921154987</v>
      </c>
      <c r="CH210" s="67">
        <f t="shared" ref="CH210" si="1723">CH211-CH209</f>
        <v>146.19313647246611</v>
      </c>
      <c r="CI210" s="67">
        <f>CH210</f>
        <v>146.19313647246611</v>
      </c>
      <c r="CJ210" s="67">
        <f t="shared" ref="CJ210" si="1724">CJ211-CJ209</f>
        <v>96.099330989908196</v>
      </c>
      <c r="CK210" s="67">
        <f t="shared" ref="CK210:DB210" si="1725">CJ210</f>
        <v>96.099330989908196</v>
      </c>
      <c r="CL210" s="67">
        <f t="shared" ref="CL210" si="1726">CL211-CL209</f>
        <v>120.1528758197235</v>
      </c>
      <c r="CM210" s="30">
        <f t="shared" si="1725"/>
        <v>120.1528758197235</v>
      </c>
      <c r="CN210" s="30">
        <f t="shared" si="1725"/>
        <v>120.1528758197235</v>
      </c>
      <c r="CO210" s="30">
        <f t="shared" si="1725"/>
        <v>120.1528758197235</v>
      </c>
      <c r="CP210" s="30">
        <f t="shared" si="1725"/>
        <v>120.1528758197235</v>
      </c>
      <c r="CQ210" s="30">
        <f t="shared" si="1725"/>
        <v>120.1528758197235</v>
      </c>
      <c r="CR210" s="30">
        <f t="shared" si="1725"/>
        <v>120.1528758197235</v>
      </c>
      <c r="CS210" s="30">
        <f t="shared" si="1725"/>
        <v>120.1528758197235</v>
      </c>
      <c r="CT210" s="30">
        <f t="shared" si="1725"/>
        <v>120.1528758197235</v>
      </c>
      <c r="CU210" s="30">
        <f t="shared" si="1725"/>
        <v>120.1528758197235</v>
      </c>
      <c r="CV210" s="30">
        <f t="shared" si="1725"/>
        <v>120.1528758197235</v>
      </c>
      <c r="CW210" s="30">
        <f t="shared" si="1725"/>
        <v>120.1528758197235</v>
      </c>
      <c r="CX210" s="30">
        <f t="shared" si="1725"/>
        <v>120.1528758197235</v>
      </c>
      <c r="CY210" s="30">
        <f t="shared" si="1725"/>
        <v>120.1528758197235</v>
      </c>
      <c r="CZ210" s="30">
        <f t="shared" si="1725"/>
        <v>120.1528758197235</v>
      </c>
      <c r="DA210" s="30">
        <f t="shared" si="1725"/>
        <v>120.1528758197235</v>
      </c>
      <c r="DB210" s="30">
        <f t="shared" si="1725"/>
        <v>120.1528758197235</v>
      </c>
      <c r="DC210" s="30">
        <f t="shared" ref="DC210" si="1727">DB210</f>
        <v>120.1528758197235</v>
      </c>
      <c r="DD210" s="30">
        <f t="shared" ref="DD210" si="1728">DC210</f>
        <v>120.1528758197235</v>
      </c>
      <c r="DE210" s="139"/>
      <c r="DF210" s="114">
        <v>142.3773748834119</v>
      </c>
    </row>
    <row r="211" spans="1:110" s="7" customFormat="1" outlineLevel="1" x14ac:dyDescent="0.2">
      <c r="A211" s="69" t="s">
        <v>469</v>
      </c>
      <c r="B211" s="70" t="e">
        <f t="shared" ref="B211:AE211" si="1729">B182/B34*365</f>
        <v>#DIV/0!</v>
      </c>
      <c r="C211" s="70" t="e">
        <f t="shared" si="1729"/>
        <v>#DIV/0!</v>
      </c>
      <c r="D211" s="70" t="e">
        <f t="shared" si="1729"/>
        <v>#DIV/0!</v>
      </c>
      <c r="E211" s="70" t="e">
        <f t="shared" si="1729"/>
        <v>#DIV/0!</v>
      </c>
      <c r="F211" s="70" t="e">
        <f t="shared" si="1729"/>
        <v>#DIV/0!</v>
      </c>
      <c r="G211" s="70" t="e">
        <f t="shared" si="1729"/>
        <v>#DIV/0!</v>
      </c>
      <c r="H211" s="70" t="e">
        <f t="shared" si="1729"/>
        <v>#DIV/0!</v>
      </c>
      <c r="I211" s="70" t="e">
        <f t="shared" si="1729"/>
        <v>#DIV/0!</v>
      </c>
      <c r="J211" s="70" t="e">
        <f t="shared" si="1729"/>
        <v>#DIV/0!</v>
      </c>
      <c r="K211" s="70" t="e">
        <f t="shared" si="1729"/>
        <v>#DIV/0!</v>
      </c>
      <c r="L211" s="70" t="e">
        <f t="shared" si="1729"/>
        <v>#DIV/0!</v>
      </c>
      <c r="M211" s="70" t="e">
        <f t="shared" si="1729"/>
        <v>#DIV/0!</v>
      </c>
      <c r="N211" s="70" t="e">
        <f t="shared" si="1729"/>
        <v>#DIV/0!</v>
      </c>
      <c r="O211" s="70" t="e">
        <f t="shared" si="1729"/>
        <v>#DIV/0!</v>
      </c>
      <c r="P211" s="70" t="e">
        <f t="shared" si="1729"/>
        <v>#DIV/0!</v>
      </c>
      <c r="Q211" s="70" t="e">
        <f t="shared" si="1729"/>
        <v>#DIV/0!</v>
      </c>
      <c r="R211" s="70" t="e">
        <f t="shared" si="1729"/>
        <v>#DIV/0!</v>
      </c>
      <c r="S211" s="70" t="e">
        <f t="shared" si="1729"/>
        <v>#DIV/0!</v>
      </c>
      <c r="T211" s="70" t="e">
        <f t="shared" si="1729"/>
        <v>#DIV/0!</v>
      </c>
      <c r="U211" s="70" t="e">
        <f t="shared" si="1729"/>
        <v>#DIV/0!</v>
      </c>
      <c r="V211" s="70" t="e">
        <f t="shared" si="1729"/>
        <v>#DIV/0!</v>
      </c>
      <c r="W211" s="70" t="e">
        <f t="shared" si="1729"/>
        <v>#DIV/0!</v>
      </c>
      <c r="X211" s="70" t="e">
        <f t="shared" si="1729"/>
        <v>#DIV/0!</v>
      </c>
      <c r="Y211" s="70">
        <f t="shared" si="1729"/>
        <v>293.78067484662574</v>
      </c>
      <c r="Z211" s="70">
        <f t="shared" ref="Z211" si="1730">Z182/Z34*365</f>
        <v>251.45252788531567</v>
      </c>
      <c r="AA211" s="71">
        <f t="shared" si="1729"/>
        <v>280.51666101997699</v>
      </c>
      <c r="AB211" s="71">
        <f t="shared" si="1729"/>
        <v>260.65776821771351</v>
      </c>
      <c r="AC211" s="71">
        <f t="shared" si="1729"/>
        <v>259.57983272064786</v>
      </c>
      <c r="AD211" s="71">
        <f t="shared" si="1729"/>
        <v>259.2651293900937</v>
      </c>
      <c r="AE211" s="71">
        <f t="shared" si="1729"/>
        <v>259.01404215243321</v>
      </c>
      <c r="AI211" s="70" t="e">
        <f t="shared" ref="AI211:CD211" si="1731">AI182/AI34*90</f>
        <v>#DIV/0!</v>
      </c>
      <c r="AJ211" s="70" t="e">
        <f t="shared" si="1731"/>
        <v>#DIV/0!</v>
      </c>
      <c r="AK211" s="70" t="e">
        <f>AK182/AK34*90</f>
        <v>#DIV/0!</v>
      </c>
      <c r="AL211" s="70" t="e">
        <f t="shared" si="1731"/>
        <v>#DIV/0!</v>
      </c>
      <c r="AM211" s="70" t="e">
        <f t="shared" si="1731"/>
        <v>#DIV/0!</v>
      </c>
      <c r="AN211" s="70" t="e">
        <f t="shared" si="1731"/>
        <v>#DIV/0!</v>
      </c>
      <c r="AO211" s="70" t="e">
        <f t="shared" si="1731"/>
        <v>#DIV/0!</v>
      </c>
      <c r="AP211" s="70" t="e">
        <f t="shared" si="1731"/>
        <v>#DIV/0!</v>
      </c>
      <c r="AQ211" s="70" t="e">
        <f t="shared" si="1731"/>
        <v>#DIV/0!</v>
      </c>
      <c r="AR211" s="70" t="e">
        <f t="shared" si="1731"/>
        <v>#DIV/0!</v>
      </c>
      <c r="AS211" s="70" t="e">
        <f t="shared" si="1731"/>
        <v>#DIV/0!</v>
      </c>
      <c r="AT211" s="70" t="e">
        <f t="shared" si="1731"/>
        <v>#DIV/0!</v>
      </c>
      <c r="AU211" s="70" t="e">
        <f t="shared" si="1731"/>
        <v>#DIV/0!</v>
      </c>
      <c r="AV211" s="70" t="e">
        <f t="shared" si="1731"/>
        <v>#DIV/0!</v>
      </c>
      <c r="AW211" s="70" t="e">
        <f t="shared" si="1731"/>
        <v>#DIV/0!</v>
      </c>
      <c r="AX211" s="70" t="e">
        <f t="shared" si="1731"/>
        <v>#DIV/0!</v>
      </c>
      <c r="AY211" s="70" t="e">
        <f t="shared" si="1731"/>
        <v>#DIV/0!</v>
      </c>
      <c r="AZ211" s="70" t="e">
        <f t="shared" si="1731"/>
        <v>#DIV/0!</v>
      </c>
      <c r="BA211" s="70" t="e">
        <f t="shared" si="1731"/>
        <v>#DIV/0!</v>
      </c>
      <c r="BB211" s="70" t="e">
        <f t="shared" si="1731"/>
        <v>#DIV/0!</v>
      </c>
      <c r="BC211" s="70" t="e">
        <f t="shared" si="1731"/>
        <v>#DIV/0!</v>
      </c>
      <c r="BD211" s="70" t="e">
        <f t="shared" si="1731"/>
        <v>#DIV/0!</v>
      </c>
      <c r="BE211" s="70" t="e">
        <f t="shared" si="1731"/>
        <v>#DIV/0!</v>
      </c>
      <c r="BF211" s="70" t="e">
        <f t="shared" si="1731"/>
        <v>#DIV/0!</v>
      </c>
      <c r="BG211" s="70" t="e">
        <f t="shared" si="1731"/>
        <v>#DIV/0!</v>
      </c>
      <c r="BH211" s="70" t="e">
        <f t="shared" si="1731"/>
        <v>#DIV/0!</v>
      </c>
      <c r="BI211" s="70" t="e">
        <f t="shared" si="1731"/>
        <v>#DIV/0!</v>
      </c>
      <c r="BJ211" s="70" t="e">
        <f t="shared" si="1731"/>
        <v>#DIV/0!</v>
      </c>
      <c r="BK211" s="70" t="e">
        <f t="shared" si="1731"/>
        <v>#DIV/0!</v>
      </c>
      <c r="BL211" s="70" t="e">
        <f t="shared" si="1731"/>
        <v>#DIV/0!</v>
      </c>
      <c r="BM211" s="70" t="e">
        <f t="shared" si="1731"/>
        <v>#DIV/0!</v>
      </c>
      <c r="BN211" s="70" t="e">
        <f t="shared" si="1731"/>
        <v>#DIV/0!</v>
      </c>
      <c r="BO211" s="70" t="e">
        <f t="shared" si="1731"/>
        <v>#DIV/0!</v>
      </c>
      <c r="BP211" s="70" t="e">
        <f t="shared" si="1731"/>
        <v>#DIV/0!</v>
      </c>
      <c r="BQ211" s="70" t="e">
        <f t="shared" si="1731"/>
        <v>#DIV/0!</v>
      </c>
      <c r="BR211" s="70" t="e">
        <f t="shared" si="1731"/>
        <v>#DIV/0!</v>
      </c>
      <c r="BS211" s="70" t="e">
        <f t="shared" si="1731"/>
        <v>#DIV/0!</v>
      </c>
      <c r="BT211" s="70" t="e">
        <f t="shared" si="1731"/>
        <v>#DIV/0!</v>
      </c>
      <c r="BU211" s="70" t="e">
        <f t="shared" si="1731"/>
        <v>#DIV/0!</v>
      </c>
      <c r="BV211" s="70" t="e">
        <f t="shared" si="1731"/>
        <v>#DIV/0!</v>
      </c>
      <c r="BW211" s="70" t="e">
        <f t="shared" si="1731"/>
        <v>#DIV/0!</v>
      </c>
      <c r="BX211" s="70" t="e">
        <f t="shared" si="1731"/>
        <v>#DIV/0!</v>
      </c>
      <c r="BY211" s="70" t="e">
        <f t="shared" si="1731"/>
        <v>#DIV/0!</v>
      </c>
      <c r="BZ211" s="70" t="e">
        <f t="shared" si="1731"/>
        <v>#DIV/0!</v>
      </c>
      <c r="CA211" s="70" t="e">
        <f t="shared" si="1731"/>
        <v>#DIV/0!</v>
      </c>
      <c r="CB211" s="70" t="e">
        <f t="shared" si="1731"/>
        <v>#DIV/0!</v>
      </c>
      <c r="CC211" s="70" t="e">
        <f t="shared" si="1731"/>
        <v>#DIV/0!</v>
      </c>
      <c r="CD211" s="70">
        <f t="shared" si="1731"/>
        <v>0</v>
      </c>
      <c r="CE211" s="115">
        <f>CE182/CE36*90</f>
        <v>0</v>
      </c>
      <c r="CF211" s="70">
        <f>CF182/CF34*90</f>
        <v>165.85578218202807</v>
      </c>
      <c r="CG211" s="70">
        <f>CG182/CG36*90</f>
        <v>199.32727946554255</v>
      </c>
      <c r="CH211" s="70">
        <f>CH182/CH34*90</f>
        <v>258.19154030327218</v>
      </c>
      <c r="CI211" s="70">
        <f>CI209+CI210</f>
        <v>258.19154030327218</v>
      </c>
      <c r="CJ211" s="70">
        <f>CJ182/CJ34*90</f>
        <v>175.66277355709269</v>
      </c>
      <c r="CK211" s="70">
        <f t="shared" ref="CK211:DB211" si="1732">CK209+CK210</f>
        <v>175.66277355709269</v>
      </c>
      <c r="CL211" s="70">
        <f>CL182/CL34*90</f>
        <v>203.21707531013743</v>
      </c>
      <c r="CM211" s="50">
        <f t="shared" si="1732"/>
        <v>203.21707531013743</v>
      </c>
      <c r="CN211" s="50">
        <f t="shared" si="1732"/>
        <v>203.21707531013743</v>
      </c>
      <c r="CO211" s="50">
        <f t="shared" si="1732"/>
        <v>203.21707531013743</v>
      </c>
      <c r="CP211" s="50">
        <f t="shared" si="1732"/>
        <v>203.21707531013743</v>
      </c>
      <c r="CQ211" s="50">
        <f t="shared" si="1732"/>
        <v>203.21707531013743</v>
      </c>
      <c r="CR211" s="50">
        <f t="shared" si="1732"/>
        <v>203.21707531013743</v>
      </c>
      <c r="CS211" s="50">
        <f t="shared" si="1732"/>
        <v>203.21707531013743</v>
      </c>
      <c r="CT211" s="50">
        <f t="shared" si="1732"/>
        <v>203.21707531013743</v>
      </c>
      <c r="CU211" s="50">
        <f t="shared" si="1732"/>
        <v>203.21707531013743</v>
      </c>
      <c r="CV211" s="50">
        <f t="shared" si="1732"/>
        <v>203.21707531013743</v>
      </c>
      <c r="CW211" s="50">
        <f t="shared" si="1732"/>
        <v>203.21707531013743</v>
      </c>
      <c r="CX211" s="50">
        <f t="shared" si="1732"/>
        <v>203.21707531013743</v>
      </c>
      <c r="CY211" s="50">
        <f t="shared" si="1732"/>
        <v>203.21707531013743</v>
      </c>
      <c r="CZ211" s="50">
        <f t="shared" si="1732"/>
        <v>203.21707531013743</v>
      </c>
      <c r="DA211" s="50">
        <f t="shared" si="1732"/>
        <v>203.21707531013743</v>
      </c>
      <c r="DB211" s="50">
        <f t="shared" si="1732"/>
        <v>203.21707531013743</v>
      </c>
      <c r="DC211" s="50">
        <f t="shared" ref="DC211:DD211" si="1733">DC209+DC210</f>
        <v>203.21707531013743</v>
      </c>
      <c r="DD211" s="50">
        <f t="shared" si="1733"/>
        <v>203.21707531013743</v>
      </c>
      <c r="DE211" s="138"/>
      <c r="DF211" s="115">
        <v>251.45252788531567</v>
      </c>
    </row>
    <row r="212" spans="1:110" s="7" customFormat="1" x14ac:dyDescent="0.2">
      <c r="A212" s="69" t="s">
        <v>470</v>
      </c>
      <c r="B212" s="70" t="e">
        <f>B208-B211</f>
        <v>#DIV/0!</v>
      </c>
      <c r="C212" s="70" t="e">
        <f t="shared" ref="C212:V212" si="1734">C208-C211</f>
        <v>#DIV/0!</v>
      </c>
      <c r="D212" s="70" t="e">
        <f t="shared" si="1734"/>
        <v>#DIV/0!</v>
      </c>
      <c r="E212" s="70" t="e">
        <f t="shared" si="1734"/>
        <v>#DIV/0!</v>
      </c>
      <c r="F212" s="70" t="e">
        <f t="shared" si="1734"/>
        <v>#DIV/0!</v>
      </c>
      <c r="G212" s="70" t="e">
        <f t="shared" si="1734"/>
        <v>#DIV/0!</v>
      </c>
      <c r="H212" s="70" t="e">
        <f t="shared" si="1734"/>
        <v>#DIV/0!</v>
      </c>
      <c r="I212" s="70" t="e">
        <f t="shared" si="1734"/>
        <v>#DIV/0!</v>
      </c>
      <c r="J212" s="70" t="e">
        <f t="shared" si="1734"/>
        <v>#DIV/0!</v>
      </c>
      <c r="K212" s="70" t="e">
        <f t="shared" si="1734"/>
        <v>#DIV/0!</v>
      </c>
      <c r="L212" s="70" t="e">
        <f t="shared" si="1734"/>
        <v>#DIV/0!</v>
      </c>
      <c r="M212" s="70" t="e">
        <f t="shared" si="1734"/>
        <v>#DIV/0!</v>
      </c>
      <c r="N212" s="70" t="e">
        <f t="shared" si="1734"/>
        <v>#DIV/0!</v>
      </c>
      <c r="O212" s="70" t="e">
        <f t="shared" si="1734"/>
        <v>#DIV/0!</v>
      </c>
      <c r="P212" s="70" t="e">
        <f t="shared" si="1734"/>
        <v>#DIV/0!</v>
      </c>
      <c r="Q212" s="70" t="e">
        <f t="shared" si="1734"/>
        <v>#DIV/0!</v>
      </c>
      <c r="R212" s="70" t="e">
        <f t="shared" si="1734"/>
        <v>#DIV/0!</v>
      </c>
      <c r="S212" s="70" t="e">
        <f t="shared" si="1734"/>
        <v>#DIV/0!</v>
      </c>
      <c r="T212" s="70" t="e">
        <f t="shared" si="1734"/>
        <v>#DIV/0!</v>
      </c>
      <c r="U212" s="70" t="e">
        <f t="shared" si="1734"/>
        <v>#DIV/0!</v>
      </c>
      <c r="V212" s="70" t="e">
        <f t="shared" si="1734"/>
        <v>#DIV/0!</v>
      </c>
      <c r="W212" s="70" t="e">
        <f t="shared" ref="W212" si="1735">W208-W211</f>
        <v>#DIV/0!</v>
      </c>
      <c r="X212" s="70" t="e">
        <f t="shared" ref="X212:Y212" si="1736">X208-X211</f>
        <v>#DIV/0!</v>
      </c>
      <c r="Y212" s="70">
        <f t="shared" si="1736"/>
        <v>197.52300613496931</v>
      </c>
      <c r="Z212" s="70">
        <f t="shared" ref="Z212" si="1737">Z208-Z211</f>
        <v>4.5189543485759884</v>
      </c>
      <c r="AA212" s="71">
        <f t="shared" ref="AA212:AD212" si="1738">AA208-AA211</f>
        <v>38.633440772757581</v>
      </c>
      <c r="AB212" s="71">
        <f t="shared" si="1738"/>
        <v>35.898425475986414</v>
      </c>
      <c r="AC212" s="71">
        <f t="shared" si="1738"/>
        <v>35.749969562418528</v>
      </c>
      <c r="AD212" s="71">
        <f t="shared" si="1738"/>
        <v>35.706627849888037</v>
      </c>
      <c r="AE212" s="71">
        <f t="shared" ref="AE212" si="1739">AE208-AE211</f>
        <v>35.672047501292354</v>
      </c>
      <c r="AI212" s="70" t="e">
        <f t="shared" ref="AI212:AK212" si="1740">AI208-AI211</f>
        <v>#DIV/0!</v>
      </c>
      <c r="AJ212" s="70" t="e">
        <f t="shared" ref="AJ212:AM212" si="1741">AJ208-AJ211</f>
        <v>#DIV/0!</v>
      </c>
      <c r="AK212" s="70" t="e">
        <f t="shared" si="1740"/>
        <v>#DIV/0!</v>
      </c>
      <c r="AL212" s="70" t="e">
        <f t="shared" si="1741"/>
        <v>#DIV/0!</v>
      </c>
      <c r="AM212" s="70" t="e">
        <f t="shared" si="1741"/>
        <v>#DIV/0!</v>
      </c>
      <c r="AN212" s="70" t="e">
        <f t="shared" ref="AN212:AY212" si="1742">AN208-AN211</f>
        <v>#DIV/0!</v>
      </c>
      <c r="AO212" s="70" t="e">
        <f t="shared" si="1742"/>
        <v>#DIV/0!</v>
      </c>
      <c r="AP212" s="70" t="e">
        <f t="shared" si="1742"/>
        <v>#DIV/0!</v>
      </c>
      <c r="AQ212" s="70" t="e">
        <f t="shared" si="1742"/>
        <v>#DIV/0!</v>
      </c>
      <c r="AR212" s="70" t="e">
        <f t="shared" si="1742"/>
        <v>#DIV/0!</v>
      </c>
      <c r="AS212" s="70" t="e">
        <f t="shared" si="1742"/>
        <v>#DIV/0!</v>
      </c>
      <c r="AT212" s="70" t="e">
        <f t="shared" si="1742"/>
        <v>#DIV/0!</v>
      </c>
      <c r="AU212" s="70" t="e">
        <f t="shared" si="1742"/>
        <v>#DIV/0!</v>
      </c>
      <c r="AV212" s="70" t="e">
        <f t="shared" si="1742"/>
        <v>#DIV/0!</v>
      </c>
      <c r="AW212" s="70" t="e">
        <f t="shared" si="1742"/>
        <v>#DIV/0!</v>
      </c>
      <c r="AX212" s="70" t="e">
        <f t="shared" si="1742"/>
        <v>#DIV/0!</v>
      </c>
      <c r="AY212" s="70" t="e">
        <f t="shared" si="1742"/>
        <v>#DIV/0!</v>
      </c>
      <c r="AZ212" s="70" t="e">
        <f t="shared" ref="AZ212:BC212" si="1743">AZ208-AZ211</f>
        <v>#DIV/0!</v>
      </c>
      <c r="BA212" s="70" t="e">
        <f t="shared" si="1743"/>
        <v>#DIV/0!</v>
      </c>
      <c r="BB212" s="70" t="e">
        <f t="shared" si="1743"/>
        <v>#DIV/0!</v>
      </c>
      <c r="BC212" s="70" t="e">
        <f t="shared" si="1743"/>
        <v>#DIV/0!</v>
      </c>
      <c r="BD212" s="70" t="e">
        <f t="shared" ref="BD212:CE212" si="1744">BD208-BD211</f>
        <v>#DIV/0!</v>
      </c>
      <c r="BE212" s="70" t="e">
        <f t="shared" si="1744"/>
        <v>#DIV/0!</v>
      </c>
      <c r="BF212" s="70" t="e">
        <f t="shared" si="1744"/>
        <v>#DIV/0!</v>
      </c>
      <c r="BG212" s="70" t="e">
        <f t="shared" si="1744"/>
        <v>#DIV/0!</v>
      </c>
      <c r="BH212" s="70" t="e">
        <f t="shared" si="1744"/>
        <v>#DIV/0!</v>
      </c>
      <c r="BI212" s="70" t="e">
        <f t="shared" si="1744"/>
        <v>#DIV/0!</v>
      </c>
      <c r="BJ212" s="70" t="e">
        <f t="shared" si="1744"/>
        <v>#DIV/0!</v>
      </c>
      <c r="BK212" s="70" t="e">
        <f t="shared" si="1744"/>
        <v>#DIV/0!</v>
      </c>
      <c r="BL212" s="70" t="e">
        <f t="shared" si="1744"/>
        <v>#DIV/0!</v>
      </c>
      <c r="BM212" s="70" t="e">
        <f t="shared" si="1744"/>
        <v>#DIV/0!</v>
      </c>
      <c r="BN212" s="70" t="e">
        <f t="shared" si="1744"/>
        <v>#DIV/0!</v>
      </c>
      <c r="BO212" s="70" t="e">
        <f t="shared" si="1744"/>
        <v>#DIV/0!</v>
      </c>
      <c r="BP212" s="70" t="e">
        <f t="shared" si="1744"/>
        <v>#DIV/0!</v>
      </c>
      <c r="BQ212" s="70" t="e">
        <f t="shared" si="1744"/>
        <v>#DIV/0!</v>
      </c>
      <c r="BR212" s="70" t="e">
        <f t="shared" si="1744"/>
        <v>#DIV/0!</v>
      </c>
      <c r="BS212" s="70" t="e">
        <f t="shared" si="1744"/>
        <v>#DIV/0!</v>
      </c>
      <c r="BT212" s="70" t="e">
        <f t="shared" si="1744"/>
        <v>#DIV/0!</v>
      </c>
      <c r="BU212" s="70" t="e">
        <f t="shared" si="1744"/>
        <v>#DIV/0!</v>
      </c>
      <c r="BV212" s="70" t="e">
        <f t="shared" si="1744"/>
        <v>#DIV/0!</v>
      </c>
      <c r="BW212" s="70" t="e">
        <f t="shared" si="1744"/>
        <v>#DIV/0!</v>
      </c>
      <c r="BX212" s="70" t="e">
        <f t="shared" si="1744"/>
        <v>#DIV/0!</v>
      </c>
      <c r="BY212" s="70" t="e">
        <f t="shared" si="1744"/>
        <v>#DIV/0!</v>
      </c>
      <c r="BZ212" s="70" t="e">
        <f t="shared" si="1744"/>
        <v>#DIV/0!</v>
      </c>
      <c r="CA212" s="70" t="e">
        <f t="shared" si="1744"/>
        <v>#DIV/0!</v>
      </c>
      <c r="CB212" s="70" t="e">
        <f t="shared" si="1744"/>
        <v>#DIV/0!</v>
      </c>
      <c r="CC212" s="70" t="e">
        <f t="shared" si="1744"/>
        <v>#DIV/0!</v>
      </c>
      <c r="CD212" s="70">
        <f t="shared" si="1744"/>
        <v>0</v>
      </c>
      <c r="CE212" s="115">
        <f t="shared" si="1744"/>
        <v>0</v>
      </c>
      <c r="CF212" s="70">
        <f t="shared" ref="CF212:CG212" si="1745">CF208-CF211</f>
        <v>116.79911487396578</v>
      </c>
      <c r="CG212" s="70">
        <f t="shared" si="1745"/>
        <v>145.51394209169976</v>
      </c>
      <c r="CH212" s="70">
        <f t="shared" ref="CH212:CI212" si="1746">CH208-CH211</f>
        <v>4.6400638467677027</v>
      </c>
      <c r="CI212" s="70">
        <f t="shared" si="1746"/>
        <v>4.6400638467677027</v>
      </c>
      <c r="CJ212" s="70">
        <f t="shared" ref="CJ212:DB212" si="1747">CJ208-CJ211</f>
        <v>7.7593831500169586</v>
      </c>
      <c r="CK212" s="70">
        <f t="shared" si="1747"/>
        <v>7.7593831500169586</v>
      </c>
      <c r="CL212" s="70">
        <f t="shared" ref="CL212" si="1748">CL208-CL211</f>
        <v>27.987552733803938</v>
      </c>
      <c r="CM212" s="50">
        <f t="shared" si="1747"/>
        <v>27.987552733803938</v>
      </c>
      <c r="CN212" s="50">
        <f t="shared" si="1747"/>
        <v>27.987552733803938</v>
      </c>
      <c r="CO212" s="50">
        <f t="shared" si="1747"/>
        <v>27.987552733803938</v>
      </c>
      <c r="CP212" s="50">
        <f t="shared" si="1747"/>
        <v>27.987552733803938</v>
      </c>
      <c r="CQ212" s="50">
        <f t="shared" si="1747"/>
        <v>27.987552733803938</v>
      </c>
      <c r="CR212" s="50">
        <f t="shared" si="1747"/>
        <v>27.987552733803938</v>
      </c>
      <c r="CS212" s="50">
        <f t="shared" si="1747"/>
        <v>27.987552733803938</v>
      </c>
      <c r="CT212" s="50">
        <f t="shared" si="1747"/>
        <v>27.987552733803938</v>
      </c>
      <c r="CU212" s="50">
        <f t="shared" si="1747"/>
        <v>27.987552733803938</v>
      </c>
      <c r="CV212" s="50">
        <f t="shared" si="1747"/>
        <v>27.987552733803938</v>
      </c>
      <c r="CW212" s="50">
        <f t="shared" si="1747"/>
        <v>27.987552733803938</v>
      </c>
      <c r="CX212" s="50">
        <f t="shared" si="1747"/>
        <v>27.987552733803938</v>
      </c>
      <c r="CY212" s="50">
        <f t="shared" si="1747"/>
        <v>27.987552733803938</v>
      </c>
      <c r="CZ212" s="50">
        <f t="shared" si="1747"/>
        <v>27.987552733803938</v>
      </c>
      <c r="DA212" s="50">
        <f t="shared" si="1747"/>
        <v>27.987552733803938</v>
      </c>
      <c r="DB212" s="50">
        <f t="shared" si="1747"/>
        <v>27.987552733803938</v>
      </c>
      <c r="DC212" s="50">
        <f t="shared" ref="DC212:DD212" si="1749">DC208-DC211</f>
        <v>27.987552733803938</v>
      </c>
      <c r="DD212" s="50">
        <f t="shared" si="1749"/>
        <v>27.987552733803938</v>
      </c>
      <c r="DE212" s="138"/>
      <c r="DF212" s="115">
        <v>4.5189543485759884</v>
      </c>
    </row>
    <row r="213" spans="1:110" s="7" customFormat="1" x14ac:dyDescent="0.2">
      <c r="A213" s="69" t="s">
        <v>86</v>
      </c>
      <c r="AA213" s="77"/>
      <c r="AB213" s="77"/>
      <c r="AC213" s="77"/>
      <c r="AD213" s="77"/>
      <c r="AE213" s="77"/>
      <c r="CE213" s="115"/>
      <c r="CG213" s="115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138"/>
      <c r="DF213" s="115"/>
    </row>
    <row r="214" spans="1:110" s="86" customFormat="1" x14ac:dyDescent="0.2">
      <c r="A214" s="86" t="s">
        <v>440</v>
      </c>
      <c r="C214" s="86" t="e">
        <f t="shared" ref="C214:Z214" si="1750">C36/B36-1</f>
        <v>#DIV/0!</v>
      </c>
      <c r="D214" s="86" t="e">
        <f t="shared" si="1750"/>
        <v>#DIV/0!</v>
      </c>
      <c r="E214" s="86" t="e">
        <f t="shared" si="1750"/>
        <v>#DIV/0!</v>
      </c>
      <c r="F214" s="86" t="e">
        <f t="shared" si="1750"/>
        <v>#DIV/0!</v>
      </c>
      <c r="G214" s="86" t="e">
        <f t="shared" si="1750"/>
        <v>#DIV/0!</v>
      </c>
      <c r="H214" s="86" t="e">
        <f t="shared" si="1750"/>
        <v>#DIV/0!</v>
      </c>
      <c r="I214" s="86" t="e">
        <f t="shared" si="1750"/>
        <v>#DIV/0!</v>
      </c>
      <c r="J214" s="86" t="e">
        <f t="shared" si="1750"/>
        <v>#DIV/0!</v>
      </c>
      <c r="K214" s="86" t="e">
        <f t="shared" si="1750"/>
        <v>#DIV/0!</v>
      </c>
      <c r="L214" s="86" t="e">
        <f t="shared" si="1750"/>
        <v>#DIV/0!</v>
      </c>
      <c r="M214" s="86" t="e">
        <f t="shared" si="1750"/>
        <v>#DIV/0!</v>
      </c>
      <c r="N214" s="86" t="e">
        <f t="shared" si="1750"/>
        <v>#DIV/0!</v>
      </c>
      <c r="O214" s="86" t="e">
        <f t="shared" si="1750"/>
        <v>#DIV/0!</v>
      </c>
      <c r="P214" s="86" t="e">
        <f t="shared" si="1750"/>
        <v>#DIV/0!</v>
      </c>
      <c r="Q214" s="86" t="e">
        <f t="shared" si="1750"/>
        <v>#DIV/0!</v>
      </c>
      <c r="R214" s="86" t="e">
        <f t="shared" si="1750"/>
        <v>#DIV/0!</v>
      </c>
      <c r="S214" s="86" t="e">
        <f t="shared" si="1750"/>
        <v>#DIV/0!</v>
      </c>
      <c r="T214" s="86" t="e">
        <f t="shared" si="1750"/>
        <v>#DIV/0!</v>
      </c>
      <c r="U214" s="86" t="e">
        <f t="shared" si="1750"/>
        <v>#DIV/0!</v>
      </c>
      <c r="V214" s="86" t="e">
        <f t="shared" si="1750"/>
        <v>#DIV/0!</v>
      </c>
      <c r="W214" s="86" t="e">
        <f t="shared" si="1750"/>
        <v>#DIV/0!</v>
      </c>
      <c r="X214" s="86" t="e">
        <f t="shared" si="1750"/>
        <v>#DIV/0!</v>
      </c>
      <c r="Y214" s="86" t="e">
        <f t="shared" si="1750"/>
        <v>#DIV/0!</v>
      </c>
      <c r="Z214" s="86">
        <f t="shared" si="1750"/>
        <v>0.64440289099924342</v>
      </c>
      <c r="AA214" s="87">
        <f t="shared" ref="AA214:AE214" si="1751">AA36/Z36-1</f>
        <v>0.28220680318684299</v>
      </c>
      <c r="AB214" s="87">
        <f t="shared" si="1751"/>
        <v>0.18552132697732771</v>
      </c>
      <c r="AC214" s="87">
        <f t="shared" si="1751"/>
        <v>0.1743164036228011</v>
      </c>
      <c r="AD214" s="87">
        <f t="shared" si="1751"/>
        <v>0.17207628239724837</v>
      </c>
      <c r="AE214" s="87">
        <f t="shared" si="1751"/>
        <v>0.17194517321673564</v>
      </c>
      <c r="AN214" s="86" t="e">
        <f t="shared" ref="AN214:CI214" si="1752">+(AN36+AM36)/(AJ36+AI36)-1</f>
        <v>#DIV/0!</v>
      </c>
      <c r="AO214" s="86" t="e">
        <f t="shared" si="1752"/>
        <v>#DIV/0!</v>
      </c>
      <c r="AP214" s="86" t="e">
        <f t="shared" si="1752"/>
        <v>#DIV/0!</v>
      </c>
      <c r="AQ214" s="86" t="e">
        <f t="shared" si="1752"/>
        <v>#DIV/0!</v>
      </c>
      <c r="AR214" s="86" t="e">
        <f t="shared" si="1752"/>
        <v>#DIV/0!</v>
      </c>
      <c r="AS214" s="86" t="e">
        <f t="shared" si="1752"/>
        <v>#DIV/0!</v>
      </c>
      <c r="AT214" s="86" t="e">
        <f t="shared" si="1752"/>
        <v>#DIV/0!</v>
      </c>
      <c r="AU214" s="86" t="e">
        <f t="shared" si="1752"/>
        <v>#DIV/0!</v>
      </c>
      <c r="AV214" s="86" t="e">
        <f t="shared" si="1752"/>
        <v>#DIV/0!</v>
      </c>
      <c r="AW214" s="86" t="e">
        <f t="shared" si="1752"/>
        <v>#DIV/0!</v>
      </c>
      <c r="AX214" s="86" t="e">
        <f t="shared" si="1752"/>
        <v>#DIV/0!</v>
      </c>
      <c r="AY214" s="86" t="e">
        <f t="shared" si="1752"/>
        <v>#DIV/0!</v>
      </c>
      <c r="AZ214" s="86" t="e">
        <f t="shared" si="1752"/>
        <v>#DIV/0!</v>
      </c>
      <c r="BA214" s="86" t="e">
        <f t="shared" si="1752"/>
        <v>#DIV/0!</v>
      </c>
      <c r="BB214" s="86" t="e">
        <f t="shared" si="1752"/>
        <v>#DIV/0!</v>
      </c>
      <c r="BC214" s="86" t="e">
        <f t="shared" si="1752"/>
        <v>#DIV/0!</v>
      </c>
      <c r="BD214" s="86" t="e">
        <f t="shared" si="1752"/>
        <v>#DIV/0!</v>
      </c>
      <c r="BE214" s="86" t="e">
        <f t="shared" si="1752"/>
        <v>#DIV/0!</v>
      </c>
      <c r="BF214" s="86" t="e">
        <f t="shared" si="1752"/>
        <v>#DIV/0!</v>
      </c>
      <c r="BG214" s="86" t="e">
        <f t="shared" si="1752"/>
        <v>#DIV/0!</v>
      </c>
      <c r="BH214" s="86" t="e">
        <f t="shared" si="1752"/>
        <v>#DIV/0!</v>
      </c>
      <c r="BI214" s="86" t="e">
        <f t="shared" si="1752"/>
        <v>#DIV/0!</v>
      </c>
      <c r="BJ214" s="86" t="e">
        <f t="shared" si="1752"/>
        <v>#DIV/0!</v>
      </c>
      <c r="BK214" s="86" t="e">
        <f t="shared" si="1752"/>
        <v>#DIV/0!</v>
      </c>
      <c r="BL214" s="86" t="e">
        <f t="shared" si="1752"/>
        <v>#DIV/0!</v>
      </c>
      <c r="BM214" s="86" t="e">
        <f t="shared" si="1752"/>
        <v>#DIV/0!</v>
      </c>
      <c r="BN214" s="86" t="e">
        <f t="shared" si="1752"/>
        <v>#DIV/0!</v>
      </c>
      <c r="BO214" s="86" t="e">
        <f t="shared" si="1752"/>
        <v>#DIV/0!</v>
      </c>
      <c r="BP214" s="86" t="e">
        <f t="shared" si="1752"/>
        <v>#DIV/0!</v>
      </c>
      <c r="BQ214" s="86" t="e">
        <f t="shared" si="1752"/>
        <v>#DIV/0!</v>
      </c>
      <c r="BR214" s="86" t="e">
        <f t="shared" si="1752"/>
        <v>#DIV/0!</v>
      </c>
      <c r="BS214" s="86" t="e">
        <f t="shared" si="1752"/>
        <v>#DIV/0!</v>
      </c>
      <c r="BT214" s="86" t="e">
        <f t="shared" si="1752"/>
        <v>#DIV/0!</v>
      </c>
      <c r="BU214" s="86" t="e">
        <f t="shared" si="1752"/>
        <v>#DIV/0!</v>
      </c>
      <c r="BV214" s="86" t="e">
        <f t="shared" si="1752"/>
        <v>#DIV/0!</v>
      </c>
      <c r="BW214" s="86" t="e">
        <f t="shared" si="1752"/>
        <v>#DIV/0!</v>
      </c>
      <c r="BX214" s="86" t="e">
        <f t="shared" si="1752"/>
        <v>#DIV/0!</v>
      </c>
      <c r="BY214" s="86" t="e">
        <f t="shared" si="1752"/>
        <v>#DIV/0!</v>
      </c>
      <c r="BZ214" s="86" t="e">
        <f t="shared" si="1752"/>
        <v>#DIV/0!</v>
      </c>
      <c r="CA214" s="86" t="e">
        <f t="shared" si="1752"/>
        <v>#DIV/0!</v>
      </c>
      <c r="CB214" s="86" t="e">
        <f t="shared" si="1752"/>
        <v>#DIV/0!</v>
      </c>
      <c r="CC214" s="86" t="e">
        <f t="shared" si="1752"/>
        <v>#DIV/0!</v>
      </c>
      <c r="CD214" s="86" t="e">
        <f t="shared" si="1752"/>
        <v>#DIV/0!</v>
      </c>
      <c r="CE214" s="86" t="e">
        <f t="shared" si="1752"/>
        <v>#DIV/0!</v>
      </c>
      <c r="CF214" s="86" t="e">
        <f t="shared" si="1752"/>
        <v>#DIV/0!</v>
      </c>
      <c r="CG214" s="86" t="e">
        <f t="shared" si="1752"/>
        <v>#DIV/0!</v>
      </c>
      <c r="CH214" s="86">
        <f t="shared" si="1752"/>
        <v>1.8383753969580483</v>
      </c>
      <c r="CI214" s="86">
        <f t="shared" si="1752"/>
        <v>0.36679349447925969</v>
      </c>
      <c r="CJ214" s="86">
        <f>+(CJ36+CI36)/(CF36+CE36)-1</f>
        <v>0.24341846758349694</v>
      </c>
      <c r="CL214" s="86">
        <f>+(CL36+CK36)/(CH36+CG36)-1</f>
        <v>0.26751854905193739</v>
      </c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141"/>
      <c r="DF214" s="86">
        <v>0.64440289099924342</v>
      </c>
    </row>
    <row r="215" spans="1:110" s="86" customFormat="1" x14ac:dyDescent="0.2">
      <c r="A215" s="86" t="s">
        <v>441</v>
      </c>
      <c r="C215" s="86" t="e">
        <f t="shared" ref="C215" si="1753">C212/B212-1</f>
        <v>#DIV/0!</v>
      </c>
      <c r="D215" s="86" t="e">
        <f t="shared" ref="D215" si="1754">D212/C212-1</f>
        <v>#DIV/0!</v>
      </c>
      <c r="E215" s="86" t="e">
        <f>E212/D212-1</f>
        <v>#DIV/0!</v>
      </c>
      <c r="F215" s="86" t="e">
        <f t="shared" ref="F215" si="1755">F212/E212-1</f>
        <v>#DIV/0!</v>
      </c>
      <c r="G215" s="86" t="e">
        <f t="shared" ref="G215" si="1756">G212/F212-1</f>
        <v>#DIV/0!</v>
      </c>
      <c r="H215" s="86" t="e">
        <f t="shared" ref="H215" si="1757">H212/G212-1</f>
        <v>#DIV/0!</v>
      </c>
      <c r="I215" s="86" t="e">
        <f t="shared" ref="I215" si="1758">I212/H212-1</f>
        <v>#DIV/0!</v>
      </c>
      <c r="J215" s="86" t="e">
        <f t="shared" ref="J215" si="1759">J212/I212-1</f>
        <v>#DIV/0!</v>
      </c>
      <c r="K215" s="86" t="e">
        <f>K212/J212-1</f>
        <v>#DIV/0!</v>
      </c>
      <c r="L215" s="86" t="e">
        <f t="shared" ref="L215" si="1760">L212/K212-1</f>
        <v>#DIV/0!</v>
      </c>
      <c r="M215" s="86" t="e">
        <f t="shared" ref="M215" si="1761">M212/L212-1</f>
        <v>#DIV/0!</v>
      </c>
      <c r="N215" s="86" t="e">
        <f t="shared" ref="N215" si="1762">N212/M212-1</f>
        <v>#DIV/0!</v>
      </c>
      <c r="O215" s="86" t="e">
        <f t="shared" ref="O215" si="1763">O212/N212-1</f>
        <v>#DIV/0!</v>
      </c>
      <c r="P215" s="86" t="e">
        <f t="shared" ref="P215" si="1764">P212/O212-1</f>
        <v>#DIV/0!</v>
      </c>
      <c r="Q215" s="86" t="e">
        <f t="shared" ref="Q215" si="1765">Q212/P212-1</f>
        <v>#DIV/0!</v>
      </c>
      <c r="R215" s="86" t="e">
        <f t="shared" ref="R215" si="1766">R212/Q212-1</f>
        <v>#DIV/0!</v>
      </c>
      <c r="S215" s="86" t="e">
        <f t="shared" ref="S215" si="1767">S212/R212-1</f>
        <v>#DIV/0!</v>
      </c>
      <c r="T215" s="86" t="e">
        <f t="shared" ref="T215" si="1768">T212/S212-1</f>
        <v>#DIV/0!</v>
      </c>
      <c r="U215" s="86" t="e">
        <f t="shared" ref="U215" si="1769">U212/T212-1</f>
        <v>#DIV/0!</v>
      </c>
      <c r="V215" s="86" t="e">
        <f t="shared" ref="V215" si="1770">V212/U212-1</f>
        <v>#DIV/0!</v>
      </c>
      <c r="W215" s="86" t="e">
        <f t="shared" ref="W215:Z215" si="1771">W212/V212-1</f>
        <v>#DIV/0!</v>
      </c>
      <c r="X215" s="86" t="e">
        <f t="shared" si="1771"/>
        <v>#DIV/0!</v>
      </c>
      <c r="Y215" s="86" t="e">
        <f t="shared" si="1771"/>
        <v>#DIV/0!</v>
      </c>
      <c r="Z215" s="86">
        <f t="shared" si="1771"/>
        <v>-0.97712188348587536</v>
      </c>
      <c r="AA215" s="87">
        <f t="shared" ref="AA215" si="1772">AA212/Z212-1</f>
        <v>7.5491991714702191</v>
      </c>
      <c r="AB215" s="87">
        <f t="shared" ref="AB215" si="1773">AB212/AA212-1</f>
        <v>-7.0793986817238586E-2</v>
      </c>
      <c r="AC215" s="87">
        <f t="shared" ref="AC215" si="1774">AC212/AB212-1</f>
        <v>-4.1354435911734599E-3</v>
      </c>
      <c r="AD215" s="87">
        <f t="shared" ref="AD215" si="1775">AD212/AC212-1</f>
        <v>-1.2123566274599984E-3</v>
      </c>
      <c r="AE215" s="87">
        <f t="shared" ref="AE215" si="1776">AE212/AD212-1</f>
        <v>-9.6845741751527825E-4</v>
      </c>
      <c r="AN215" s="86" t="e">
        <f t="shared" ref="AN215:CI215" si="1777">+AN212/AJ212-1</f>
        <v>#DIV/0!</v>
      </c>
      <c r="AO215" s="86" t="e">
        <f t="shared" si="1777"/>
        <v>#DIV/0!</v>
      </c>
      <c r="AP215" s="86" t="e">
        <f t="shared" si="1777"/>
        <v>#DIV/0!</v>
      </c>
      <c r="AQ215" s="86" t="e">
        <f t="shared" si="1777"/>
        <v>#DIV/0!</v>
      </c>
      <c r="AR215" s="86" t="e">
        <f t="shared" si="1777"/>
        <v>#DIV/0!</v>
      </c>
      <c r="AS215" s="86" t="e">
        <f t="shared" si="1777"/>
        <v>#DIV/0!</v>
      </c>
      <c r="AT215" s="86" t="e">
        <f t="shared" si="1777"/>
        <v>#DIV/0!</v>
      </c>
      <c r="AU215" s="86" t="e">
        <f t="shared" si="1777"/>
        <v>#DIV/0!</v>
      </c>
      <c r="AV215" s="86" t="e">
        <f t="shared" si="1777"/>
        <v>#DIV/0!</v>
      </c>
      <c r="AW215" s="86" t="e">
        <f t="shared" si="1777"/>
        <v>#DIV/0!</v>
      </c>
      <c r="AX215" s="86" t="e">
        <f t="shared" si="1777"/>
        <v>#DIV/0!</v>
      </c>
      <c r="AY215" s="86" t="e">
        <f t="shared" si="1777"/>
        <v>#DIV/0!</v>
      </c>
      <c r="AZ215" s="86" t="e">
        <f t="shared" si="1777"/>
        <v>#DIV/0!</v>
      </c>
      <c r="BA215" s="86" t="e">
        <f t="shared" si="1777"/>
        <v>#DIV/0!</v>
      </c>
      <c r="BB215" s="86" t="e">
        <f t="shared" si="1777"/>
        <v>#DIV/0!</v>
      </c>
      <c r="BC215" s="86" t="e">
        <f t="shared" si="1777"/>
        <v>#DIV/0!</v>
      </c>
      <c r="BD215" s="86" t="e">
        <f t="shared" si="1777"/>
        <v>#DIV/0!</v>
      </c>
      <c r="BE215" s="86" t="e">
        <f t="shared" si="1777"/>
        <v>#DIV/0!</v>
      </c>
      <c r="BF215" s="86" t="e">
        <f t="shared" si="1777"/>
        <v>#DIV/0!</v>
      </c>
      <c r="BG215" s="86" t="e">
        <f t="shared" si="1777"/>
        <v>#DIV/0!</v>
      </c>
      <c r="BH215" s="86" t="e">
        <f t="shared" si="1777"/>
        <v>#DIV/0!</v>
      </c>
      <c r="BI215" s="86" t="e">
        <f t="shared" si="1777"/>
        <v>#DIV/0!</v>
      </c>
      <c r="BJ215" s="86" t="e">
        <f t="shared" si="1777"/>
        <v>#DIV/0!</v>
      </c>
      <c r="BK215" s="86" t="e">
        <f t="shared" si="1777"/>
        <v>#DIV/0!</v>
      </c>
      <c r="BL215" s="86" t="e">
        <f t="shared" si="1777"/>
        <v>#DIV/0!</v>
      </c>
      <c r="BM215" s="86" t="e">
        <f t="shared" si="1777"/>
        <v>#DIV/0!</v>
      </c>
      <c r="BN215" s="86" t="e">
        <f t="shared" si="1777"/>
        <v>#DIV/0!</v>
      </c>
      <c r="BO215" s="86" t="e">
        <f t="shared" si="1777"/>
        <v>#DIV/0!</v>
      </c>
      <c r="BP215" s="86" t="e">
        <f t="shared" si="1777"/>
        <v>#DIV/0!</v>
      </c>
      <c r="BQ215" s="86" t="e">
        <f t="shared" si="1777"/>
        <v>#DIV/0!</v>
      </c>
      <c r="BR215" s="86" t="e">
        <f t="shared" si="1777"/>
        <v>#DIV/0!</v>
      </c>
      <c r="BS215" s="86" t="e">
        <f t="shared" si="1777"/>
        <v>#DIV/0!</v>
      </c>
      <c r="BT215" s="86" t="e">
        <f t="shared" si="1777"/>
        <v>#DIV/0!</v>
      </c>
      <c r="BU215" s="86" t="e">
        <f t="shared" si="1777"/>
        <v>#DIV/0!</v>
      </c>
      <c r="BV215" s="86" t="e">
        <f t="shared" si="1777"/>
        <v>#DIV/0!</v>
      </c>
      <c r="BW215" s="86" t="e">
        <f t="shared" si="1777"/>
        <v>#DIV/0!</v>
      </c>
      <c r="BX215" s="86" t="e">
        <f t="shared" si="1777"/>
        <v>#DIV/0!</v>
      </c>
      <c r="BY215" s="86" t="e">
        <f t="shared" si="1777"/>
        <v>#DIV/0!</v>
      </c>
      <c r="BZ215" s="86" t="e">
        <f t="shared" si="1777"/>
        <v>#DIV/0!</v>
      </c>
      <c r="CA215" s="86" t="e">
        <f t="shared" si="1777"/>
        <v>#DIV/0!</v>
      </c>
      <c r="CB215" s="86" t="e">
        <f t="shared" si="1777"/>
        <v>#DIV/0!</v>
      </c>
      <c r="CC215" s="86" t="e">
        <f t="shared" si="1777"/>
        <v>#DIV/0!</v>
      </c>
      <c r="CD215" s="86" t="e">
        <f t="shared" si="1777"/>
        <v>#DIV/0!</v>
      </c>
      <c r="CE215" s="86" t="e">
        <f t="shared" si="1777"/>
        <v>#DIV/0!</v>
      </c>
      <c r="CF215" s="86" t="e">
        <f t="shared" si="1777"/>
        <v>#DIV/0!</v>
      </c>
      <c r="CG215" s="86" t="e">
        <f t="shared" si="1777"/>
        <v>#DIV/0!</v>
      </c>
      <c r="CH215" s="86" t="e">
        <f t="shared" si="1777"/>
        <v>#DIV/0!</v>
      </c>
      <c r="CI215" s="86" t="e">
        <f t="shared" si="1777"/>
        <v>#DIV/0!</v>
      </c>
      <c r="CJ215" s="86">
        <f>+CJ212/CF212-1</f>
        <v>-0.93356642164292203</v>
      </c>
      <c r="CL215" s="86">
        <f>+CL212/CH212-1</f>
        <v>5.0317171612412706</v>
      </c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141"/>
      <c r="DF215" s="86">
        <v>-0.97712188348587536</v>
      </c>
    </row>
    <row r="216" spans="1:110" s="103" customFormat="1" x14ac:dyDescent="0.2">
      <c r="A216" s="147" t="s">
        <v>87</v>
      </c>
      <c r="C216" s="103" t="e">
        <f>IF(C215&gt;C214,"RF",0)</f>
        <v>#DIV/0!</v>
      </c>
      <c r="D216" s="103" t="e">
        <f>IF(D215&gt;D214,"RF",0)</f>
        <v>#DIV/0!</v>
      </c>
      <c r="E216" s="103" t="e">
        <f t="shared" ref="E216:U216" si="1778">IF(E215&gt;E214,"RF",0)</f>
        <v>#DIV/0!</v>
      </c>
      <c r="F216" s="103" t="e">
        <f t="shared" si="1778"/>
        <v>#DIV/0!</v>
      </c>
      <c r="G216" s="103" t="e">
        <f t="shared" si="1778"/>
        <v>#DIV/0!</v>
      </c>
      <c r="H216" s="103" t="e">
        <f t="shared" si="1778"/>
        <v>#DIV/0!</v>
      </c>
      <c r="I216" s="103" t="e">
        <f t="shared" si="1778"/>
        <v>#DIV/0!</v>
      </c>
      <c r="J216" s="103" t="e">
        <f t="shared" si="1778"/>
        <v>#DIV/0!</v>
      </c>
      <c r="K216" s="103" t="e">
        <f t="shared" si="1778"/>
        <v>#DIV/0!</v>
      </c>
      <c r="L216" s="103" t="e">
        <f t="shared" si="1778"/>
        <v>#DIV/0!</v>
      </c>
      <c r="M216" s="103" t="e">
        <f t="shared" si="1778"/>
        <v>#DIV/0!</v>
      </c>
      <c r="N216" s="103" t="e">
        <f t="shared" si="1778"/>
        <v>#DIV/0!</v>
      </c>
      <c r="O216" s="103" t="e">
        <f t="shared" si="1778"/>
        <v>#DIV/0!</v>
      </c>
      <c r="P216" s="103" t="e">
        <f t="shared" si="1778"/>
        <v>#DIV/0!</v>
      </c>
      <c r="Q216" s="103" t="e">
        <f t="shared" si="1778"/>
        <v>#DIV/0!</v>
      </c>
      <c r="R216" s="103" t="e">
        <f t="shared" si="1778"/>
        <v>#DIV/0!</v>
      </c>
      <c r="S216" s="103" t="e">
        <f t="shared" si="1778"/>
        <v>#DIV/0!</v>
      </c>
      <c r="T216" s="103" t="e">
        <f t="shared" si="1778"/>
        <v>#DIV/0!</v>
      </c>
      <c r="U216" s="103" t="e">
        <f t="shared" si="1778"/>
        <v>#DIV/0!</v>
      </c>
      <c r="V216" s="103" t="e">
        <f>IF(V215&gt;V214,"RF",0)</f>
        <v>#DIV/0!</v>
      </c>
      <c r="W216" s="103" t="e">
        <f t="shared" ref="W216" si="1779">IF(W215&gt;W214,"RF",0)</f>
        <v>#DIV/0!</v>
      </c>
      <c r="X216" s="103" t="e">
        <f t="shared" ref="X216:Y216" si="1780">IF(X215&gt;X214,"RF",0)</f>
        <v>#DIV/0!</v>
      </c>
      <c r="Y216" s="103" t="e">
        <f t="shared" si="1780"/>
        <v>#DIV/0!</v>
      </c>
      <c r="Z216" s="103">
        <f t="shared" ref="Z216" si="1781">IF(Z215&gt;Z214,"RF",0)</f>
        <v>0</v>
      </c>
      <c r="AA216" s="73" t="str">
        <f t="shared" ref="AA216:AD216" si="1782">IF(AA215&gt;AA214,"RF",0)</f>
        <v>RF</v>
      </c>
      <c r="AB216" s="73">
        <f t="shared" si="1782"/>
        <v>0</v>
      </c>
      <c r="AC216" s="73">
        <f t="shared" si="1782"/>
        <v>0</v>
      </c>
      <c r="AD216" s="73">
        <f t="shared" si="1782"/>
        <v>0</v>
      </c>
      <c r="AE216" s="73">
        <f t="shared" ref="AE216" si="1783">IF(AE215&gt;AE214,"RF",0)</f>
        <v>0</v>
      </c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142"/>
      <c r="DF216" s="103">
        <v>0</v>
      </c>
    </row>
    <row r="217" spans="1:110" x14ac:dyDescent="0.2">
      <c r="A217" s="153" t="s">
        <v>494</v>
      </c>
      <c r="DF217" s="111"/>
    </row>
    <row r="218" spans="1:110" x14ac:dyDescent="0.2">
      <c r="A218" s="152" t="s">
        <v>495</v>
      </c>
      <c r="DF218" s="111"/>
    </row>
    <row r="219" spans="1:110" s="23" customFormat="1" x14ac:dyDescent="0.2">
      <c r="A219" s="23" t="s">
        <v>22</v>
      </c>
      <c r="C219" s="23">
        <f t="shared" ref="C219:AE219" si="1784">C74</f>
        <v>0</v>
      </c>
      <c r="D219" s="23">
        <f t="shared" si="1784"/>
        <v>0</v>
      </c>
      <c r="E219" s="23">
        <f t="shared" si="1784"/>
        <v>0</v>
      </c>
      <c r="F219" s="23">
        <f t="shared" si="1784"/>
        <v>0</v>
      </c>
      <c r="G219" s="23">
        <f t="shared" si="1784"/>
        <v>0</v>
      </c>
      <c r="H219" s="23">
        <f t="shared" si="1784"/>
        <v>0</v>
      </c>
      <c r="I219" s="23">
        <f t="shared" si="1784"/>
        <v>0</v>
      </c>
      <c r="J219" s="23">
        <f t="shared" si="1784"/>
        <v>0</v>
      </c>
      <c r="K219" s="23">
        <f t="shared" si="1784"/>
        <v>0</v>
      </c>
      <c r="L219" s="23">
        <f t="shared" si="1784"/>
        <v>0</v>
      </c>
      <c r="M219" s="23">
        <f t="shared" si="1784"/>
        <v>0</v>
      </c>
      <c r="N219" s="23">
        <f t="shared" si="1784"/>
        <v>0</v>
      </c>
      <c r="O219" s="23">
        <f t="shared" si="1784"/>
        <v>0</v>
      </c>
      <c r="P219" s="23">
        <f t="shared" si="1784"/>
        <v>0</v>
      </c>
      <c r="Q219" s="23">
        <f t="shared" si="1784"/>
        <v>0</v>
      </c>
      <c r="R219" s="23">
        <f t="shared" si="1784"/>
        <v>0</v>
      </c>
      <c r="S219" s="23">
        <f t="shared" si="1784"/>
        <v>0</v>
      </c>
      <c r="T219" s="23">
        <f t="shared" si="1784"/>
        <v>0</v>
      </c>
      <c r="U219" s="23">
        <f t="shared" si="1784"/>
        <v>0</v>
      </c>
      <c r="V219" s="23">
        <f t="shared" si="1784"/>
        <v>0</v>
      </c>
      <c r="W219" s="23">
        <f t="shared" si="1784"/>
        <v>0</v>
      </c>
      <c r="X219" s="23">
        <f t="shared" si="1784"/>
        <v>0</v>
      </c>
      <c r="Y219" s="23">
        <f t="shared" si="1784"/>
        <v>600.00000000000091</v>
      </c>
      <c r="Z219" s="23">
        <f t="shared" ref="Z219" si="1785">Z74</f>
        <v>1100.0999999999999</v>
      </c>
      <c r="AA219" s="24">
        <f t="shared" si="1784"/>
        <v>1519.0998884262212</v>
      </c>
      <c r="AB219" s="24">
        <f t="shared" si="1784"/>
        <v>1894.2959879178804</v>
      </c>
      <c r="AC219" s="24">
        <f t="shared" si="1784"/>
        <v>2296.0869621177189</v>
      </c>
      <c r="AD219" s="24">
        <f t="shared" si="1784"/>
        <v>2724.3253830652984</v>
      </c>
      <c r="AE219" s="24">
        <f t="shared" si="1784"/>
        <v>3224.7170597185368</v>
      </c>
      <c r="AI219" s="23">
        <f t="shared" ref="AI219:BN219" si="1786">AI74</f>
        <v>0</v>
      </c>
      <c r="AJ219" s="23">
        <f t="shared" si="1786"/>
        <v>0</v>
      </c>
      <c r="AK219" s="23">
        <f t="shared" si="1786"/>
        <v>0</v>
      </c>
      <c r="AL219" s="23">
        <f t="shared" si="1786"/>
        <v>0</v>
      </c>
      <c r="AM219" s="23">
        <f t="shared" si="1786"/>
        <v>0</v>
      </c>
      <c r="AN219" s="23">
        <f t="shared" si="1786"/>
        <v>0</v>
      </c>
      <c r="AO219" s="23">
        <f t="shared" si="1786"/>
        <v>0</v>
      </c>
      <c r="AP219" s="23">
        <f t="shared" si="1786"/>
        <v>0</v>
      </c>
      <c r="AQ219" s="23">
        <f t="shared" si="1786"/>
        <v>0</v>
      </c>
      <c r="AR219" s="23">
        <f t="shared" si="1786"/>
        <v>0</v>
      </c>
      <c r="AS219" s="23">
        <f t="shared" si="1786"/>
        <v>0</v>
      </c>
      <c r="AT219" s="23">
        <f t="shared" si="1786"/>
        <v>0</v>
      </c>
      <c r="AU219" s="23">
        <f t="shared" si="1786"/>
        <v>0</v>
      </c>
      <c r="AV219" s="23">
        <f t="shared" si="1786"/>
        <v>0</v>
      </c>
      <c r="AW219" s="23">
        <f t="shared" si="1786"/>
        <v>0</v>
      </c>
      <c r="AX219" s="23">
        <f t="shared" si="1786"/>
        <v>0</v>
      </c>
      <c r="AY219" s="23">
        <f t="shared" si="1786"/>
        <v>0</v>
      </c>
      <c r="AZ219" s="23">
        <f t="shared" si="1786"/>
        <v>0</v>
      </c>
      <c r="BA219" s="23">
        <f t="shared" si="1786"/>
        <v>0</v>
      </c>
      <c r="BB219" s="23">
        <f t="shared" si="1786"/>
        <v>0</v>
      </c>
      <c r="BC219" s="23">
        <f t="shared" si="1786"/>
        <v>0</v>
      </c>
      <c r="BD219" s="23">
        <f t="shared" si="1786"/>
        <v>0</v>
      </c>
      <c r="BE219" s="23">
        <f t="shared" si="1786"/>
        <v>0</v>
      </c>
      <c r="BF219" s="23">
        <f t="shared" si="1786"/>
        <v>0</v>
      </c>
      <c r="BG219" s="23">
        <f t="shared" si="1786"/>
        <v>0</v>
      </c>
      <c r="BH219" s="23">
        <f t="shared" si="1786"/>
        <v>0</v>
      </c>
      <c r="BI219" s="23">
        <f t="shared" si="1786"/>
        <v>0</v>
      </c>
      <c r="BJ219" s="23">
        <f t="shared" si="1786"/>
        <v>0</v>
      </c>
      <c r="BK219" s="23">
        <f t="shared" si="1786"/>
        <v>0</v>
      </c>
      <c r="BL219" s="23">
        <f t="shared" si="1786"/>
        <v>0</v>
      </c>
      <c r="BM219" s="23">
        <f t="shared" si="1786"/>
        <v>0</v>
      </c>
      <c r="BN219" s="23">
        <f t="shared" si="1786"/>
        <v>0</v>
      </c>
      <c r="BO219" s="23">
        <f t="shared" ref="BO219:CT219" si="1787">BO74</f>
        <v>0</v>
      </c>
      <c r="BP219" s="23">
        <f t="shared" si="1787"/>
        <v>0</v>
      </c>
      <c r="BQ219" s="23">
        <f t="shared" si="1787"/>
        <v>0</v>
      </c>
      <c r="BR219" s="23">
        <f t="shared" si="1787"/>
        <v>0</v>
      </c>
      <c r="BS219" s="23">
        <f t="shared" si="1787"/>
        <v>0</v>
      </c>
      <c r="BT219" s="23">
        <f t="shared" si="1787"/>
        <v>0</v>
      </c>
      <c r="BU219" s="23">
        <f t="shared" si="1787"/>
        <v>0</v>
      </c>
      <c r="BV219" s="23">
        <f t="shared" si="1787"/>
        <v>0</v>
      </c>
      <c r="BW219" s="23">
        <f t="shared" si="1787"/>
        <v>0</v>
      </c>
      <c r="BX219" s="23">
        <f t="shared" si="1787"/>
        <v>0</v>
      </c>
      <c r="BY219" s="23">
        <f t="shared" si="1787"/>
        <v>0</v>
      </c>
      <c r="BZ219" s="23">
        <f t="shared" si="1787"/>
        <v>0</v>
      </c>
      <c r="CA219" s="23">
        <f t="shared" si="1787"/>
        <v>0</v>
      </c>
      <c r="CB219" s="23">
        <f t="shared" si="1787"/>
        <v>0</v>
      </c>
      <c r="CC219" s="23">
        <f t="shared" si="1787"/>
        <v>0</v>
      </c>
      <c r="CD219" s="23">
        <f t="shared" si="1787"/>
        <v>180.49999999999986</v>
      </c>
      <c r="CE219" s="23">
        <f t="shared" si="1787"/>
        <v>145.80000000000007</v>
      </c>
      <c r="CF219" s="23">
        <f t="shared" si="1787"/>
        <v>273.69999999999982</v>
      </c>
      <c r="CG219" s="23">
        <f t="shared" si="1787"/>
        <v>231.70000000000013</v>
      </c>
      <c r="CH219" s="23">
        <f t="shared" si="1787"/>
        <v>246.09999999999997</v>
      </c>
      <c r="CI219" s="23">
        <f t="shared" si="1787"/>
        <v>262.6999999999997</v>
      </c>
      <c r="CJ219" s="23">
        <f t="shared" si="1787"/>
        <v>359.60000000000019</v>
      </c>
      <c r="CK219" s="23">
        <f t="shared" si="1787"/>
        <v>312.9000000000002</v>
      </c>
      <c r="CL219" s="23">
        <f t="shared" si="1787"/>
        <v>374.59999999999991</v>
      </c>
      <c r="CM219" s="24">
        <f t="shared" si="1787"/>
        <v>337.83395833685114</v>
      </c>
      <c r="CN219" s="24">
        <f t="shared" si="1787"/>
        <v>493.76593008937004</v>
      </c>
      <c r="CO219" s="24">
        <f t="shared" si="1787"/>
        <v>404.64829469919715</v>
      </c>
      <c r="CP219" s="24">
        <f t="shared" si="1787"/>
        <v>485.8956941783382</v>
      </c>
      <c r="CQ219" s="24">
        <f t="shared" si="1787"/>
        <v>406.91592688293719</v>
      </c>
      <c r="CR219" s="24">
        <f t="shared" si="1787"/>
        <v>596.83607215740767</v>
      </c>
      <c r="CS219" s="24">
        <f t="shared" si="1787"/>
        <v>481.87515726846783</v>
      </c>
      <c r="CT219" s="24">
        <f t="shared" si="1787"/>
        <v>589.07637372508168</v>
      </c>
      <c r="CU219" s="24">
        <f t="shared" ref="CU219:DB219" si="1788">CU74</f>
        <v>499.33997748961832</v>
      </c>
      <c r="CV219" s="24">
        <f t="shared" si="1788"/>
        <v>725.79545363455304</v>
      </c>
      <c r="CW219" s="24">
        <f t="shared" si="1788"/>
        <v>578.73392735955963</v>
      </c>
      <c r="CX219" s="24">
        <f t="shared" si="1788"/>
        <v>702.91078814602088</v>
      </c>
      <c r="CY219" s="24">
        <f t="shared" si="1788"/>
        <v>592.37746923165764</v>
      </c>
      <c r="CZ219" s="24">
        <f t="shared" si="1788"/>
        <v>850.30319832806106</v>
      </c>
      <c r="DA219" s="24">
        <f t="shared" si="1788"/>
        <v>688.90401626536254</v>
      </c>
      <c r="DB219" s="24">
        <f t="shared" si="1788"/>
        <v>832.01022627270186</v>
      </c>
      <c r="DC219" s="24">
        <f t="shared" ref="DC219:DD219" si="1789">DC74</f>
        <v>701.37994803867412</v>
      </c>
      <c r="DD219" s="24">
        <f t="shared" si="1789"/>
        <v>1002.4228691417982</v>
      </c>
      <c r="DE219" s="123"/>
      <c r="DF219" s="23">
        <v>1100.0999999999999</v>
      </c>
    </row>
    <row r="220" spans="1:110" s="23" customFormat="1" x14ac:dyDescent="0.2">
      <c r="A220" s="23" t="s">
        <v>88</v>
      </c>
      <c r="C220" s="23">
        <f t="shared" ref="C220:AE220" si="1790">C58</f>
        <v>0</v>
      </c>
      <c r="D220" s="23">
        <f t="shared" si="1790"/>
        <v>0</v>
      </c>
      <c r="E220" s="23">
        <f t="shared" si="1790"/>
        <v>0</v>
      </c>
      <c r="F220" s="23">
        <f t="shared" si="1790"/>
        <v>0</v>
      </c>
      <c r="G220" s="23">
        <f t="shared" si="1790"/>
        <v>0</v>
      </c>
      <c r="H220" s="23">
        <f t="shared" si="1790"/>
        <v>0</v>
      </c>
      <c r="I220" s="23">
        <f t="shared" si="1790"/>
        <v>0</v>
      </c>
      <c r="J220" s="23">
        <f t="shared" si="1790"/>
        <v>0</v>
      </c>
      <c r="K220" s="23">
        <f t="shared" si="1790"/>
        <v>0</v>
      </c>
      <c r="L220" s="23">
        <f t="shared" si="1790"/>
        <v>0</v>
      </c>
      <c r="M220" s="23">
        <f t="shared" si="1790"/>
        <v>0</v>
      </c>
      <c r="N220" s="23">
        <f t="shared" si="1790"/>
        <v>0</v>
      </c>
      <c r="O220" s="23">
        <f t="shared" si="1790"/>
        <v>0</v>
      </c>
      <c r="P220" s="23">
        <f t="shared" si="1790"/>
        <v>0</v>
      </c>
      <c r="Q220" s="23">
        <f t="shared" si="1790"/>
        <v>0</v>
      </c>
      <c r="R220" s="23">
        <f t="shared" si="1790"/>
        <v>0</v>
      </c>
      <c r="S220" s="23">
        <f t="shared" si="1790"/>
        <v>0</v>
      </c>
      <c r="T220" s="23">
        <f t="shared" si="1790"/>
        <v>0</v>
      </c>
      <c r="U220" s="23">
        <f t="shared" si="1790"/>
        <v>0</v>
      </c>
      <c r="V220" s="23">
        <f t="shared" si="1790"/>
        <v>0</v>
      </c>
      <c r="W220" s="23">
        <f t="shared" si="1790"/>
        <v>0</v>
      </c>
      <c r="X220" s="23">
        <f t="shared" si="1790"/>
        <v>0</v>
      </c>
      <c r="Y220" s="23">
        <f t="shared" si="1790"/>
        <v>46</v>
      </c>
      <c r="Z220" s="23">
        <f t="shared" ref="Z220" si="1791">Z58</f>
        <v>103</v>
      </c>
      <c r="AA220" s="24">
        <f t="shared" si="1790"/>
        <v>137.82239999999999</v>
      </c>
      <c r="AB220" s="24">
        <f t="shared" si="1790"/>
        <v>210.85969213030398</v>
      </c>
      <c r="AC220" s="24">
        <f t="shared" si="1790"/>
        <v>296.26520346991714</v>
      </c>
      <c r="AD220" s="24">
        <f t="shared" si="1790"/>
        <v>357.44911053881617</v>
      </c>
      <c r="AE220" s="24">
        <f t="shared" si="1790"/>
        <v>401.2808308282697</v>
      </c>
      <c r="AI220" s="23">
        <f t="shared" ref="AI220:BN220" si="1792">AI58</f>
        <v>0</v>
      </c>
      <c r="AJ220" s="23">
        <f t="shared" si="1792"/>
        <v>0</v>
      </c>
      <c r="AK220" s="23">
        <f t="shared" si="1792"/>
        <v>0</v>
      </c>
      <c r="AL220" s="23">
        <f t="shared" si="1792"/>
        <v>0</v>
      </c>
      <c r="AM220" s="23">
        <f t="shared" si="1792"/>
        <v>0</v>
      </c>
      <c r="AN220" s="23">
        <f t="shared" si="1792"/>
        <v>0</v>
      </c>
      <c r="AO220" s="23">
        <f t="shared" si="1792"/>
        <v>0</v>
      </c>
      <c r="AP220" s="23">
        <f t="shared" si="1792"/>
        <v>0</v>
      </c>
      <c r="AQ220" s="23">
        <f t="shared" si="1792"/>
        <v>0</v>
      </c>
      <c r="AR220" s="23">
        <f t="shared" si="1792"/>
        <v>0</v>
      </c>
      <c r="AS220" s="23">
        <f t="shared" si="1792"/>
        <v>0</v>
      </c>
      <c r="AT220" s="23">
        <f t="shared" si="1792"/>
        <v>0</v>
      </c>
      <c r="AU220" s="23">
        <f t="shared" si="1792"/>
        <v>0</v>
      </c>
      <c r="AV220" s="23">
        <f t="shared" si="1792"/>
        <v>0</v>
      </c>
      <c r="AW220" s="23">
        <f t="shared" si="1792"/>
        <v>0</v>
      </c>
      <c r="AX220" s="23">
        <f t="shared" si="1792"/>
        <v>0</v>
      </c>
      <c r="AY220" s="23">
        <f t="shared" si="1792"/>
        <v>0</v>
      </c>
      <c r="AZ220" s="23">
        <f t="shared" si="1792"/>
        <v>0</v>
      </c>
      <c r="BA220" s="23">
        <f t="shared" si="1792"/>
        <v>0</v>
      </c>
      <c r="BB220" s="23">
        <f t="shared" si="1792"/>
        <v>0</v>
      </c>
      <c r="BC220" s="23">
        <f t="shared" si="1792"/>
        <v>0</v>
      </c>
      <c r="BD220" s="23">
        <f t="shared" si="1792"/>
        <v>0</v>
      </c>
      <c r="BE220" s="23">
        <f t="shared" si="1792"/>
        <v>0</v>
      </c>
      <c r="BF220" s="23">
        <f t="shared" si="1792"/>
        <v>0</v>
      </c>
      <c r="BG220" s="23">
        <f t="shared" si="1792"/>
        <v>0</v>
      </c>
      <c r="BH220" s="23">
        <f t="shared" si="1792"/>
        <v>0</v>
      </c>
      <c r="BI220" s="23">
        <f t="shared" si="1792"/>
        <v>0</v>
      </c>
      <c r="BJ220" s="23">
        <f t="shared" si="1792"/>
        <v>0</v>
      </c>
      <c r="BK220" s="23">
        <f t="shared" si="1792"/>
        <v>0</v>
      </c>
      <c r="BL220" s="23">
        <f t="shared" si="1792"/>
        <v>0</v>
      </c>
      <c r="BM220" s="23">
        <f t="shared" si="1792"/>
        <v>0</v>
      </c>
      <c r="BN220" s="23">
        <f t="shared" si="1792"/>
        <v>0</v>
      </c>
      <c r="BO220" s="23">
        <f t="shared" ref="BO220:CT220" si="1793">BO58</f>
        <v>0</v>
      </c>
      <c r="BP220" s="23">
        <f t="shared" si="1793"/>
        <v>0</v>
      </c>
      <c r="BQ220" s="23">
        <f t="shared" si="1793"/>
        <v>0</v>
      </c>
      <c r="BR220" s="23">
        <f t="shared" si="1793"/>
        <v>0</v>
      </c>
      <c r="BS220" s="23">
        <f t="shared" si="1793"/>
        <v>0</v>
      </c>
      <c r="BT220" s="23">
        <f t="shared" si="1793"/>
        <v>0</v>
      </c>
      <c r="BU220" s="23">
        <f t="shared" si="1793"/>
        <v>0</v>
      </c>
      <c r="BV220" s="23">
        <f t="shared" si="1793"/>
        <v>0</v>
      </c>
      <c r="BW220" s="23">
        <f t="shared" si="1793"/>
        <v>0</v>
      </c>
      <c r="BX220" s="23">
        <f t="shared" si="1793"/>
        <v>0</v>
      </c>
      <c r="BY220" s="23">
        <f t="shared" si="1793"/>
        <v>0</v>
      </c>
      <c r="BZ220" s="23">
        <f t="shared" si="1793"/>
        <v>0</v>
      </c>
      <c r="CA220" s="23">
        <f t="shared" si="1793"/>
        <v>0</v>
      </c>
      <c r="CB220" s="23">
        <f t="shared" si="1793"/>
        <v>0</v>
      </c>
      <c r="CC220" s="23">
        <f t="shared" si="1793"/>
        <v>0</v>
      </c>
      <c r="CD220" s="23">
        <f t="shared" si="1793"/>
        <v>10.3</v>
      </c>
      <c r="CE220" s="23">
        <f t="shared" si="1793"/>
        <v>16</v>
      </c>
      <c r="CF220" s="23">
        <f t="shared" si="1793"/>
        <v>19.100000000000001</v>
      </c>
      <c r="CG220" s="23">
        <f t="shared" si="1793"/>
        <v>20.7</v>
      </c>
      <c r="CH220" s="23">
        <f t="shared" si="1793"/>
        <v>24.3</v>
      </c>
      <c r="CI220" s="23">
        <f t="shared" si="1793"/>
        <v>26.6</v>
      </c>
      <c r="CJ220" s="23">
        <f t="shared" si="1793"/>
        <v>31.4</v>
      </c>
      <c r="CK220" s="23">
        <f t="shared" si="1793"/>
        <v>32.299999999999997</v>
      </c>
      <c r="CL220" s="23">
        <f t="shared" si="1793"/>
        <v>34.700000000000003</v>
      </c>
      <c r="CM220" s="24">
        <f t="shared" si="1793"/>
        <v>32.72</v>
      </c>
      <c r="CN220" s="24">
        <f t="shared" si="1793"/>
        <v>38.102399999999996</v>
      </c>
      <c r="CO220" s="24">
        <f t="shared" si="1793"/>
        <v>43.054208000000003</v>
      </c>
      <c r="CP220" s="24">
        <f t="shared" si="1793"/>
        <v>49.849871360000002</v>
      </c>
      <c r="CQ220" s="24">
        <f t="shared" si="1793"/>
        <v>56.101881651200003</v>
      </c>
      <c r="CR220" s="24">
        <f t="shared" si="1793"/>
        <v>61.853731119104005</v>
      </c>
      <c r="CS220" s="24">
        <f t="shared" si="1793"/>
        <v>67.14543262957568</v>
      </c>
      <c r="CT220" s="24">
        <f t="shared" si="1793"/>
        <v>72.013798019209631</v>
      </c>
      <c r="CU220" s="24">
        <f t="shared" ref="CU220:DB220" si="1794">CU58</f>
        <v>76.492694177672846</v>
      </c>
      <c r="CV220" s="24">
        <f t="shared" si="1794"/>
        <v>80.613278643459012</v>
      </c>
      <c r="CW220" s="24">
        <f t="shared" si="1794"/>
        <v>84.404216351982285</v>
      </c>
      <c r="CX220" s="24">
        <f t="shared" si="1794"/>
        <v>87.891879043823707</v>
      </c>
      <c r="CY220" s="24">
        <f t="shared" si="1794"/>
        <v>91.100528720317797</v>
      </c>
      <c r="CZ220" s="24">
        <f t="shared" si="1794"/>
        <v>94.052486422692382</v>
      </c>
      <c r="DA220" s="24">
        <f t="shared" si="1794"/>
        <v>96.76828750887698</v>
      </c>
      <c r="DB220" s="24">
        <f t="shared" si="1794"/>
        <v>99.266824508166835</v>
      </c>
      <c r="DC220" s="24">
        <f t="shared" ref="DC220:DD220" si="1795">DC58</f>
        <v>101.56547854751349</v>
      </c>
      <c r="DD220" s="24">
        <f t="shared" si="1795"/>
        <v>103.68024026371241</v>
      </c>
      <c r="DE220" s="123"/>
      <c r="DF220" s="23">
        <v>103</v>
      </c>
    </row>
    <row r="221" spans="1:110" s="22" customFormat="1" x14ac:dyDescent="0.2">
      <c r="A221" s="22" t="s">
        <v>89</v>
      </c>
      <c r="C221" s="22">
        <f t="shared" ref="C221:W221" si="1796">C219+C220</f>
        <v>0</v>
      </c>
      <c r="D221" s="22">
        <f t="shared" si="1796"/>
        <v>0</v>
      </c>
      <c r="E221" s="22">
        <f t="shared" si="1796"/>
        <v>0</v>
      </c>
      <c r="F221" s="22">
        <f t="shared" si="1796"/>
        <v>0</v>
      </c>
      <c r="G221" s="22">
        <f t="shared" si="1796"/>
        <v>0</v>
      </c>
      <c r="H221" s="22">
        <f t="shared" si="1796"/>
        <v>0</v>
      </c>
      <c r="I221" s="22">
        <f t="shared" si="1796"/>
        <v>0</v>
      </c>
      <c r="J221" s="22">
        <f t="shared" si="1796"/>
        <v>0</v>
      </c>
      <c r="K221" s="22">
        <f t="shared" si="1796"/>
        <v>0</v>
      </c>
      <c r="L221" s="22">
        <f t="shared" si="1796"/>
        <v>0</v>
      </c>
      <c r="M221" s="22">
        <f t="shared" si="1796"/>
        <v>0</v>
      </c>
      <c r="N221" s="22">
        <f t="shared" si="1796"/>
        <v>0</v>
      </c>
      <c r="O221" s="22">
        <f t="shared" si="1796"/>
        <v>0</v>
      </c>
      <c r="P221" s="22">
        <f t="shared" si="1796"/>
        <v>0</v>
      </c>
      <c r="Q221" s="22">
        <f t="shared" si="1796"/>
        <v>0</v>
      </c>
      <c r="R221" s="22">
        <f t="shared" si="1796"/>
        <v>0</v>
      </c>
      <c r="S221" s="22">
        <f t="shared" si="1796"/>
        <v>0</v>
      </c>
      <c r="T221" s="22">
        <f t="shared" si="1796"/>
        <v>0</v>
      </c>
      <c r="U221" s="22">
        <f t="shared" si="1796"/>
        <v>0</v>
      </c>
      <c r="V221" s="22">
        <f t="shared" si="1796"/>
        <v>0</v>
      </c>
      <c r="W221" s="22">
        <f t="shared" si="1796"/>
        <v>0</v>
      </c>
      <c r="X221" s="22">
        <f t="shared" ref="X221:Y221" si="1797">X219+X220</f>
        <v>0</v>
      </c>
      <c r="Y221" s="22">
        <f t="shared" si="1797"/>
        <v>646.00000000000091</v>
      </c>
      <c r="Z221" s="22">
        <f t="shared" ref="Z221" si="1798">Z219+Z220</f>
        <v>1203.0999999999999</v>
      </c>
      <c r="AA221" s="21">
        <f t="shared" ref="AA221:AD221" si="1799">AA219+AA220</f>
        <v>1656.9222884262213</v>
      </c>
      <c r="AB221" s="21">
        <f t="shared" si="1799"/>
        <v>2105.1556800481844</v>
      </c>
      <c r="AC221" s="21">
        <f t="shared" si="1799"/>
        <v>2592.3521655876361</v>
      </c>
      <c r="AD221" s="21">
        <f t="shared" si="1799"/>
        <v>3081.7744936041145</v>
      </c>
      <c r="AE221" s="21">
        <f t="shared" ref="AE221" si="1800">AE219+AE220</f>
        <v>3625.9978905468065</v>
      </c>
      <c r="AI221" s="22">
        <f t="shared" ref="AI221" si="1801">AI219+AI220</f>
        <v>0</v>
      </c>
      <c r="AJ221" s="22">
        <f t="shared" ref="AJ221:AL221" si="1802">AJ219+AJ220</f>
        <v>0</v>
      </c>
      <c r="AK221" s="22">
        <f t="shared" si="1802"/>
        <v>0</v>
      </c>
      <c r="AL221" s="22">
        <f t="shared" si="1802"/>
        <v>0</v>
      </c>
      <c r="AM221" s="22">
        <f t="shared" ref="AM221" si="1803">AM219+AM220</f>
        <v>0</v>
      </c>
      <c r="AN221" s="22">
        <f t="shared" ref="AN221:CD221" si="1804">AN219+AN220</f>
        <v>0</v>
      </c>
      <c r="AO221" s="22">
        <f t="shared" si="1804"/>
        <v>0</v>
      </c>
      <c r="AP221" s="22">
        <f t="shared" si="1804"/>
        <v>0</v>
      </c>
      <c r="AQ221" s="22">
        <f t="shared" si="1804"/>
        <v>0</v>
      </c>
      <c r="AR221" s="22">
        <f t="shared" si="1804"/>
        <v>0</v>
      </c>
      <c r="AS221" s="22">
        <f t="shared" si="1804"/>
        <v>0</v>
      </c>
      <c r="AT221" s="22">
        <f t="shared" si="1804"/>
        <v>0</v>
      </c>
      <c r="AU221" s="22">
        <f t="shared" si="1804"/>
        <v>0</v>
      </c>
      <c r="AV221" s="22">
        <f t="shared" si="1804"/>
        <v>0</v>
      </c>
      <c r="AW221" s="22">
        <f t="shared" si="1804"/>
        <v>0</v>
      </c>
      <c r="AX221" s="22">
        <f t="shared" si="1804"/>
        <v>0</v>
      </c>
      <c r="AY221" s="22">
        <f t="shared" si="1804"/>
        <v>0</v>
      </c>
      <c r="AZ221" s="22">
        <f t="shared" si="1804"/>
        <v>0</v>
      </c>
      <c r="BA221" s="22">
        <f t="shared" si="1804"/>
        <v>0</v>
      </c>
      <c r="BB221" s="22">
        <f t="shared" si="1804"/>
        <v>0</v>
      </c>
      <c r="BC221" s="22">
        <f t="shared" si="1804"/>
        <v>0</v>
      </c>
      <c r="BD221" s="22">
        <f t="shared" si="1804"/>
        <v>0</v>
      </c>
      <c r="BE221" s="22">
        <f t="shared" si="1804"/>
        <v>0</v>
      </c>
      <c r="BF221" s="22">
        <f t="shared" si="1804"/>
        <v>0</v>
      </c>
      <c r="BG221" s="22">
        <f t="shared" si="1804"/>
        <v>0</v>
      </c>
      <c r="BH221" s="22">
        <f t="shared" si="1804"/>
        <v>0</v>
      </c>
      <c r="BI221" s="22">
        <f t="shared" si="1804"/>
        <v>0</v>
      </c>
      <c r="BJ221" s="22">
        <f t="shared" si="1804"/>
        <v>0</v>
      </c>
      <c r="BK221" s="22">
        <f t="shared" si="1804"/>
        <v>0</v>
      </c>
      <c r="BL221" s="22">
        <f t="shared" si="1804"/>
        <v>0</v>
      </c>
      <c r="BM221" s="22">
        <f t="shared" si="1804"/>
        <v>0</v>
      </c>
      <c r="BN221" s="22">
        <f t="shared" si="1804"/>
        <v>0</v>
      </c>
      <c r="BO221" s="22">
        <f t="shared" si="1804"/>
        <v>0</v>
      </c>
      <c r="BP221" s="22">
        <f t="shared" si="1804"/>
        <v>0</v>
      </c>
      <c r="BQ221" s="22">
        <f t="shared" si="1804"/>
        <v>0</v>
      </c>
      <c r="BR221" s="22">
        <f t="shared" si="1804"/>
        <v>0</v>
      </c>
      <c r="BS221" s="22">
        <f t="shared" si="1804"/>
        <v>0</v>
      </c>
      <c r="BT221" s="22">
        <f t="shared" si="1804"/>
        <v>0</v>
      </c>
      <c r="BU221" s="22">
        <f t="shared" si="1804"/>
        <v>0</v>
      </c>
      <c r="BV221" s="22">
        <f t="shared" si="1804"/>
        <v>0</v>
      </c>
      <c r="BW221" s="22">
        <f t="shared" si="1804"/>
        <v>0</v>
      </c>
      <c r="BX221" s="22">
        <f t="shared" si="1804"/>
        <v>0</v>
      </c>
      <c r="BY221" s="22">
        <f t="shared" si="1804"/>
        <v>0</v>
      </c>
      <c r="BZ221" s="22">
        <f t="shared" si="1804"/>
        <v>0</v>
      </c>
      <c r="CA221" s="22">
        <f t="shared" si="1804"/>
        <v>0</v>
      </c>
      <c r="CB221" s="22">
        <f t="shared" si="1804"/>
        <v>0</v>
      </c>
      <c r="CC221" s="22">
        <f t="shared" si="1804"/>
        <v>0</v>
      </c>
      <c r="CD221" s="22">
        <f t="shared" si="1804"/>
        <v>190.79999999999987</v>
      </c>
      <c r="CE221" s="22">
        <f t="shared" ref="CE221:CF221" si="1805">CE219+CE220</f>
        <v>161.80000000000007</v>
      </c>
      <c r="CF221" s="22">
        <f t="shared" si="1805"/>
        <v>292.79999999999984</v>
      </c>
      <c r="CG221" s="22">
        <f t="shared" ref="CG221:CH221" si="1806">CG219+CG220</f>
        <v>252.40000000000012</v>
      </c>
      <c r="CH221" s="22">
        <f t="shared" si="1806"/>
        <v>270.39999999999998</v>
      </c>
      <c r="CI221" s="22">
        <f t="shared" ref="CI221:CJ221" si="1807">CI219+CI220</f>
        <v>289.29999999999973</v>
      </c>
      <c r="CJ221" s="22">
        <f t="shared" si="1807"/>
        <v>391.00000000000017</v>
      </c>
      <c r="CK221" s="22">
        <f t="shared" ref="CK221:DB221" si="1808">CK219+CK220</f>
        <v>345.20000000000022</v>
      </c>
      <c r="CL221" s="22">
        <f t="shared" si="1808"/>
        <v>409.2999999999999</v>
      </c>
      <c r="CM221" s="21">
        <f t="shared" si="1808"/>
        <v>370.55395833685111</v>
      </c>
      <c r="CN221" s="21">
        <f t="shared" si="1808"/>
        <v>531.86833008937003</v>
      </c>
      <c r="CO221" s="21">
        <f t="shared" si="1808"/>
        <v>447.70250269919717</v>
      </c>
      <c r="CP221" s="21">
        <f t="shared" si="1808"/>
        <v>535.74556553833816</v>
      </c>
      <c r="CQ221" s="21">
        <f t="shared" si="1808"/>
        <v>463.0178085341372</v>
      </c>
      <c r="CR221" s="21">
        <f t="shared" si="1808"/>
        <v>658.68980327651173</v>
      </c>
      <c r="CS221" s="21">
        <f t="shared" si="1808"/>
        <v>549.02058989804345</v>
      </c>
      <c r="CT221" s="21">
        <f t="shared" si="1808"/>
        <v>661.0901717442913</v>
      </c>
      <c r="CU221" s="21">
        <f t="shared" si="1808"/>
        <v>575.83267166729115</v>
      </c>
      <c r="CV221" s="21">
        <f t="shared" si="1808"/>
        <v>806.40873227801205</v>
      </c>
      <c r="CW221" s="21">
        <f t="shared" si="1808"/>
        <v>663.13814371154194</v>
      </c>
      <c r="CX221" s="21">
        <f t="shared" si="1808"/>
        <v>790.80266718984456</v>
      </c>
      <c r="CY221" s="21">
        <f t="shared" si="1808"/>
        <v>683.47799795197545</v>
      </c>
      <c r="CZ221" s="21">
        <f t="shared" si="1808"/>
        <v>944.35568475075343</v>
      </c>
      <c r="DA221" s="21">
        <f t="shared" si="1808"/>
        <v>785.67230377423948</v>
      </c>
      <c r="DB221" s="21">
        <f t="shared" si="1808"/>
        <v>931.27705078086865</v>
      </c>
      <c r="DC221" s="21">
        <f t="shared" ref="DC221:DD221" si="1809">DC219+DC220</f>
        <v>802.94542658618764</v>
      </c>
      <c r="DD221" s="21">
        <f t="shared" si="1809"/>
        <v>1106.1031094055106</v>
      </c>
      <c r="DE221" s="126"/>
      <c r="DF221" s="22">
        <v>1203.0999999999999</v>
      </c>
    </row>
    <row r="222" spans="1:110" s="23" customFormat="1" x14ac:dyDescent="0.2">
      <c r="A222" s="23" t="s">
        <v>65</v>
      </c>
      <c r="C222" s="23">
        <f t="shared" ref="C222:AA222" si="1810">B174-C174+B189+B190-C189-C190</f>
        <v>0</v>
      </c>
      <c r="D222" s="23">
        <f t="shared" si="1810"/>
        <v>0</v>
      </c>
      <c r="E222" s="23">
        <f>D174-E174+D189+D190-E189-E190</f>
        <v>0</v>
      </c>
      <c r="F222" s="23">
        <f t="shared" si="1810"/>
        <v>0</v>
      </c>
      <c r="G222" s="23">
        <f t="shared" si="1810"/>
        <v>0</v>
      </c>
      <c r="H222" s="23">
        <f t="shared" si="1810"/>
        <v>0</v>
      </c>
      <c r="I222" s="23">
        <f t="shared" si="1810"/>
        <v>0</v>
      </c>
      <c r="J222" s="23">
        <f>I174-J174+I189+I190-J189-J190</f>
        <v>0</v>
      </c>
      <c r="K222" s="23">
        <f>J174-K174+J189+J190-K189-K190</f>
        <v>0</v>
      </c>
      <c r="L222" s="23">
        <f t="shared" si="1810"/>
        <v>0</v>
      </c>
      <c r="M222" s="23">
        <f t="shared" si="1810"/>
        <v>0</v>
      </c>
      <c r="N222" s="23">
        <f t="shared" si="1810"/>
        <v>0</v>
      </c>
      <c r="O222" s="23">
        <f t="shared" si="1810"/>
        <v>0</v>
      </c>
      <c r="P222" s="23">
        <f t="shared" si="1810"/>
        <v>0</v>
      </c>
      <c r="Q222" s="23">
        <f t="shared" si="1810"/>
        <v>0</v>
      </c>
      <c r="R222" s="23">
        <f t="shared" si="1810"/>
        <v>0</v>
      </c>
      <c r="S222" s="23">
        <f t="shared" si="1810"/>
        <v>0</v>
      </c>
      <c r="T222" s="23">
        <f t="shared" si="1810"/>
        <v>0</v>
      </c>
      <c r="U222" s="23">
        <f t="shared" si="1810"/>
        <v>0</v>
      </c>
      <c r="V222" s="23">
        <f t="shared" si="1810"/>
        <v>0</v>
      </c>
      <c r="W222" s="23">
        <f t="shared" si="1810"/>
        <v>0</v>
      </c>
      <c r="X222" s="23">
        <f t="shared" si="1810"/>
        <v>0</v>
      </c>
      <c r="Y222" s="23">
        <f t="shared" si="1810"/>
        <v>-6566.3</v>
      </c>
      <c r="Z222" s="23">
        <f t="shared" si="1810"/>
        <v>867.10000000000116</v>
      </c>
      <c r="AA222" s="24">
        <f t="shared" si="1810"/>
        <v>-3323.23355185741</v>
      </c>
      <c r="AB222" s="24">
        <f t="shared" ref="AB222" si="1811">AA174-AB174+AA189+AA190-AB189-AB190</f>
        <v>-891.46645419533888</v>
      </c>
      <c r="AC222" s="24">
        <f t="shared" ref="AC222" si="1812">AB174-AC174+AB189+AB190-AC189-AC190</f>
        <v>-1638.0520146432391</v>
      </c>
      <c r="AD222" s="24">
        <f t="shared" ref="AD222" si="1813">AC174-AD174+AC189+AC190-AD189-AD190</f>
        <v>-1929.1476752489234</v>
      </c>
      <c r="AE222" s="24">
        <f t="shared" ref="AE222" si="1814">AD174-AE174+AD189+AD190-AE189-AE190</f>
        <v>-2260.4166532854379</v>
      </c>
      <c r="AI222" s="23">
        <f>AH174-AI174+AH189+AH190-AI189-AJ190</f>
        <v>0</v>
      </c>
      <c r="AJ222" s="23">
        <f t="shared" ref="AJ222:AL222" si="1815">AI174-AJ174+AI189+AI190-AJ189-AK190</f>
        <v>0</v>
      </c>
      <c r="AK222" s="23" t="e">
        <f t="shared" si="1815"/>
        <v>#DIV/0!</v>
      </c>
      <c r="AL222" s="23" t="e">
        <f t="shared" si="1815"/>
        <v>#DIV/0!</v>
      </c>
      <c r="AM222" s="23" t="e">
        <f t="shared" ref="AM222" si="1816">AL174-AM174+AL189+AL190-AM189-AM190</f>
        <v>#DIV/0!</v>
      </c>
      <c r="AN222" s="23" t="e">
        <f t="shared" ref="AN222" si="1817">AM174-AN174+AM189+AM190-AN189-AN190</f>
        <v>#DIV/0!</v>
      </c>
      <c r="AO222" s="23" t="e">
        <f t="shared" ref="AO222" si="1818">AN174-AO174+AN189+AN190-AO189-AO190</f>
        <v>#DIV/0!</v>
      </c>
      <c r="AP222" s="23" t="e">
        <f t="shared" ref="AP222" si="1819">AO174-AP174+AO189+AO190-AP189-AP190</f>
        <v>#DIV/0!</v>
      </c>
      <c r="AQ222" s="23" t="e">
        <f t="shared" ref="AQ222" si="1820">AP174-AQ174+AP189+AP190-AQ189-AQ190</f>
        <v>#DIV/0!</v>
      </c>
      <c r="AR222" s="23" t="e">
        <f t="shared" ref="AR222" si="1821">AQ174-AR174+AQ189+AQ190-AR189-AR190</f>
        <v>#DIV/0!</v>
      </c>
      <c r="AS222" s="23" t="e">
        <f t="shared" ref="AS222" si="1822">AR174-AS174+AR189+AR190-AS189-AS190</f>
        <v>#DIV/0!</v>
      </c>
      <c r="AT222" s="23" t="e">
        <f t="shared" ref="AT222" si="1823">AS174-AT174+AS189+AS190-AT189-AT190</f>
        <v>#DIV/0!</v>
      </c>
      <c r="AU222" s="23" t="e">
        <f t="shared" ref="AU222" si="1824">AT174-AU174+AT189+AT190-AU189-AU190</f>
        <v>#DIV/0!</v>
      </c>
      <c r="AV222" s="23" t="e">
        <f t="shared" ref="AV222" si="1825">AU174-AV174+AU189+AU190-AV189-AV190</f>
        <v>#DIV/0!</v>
      </c>
      <c r="AW222" s="23" t="e">
        <f t="shared" ref="AW222" si="1826">AV174-AW174+AV189+AV190-AW189-AW190</f>
        <v>#DIV/0!</v>
      </c>
      <c r="AX222" s="23" t="e">
        <f t="shared" ref="AX222" si="1827">AW174-AX174+AW189+AW190-AX189-AX190</f>
        <v>#DIV/0!</v>
      </c>
      <c r="AY222" s="23" t="e">
        <f t="shared" ref="AY222" si="1828">AX174-AY174+AX189+AX190-AY189-AY190</f>
        <v>#DIV/0!</v>
      </c>
      <c r="AZ222" s="23" t="e">
        <f t="shared" ref="AZ222" si="1829">AY174-AZ174+AY189+AY190-AZ189-AZ190</f>
        <v>#DIV/0!</v>
      </c>
      <c r="BA222" s="23" t="e">
        <f t="shared" ref="BA222" si="1830">AZ174-BA174+AZ189+AZ190-BA189-BA190</f>
        <v>#DIV/0!</v>
      </c>
      <c r="BB222" s="23" t="e">
        <f t="shared" ref="BB222" si="1831">BA174-BB174+BA189+BA190-BB189-BB190</f>
        <v>#DIV/0!</v>
      </c>
      <c r="BC222" s="23" t="e">
        <f t="shared" ref="BC222" si="1832">BB174-BC174+BB189+BB190-BC189-BC190</f>
        <v>#DIV/0!</v>
      </c>
      <c r="BD222" s="23" t="e">
        <f t="shared" ref="BD222" si="1833">BC174-BD174+BC189+BC190-BD189-BD190</f>
        <v>#DIV/0!</v>
      </c>
      <c r="BE222" s="23" t="e">
        <f t="shared" ref="BE222" si="1834">BD174-BE174+BD189+BD190-BE189-BE190</f>
        <v>#DIV/0!</v>
      </c>
      <c r="BF222" s="23" t="e">
        <f t="shared" ref="BF222" si="1835">BE174-BF174+BE189+BE190-BF189-BF190</f>
        <v>#DIV/0!</v>
      </c>
      <c r="BG222" s="23" t="e">
        <f t="shared" ref="BG222" si="1836">BF174-BG174+BF189+BF190-BG189-BG190</f>
        <v>#DIV/0!</v>
      </c>
      <c r="BH222" s="23" t="e">
        <f t="shared" ref="BH222" si="1837">BG174-BH174+BG189+BG190-BH189-BH190</f>
        <v>#DIV/0!</v>
      </c>
      <c r="BI222" s="23" t="e">
        <f t="shared" ref="BI222" si="1838">BH174-BI174+BH189+BH190-BI189-BI190</f>
        <v>#DIV/0!</v>
      </c>
      <c r="BJ222" s="23" t="e">
        <f t="shared" ref="BJ222" si="1839">BI174-BJ174+BI189+BI190-BJ189-BJ190</f>
        <v>#DIV/0!</v>
      </c>
      <c r="BK222" s="23" t="e">
        <f t="shared" ref="BK222" si="1840">BJ174-BK174+BJ189+BJ190-BK189-BK190</f>
        <v>#DIV/0!</v>
      </c>
      <c r="BL222" s="23" t="e">
        <f t="shared" ref="BL222" si="1841">BK174-BL174+BK189+BK190-BL189-BL190</f>
        <v>#DIV/0!</v>
      </c>
      <c r="BM222" s="23" t="e">
        <f t="shared" ref="BM222" si="1842">BL174-BM174+BL189+BL190-BM189-BM190</f>
        <v>#DIV/0!</v>
      </c>
      <c r="BN222" s="23" t="e">
        <f t="shared" ref="BN222" si="1843">BM174-BN174+BM189+BM190-BN189-BN190</f>
        <v>#DIV/0!</v>
      </c>
      <c r="BO222" s="23" t="e">
        <f t="shared" ref="BO222" si="1844">BN174-BO174+BN189+BN190-BO189-BO190</f>
        <v>#DIV/0!</v>
      </c>
      <c r="BP222" s="23" t="e">
        <f t="shared" ref="BP222" si="1845">BO174-BP174+BO189+BO190-BP189-BP190</f>
        <v>#DIV/0!</v>
      </c>
      <c r="BQ222" s="23" t="e">
        <f t="shared" ref="BQ222" si="1846">BP174-BQ174+BP189+BP190-BQ189-BQ190</f>
        <v>#DIV/0!</v>
      </c>
      <c r="BR222" s="23" t="e">
        <f t="shared" ref="BR222" si="1847">BQ174-BR174+BQ189+BQ190-BR189-BR190</f>
        <v>#DIV/0!</v>
      </c>
      <c r="BS222" s="23" t="e">
        <f t="shared" ref="BS222" si="1848">BR174-BS174+BR189+BR190-BS189-BS190</f>
        <v>#DIV/0!</v>
      </c>
      <c r="BT222" s="23" t="e">
        <f t="shared" ref="BT222" si="1849">BS174-BT174+BS189+BS190-BT189-BT190</f>
        <v>#DIV/0!</v>
      </c>
      <c r="BU222" s="23" t="e">
        <f t="shared" ref="BU222" si="1850">BT174-BU174+BT189+BT190-BU189-BU190</f>
        <v>#DIV/0!</v>
      </c>
      <c r="BV222" s="23" t="e">
        <f t="shared" ref="BV222" si="1851">BU174-BV174+BU189+BU190-BV189-BV190</f>
        <v>#DIV/0!</v>
      </c>
      <c r="BW222" s="23" t="e">
        <f t="shared" ref="BW222" si="1852">BV174-BW174+BV189+BV190-BW189-BW190</f>
        <v>#DIV/0!</v>
      </c>
      <c r="BX222" s="23" t="e">
        <f t="shared" ref="BX222" si="1853">BW174-BX174+BW189+BW190-BX189-BX190</f>
        <v>#DIV/0!</v>
      </c>
      <c r="BY222" s="23" t="e">
        <f t="shared" ref="BY222" si="1854">BX174-BY174+BX189+BX190-BY189-BY190</f>
        <v>#DIV/0!</v>
      </c>
      <c r="BZ222" s="23" t="e">
        <f t="shared" ref="BZ222" si="1855">BY174-BZ174+BY189+BY190-BZ189-BZ190</f>
        <v>#DIV/0!</v>
      </c>
      <c r="CA222" s="23" t="e">
        <f t="shared" ref="CA222" si="1856">BZ174-CA174+BZ189+BZ190-CA189-CA190</f>
        <v>#DIV/0!</v>
      </c>
      <c r="CB222" s="23" t="e">
        <f t="shared" ref="CB222" si="1857">CA174-CB174+CA189+CA190-CB189-CB190</f>
        <v>#DIV/0!</v>
      </c>
      <c r="CC222" s="23" t="e">
        <f t="shared" ref="CC222" si="1858">CB174-CC174+CB189+CB190-CC189-CC190</f>
        <v>#DIV/0!</v>
      </c>
      <c r="CD222" s="23" t="e">
        <f t="shared" ref="CD222" si="1859">CC174-CD174+CC189+CC190-CD189-CD190</f>
        <v>#DIV/0!</v>
      </c>
      <c r="CE222" s="23">
        <f t="shared" ref="CE222" si="1860">CD174-CE174+CD189+CD190-CE189-CE190</f>
        <v>0</v>
      </c>
      <c r="CF222" s="23">
        <f t="shared" ref="CF222" si="1861">CE174-CF174+CE189+CE190-CF189-CF190</f>
        <v>-6688.4000000000005</v>
      </c>
      <c r="CG222" s="23">
        <f t="shared" ref="CG222" si="1862">CF174-CG174+CF189+CF190-CG189-CG190</f>
        <v>716.59278910910234</v>
      </c>
      <c r="CH222" s="23">
        <f t="shared" ref="CH222:CJ222" si="1863">CG174-CH174+CG189+CG190-CH189-CH190</f>
        <v>272.60721089089907</v>
      </c>
      <c r="CI222" s="23">
        <f t="shared" si="1863"/>
        <v>277.14132482043169</v>
      </c>
      <c r="CJ222" s="23">
        <f t="shared" si="1863"/>
        <v>-180.34132482043242</v>
      </c>
      <c r="CK222" s="23">
        <f t="shared" ref="CK222" si="1864">CJ174-CK174+CJ189+CJ190-CK189-CK190</f>
        <v>1497.5400083153795</v>
      </c>
      <c r="CL222" s="23">
        <f t="shared" ref="CL222" si="1865">CK174-CL174+CK189+CK190-CL189-CL190</f>
        <v>-2293.0400083153795</v>
      </c>
      <c r="CM222" s="24">
        <f t="shared" ref="CM222" si="1866">CL174-CM174+CL189+CL190-CM189-CM190</f>
        <v>203.95471580791221</v>
      </c>
      <c r="CN222" s="24">
        <f t="shared" ref="CN222" si="1867">CM174-CN174+CM189+CM190-CN189-CN190</f>
        <v>-2828.4882676653215</v>
      </c>
      <c r="CO222" s="24">
        <f t="shared" ref="CO222" si="1868">CN174-CO174+CN189+CN190-CO189-CO190</f>
        <v>2418.2749088674318</v>
      </c>
      <c r="CP222" s="24">
        <f t="shared" ref="CP222" si="1869">CO174-CP174+CO189+CO190-CP189-CP190</f>
        <v>-1571.4529940528073</v>
      </c>
      <c r="CQ222" s="24">
        <f t="shared" ref="CQ222" si="1870">CP174-CQ174+CP189+CP190-CQ189-CQ190</f>
        <v>1315.5886204375993</v>
      </c>
      <c r="CR222" s="24">
        <f t="shared" ref="CR222" si="1871">CQ174-CR174+CQ189+CQ190-CR189-CR190</f>
        <v>-3053.8769894475627</v>
      </c>
      <c r="CS222" s="24">
        <f t="shared" ref="CS222" si="1872">CR174-CS174+CR189+CR190-CS189-CS190</f>
        <v>2093.6183741626446</v>
      </c>
      <c r="CT222" s="24">
        <f t="shared" ref="CT222" si="1873">CS174-CT174+CS189+CS190-CT189-CT190</f>
        <v>-1749.9312234725894</v>
      </c>
      <c r="CU222" s="24">
        <f t="shared" ref="CU222" si="1874">CT174-CU174+CT189+CT190-CU189-CU190</f>
        <v>1631.2826892268931</v>
      </c>
      <c r="CV222" s="24">
        <f t="shared" ref="CV222" si="1875">CU174-CV174+CU189+CU190-CV189-CV190</f>
        <v>-3613.0218545601874</v>
      </c>
      <c r="CW222" s="24">
        <f t="shared" ref="CW222" si="1876">CV174-CW174+CV189+CV190-CW189-CW190</f>
        <v>2389.9193391514291</v>
      </c>
      <c r="CX222" s="24">
        <f t="shared" ref="CX222" si="1877">CW174-CX174+CW189+CW190-CX189-CX190</f>
        <v>-2003.2552882023101</v>
      </c>
      <c r="CY222" s="24">
        <f t="shared" ref="CY222" si="1878">CX174-CY174+CX189+CX190-CY189-CY190</f>
        <v>1916.3458052157894</v>
      </c>
      <c r="CZ222" s="24">
        <f t="shared" ref="CZ222" si="1879">CY174-CZ174+CY189+CY190-CZ189-CZ190</f>
        <v>-4232.1575314138317</v>
      </c>
      <c r="DA222" s="24">
        <f t="shared" ref="DA222" si="1880">CZ174-DA174+CZ189+CZ190-DA189-DA190</f>
        <v>2763.9518245254058</v>
      </c>
      <c r="DB222" s="24">
        <f t="shared" ref="DB222" si="1881">DA174-DB174+DA189+DA190-DB189-DB190</f>
        <v>-2318.6943822250123</v>
      </c>
      <c r="DC222" s="24">
        <f t="shared" ref="DC222" si="1882">DB174-DC174+DB189+DB190-DC189-DC190</f>
        <v>2239.7750603836994</v>
      </c>
      <c r="DD222" s="24">
        <f t="shared" ref="DD222" si="1883">DC174-DD174+DC189+DC190-DD189-DD190</f>
        <v>-4945.4491559695307</v>
      </c>
      <c r="DE222" s="123"/>
      <c r="DF222" s="23">
        <v>867.10000000000116</v>
      </c>
    </row>
    <row r="223" spans="1:110" s="23" customFormat="1" x14ac:dyDescent="0.2">
      <c r="A223" s="23" t="s">
        <v>73</v>
      </c>
      <c r="C223" s="23">
        <f t="shared" ref="C223:AA223" si="1884">B182-C182</f>
        <v>0</v>
      </c>
      <c r="D223" s="23">
        <f t="shared" si="1884"/>
        <v>0</v>
      </c>
      <c r="E223" s="23">
        <f>D182-E182</f>
        <v>0</v>
      </c>
      <c r="F223" s="23">
        <f t="shared" si="1884"/>
        <v>0</v>
      </c>
      <c r="G223" s="23">
        <f t="shared" si="1884"/>
        <v>0</v>
      </c>
      <c r="H223" s="23">
        <f t="shared" si="1884"/>
        <v>0</v>
      </c>
      <c r="I223" s="23">
        <f t="shared" si="1884"/>
        <v>0</v>
      </c>
      <c r="J223" s="23">
        <f>I182-J182</f>
        <v>0</v>
      </c>
      <c r="K223" s="23">
        <f>J182-K182</f>
        <v>0</v>
      </c>
      <c r="L223" s="23">
        <f t="shared" si="1884"/>
        <v>0</v>
      </c>
      <c r="M223" s="23">
        <f t="shared" si="1884"/>
        <v>0</v>
      </c>
      <c r="N223" s="23">
        <f t="shared" si="1884"/>
        <v>0</v>
      </c>
      <c r="O223" s="23">
        <f t="shared" si="1884"/>
        <v>0</v>
      </c>
      <c r="P223" s="23">
        <f t="shared" si="1884"/>
        <v>0</v>
      </c>
      <c r="Q223" s="23">
        <f t="shared" si="1884"/>
        <v>0</v>
      </c>
      <c r="R223" s="23">
        <f t="shared" si="1884"/>
        <v>0</v>
      </c>
      <c r="S223" s="23">
        <f t="shared" si="1884"/>
        <v>0</v>
      </c>
      <c r="T223" s="23">
        <f t="shared" si="1884"/>
        <v>0</v>
      </c>
      <c r="U223" s="23">
        <f t="shared" si="1884"/>
        <v>0</v>
      </c>
      <c r="V223" s="23">
        <f t="shared" si="1884"/>
        <v>0</v>
      </c>
      <c r="W223" s="23">
        <f t="shared" si="1884"/>
        <v>0</v>
      </c>
      <c r="X223" s="23">
        <f t="shared" si="1884"/>
        <v>0</v>
      </c>
      <c r="Y223" s="23">
        <f t="shared" si="1884"/>
        <v>-3830.8999999999996</v>
      </c>
      <c r="Z223" s="23">
        <f t="shared" si="1884"/>
        <v>-1561.0000000000009</v>
      </c>
      <c r="AA223" s="24">
        <f t="shared" si="1884"/>
        <v>-2320.7311260638971</v>
      </c>
      <c r="AB223" s="24">
        <f t="shared" ref="AB223" si="1885">AA182-AB182</f>
        <v>-783.55354341888415</v>
      </c>
      <c r="AC223" s="24">
        <f t="shared" ref="AC223" si="1886">AB182-AC182</f>
        <v>-1439.7641709767686</v>
      </c>
      <c r="AD223" s="24">
        <f t="shared" ref="AD223" si="1887">AC182-AD182</f>
        <v>-1695.6224091281128</v>
      </c>
      <c r="AE223" s="24">
        <f t="shared" ref="AE223" si="1888">AD182-AE182</f>
        <v>-1986.7909442353102</v>
      </c>
      <c r="AI223" s="23">
        <f t="shared" ref="AI223" si="1889">AH182-AI182</f>
        <v>0</v>
      </c>
      <c r="AJ223" s="23">
        <f t="shared" ref="AJ223" si="1890">AI182-AJ182</f>
        <v>0</v>
      </c>
      <c r="AK223" s="23" t="e">
        <f t="shared" ref="AK223" si="1891">AJ182-AK182</f>
        <v>#DIV/0!</v>
      </c>
      <c r="AL223" s="23" t="e">
        <f t="shared" ref="AL223" si="1892">AK182-AL182</f>
        <v>#DIV/0!</v>
      </c>
      <c r="AM223" s="23" t="e">
        <f t="shared" ref="AM223" si="1893">AL182-AM182</f>
        <v>#DIV/0!</v>
      </c>
      <c r="AN223" s="23" t="e">
        <f t="shared" ref="AN223" si="1894">AM182-AN182</f>
        <v>#DIV/0!</v>
      </c>
      <c r="AO223" s="23" t="e">
        <f t="shared" ref="AO223" si="1895">AN182-AO182</f>
        <v>#DIV/0!</v>
      </c>
      <c r="AP223" s="23" t="e">
        <f t="shared" ref="AP223" si="1896">AO182-AP182</f>
        <v>#DIV/0!</v>
      </c>
      <c r="AQ223" s="23" t="e">
        <f t="shared" ref="AQ223" si="1897">AP182-AQ182</f>
        <v>#DIV/0!</v>
      </c>
      <c r="AR223" s="23" t="e">
        <f t="shared" ref="AR223" si="1898">AQ182-AR182</f>
        <v>#DIV/0!</v>
      </c>
      <c r="AS223" s="23" t="e">
        <f t="shared" ref="AS223" si="1899">AR182-AS182</f>
        <v>#DIV/0!</v>
      </c>
      <c r="AT223" s="23" t="e">
        <f t="shared" ref="AT223" si="1900">AS182-AT182</f>
        <v>#DIV/0!</v>
      </c>
      <c r="AU223" s="23" t="e">
        <f t="shared" ref="AU223" si="1901">AT182-AU182</f>
        <v>#DIV/0!</v>
      </c>
      <c r="AV223" s="23" t="e">
        <f t="shared" ref="AV223" si="1902">AU182-AV182</f>
        <v>#DIV/0!</v>
      </c>
      <c r="AW223" s="23" t="e">
        <f t="shared" ref="AW223" si="1903">AV182-AW182</f>
        <v>#DIV/0!</v>
      </c>
      <c r="AX223" s="23" t="e">
        <f t="shared" ref="AX223" si="1904">AW182-AX182</f>
        <v>#DIV/0!</v>
      </c>
      <c r="AY223" s="23" t="e">
        <f t="shared" ref="AY223" si="1905">AX182-AY182</f>
        <v>#DIV/0!</v>
      </c>
      <c r="AZ223" s="23" t="e">
        <f t="shared" ref="AZ223" si="1906">AY182-AZ182</f>
        <v>#DIV/0!</v>
      </c>
      <c r="BA223" s="23" t="e">
        <f t="shared" ref="BA223" si="1907">AZ182-BA182</f>
        <v>#DIV/0!</v>
      </c>
      <c r="BB223" s="23" t="e">
        <f t="shared" ref="BB223" si="1908">BA182-BB182</f>
        <v>#DIV/0!</v>
      </c>
      <c r="BC223" s="23" t="e">
        <f t="shared" ref="BC223" si="1909">BB182-BC182</f>
        <v>#DIV/0!</v>
      </c>
      <c r="BD223" s="23" t="e">
        <f t="shared" ref="BD223" si="1910">BC182-BD182</f>
        <v>#DIV/0!</v>
      </c>
      <c r="BE223" s="23" t="e">
        <f t="shared" ref="BE223" si="1911">BD182-BE182</f>
        <v>#DIV/0!</v>
      </c>
      <c r="BF223" s="23" t="e">
        <f t="shared" ref="BF223" si="1912">BE182-BF182</f>
        <v>#DIV/0!</v>
      </c>
      <c r="BG223" s="23" t="e">
        <f t="shared" ref="BG223" si="1913">BF182-BG182</f>
        <v>#DIV/0!</v>
      </c>
      <c r="BH223" s="23" t="e">
        <f t="shared" ref="BH223" si="1914">BG182-BH182</f>
        <v>#DIV/0!</v>
      </c>
      <c r="BI223" s="23" t="e">
        <f t="shared" ref="BI223" si="1915">BH182-BI182</f>
        <v>#DIV/0!</v>
      </c>
      <c r="BJ223" s="23" t="e">
        <f t="shared" ref="BJ223" si="1916">BI182-BJ182</f>
        <v>#DIV/0!</v>
      </c>
      <c r="BK223" s="23" t="e">
        <f t="shared" ref="BK223" si="1917">BJ182-BK182</f>
        <v>#DIV/0!</v>
      </c>
      <c r="BL223" s="23" t="e">
        <f t="shared" ref="BL223" si="1918">BK182-BL182</f>
        <v>#DIV/0!</v>
      </c>
      <c r="BM223" s="23" t="e">
        <f t="shared" ref="BM223" si="1919">BL182-BM182</f>
        <v>#DIV/0!</v>
      </c>
      <c r="BN223" s="23" t="e">
        <f t="shared" ref="BN223" si="1920">BM182-BN182</f>
        <v>#DIV/0!</v>
      </c>
      <c r="BO223" s="23" t="e">
        <f t="shared" ref="BO223" si="1921">BN182-BO182</f>
        <v>#DIV/0!</v>
      </c>
      <c r="BP223" s="23" t="e">
        <f t="shared" ref="BP223" si="1922">BO182-BP182</f>
        <v>#DIV/0!</v>
      </c>
      <c r="BQ223" s="23" t="e">
        <f t="shared" ref="BQ223" si="1923">BP182-BQ182</f>
        <v>#DIV/0!</v>
      </c>
      <c r="BR223" s="23" t="e">
        <f t="shared" ref="BR223" si="1924">BQ182-BR182</f>
        <v>#DIV/0!</v>
      </c>
      <c r="BS223" s="23" t="e">
        <f t="shared" ref="BS223" si="1925">BR182-BS182</f>
        <v>#DIV/0!</v>
      </c>
      <c r="BT223" s="23" t="e">
        <f t="shared" ref="BT223" si="1926">BS182-BT182</f>
        <v>#DIV/0!</v>
      </c>
      <c r="BU223" s="23" t="e">
        <f t="shared" ref="BU223" si="1927">BT182-BU182</f>
        <v>#DIV/0!</v>
      </c>
      <c r="BV223" s="23" t="e">
        <f t="shared" ref="BV223" si="1928">BU182-BV182</f>
        <v>#DIV/0!</v>
      </c>
      <c r="BW223" s="23" t="e">
        <f t="shared" ref="BW223" si="1929">BV182-BW182</f>
        <v>#DIV/0!</v>
      </c>
      <c r="BX223" s="23" t="e">
        <f t="shared" ref="BX223" si="1930">BW182-BX182</f>
        <v>#DIV/0!</v>
      </c>
      <c r="BY223" s="23" t="e">
        <f t="shared" ref="BY223" si="1931">BX182-BY182</f>
        <v>#DIV/0!</v>
      </c>
      <c r="BZ223" s="23" t="e">
        <f t="shared" ref="BZ223" si="1932">BY182-BZ182</f>
        <v>#DIV/0!</v>
      </c>
      <c r="CA223" s="23" t="e">
        <f t="shared" ref="CA223" si="1933">BZ182-CA182</f>
        <v>#DIV/0!</v>
      </c>
      <c r="CB223" s="23" t="e">
        <f t="shared" ref="CB223" si="1934">CA182-CB182</f>
        <v>#DIV/0!</v>
      </c>
      <c r="CC223" s="23" t="e">
        <f t="shared" ref="CC223" si="1935">CB182-CC182</f>
        <v>#DIV/0!</v>
      </c>
      <c r="CD223" s="23" t="e">
        <f t="shared" ref="CD223" si="1936">CC182-CD182</f>
        <v>#DIV/0!</v>
      </c>
      <c r="CE223" s="23">
        <f t="shared" ref="CE223" si="1937">CD182-CE182</f>
        <v>0</v>
      </c>
      <c r="CF223" s="23">
        <f t="shared" ref="CF223" si="1938">CE182-CF182</f>
        <v>-3830.8999999999996</v>
      </c>
      <c r="CG223" s="23">
        <f t="shared" ref="CG223" si="1939">CF182-CG182</f>
        <v>471.34944198576068</v>
      </c>
      <c r="CH223" s="23">
        <f t="shared" ref="CH223:CJ223" si="1940">CG182-CH182</f>
        <v>-2032.3494419857616</v>
      </c>
      <c r="CI223" s="23">
        <f t="shared" si="1940"/>
        <v>272.24863527533944</v>
      </c>
      <c r="CJ223" s="23">
        <f t="shared" si="1940"/>
        <v>-44.248635275339439</v>
      </c>
      <c r="CK223" s="23">
        <f t="shared" ref="CK223" si="1941">CJ182-CK182</f>
        <v>1434.1889556639071</v>
      </c>
      <c r="CL223" s="23">
        <f t="shared" ref="CL223" si="1942">CK182-CL182</f>
        <v>-1676.0889556639067</v>
      </c>
      <c r="CM223" s="24">
        <f t="shared" ref="CM223" si="1943">CL182-CM182</f>
        <v>179.26579235393547</v>
      </c>
      <c r="CN223" s="24">
        <f t="shared" ref="CN223" si="1944">CM182-CN182</f>
        <v>-2486.096918417833</v>
      </c>
      <c r="CO223" s="24">
        <f t="shared" ref="CO223" si="1945">CN182-CO182</f>
        <v>2125.5402992302115</v>
      </c>
      <c r="CP223" s="24">
        <f t="shared" ref="CP223" si="1946">CO182-CP182</f>
        <v>-1381.2270288035816</v>
      </c>
      <c r="CQ223" s="24">
        <f t="shared" ref="CQ223" si="1947">CP182-CQ182</f>
        <v>1156.3352949224545</v>
      </c>
      <c r="CR223" s="24">
        <f t="shared" ref="CR223" si="1948">CQ182-CR182</f>
        <v>-2684.2021087679686</v>
      </c>
      <c r="CS223" s="24">
        <f t="shared" ref="CS223" si="1949">CR182-CS182</f>
        <v>1840.1837645396854</v>
      </c>
      <c r="CT223" s="24">
        <f t="shared" ref="CT223" si="1950">CS182-CT182</f>
        <v>-1538.1002890668942</v>
      </c>
      <c r="CU223" s="24">
        <f t="shared" ref="CU223" si="1951">CT182-CU182</f>
        <v>1433.8142792095887</v>
      </c>
      <c r="CV223" s="24">
        <f t="shared" ref="CV223" si="1952">CU182-CV182</f>
        <v>-3175.6619256591484</v>
      </c>
      <c r="CW223" s="24">
        <f t="shared" ref="CW223" si="1953">CV182-CW182</f>
        <v>2100.6171997438823</v>
      </c>
      <c r="CX223" s="24">
        <f t="shared" ref="CX223" si="1954">CW182-CX182</f>
        <v>-1760.7592210077628</v>
      </c>
      <c r="CY223" s="24">
        <f t="shared" ref="CY223" si="1955">CX182-CY182</f>
        <v>1684.3702183365876</v>
      </c>
      <c r="CZ223" s="24">
        <f t="shared" ref="CZ223" si="1956">CY182-CZ182</f>
        <v>-3719.85060620082</v>
      </c>
      <c r="DA223" s="24">
        <f t="shared" ref="DA223" si="1957">CZ182-DA182</f>
        <v>2429.3726766205618</v>
      </c>
      <c r="DB223" s="24">
        <f t="shared" ref="DB223" si="1958">DA182-DB182</f>
        <v>-2038.0140954802137</v>
      </c>
      <c r="DC223" s="24">
        <f t="shared" ref="DC223" si="1959">DB182-DC182</f>
        <v>1968.6480369123783</v>
      </c>
      <c r="DD223" s="24">
        <f t="shared" ref="DD223" si="1960">DC182-DD182</f>
        <v>-4346.7975622880367</v>
      </c>
      <c r="DE223" s="123"/>
      <c r="DF223" s="23">
        <v>-1561.0000000000009</v>
      </c>
    </row>
    <row r="224" spans="1:110" s="22" customFormat="1" x14ac:dyDescent="0.2">
      <c r="A224" s="22" t="s">
        <v>90</v>
      </c>
      <c r="C224" s="22">
        <f t="shared" ref="C224:W224" si="1961">C222-C223</f>
        <v>0</v>
      </c>
      <c r="D224" s="22">
        <f t="shared" si="1961"/>
        <v>0</v>
      </c>
      <c r="E224" s="22">
        <f t="shared" si="1961"/>
        <v>0</v>
      </c>
      <c r="F224" s="22">
        <f t="shared" si="1961"/>
        <v>0</v>
      </c>
      <c r="G224" s="22">
        <f t="shared" si="1961"/>
        <v>0</v>
      </c>
      <c r="H224" s="22">
        <f t="shared" si="1961"/>
        <v>0</v>
      </c>
      <c r="I224" s="22">
        <f t="shared" si="1961"/>
        <v>0</v>
      </c>
      <c r="J224" s="22">
        <f>J222-J223</f>
        <v>0</v>
      </c>
      <c r="K224" s="22">
        <f t="shared" si="1961"/>
        <v>0</v>
      </c>
      <c r="L224" s="22">
        <f t="shared" si="1961"/>
        <v>0</v>
      </c>
      <c r="M224" s="22">
        <f t="shared" si="1961"/>
        <v>0</v>
      </c>
      <c r="N224" s="22">
        <f t="shared" si="1961"/>
        <v>0</v>
      </c>
      <c r="O224" s="22">
        <f t="shared" si="1961"/>
        <v>0</v>
      </c>
      <c r="P224" s="22">
        <f t="shared" si="1961"/>
        <v>0</v>
      </c>
      <c r="Q224" s="22">
        <f t="shared" si="1961"/>
        <v>0</v>
      </c>
      <c r="R224" s="22">
        <f t="shared" si="1961"/>
        <v>0</v>
      </c>
      <c r="S224" s="22">
        <f t="shared" si="1961"/>
        <v>0</v>
      </c>
      <c r="T224" s="22">
        <f t="shared" si="1961"/>
        <v>0</v>
      </c>
      <c r="U224" s="22">
        <f t="shared" si="1961"/>
        <v>0</v>
      </c>
      <c r="V224" s="22">
        <f t="shared" si="1961"/>
        <v>0</v>
      </c>
      <c r="W224" s="22">
        <f t="shared" si="1961"/>
        <v>0</v>
      </c>
      <c r="X224" s="22">
        <f t="shared" ref="X224:Y224" si="1962">X222-X223</f>
        <v>0</v>
      </c>
      <c r="Y224" s="22">
        <f t="shared" si="1962"/>
        <v>-2735.4000000000005</v>
      </c>
      <c r="Z224" s="22">
        <f t="shared" ref="Z224" si="1963">Z222-Z223</f>
        <v>2428.1000000000022</v>
      </c>
      <c r="AA224" s="21">
        <f t="shared" ref="AA224:AD224" si="1964">AA222-AA223</f>
        <v>-1002.5024257935129</v>
      </c>
      <c r="AB224" s="21">
        <f t="shared" si="1964"/>
        <v>-107.91291077645474</v>
      </c>
      <c r="AC224" s="21">
        <f t="shared" si="1964"/>
        <v>-198.28784366647051</v>
      </c>
      <c r="AD224" s="21">
        <f t="shared" si="1964"/>
        <v>-233.52526612081056</v>
      </c>
      <c r="AE224" s="21">
        <f t="shared" ref="AE224" si="1965">AE222-AE223</f>
        <v>-273.62570905012763</v>
      </c>
      <c r="AI224" s="22">
        <f t="shared" ref="AI224" si="1966">AI222-AI223</f>
        <v>0</v>
      </c>
      <c r="AJ224" s="22">
        <f t="shared" ref="AJ224:AL224" si="1967">AJ222-AJ223</f>
        <v>0</v>
      </c>
      <c r="AK224" s="22" t="e">
        <f t="shared" si="1967"/>
        <v>#DIV/0!</v>
      </c>
      <c r="AL224" s="22" t="e">
        <f t="shared" si="1967"/>
        <v>#DIV/0!</v>
      </c>
      <c r="AM224" s="22" t="e">
        <f t="shared" ref="AM224" si="1968">AM222-AM223</f>
        <v>#DIV/0!</v>
      </c>
      <c r="AN224" s="22" t="e">
        <f t="shared" ref="AN224:CD224" si="1969">AN222-AN223</f>
        <v>#DIV/0!</v>
      </c>
      <c r="AO224" s="22" t="e">
        <f t="shared" si="1969"/>
        <v>#DIV/0!</v>
      </c>
      <c r="AP224" s="22" t="e">
        <f t="shared" si="1969"/>
        <v>#DIV/0!</v>
      </c>
      <c r="AQ224" s="22" t="e">
        <f t="shared" si="1969"/>
        <v>#DIV/0!</v>
      </c>
      <c r="AR224" s="22" t="e">
        <f t="shared" si="1969"/>
        <v>#DIV/0!</v>
      </c>
      <c r="AS224" s="22" t="e">
        <f t="shared" si="1969"/>
        <v>#DIV/0!</v>
      </c>
      <c r="AT224" s="22" t="e">
        <f t="shared" si="1969"/>
        <v>#DIV/0!</v>
      </c>
      <c r="AU224" s="22" t="e">
        <f t="shared" si="1969"/>
        <v>#DIV/0!</v>
      </c>
      <c r="AV224" s="22" t="e">
        <f t="shared" si="1969"/>
        <v>#DIV/0!</v>
      </c>
      <c r="AW224" s="22" t="e">
        <f t="shared" si="1969"/>
        <v>#DIV/0!</v>
      </c>
      <c r="AX224" s="22" t="e">
        <f t="shared" si="1969"/>
        <v>#DIV/0!</v>
      </c>
      <c r="AY224" s="22" t="e">
        <f t="shared" si="1969"/>
        <v>#DIV/0!</v>
      </c>
      <c r="AZ224" s="22" t="e">
        <f t="shared" si="1969"/>
        <v>#DIV/0!</v>
      </c>
      <c r="BA224" s="22" t="e">
        <f t="shared" si="1969"/>
        <v>#DIV/0!</v>
      </c>
      <c r="BB224" s="22" t="e">
        <f t="shared" si="1969"/>
        <v>#DIV/0!</v>
      </c>
      <c r="BC224" s="22" t="e">
        <f t="shared" si="1969"/>
        <v>#DIV/0!</v>
      </c>
      <c r="BD224" s="22" t="e">
        <f t="shared" si="1969"/>
        <v>#DIV/0!</v>
      </c>
      <c r="BE224" s="22" t="e">
        <f t="shared" si="1969"/>
        <v>#DIV/0!</v>
      </c>
      <c r="BF224" s="22" t="e">
        <f t="shared" si="1969"/>
        <v>#DIV/0!</v>
      </c>
      <c r="BG224" s="22" t="e">
        <f t="shared" si="1969"/>
        <v>#DIV/0!</v>
      </c>
      <c r="BH224" s="22" t="e">
        <f t="shared" si="1969"/>
        <v>#DIV/0!</v>
      </c>
      <c r="BI224" s="22" t="e">
        <f t="shared" si="1969"/>
        <v>#DIV/0!</v>
      </c>
      <c r="BJ224" s="22" t="e">
        <f t="shared" si="1969"/>
        <v>#DIV/0!</v>
      </c>
      <c r="BK224" s="22" t="e">
        <f t="shared" si="1969"/>
        <v>#DIV/0!</v>
      </c>
      <c r="BL224" s="22" t="e">
        <f t="shared" si="1969"/>
        <v>#DIV/0!</v>
      </c>
      <c r="BM224" s="22" t="e">
        <f t="shared" si="1969"/>
        <v>#DIV/0!</v>
      </c>
      <c r="BN224" s="22" t="e">
        <f t="shared" si="1969"/>
        <v>#DIV/0!</v>
      </c>
      <c r="BO224" s="22" t="e">
        <f t="shared" si="1969"/>
        <v>#DIV/0!</v>
      </c>
      <c r="BP224" s="22" t="e">
        <f t="shared" si="1969"/>
        <v>#DIV/0!</v>
      </c>
      <c r="BQ224" s="22" t="e">
        <f t="shared" si="1969"/>
        <v>#DIV/0!</v>
      </c>
      <c r="BR224" s="22" t="e">
        <f t="shared" si="1969"/>
        <v>#DIV/0!</v>
      </c>
      <c r="BS224" s="22" t="e">
        <f t="shared" si="1969"/>
        <v>#DIV/0!</v>
      </c>
      <c r="BT224" s="22" t="e">
        <f t="shared" si="1969"/>
        <v>#DIV/0!</v>
      </c>
      <c r="BU224" s="22" t="e">
        <f t="shared" si="1969"/>
        <v>#DIV/0!</v>
      </c>
      <c r="BV224" s="22" t="e">
        <f t="shared" si="1969"/>
        <v>#DIV/0!</v>
      </c>
      <c r="BW224" s="22" t="e">
        <f t="shared" si="1969"/>
        <v>#DIV/0!</v>
      </c>
      <c r="BX224" s="22" t="e">
        <f t="shared" si="1969"/>
        <v>#DIV/0!</v>
      </c>
      <c r="BY224" s="22" t="e">
        <f t="shared" si="1969"/>
        <v>#DIV/0!</v>
      </c>
      <c r="BZ224" s="22" t="e">
        <f t="shared" si="1969"/>
        <v>#DIV/0!</v>
      </c>
      <c r="CA224" s="22" t="e">
        <f t="shared" si="1969"/>
        <v>#DIV/0!</v>
      </c>
      <c r="CB224" s="22" t="e">
        <f t="shared" si="1969"/>
        <v>#DIV/0!</v>
      </c>
      <c r="CC224" s="22" t="e">
        <f t="shared" si="1969"/>
        <v>#DIV/0!</v>
      </c>
      <c r="CD224" s="22" t="e">
        <f t="shared" si="1969"/>
        <v>#DIV/0!</v>
      </c>
      <c r="CE224" s="22">
        <f t="shared" ref="CE224:CF224" si="1970">CE222-CE223</f>
        <v>0</v>
      </c>
      <c r="CF224" s="22">
        <f t="shared" si="1970"/>
        <v>-2857.5000000000009</v>
      </c>
      <c r="CG224" s="22">
        <f t="shared" ref="CG224:CH224" si="1971">CG222-CG223</f>
        <v>245.24334712334166</v>
      </c>
      <c r="CH224" s="22">
        <f t="shared" si="1971"/>
        <v>2304.9566528766609</v>
      </c>
      <c r="CI224" s="22">
        <f t="shared" ref="CI224:CJ224" si="1972">CI222-CI223</f>
        <v>4.892689545092253</v>
      </c>
      <c r="CJ224" s="22">
        <f t="shared" si="1972"/>
        <v>-136.09268954509298</v>
      </c>
      <c r="CK224" s="22">
        <f t="shared" ref="CK224:DB224" si="1973">CK222-CK223</f>
        <v>63.351052651472401</v>
      </c>
      <c r="CL224" s="22">
        <f t="shared" si="1973"/>
        <v>-616.95105265147276</v>
      </c>
      <c r="CM224" s="21">
        <f t="shared" si="1973"/>
        <v>24.688923453976741</v>
      </c>
      <c r="CN224" s="21">
        <f t="shared" si="1973"/>
        <v>-342.39134924748851</v>
      </c>
      <c r="CO224" s="21">
        <f t="shared" si="1973"/>
        <v>292.73460963722027</v>
      </c>
      <c r="CP224" s="21">
        <f t="shared" si="1973"/>
        <v>-190.22596524922574</v>
      </c>
      <c r="CQ224" s="21">
        <f t="shared" si="1973"/>
        <v>159.25332551514475</v>
      </c>
      <c r="CR224" s="21">
        <f t="shared" si="1973"/>
        <v>-369.67488067959403</v>
      </c>
      <c r="CS224" s="21">
        <f t="shared" si="1973"/>
        <v>253.43460962295921</v>
      </c>
      <c r="CT224" s="21">
        <f t="shared" si="1973"/>
        <v>-211.83093440569519</v>
      </c>
      <c r="CU224" s="21">
        <f t="shared" si="1973"/>
        <v>197.46841001730445</v>
      </c>
      <c r="CV224" s="21">
        <f t="shared" si="1973"/>
        <v>-437.35992890103898</v>
      </c>
      <c r="CW224" s="21">
        <f t="shared" si="1973"/>
        <v>289.30213940754675</v>
      </c>
      <c r="CX224" s="21">
        <f t="shared" si="1973"/>
        <v>-242.49606719454732</v>
      </c>
      <c r="CY224" s="21">
        <f t="shared" si="1973"/>
        <v>231.97558687920173</v>
      </c>
      <c r="CZ224" s="21">
        <f t="shared" si="1973"/>
        <v>-512.30692521301171</v>
      </c>
      <c r="DA224" s="21">
        <f t="shared" si="1973"/>
        <v>334.57914790484392</v>
      </c>
      <c r="DB224" s="21">
        <f t="shared" si="1973"/>
        <v>-280.68028674479865</v>
      </c>
      <c r="DC224" s="21">
        <f t="shared" ref="DC224:DD224" si="1974">DC222-DC223</f>
        <v>271.12702347132108</v>
      </c>
      <c r="DD224" s="21">
        <f t="shared" si="1974"/>
        <v>-598.65159368149398</v>
      </c>
      <c r="DE224" s="126"/>
      <c r="DF224" s="22">
        <v>2428.1000000000022</v>
      </c>
    </row>
    <row r="225" spans="1:110" s="22" customFormat="1" x14ac:dyDescent="0.2">
      <c r="A225" s="22" t="s">
        <v>91</v>
      </c>
      <c r="C225" s="22">
        <f t="shared" ref="C225:W225" si="1975">C221+C224</f>
        <v>0</v>
      </c>
      <c r="D225" s="22">
        <f>D221+D224</f>
        <v>0</v>
      </c>
      <c r="E225" s="22">
        <f t="shared" si="1975"/>
        <v>0</v>
      </c>
      <c r="F225" s="22">
        <f t="shared" si="1975"/>
        <v>0</v>
      </c>
      <c r="G225" s="22">
        <f t="shared" si="1975"/>
        <v>0</v>
      </c>
      <c r="H225" s="22">
        <f t="shared" si="1975"/>
        <v>0</v>
      </c>
      <c r="I225" s="22">
        <f t="shared" si="1975"/>
        <v>0</v>
      </c>
      <c r="J225" s="22">
        <f>J221+J224</f>
        <v>0</v>
      </c>
      <c r="K225" s="22">
        <f t="shared" si="1975"/>
        <v>0</v>
      </c>
      <c r="L225" s="22">
        <f t="shared" si="1975"/>
        <v>0</v>
      </c>
      <c r="M225" s="22">
        <f t="shared" si="1975"/>
        <v>0</v>
      </c>
      <c r="N225" s="22">
        <f t="shared" si="1975"/>
        <v>0</v>
      </c>
      <c r="O225" s="22">
        <f t="shared" si="1975"/>
        <v>0</v>
      </c>
      <c r="P225" s="22">
        <f t="shared" si="1975"/>
        <v>0</v>
      </c>
      <c r="Q225" s="22">
        <f t="shared" si="1975"/>
        <v>0</v>
      </c>
      <c r="R225" s="22">
        <f t="shared" si="1975"/>
        <v>0</v>
      </c>
      <c r="S225" s="22">
        <f t="shared" si="1975"/>
        <v>0</v>
      </c>
      <c r="T225" s="22">
        <f t="shared" si="1975"/>
        <v>0</v>
      </c>
      <c r="U225" s="22">
        <f t="shared" si="1975"/>
        <v>0</v>
      </c>
      <c r="V225" s="22">
        <f t="shared" si="1975"/>
        <v>0</v>
      </c>
      <c r="W225" s="22">
        <f t="shared" si="1975"/>
        <v>0</v>
      </c>
      <c r="X225" s="22">
        <f t="shared" ref="X225:Y225" si="1976">X221+X224</f>
        <v>0</v>
      </c>
      <c r="Y225" s="22">
        <f t="shared" si="1976"/>
        <v>-2089.3999999999996</v>
      </c>
      <c r="Z225" s="22">
        <f t="shared" ref="Z225" si="1977">Z221+Z224</f>
        <v>3631.2000000000021</v>
      </c>
      <c r="AA225" s="21">
        <f t="shared" ref="AA225:AD225" si="1978">AA221+AA224</f>
        <v>654.41986263270837</v>
      </c>
      <c r="AB225" s="21">
        <f t="shared" si="1978"/>
        <v>1997.2427692717297</v>
      </c>
      <c r="AC225" s="21">
        <f t="shared" si="1978"/>
        <v>2394.0643219211656</v>
      </c>
      <c r="AD225" s="21">
        <f t="shared" si="1978"/>
        <v>2848.2492274833039</v>
      </c>
      <c r="AE225" s="21">
        <f t="shared" ref="AE225" si="1979">AE221+AE224</f>
        <v>3352.3721814966789</v>
      </c>
      <c r="AI225" s="22">
        <f t="shared" ref="AI225" si="1980">AI221+AI224</f>
        <v>0</v>
      </c>
      <c r="AJ225" s="22">
        <f t="shared" ref="AJ225:AL225" si="1981">AJ221+AJ224</f>
        <v>0</v>
      </c>
      <c r="AK225" s="22" t="e">
        <f t="shared" si="1981"/>
        <v>#DIV/0!</v>
      </c>
      <c r="AL225" s="22" t="e">
        <f t="shared" si="1981"/>
        <v>#DIV/0!</v>
      </c>
      <c r="AM225" s="22" t="e">
        <f t="shared" ref="AM225" si="1982">AM221+AM224</f>
        <v>#DIV/0!</v>
      </c>
      <c r="AN225" s="22" t="e">
        <f t="shared" ref="AN225:CD225" si="1983">AN221+AN224</f>
        <v>#DIV/0!</v>
      </c>
      <c r="AO225" s="22" t="e">
        <f t="shared" si="1983"/>
        <v>#DIV/0!</v>
      </c>
      <c r="AP225" s="22" t="e">
        <f t="shared" si="1983"/>
        <v>#DIV/0!</v>
      </c>
      <c r="AQ225" s="22" t="e">
        <f t="shared" si="1983"/>
        <v>#DIV/0!</v>
      </c>
      <c r="AR225" s="22" t="e">
        <f t="shared" si="1983"/>
        <v>#DIV/0!</v>
      </c>
      <c r="AS225" s="22" t="e">
        <f t="shared" si="1983"/>
        <v>#DIV/0!</v>
      </c>
      <c r="AT225" s="22" t="e">
        <f t="shared" si="1983"/>
        <v>#DIV/0!</v>
      </c>
      <c r="AU225" s="22" t="e">
        <f t="shared" si="1983"/>
        <v>#DIV/0!</v>
      </c>
      <c r="AV225" s="22" t="e">
        <f t="shared" si="1983"/>
        <v>#DIV/0!</v>
      </c>
      <c r="AW225" s="22" t="e">
        <f t="shared" si="1983"/>
        <v>#DIV/0!</v>
      </c>
      <c r="AX225" s="22" t="e">
        <f t="shared" si="1983"/>
        <v>#DIV/0!</v>
      </c>
      <c r="AY225" s="22" t="e">
        <f t="shared" si="1983"/>
        <v>#DIV/0!</v>
      </c>
      <c r="AZ225" s="22" t="e">
        <f t="shared" si="1983"/>
        <v>#DIV/0!</v>
      </c>
      <c r="BA225" s="22" t="e">
        <f t="shared" si="1983"/>
        <v>#DIV/0!</v>
      </c>
      <c r="BB225" s="22" t="e">
        <f t="shared" si="1983"/>
        <v>#DIV/0!</v>
      </c>
      <c r="BC225" s="22" t="e">
        <f t="shared" si="1983"/>
        <v>#DIV/0!</v>
      </c>
      <c r="BD225" s="22" t="e">
        <f t="shared" si="1983"/>
        <v>#DIV/0!</v>
      </c>
      <c r="BE225" s="22" t="e">
        <f t="shared" si="1983"/>
        <v>#DIV/0!</v>
      </c>
      <c r="BF225" s="22" t="e">
        <f t="shared" si="1983"/>
        <v>#DIV/0!</v>
      </c>
      <c r="BG225" s="22" t="e">
        <f t="shared" si="1983"/>
        <v>#DIV/0!</v>
      </c>
      <c r="BH225" s="22" t="e">
        <f t="shared" si="1983"/>
        <v>#DIV/0!</v>
      </c>
      <c r="BI225" s="22" t="e">
        <f t="shared" si="1983"/>
        <v>#DIV/0!</v>
      </c>
      <c r="BJ225" s="22" t="e">
        <f t="shared" si="1983"/>
        <v>#DIV/0!</v>
      </c>
      <c r="BK225" s="22" t="e">
        <f t="shared" si="1983"/>
        <v>#DIV/0!</v>
      </c>
      <c r="BL225" s="22" t="e">
        <f t="shared" si="1983"/>
        <v>#DIV/0!</v>
      </c>
      <c r="BM225" s="22" t="e">
        <f t="shared" si="1983"/>
        <v>#DIV/0!</v>
      </c>
      <c r="BN225" s="22" t="e">
        <f t="shared" si="1983"/>
        <v>#DIV/0!</v>
      </c>
      <c r="BO225" s="22" t="e">
        <f t="shared" si="1983"/>
        <v>#DIV/0!</v>
      </c>
      <c r="BP225" s="22" t="e">
        <f t="shared" si="1983"/>
        <v>#DIV/0!</v>
      </c>
      <c r="BQ225" s="22" t="e">
        <f t="shared" si="1983"/>
        <v>#DIV/0!</v>
      </c>
      <c r="BR225" s="22" t="e">
        <f t="shared" si="1983"/>
        <v>#DIV/0!</v>
      </c>
      <c r="BS225" s="22" t="e">
        <f t="shared" si="1983"/>
        <v>#DIV/0!</v>
      </c>
      <c r="BT225" s="22" t="e">
        <f t="shared" si="1983"/>
        <v>#DIV/0!</v>
      </c>
      <c r="BU225" s="22" t="e">
        <f t="shared" si="1983"/>
        <v>#DIV/0!</v>
      </c>
      <c r="BV225" s="22" t="e">
        <f t="shared" si="1983"/>
        <v>#DIV/0!</v>
      </c>
      <c r="BW225" s="22" t="e">
        <f t="shared" si="1983"/>
        <v>#DIV/0!</v>
      </c>
      <c r="BX225" s="22" t="e">
        <f t="shared" si="1983"/>
        <v>#DIV/0!</v>
      </c>
      <c r="BY225" s="22" t="e">
        <f t="shared" si="1983"/>
        <v>#DIV/0!</v>
      </c>
      <c r="BZ225" s="22" t="e">
        <f t="shared" si="1983"/>
        <v>#DIV/0!</v>
      </c>
      <c r="CA225" s="22" t="e">
        <f t="shared" si="1983"/>
        <v>#DIV/0!</v>
      </c>
      <c r="CB225" s="22" t="e">
        <f t="shared" si="1983"/>
        <v>#DIV/0!</v>
      </c>
      <c r="CC225" s="22" t="e">
        <f t="shared" si="1983"/>
        <v>#DIV/0!</v>
      </c>
      <c r="CD225" s="22" t="e">
        <f t="shared" si="1983"/>
        <v>#DIV/0!</v>
      </c>
      <c r="CE225" s="22">
        <f t="shared" ref="CE225:CF225" si="1984">CE221+CE224</f>
        <v>161.80000000000007</v>
      </c>
      <c r="CF225" s="22">
        <f t="shared" si="1984"/>
        <v>-2564.7000000000012</v>
      </c>
      <c r="CG225" s="22">
        <f t="shared" ref="CG225:CH225" si="1985">CG221+CG224</f>
        <v>497.64334712334175</v>
      </c>
      <c r="CH225" s="22">
        <f t="shared" si="1985"/>
        <v>2575.356652876661</v>
      </c>
      <c r="CI225" s="22">
        <f t="shared" ref="CI225:CJ225" si="1986">CI221+CI224</f>
        <v>294.19268954509198</v>
      </c>
      <c r="CJ225" s="22">
        <f t="shared" si="1986"/>
        <v>254.90731045490719</v>
      </c>
      <c r="CK225" s="22">
        <f t="shared" ref="CK225:DB225" si="1987">CK221+CK224</f>
        <v>408.55105265147262</v>
      </c>
      <c r="CL225" s="22">
        <f t="shared" si="1987"/>
        <v>-207.65105265147287</v>
      </c>
      <c r="CM225" s="21">
        <f t="shared" si="1987"/>
        <v>395.24288179082782</v>
      </c>
      <c r="CN225" s="21">
        <f t="shared" si="1987"/>
        <v>189.47698084188153</v>
      </c>
      <c r="CO225" s="21">
        <f t="shared" si="1987"/>
        <v>740.43711233641739</v>
      </c>
      <c r="CP225" s="21">
        <f t="shared" si="1987"/>
        <v>345.51960028911242</v>
      </c>
      <c r="CQ225" s="21">
        <f t="shared" si="1987"/>
        <v>622.27113404928195</v>
      </c>
      <c r="CR225" s="21">
        <f t="shared" si="1987"/>
        <v>289.0149225969177</v>
      </c>
      <c r="CS225" s="21">
        <f t="shared" si="1987"/>
        <v>802.45519952100267</v>
      </c>
      <c r="CT225" s="21">
        <f t="shared" si="1987"/>
        <v>449.25923733859611</v>
      </c>
      <c r="CU225" s="21">
        <f t="shared" si="1987"/>
        <v>773.3010816845956</v>
      </c>
      <c r="CV225" s="21">
        <f t="shared" si="1987"/>
        <v>369.04880337697307</v>
      </c>
      <c r="CW225" s="21">
        <f t="shared" si="1987"/>
        <v>952.44028311908869</v>
      </c>
      <c r="CX225" s="21">
        <f t="shared" si="1987"/>
        <v>548.30659999529723</v>
      </c>
      <c r="CY225" s="21">
        <f t="shared" si="1987"/>
        <v>915.45358483117718</v>
      </c>
      <c r="CZ225" s="21">
        <f t="shared" si="1987"/>
        <v>432.04875953774172</v>
      </c>
      <c r="DA225" s="21">
        <f t="shared" si="1987"/>
        <v>1120.2514516790834</v>
      </c>
      <c r="DB225" s="21">
        <f t="shared" si="1987"/>
        <v>650.59676403607</v>
      </c>
      <c r="DC225" s="21">
        <f t="shared" ref="DC225:DD225" si="1988">DC221+DC224</f>
        <v>1074.0724500575088</v>
      </c>
      <c r="DD225" s="21">
        <f t="shared" si="1988"/>
        <v>507.45151572401664</v>
      </c>
      <c r="DE225" s="126"/>
      <c r="DF225" s="22">
        <v>3631.2000000000021</v>
      </c>
    </row>
    <row r="226" spans="1:110" s="23" customFormat="1" x14ac:dyDescent="0.2">
      <c r="AA226" s="24"/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123"/>
    </row>
    <row r="227" spans="1:110" s="22" customFormat="1" x14ac:dyDescent="0.2">
      <c r="A227" s="22" t="s">
        <v>92</v>
      </c>
      <c r="C227" s="22">
        <f t="shared" ref="C227:W227" si="1989">C228+C229</f>
        <v>0</v>
      </c>
      <c r="D227" s="22">
        <f>D228+D229</f>
        <v>0</v>
      </c>
      <c r="E227" s="22">
        <f t="shared" si="1989"/>
        <v>0</v>
      </c>
      <c r="F227" s="22">
        <f t="shared" si="1989"/>
        <v>0</v>
      </c>
      <c r="G227" s="22">
        <f t="shared" si="1989"/>
        <v>0</v>
      </c>
      <c r="H227" s="22">
        <f t="shared" si="1989"/>
        <v>0</v>
      </c>
      <c r="I227" s="22">
        <f t="shared" si="1989"/>
        <v>0</v>
      </c>
      <c r="J227" s="22">
        <f t="shared" si="1989"/>
        <v>0</v>
      </c>
      <c r="K227" s="22">
        <f t="shared" si="1989"/>
        <v>0</v>
      </c>
      <c r="L227" s="22">
        <f t="shared" si="1989"/>
        <v>0</v>
      </c>
      <c r="M227" s="22">
        <f t="shared" si="1989"/>
        <v>0</v>
      </c>
      <c r="N227" s="22">
        <f t="shared" si="1989"/>
        <v>0</v>
      </c>
      <c r="O227" s="22">
        <f t="shared" si="1989"/>
        <v>0</v>
      </c>
      <c r="P227" s="22">
        <f t="shared" si="1989"/>
        <v>0</v>
      </c>
      <c r="Q227" s="22">
        <f t="shared" si="1989"/>
        <v>0</v>
      </c>
      <c r="R227" s="22">
        <f t="shared" si="1989"/>
        <v>0</v>
      </c>
      <c r="S227" s="22">
        <f t="shared" si="1989"/>
        <v>0</v>
      </c>
      <c r="T227" s="22">
        <f t="shared" si="1989"/>
        <v>0</v>
      </c>
      <c r="U227" s="22">
        <f t="shared" si="1989"/>
        <v>0</v>
      </c>
      <c r="V227" s="22">
        <f t="shared" si="1989"/>
        <v>0</v>
      </c>
      <c r="W227" s="22">
        <f t="shared" si="1989"/>
        <v>0</v>
      </c>
      <c r="X227" s="22">
        <f t="shared" ref="X227:Y227" si="1990">X228+X229</f>
        <v>0</v>
      </c>
      <c r="Y227" s="22">
        <f t="shared" si="1990"/>
        <v>-527.40000000000009</v>
      </c>
      <c r="Z227" s="22">
        <f t="shared" ref="Z227" si="1991">Z228+Z229</f>
        <v>-233.59999999999985</v>
      </c>
      <c r="AA227" s="21">
        <f t="shared" ref="AA227:AD227" si="1992">AA228+AA229</f>
        <v>-179.70000000000016</v>
      </c>
      <c r="AB227" s="21">
        <f t="shared" si="1992"/>
        <v>-512</v>
      </c>
      <c r="AC227" s="21">
        <f t="shared" si="1992"/>
        <v>-511.99999999999977</v>
      </c>
      <c r="AD227" s="21">
        <f t="shared" si="1992"/>
        <v>-511.99999999999989</v>
      </c>
      <c r="AE227" s="21">
        <f t="shared" ref="AE227" si="1993">AE228+AE229</f>
        <v>-512</v>
      </c>
      <c r="AI227" s="22">
        <f t="shared" ref="AI227" si="1994">AI228+AI229</f>
        <v>0</v>
      </c>
      <c r="AJ227" s="22">
        <f t="shared" ref="AJ227:AL227" si="1995">AJ228+AJ229</f>
        <v>0</v>
      </c>
      <c r="AK227" s="22">
        <f t="shared" si="1995"/>
        <v>0</v>
      </c>
      <c r="AL227" s="22">
        <f t="shared" si="1995"/>
        <v>0</v>
      </c>
      <c r="AM227" s="22">
        <f t="shared" ref="AM227" si="1996">AM228+AM229</f>
        <v>0</v>
      </c>
      <c r="AN227" s="22">
        <f t="shared" ref="AN227:CD227" si="1997">AN228+AN229</f>
        <v>0</v>
      </c>
      <c r="AO227" s="22">
        <f t="shared" si="1997"/>
        <v>0</v>
      </c>
      <c r="AP227" s="22">
        <f t="shared" si="1997"/>
        <v>0</v>
      </c>
      <c r="AQ227" s="22">
        <f t="shared" si="1997"/>
        <v>0</v>
      </c>
      <c r="AR227" s="22">
        <f t="shared" si="1997"/>
        <v>0</v>
      </c>
      <c r="AS227" s="22">
        <f t="shared" si="1997"/>
        <v>0</v>
      </c>
      <c r="AT227" s="22">
        <f t="shared" si="1997"/>
        <v>0</v>
      </c>
      <c r="AU227" s="22">
        <f t="shared" si="1997"/>
        <v>0</v>
      </c>
      <c r="AV227" s="22">
        <f t="shared" si="1997"/>
        <v>0</v>
      </c>
      <c r="AW227" s="22">
        <f t="shared" si="1997"/>
        <v>0</v>
      </c>
      <c r="AX227" s="22">
        <f t="shared" si="1997"/>
        <v>0</v>
      </c>
      <c r="AY227" s="22">
        <f t="shared" si="1997"/>
        <v>0</v>
      </c>
      <c r="AZ227" s="22">
        <f t="shared" si="1997"/>
        <v>0</v>
      </c>
      <c r="BA227" s="22">
        <f t="shared" si="1997"/>
        <v>0</v>
      </c>
      <c r="BB227" s="22">
        <f t="shared" si="1997"/>
        <v>0</v>
      </c>
      <c r="BC227" s="22">
        <f t="shared" si="1997"/>
        <v>0</v>
      </c>
      <c r="BD227" s="22">
        <f t="shared" si="1997"/>
        <v>0</v>
      </c>
      <c r="BE227" s="22">
        <f t="shared" si="1997"/>
        <v>0</v>
      </c>
      <c r="BF227" s="22">
        <f t="shared" si="1997"/>
        <v>0</v>
      </c>
      <c r="BG227" s="22">
        <f t="shared" si="1997"/>
        <v>0</v>
      </c>
      <c r="BH227" s="22">
        <f t="shared" si="1997"/>
        <v>0</v>
      </c>
      <c r="BI227" s="22">
        <f t="shared" si="1997"/>
        <v>0</v>
      </c>
      <c r="BJ227" s="22">
        <f t="shared" si="1997"/>
        <v>0</v>
      </c>
      <c r="BK227" s="22">
        <f t="shared" si="1997"/>
        <v>0</v>
      </c>
      <c r="BL227" s="22">
        <f t="shared" si="1997"/>
        <v>0</v>
      </c>
      <c r="BM227" s="22">
        <f t="shared" si="1997"/>
        <v>0</v>
      </c>
      <c r="BN227" s="22">
        <f t="shared" si="1997"/>
        <v>0</v>
      </c>
      <c r="BO227" s="22">
        <f t="shared" si="1997"/>
        <v>0</v>
      </c>
      <c r="BP227" s="22">
        <f t="shared" si="1997"/>
        <v>0</v>
      </c>
      <c r="BQ227" s="22">
        <f t="shared" si="1997"/>
        <v>0</v>
      </c>
      <c r="BR227" s="22">
        <f t="shared" si="1997"/>
        <v>0</v>
      </c>
      <c r="BS227" s="22">
        <f t="shared" si="1997"/>
        <v>0</v>
      </c>
      <c r="BT227" s="22">
        <f t="shared" si="1997"/>
        <v>0</v>
      </c>
      <c r="BU227" s="22">
        <f t="shared" si="1997"/>
        <v>0</v>
      </c>
      <c r="BV227" s="22">
        <f t="shared" si="1997"/>
        <v>0</v>
      </c>
      <c r="BW227" s="22">
        <f t="shared" si="1997"/>
        <v>0</v>
      </c>
      <c r="BX227" s="22">
        <f t="shared" si="1997"/>
        <v>0</v>
      </c>
      <c r="BY227" s="22">
        <f t="shared" si="1997"/>
        <v>0</v>
      </c>
      <c r="BZ227" s="22">
        <f t="shared" si="1997"/>
        <v>0</v>
      </c>
      <c r="CA227" s="22">
        <f t="shared" si="1997"/>
        <v>0</v>
      </c>
      <c r="CB227" s="22">
        <f t="shared" si="1997"/>
        <v>0</v>
      </c>
      <c r="CC227" s="22">
        <f t="shared" si="1997"/>
        <v>0</v>
      </c>
      <c r="CD227" s="22">
        <f t="shared" si="1997"/>
        <v>-10.3</v>
      </c>
      <c r="CE227" s="22">
        <f t="shared" ref="CE227:CF227" si="1998">CE228+CE229</f>
        <v>-16</v>
      </c>
      <c r="CF227" s="22">
        <f t="shared" si="1998"/>
        <v>-378.40000000000003</v>
      </c>
      <c r="CG227" s="22">
        <f t="shared" ref="CG227:CH227" si="1999">CG228+CG229</f>
        <v>-20.699999999999989</v>
      </c>
      <c r="CH227" s="22">
        <f t="shared" si="1999"/>
        <v>-276.99999999999989</v>
      </c>
      <c r="CI227" s="22">
        <f t="shared" ref="CI227:CJ227" si="2000">CI228+CI229</f>
        <v>0</v>
      </c>
      <c r="CJ227" s="22">
        <f t="shared" si="2000"/>
        <v>73.199999999999932</v>
      </c>
      <c r="CK227" s="22">
        <f t="shared" ref="CK227:DB227" si="2001">CK228+CK229</f>
        <v>-99.999999999999943</v>
      </c>
      <c r="CL227" s="22">
        <f t="shared" si="2001"/>
        <v>-10.900000000000205</v>
      </c>
      <c r="CM227" s="21">
        <f t="shared" si="2001"/>
        <v>-100</v>
      </c>
      <c r="CN227" s="21">
        <f t="shared" si="2001"/>
        <v>-100</v>
      </c>
      <c r="CO227" s="21">
        <f t="shared" si="2001"/>
        <v>-128</v>
      </c>
      <c r="CP227" s="21">
        <f t="shared" si="2001"/>
        <v>-128</v>
      </c>
      <c r="CQ227" s="21">
        <f t="shared" si="2001"/>
        <v>-128</v>
      </c>
      <c r="CR227" s="21">
        <f t="shared" si="2001"/>
        <v>-128</v>
      </c>
      <c r="CS227" s="21">
        <f t="shared" si="2001"/>
        <v>-128</v>
      </c>
      <c r="CT227" s="21">
        <f t="shared" si="2001"/>
        <v>-127.99999999999977</v>
      </c>
      <c r="CU227" s="21">
        <f t="shared" si="2001"/>
        <v>-128.00000000000011</v>
      </c>
      <c r="CV227" s="21">
        <f t="shared" si="2001"/>
        <v>-127.99999999999977</v>
      </c>
      <c r="CW227" s="21">
        <f t="shared" si="2001"/>
        <v>-128</v>
      </c>
      <c r="CX227" s="21">
        <f t="shared" si="2001"/>
        <v>-128</v>
      </c>
      <c r="CY227" s="21">
        <f t="shared" si="2001"/>
        <v>-128</v>
      </c>
      <c r="CZ227" s="21">
        <f t="shared" si="2001"/>
        <v>-128</v>
      </c>
      <c r="DA227" s="21">
        <f t="shared" si="2001"/>
        <v>-128</v>
      </c>
      <c r="DB227" s="21">
        <f t="shared" si="2001"/>
        <v>-128</v>
      </c>
      <c r="DC227" s="21">
        <f t="shared" ref="DC227:DD227" si="2002">DC228+DC229</f>
        <v>-128</v>
      </c>
      <c r="DD227" s="21">
        <f t="shared" si="2002"/>
        <v>-128</v>
      </c>
      <c r="DE227" s="126"/>
      <c r="DF227" s="22">
        <v>-233.59999999999985</v>
      </c>
    </row>
    <row r="228" spans="1:110" s="23" customFormat="1" x14ac:dyDescent="0.2">
      <c r="A228" s="23" t="s">
        <v>93</v>
      </c>
      <c r="C228" s="23">
        <f t="shared" ref="C228:AA228" si="2003">B166-C166</f>
        <v>0</v>
      </c>
      <c r="D228" s="23">
        <f t="shared" si="2003"/>
        <v>0</v>
      </c>
      <c r="E228" s="23">
        <f>D166-E166</f>
        <v>0</v>
      </c>
      <c r="F228" s="23">
        <f t="shared" si="2003"/>
        <v>0</v>
      </c>
      <c r="G228" s="23">
        <f t="shared" si="2003"/>
        <v>0</v>
      </c>
      <c r="H228" s="23">
        <f t="shared" si="2003"/>
        <v>0</v>
      </c>
      <c r="I228" s="23">
        <f t="shared" si="2003"/>
        <v>0</v>
      </c>
      <c r="J228" s="23">
        <f>I166-J166</f>
        <v>0</v>
      </c>
      <c r="K228" s="23">
        <f>J166-K166</f>
        <v>0</v>
      </c>
      <c r="L228" s="23">
        <f t="shared" si="2003"/>
        <v>0</v>
      </c>
      <c r="M228" s="23">
        <f t="shared" si="2003"/>
        <v>0</v>
      </c>
      <c r="N228" s="23">
        <f t="shared" si="2003"/>
        <v>0</v>
      </c>
      <c r="O228" s="23">
        <f t="shared" si="2003"/>
        <v>0</v>
      </c>
      <c r="P228" s="23">
        <f t="shared" si="2003"/>
        <v>0</v>
      </c>
      <c r="Q228" s="23">
        <f t="shared" si="2003"/>
        <v>0</v>
      </c>
      <c r="R228" s="23">
        <f t="shared" si="2003"/>
        <v>0</v>
      </c>
      <c r="S228" s="23">
        <f t="shared" si="2003"/>
        <v>0</v>
      </c>
      <c r="T228" s="23">
        <f t="shared" si="2003"/>
        <v>0</v>
      </c>
      <c r="U228" s="23">
        <f t="shared" si="2003"/>
        <v>0</v>
      </c>
      <c r="V228" s="23">
        <f t="shared" si="2003"/>
        <v>0</v>
      </c>
      <c r="W228" s="23">
        <f t="shared" si="2003"/>
        <v>0</v>
      </c>
      <c r="X228" s="23">
        <f t="shared" si="2003"/>
        <v>0</v>
      </c>
      <c r="Y228" s="23">
        <f t="shared" si="2003"/>
        <v>0</v>
      </c>
      <c r="Z228" s="23">
        <f t="shared" si="2003"/>
        <v>0</v>
      </c>
      <c r="AA228" s="24">
        <f t="shared" si="2003"/>
        <v>0</v>
      </c>
      <c r="AB228" s="24">
        <f t="shared" ref="AB228" si="2004">AA166-AB166</f>
        <v>0</v>
      </c>
      <c r="AC228" s="24">
        <f t="shared" ref="AC228" si="2005">AB166-AC166</f>
        <v>0</v>
      </c>
      <c r="AD228" s="24">
        <f t="shared" ref="AD228" si="2006">AC166-AD166</f>
        <v>0</v>
      </c>
      <c r="AE228" s="24">
        <f t="shared" ref="AE228" si="2007">AD166-AE166</f>
        <v>0</v>
      </c>
      <c r="AI228" s="23">
        <f t="shared" ref="AI228" si="2008">AH166-AI166</f>
        <v>0</v>
      </c>
      <c r="AJ228" s="23">
        <f t="shared" ref="AJ228" si="2009">AI166-AJ166</f>
        <v>0</v>
      </c>
      <c r="AK228" s="23">
        <f t="shared" ref="AK228" si="2010">AJ166-AK166</f>
        <v>0</v>
      </c>
      <c r="AL228" s="23">
        <f t="shared" ref="AL228" si="2011">AK166-AL166</f>
        <v>0</v>
      </c>
      <c r="AM228" s="23">
        <f t="shared" ref="AM228" si="2012">AL166-AM166</f>
        <v>0</v>
      </c>
      <c r="AN228" s="23">
        <f t="shared" ref="AN228" si="2013">AM166-AN166</f>
        <v>0</v>
      </c>
      <c r="AO228" s="23">
        <f t="shared" ref="AO228" si="2014">AN166-AO166</f>
        <v>0</v>
      </c>
      <c r="AP228" s="23">
        <f t="shared" ref="AP228" si="2015">AO166-AP166</f>
        <v>0</v>
      </c>
      <c r="AQ228" s="23">
        <f t="shared" ref="AQ228" si="2016">AP166-AQ166</f>
        <v>0</v>
      </c>
      <c r="AR228" s="23">
        <f t="shared" ref="AR228" si="2017">AQ166-AR166</f>
        <v>0</v>
      </c>
      <c r="AS228" s="23">
        <f t="shared" ref="AS228" si="2018">AR166-AS166</f>
        <v>0</v>
      </c>
      <c r="AT228" s="23">
        <f t="shared" ref="AT228" si="2019">AS166-AT166</f>
        <v>0</v>
      </c>
      <c r="AU228" s="23">
        <f t="shared" ref="AU228" si="2020">AT166-AU166</f>
        <v>0</v>
      </c>
      <c r="AV228" s="23">
        <f t="shared" ref="AV228" si="2021">AU166-AV166</f>
        <v>0</v>
      </c>
      <c r="AW228" s="23">
        <f t="shared" ref="AW228" si="2022">AV166-AW166</f>
        <v>0</v>
      </c>
      <c r="AX228" s="23">
        <f t="shared" ref="AX228" si="2023">AW166-AX166</f>
        <v>0</v>
      </c>
      <c r="AY228" s="23">
        <f t="shared" ref="AY228" si="2024">AX166-AY166</f>
        <v>0</v>
      </c>
      <c r="AZ228" s="23">
        <f t="shared" ref="AZ228" si="2025">AY166-AZ166</f>
        <v>0</v>
      </c>
      <c r="BA228" s="23">
        <f t="shared" ref="BA228" si="2026">AZ166-BA166</f>
        <v>0</v>
      </c>
      <c r="BB228" s="23">
        <f t="shared" ref="BB228" si="2027">BA166-BB166</f>
        <v>0</v>
      </c>
      <c r="BC228" s="23">
        <f t="shared" ref="BC228" si="2028">BB166-BC166</f>
        <v>0</v>
      </c>
      <c r="BD228" s="23">
        <f t="shared" ref="BD228" si="2029">BC166-BD166</f>
        <v>0</v>
      </c>
      <c r="BE228" s="23">
        <f t="shared" ref="BE228" si="2030">BD166-BE166</f>
        <v>0</v>
      </c>
      <c r="BF228" s="23">
        <f t="shared" ref="BF228" si="2031">BE166-BF166</f>
        <v>0</v>
      </c>
      <c r="BG228" s="23">
        <f t="shared" ref="BG228" si="2032">BF166-BG166</f>
        <v>0</v>
      </c>
      <c r="BH228" s="23">
        <f t="shared" ref="BH228" si="2033">BG166-BH166</f>
        <v>0</v>
      </c>
      <c r="BI228" s="23">
        <f t="shared" ref="BI228" si="2034">BH166-BI166</f>
        <v>0</v>
      </c>
      <c r="BJ228" s="23">
        <f t="shared" ref="BJ228" si="2035">BI166-BJ166</f>
        <v>0</v>
      </c>
      <c r="BK228" s="23">
        <f t="shared" ref="BK228" si="2036">BJ166-BK166</f>
        <v>0</v>
      </c>
      <c r="BL228" s="23">
        <f t="shared" ref="BL228" si="2037">BK166-BL166</f>
        <v>0</v>
      </c>
      <c r="BM228" s="23">
        <f t="shared" ref="BM228" si="2038">BL166-BM166</f>
        <v>0</v>
      </c>
      <c r="BN228" s="23">
        <f t="shared" ref="BN228" si="2039">BM166-BN166</f>
        <v>0</v>
      </c>
      <c r="BO228" s="23">
        <f t="shared" ref="BO228" si="2040">BN166-BO166</f>
        <v>0</v>
      </c>
      <c r="BP228" s="23">
        <f t="shared" ref="BP228" si="2041">BO166-BP166</f>
        <v>0</v>
      </c>
      <c r="BQ228" s="23">
        <f t="shared" ref="BQ228" si="2042">BP166-BQ166</f>
        <v>0</v>
      </c>
      <c r="BR228" s="23">
        <f t="shared" ref="BR228" si="2043">BQ166-BR166</f>
        <v>0</v>
      </c>
      <c r="BS228" s="23">
        <f t="shared" ref="BS228" si="2044">BR166-BS166</f>
        <v>0</v>
      </c>
      <c r="BT228" s="23">
        <f t="shared" ref="BT228" si="2045">BS166-BT166</f>
        <v>0</v>
      </c>
      <c r="BU228" s="23">
        <f t="shared" ref="BU228" si="2046">BT166-BU166</f>
        <v>0</v>
      </c>
      <c r="BV228" s="23">
        <f t="shared" ref="BV228" si="2047">BU166-BV166</f>
        <v>0</v>
      </c>
      <c r="BW228" s="23">
        <f t="shared" ref="BW228" si="2048">BV166-BW166</f>
        <v>0</v>
      </c>
      <c r="BX228" s="23">
        <f t="shared" ref="BX228" si="2049">BW166-BX166</f>
        <v>0</v>
      </c>
      <c r="BY228" s="23">
        <f t="shared" ref="BY228" si="2050">BX166-BY166</f>
        <v>0</v>
      </c>
      <c r="BZ228" s="23">
        <f t="shared" ref="BZ228" si="2051">BY166-BZ166</f>
        <v>0</v>
      </c>
      <c r="CA228" s="23">
        <f t="shared" ref="CA228" si="2052">BZ166-CA166</f>
        <v>0</v>
      </c>
      <c r="CB228" s="23">
        <f t="shared" ref="CB228" si="2053">CA166-CB166</f>
        <v>0</v>
      </c>
      <c r="CC228" s="23">
        <f t="shared" ref="CC228" si="2054">CB166-CC166</f>
        <v>0</v>
      </c>
      <c r="CD228" s="23">
        <f t="shared" ref="CD228" si="2055">CC166-CD166</f>
        <v>0</v>
      </c>
      <c r="CE228" s="23">
        <f t="shared" ref="CE228" si="2056">CD166-CE166</f>
        <v>0</v>
      </c>
      <c r="CF228" s="23">
        <f t="shared" ref="CF228" si="2057">CE166-CF166</f>
        <v>0</v>
      </c>
      <c r="CG228" s="23">
        <f t="shared" ref="CG228" si="2058">CF166-CG166</f>
        <v>0</v>
      </c>
      <c r="CH228" s="23">
        <f t="shared" ref="CH228:CJ228" si="2059">CG166-CH166</f>
        <v>0</v>
      </c>
      <c r="CI228" s="23">
        <f t="shared" si="2059"/>
        <v>0</v>
      </c>
      <c r="CJ228" s="23">
        <f t="shared" si="2059"/>
        <v>0</v>
      </c>
      <c r="CK228" s="23">
        <f t="shared" ref="CK228" si="2060">CJ166-CK166</f>
        <v>0</v>
      </c>
      <c r="CL228" s="23">
        <f t="shared" ref="CL228" si="2061">CK166-CL166</f>
        <v>0</v>
      </c>
      <c r="CM228" s="24">
        <f t="shared" ref="CM228" si="2062">CL166-CM166</f>
        <v>0</v>
      </c>
      <c r="CN228" s="24">
        <f t="shared" ref="CN228" si="2063">CM166-CN166</f>
        <v>0</v>
      </c>
      <c r="CO228" s="24">
        <f t="shared" ref="CO228" si="2064">CN166-CO166</f>
        <v>0</v>
      </c>
      <c r="CP228" s="24">
        <f t="shared" ref="CP228" si="2065">CO166-CP166</f>
        <v>0</v>
      </c>
      <c r="CQ228" s="24">
        <f t="shared" ref="CQ228" si="2066">CP166-CQ166</f>
        <v>0</v>
      </c>
      <c r="CR228" s="24">
        <f t="shared" ref="CR228" si="2067">CQ166-CR166</f>
        <v>0</v>
      </c>
      <c r="CS228" s="24">
        <f t="shared" ref="CS228" si="2068">CR166-CS166</f>
        <v>0</v>
      </c>
      <c r="CT228" s="24">
        <f t="shared" ref="CT228" si="2069">CS166-CT166</f>
        <v>0</v>
      </c>
      <c r="CU228" s="24">
        <f t="shared" ref="CU228" si="2070">CT166-CU166</f>
        <v>0</v>
      </c>
      <c r="CV228" s="24">
        <f t="shared" ref="CV228" si="2071">CU166-CV166</f>
        <v>0</v>
      </c>
      <c r="CW228" s="24">
        <f t="shared" ref="CW228" si="2072">CV166-CW166</f>
        <v>0</v>
      </c>
      <c r="CX228" s="24">
        <f t="shared" ref="CX228" si="2073">CW166-CX166</f>
        <v>0</v>
      </c>
      <c r="CY228" s="24">
        <f t="shared" ref="CY228" si="2074">CX166-CY166</f>
        <v>0</v>
      </c>
      <c r="CZ228" s="24">
        <f t="shared" ref="CZ228" si="2075">CY166-CZ166</f>
        <v>0</v>
      </c>
      <c r="DA228" s="24">
        <f t="shared" ref="DA228" si="2076">CZ166-DA166</f>
        <v>0</v>
      </c>
      <c r="DB228" s="24">
        <f t="shared" ref="DB228" si="2077">DA166-DB166</f>
        <v>0</v>
      </c>
      <c r="DC228" s="24">
        <f t="shared" ref="DC228" si="2078">DB166-DC166</f>
        <v>0</v>
      </c>
      <c r="DD228" s="24">
        <f t="shared" ref="DD228" si="2079">DC166-DD166</f>
        <v>0</v>
      </c>
      <c r="DE228" s="123"/>
      <c r="DF228" s="23">
        <v>0</v>
      </c>
    </row>
    <row r="229" spans="1:110" s="23" customFormat="1" x14ac:dyDescent="0.2">
      <c r="A229" s="23" t="s">
        <v>94</v>
      </c>
      <c r="C229" s="23">
        <f t="shared" ref="C229:AE229" si="2080">B164-C58-C164</f>
        <v>0</v>
      </c>
      <c r="D229" s="23">
        <f t="shared" si="2080"/>
        <v>0</v>
      </c>
      <c r="E229" s="23">
        <f t="shared" si="2080"/>
        <v>0</v>
      </c>
      <c r="F229" s="23">
        <f t="shared" si="2080"/>
        <v>0</v>
      </c>
      <c r="G229" s="23">
        <f t="shared" si="2080"/>
        <v>0</v>
      </c>
      <c r="H229" s="23">
        <f t="shared" si="2080"/>
        <v>0</v>
      </c>
      <c r="I229" s="23">
        <f t="shared" si="2080"/>
        <v>0</v>
      </c>
      <c r="J229" s="23">
        <f t="shared" si="2080"/>
        <v>0</v>
      </c>
      <c r="K229" s="23">
        <f t="shared" si="2080"/>
        <v>0</v>
      </c>
      <c r="L229" s="23">
        <f t="shared" si="2080"/>
        <v>0</v>
      </c>
      <c r="M229" s="23">
        <f t="shared" si="2080"/>
        <v>0</v>
      </c>
      <c r="N229" s="23">
        <f t="shared" si="2080"/>
        <v>0</v>
      </c>
      <c r="O229" s="23">
        <f t="shared" si="2080"/>
        <v>0</v>
      </c>
      <c r="P229" s="23">
        <f t="shared" si="2080"/>
        <v>0</v>
      </c>
      <c r="Q229" s="23">
        <f t="shared" si="2080"/>
        <v>0</v>
      </c>
      <c r="R229" s="23">
        <f t="shared" si="2080"/>
        <v>0</v>
      </c>
      <c r="S229" s="23">
        <f t="shared" si="2080"/>
        <v>0</v>
      </c>
      <c r="T229" s="23">
        <f t="shared" si="2080"/>
        <v>0</v>
      </c>
      <c r="U229" s="23">
        <f t="shared" si="2080"/>
        <v>0</v>
      </c>
      <c r="V229" s="23">
        <f t="shared" si="2080"/>
        <v>0</v>
      </c>
      <c r="W229" s="23">
        <f t="shared" si="2080"/>
        <v>0</v>
      </c>
      <c r="X229" s="23">
        <f t="shared" si="2080"/>
        <v>0</v>
      </c>
      <c r="Y229" s="23">
        <f t="shared" si="2080"/>
        <v>-527.40000000000009</v>
      </c>
      <c r="Z229" s="23">
        <f t="shared" si="2080"/>
        <v>-233.59999999999985</v>
      </c>
      <c r="AA229" s="24">
        <f t="shared" si="2080"/>
        <v>-179.70000000000016</v>
      </c>
      <c r="AB229" s="24">
        <f t="shared" si="2080"/>
        <v>-512</v>
      </c>
      <c r="AC229" s="24">
        <f t="shared" si="2080"/>
        <v>-511.99999999999977</v>
      </c>
      <c r="AD229" s="24">
        <f t="shared" si="2080"/>
        <v>-511.99999999999989</v>
      </c>
      <c r="AE229" s="24">
        <f t="shared" si="2080"/>
        <v>-512</v>
      </c>
      <c r="AI229" s="23">
        <f t="shared" ref="AI229:BN229" si="2081">AH164-AI58-AI164</f>
        <v>0</v>
      </c>
      <c r="AJ229" s="23">
        <f t="shared" si="2081"/>
        <v>0</v>
      </c>
      <c r="AK229" s="23">
        <f t="shared" si="2081"/>
        <v>0</v>
      </c>
      <c r="AL229" s="23">
        <f t="shared" si="2081"/>
        <v>0</v>
      </c>
      <c r="AM229" s="23">
        <f t="shared" si="2081"/>
        <v>0</v>
      </c>
      <c r="AN229" s="23">
        <f t="shared" si="2081"/>
        <v>0</v>
      </c>
      <c r="AO229" s="23">
        <f t="shared" si="2081"/>
        <v>0</v>
      </c>
      <c r="AP229" s="23">
        <f t="shared" si="2081"/>
        <v>0</v>
      </c>
      <c r="AQ229" s="23">
        <f t="shared" si="2081"/>
        <v>0</v>
      </c>
      <c r="AR229" s="23">
        <f t="shared" si="2081"/>
        <v>0</v>
      </c>
      <c r="AS229" s="23">
        <f t="shared" si="2081"/>
        <v>0</v>
      </c>
      <c r="AT229" s="23">
        <f t="shared" si="2081"/>
        <v>0</v>
      </c>
      <c r="AU229" s="23">
        <f t="shared" si="2081"/>
        <v>0</v>
      </c>
      <c r="AV229" s="23">
        <f t="shared" si="2081"/>
        <v>0</v>
      </c>
      <c r="AW229" s="23">
        <f t="shared" si="2081"/>
        <v>0</v>
      </c>
      <c r="AX229" s="23">
        <f t="shared" si="2081"/>
        <v>0</v>
      </c>
      <c r="AY229" s="23">
        <f t="shared" si="2081"/>
        <v>0</v>
      </c>
      <c r="AZ229" s="23">
        <f t="shared" si="2081"/>
        <v>0</v>
      </c>
      <c r="BA229" s="23">
        <f t="shared" si="2081"/>
        <v>0</v>
      </c>
      <c r="BB229" s="23">
        <f t="shared" si="2081"/>
        <v>0</v>
      </c>
      <c r="BC229" s="23">
        <f t="shared" si="2081"/>
        <v>0</v>
      </c>
      <c r="BD229" s="23">
        <f t="shared" si="2081"/>
        <v>0</v>
      </c>
      <c r="BE229" s="23">
        <f t="shared" si="2081"/>
        <v>0</v>
      </c>
      <c r="BF229" s="23">
        <f t="shared" si="2081"/>
        <v>0</v>
      </c>
      <c r="BG229" s="23">
        <f t="shared" si="2081"/>
        <v>0</v>
      </c>
      <c r="BH229" s="23">
        <f t="shared" si="2081"/>
        <v>0</v>
      </c>
      <c r="BI229" s="23">
        <f t="shared" si="2081"/>
        <v>0</v>
      </c>
      <c r="BJ229" s="23">
        <f t="shared" si="2081"/>
        <v>0</v>
      </c>
      <c r="BK229" s="23">
        <f t="shared" si="2081"/>
        <v>0</v>
      </c>
      <c r="BL229" s="23">
        <f t="shared" si="2081"/>
        <v>0</v>
      </c>
      <c r="BM229" s="23">
        <f t="shared" si="2081"/>
        <v>0</v>
      </c>
      <c r="BN229" s="23">
        <f t="shared" si="2081"/>
        <v>0</v>
      </c>
      <c r="BO229" s="23">
        <f t="shared" ref="BO229:CT229" si="2082">BN164-BO58-BO164</f>
        <v>0</v>
      </c>
      <c r="BP229" s="23">
        <f t="shared" si="2082"/>
        <v>0</v>
      </c>
      <c r="BQ229" s="23">
        <f t="shared" si="2082"/>
        <v>0</v>
      </c>
      <c r="BR229" s="23">
        <f t="shared" si="2082"/>
        <v>0</v>
      </c>
      <c r="BS229" s="23">
        <f t="shared" si="2082"/>
        <v>0</v>
      </c>
      <c r="BT229" s="23">
        <f t="shared" si="2082"/>
        <v>0</v>
      </c>
      <c r="BU229" s="23">
        <f t="shared" si="2082"/>
        <v>0</v>
      </c>
      <c r="BV229" s="23">
        <f t="shared" si="2082"/>
        <v>0</v>
      </c>
      <c r="BW229" s="23">
        <f t="shared" si="2082"/>
        <v>0</v>
      </c>
      <c r="BX229" s="23">
        <f t="shared" si="2082"/>
        <v>0</v>
      </c>
      <c r="BY229" s="23">
        <f t="shared" si="2082"/>
        <v>0</v>
      </c>
      <c r="BZ229" s="23">
        <f t="shared" si="2082"/>
        <v>0</v>
      </c>
      <c r="CA229" s="23">
        <f t="shared" si="2082"/>
        <v>0</v>
      </c>
      <c r="CB229" s="23">
        <f t="shared" si="2082"/>
        <v>0</v>
      </c>
      <c r="CC229" s="23">
        <f t="shared" si="2082"/>
        <v>0</v>
      </c>
      <c r="CD229" s="23">
        <f t="shared" si="2082"/>
        <v>-10.3</v>
      </c>
      <c r="CE229" s="23">
        <f t="shared" si="2082"/>
        <v>-16</v>
      </c>
      <c r="CF229" s="23">
        <f t="shared" si="2082"/>
        <v>-378.40000000000003</v>
      </c>
      <c r="CG229" s="23">
        <f t="shared" si="2082"/>
        <v>-20.699999999999989</v>
      </c>
      <c r="CH229" s="23">
        <f t="shared" si="2082"/>
        <v>-276.99999999999989</v>
      </c>
      <c r="CI229" s="23">
        <f t="shared" si="2082"/>
        <v>0</v>
      </c>
      <c r="CJ229" s="23">
        <f t="shared" si="2082"/>
        <v>73.199999999999932</v>
      </c>
      <c r="CK229" s="23">
        <f t="shared" si="2082"/>
        <v>-99.999999999999943</v>
      </c>
      <c r="CL229" s="23">
        <f t="shared" si="2082"/>
        <v>-10.900000000000205</v>
      </c>
      <c r="CM229" s="24">
        <f t="shared" si="2082"/>
        <v>-100</v>
      </c>
      <c r="CN229" s="24">
        <f t="shared" si="2082"/>
        <v>-100</v>
      </c>
      <c r="CO229" s="24">
        <f t="shared" si="2082"/>
        <v>-128</v>
      </c>
      <c r="CP229" s="24">
        <f t="shared" si="2082"/>
        <v>-128</v>
      </c>
      <c r="CQ229" s="24">
        <f t="shared" si="2082"/>
        <v>-128</v>
      </c>
      <c r="CR229" s="24">
        <f t="shared" si="2082"/>
        <v>-128</v>
      </c>
      <c r="CS229" s="24">
        <f t="shared" si="2082"/>
        <v>-128</v>
      </c>
      <c r="CT229" s="24">
        <f t="shared" si="2082"/>
        <v>-127.99999999999977</v>
      </c>
      <c r="CU229" s="24">
        <f t="shared" ref="CU229:DB229" si="2083">CT164-CU58-CU164</f>
        <v>-128.00000000000011</v>
      </c>
      <c r="CV229" s="24">
        <f t="shared" si="2083"/>
        <v>-127.99999999999977</v>
      </c>
      <c r="CW229" s="24">
        <f t="shared" si="2083"/>
        <v>-128</v>
      </c>
      <c r="CX229" s="24">
        <f t="shared" si="2083"/>
        <v>-128</v>
      </c>
      <c r="CY229" s="24">
        <f t="shared" si="2083"/>
        <v>-128</v>
      </c>
      <c r="CZ229" s="24">
        <f t="shared" si="2083"/>
        <v>-128</v>
      </c>
      <c r="DA229" s="24">
        <f t="shared" si="2083"/>
        <v>-128</v>
      </c>
      <c r="DB229" s="24">
        <f t="shared" si="2083"/>
        <v>-128</v>
      </c>
      <c r="DC229" s="24">
        <f t="shared" ref="DC229" si="2084">DB164-DC58-DC164</f>
        <v>-128</v>
      </c>
      <c r="DD229" s="24">
        <f t="shared" ref="DD229" si="2085">DC164-DD58-DD164</f>
        <v>-128</v>
      </c>
      <c r="DE229" s="123"/>
      <c r="DF229" s="23">
        <v>-233.59999999999985</v>
      </c>
    </row>
    <row r="230" spans="1:110" s="23" customFormat="1" x14ac:dyDescent="0.2">
      <c r="AA230" s="24"/>
      <c r="AB230" s="24"/>
      <c r="AC230" s="24"/>
      <c r="AD230" s="24"/>
      <c r="AE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123"/>
    </row>
    <row r="231" spans="1:110" s="22" customFormat="1" x14ac:dyDescent="0.2">
      <c r="A231" s="22" t="s">
        <v>95</v>
      </c>
      <c r="C231" s="22">
        <f t="shared" ref="C231:W231" si="2086">C232+C233</f>
        <v>0</v>
      </c>
      <c r="D231" s="22">
        <f t="shared" si="2086"/>
        <v>0</v>
      </c>
      <c r="E231" s="22">
        <f t="shared" si="2086"/>
        <v>0</v>
      </c>
      <c r="F231" s="22">
        <f t="shared" si="2086"/>
        <v>0</v>
      </c>
      <c r="G231" s="22">
        <f t="shared" si="2086"/>
        <v>0</v>
      </c>
      <c r="H231" s="22">
        <f t="shared" si="2086"/>
        <v>0</v>
      </c>
      <c r="I231" s="22">
        <f t="shared" si="2086"/>
        <v>0</v>
      </c>
      <c r="J231" s="22">
        <f t="shared" si="2086"/>
        <v>0</v>
      </c>
      <c r="K231" s="22">
        <f t="shared" si="2086"/>
        <v>0</v>
      </c>
      <c r="L231" s="22">
        <f t="shared" si="2086"/>
        <v>0</v>
      </c>
      <c r="M231" s="22">
        <f t="shared" si="2086"/>
        <v>0</v>
      </c>
      <c r="N231" s="22">
        <f t="shared" si="2086"/>
        <v>0</v>
      </c>
      <c r="O231" s="22">
        <f t="shared" si="2086"/>
        <v>0</v>
      </c>
      <c r="P231" s="22">
        <f t="shared" si="2086"/>
        <v>0</v>
      </c>
      <c r="Q231" s="22">
        <f t="shared" si="2086"/>
        <v>0</v>
      </c>
      <c r="R231" s="22">
        <f t="shared" si="2086"/>
        <v>0</v>
      </c>
      <c r="S231" s="22">
        <f t="shared" si="2086"/>
        <v>0</v>
      </c>
      <c r="T231" s="22">
        <f t="shared" si="2086"/>
        <v>0</v>
      </c>
      <c r="U231" s="22">
        <f t="shared" si="2086"/>
        <v>0</v>
      </c>
      <c r="V231" s="22">
        <f t="shared" si="2086"/>
        <v>0</v>
      </c>
      <c r="W231" s="22">
        <f t="shared" si="2086"/>
        <v>0</v>
      </c>
      <c r="X231" s="22">
        <f t="shared" ref="X231:Y231" si="2087">X232+X233</f>
        <v>0</v>
      </c>
      <c r="Y231" s="22">
        <f t="shared" si="2087"/>
        <v>2616.7999999999988</v>
      </c>
      <c r="Z231" s="22">
        <f t="shared" ref="Z231" si="2088">Z232+Z233</f>
        <v>64.400000000000546</v>
      </c>
      <c r="AA231" s="21">
        <f t="shared" ref="AA231:AD231" si="2089">AA232+AA233</f>
        <v>-256.99999999999909</v>
      </c>
      <c r="AB231" s="21">
        <f t="shared" si="2089"/>
        <v>0</v>
      </c>
      <c r="AC231" s="21">
        <f t="shared" si="2089"/>
        <v>2.7284841053187847E-12</v>
      </c>
      <c r="AD231" s="21">
        <f t="shared" si="2089"/>
        <v>1.8189894035458565E-12</v>
      </c>
      <c r="AE231" s="21">
        <f t="shared" ref="AE231" si="2090">AE232+AE233</f>
        <v>-3.637978807091713E-12</v>
      </c>
      <c r="AI231" s="22">
        <f t="shared" ref="AI231" si="2091">AI232+AI233</f>
        <v>0</v>
      </c>
      <c r="AJ231" s="22">
        <f t="shared" ref="AJ231:AL231" si="2092">AJ232+AJ233</f>
        <v>0</v>
      </c>
      <c r="AK231" s="22">
        <f t="shared" si="2092"/>
        <v>0</v>
      </c>
      <c r="AL231" s="22">
        <f t="shared" si="2092"/>
        <v>0</v>
      </c>
      <c r="AM231" s="22">
        <f t="shared" ref="AM231" si="2093">AM232+AM233</f>
        <v>0</v>
      </c>
      <c r="AN231" s="22">
        <f t="shared" ref="AN231:CD231" si="2094">AN232+AN233</f>
        <v>0</v>
      </c>
      <c r="AO231" s="22">
        <f t="shared" si="2094"/>
        <v>0</v>
      </c>
      <c r="AP231" s="22">
        <f t="shared" si="2094"/>
        <v>0</v>
      </c>
      <c r="AQ231" s="22">
        <f t="shared" si="2094"/>
        <v>0</v>
      </c>
      <c r="AR231" s="22">
        <f t="shared" si="2094"/>
        <v>0</v>
      </c>
      <c r="AS231" s="22">
        <f t="shared" si="2094"/>
        <v>0</v>
      </c>
      <c r="AT231" s="22">
        <f t="shared" si="2094"/>
        <v>0</v>
      </c>
      <c r="AU231" s="22">
        <f t="shared" si="2094"/>
        <v>0</v>
      </c>
      <c r="AV231" s="22">
        <f t="shared" si="2094"/>
        <v>0</v>
      </c>
      <c r="AW231" s="22">
        <f t="shared" si="2094"/>
        <v>0</v>
      </c>
      <c r="AX231" s="22">
        <f t="shared" si="2094"/>
        <v>0</v>
      </c>
      <c r="AY231" s="22">
        <f t="shared" si="2094"/>
        <v>0</v>
      </c>
      <c r="AZ231" s="22">
        <f t="shared" si="2094"/>
        <v>0</v>
      </c>
      <c r="BA231" s="22">
        <f t="shared" si="2094"/>
        <v>0</v>
      </c>
      <c r="BB231" s="22">
        <f t="shared" si="2094"/>
        <v>0</v>
      </c>
      <c r="BC231" s="22">
        <f t="shared" si="2094"/>
        <v>0</v>
      </c>
      <c r="BD231" s="22">
        <f t="shared" si="2094"/>
        <v>0</v>
      </c>
      <c r="BE231" s="22">
        <f t="shared" si="2094"/>
        <v>0</v>
      </c>
      <c r="BF231" s="22">
        <f t="shared" si="2094"/>
        <v>0</v>
      </c>
      <c r="BG231" s="22">
        <f t="shared" si="2094"/>
        <v>0</v>
      </c>
      <c r="BH231" s="22">
        <f t="shared" si="2094"/>
        <v>0</v>
      </c>
      <c r="BI231" s="22">
        <f t="shared" si="2094"/>
        <v>0</v>
      </c>
      <c r="BJ231" s="22">
        <f t="shared" si="2094"/>
        <v>0</v>
      </c>
      <c r="BK231" s="22">
        <f t="shared" si="2094"/>
        <v>0</v>
      </c>
      <c r="BL231" s="22">
        <f t="shared" si="2094"/>
        <v>0</v>
      </c>
      <c r="BM231" s="22">
        <f t="shared" si="2094"/>
        <v>0</v>
      </c>
      <c r="BN231" s="22">
        <f t="shared" si="2094"/>
        <v>0</v>
      </c>
      <c r="BO231" s="22">
        <f t="shared" si="2094"/>
        <v>0</v>
      </c>
      <c r="BP231" s="22">
        <f t="shared" si="2094"/>
        <v>0</v>
      </c>
      <c r="BQ231" s="22">
        <f t="shared" si="2094"/>
        <v>0</v>
      </c>
      <c r="BR231" s="22">
        <f t="shared" si="2094"/>
        <v>0</v>
      </c>
      <c r="BS231" s="22">
        <f t="shared" si="2094"/>
        <v>0</v>
      </c>
      <c r="BT231" s="22">
        <f t="shared" si="2094"/>
        <v>0</v>
      </c>
      <c r="BU231" s="22">
        <f t="shared" si="2094"/>
        <v>0</v>
      </c>
      <c r="BV231" s="22">
        <f t="shared" si="2094"/>
        <v>0</v>
      </c>
      <c r="BW231" s="22">
        <f t="shared" si="2094"/>
        <v>0</v>
      </c>
      <c r="BX231" s="22">
        <f t="shared" si="2094"/>
        <v>0</v>
      </c>
      <c r="BY231" s="22">
        <f t="shared" si="2094"/>
        <v>0</v>
      </c>
      <c r="BZ231" s="22">
        <f t="shared" si="2094"/>
        <v>0</v>
      </c>
      <c r="CA231" s="22">
        <f t="shared" si="2094"/>
        <v>0</v>
      </c>
      <c r="CB231" s="22">
        <f t="shared" si="2094"/>
        <v>0</v>
      </c>
      <c r="CC231" s="22">
        <f t="shared" si="2094"/>
        <v>0</v>
      </c>
      <c r="CD231" s="22">
        <f t="shared" si="2094"/>
        <v>-180.49999999999986</v>
      </c>
      <c r="CE231" s="22">
        <f t="shared" ref="CE231:CF231" si="2095">CE232+CE233</f>
        <v>0</v>
      </c>
      <c r="CF231" s="22">
        <f t="shared" si="2095"/>
        <v>2797.2999999999997</v>
      </c>
      <c r="CG231" s="22">
        <f t="shared" ref="CG231:CH231" si="2096">CG232+CG233</f>
        <v>0</v>
      </c>
      <c r="CH231" s="22">
        <f t="shared" si="2096"/>
        <v>686.69999999999982</v>
      </c>
      <c r="CI231" s="22">
        <f t="shared" ref="CI231:CJ231" si="2097">CI232+CI233</f>
        <v>0</v>
      </c>
      <c r="CJ231" s="22">
        <f t="shared" si="2097"/>
        <v>-622.30000000000018</v>
      </c>
      <c r="CK231" s="22">
        <f t="shared" ref="CK231:DB231" si="2098">CK232+CK233</f>
        <v>0</v>
      </c>
      <c r="CL231" s="22">
        <f t="shared" si="2098"/>
        <v>-257</v>
      </c>
      <c r="CM231" s="21">
        <f t="shared" si="2098"/>
        <v>0</v>
      </c>
      <c r="CN231" s="21">
        <f t="shared" si="2098"/>
        <v>0</v>
      </c>
      <c r="CO231" s="21">
        <f t="shared" si="2098"/>
        <v>0</v>
      </c>
      <c r="CP231" s="21">
        <f t="shared" si="2098"/>
        <v>0</v>
      </c>
      <c r="CQ231" s="21">
        <f t="shared" si="2098"/>
        <v>0</v>
      </c>
      <c r="CR231" s="21">
        <f t="shared" si="2098"/>
        <v>9.0949470177292824E-13</v>
      </c>
      <c r="CS231" s="21">
        <f t="shared" si="2098"/>
        <v>0</v>
      </c>
      <c r="CT231" s="21">
        <f t="shared" si="2098"/>
        <v>0</v>
      </c>
      <c r="CU231" s="21">
        <f t="shared" si="2098"/>
        <v>0</v>
      </c>
      <c r="CV231" s="21">
        <f t="shared" si="2098"/>
        <v>0</v>
      </c>
      <c r="CW231" s="21">
        <f t="shared" si="2098"/>
        <v>0</v>
      </c>
      <c r="CX231" s="21">
        <f t="shared" si="2098"/>
        <v>0</v>
      </c>
      <c r="CY231" s="21">
        <f t="shared" si="2098"/>
        <v>0</v>
      </c>
      <c r="CZ231" s="21">
        <f t="shared" si="2098"/>
        <v>0</v>
      </c>
      <c r="DA231" s="21">
        <f t="shared" si="2098"/>
        <v>0</v>
      </c>
      <c r="DB231" s="21">
        <f t="shared" si="2098"/>
        <v>0</v>
      </c>
      <c r="DC231" s="21">
        <f t="shared" ref="DC231:DD231" si="2099">DC232+DC233</f>
        <v>0</v>
      </c>
      <c r="DD231" s="21">
        <f t="shared" si="2099"/>
        <v>0</v>
      </c>
      <c r="DE231" s="126"/>
      <c r="DF231" s="22">
        <v>64.400000000000546</v>
      </c>
    </row>
    <row r="232" spans="1:110" s="23" customFormat="1" x14ac:dyDescent="0.2">
      <c r="A232" s="23" t="s">
        <v>49</v>
      </c>
      <c r="C232" s="23">
        <f t="shared" ref="C232:AA232" si="2100">C154-B154</f>
        <v>0</v>
      </c>
      <c r="D232" s="23">
        <f t="shared" si="2100"/>
        <v>0</v>
      </c>
      <c r="E232" s="23">
        <f>E154-D154</f>
        <v>0</v>
      </c>
      <c r="F232" s="23">
        <f t="shared" si="2100"/>
        <v>0</v>
      </c>
      <c r="G232" s="23">
        <f t="shared" si="2100"/>
        <v>0</v>
      </c>
      <c r="H232" s="23">
        <f t="shared" si="2100"/>
        <v>0</v>
      </c>
      <c r="I232" s="23">
        <f t="shared" si="2100"/>
        <v>0</v>
      </c>
      <c r="J232" s="23">
        <f>J154-I154</f>
        <v>0</v>
      </c>
      <c r="K232" s="23">
        <f>K154-J154</f>
        <v>0</v>
      </c>
      <c r="L232" s="23">
        <f t="shared" si="2100"/>
        <v>0</v>
      </c>
      <c r="M232" s="23">
        <f t="shared" si="2100"/>
        <v>0</v>
      </c>
      <c r="N232" s="23">
        <f t="shared" si="2100"/>
        <v>0</v>
      </c>
      <c r="O232" s="23">
        <f t="shared" si="2100"/>
        <v>0</v>
      </c>
      <c r="P232" s="23">
        <f t="shared" si="2100"/>
        <v>0</v>
      </c>
      <c r="Q232" s="23">
        <f t="shared" si="2100"/>
        <v>0</v>
      </c>
      <c r="R232" s="23">
        <f t="shared" si="2100"/>
        <v>0</v>
      </c>
      <c r="S232" s="23">
        <f t="shared" si="2100"/>
        <v>0</v>
      </c>
      <c r="T232" s="23">
        <f t="shared" si="2100"/>
        <v>0</v>
      </c>
      <c r="U232" s="23">
        <f t="shared" si="2100"/>
        <v>0</v>
      </c>
      <c r="V232" s="23">
        <f t="shared" si="2100"/>
        <v>0</v>
      </c>
      <c r="W232" s="23">
        <f t="shared" si="2100"/>
        <v>0</v>
      </c>
      <c r="X232" s="23">
        <f t="shared" si="2100"/>
        <v>0</v>
      </c>
      <c r="Y232" s="23">
        <f t="shared" si="2100"/>
        <v>0</v>
      </c>
      <c r="Z232" s="23">
        <f t="shared" si="2100"/>
        <v>0</v>
      </c>
      <c r="AA232" s="24">
        <f t="shared" si="2100"/>
        <v>0</v>
      </c>
      <c r="AB232" s="24">
        <f t="shared" ref="AB232" si="2101">AB154-AA154</f>
        <v>0</v>
      </c>
      <c r="AC232" s="24">
        <f t="shared" ref="AC232" si="2102">AC154-AB154</f>
        <v>0</v>
      </c>
      <c r="AD232" s="24">
        <f t="shared" ref="AD232" si="2103">AD154-AC154</f>
        <v>0</v>
      </c>
      <c r="AE232" s="24">
        <f t="shared" ref="AE232" si="2104">AE154-AD154</f>
        <v>0</v>
      </c>
      <c r="AI232" s="23">
        <f t="shared" ref="AI232" si="2105">AI154-AH154</f>
        <v>0</v>
      </c>
      <c r="AJ232" s="23">
        <f t="shared" ref="AJ232" si="2106">AJ154-AI154</f>
        <v>0</v>
      </c>
      <c r="AK232" s="23">
        <f t="shared" ref="AK232" si="2107">AK154-AJ154</f>
        <v>0</v>
      </c>
      <c r="AL232" s="23">
        <f t="shared" ref="AL232" si="2108">AL154-AK154</f>
        <v>0</v>
      </c>
      <c r="AM232" s="23">
        <f t="shared" ref="AM232" si="2109">AM154-AL154</f>
        <v>0</v>
      </c>
      <c r="AN232" s="23">
        <f t="shared" ref="AN232" si="2110">AN154-AM154</f>
        <v>0</v>
      </c>
      <c r="AO232" s="23">
        <f t="shared" ref="AO232" si="2111">AO154-AN154</f>
        <v>0</v>
      </c>
      <c r="AP232" s="23">
        <f t="shared" ref="AP232" si="2112">AP154-AO154</f>
        <v>0</v>
      </c>
      <c r="AQ232" s="23">
        <f t="shared" ref="AQ232" si="2113">AQ154-AP154</f>
        <v>0</v>
      </c>
      <c r="AR232" s="23">
        <f t="shared" ref="AR232" si="2114">AR154-AQ154</f>
        <v>0</v>
      </c>
      <c r="AS232" s="23">
        <f t="shared" ref="AS232" si="2115">AS154-AR154</f>
        <v>0</v>
      </c>
      <c r="AT232" s="23">
        <f t="shared" ref="AT232" si="2116">AT154-AS154</f>
        <v>0</v>
      </c>
      <c r="AU232" s="23">
        <f t="shared" ref="AU232" si="2117">AU154-AT154</f>
        <v>0</v>
      </c>
      <c r="AV232" s="23">
        <f t="shared" ref="AV232" si="2118">AV154-AU154</f>
        <v>0</v>
      </c>
      <c r="AW232" s="23">
        <f t="shared" ref="AW232" si="2119">AW154-AV154</f>
        <v>0</v>
      </c>
      <c r="AX232" s="23">
        <f t="shared" ref="AX232" si="2120">AX154-AW154</f>
        <v>0</v>
      </c>
      <c r="AY232" s="23">
        <f t="shared" ref="AY232" si="2121">AY154-AX154</f>
        <v>0</v>
      </c>
      <c r="AZ232" s="23">
        <f t="shared" ref="AZ232" si="2122">AZ154-AY154</f>
        <v>0</v>
      </c>
      <c r="BA232" s="23">
        <f t="shared" ref="BA232" si="2123">BA154-AZ154</f>
        <v>0</v>
      </c>
      <c r="BB232" s="23">
        <f t="shared" ref="BB232" si="2124">BB154-BA154</f>
        <v>0</v>
      </c>
      <c r="BC232" s="23">
        <f t="shared" ref="BC232" si="2125">BC154-BB154</f>
        <v>0</v>
      </c>
      <c r="BD232" s="23">
        <f t="shared" ref="BD232" si="2126">BD154-BC154</f>
        <v>0</v>
      </c>
      <c r="BE232" s="23">
        <f t="shared" ref="BE232" si="2127">BE154-BD154</f>
        <v>0</v>
      </c>
      <c r="BF232" s="23">
        <f t="shared" ref="BF232" si="2128">BF154-BE154</f>
        <v>0</v>
      </c>
      <c r="BG232" s="23">
        <f t="shared" ref="BG232" si="2129">BG154-BF154</f>
        <v>0</v>
      </c>
      <c r="BH232" s="23">
        <f t="shared" ref="BH232" si="2130">BH154-BG154</f>
        <v>0</v>
      </c>
      <c r="BI232" s="23">
        <f t="shared" ref="BI232" si="2131">BI154-BH154</f>
        <v>0</v>
      </c>
      <c r="BJ232" s="23">
        <f t="shared" ref="BJ232" si="2132">BJ154-BI154</f>
        <v>0</v>
      </c>
      <c r="BK232" s="23">
        <f t="shared" ref="BK232" si="2133">BK154-BJ154</f>
        <v>0</v>
      </c>
      <c r="BL232" s="23">
        <f t="shared" ref="BL232" si="2134">BL154-BK154</f>
        <v>0</v>
      </c>
      <c r="BM232" s="23">
        <f t="shared" ref="BM232" si="2135">BM154-BL154</f>
        <v>0</v>
      </c>
      <c r="BN232" s="23">
        <f t="shared" ref="BN232" si="2136">BN154-BM154</f>
        <v>0</v>
      </c>
      <c r="BO232" s="23">
        <f t="shared" ref="BO232" si="2137">BO154-BN154</f>
        <v>0</v>
      </c>
      <c r="BP232" s="23">
        <f t="shared" ref="BP232" si="2138">BP154-BO154</f>
        <v>0</v>
      </c>
      <c r="BQ232" s="23">
        <f t="shared" ref="BQ232" si="2139">BQ154-BP154</f>
        <v>0</v>
      </c>
      <c r="BR232" s="23">
        <f t="shared" ref="BR232" si="2140">BR154-BQ154</f>
        <v>0</v>
      </c>
      <c r="BS232" s="23">
        <f t="shared" ref="BS232" si="2141">BS154-BR154</f>
        <v>0</v>
      </c>
      <c r="BT232" s="23">
        <f t="shared" ref="BT232" si="2142">BT154-BS154</f>
        <v>0</v>
      </c>
      <c r="BU232" s="23">
        <f t="shared" ref="BU232" si="2143">BU154-BT154</f>
        <v>0</v>
      </c>
      <c r="BV232" s="23">
        <f t="shared" ref="BV232" si="2144">BV154-BU154</f>
        <v>0</v>
      </c>
      <c r="BW232" s="23">
        <f t="shared" ref="BW232" si="2145">BW154-BV154</f>
        <v>0</v>
      </c>
      <c r="BX232" s="23">
        <f t="shared" ref="BX232" si="2146">BX154-BW154</f>
        <v>0</v>
      </c>
      <c r="BY232" s="23">
        <f t="shared" ref="BY232" si="2147">BY154-BX154</f>
        <v>0</v>
      </c>
      <c r="BZ232" s="23">
        <f t="shared" ref="BZ232" si="2148">BZ154-BY154</f>
        <v>0</v>
      </c>
      <c r="CA232" s="23">
        <f t="shared" ref="CA232" si="2149">CA154-BZ154</f>
        <v>0</v>
      </c>
      <c r="CB232" s="23">
        <f t="shared" ref="CB232" si="2150">CB154-CA154</f>
        <v>0</v>
      </c>
      <c r="CC232" s="23">
        <f t="shared" ref="CC232" si="2151">CC154-CB154</f>
        <v>0</v>
      </c>
      <c r="CD232" s="23">
        <f t="shared" ref="CD232" si="2152">CD154-CC154</f>
        <v>0</v>
      </c>
      <c r="CE232" s="23">
        <f t="shared" ref="CE232" si="2153">CE154-CD154</f>
        <v>0</v>
      </c>
      <c r="CF232" s="23">
        <f t="shared" ref="CF232" si="2154">CF154-CE154</f>
        <v>0</v>
      </c>
      <c r="CG232" s="23">
        <f t="shared" ref="CG232" si="2155">CG154-CF154</f>
        <v>0</v>
      </c>
      <c r="CH232" s="23">
        <f t="shared" ref="CH232:CJ232" si="2156">CH154-CG154</f>
        <v>0</v>
      </c>
      <c r="CI232" s="23">
        <f t="shared" si="2156"/>
        <v>0</v>
      </c>
      <c r="CJ232" s="23">
        <f t="shared" si="2156"/>
        <v>0</v>
      </c>
      <c r="CK232" s="23">
        <f t="shared" ref="CK232" si="2157">CK154-CJ154</f>
        <v>0</v>
      </c>
      <c r="CL232" s="23">
        <f t="shared" ref="CL232" si="2158">CL154-CK154</f>
        <v>0</v>
      </c>
      <c r="CM232" s="24">
        <f t="shared" ref="CM232" si="2159">CM154-CL154</f>
        <v>0</v>
      </c>
      <c r="CN232" s="24">
        <f t="shared" ref="CN232" si="2160">CN154-CM154</f>
        <v>0</v>
      </c>
      <c r="CO232" s="24">
        <f t="shared" ref="CO232" si="2161">CO154-CN154</f>
        <v>0</v>
      </c>
      <c r="CP232" s="24">
        <f t="shared" ref="CP232" si="2162">CP154-CO154</f>
        <v>0</v>
      </c>
      <c r="CQ232" s="24">
        <f t="shared" ref="CQ232" si="2163">CQ154-CP154</f>
        <v>0</v>
      </c>
      <c r="CR232" s="24">
        <f t="shared" ref="CR232" si="2164">CR154-CQ154</f>
        <v>0</v>
      </c>
      <c r="CS232" s="24">
        <f t="shared" ref="CS232" si="2165">CS154-CR154</f>
        <v>0</v>
      </c>
      <c r="CT232" s="24">
        <f t="shared" ref="CT232" si="2166">CT154-CS154</f>
        <v>0</v>
      </c>
      <c r="CU232" s="24">
        <f t="shared" ref="CU232" si="2167">CU154-CT154</f>
        <v>0</v>
      </c>
      <c r="CV232" s="24">
        <f t="shared" ref="CV232" si="2168">CV154-CU154</f>
        <v>0</v>
      </c>
      <c r="CW232" s="24">
        <f t="shared" ref="CW232" si="2169">CW154-CV154</f>
        <v>0</v>
      </c>
      <c r="CX232" s="24">
        <f t="shared" ref="CX232" si="2170">CX154-CW154</f>
        <v>0</v>
      </c>
      <c r="CY232" s="24">
        <f t="shared" ref="CY232" si="2171">CY154-CX154</f>
        <v>0</v>
      </c>
      <c r="CZ232" s="24">
        <f t="shared" ref="CZ232" si="2172">CZ154-CY154</f>
        <v>0</v>
      </c>
      <c r="DA232" s="24">
        <f t="shared" ref="DA232" si="2173">DA154-CZ154</f>
        <v>0</v>
      </c>
      <c r="DB232" s="24">
        <f t="shared" ref="DB232" si="2174">DB154-DA154</f>
        <v>0</v>
      </c>
      <c r="DC232" s="24">
        <f t="shared" ref="DC232" si="2175">DC154-DB154</f>
        <v>0</v>
      </c>
      <c r="DD232" s="24">
        <f t="shared" ref="DD232" si="2176">DD154-DC154</f>
        <v>0</v>
      </c>
      <c r="DE232" s="123"/>
      <c r="DF232" s="23">
        <v>0</v>
      </c>
    </row>
    <row r="233" spans="1:110" s="23" customFormat="1" x14ac:dyDescent="0.2">
      <c r="A233" s="23" t="s">
        <v>27</v>
      </c>
      <c r="C233" s="23">
        <f t="shared" ref="C233:AE233" si="2177">C146-C74-B146+C148-B148</f>
        <v>0</v>
      </c>
      <c r="D233" s="23">
        <f t="shared" si="2177"/>
        <v>0</v>
      </c>
      <c r="E233" s="23">
        <f t="shared" si="2177"/>
        <v>0</v>
      </c>
      <c r="F233" s="23">
        <f t="shared" si="2177"/>
        <v>0</v>
      </c>
      <c r="G233" s="23">
        <f t="shared" si="2177"/>
        <v>0</v>
      </c>
      <c r="H233" s="23">
        <f t="shared" si="2177"/>
        <v>0</v>
      </c>
      <c r="I233" s="23">
        <f t="shared" si="2177"/>
        <v>0</v>
      </c>
      <c r="J233" s="23">
        <f t="shared" si="2177"/>
        <v>0</v>
      </c>
      <c r="K233" s="23">
        <f t="shared" si="2177"/>
        <v>0</v>
      </c>
      <c r="L233" s="23">
        <f t="shared" si="2177"/>
        <v>0</v>
      </c>
      <c r="M233" s="23">
        <f t="shared" si="2177"/>
        <v>0</v>
      </c>
      <c r="N233" s="23">
        <f t="shared" si="2177"/>
        <v>0</v>
      </c>
      <c r="O233" s="23">
        <f t="shared" si="2177"/>
        <v>0</v>
      </c>
      <c r="P233" s="23">
        <f t="shared" si="2177"/>
        <v>0</v>
      </c>
      <c r="Q233" s="23">
        <f t="shared" si="2177"/>
        <v>0</v>
      </c>
      <c r="R233" s="23">
        <f t="shared" si="2177"/>
        <v>0</v>
      </c>
      <c r="S233" s="23">
        <f t="shared" si="2177"/>
        <v>0</v>
      </c>
      <c r="T233" s="23">
        <f t="shared" si="2177"/>
        <v>0</v>
      </c>
      <c r="U233" s="23">
        <f t="shared" si="2177"/>
        <v>0</v>
      </c>
      <c r="V233" s="23">
        <f t="shared" si="2177"/>
        <v>0</v>
      </c>
      <c r="W233" s="23">
        <f t="shared" si="2177"/>
        <v>0</v>
      </c>
      <c r="X233" s="23">
        <f t="shared" si="2177"/>
        <v>0</v>
      </c>
      <c r="Y233" s="23">
        <f t="shared" si="2177"/>
        <v>2616.7999999999988</v>
      </c>
      <c r="Z233" s="23">
        <f t="shared" si="2177"/>
        <v>64.400000000000546</v>
      </c>
      <c r="AA233" s="24">
        <f t="shared" si="2177"/>
        <v>-256.99999999999909</v>
      </c>
      <c r="AB233" s="24">
        <f t="shared" si="2177"/>
        <v>0</v>
      </c>
      <c r="AC233" s="24">
        <f t="shared" si="2177"/>
        <v>2.7284841053187847E-12</v>
      </c>
      <c r="AD233" s="24">
        <f t="shared" si="2177"/>
        <v>1.8189894035458565E-12</v>
      </c>
      <c r="AE233" s="24">
        <f t="shared" si="2177"/>
        <v>-3.637978807091713E-12</v>
      </c>
      <c r="AI233" s="23">
        <f t="shared" ref="AI233:BN233" si="2178">AI146-AI74-AH146+AI148-AH148</f>
        <v>0</v>
      </c>
      <c r="AJ233" s="23">
        <f t="shared" si="2178"/>
        <v>0</v>
      </c>
      <c r="AK233" s="23">
        <f t="shared" si="2178"/>
        <v>0</v>
      </c>
      <c r="AL233" s="23">
        <f t="shared" si="2178"/>
        <v>0</v>
      </c>
      <c r="AM233" s="23">
        <f t="shared" si="2178"/>
        <v>0</v>
      </c>
      <c r="AN233" s="23">
        <f t="shared" si="2178"/>
        <v>0</v>
      </c>
      <c r="AO233" s="23">
        <f t="shared" si="2178"/>
        <v>0</v>
      </c>
      <c r="AP233" s="23">
        <f t="shared" si="2178"/>
        <v>0</v>
      </c>
      <c r="AQ233" s="23">
        <f t="shared" si="2178"/>
        <v>0</v>
      </c>
      <c r="AR233" s="23">
        <f t="shared" si="2178"/>
        <v>0</v>
      </c>
      <c r="AS233" s="23">
        <f t="shared" si="2178"/>
        <v>0</v>
      </c>
      <c r="AT233" s="23">
        <f t="shared" si="2178"/>
        <v>0</v>
      </c>
      <c r="AU233" s="23">
        <f t="shared" si="2178"/>
        <v>0</v>
      </c>
      <c r="AV233" s="23">
        <f t="shared" si="2178"/>
        <v>0</v>
      </c>
      <c r="AW233" s="23">
        <f t="shared" si="2178"/>
        <v>0</v>
      </c>
      <c r="AX233" s="23">
        <f t="shared" si="2178"/>
        <v>0</v>
      </c>
      <c r="AY233" s="23">
        <f t="shared" si="2178"/>
        <v>0</v>
      </c>
      <c r="AZ233" s="23">
        <f t="shared" si="2178"/>
        <v>0</v>
      </c>
      <c r="BA233" s="23">
        <f t="shared" si="2178"/>
        <v>0</v>
      </c>
      <c r="BB233" s="23">
        <f t="shared" si="2178"/>
        <v>0</v>
      </c>
      <c r="BC233" s="23">
        <f t="shared" si="2178"/>
        <v>0</v>
      </c>
      <c r="BD233" s="23">
        <f t="shared" si="2178"/>
        <v>0</v>
      </c>
      <c r="BE233" s="23">
        <f t="shared" si="2178"/>
        <v>0</v>
      </c>
      <c r="BF233" s="23">
        <f t="shared" si="2178"/>
        <v>0</v>
      </c>
      <c r="BG233" s="23">
        <f t="shared" si="2178"/>
        <v>0</v>
      </c>
      <c r="BH233" s="23">
        <f t="shared" si="2178"/>
        <v>0</v>
      </c>
      <c r="BI233" s="23">
        <f t="shared" si="2178"/>
        <v>0</v>
      </c>
      <c r="BJ233" s="23">
        <f t="shared" si="2178"/>
        <v>0</v>
      </c>
      <c r="BK233" s="23">
        <f t="shared" si="2178"/>
        <v>0</v>
      </c>
      <c r="BL233" s="23">
        <f t="shared" si="2178"/>
        <v>0</v>
      </c>
      <c r="BM233" s="23">
        <f t="shared" si="2178"/>
        <v>0</v>
      </c>
      <c r="BN233" s="23">
        <f t="shared" si="2178"/>
        <v>0</v>
      </c>
      <c r="BO233" s="23">
        <f t="shared" ref="BO233:CT233" si="2179">BO146-BO74-BN146+BO148-BN148</f>
        <v>0</v>
      </c>
      <c r="BP233" s="23">
        <f t="shared" si="2179"/>
        <v>0</v>
      </c>
      <c r="BQ233" s="23">
        <f t="shared" si="2179"/>
        <v>0</v>
      </c>
      <c r="BR233" s="23">
        <f t="shared" si="2179"/>
        <v>0</v>
      </c>
      <c r="BS233" s="23">
        <f t="shared" si="2179"/>
        <v>0</v>
      </c>
      <c r="BT233" s="23">
        <f t="shared" si="2179"/>
        <v>0</v>
      </c>
      <c r="BU233" s="23">
        <f t="shared" si="2179"/>
        <v>0</v>
      </c>
      <c r="BV233" s="23">
        <f t="shared" si="2179"/>
        <v>0</v>
      </c>
      <c r="BW233" s="23">
        <f t="shared" si="2179"/>
        <v>0</v>
      </c>
      <c r="BX233" s="23">
        <f t="shared" si="2179"/>
        <v>0</v>
      </c>
      <c r="BY233" s="23">
        <f t="shared" si="2179"/>
        <v>0</v>
      </c>
      <c r="BZ233" s="23">
        <f t="shared" si="2179"/>
        <v>0</v>
      </c>
      <c r="CA233" s="23">
        <f t="shared" si="2179"/>
        <v>0</v>
      </c>
      <c r="CB233" s="23">
        <f t="shared" si="2179"/>
        <v>0</v>
      </c>
      <c r="CC233" s="23">
        <f t="shared" si="2179"/>
        <v>0</v>
      </c>
      <c r="CD233" s="23">
        <f t="shared" si="2179"/>
        <v>-180.49999999999986</v>
      </c>
      <c r="CE233" s="23">
        <f t="shared" si="2179"/>
        <v>0</v>
      </c>
      <c r="CF233" s="23">
        <f t="shared" si="2179"/>
        <v>2797.2999999999997</v>
      </c>
      <c r="CG233" s="23">
        <f t="shared" si="2179"/>
        <v>0</v>
      </c>
      <c r="CH233" s="23">
        <f t="shared" si="2179"/>
        <v>686.69999999999982</v>
      </c>
      <c r="CI233" s="23">
        <f t="shared" si="2179"/>
        <v>0</v>
      </c>
      <c r="CJ233" s="23">
        <f t="shared" si="2179"/>
        <v>-622.30000000000018</v>
      </c>
      <c r="CK233" s="23">
        <f t="shared" si="2179"/>
        <v>0</v>
      </c>
      <c r="CL233" s="23">
        <f t="shared" si="2179"/>
        <v>-257</v>
      </c>
      <c r="CM233" s="24">
        <f t="shared" si="2179"/>
        <v>0</v>
      </c>
      <c r="CN233" s="24">
        <f t="shared" si="2179"/>
        <v>0</v>
      </c>
      <c r="CO233" s="24">
        <f t="shared" si="2179"/>
        <v>0</v>
      </c>
      <c r="CP233" s="24">
        <f t="shared" si="2179"/>
        <v>0</v>
      </c>
      <c r="CQ233" s="24">
        <f t="shared" si="2179"/>
        <v>0</v>
      </c>
      <c r="CR233" s="24">
        <f t="shared" si="2179"/>
        <v>9.0949470177292824E-13</v>
      </c>
      <c r="CS233" s="24">
        <f t="shared" si="2179"/>
        <v>0</v>
      </c>
      <c r="CT233" s="24">
        <f t="shared" si="2179"/>
        <v>0</v>
      </c>
      <c r="CU233" s="24">
        <f t="shared" ref="CU233:DB233" si="2180">CU146-CU74-CT146+CU148-CT148</f>
        <v>0</v>
      </c>
      <c r="CV233" s="24">
        <f t="shared" si="2180"/>
        <v>0</v>
      </c>
      <c r="CW233" s="24">
        <f t="shared" si="2180"/>
        <v>0</v>
      </c>
      <c r="CX233" s="24">
        <f t="shared" si="2180"/>
        <v>0</v>
      </c>
      <c r="CY233" s="24">
        <f t="shared" si="2180"/>
        <v>0</v>
      </c>
      <c r="CZ233" s="24">
        <f t="shared" si="2180"/>
        <v>0</v>
      </c>
      <c r="DA233" s="24">
        <f t="shared" si="2180"/>
        <v>0</v>
      </c>
      <c r="DB233" s="24">
        <f t="shared" si="2180"/>
        <v>0</v>
      </c>
      <c r="DC233" s="24">
        <f t="shared" ref="DC233" si="2181">DC146-DC74-DB146+DC148-DB148</f>
        <v>0</v>
      </c>
      <c r="DD233" s="24">
        <f t="shared" ref="DD233" si="2182">DD146-DD74-DC146+DD148-DC148</f>
        <v>0</v>
      </c>
      <c r="DE233" s="123"/>
      <c r="DF233" s="23">
        <v>64.400000000000546</v>
      </c>
    </row>
    <row r="234" spans="1:110" s="23" customFormat="1" x14ac:dyDescent="0.2">
      <c r="AA234" s="24"/>
      <c r="AB234" s="24"/>
      <c r="AC234" s="24"/>
      <c r="AD234" s="24"/>
      <c r="AE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123"/>
    </row>
    <row r="235" spans="1:110" s="23" customFormat="1" x14ac:dyDescent="0.2">
      <c r="A235" s="23" t="s">
        <v>442</v>
      </c>
      <c r="C235" s="23">
        <f t="shared" ref="C235" si="2183">B187</f>
        <v>0</v>
      </c>
      <c r="D235" s="23">
        <f t="shared" ref="D235" si="2184">C187</f>
        <v>0</v>
      </c>
      <c r="E235" s="23">
        <f>D187</f>
        <v>0</v>
      </c>
      <c r="F235" s="23">
        <f t="shared" ref="F235" si="2185">E187</f>
        <v>0</v>
      </c>
      <c r="G235" s="23">
        <f t="shared" ref="G235" si="2186">F187</f>
        <v>0</v>
      </c>
      <c r="H235" s="23">
        <f t="shared" ref="H235" si="2187">G187</f>
        <v>0</v>
      </c>
      <c r="I235" s="23">
        <f t="shared" ref="I235" si="2188">H187</f>
        <v>0</v>
      </c>
      <c r="J235" s="23">
        <f>I187</f>
        <v>0</v>
      </c>
      <c r="K235" s="23">
        <f>J187</f>
        <v>0</v>
      </c>
      <c r="L235" s="23">
        <f t="shared" ref="L235" si="2189">K187</f>
        <v>0</v>
      </c>
      <c r="M235" s="23">
        <f t="shared" ref="M235" si="2190">L187</f>
        <v>0</v>
      </c>
      <c r="N235" s="23">
        <f t="shared" ref="N235" si="2191">M187</f>
        <v>0</v>
      </c>
      <c r="O235" s="23">
        <f t="shared" ref="O235" si="2192">N187</f>
        <v>0</v>
      </c>
      <c r="P235" s="23">
        <f t="shared" ref="P235" si="2193">O187</f>
        <v>0</v>
      </c>
      <c r="Q235" s="23">
        <f t="shared" ref="Q235" si="2194">P187</f>
        <v>0</v>
      </c>
      <c r="R235" s="23">
        <f t="shared" ref="R235" si="2195">Q187</f>
        <v>0</v>
      </c>
      <c r="S235" s="23">
        <f t="shared" ref="S235" si="2196">R187</f>
        <v>0</v>
      </c>
      <c r="T235" s="23">
        <f t="shared" ref="T235" si="2197">S187</f>
        <v>0</v>
      </c>
      <c r="U235" s="23">
        <f t="shared" ref="U235" si="2198">T187</f>
        <v>0</v>
      </c>
      <c r="V235" s="23">
        <f t="shared" ref="V235" si="2199">U187</f>
        <v>0</v>
      </c>
      <c r="W235" s="23">
        <f t="shared" ref="W235:Z235" si="2200">V187</f>
        <v>0</v>
      </c>
      <c r="X235" s="23">
        <f t="shared" si="2200"/>
        <v>0</v>
      </c>
      <c r="Y235" s="23">
        <f t="shared" si="2200"/>
        <v>0</v>
      </c>
      <c r="Z235" s="23">
        <f t="shared" si="2200"/>
        <v>0</v>
      </c>
      <c r="AA235" s="24">
        <f t="shared" ref="AA235" si="2201">Z187</f>
        <v>3462</v>
      </c>
      <c r="AB235" s="24">
        <f t="shared" ref="AB235" si="2202">AA187</f>
        <v>3679.719862632709</v>
      </c>
      <c r="AC235" s="24">
        <f t="shared" ref="AC235" si="2203">AB187</f>
        <v>5164.9626319044391</v>
      </c>
      <c r="AD235" s="24">
        <f t="shared" ref="AD235" si="2204">AC187</f>
        <v>7047.0269538256071</v>
      </c>
      <c r="AE235" s="24">
        <f t="shared" ref="AE235" si="2205">AD187</f>
        <v>9383.2761813089128</v>
      </c>
      <c r="AI235" s="23">
        <f t="shared" ref="AI235" si="2206">AH187</f>
        <v>0</v>
      </c>
      <c r="AJ235" s="23">
        <f t="shared" ref="AJ235" si="2207">AI187</f>
        <v>0</v>
      </c>
      <c r="AK235" s="23">
        <f t="shared" ref="AK235" si="2208">AJ187</f>
        <v>0</v>
      </c>
      <c r="AL235" s="23" t="e">
        <f t="shared" ref="AL235" si="2209">AK187</f>
        <v>#DIV/0!</v>
      </c>
      <c r="AM235" s="23">
        <f t="shared" ref="AM235" si="2210">AL187</f>
        <v>0</v>
      </c>
      <c r="AN235" s="23" t="e">
        <f t="shared" ref="AN235" si="2211">AM187</f>
        <v>#DIV/0!</v>
      </c>
      <c r="AO235" s="23">
        <f t="shared" ref="AO235" si="2212">AN187</f>
        <v>0</v>
      </c>
      <c r="AP235" s="23" t="e">
        <f t="shared" ref="AP235" si="2213">AO187</f>
        <v>#DIV/0!</v>
      </c>
      <c r="AQ235" s="23">
        <f t="shared" ref="AQ235" si="2214">AP187</f>
        <v>0</v>
      </c>
      <c r="AR235" s="23" t="e">
        <f t="shared" ref="AR235" si="2215">AQ187</f>
        <v>#DIV/0!</v>
      </c>
      <c r="AS235" s="23">
        <f t="shared" ref="AS235" si="2216">AR187</f>
        <v>0</v>
      </c>
      <c r="AT235" s="23" t="e">
        <f t="shared" ref="AT235" si="2217">AS187</f>
        <v>#DIV/0!</v>
      </c>
      <c r="AU235" s="23">
        <f t="shared" ref="AU235" si="2218">AT187</f>
        <v>0</v>
      </c>
      <c r="AV235" s="23" t="e">
        <f t="shared" ref="AV235" si="2219">AU187</f>
        <v>#DIV/0!</v>
      </c>
      <c r="AW235" s="23">
        <f t="shared" ref="AW235" si="2220">AV187</f>
        <v>0</v>
      </c>
      <c r="AX235" s="23" t="e">
        <f t="shared" ref="AX235" si="2221">AW187</f>
        <v>#DIV/0!</v>
      </c>
      <c r="AY235" s="23">
        <f t="shared" ref="AY235" si="2222">AX187</f>
        <v>0</v>
      </c>
      <c r="AZ235" s="23" t="e">
        <f t="shared" ref="AZ235" si="2223">AY187</f>
        <v>#DIV/0!</v>
      </c>
      <c r="BA235" s="23">
        <f t="shared" ref="BA235" si="2224">AZ187</f>
        <v>0</v>
      </c>
      <c r="BB235" s="23" t="e">
        <f t="shared" ref="BB235" si="2225">BA187</f>
        <v>#DIV/0!</v>
      </c>
      <c r="BC235" s="23">
        <f t="shared" ref="BC235" si="2226">BB187</f>
        <v>0</v>
      </c>
      <c r="BD235" s="23" t="e">
        <f t="shared" ref="BD235" si="2227">BC187</f>
        <v>#DIV/0!</v>
      </c>
      <c r="BE235" s="23">
        <f t="shared" ref="BE235" si="2228">BD187</f>
        <v>0</v>
      </c>
      <c r="BF235" s="23" t="e">
        <f t="shared" ref="BF235" si="2229">BE187</f>
        <v>#DIV/0!</v>
      </c>
      <c r="BG235" s="23">
        <f t="shared" ref="BG235" si="2230">BF187</f>
        <v>0</v>
      </c>
      <c r="BH235" s="23" t="e">
        <f t="shared" ref="BH235" si="2231">BG187</f>
        <v>#DIV/0!</v>
      </c>
      <c r="BI235" s="23">
        <f t="shared" ref="BI235" si="2232">BH187</f>
        <v>0</v>
      </c>
      <c r="BJ235" s="23" t="e">
        <f t="shared" ref="BJ235" si="2233">BI187</f>
        <v>#DIV/0!</v>
      </c>
      <c r="BK235" s="23">
        <f t="shared" ref="BK235" si="2234">BJ187</f>
        <v>0</v>
      </c>
      <c r="BL235" s="23" t="e">
        <f t="shared" ref="BL235" si="2235">BK187</f>
        <v>#DIV/0!</v>
      </c>
      <c r="BM235" s="23">
        <f t="shared" ref="BM235" si="2236">BL187</f>
        <v>0</v>
      </c>
      <c r="BN235" s="23" t="e">
        <f t="shared" ref="BN235" si="2237">BM187</f>
        <v>#DIV/0!</v>
      </c>
      <c r="BO235" s="23">
        <f t="shared" ref="BO235" si="2238">BN187</f>
        <v>0</v>
      </c>
      <c r="BP235" s="23" t="e">
        <f t="shared" ref="BP235" si="2239">BO187</f>
        <v>#DIV/0!</v>
      </c>
      <c r="BQ235" s="23">
        <f t="shared" ref="BQ235" si="2240">BP187</f>
        <v>0</v>
      </c>
      <c r="BR235" s="23" t="e">
        <f t="shared" ref="BR235" si="2241">BQ187</f>
        <v>#DIV/0!</v>
      </c>
      <c r="BS235" s="23">
        <f t="shared" ref="BS235" si="2242">BR187</f>
        <v>0</v>
      </c>
      <c r="BT235" s="23" t="e">
        <f t="shared" ref="BT235" si="2243">BS187</f>
        <v>#DIV/0!</v>
      </c>
      <c r="BU235" s="23">
        <f t="shared" ref="BU235" si="2244">BT187</f>
        <v>0</v>
      </c>
      <c r="BV235" s="23" t="e">
        <f t="shared" ref="BV235" si="2245">BU187</f>
        <v>#DIV/0!</v>
      </c>
      <c r="BW235" s="23">
        <f t="shared" ref="BW235" si="2246">BV187</f>
        <v>0</v>
      </c>
      <c r="BX235" s="23" t="e">
        <f t="shared" ref="BX235" si="2247">BW187</f>
        <v>#DIV/0!</v>
      </c>
      <c r="BY235" s="23">
        <f t="shared" ref="BY235" si="2248">BX187</f>
        <v>0</v>
      </c>
      <c r="BZ235" s="23" t="e">
        <f t="shared" ref="BZ235" si="2249">BY187</f>
        <v>#DIV/0!</v>
      </c>
      <c r="CA235" s="23">
        <f t="shared" ref="CA235" si="2250">BZ187</f>
        <v>0</v>
      </c>
      <c r="CB235" s="23" t="e">
        <f t="shared" ref="CB235" si="2251">CA187</f>
        <v>#DIV/0!</v>
      </c>
      <c r="CC235" s="23">
        <f t="shared" ref="CC235" si="2252">CB187</f>
        <v>0</v>
      </c>
      <c r="CD235" s="23" t="e">
        <f t="shared" ref="CD235" si="2253">CC187</f>
        <v>#DIV/0!</v>
      </c>
      <c r="CE235" s="23">
        <f t="shared" ref="CE235" si="2254">CD187</f>
        <v>0</v>
      </c>
      <c r="CF235" s="23">
        <f t="shared" ref="CF235" si="2255">CE187</f>
        <v>145.80000000000007</v>
      </c>
      <c r="CG235" s="23">
        <f t="shared" ref="CG235" si="2256">CF187</f>
        <v>0</v>
      </c>
      <c r="CH235" s="23">
        <f t="shared" ref="CH235:CJ235" si="2257">CG187</f>
        <v>476.94334712334177</v>
      </c>
      <c r="CI235" s="23">
        <f t="shared" si="2257"/>
        <v>3462</v>
      </c>
      <c r="CJ235" s="23">
        <f t="shared" si="2257"/>
        <v>3756.192689545092</v>
      </c>
      <c r="CK235" s="23">
        <f t="shared" ref="CK235" si="2258">CJ187</f>
        <v>3462</v>
      </c>
      <c r="CL235" s="23">
        <f t="shared" ref="CL235" si="2259">CK187</f>
        <v>3770.5510526514727</v>
      </c>
      <c r="CM235" s="24">
        <f t="shared" ref="CM235" si="2260">CL187</f>
        <v>3295</v>
      </c>
      <c r="CN235" s="24">
        <f t="shared" ref="CN235" si="2261">CM187</f>
        <v>3590.2428817908276</v>
      </c>
      <c r="CO235" s="24">
        <f t="shared" ref="CO235" si="2262">CN187</f>
        <v>3679.719862632709</v>
      </c>
      <c r="CP235" s="24">
        <f t="shared" ref="CP235" si="2263">CO187</f>
        <v>4292.1569749691262</v>
      </c>
      <c r="CQ235" s="24">
        <f t="shared" ref="CQ235" si="2264">CP187</f>
        <v>4509.6765752582387</v>
      </c>
      <c r="CR235" s="24">
        <f t="shared" ref="CR235" si="2265">CQ187</f>
        <v>5003.9477093075202</v>
      </c>
      <c r="CS235" s="24">
        <f t="shared" ref="CS235" si="2266">CR187</f>
        <v>5164.9626319044391</v>
      </c>
      <c r="CT235" s="24">
        <f t="shared" ref="CT235" si="2267">CS187</f>
        <v>5839.4178314254423</v>
      </c>
      <c r="CU235" s="24">
        <f t="shared" ref="CU235" si="2268">CT187</f>
        <v>6160.6770687640383</v>
      </c>
      <c r="CV235" s="24">
        <f t="shared" ref="CV235" si="2269">CU187</f>
        <v>6805.9781504486336</v>
      </c>
      <c r="CW235" s="24">
        <f t="shared" ref="CW235" si="2270">CV187</f>
        <v>7047.0269538256071</v>
      </c>
      <c r="CX235" s="24">
        <f t="shared" ref="CX235" si="2271">CW187</f>
        <v>7871.4672369446962</v>
      </c>
      <c r="CY235" s="24">
        <f t="shared" ref="CY235" si="2272">CX187</f>
        <v>8291.773836939994</v>
      </c>
      <c r="CZ235" s="24">
        <f t="shared" ref="CZ235" si="2273">CY187</f>
        <v>9079.2274217711711</v>
      </c>
      <c r="DA235" s="24">
        <f t="shared" ref="DA235" si="2274">CZ187</f>
        <v>9383.2761813089128</v>
      </c>
      <c r="DB235" s="24">
        <f t="shared" ref="DB235" si="2275">DA187</f>
        <v>10375.527632987996</v>
      </c>
      <c r="DC235" s="24">
        <f t="shared" ref="DC235" si="2276">DB187</f>
        <v>10898.124397024067</v>
      </c>
      <c r="DD235" s="24">
        <f t="shared" ref="DD235" si="2277">DC187</f>
        <v>11844.196847081575</v>
      </c>
      <c r="DE235" s="123"/>
      <c r="DF235" s="23">
        <v>0</v>
      </c>
    </row>
    <row r="236" spans="1:110" s="23" customFormat="1" x14ac:dyDescent="0.2">
      <c r="A236" s="23" t="s">
        <v>443</v>
      </c>
      <c r="C236" s="23">
        <f t="shared" ref="C236:W236" si="2278">C235+C231+C227+C225</f>
        <v>0</v>
      </c>
      <c r="D236" s="23">
        <f t="shared" si="2278"/>
        <v>0</v>
      </c>
      <c r="E236" s="23">
        <f t="shared" si="2278"/>
        <v>0</v>
      </c>
      <c r="F236" s="23">
        <f t="shared" si="2278"/>
        <v>0</v>
      </c>
      <c r="G236" s="23">
        <f t="shared" si="2278"/>
        <v>0</v>
      </c>
      <c r="H236" s="23">
        <f t="shared" si="2278"/>
        <v>0</v>
      </c>
      <c r="I236" s="23">
        <f t="shared" si="2278"/>
        <v>0</v>
      </c>
      <c r="J236" s="23">
        <f>J235+J231+J227+J225</f>
        <v>0</v>
      </c>
      <c r="K236" s="23">
        <f>K235+K231+K227+K225</f>
        <v>0</v>
      </c>
      <c r="L236" s="23">
        <f>L235+L231+L227+L225</f>
        <v>0</v>
      </c>
      <c r="M236" s="23">
        <f>M235+M231+M227+M225</f>
        <v>0</v>
      </c>
      <c r="N236" s="23">
        <f t="shared" si="2278"/>
        <v>0</v>
      </c>
      <c r="O236" s="23">
        <f t="shared" si="2278"/>
        <v>0</v>
      </c>
      <c r="P236" s="23">
        <f t="shared" si="2278"/>
        <v>0</v>
      </c>
      <c r="Q236" s="23">
        <f t="shared" si="2278"/>
        <v>0</v>
      </c>
      <c r="R236" s="23">
        <f t="shared" si="2278"/>
        <v>0</v>
      </c>
      <c r="S236" s="23">
        <f t="shared" si="2278"/>
        <v>0</v>
      </c>
      <c r="T236" s="23">
        <f t="shared" si="2278"/>
        <v>0</v>
      </c>
      <c r="U236" s="23">
        <f t="shared" si="2278"/>
        <v>0</v>
      </c>
      <c r="V236" s="23">
        <f t="shared" si="2278"/>
        <v>0</v>
      </c>
      <c r="W236" s="23">
        <f t="shared" si="2278"/>
        <v>0</v>
      </c>
      <c r="X236" s="23">
        <f t="shared" ref="X236:Y236" si="2279">X235+X231+X227+X225</f>
        <v>0</v>
      </c>
      <c r="Y236" s="23">
        <f t="shared" si="2279"/>
        <v>0</v>
      </c>
      <c r="Z236" s="23">
        <f t="shared" ref="Z236" si="2280">Z235+Z231+Z227+Z225</f>
        <v>3462.0000000000027</v>
      </c>
      <c r="AA236" s="24">
        <f t="shared" ref="AA236:AD236" si="2281">AA235+AA231+AA227+AA225</f>
        <v>3679.719862632709</v>
      </c>
      <c r="AB236" s="24">
        <f t="shared" si="2281"/>
        <v>5164.9626319044382</v>
      </c>
      <c r="AC236" s="24">
        <f t="shared" si="2281"/>
        <v>7047.0269538256071</v>
      </c>
      <c r="AD236" s="24">
        <f t="shared" si="2281"/>
        <v>9383.2761813089128</v>
      </c>
      <c r="AE236" s="24">
        <f t="shared" ref="AE236" si="2282">AE235+AE231+AE227+AE225</f>
        <v>12223.648362805588</v>
      </c>
      <c r="AI236" s="23">
        <f t="shared" ref="AI236" si="2283">AI235+AI231+AI227+AI225</f>
        <v>0</v>
      </c>
      <c r="AJ236" s="23">
        <f t="shared" ref="AJ236:AL236" si="2284">AJ235+AJ231+AJ227+AJ225</f>
        <v>0</v>
      </c>
      <c r="AK236" s="23" t="e">
        <f t="shared" si="2284"/>
        <v>#DIV/0!</v>
      </c>
      <c r="AL236" s="23" t="e">
        <f t="shared" si="2284"/>
        <v>#DIV/0!</v>
      </c>
      <c r="AM236" s="23" t="e">
        <f t="shared" ref="AM236" si="2285">AM235+AM231+AM227+AM225</f>
        <v>#DIV/0!</v>
      </c>
      <c r="AN236" s="23" t="e">
        <f t="shared" ref="AN236:CD236" si="2286">AN235+AN231+AN227+AN225</f>
        <v>#DIV/0!</v>
      </c>
      <c r="AO236" s="23" t="e">
        <f t="shared" si="2286"/>
        <v>#DIV/0!</v>
      </c>
      <c r="AP236" s="23" t="e">
        <f t="shared" si="2286"/>
        <v>#DIV/0!</v>
      </c>
      <c r="AQ236" s="23" t="e">
        <f t="shared" si="2286"/>
        <v>#DIV/0!</v>
      </c>
      <c r="AR236" s="23" t="e">
        <f t="shared" si="2286"/>
        <v>#DIV/0!</v>
      </c>
      <c r="AS236" s="23" t="e">
        <f t="shared" si="2286"/>
        <v>#DIV/0!</v>
      </c>
      <c r="AT236" s="23" t="e">
        <f t="shared" si="2286"/>
        <v>#DIV/0!</v>
      </c>
      <c r="AU236" s="23" t="e">
        <f t="shared" si="2286"/>
        <v>#DIV/0!</v>
      </c>
      <c r="AV236" s="23" t="e">
        <f t="shared" si="2286"/>
        <v>#DIV/0!</v>
      </c>
      <c r="AW236" s="23" t="e">
        <f t="shared" si="2286"/>
        <v>#DIV/0!</v>
      </c>
      <c r="AX236" s="23" t="e">
        <f t="shared" si="2286"/>
        <v>#DIV/0!</v>
      </c>
      <c r="AY236" s="23" t="e">
        <f t="shared" si="2286"/>
        <v>#DIV/0!</v>
      </c>
      <c r="AZ236" s="23" t="e">
        <f t="shared" si="2286"/>
        <v>#DIV/0!</v>
      </c>
      <c r="BA236" s="23" t="e">
        <f t="shared" si="2286"/>
        <v>#DIV/0!</v>
      </c>
      <c r="BB236" s="23" t="e">
        <f t="shared" si="2286"/>
        <v>#DIV/0!</v>
      </c>
      <c r="BC236" s="23" t="e">
        <f t="shared" si="2286"/>
        <v>#DIV/0!</v>
      </c>
      <c r="BD236" s="23" t="e">
        <f t="shared" si="2286"/>
        <v>#DIV/0!</v>
      </c>
      <c r="BE236" s="23" t="e">
        <f t="shared" si="2286"/>
        <v>#DIV/0!</v>
      </c>
      <c r="BF236" s="23" t="e">
        <f t="shared" si="2286"/>
        <v>#DIV/0!</v>
      </c>
      <c r="BG236" s="23" t="e">
        <f t="shared" si="2286"/>
        <v>#DIV/0!</v>
      </c>
      <c r="BH236" s="23" t="e">
        <f t="shared" si="2286"/>
        <v>#DIV/0!</v>
      </c>
      <c r="BI236" s="23" t="e">
        <f t="shared" si="2286"/>
        <v>#DIV/0!</v>
      </c>
      <c r="BJ236" s="23" t="e">
        <f t="shared" si="2286"/>
        <v>#DIV/0!</v>
      </c>
      <c r="BK236" s="23" t="e">
        <f t="shared" si="2286"/>
        <v>#DIV/0!</v>
      </c>
      <c r="BL236" s="23" t="e">
        <f t="shared" si="2286"/>
        <v>#DIV/0!</v>
      </c>
      <c r="BM236" s="23" t="e">
        <f t="shared" si="2286"/>
        <v>#DIV/0!</v>
      </c>
      <c r="BN236" s="23" t="e">
        <f t="shared" si="2286"/>
        <v>#DIV/0!</v>
      </c>
      <c r="BO236" s="23" t="e">
        <f t="shared" si="2286"/>
        <v>#DIV/0!</v>
      </c>
      <c r="BP236" s="23" t="e">
        <f t="shared" si="2286"/>
        <v>#DIV/0!</v>
      </c>
      <c r="BQ236" s="23" t="e">
        <f t="shared" si="2286"/>
        <v>#DIV/0!</v>
      </c>
      <c r="BR236" s="23" t="e">
        <f t="shared" si="2286"/>
        <v>#DIV/0!</v>
      </c>
      <c r="BS236" s="23" t="e">
        <f t="shared" si="2286"/>
        <v>#DIV/0!</v>
      </c>
      <c r="BT236" s="23" t="e">
        <f t="shared" si="2286"/>
        <v>#DIV/0!</v>
      </c>
      <c r="BU236" s="23" t="e">
        <f t="shared" si="2286"/>
        <v>#DIV/0!</v>
      </c>
      <c r="BV236" s="23" t="e">
        <f t="shared" si="2286"/>
        <v>#DIV/0!</v>
      </c>
      <c r="BW236" s="23" t="e">
        <f t="shared" si="2286"/>
        <v>#DIV/0!</v>
      </c>
      <c r="BX236" s="23" t="e">
        <f t="shared" si="2286"/>
        <v>#DIV/0!</v>
      </c>
      <c r="BY236" s="23" t="e">
        <f t="shared" si="2286"/>
        <v>#DIV/0!</v>
      </c>
      <c r="BZ236" s="23" t="e">
        <f t="shared" si="2286"/>
        <v>#DIV/0!</v>
      </c>
      <c r="CA236" s="23" t="e">
        <f t="shared" si="2286"/>
        <v>#DIV/0!</v>
      </c>
      <c r="CB236" s="23" t="e">
        <f t="shared" si="2286"/>
        <v>#DIV/0!</v>
      </c>
      <c r="CC236" s="23" t="e">
        <f t="shared" si="2286"/>
        <v>#DIV/0!</v>
      </c>
      <c r="CD236" s="23" t="e">
        <f t="shared" si="2286"/>
        <v>#DIV/0!</v>
      </c>
      <c r="CE236" s="23">
        <f t="shared" ref="CE236:CF236" si="2287">CE235+CE231+CE227+CE225</f>
        <v>145.80000000000007</v>
      </c>
      <c r="CF236" s="23">
        <f t="shared" si="2287"/>
        <v>0</v>
      </c>
      <c r="CG236" s="23">
        <f t="shared" ref="CG236:CH236" si="2288">CG235+CG231+CG227+CG225</f>
        <v>476.94334712334177</v>
      </c>
      <c r="CH236" s="23">
        <f t="shared" si="2288"/>
        <v>3462.0000000000027</v>
      </c>
      <c r="CI236" s="23">
        <f t="shared" ref="CI236:CJ236" si="2289">CI235+CI231+CI227+CI225</f>
        <v>3756.192689545092</v>
      </c>
      <c r="CJ236" s="23">
        <f t="shared" si="2289"/>
        <v>3461.9999999999986</v>
      </c>
      <c r="CK236" s="23">
        <f t="shared" ref="CK236:DB236" si="2290">CK235+CK231+CK227+CK225</f>
        <v>3770.5510526514727</v>
      </c>
      <c r="CL236" s="23">
        <f t="shared" si="2290"/>
        <v>3294.9999999999995</v>
      </c>
      <c r="CM236" s="24">
        <f t="shared" si="2290"/>
        <v>3590.2428817908276</v>
      </c>
      <c r="CN236" s="24">
        <f t="shared" si="2290"/>
        <v>3679.719862632709</v>
      </c>
      <c r="CO236" s="24">
        <f t="shared" si="2290"/>
        <v>4292.1569749691262</v>
      </c>
      <c r="CP236" s="24">
        <f t="shared" si="2290"/>
        <v>4509.6765752582387</v>
      </c>
      <c r="CQ236" s="24">
        <f t="shared" si="2290"/>
        <v>5003.9477093075202</v>
      </c>
      <c r="CR236" s="24">
        <f t="shared" si="2290"/>
        <v>5164.9626319044391</v>
      </c>
      <c r="CS236" s="24">
        <f t="shared" si="2290"/>
        <v>5839.4178314254423</v>
      </c>
      <c r="CT236" s="24">
        <f t="shared" si="2290"/>
        <v>6160.6770687640383</v>
      </c>
      <c r="CU236" s="24">
        <f t="shared" si="2290"/>
        <v>6805.9781504486336</v>
      </c>
      <c r="CV236" s="24">
        <f t="shared" si="2290"/>
        <v>7047.0269538256071</v>
      </c>
      <c r="CW236" s="24">
        <f t="shared" si="2290"/>
        <v>7871.4672369446962</v>
      </c>
      <c r="CX236" s="24">
        <f t="shared" si="2290"/>
        <v>8291.773836939994</v>
      </c>
      <c r="CY236" s="24">
        <f t="shared" si="2290"/>
        <v>9079.2274217711711</v>
      </c>
      <c r="CZ236" s="24">
        <f t="shared" si="2290"/>
        <v>9383.2761813089128</v>
      </c>
      <c r="DA236" s="24">
        <f t="shared" si="2290"/>
        <v>10375.527632987996</v>
      </c>
      <c r="DB236" s="24">
        <f t="shared" si="2290"/>
        <v>10898.124397024067</v>
      </c>
      <c r="DC236" s="24">
        <f t="shared" ref="DC236:DD236" si="2291">DC235+DC231+DC227+DC225</f>
        <v>11844.196847081575</v>
      </c>
      <c r="DD236" s="24">
        <f t="shared" si="2291"/>
        <v>12223.648362805592</v>
      </c>
      <c r="DE236" s="123"/>
      <c r="DF236" s="23">
        <v>3462.0000000000027</v>
      </c>
    </row>
    <row r="237" spans="1:110" s="28" customFormat="1" x14ac:dyDescent="0.2">
      <c r="A237" s="28" t="s">
        <v>444</v>
      </c>
      <c r="C237" s="28">
        <f t="shared" ref="C237:W237" si="2292">C236-C187</f>
        <v>0</v>
      </c>
      <c r="D237" s="28">
        <f t="shared" si="2292"/>
        <v>0</v>
      </c>
      <c r="E237" s="28">
        <f t="shared" si="2292"/>
        <v>0</v>
      </c>
      <c r="F237" s="28">
        <f t="shared" si="2292"/>
        <v>0</v>
      </c>
      <c r="G237" s="28">
        <f t="shared" si="2292"/>
        <v>0</v>
      </c>
      <c r="H237" s="28">
        <f t="shared" si="2292"/>
        <v>0</v>
      </c>
      <c r="I237" s="28">
        <f t="shared" si="2292"/>
        <v>0</v>
      </c>
      <c r="J237" s="28">
        <f>J236-J187</f>
        <v>0</v>
      </c>
      <c r="K237" s="28">
        <f t="shared" si="2292"/>
        <v>0</v>
      </c>
      <c r="L237" s="28">
        <f t="shared" si="2292"/>
        <v>0</v>
      </c>
      <c r="M237" s="28">
        <f t="shared" si="2292"/>
        <v>0</v>
      </c>
      <c r="N237" s="28">
        <f t="shared" si="2292"/>
        <v>0</v>
      </c>
      <c r="O237" s="28">
        <f t="shared" si="2292"/>
        <v>0</v>
      </c>
      <c r="P237" s="28">
        <f t="shared" si="2292"/>
        <v>0</v>
      </c>
      <c r="Q237" s="28">
        <f t="shared" si="2292"/>
        <v>0</v>
      </c>
      <c r="R237" s="28">
        <f t="shared" si="2292"/>
        <v>0</v>
      </c>
      <c r="S237" s="28">
        <f t="shared" si="2292"/>
        <v>0</v>
      </c>
      <c r="T237" s="28">
        <f t="shared" si="2292"/>
        <v>0</v>
      </c>
      <c r="U237" s="28">
        <f t="shared" si="2292"/>
        <v>0</v>
      </c>
      <c r="V237" s="28">
        <f t="shared" si="2292"/>
        <v>0</v>
      </c>
      <c r="W237" s="28">
        <f t="shared" si="2292"/>
        <v>0</v>
      </c>
      <c r="X237" s="28">
        <f t="shared" ref="X237:Y237" si="2293">X236-X187</f>
        <v>0</v>
      </c>
      <c r="Y237" s="28">
        <f t="shared" si="2293"/>
        <v>0</v>
      </c>
      <c r="Z237" s="28">
        <f t="shared" ref="Z237" si="2294">Z236-Z187</f>
        <v>0</v>
      </c>
      <c r="AA237" s="30">
        <f t="shared" ref="AA237:AD237" si="2295">AA236-AA187</f>
        <v>0</v>
      </c>
      <c r="AB237" s="30">
        <f t="shared" si="2295"/>
        <v>0</v>
      </c>
      <c r="AC237" s="30">
        <f t="shared" si="2295"/>
        <v>0</v>
      </c>
      <c r="AD237" s="30">
        <f t="shared" si="2295"/>
        <v>0</v>
      </c>
      <c r="AE237" s="30">
        <f t="shared" ref="AE237" si="2296">AE236-AE187</f>
        <v>0</v>
      </c>
      <c r="AI237" s="28">
        <f t="shared" ref="AI237" si="2297">AI236-AI187</f>
        <v>0</v>
      </c>
      <c r="AJ237" s="28">
        <f t="shared" ref="AJ237:AL237" si="2298">AJ236-AJ187</f>
        <v>0</v>
      </c>
      <c r="AK237" s="28" t="e">
        <f t="shared" si="2298"/>
        <v>#DIV/0!</v>
      </c>
      <c r="AL237" s="28" t="e">
        <f t="shared" si="2298"/>
        <v>#DIV/0!</v>
      </c>
      <c r="AM237" s="28" t="e">
        <f t="shared" ref="AM237" si="2299">AM236-AM187</f>
        <v>#DIV/0!</v>
      </c>
      <c r="AN237" s="28" t="e">
        <f t="shared" ref="AN237:CD237" si="2300">AN236-AN187</f>
        <v>#DIV/0!</v>
      </c>
      <c r="AO237" s="28" t="e">
        <f t="shared" si="2300"/>
        <v>#DIV/0!</v>
      </c>
      <c r="AP237" s="28" t="e">
        <f t="shared" si="2300"/>
        <v>#DIV/0!</v>
      </c>
      <c r="AQ237" s="28" t="e">
        <f t="shared" si="2300"/>
        <v>#DIV/0!</v>
      </c>
      <c r="AR237" s="28" t="e">
        <f t="shared" si="2300"/>
        <v>#DIV/0!</v>
      </c>
      <c r="AS237" s="28" t="e">
        <f t="shared" si="2300"/>
        <v>#DIV/0!</v>
      </c>
      <c r="AT237" s="28" t="e">
        <f t="shared" si="2300"/>
        <v>#DIV/0!</v>
      </c>
      <c r="AU237" s="28" t="e">
        <f t="shared" si="2300"/>
        <v>#DIV/0!</v>
      </c>
      <c r="AV237" s="28" t="e">
        <f t="shared" si="2300"/>
        <v>#DIV/0!</v>
      </c>
      <c r="AW237" s="28" t="e">
        <f t="shared" si="2300"/>
        <v>#DIV/0!</v>
      </c>
      <c r="AX237" s="28" t="e">
        <f t="shared" si="2300"/>
        <v>#DIV/0!</v>
      </c>
      <c r="AY237" s="28" t="e">
        <f t="shared" si="2300"/>
        <v>#DIV/0!</v>
      </c>
      <c r="AZ237" s="28" t="e">
        <f t="shared" si="2300"/>
        <v>#DIV/0!</v>
      </c>
      <c r="BA237" s="28" t="e">
        <f t="shared" si="2300"/>
        <v>#DIV/0!</v>
      </c>
      <c r="BB237" s="28" t="e">
        <f t="shared" si="2300"/>
        <v>#DIV/0!</v>
      </c>
      <c r="BC237" s="28" t="e">
        <f t="shared" si="2300"/>
        <v>#DIV/0!</v>
      </c>
      <c r="BD237" s="28" t="e">
        <f t="shared" si="2300"/>
        <v>#DIV/0!</v>
      </c>
      <c r="BE237" s="28" t="e">
        <f t="shared" si="2300"/>
        <v>#DIV/0!</v>
      </c>
      <c r="BF237" s="28" t="e">
        <f t="shared" si="2300"/>
        <v>#DIV/0!</v>
      </c>
      <c r="BG237" s="28" t="e">
        <f t="shared" si="2300"/>
        <v>#DIV/0!</v>
      </c>
      <c r="BH237" s="28" t="e">
        <f t="shared" si="2300"/>
        <v>#DIV/0!</v>
      </c>
      <c r="BI237" s="28" t="e">
        <f t="shared" si="2300"/>
        <v>#DIV/0!</v>
      </c>
      <c r="BJ237" s="28" t="e">
        <f t="shared" si="2300"/>
        <v>#DIV/0!</v>
      </c>
      <c r="BK237" s="28" t="e">
        <f t="shared" si="2300"/>
        <v>#DIV/0!</v>
      </c>
      <c r="BL237" s="28" t="e">
        <f t="shared" si="2300"/>
        <v>#DIV/0!</v>
      </c>
      <c r="BM237" s="28" t="e">
        <f t="shared" si="2300"/>
        <v>#DIV/0!</v>
      </c>
      <c r="BN237" s="28" t="e">
        <f t="shared" si="2300"/>
        <v>#DIV/0!</v>
      </c>
      <c r="BO237" s="28" t="e">
        <f t="shared" si="2300"/>
        <v>#DIV/0!</v>
      </c>
      <c r="BP237" s="28" t="e">
        <f t="shared" si="2300"/>
        <v>#DIV/0!</v>
      </c>
      <c r="BQ237" s="28" t="e">
        <f t="shared" si="2300"/>
        <v>#DIV/0!</v>
      </c>
      <c r="BR237" s="28" t="e">
        <f t="shared" si="2300"/>
        <v>#DIV/0!</v>
      </c>
      <c r="BS237" s="28" t="e">
        <f t="shared" si="2300"/>
        <v>#DIV/0!</v>
      </c>
      <c r="BT237" s="28" t="e">
        <f t="shared" si="2300"/>
        <v>#DIV/0!</v>
      </c>
      <c r="BU237" s="28" t="e">
        <f t="shared" si="2300"/>
        <v>#DIV/0!</v>
      </c>
      <c r="BV237" s="28" t="e">
        <f t="shared" si="2300"/>
        <v>#DIV/0!</v>
      </c>
      <c r="BW237" s="28" t="e">
        <f t="shared" si="2300"/>
        <v>#DIV/0!</v>
      </c>
      <c r="BX237" s="28" t="e">
        <f t="shared" si="2300"/>
        <v>#DIV/0!</v>
      </c>
      <c r="BY237" s="28" t="e">
        <f t="shared" si="2300"/>
        <v>#DIV/0!</v>
      </c>
      <c r="BZ237" s="28" t="e">
        <f t="shared" si="2300"/>
        <v>#DIV/0!</v>
      </c>
      <c r="CA237" s="28" t="e">
        <f t="shared" si="2300"/>
        <v>#DIV/0!</v>
      </c>
      <c r="CB237" s="28" t="e">
        <f t="shared" si="2300"/>
        <v>#DIV/0!</v>
      </c>
      <c r="CC237" s="28" t="e">
        <f t="shared" si="2300"/>
        <v>#DIV/0!</v>
      </c>
      <c r="CD237" s="28" t="e">
        <f t="shared" si="2300"/>
        <v>#DIV/0!</v>
      </c>
      <c r="CE237" s="28">
        <f t="shared" ref="CE237:CF237" si="2301">CE236-CE187</f>
        <v>0</v>
      </c>
      <c r="CF237" s="28">
        <f t="shared" si="2301"/>
        <v>0</v>
      </c>
      <c r="CG237" s="28">
        <f t="shared" ref="CG237:CH237" si="2302">CG236-CG187</f>
        <v>0</v>
      </c>
      <c r="CH237" s="28">
        <f t="shared" si="2302"/>
        <v>0</v>
      </c>
      <c r="CI237" s="28">
        <f t="shared" ref="CI237:CJ237" si="2303">CI236-CI187</f>
        <v>0</v>
      </c>
      <c r="CJ237" s="28">
        <f t="shared" si="2303"/>
        <v>0</v>
      </c>
      <c r="CK237" s="28">
        <f t="shared" ref="CK237:DB237" si="2304">CK236-CK187</f>
        <v>0</v>
      </c>
      <c r="CL237" s="28">
        <f t="shared" si="2304"/>
        <v>0</v>
      </c>
      <c r="CM237" s="30">
        <f t="shared" si="2304"/>
        <v>0</v>
      </c>
      <c r="CN237" s="30">
        <f t="shared" si="2304"/>
        <v>0</v>
      </c>
      <c r="CO237" s="30">
        <f t="shared" si="2304"/>
        <v>0</v>
      </c>
      <c r="CP237" s="30">
        <f t="shared" si="2304"/>
        <v>0</v>
      </c>
      <c r="CQ237" s="30">
        <f t="shared" si="2304"/>
        <v>0</v>
      </c>
      <c r="CR237" s="30">
        <f t="shared" si="2304"/>
        <v>0</v>
      </c>
      <c r="CS237" s="30">
        <f t="shared" si="2304"/>
        <v>0</v>
      </c>
      <c r="CT237" s="30">
        <f t="shared" si="2304"/>
        <v>0</v>
      </c>
      <c r="CU237" s="30">
        <f t="shared" si="2304"/>
        <v>0</v>
      </c>
      <c r="CV237" s="30">
        <f t="shared" si="2304"/>
        <v>0</v>
      </c>
      <c r="CW237" s="30">
        <f t="shared" si="2304"/>
        <v>0</v>
      </c>
      <c r="CX237" s="30">
        <f t="shared" si="2304"/>
        <v>0</v>
      </c>
      <c r="CY237" s="30">
        <f t="shared" si="2304"/>
        <v>0</v>
      </c>
      <c r="CZ237" s="30">
        <f t="shared" si="2304"/>
        <v>0</v>
      </c>
      <c r="DA237" s="30">
        <f t="shared" si="2304"/>
        <v>0</v>
      </c>
      <c r="DB237" s="30">
        <f t="shared" si="2304"/>
        <v>0</v>
      </c>
      <c r="DC237" s="30">
        <f t="shared" ref="DC237:DD237" si="2305">DC236-DC187</f>
        <v>0</v>
      </c>
      <c r="DD237" s="30">
        <f t="shared" si="2305"/>
        <v>0</v>
      </c>
      <c r="DE237" s="139"/>
      <c r="DF237" s="28">
        <v>0</v>
      </c>
    </row>
    <row r="238" spans="1:110" s="23" customFormat="1" x14ac:dyDescent="0.2">
      <c r="AA238" s="24"/>
      <c r="AB238" s="24"/>
      <c r="AC238" s="24"/>
      <c r="AD238" s="24"/>
      <c r="AE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123"/>
    </row>
    <row r="239" spans="1:110" s="22" customFormat="1" x14ac:dyDescent="0.2">
      <c r="A239" s="22" t="s">
        <v>96</v>
      </c>
      <c r="C239" s="22">
        <f t="shared" ref="C239:W239" si="2306">C225+C227</f>
        <v>0</v>
      </c>
      <c r="D239" s="22">
        <f t="shared" si="2306"/>
        <v>0</v>
      </c>
      <c r="E239" s="22">
        <f t="shared" si="2306"/>
        <v>0</v>
      </c>
      <c r="F239" s="22">
        <f t="shared" si="2306"/>
        <v>0</v>
      </c>
      <c r="G239" s="22">
        <f t="shared" si="2306"/>
        <v>0</v>
      </c>
      <c r="H239" s="22">
        <f t="shared" si="2306"/>
        <v>0</v>
      </c>
      <c r="I239" s="22">
        <f t="shared" si="2306"/>
        <v>0</v>
      </c>
      <c r="J239" s="22">
        <f>J225+J227</f>
        <v>0</v>
      </c>
      <c r="K239" s="22">
        <f t="shared" si="2306"/>
        <v>0</v>
      </c>
      <c r="L239" s="22">
        <f t="shared" si="2306"/>
        <v>0</v>
      </c>
      <c r="M239" s="22">
        <f t="shared" si="2306"/>
        <v>0</v>
      </c>
      <c r="N239" s="22">
        <f t="shared" si="2306"/>
        <v>0</v>
      </c>
      <c r="O239" s="22">
        <f t="shared" si="2306"/>
        <v>0</v>
      </c>
      <c r="P239" s="22">
        <f t="shared" si="2306"/>
        <v>0</v>
      </c>
      <c r="Q239" s="22">
        <f t="shared" si="2306"/>
        <v>0</v>
      </c>
      <c r="R239" s="22">
        <f t="shared" si="2306"/>
        <v>0</v>
      </c>
      <c r="S239" s="22">
        <f t="shared" si="2306"/>
        <v>0</v>
      </c>
      <c r="T239" s="22">
        <f t="shared" si="2306"/>
        <v>0</v>
      </c>
      <c r="U239" s="22">
        <f t="shared" si="2306"/>
        <v>0</v>
      </c>
      <c r="V239" s="22">
        <f t="shared" si="2306"/>
        <v>0</v>
      </c>
      <c r="W239" s="22">
        <f t="shared" si="2306"/>
        <v>0</v>
      </c>
      <c r="X239" s="22">
        <f t="shared" ref="X239:Y239" si="2307">X225+X227</f>
        <v>0</v>
      </c>
      <c r="Y239" s="22">
        <f t="shared" si="2307"/>
        <v>-2616.7999999999997</v>
      </c>
      <c r="Z239" s="22">
        <f t="shared" ref="Z239" si="2308">Z225+Z227</f>
        <v>3397.6000000000022</v>
      </c>
      <c r="AA239" s="21">
        <f t="shared" ref="AA239:AD239" si="2309">AA225+AA227</f>
        <v>474.71986263270821</v>
      </c>
      <c r="AB239" s="21">
        <f t="shared" si="2309"/>
        <v>1485.2427692717297</v>
      </c>
      <c r="AC239" s="21">
        <f t="shared" si="2309"/>
        <v>1882.0643219211659</v>
      </c>
      <c r="AD239" s="21">
        <f t="shared" si="2309"/>
        <v>2336.2492274833039</v>
      </c>
      <c r="AE239" s="21">
        <f t="shared" ref="AE239" si="2310">AE225+AE227</f>
        <v>2840.3721814966789</v>
      </c>
      <c r="AI239" s="22">
        <f t="shared" ref="AI239" si="2311">AI225+AI227</f>
        <v>0</v>
      </c>
      <c r="AJ239" s="22">
        <f t="shared" ref="AJ239:AL239" si="2312">AJ225+AJ227</f>
        <v>0</v>
      </c>
      <c r="AK239" s="22" t="e">
        <f t="shared" si="2312"/>
        <v>#DIV/0!</v>
      </c>
      <c r="AL239" s="22" t="e">
        <f t="shared" si="2312"/>
        <v>#DIV/0!</v>
      </c>
      <c r="AM239" s="22" t="e">
        <f t="shared" ref="AM239" si="2313">AM225+AM227</f>
        <v>#DIV/0!</v>
      </c>
      <c r="AN239" s="22" t="e">
        <f t="shared" ref="AN239:CD239" si="2314">AN225+AN227</f>
        <v>#DIV/0!</v>
      </c>
      <c r="AO239" s="22" t="e">
        <f t="shared" si="2314"/>
        <v>#DIV/0!</v>
      </c>
      <c r="AP239" s="22" t="e">
        <f t="shared" si="2314"/>
        <v>#DIV/0!</v>
      </c>
      <c r="AQ239" s="22" t="e">
        <f t="shared" si="2314"/>
        <v>#DIV/0!</v>
      </c>
      <c r="AR239" s="22" t="e">
        <f t="shared" si="2314"/>
        <v>#DIV/0!</v>
      </c>
      <c r="AS239" s="22" t="e">
        <f t="shared" si="2314"/>
        <v>#DIV/0!</v>
      </c>
      <c r="AT239" s="22" t="e">
        <f t="shared" si="2314"/>
        <v>#DIV/0!</v>
      </c>
      <c r="AU239" s="22" t="e">
        <f t="shared" si="2314"/>
        <v>#DIV/0!</v>
      </c>
      <c r="AV239" s="22" t="e">
        <f t="shared" si="2314"/>
        <v>#DIV/0!</v>
      </c>
      <c r="AW239" s="22" t="e">
        <f t="shared" si="2314"/>
        <v>#DIV/0!</v>
      </c>
      <c r="AX239" s="22" t="e">
        <f t="shared" si="2314"/>
        <v>#DIV/0!</v>
      </c>
      <c r="AY239" s="22" t="e">
        <f t="shared" si="2314"/>
        <v>#DIV/0!</v>
      </c>
      <c r="AZ239" s="22" t="e">
        <f t="shared" si="2314"/>
        <v>#DIV/0!</v>
      </c>
      <c r="BA239" s="22" t="e">
        <f t="shared" si="2314"/>
        <v>#DIV/0!</v>
      </c>
      <c r="BB239" s="22" t="e">
        <f t="shared" si="2314"/>
        <v>#DIV/0!</v>
      </c>
      <c r="BC239" s="22" t="e">
        <f t="shared" si="2314"/>
        <v>#DIV/0!</v>
      </c>
      <c r="BD239" s="22" t="e">
        <f t="shared" si="2314"/>
        <v>#DIV/0!</v>
      </c>
      <c r="BE239" s="22" t="e">
        <f t="shared" si="2314"/>
        <v>#DIV/0!</v>
      </c>
      <c r="BF239" s="22" t="e">
        <f t="shared" si="2314"/>
        <v>#DIV/0!</v>
      </c>
      <c r="BG239" s="22" t="e">
        <f t="shared" si="2314"/>
        <v>#DIV/0!</v>
      </c>
      <c r="BH239" s="22" t="e">
        <f t="shared" si="2314"/>
        <v>#DIV/0!</v>
      </c>
      <c r="BI239" s="22" t="e">
        <f t="shared" si="2314"/>
        <v>#DIV/0!</v>
      </c>
      <c r="BJ239" s="22" t="e">
        <f t="shared" si="2314"/>
        <v>#DIV/0!</v>
      </c>
      <c r="BK239" s="22" t="e">
        <f t="shared" si="2314"/>
        <v>#DIV/0!</v>
      </c>
      <c r="BL239" s="22" t="e">
        <f t="shared" si="2314"/>
        <v>#DIV/0!</v>
      </c>
      <c r="BM239" s="22" t="e">
        <f t="shared" si="2314"/>
        <v>#DIV/0!</v>
      </c>
      <c r="BN239" s="22" t="e">
        <f t="shared" si="2314"/>
        <v>#DIV/0!</v>
      </c>
      <c r="BO239" s="22" t="e">
        <f t="shared" si="2314"/>
        <v>#DIV/0!</v>
      </c>
      <c r="BP239" s="22" t="e">
        <f t="shared" si="2314"/>
        <v>#DIV/0!</v>
      </c>
      <c r="BQ239" s="22" t="e">
        <f t="shared" si="2314"/>
        <v>#DIV/0!</v>
      </c>
      <c r="BR239" s="22" t="e">
        <f t="shared" si="2314"/>
        <v>#DIV/0!</v>
      </c>
      <c r="BS239" s="22" t="e">
        <f t="shared" si="2314"/>
        <v>#DIV/0!</v>
      </c>
      <c r="BT239" s="22" t="e">
        <f t="shared" si="2314"/>
        <v>#DIV/0!</v>
      </c>
      <c r="BU239" s="22" t="e">
        <f t="shared" si="2314"/>
        <v>#DIV/0!</v>
      </c>
      <c r="BV239" s="22" t="e">
        <f t="shared" si="2314"/>
        <v>#DIV/0!</v>
      </c>
      <c r="BW239" s="22" t="e">
        <f t="shared" si="2314"/>
        <v>#DIV/0!</v>
      </c>
      <c r="BX239" s="22" t="e">
        <f t="shared" si="2314"/>
        <v>#DIV/0!</v>
      </c>
      <c r="BY239" s="22" t="e">
        <f t="shared" si="2314"/>
        <v>#DIV/0!</v>
      </c>
      <c r="BZ239" s="22" t="e">
        <f t="shared" si="2314"/>
        <v>#DIV/0!</v>
      </c>
      <c r="CA239" s="22" t="e">
        <f t="shared" si="2314"/>
        <v>#DIV/0!</v>
      </c>
      <c r="CB239" s="22" t="e">
        <f t="shared" si="2314"/>
        <v>#DIV/0!</v>
      </c>
      <c r="CC239" s="22" t="e">
        <f t="shared" si="2314"/>
        <v>#DIV/0!</v>
      </c>
      <c r="CD239" s="22" t="e">
        <f t="shared" si="2314"/>
        <v>#DIV/0!</v>
      </c>
      <c r="CE239" s="22">
        <f t="shared" ref="CE239:CF239" si="2315">CE225+CE227</f>
        <v>145.80000000000007</v>
      </c>
      <c r="CF239" s="22">
        <f t="shared" si="2315"/>
        <v>-2943.1000000000013</v>
      </c>
      <c r="CG239" s="22">
        <f t="shared" ref="CG239:CH239" si="2316">CG225+CG227</f>
        <v>476.94334712334177</v>
      </c>
      <c r="CH239" s="22">
        <f t="shared" si="2316"/>
        <v>2298.356652876661</v>
      </c>
      <c r="CI239" s="22">
        <f t="shared" ref="CI239:CJ239" si="2317">CI225+CI227</f>
        <v>294.19268954509198</v>
      </c>
      <c r="CJ239" s="22">
        <f t="shared" si="2317"/>
        <v>328.10731045490712</v>
      </c>
      <c r="CK239" s="22">
        <f t="shared" ref="CK239:DB239" si="2318">CK225+CK227</f>
        <v>308.55105265147267</v>
      </c>
      <c r="CL239" s="22">
        <f t="shared" si="2318"/>
        <v>-218.55105265147307</v>
      </c>
      <c r="CM239" s="21">
        <f t="shared" si="2318"/>
        <v>295.24288179082782</v>
      </c>
      <c r="CN239" s="21">
        <f t="shared" si="2318"/>
        <v>89.476980841881527</v>
      </c>
      <c r="CO239" s="21">
        <f t="shared" si="2318"/>
        <v>612.43711233641739</v>
      </c>
      <c r="CP239" s="21">
        <f t="shared" si="2318"/>
        <v>217.51960028911242</v>
      </c>
      <c r="CQ239" s="21">
        <f t="shared" si="2318"/>
        <v>494.27113404928195</v>
      </c>
      <c r="CR239" s="21">
        <f t="shared" si="2318"/>
        <v>161.0149225969177</v>
      </c>
      <c r="CS239" s="21">
        <f t="shared" si="2318"/>
        <v>674.45519952100267</v>
      </c>
      <c r="CT239" s="21">
        <f t="shared" si="2318"/>
        <v>321.25923733859634</v>
      </c>
      <c r="CU239" s="21">
        <f t="shared" si="2318"/>
        <v>645.30108168459549</v>
      </c>
      <c r="CV239" s="21">
        <f t="shared" si="2318"/>
        <v>241.0488033769733</v>
      </c>
      <c r="CW239" s="21">
        <f t="shared" si="2318"/>
        <v>824.44028311908869</v>
      </c>
      <c r="CX239" s="21">
        <f t="shared" si="2318"/>
        <v>420.30659999529723</v>
      </c>
      <c r="CY239" s="21">
        <f t="shared" si="2318"/>
        <v>787.45358483117718</v>
      </c>
      <c r="CZ239" s="21">
        <f t="shared" si="2318"/>
        <v>304.04875953774172</v>
      </c>
      <c r="DA239" s="21">
        <f t="shared" si="2318"/>
        <v>992.2514516790834</v>
      </c>
      <c r="DB239" s="21">
        <f t="shared" si="2318"/>
        <v>522.59676403607</v>
      </c>
      <c r="DC239" s="21">
        <f t="shared" ref="DC239:DD239" si="2319">DC225+DC227</f>
        <v>946.07245005750883</v>
      </c>
      <c r="DD239" s="21">
        <f t="shared" si="2319"/>
        <v>379.45151572401664</v>
      </c>
      <c r="DE239" s="126"/>
      <c r="DF239" s="22">
        <v>3397.6000000000022</v>
      </c>
    </row>
    <row r="240" spans="1:110" x14ac:dyDescent="0.2">
      <c r="A240" s="152" t="s">
        <v>496</v>
      </c>
      <c r="DF240" s="111"/>
    </row>
    <row r="241" spans="1:110" x14ac:dyDescent="0.2">
      <c r="DF241" s="111"/>
    </row>
    <row r="242" spans="1:110" s="7" customFormat="1" hidden="1" outlineLevel="1" x14ac:dyDescent="0.2">
      <c r="A242" s="61" t="s">
        <v>97</v>
      </c>
      <c r="AA242" s="77"/>
      <c r="AB242" s="77"/>
      <c r="AC242" s="77"/>
      <c r="AD242" s="77"/>
      <c r="AE242" s="77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138"/>
      <c r="DF242" s="115"/>
    </row>
    <row r="243" spans="1:110" s="62" customFormat="1" hidden="1" outlineLevel="1" x14ac:dyDescent="0.2">
      <c r="A243" s="62" t="s">
        <v>98</v>
      </c>
      <c r="AA243" s="63"/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139"/>
      <c r="DF243" s="114"/>
    </row>
    <row r="244" spans="1:110" s="62" customFormat="1" hidden="1" outlineLevel="1" x14ac:dyDescent="0.2">
      <c r="A244" s="62" t="s">
        <v>99</v>
      </c>
      <c r="AA244" s="63"/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139"/>
      <c r="DF244" s="114"/>
    </row>
    <row r="245" spans="1:110" s="62" customFormat="1" hidden="1" outlineLevel="1" x14ac:dyDescent="0.2">
      <c r="A245" s="62" t="s">
        <v>100</v>
      </c>
      <c r="AA245" s="63"/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139"/>
      <c r="DF245" s="114"/>
    </row>
    <row r="246" spans="1:110" s="62" customFormat="1" hidden="1" outlineLevel="1" x14ac:dyDescent="0.2">
      <c r="AA246" s="63"/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139"/>
      <c r="DF246" s="114"/>
    </row>
    <row r="247" spans="1:110" s="62" customFormat="1" hidden="1" outlineLevel="1" x14ac:dyDescent="0.2">
      <c r="AA247" s="63"/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139"/>
      <c r="DF247" s="114"/>
    </row>
    <row r="248" spans="1:110" s="62" customFormat="1" hidden="1" outlineLevel="1" x14ac:dyDescent="0.2">
      <c r="AA248" s="63"/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139"/>
      <c r="DF248" s="114"/>
    </row>
    <row r="249" spans="1:110" s="11" customFormat="1" collapsed="1" x14ac:dyDescent="0.2">
      <c r="AA249" s="63"/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139"/>
      <c r="DF249" s="217"/>
    </row>
    <row r="250" spans="1:110" s="83" customFormat="1" x14ac:dyDescent="0.2">
      <c r="A250" s="82" t="s">
        <v>101</v>
      </c>
      <c r="AA250" s="72"/>
      <c r="AB250" s="72"/>
      <c r="AC250" s="72"/>
      <c r="AD250" s="72"/>
      <c r="AE250" s="72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139"/>
    </row>
    <row r="251" spans="1:110" s="66" customFormat="1" x14ac:dyDescent="0.2">
      <c r="A251" s="66" t="s">
        <v>471</v>
      </c>
      <c r="AA251" s="50"/>
      <c r="AB251" s="50"/>
      <c r="AC251" s="50"/>
      <c r="AD251" s="50"/>
      <c r="AE251" s="50"/>
      <c r="AL251" s="66">
        <f t="shared" ref="AL251:BQ251" si="2320">SUM(AI36:AL36)</f>
        <v>0</v>
      </c>
      <c r="AM251" s="66">
        <f t="shared" si="2320"/>
        <v>0</v>
      </c>
      <c r="AN251" s="66">
        <f t="shared" si="2320"/>
        <v>0</v>
      </c>
      <c r="AO251" s="66">
        <f t="shared" si="2320"/>
        <v>0</v>
      </c>
      <c r="AP251" s="66">
        <f t="shared" si="2320"/>
        <v>0</v>
      </c>
      <c r="AQ251" s="66">
        <f t="shared" si="2320"/>
        <v>0</v>
      </c>
      <c r="AR251" s="66">
        <f t="shared" si="2320"/>
        <v>0</v>
      </c>
      <c r="AS251" s="66">
        <f t="shared" si="2320"/>
        <v>0</v>
      </c>
      <c r="AT251" s="66">
        <f t="shared" si="2320"/>
        <v>0</v>
      </c>
      <c r="AU251" s="66">
        <f t="shared" si="2320"/>
        <v>0</v>
      </c>
      <c r="AV251" s="66">
        <f t="shared" si="2320"/>
        <v>0</v>
      </c>
      <c r="AW251" s="66">
        <f t="shared" si="2320"/>
        <v>0</v>
      </c>
      <c r="AX251" s="66">
        <f t="shared" si="2320"/>
        <v>0</v>
      </c>
      <c r="AY251" s="66">
        <f t="shared" si="2320"/>
        <v>0</v>
      </c>
      <c r="AZ251" s="66">
        <f t="shared" si="2320"/>
        <v>0</v>
      </c>
      <c r="BA251" s="66">
        <f t="shared" si="2320"/>
        <v>0</v>
      </c>
      <c r="BB251" s="66">
        <f t="shared" si="2320"/>
        <v>0</v>
      </c>
      <c r="BC251" s="66">
        <f t="shared" si="2320"/>
        <v>0</v>
      </c>
      <c r="BD251" s="66">
        <f t="shared" si="2320"/>
        <v>0</v>
      </c>
      <c r="BE251" s="66">
        <f t="shared" si="2320"/>
        <v>0</v>
      </c>
      <c r="BF251" s="66">
        <f t="shared" si="2320"/>
        <v>0</v>
      </c>
      <c r="BG251" s="66">
        <f t="shared" si="2320"/>
        <v>0</v>
      </c>
      <c r="BH251" s="66">
        <f t="shared" si="2320"/>
        <v>0</v>
      </c>
      <c r="BI251" s="66">
        <f t="shared" si="2320"/>
        <v>0</v>
      </c>
      <c r="BJ251" s="66">
        <f t="shared" si="2320"/>
        <v>0</v>
      </c>
      <c r="BK251" s="66">
        <f t="shared" si="2320"/>
        <v>0</v>
      </c>
      <c r="BL251" s="66">
        <f t="shared" si="2320"/>
        <v>0</v>
      </c>
      <c r="BM251" s="66">
        <f t="shared" si="2320"/>
        <v>0</v>
      </c>
      <c r="BN251" s="66">
        <f t="shared" si="2320"/>
        <v>0</v>
      </c>
      <c r="BO251" s="66">
        <f t="shared" si="2320"/>
        <v>0</v>
      </c>
      <c r="BP251" s="66">
        <f t="shared" si="2320"/>
        <v>0</v>
      </c>
      <c r="BQ251" s="66">
        <f t="shared" si="2320"/>
        <v>0</v>
      </c>
      <c r="BR251" s="66">
        <f t="shared" ref="BR251:CW251" si="2321">SUM(BO36:BR36)</f>
        <v>0</v>
      </c>
      <c r="BS251" s="66">
        <f t="shared" si="2321"/>
        <v>0</v>
      </c>
      <c r="BT251" s="66">
        <f t="shared" si="2321"/>
        <v>0</v>
      </c>
      <c r="BU251" s="66">
        <f t="shared" si="2321"/>
        <v>0</v>
      </c>
      <c r="BV251" s="66">
        <f t="shared" si="2321"/>
        <v>0</v>
      </c>
      <c r="BW251" s="66">
        <f t="shared" si="2321"/>
        <v>0</v>
      </c>
      <c r="BX251" s="66">
        <f t="shared" si="2321"/>
        <v>0</v>
      </c>
      <c r="BY251" s="66">
        <f t="shared" si="2321"/>
        <v>0</v>
      </c>
      <c r="BZ251" s="66">
        <f t="shared" si="2321"/>
        <v>0</v>
      </c>
      <c r="CA251" s="66">
        <f t="shared" si="2321"/>
        <v>0</v>
      </c>
      <c r="CB251" s="66">
        <f t="shared" si="2321"/>
        <v>0</v>
      </c>
      <c r="CC251" s="66">
        <f t="shared" si="2321"/>
        <v>0</v>
      </c>
      <c r="CD251" s="66">
        <f t="shared" si="2321"/>
        <v>1196.5999999999999</v>
      </c>
      <c r="CE251" s="66">
        <f t="shared" si="2321"/>
        <v>2680.8</v>
      </c>
      <c r="CF251" s="66">
        <f t="shared" si="2321"/>
        <v>4759.6000000000004</v>
      </c>
      <c r="CG251" s="66">
        <f t="shared" si="2321"/>
        <v>6276.5</v>
      </c>
      <c r="CH251" s="66">
        <f t="shared" si="2321"/>
        <v>6959.4</v>
      </c>
      <c r="CI251" s="66">
        <f t="shared" si="2321"/>
        <v>7259.8000000000011</v>
      </c>
      <c r="CJ251" s="66">
        <f t="shared" si="2321"/>
        <v>7826.7</v>
      </c>
      <c r="CK251" s="66">
        <f t="shared" si="2321"/>
        <v>8220.6999999999989</v>
      </c>
      <c r="CL251" s="66">
        <f t="shared" si="2321"/>
        <v>8735.2999999999993</v>
      </c>
      <c r="CM251" s="50">
        <f t="shared" si="2321"/>
        <v>9265.4074524631778</v>
      </c>
      <c r="CN251" s="50">
        <f t="shared" si="2321"/>
        <v>10035.447986502464</v>
      </c>
      <c r="CO251" s="50">
        <f t="shared" si="2321"/>
        <v>10598.937373553877</v>
      </c>
      <c r="CP251" s="50">
        <f t="shared" si="2321"/>
        <v>11290.939297076979</v>
      </c>
      <c r="CQ251" s="50">
        <f t="shared" si="2321"/>
        <v>11550.22042144005</v>
      </c>
      <c r="CR251" s="50">
        <f t="shared" si="2321"/>
        <v>11897.237613770352</v>
      </c>
      <c r="CS251" s="50">
        <f t="shared" si="2321"/>
        <v>12370.632415280164</v>
      </c>
      <c r="CT251" s="50">
        <f t="shared" si="2321"/>
        <v>12913.502645477012</v>
      </c>
      <c r="CU251" s="50">
        <f t="shared" si="2321"/>
        <v>13333.484045846304</v>
      </c>
      <c r="CV251" s="50">
        <f t="shared" si="2321"/>
        <v>13971.121287648717</v>
      </c>
      <c r="CW251" s="50">
        <f t="shared" si="2321"/>
        <v>14493.418767117642</v>
      </c>
      <c r="CX251" s="50">
        <f t="shared" ref="CX251:DB251" si="2322">SUM(CU36:CX36)</f>
        <v>15114.326581589645</v>
      </c>
      <c r="CY251" s="50">
        <f t="shared" si="2322"/>
        <v>15624.26914136041</v>
      </c>
      <c r="CZ251" s="50">
        <f t="shared" si="2322"/>
        <v>16375.219899748365</v>
      </c>
      <c r="DA251" s="50">
        <f t="shared" si="2322"/>
        <v>16980.572691657639</v>
      </c>
      <c r="DB251" s="50">
        <f t="shared" si="2322"/>
        <v>17708.715060498082</v>
      </c>
      <c r="DC251" s="50">
        <f t="shared" ref="DC251" si="2323">SUM(CZ36:DC36)</f>
        <v>18310.957557820464</v>
      </c>
      <c r="DD251" s="50">
        <f t="shared" ref="DD251" si="2324">SUM(DA36:DD36)</f>
        <v>19190.859921872732</v>
      </c>
      <c r="DE251" s="138"/>
    </row>
    <row r="252" spans="1:110" s="66" customFormat="1" x14ac:dyDescent="0.2">
      <c r="A252" s="66" t="s">
        <v>472</v>
      </c>
      <c r="AA252" s="50"/>
      <c r="AB252" s="50"/>
      <c r="AC252" s="50"/>
      <c r="AD252" s="50"/>
      <c r="AE252" s="50"/>
      <c r="AL252" s="66">
        <f t="shared" ref="AL252:BQ252" si="2325">SUM(AI54:AL54)</f>
        <v>0</v>
      </c>
      <c r="AM252" s="66">
        <f t="shared" si="2325"/>
        <v>0</v>
      </c>
      <c r="AN252" s="66">
        <f t="shared" si="2325"/>
        <v>0</v>
      </c>
      <c r="AO252" s="66">
        <f t="shared" si="2325"/>
        <v>0</v>
      </c>
      <c r="AP252" s="66">
        <f t="shared" si="2325"/>
        <v>0</v>
      </c>
      <c r="AQ252" s="66">
        <f t="shared" si="2325"/>
        <v>0</v>
      </c>
      <c r="AR252" s="66">
        <f t="shared" si="2325"/>
        <v>0</v>
      </c>
      <c r="AS252" s="66">
        <f t="shared" si="2325"/>
        <v>0</v>
      </c>
      <c r="AT252" s="66">
        <f t="shared" si="2325"/>
        <v>0</v>
      </c>
      <c r="AU252" s="66">
        <f t="shared" si="2325"/>
        <v>0</v>
      </c>
      <c r="AV252" s="66">
        <f t="shared" si="2325"/>
        <v>0</v>
      </c>
      <c r="AW252" s="66">
        <f t="shared" si="2325"/>
        <v>0</v>
      </c>
      <c r="AX252" s="66">
        <f t="shared" si="2325"/>
        <v>0</v>
      </c>
      <c r="AY252" s="66">
        <f t="shared" si="2325"/>
        <v>0</v>
      </c>
      <c r="AZ252" s="66">
        <f t="shared" si="2325"/>
        <v>0</v>
      </c>
      <c r="BA252" s="66">
        <f t="shared" si="2325"/>
        <v>0</v>
      </c>
      <c r="BB252" s="66">
        <f t="shared" si="2325"/>
        <v>0</v>
      </c>
      <c r="BC252" s="66">
        <f t="shared" si="2325"/>
        <v>0</v>
      </c>
      <c r="BD252" s="66">
        <f t="shared" si="2325"/>
        <v>0</v>
      </c>
      <c r="BE252" s="66">
        <f t="shared" si="2325"/>
        <v>0</v>
      </c>
      <c r="BF252" s="66">
        <f t="shared" si="2325"/>
        <v>0</v>
      </c>
      <c r="BG252" s="66">
        <f t="shared" si="2325"/>
        <v>0</v>
      </c>
      <c r="BH252" s="66">
        <f t="shared" si="2325"/>
        <v>0</v>
      </c>
      <c r="BI252" s="66">
        <f t="shared" si="2325"/>
        <v>0</v>
      </c>
      <c r="BJ252" s="66">
        <f t="shared" si="2325"/>
        <v>0</v>
      </c>
      <c r="BK252" s="66">
        <f t="shared" si="2325"/>
        <v>0</v>
      </c>
      <c r="BL252" s="66">
        <f t="shared" si="2325"/>
        <v>0</v>
      </c>
      <c r="BM252" s="66">
        <f t="shared" si="2325"/>
        <v>0</v>
      </c>
      <c r="BN252" s="66">
        <f t="shared" si="2325"/>
        <v>0</v>
      </c>
      <c r="BO252" s="66">
        <f t="shared" si="2325"/>
        <v>0</v>
      </c>
      <c r="BP252" s="66">
        <f t="shared" si="2325"/>
        <v>0</v>
      </c>
      <c r="BQ252" s="66">
        <f t="shared" si="2325"/>
        <v>0</v>
      </c>
      <c r="BR252" s="66">
        <f t="shared" ref="BR252:CW252" si="2326">SUM(BO54:BR54)</f>
        <v>0</v>
      </c>
      <c r="BS252" s="66">
        <f t="shared" si="2326"/>
        <v>0</v>
      </c>
      <c r="BT252" s="66">
        <f t="shared" si="2326"/>
        <v>0</v>
      </c>
      <c r="BU252" s="66">
        <f t="shared" si="2326"/>
        <v>0</v>
      </c>
      <c r="BV252" s="66">
        <f t="shared" si="2326"/>
        <v>0</v>
      </c>
      <c r="BW252" s="66">
        <f t="shared" si="2326"/>
        <v>0</v>
      </c>
      <c r="BX252" s="66">
        <f t="shared" si="2326"/>
        <v>0</v>
      </c>
      <c r="BY252" s="66">
        <f t="shared" si="2326"/>
        <v>0</v>
      </c>
      <c r="BZ252" s="66">
        <f t="shared" si="2326"/>
        <v>0</v>
      </c>
      <c r="CA252" s="66">
        <f t="shared" si="2326"/>
        <v>0</v>
      </c>
      <c r="CB252" s="66">
        <f t="shared" si="2326"/>
        <v>0</v>
      </c>
      <c r="CC252" s="66">
        <f t="shared" si="2326"/>
        <v>0</v>
      </c>
      <c r="CD252" s="66">
        <f t="shared" si="2326"/>
        <v>269.49999999999989</v>
      </c>
      <c r="CE252" s="66">
        <f t="shared" si="2326"/>
        <v>482.9</v>
      </c>
      <c r="CF252" s="66">
        <f t="shared" si="2326"/>
        <v>867.79999999999984</v>
      </c>
      <c r="CG252" s="66">
        <f t="shared" si="2326"/>
        <v>1203.0999999999999</v>
      </c>
      <c r="CH252" s="66">
        <f t="shared" si="2326"/>
        <v>1292.0999999999999</v>
      </c>
      <c r="CI252" s="66">
        <f t="shared" si="2326"/>
        <v>1418.9999999999995</v>
      </c>
      <c r="CJ252" s="66">
        <f t="shared" si="2326"/>
        <v>1513.4</v>
      </c>
      <c r="CK252" s="66">
        <f t="shared" si="2326"/>
        <v>1638.9</v>
      </c>
      <c r="CL252" s="66">
        <f t="shared" si="2326"/>
        <v>1778.7</v>
      </c>
      <c r="CM252" s="50">
        <f t="shared" si="2326"/>
        <v>1889.3417055205491</v>
      </c>
      <c r="CN252" s="50">
        <f t="shared" si="2326"/>
        <v>2071.6779246659371</v>
      </c>
      <c r="CO252" s="50">
        <f t="shared" si="2326"/>
        <v>2151.0579410392429</v>
      </c>
      <c r="CP252" s="50">
        <f t="shared" si="2326"/>
        <v>2304.8314263919956</v>
      </c>
      <c r="CQ252" s="50">
        <f t="shared" si="2326"/>
        <v>2413.9713548646805</v>
      </c>
      <c r="CR252" s="50">
        <f t="shared" si="2326"/>
        <v>2564.725135793361</v>
      </c>
      <c r="CS252" s="50">
        <f t="shared" si="2326"/>
        <v>2689.2454197223533</v>
      </c>
      <c r="CT252" s="50">
        <f t="shared" si="2326"/>
        <v>2844.0910182676862</v>
      </c>
      <c r="CU252" s="50">
        <f t="shared" si="2326"/>
        <v>2973.3986455830491</v>
      </c>
      <c r="CV252" s="50">
        <f t="shared" si="2326"/>
        <v>3149.4659466873654</v>
      </c>
      <c r="CW252" s="50">
        <f t="shared" si="2326"/>
        <v>3280.2853435019379</v>
      </c>
      <c r="CX252" s="50">
        <f t="shared" ref="CX252:DB252" si="2327">SUM(CU54:CX54)</f>
        <v>3430.5170467452276</v>
      </c>
      <c r="CY252" s="50">
        <f t="shared" si="2327"/>
        <v>3551.4397285277773</v>
      </c>
      <c r="CZ252" s="50">
        <f t="shared" si="2327"/>
        <v>3711.9740368133671</v>
      </c>
      <c r="DA252" s="50">
        <f t="shared" si="2327"/>
        <v>3851.7417528040892</v>
      </c>
      <c r="DB252" s="50">
        <f t="shared" si="2327"/>
        <v>4014.2154665411376</v>
      </c>
      <c r="DC252" s="50">
        <f t="shared" ref="DC252" si="2328">SUM(CZ54:DC54)</f>
        <v>4148.39376724455</v>
      </c>
      <c r="DD252" s="50">
        <f t="shared" ref="DD252" si="2329">SUM(DA54:DD54)</f>
        <v>4337.6619229759981</v>
      </c>
      <c r="DE252" s="138"/>
    </row>
    <row r="253" spans="1:110" s="66" customFormat="1" x14ac:dyDescent="0.2">
      <c r="A253" s="66" t="s">
        <v>473</v>
      </c>
      <c r="AA253" s="50"/>
      <c r="AB253" s="50"/>
      <c r="AC253" s="50"/>
      <c r="AD253" s="50"/>
      <c r="AE253" s="50"/>
      <c r="AL253" s="66">
        <f t="shared" ref="AL253:BQ253" si="2330">SUM(AI67:AL67)</f>
        <v>0</v>
      </c>
      <c r="AM253" s="66">
        <f t="shared" si="2330"/>
        <v>0</v>
      </c>
      <c r="AN253" s="66">
        <f t="shared" si="2330"/>
        <v>0</v>
      </c>
      <c r="AO253" s="66">
        <f t="shared" si="2330"/>
        <v>0</v>
      </c>
      <c r="AP253" s="66">
        <f t="shared" si="2330"/>
        <v>0</v>
      </c>
      <c r="AQ253" s="66">
        <f t="shared" si="2330"/>
        <v>0</v>
      </c>
      <c r="AR253" s="66">
        <f t="shared" si="2330"/>
        <v>0</v>
      </c>
      <c r="AS253" s="66">
        <f t="shared" si="2330"/>
        <v>0</v>
      </c>
      <c r="AT253" s="66">
        <f t="shared" si="2330"/>
        <v>0</v>
      </c>
      <c r="AU253" s="66">
        <f t="shared" si="2330"/>
        <v>0</v>
      </c>
      <c r="AV253" s="66">
        <f t="shared" si="2330"/>
        <v>0</v>
      </c>
      <c r="AW253" s="66">
        <f t="shared" si="2330"/>
        <v>0</v>
      </c>
      <c r="AX253" s="66">
        <f t="shared" si="2330"/>
        <v>0</v>
      </c>
      <c r="AY253" s="66">
        <f t="shared" si="2330"/>
        <v>0</v>
      </c>
      <c r="AZ253" s="66">
        <f t="shared" si="2330"/>
        <v>0</v>
      </c>
      <c r="BA253" s="66">
        <f t="shared" si="2330"/>
        <v>0</v>
      </c>
      <c r="BB253" s="66">
        <f t="shared" si="2330"/>
        <v>0</v>
      </c>
      <c r="BC253" s="66">
        <f t="shared" si="2330"/>
        <v>0</v>
      </c>
      <c r="BD253" s="66">
        <f t="shared" si="2330"/>
        <v>0</v>
      </c>
      <c r="BE253" s="66">
        <f t="shared" si="2330"/>
        <v>0</v>
      </c>
      <c r="BF253" s="66">
        <f t="shared" si="2330"/>
        <v>0</v>
      </c>
      <c r="BG253" s="66">
        <f t="shared" si="2330"/>
        <v>0</v>
      </c>
      <c r="BH253" s="66">
        <f t="shared" si="2330"/>
        <v>0</v>
      </c>
      <c r="BI253" s="66">
        <f t="shared" si="2330"/>
        <v>0</v>
      </c>
      <c r="BJ253" s="66">
        <f t="shared" si="2330"/>
        <v>0</v>
      </c>
      <c r="BK253" s="66">
        <f t="shared" si="2330"/>
        <v>0</v>
      </c>
      <c r="BL253" s="66">
        <f t="shared" si="2330"/>
        <v>0</v>
      </c>
      <c r="BM253" s="66">
        <f t="shared" si="2330"/>
        <v>0</v>
      </c>
      <c r="BN253" s="66">
        <f t="shared" si="2330"/>
        <v>0</v>
      </c>
      <c r="BO253" s="66">
        <f t="shared" si="2330"/>
        <v>0</v>
      </c>
      <c r="BP253" s="66">
        <f t="shared" si="2330"/>
        <v>0</v>
      </c>
      <c r="BQ253" s="66">
        <f t="shared" si="2330"/>
        <v>0</v>
      </c>
      <c r="BR253" s="66">
        <f t="shared" ref="BR253:CW253" si="2331">SUM(BO67:BR67)</f>
        <v>0</v>
      </c>
      <c r="BS253" s="66">
        <f t="shared" si="2331"/>
        <v>0</v>
      </c>
      <c r="BT253" s="66">
        <f t="shared" si="2331"/>
        <v>0</v>
      </c>
      <c r="BU253" s="66">
        <f t="shared" si="2331"/>
        <v>0</v>
      </c>
      <c r="BV253" s="66">
        <f t="shared" si="2331"/>
        <v>0</v>
      </c>
      <c r="BW253" s="66">
        <f t="shared" si="2331"/>
        <v>0</v>
      </c>
      <c r="BX253" s="66">
        <f t="shared" si="2331"/>
        <v>0</v>
      </c>
      <c r="BY253" s="66">
        <f t="shared" si="2331"/>
        <v>0</v>
      </c>
      <c r="BZ253" s="66">
        <f t="shared" si="2331"/>
        <v>0</v>
      </c>
      <c r="CA253" s="66">
        <f t="shared" si="2331"/>
        <v>0</v>
      </c>
      <c r="CB253" s="66">
        <f t="shared" si="2331"/>
        <v>0</v>
      </c>
      <c r="CC253" s="66">
        <f t="shared" si="2331"/>
        <v>0</v>
      </c>
      <c r="CD253" s="66">
        <f t="shared" si="2331"/>
        <v>180.49999999999986</v>
      </c>
      <c r="CE253" s="66">
        <f t="shared" si="2331"/>
        <v>326.29999999999995</v>
      </c>
      <c r="CF253" s="66">
        <f t="shared" si="2331"/>
        <v>599.99999999999977</v>
      </c>
      <c r="CG253" s="66">
        <f t="shared" si="2331"/>
        <v>831.69999999999993</v>
      </c>
      <c r="CH253" s="66">
        <f t="shared" si="2331"/>
        <v>897.3</v>
      </c>
      <c r="CI253" s="66">
        <f t="shared" si="2331"/>
        <v>1014.1999999999997</v>
      </c>
      <c r="CJ253" s="66">
        <f t="shared" si="2331"/>
        <v>1100.0999999999999</v>
      </c>
      <c r="CK253" s="66">
        <f t="shared" si="2331"/>
        <v>1233.2</v>
      </c>
      <c r="CL253" s="66">
        <f t="shared" si="2331"/>
        <v>1361.7</v>
      </c>
      <c r="CM253" s="50">
        <f t="shared" si="2331"/>
        <v>1436.8339583368513</v>
      </c>
      <c r="CN253" s="50">
        <f t="shared" si="2331"/>
        <v>1570.9998884262213</v>
      </c>
      <c r="CO253" s="50">
        <f t="shared" si="2331"/>
        <v>1610.8481831254182</v>
      </c>
      <c r="CP253" s="50">
        <f t="shared" si="2331"/>
        <v>1722.1438773037567</v>
      </c>
      <c r="CQ253" s="50">
        <f t="shared" si="2331"/>
        <v>1791.2258458498427</v>
      </c>
      <c r="CR253" s="50">
        <f t="shared" si="2331"/>
        <v>1894.2959879178802</v>
      </c>
      <c r="CS253" s="50">
        <f t="shared" si="2331"/>
        <v>1971.5228504871509</v>
      </c>
      <c r="CT253" s="50">
        <f t="shared" si="2331"/>
        <v>2074.7035300338944</v>
      </c>
      <c r="CU253" s="50">
        <f t="shared" si="2331"/>
        <v>2167.1275806405756</v>
      </c>
      <c r="CV253" s="50">
        <f t="shared" si="2331"/>
        <v>2296.0869621177208</v>
      </c>
      <c r="CW253" s="50">
        <f t="shared" si="2331"/>
        <v>2392.9457322088128</v>
      </c>
      <c r="CX253" s="50">
        <f t="shared" ref="CX253:DB253" si="2332">SUM(CU67:CX67)</f>
        <v>2506.7801466297519</v>
      </c>
      <c r="CY253" s="50">
        <f t="shared" si="2332"/>
        <v>2599.817638371791</v>
      </c>
      <c r="CZ253" s="50">
        <f t="shared" si="2332"/>
        <v>2724.3253830652993</v>
      </c>
      <c r="DA253" s="50">
        <f t="shared" si="2332"/>
        <v>2834.4954719711022</v>
      </c>
      <c r="DB253" s="50">
        <f t="shared" si="2332"/>
        <v>2963.5949100977828</v>
      </c>
      <c r="DC253" s="50">
        <f t="shared" ref="DC253" si="2333">SUM(CZ67:DC67)</f>
        <v>3072.5973889047996</v>
      </c>
      <c r="DD253" s="50">
        <f t="shared" ref="DD253" si="2334">SUM(DA67:DD67)</f>
        <v>3224.7170597185368</v>
      </c>
      <c r="DE253" s="138"/>
    </row>
    <row r="254" spans="1:110" s="93" customFormat="1" x14ac:dyDescent="0.2">
      <c r="AA254" s="30"/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139"/>
    </row>
    <row r="255" spans="1:110" s="11" customFormat="1" x14ac:dyDescent="0.2">
      <c r="AA255" s="63"/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139"/>
      <c r="DF255" s="217"/>
    </row>
    <row r="256" spans="1:110" s="62" customFormat="1" hidden="1" outlineLevel="1" x14ac:dyDescent="0.2">
      <c r="A256" s="61" t="s">
        <v>339</v>
      </c>
      <c r="AA256" s="63"/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139"/>
      <c r="DF256" s="114"/>
    </row>
    <row r="257" spans="1:110" s="64" customFormat="1" hidden="1" outlineLevel="1" x14ac:dyDescent="0.2">
      <c r="A257" s="64" t="s">
        <v>474</v>
      </c>
      <c r="B257" s="64">
        <f t="shared" ref="B257:Y257" si="2335">B34-B263</f>
        <v>0</v>
      </c>
      <c r="C257" s="64">
        <f t="shared" si="2335"/>
        <v>0</v>
      </c>
      <c r="D257" s="64">
        <f t="shared" si="2335"/>
        <v>0</v>
      </c>
      <c r="E257" s="64">
        <f t="shared" si="2335"/>
        <v>0</v>
      </c>
      <c r="F257" s="64">
        <f t="shared" si="2335"/>
        <v>0</v>
      </c>
      <c r="G257" s="64">
        <f t="shared" si="2335"/>
        <v>0</v>
      </c>
      <c r="H257" s="64">
        <f t="shared" si="2335"/>
        <v>0</v>
      </c>
      <c r="I257" s="64">
        <f t="shared" si="2335"/>
        <v>0</v>
      </c>
      <c r="J257" s="64">
        <f t="shared" si="2335"/>
        <v>0</v>
      </c>
      <c r="K257" s="64">
        <f t="shared" si="2335"/>
        <v>0</v>
      </c>
      <c r="L257" s="64">
        <f t="shared" si="2335"/>
        <v>0</v>
      </c>
      <c r="M257" s="64">
        <f t="shared" si="2335"/>
        <v>0</v>
      </c>
      <c r="N257" s="64">
        <f t="shared" si="2335"/>
        <v>0</v>
      </c>
      <c r="O257" s="64">
        <f t="shared" si="2335"/>
        <v>0</v>
      </c>
      <c r="P257" s="64">
        <f t="shared" si="2335"/>
        <v>0</v>
      </c>
      <c r="Q257" s="64">
        <f t="shared" si="2335"/>
        <v>0</v>
      </c>
      <c r="R257" s="64">
        <f t="shared" si="2335"/>
        <v>0</v>
      </c>
      <c r="S257" s="64">
        <f t="shared" si="2335"/>
        <v>0</v>
      </c>
      <c r="T257" s="64">
        <f t="shared" si="2335"/>
        <v>0</v>
      </c>
      <c r="U257" s="64">
        <f t="shared" si="2335"/>
        <v>0</v>
      </c>
      <c r="V257" s="64">
        <f t="shared" si="2335"/>
        <v>0</v>
      </c>
      <c r="W257" s="64">
        <f t="shared" si="2335"/>
        <v>0</v>
      </c>
      <c r="X257" s="64">
        <f t="shared" si="2335"/>
        <v>0</v>
      </c>
      <c r="Y257" s="64">
        <f t="shared" si="2335"/>
        <v>4759.6000000000004</v>
      </c>
      <c r="Z257" s="64">
        <f t="shared" ref="Z257" si="2336">Z34-Z263</f>
        <v>7826.7</v>
      </c>
      <c r="AA257" s="30"/>
      <c r="AB257" s="30"/>
      <c r="AC257" s="30"/>
      <c r="AD257" s="30"/>
      <c r="AE257" s="30"/>
      <c r="AI257" s="64">
        <f t="shared" ref="AI257:BN257" si="2337">AI34-AI263</f>
        <v>0</v>
      </c>
      <c r="AJ257" s="64">
        <f t="shared" si="2337"/>
        <v>0</v>
      </c>
      <c r="AK257" s="64">
        <f t="shared" si="2337"/>
        <v>0</v>
      </c>
      <c r="AL257" s="64">
        <f t="shared" si="2337"/>
        <v>0</v>
      </c>
      <c r="AM257" s="64">
        <f t="shared" si="2337"/>
        <v>0</v>
      </c>
      <c r="AN257" s="64">
        <f t="shared" si="2337"/>
        <v>0</v>
      </c>
      <c r="AO257" s="64">
        <f t="shared" si="2337"/>
        <v>0</v>
      </c>
      <c r="AP257" s="64">
        <f t="shared" si="2337"/>
        <v>0</v>
      </c>
      <c r="AQ257" s="64">
        <f t="shared" si="2337"/>
        <v>0</v>
      </c>
      <c r="AR257" s="64">
        <f t="shared" si="2337"/>
        <v>0</v>
      </c>
      <c r="AS257" s="64">
        <f t="shared" si="2337"/>
        <v>0</v>
      </c>
      <c r="AT257" s="64">
        <f t="shared" si="2337"/>
        <v>0</v>
      </c>
      <c r="AU257" s="64">
        <f t="shared" si="2337"/>
        <v>0</v>
      </c>
      <c r="AV257" s="64">
        <f t="shared" si="2337"/>
        <v>0</v>
      </c>
      <c r="AW257" s="64">
        <f t="shared" si="2337"/>
        <v>0</v>
      </c>
      <c r="AX257" s="64">
        <f t="shared" si="2337"/>
        <v>0</v>
      </c>
      <c r="AY257" s="64">
        <f t="shared" si="2337"/>
        <v>0</v>
      </c>
      <c r="AZ257" s="64">
        <f t="shared" si="2337"/>
        <v>0</v>
      </c>
      <c r="BA257" s="64">
        <f t="shared" si="2337"/>
        <v>0</v>
      </c>
      <c r="BB257" s="64">
        <f t="shared" si="2337"/>
        <v>0</v>
      </c>
      <c r="BC257" s="64">
        <f t="shared" si="2337"/>
        <v>0</v>
      </c>
      <c r="BD257" s="64">
        <f t="shared" si="2337"/>
        <v>0</v>
      </c>
      <c r="BE257" s="64">
        <f t="shared" si="2337"/>
        <v>0</v>
      </c>
      <c r="BF257" s="64">
        <f t="shared" si="2337"/>
        <v>0</v>
      </c>
      <c r="BG257" s="64">
        <f t="shared" si="2337"/>
        <v>0</v>
      </c>
      <c r="BH257" s="64">
        <f t="shared" si="2337"/>
        <v>0</v>
      </c>
      <c r="BI257" s="64">
        <f t="shared" si="2337"/>
        <v>0</v>
      </c>
      <c r="BJ257" s="64">
        <f t="shared" si="2337"/>
        <v>0</v>
      </c>
      <c r="BK257" s="64">
        <f t="shared" si="2337"/>
        <v>0</v>
      </c>
      <c r="BL257" s="64">
        <f t="shared" si="2337"/>
        <v>0</v>
      </c>
      <c r="BM257" s="64">
        <f t="shared" si="2337"/>
        <v>0</v>
      </c>
      <c r="BN257" s="64">
        <f t="shared" si="2337"/>
        <v>0</v>
      </c>
      <c r="BO257" s="64">
        <f t="shared" ref="BO257:CT257" si="2338">BO34-BO263</f>
        <v>0</v>
      </c>
      <c r="BP257" s="64">
        <f t="shared" si="2338"/>
        <v>0</v>
      </c>
      <c r="BQ257" s="64">
        <f t="shared" si="2338"/>
        <v>0</v>
      </c>
      <c r="BR257" s="64">
        <f t="shared" si="2338"/>
        <v>0</v>
      </c>
      <c r="BS257" s="64">
        <f t="shared" si="2338"/>
        <v>0</v>
      </c>
      <c r="BT257" s="64">
        <f t="shared" si="2338"/>
        <v>0</v>
      </c>
      <c r="BU257" s="64">
        <f t="shared" si="2338"/>
        <v>0</v>
      </c>
      <c r="BV257" s="64">
        <f t="shared" si="2338"/>
        <v>0</v>
      </c>
      <c r="BW257" s="64">
        <f t="shared" si="2338"/>
        <v>0</v>
      </c>
      <c r="BX257" s="64">
        <f t="shared" si="2338"/>
        <v>0</v>
      </c>
      <c r="BY257" s="64">
        <f t="shared" si="2338"/>
        <v>0</v>
      </c>
      <c r="BZ257" s="64">
        <f t="shared" si="2338"/>
        <v>0</v>
      </c>
      <c r="CA257" s="64">
        <f t="shared" si="2338"/>
        <v>0</v>
      </c>
      <c r="CB257" s="64">
        <f t="shared" si="2338"/>
        <v>0</v>
      </c>
      <c r="CC257" s="64">
        <f t="shared" si="2338"/>
        <v>0</v>
      </c>
      <c r="CD257" s="64">
        <f t="shared" si="2338"/>
        <v>1196.5999999999999</v>
      </c>
      <c r="CE257" s="64">
        <f t="shared" si="2338"/>
        <v>1484.2</v>
      </c>
      <c r="CF257" s="64">
        <f t="shared" si="2338"/>
        <v>2078.8000000000002</v>
      </c>
      <c r="CG257" s="64">
        <f t="shared" si="2338"/>
        <v>1516.9</v>
      </c>
      <c r="CH257" s="64">
        <f t="shared" si="2338"/>
        <v>1879.5</v>
      </c>
      <c r="CI257" s="64">
        <f t="shared" si="2338"/>
        <v>1784.6</v>
      </c>
      <c r="CJ257" s="64">
        <f t="shared" si="2338"/>
        <v>2645.7</v>
      </c>
      <c r="CK257" s="64">
        <f t="shared" si="2338"/>
        <v>1910.9</v>
      </c>
      <c r="CL257" s="64">
        <f t="shared" si="2338"/>
        <v>2394.1</v>
      </c>
      <c r="CM257" s="30">
        <f t="shared" si="2338"/>
        <v>2314.7074524631771</v>
      </c>
      <c r="CN257" s="30">
        <f t="shared" si="2338"/>
        <v>3415.740534039287</v>
      </c>
      <c r="CO257" s="30">
        <f t="shared" si="2338"/>
        <v>2474.389387051413</v>
      </c>
      <c r="CP257" s="30">
        <f t="shared" si="2338"/>
        <v>3086.1019235231015</v>
      </c>
      <c r="CQ257" s="30">
        <f t="shared" si="2338"/>
        <v>2573.9885768262484</v>
      </c>
      <c r="CR257" s="30">
        <f t="shared" si="2338"/>
        <v>3762.7577263695894</v>
      </c>
      <c r="CS257" s="30">
        <f t="shared" si="2338"/>
        <v>2947.7841885612243</v>
      </c>
      <c r="CT257" s="30">
        <f t="shared" si="2338"/>
        <v>3628.9721537199521</v>
      </c>
      <c r="CU257" s="30">
        <f t="shared" ref="CU257:DB257" si="2339">CU34-CU263</f>
        <v>2993.9699771955384</v>
      </c>
      <c r="CV257" s="30">
        <f t="shared" si="2339"/>
        <v>4400.3949681720023</v>
      </c>
      <c r="CW257" s="30">
        <f t="shared" si="2339"/>
        <v>3470.0816680301491</v>
      </c>
      <c r="CX257" s="30">
        <f t="shared" si="2339"/>
        <v>4249.8799681919545</v>
      </c>
      <c r="CY257" s="30">
        <f t="shared" si="2339"/>
        <v>3503.9125369663034</v>
      </c>
      <c r="CZ257" s="30">
        <f t="shared" si="2339"/>
        <v>5151.3457265599582</v>
      </c>
      <c r="DA257" s="30">
        <f t="shared" si="2339"/>
        <v>4075.4344599394235</v>
      </c>
      <c r="DB257" s="30">
        <f t="shared" si="2339"/>
        <v>4978.0223370323947</v>
      </c>
      <c r="DC257" s="30">
        <f t="shared" ref="DC257:DD257" si="2340">DC34-DC263</f>
        <v>4106.1550342886885</v>
      </c>
      <c r="DD257" s="30">
        <f t="shared" si="2340"/>
        <v>6031.2480906122273</v>
      </c>
      <c r="DE257" s="139"/>
      <c r="DF257" s="64">
        <v>7826.7</v>
      </c>
    </row>
    <row r="258" spans="1:110" s="64" customFormat="1" hidden="1" outlineLevel="1" x14ac:dyDescent="0.2">
      <c r="A258" s="64" t="s">
        <v>475</v>
      </c>
      <c r="B258" s="64">
        <f t="shared" ref="B258:Y258" si="2341">B54-B264</f>
        <v>0</v>
      </c>
      <c r="C258" s="64">
        <f t="shared" si="2341"/>
        <v>0</v>
      </c>
      <c r="D258" s="64">
        <f t="shared" si="2341"/>
        <v>0</v>
      </c>
      <c r="E258" s="64">
        <f t="shared" si="2341"/>
        <v>0</v>
      </c>
      <c r="F258" s="64">
        <f t="shared" si="2341"/>
        <v>0</v>
      </c>
      <c r="G258" s="64">
        <f t="shared" si="2341"/>
        <v>0</v>
      </c>
      <c r="H258" s="64">
        <f t="shared" si="2341"/>
        <v>0</v>
      </c>
      <c r="I258" s="64">
        <f t="shared" si="2341"/>
        <v>0</v>
      </c>
      <c r="J258" s="64">
        <f t="shared" si="2341"/>
        <v>0</v>
      </c>
      <c r="K258" s="64">
        <f t="shared" si="2341"/>
        <v>0</v>
      </c>
      <c r="L258" s="64">
        <f t="shared" si="2341"/>
        <v>0</v>
      </c>
      <c r="M258" s="64">
        <f t="shared" si="2341"/>
        <v>0</v>
      </c>
      <c r="N258" s="64">
        <f t="shared" si="2341"/>
        <v>0</v>
      </c>
      <c r="O258" s="64">
        <f t="shared" si="2341"/>
        <v>0</v>
      </c>
      <c r="P258" s="64">
        <f t="shared" si="2341"/>
        <v>0</v>
      </c>
      <c r="Q258" s="64">
        <f t="shared" si="2341"/>
        <v>0</v>
      </c>
      <c r="R258" s="64">
        <f t="shared" si="2341"/>
        <v>0</v>
      </c>
      <c r="S258" s="64">
        <f t="shared" si="2341"/>
        <v>0</v>
      </c>
      <c r="T258" s="64">
        <f t="shared" si="2341"/>
        <v>0</v>
      </c>
      <c r="U258" s="64">
        <f t="shared" si="2341"/>
        <v>0</v>
      </c>
      <c r="V258" s="64">
        <f t="shared" si="2341"/>
        <v>0</v>
      </c>
      <c r="W258" s="64">
        <f t="shared" si="2341"/>
        <v>0</v>
      </c>
      <c r="X258" s="64">
        <f t="shared" si="2341"/>
        <v>0</v>
      </c>
      <c r="Y258" s="64">
        <f t="shared" si="2341"/>
        <v>855.50000000000091</v>
      </c>
      <c r="Z258" s="64">
        <f t="shared" ref="Z258" si="2342">Z54-Z264</f>
        <v>1490</v>
      </c>
      <c r="AA258" s="30"/>
      <c r="AB258" s="30"/>
      <c r="AC258" s="30"/>
      <c r="AD258" s="30"/>
      <c r="AE258" s="30"/>
      <c r="AI258" s="64">
        <f t="shared" ref="AI258:BN258" si="2343">AI54-AI264</f>
        <v>0</v>
      </c>
      <c r="AJ258" s="64">
        <f t="shared" si="2343"/>
        <v>0</v>
      </c>
      <c r="AK258" s="64">
        <f t="shared" si="2343"/>
        <v>0</v>
      </c>
      <c r="AL258" s="64">
        <f t="shared" si="2343"/>
        <v>0</v>
      </c>
      <c r="AM258" s="64">
        <f t="shared" si="2343"/>
        <v>0</v>
      </c>
      <c r="AN258" s="64">
        <f t="shared" si="2343"/>
        <v>0</v>
      </c>
      <c r="AO258" s="64">
        <f t="shared" si="2343"/>
        <v>0</v>
      </c>
      <c r="AP258" s="64">
        <f t="shared" si="2343"/>
        <v>0</v>
      </c>
      <c r="AQ258" s="64">
        <f t="shared" si="2343"/>
        <v>0</v>
      </c>
      <c r="AR258" s="64">
        <f t="shared" si="2343"/>
        <v>0</v>
      </c>
      <c r="AS258" s="64">
        <f t="shared" si="2343"/>
        <v>0</v>
      </c>
      <c r="AT258" s="64">
        <f t="shared" si="2343"/>
        <v>0</v>
      </c>
      <c r="AU258" s="64">
        <f t="shared" si="2343"/>
        <v>0</v>
      </c>
      <c r="AV258" s="64">
        <f t="shared" si="2343"/>
        <v>0</v>
      </c>
      <c r="AW258" s="64">
        <f t="shared" si="2343"/>
        <v>0</v>
      </c>
      <c r="AX258" s="64">
        <f t="shared" si="2343"/>
        <v>0</v>
      </c>
      <c r="AY258" s="64">
        <f t="shared" si="2343"/>
        <v>0</v>
      </c>
      <c r="AZ258" s="64">
        <f t="shared" si="2343"/>
        <v>0</v>
      </c>
      <c r="BA258" s="64">
        <f t="shared" si="2343"/>
        <v>0</v>
      </c>
      <c r="BB258" s="64">
        <f t="shared" si="2343"/>
        <v>0</v>
      </c>
      <c r="BC258" s="64">
        <f t="shared" si="2343"/>
        <v>0</v>
      </c>
      <c r="BD258" s="64">
        <f t="shared" si="2343"/>
        <v>0</v>
      </c>
      <c r="BE258" s="64">
        <f t="shared" si="2343"/>
        <v>0</v>
      </c>
      <c r="BF258" s="64">
        <f t="shared" si="2343"/>
        <v>0</v>
      </c>
      <c r="BG258" s="64">
        <f t="shared" si="2343"/>
        <v>0</v>
      </c>
      <c r="BH258" s="64">
        <f t="shared" si="2343"/>
        <v>0</v>
      </c>
      <c r="BI258" s="64">
        <f t="shared" si="2343"/>
        <v>0</v>
      </c>
      <c r="BJ258" s="64">
        <f t="shared" si="2343"/>
        <v>0</v>
      </c>
      <c r="BK258" s="64">
        <f t="shared" si="2343"/>
        <v>0</v>
      </c>
      <c r="BL258" s="64">
        <f t="shared" si="2343"/>
        <v>0</v>
      </c>
      <c r="BM258" s="64">
        <f t="shared" si="2343"/>
        <v>0</v>
      </c>
      <c r="BN258" s="64">
        <f t="shared" si="2343"/>
        <v>0</v>
      </c>
      <c r="BO258" s="64">
        <f t="shared" ref="BO258:CT258" si="2344">BO54-BO264</f>
        <v>0</v>
      </c>
      <c r="BP258" s="64">
        <f t="shared" si="2344"/>
        <v>0</v>
      </c>
      <c r="BQ258" s="64">
        <f t="shared" si="2344"/>
        <v>0</v>
      </c>
      <c r="BR258" s="64">
        <f t="shared" si="2344"/>
        <v>0</v>
      </c>
      <c r="BS258" s="64">
        <f t="shared" si="2344"/>
        <v>0</v>
      </c>
      <c r="BT258" s="64">
        <f t="shared" si="2344"/>
        <v>0</v>
      </c>
      <c r="BU258" s="64">
        <f t="shared" si="2344"/>
        <v>0</v>
      </c>
      <c r="BV258" s="64">
        <f t="shared" si="2344"/>
        <v>0</v>
      </c>
      <c r="BW258" s="64">
        <f t="shared" si="2344"/>
        <v>0</v>
      </c>
      <c r="BX258" s="64">
        <f t="shared" si="2344"/>
        <v>0</v>
      </c>
      <c r="BY258" s="64">
        <f t="shared" si="2344"/>
        <v>0</v>
      </c>
      <c r="BZ258" s="64">
        <f t="shared" si="2344"/>
        <v>0</v>
      </c>
      <c r="CA258" s="64">
        <f t="shared" si="2344"/>
        <v>0</v>
      </c>
      <c r="CB258" s="64">
        <f t="shared" si="2344"/>
        <v>0</v>
      </c>
      <c r="CC258" s="64">
        <f t="shared" si="2344"/>
        <v>0</v>
      </c>
      <c r="CD258" s="64">
        <f t="shared" si="2344"/>
        <v>269.49999999999989</v>
      </c>
      <c r="CE258" s="64">
        <f t="shared" si="2344"/>
        <v>213.40000000000009</v>
      </c>
      <c r="CF258" s="64">
        <f t="shared" si="2344"/>
        <v>384.89999999999986</v>
      </c>
      <c r="CG258" s="64">
        <f t="shared" si="2344"/>
        <v>335.30000000000007</v>
      </c>
      <c r="CH258" s="64">
        <f t="shared" si="2344"/>
        <v>358.5</v>
      </c>
      <c r="CI258" s="64">
        <f t="shared" si="2344"/>
        <v>340.29999999999973</v>
      </c>
      <c r="CJ258" s="64">
        <f t="shared" si="2344"/>
        <v>479.30000000000018</v>
      </c>
      <c r="CK258" s="64">
        <f t="shared" si="2344"/>
        <v>460.80000000000018</v>
      </c>
      <c r="CL258" s="64">
        <f t="shared" si="2344"/>
        <v>498.29999999999995</v>
      </c>
      <c r="CM258" s="30">
        <f t="shared" si="2344"/>
        <v>450.94170552054879</v>
      </c>
      <c r="CN258" s="30">
        <f t="shared" si="2344"/>
        <v>661.63621914538817</v>
      </c>
      <c r="CO258" s="30">
        <f t="shared" si="2344"/>
        <v>540.18001637330599</v>
      </c>
      <c r="CP258" s="30">
        <f t="shared" si="2344"/>
        <v>652.07348535275241</v>
      </c>
      <c r="CQ258" s="30">
        <f t="shared" si="2344"/>
        <v>560.08163399323371</v>
      </c>
      <c r="CR258" s="30">
        <f t="shared" si="2344"/>
        <v>812.39000007406912</v>
      </c>
      <c r="CS258" s="30">
        <f t="shared" si="2344"/>
        <v>664.70030030229782</v>
      </c>
      <c r="CT258" s="30">
        <f t="shared" si="2344"/>
        <v>806.91908389808555</v>
      </c>
      <c r="CU258" s="30">
        <f t="shared" ref="CU258:DB258" si="2345">CU54-CU264</f>
        <v>689.38926130859659</v>
      </c>
      <c r="CV258" s="30">
        <f t="shared" si="2345"/>
        <v>988.45730117838548</v>
      </c>
      <c r="CW258" s="30">
        <f t="shared" si="2345"/>
        <v>795.51969711687025</v>
      </c>
      <c r="CX258" s="30">
        <f t="shared" si="2345"/>
        <v>957.15078714137553</v>
      </c>
      <c r="CY258" s="30">
        <f t="shared" si="2345"/>
        <v>810.31194309114585</v>
      </c>
      <c r="CZ258" s="30">
        <f t="shared" si="2345"/>
        <v>1148.9916094639757</v>
      </c>
      <c r="DA258" s="30">
        <f t="shared" si="2345"/>
        <v>935.28741310759187</v>
      </c>
      <c r="DB258" s="30">
        <f t="shared" si="2345"/>
        <v>1119.624500878424</v>
      </c>
      <c r="DC258" s="30">
        <f t="shared" ref="DC258:DD258" si="2346">DC54-DC264</f>
        <v>944.49024379455841</v>
      </c>
      <c r="DD258" s="30">
        <f t="shared" si="2346"/>
        <v>1338.2597651954238</v>
      </c>
      <c r="DE258" s="139"/>
      <c r="DF258" s="64">
        <v>1490</v>
      </c>
    </row>
    <row r="259" spans="1:110" s="89" customFormat="1" hidden="1" outlineLevel="1" x14ac:dyDescent="0.2">
      <c r="A259" s="86" t="s">
        <v>476</v>
      </c>
      <c r="B259" s="86" t="e">
        <f>+B258/B257</f>
        <v>#DIV/0!</v>
      </c>
      <c r="C259" s="86" t="e">
        <f t="shared" ref="C259" si="2347">+C258/C257</f>
        <v>#DIV/0!</v>
      </c>
      <c r="D259" s="86" t="e">
        <f t="shared" ref="D259" si="2348">+D258/D257</f>
        <v>#DIV/0!</v>
      </c>
      <c r="E259" s="86" t="e">
        <f t="shared" ref="E259" si="2349">+E258/E257</f>
        <v>#DIV/0!</v>
      </c>
      <c r="F259" s="86" t="e">
        <f t="shared" ref="F259" si="2350">+F258/F257</f>
        <v>#DIV/0!</v>
      </c>
      <c r="G259" s="86" t="e">
        <f t="shared" ref="G259" si="2351">+G258/G257</f>
        <v>#DIV/0!</v>
      </c>
      <c r="H259" s="86" t="e">
        <f t="shared" ref="H259" si="2352">+H258/H257</f>
        <v>#DIV/0!</v>
      </c>
      <c r="I259" s="86" t="e">
        <f t="shared" ref="I259" si="2353">+I258/I257</f>
        <v>#DIV/0!</v>
      </c>
      <c r="J259" s="86" t="e">
        <f t="shared" ref="J259" si="2354">+J258/J257</f>
        <v>#DIV/0!</v>
      </c>
      <c r="K259" s="86" t="e">
        <f t="shared" ref="K259" si="2355">+K258/K257</f>
        <v>#DIV/0!</v>
      </c>
      <c r="L259" s="86" t="e">
        <f t="shared" ref="L259" si="2356">+L258/L257</f>
        <v>#DIV/0!</v>
      </c>
      <c r="M259" s="86" t="e">
        <f t="shared" ref="M259" si="2357">+M258/M257</f>
        <v>#DIV/0!</v>
      </c>
      <c r="N259" s="86" t="e">
        <f t="shared" ref="N259" si="2358">+N258/N257</f>
        <v>#DIV/0!</v>
      </c>
      <c r="O259" s="86" t="e">
        <f t="shared" ref="O259" si="2359">+O258/O257</f>
        <v>#DIV/0!</v>
      </c>
      <c r="P259" s="86" t="e">
        <f t="shared" ref="P259" si="2360">+P258/P257</f>
        <v>#DIV/0!</v>
      </c>
      <c r="Q259" s="86" t="e">
        <f t="shared" ref="Q259" si="2361">+Q258/Q257</f>
        <v>#DIV/0!</v>
      </c>
      <c r="R259" s="86" t="e">
        <f t="shared" ref="R259" si="2362">+R258/R257</f>
        <v>#DIV/0!</v>
      </c>
      <c r="S259" s="86" t="e">
        <f t="shared" ref="S259" si="2363">+S258/S257</f>
        <v>#DIV/0!</v>
      </c>
      <c r="T259" s="86" t="e">
        <f t="shared" ref="T259" si="2364">+T258/T257</f>
        <v>#DIV/0!</v>
      </c>
      <c r="U259" s="86" t="e">
        <f t="shared" ref="U259" si="2365">+U258/U257</f>
        <v>#DIV/0!</v>
      </c>
      <c r="V259" s="86" t="e">
        <f t="shared" ref="V259" si="2366">+V258/V257</f>
        <v>#DIV/0!</v>
      </c>
      <c r="W259" s="86" t="e">
        <f t="shared" ref="W259" si="2367">+W258/W257</f>
        <v>#DIV/0!</v>
      </c>
      <c r="X259" s="86" t="e">
        <f t="shared" ref="X259:Y259" si="2368">+X258/X257</f>
        <v>#DIV/0!</v>
      </c>
      <c r="Y259" s="86">
        <f t="shared" si="2368"/>
        <v>0.17974199512564099</v>
      </c>
      <c r="Z259" s="86">
        <f t="shared" ref="Z259" si="2369">+Z258/Z257</f>
        <v>0.19037397626074848</v>
      </c>
      <c r="AA259" s="87"/>
      <c r="AB259" s="87"/>
      <c r="AC259" s="87"/>
      <c r="AD259" s="87"/>
      <c r="AE259" s="87"/>
      <c r="AF259" s="86"/>
      <c r="AG259" s="86"/>
      <c r="AH259" s="86"/>
      <c r="AI259" s="86" t="e">
        <f t="shared" ref="AI259" si="2370">+AI258/AI257</f>
        <v>#DIV/0!</v>
      </c>
      <c r="AJ259" s="86" t="e">
        <f t="shared" ref="AJ259" si="2371">+AJ258/AJ257</f>
        <v>#DIV/0!</v>
      </c>
      <c r="AK259" s="86" t="e">
        <f t="shared" ref="AK259" si="2372">+AK258/AK257</f>
        <v>#DIV/0!</v>
      </c>
      <c r="AL259" s="86" t="e">
        <f t="shared" ref="AL259" si="2373">+AL258/AL257</f>
        <v>#DIV/0!</v>
      </c>
      <c r="AM259" s="86" t="e">
        <f t="shared" ref="AM259" si="2374">+AM258/AM257</f>
        <v>#DIV/0!</v>
      </c>
      <c r="AN259" s="86" t="e">
        <f t="shared" ref="AN259" si="2375">+AN258/AN257</f>
        <v>#DIV/0!</v>
      </c>
      <c r="AO259" s="86" t="e">
        <f t="shared" ref="AO259" si="2376">+AO258/AO257</f>
        <v>#DIV/0!</v>
      </c>
      <c r="AP259" s="86" t="e">
        <f t="shared" ref="AP259" si="2377">+AP258/AP257</f>
        <v>#DIV/0!</v>
      </c>
      <c r="AQ259" s="86" t="e">
        <f t="shared" ref="AQ259" si="2378">+AQ258/AQ257</f>
        <v>#DIV/0!</v>
      </c>
      <c r="AR259" s="86" t="e">
        <f t="shared" ref="AR259" si="2379">+AR258/AR257</f>
        <v>#DIV/0!</v>
      </c>
      <c r="AS259" s="86" t="e">
        <f t="shared" ref="AS259" si="2380">+AS258/AS257</f>
        <v>#DIV/0!</v>
      </c>
      <c r="AT259" s="86" t="e">
        <f t="shared" ref="AT259" si="2381">+AT258/AT257</f>
        <v>#DIV/0!</v>
      </c>
      <c r="AU259" s="86" t="e">
        <f t="shared" ref="AU259" si="2382">+AU258/AU257</f>
        <v>#DIV/0!</v>
      </c>
      <c r="AV259" s="86" t="e">
        <f t="shared" ref="AV259" si="2383">+AV258/AV257</f>
        <v>#DIV/0!</v>
      </c>
      <c r="AW259" s="86" t="e">
        <f t="shared" ref="AW259" si="2384">+AW258/AW257</f>
        <v>#DIV/0!</v>
      </c>
      <c r="AX259" s="86" t="e">
        <f t="shared" ref="AX259" si="2385">+AX258/AX257</f>
        <v>#DIV/0!</v>
      </c>
      <c r="AY259" s="86" t="e">
        <f t="shared" ref="AY259" si="2386">+AY258/AY257</f>
        <v>#DIV/0!</v>
      </c>
      <c r="AZ259" s="86" t="e">
        <f t="shared" ref="AZ259" si="2387">+AZ258/AZ257</f>
        <v>#DIV/0!</v>
      </c>
      <c r="BA259" s="86" t="e">
        <f t="shared" ref="BA259" si="2388">+BA258/BA257</f>
        <v>#DIV/0!</v>
      </c>
      <c r="BB259" s="86" t="e">
        <f t="shared" ref="BB259" si="2389">+BB258/BB257</f>
        <v>#DIV/0!</v>
      </c>
      <c r="BC259" s="86" t="e">
        <f t="shared" ref="BC259" si="2390">+BC258/BC257</f>
        <v>#DIV/0!</v>
      </c>
      <c r="BD259" s="86" t="e">
        <f t="shared" ref="BD259" si="2391">+BD258/BD257</f>
        <v>#DIV/0!</v>
      </c>
      <c r="BE259" s="86" t="e">
        <f t="shared" ref="BE259" si="2392">+BE258/BE257</f>
        <v>#DIV/0!</v>
      </c>
      <c r="BF259" s="86" t="e">
        <f t="shared" ref="BF259" si="2393">+BF258/BF257</f>
        <v>#DIV/0!</v>
      </c>
      <c r="BG259" s="86" t="e">
        <f t="shared" ref="BG259" si="2394">+BG258/BG257</f>
        <v>#DIV/0!</v>
      </c>
      <c r="BH259" s="86" t="e">
        <f t="shared" ref="BH259" si="2395">+BH258/BH257</f>
        <v>#DIV/0!</v>
      </c>
      <c r="BI259" s="86" t="e">
        <f t="shared" ref="BI259" si="2396">+BI258/BI257</f>
        <v>#DIV/0!</v>
      </c>
      <c r="BJ259" s="86" t="e">
        <f t="shared" ref="BJ259" si="2397">+BJ258/BJ257</f>
        <v>#DIV/0!</v>
      </c>
      <c r="BK259" s="86" t="e">
        <f t="shared" ref="BK259" si="2398">+BK258/BK257</f>
        <v>#DIV/0!</v>
      </c>
      <c r="BL259" s="86" t="e">
        <f t="shared" ref="BL259" si="2399">+BL258/BL257</f>
        <v>#DIV/0!</v>
      </c>
      <c r="BM259" s="86" t="e">
        <f t="shared" ref="BM259" si="2400">+BM258/BM257</f>
        <v>#DIV/0!</v>
      </c>
      <c r="BN259" s="86" t="e">
        <f t="shared" ref="BN259" si="2401">+BN258/BN257</f>
        <v>#DIV/0!</v>
      </c>
      <c r="BO259" s="86" t="e">
        <f t="shared" ref="BO259" si="2402">+BO258/BO257</f>
        <v>#DIV/0!</v>
      </c>
      <c r="BP259" s="86" t="e">
        <f t="shared" ref="BP259" si="2403">+BP258/BP257</f>
        <v>#DIV/0!</v>
      </c>
      <c r="BQ259" s="86" t="e">
        <f t="shared" ref="BQ259" si="2404">+BQ258/BQ257</f>
        <v>#DIV/0!</v>
      </c>
      <c r="BR259" s="86" t="e">
        <f t="shared" ref="BR259" si="2405">+BR258/BR257</f>
        <v>#DIV/0!</v>
      </c>
      <c r="BS259" s="86" t="e">
        <f t="shared" ref="BS259" si="2406">+BS258/BS257</f>
        <v>#DIV/0!</v>
      </c>
      <c r="BT259" s="86" t="e">
        <f t="shared" ref="BT259" si="2407">+BT258/BT257</f>
        <v>#DIV/0!</v>
      </c>
      <c r="BU259" s="86" t="e">
        <f t="shared" ref="BU259" si="2408">+BU258/BU257</f>
        <v>#DIV/0!</v>
      </c>
      <c r="BV259" s="86" t="e">
        <f t="shared" ref="BV259" si="2409">+BV258/BV257</f>
        <v>#DIV/0!</v>
      </c>
      <c r="BW259" s="86" t="e">
        <f t="shared" ref="BW259" si="2410">+BW258/BW257</f>
        <v>#DIV/0!</v>
      </c>
      <c r="BX259" s="86" t="e">
        <f t="shared" ref="BX259" si="2411">+BX258/BX257</f>
        <v>#DIV/0!</v>
      </c>
      <c r="BY259" s="86" t="e">
        <f t="shared" ref="BY259" si="2412">+BY258/BY257</f>
        <v>#DIV/0!</v>
      </c>
      <c r="BZ259" s="86" t="e">
        <f t="shared" ref="BZ259" si="2413">+BZ258/BZ257</f>
        <v>#DIV/0!</v>
      </c>
      <c r="CA259" s="86" t="e">
        <f t="shared" ref="CA259" si="2414">+CA258/CA257</f>
        <v>#DIV/0!</v>
      </c>
      <c r="CB259" s="86" t="e">
        <f t="shared" ref="CB259:CC259" si="2415">+CB258/CB257</f>
        <v>#DIV/0!</v>
      </c>
      <c r="CC259" s="86" t="e">
        <f t="shared" si="2415"/>
        <v>#DIV/0!</v>
      </c>
      <c r="CD259" s="86">
        <f t="shared" ref="CD259" si="2416">+CD258/CD257</f>
        <v>0.22522146080561584</v>
      </c>
      <c r="CE259" s="86">
        <f t="shared" ref="CE259:CF259" si="2417">+CE258/CE257</f>
        <v>0.14378116156852183</v>
      </c>
      <c r="CF259" s="86">
        <f t="shared" si="2417"/>
        <v>0.18515489705599375</v>
      </c>
      <c r="CG259" s="86">
        <f t="shared" ref="CG259:CH259" si="2418">+CG258/CG257</f>
        <v>0.22104291647438859</v>
      </c>
      <c r="CH259" s="86">
        <f t="shared" si="2418"/>
        <v>0.19074221867517957</v>
      </c>
      <c r="CI259" s="86">
        <f t="shared" ref="CI259:CJ259" si="2419">+CI258/CI257</f>
        <v>0.19068698868093675</v>
      </c>
      <c r="CJ259" s="86">
        <f t="shared" si="2419"/>
        <v>0.18116188532335495</v>
      </c>
      <c r="CK259" s="86">
        <f t="shared" ref="CK259:DB259" si="2420">+CK258/CK257</f>
        <v>0.24114291695012829</v>
      </c>
      <c r="CL259" s="86">
        <f t="shared" si="2420"/>
        <v>0.20813666931205879</v>
      </c>
      <c r="CM259" s="47">
        <f t="shared" si="2420"/>
        <v>0.19481585244851693</v>
      </c>
      <c r="CN259" s="47">
        <f t="shared" si="2420"/>
        <v>0.19370213063665279</v>
      </c>
      <c r="CO259" s="47">
        <f t="shared" si="2420"/>
        <v>0.21830841144085544</v>
      </c>
      <c r="CP259" s="47">
        <f t="shared" si="2420"/>
        <v>0.21129356758520268</v>
      </c>
      <c r="CQ259" s="47">
        <f t="shared" si="2420"/>
        <v>0.21759289805544496</v>
      </c>
      <c r="CR259" s="47">
        <f t="shared" si="2420"/>
        <v>0.21590281893006302</v>
      </c>
      <c r="CS259" s="47">
        <f t="shared" si="2420"/>
        <v>0.22549150744537019</v>
      </c>
      <c r="CT259" s="47">
        <f t="shared" si="2420"/>
        <v>0.22235471910991014</v>
      </c>
      <c r="CU259" s="47">
        <f t="shared" si="2420"/>
        <v>0.23025924326547517</v>
      </c>
      <c r="CV259" s="47">
        <f t="shared" si="2420"/>
        <v>0.22462922267839225</v>
      </c>
      <c r="CW259" s="47">
        <f t="shared" si="2420"/>
        <v>0.22925100133693987</v>
      </c>
      <c r="CX259" s="47">
        <f t="shared" si="2420"/>
        <v>0.22521831070645049</v>
      </c>
      <c r="CY259" s="47">
        <f t="shared" si="2420"/>
        <v>0.23125918085635666</v>
      </c>
      <c r="CZ259" s="47">
        <f t="shared" si="2420"/>
        <v>0.2230468833687205</v>
      </c>
      <c r="DA259" s="47">
        <f t="shared" si="2420"/>
        <v>0.22949391587602511</v>
      </c>
      <c r="DB259" s="47">
        <f t="shared" si="2420"/>
        <v>0.22491351486097963</v>
      </c>
      <c r="DC259" s="47">
        <f t="shared" ref="DC259:DD259" si="2421">+DC258/DC257</f>
        <v>0.23001816441598946</v>
      </c>
      <c r="DD259" s="47">
        <f t="shared" si="2421"/>
        <v>0.22188769970820055</v>
      </c>
      <c r="DE259" s="130"/>
      <c r="DF259" s="89">
        <v>0.19037397626074848</v>
      </c>
    </row>
    <row r="260" spans="1:110" s="64" customFormat="1" hidden="1" outlineLevel="1" x14ac:dyDescent="0.2">
      <c r="A260" s="64" t="s">
        <v>477</v>
      </c>
      <c r="B260" s="64">
        <f t="shared" ref="B260:Y260" si="2422">B67-B266</f>
        <v>0</v>
      </c>
      <c r="C260" s="64">
        <f t="shared" si="2422"/>
        <v>0</v>
      </c>
      <c r="D260" s="64">
        <f t="shared" si="2422"/>
        <v>0</v>
      </c>
      <c r="E260" s="64">
        <f t="shared" si="2422"/>
        <v>0</v>
      </c>
      <c r="F260" s="64">
        <f t="shared" si="2422"/>
        <v>0</v>
      </c>
      <c r="G260" s="64">
        <f t="shared" si="2422"/>
        <v>0</v>
      </c>
      <c r="H260" s="64">
        <f t="shared" si="2422"/>
        <v>0</v>
      </c>
      <c r="I260" s="64">
        <f t="shared" si="2422"/>
        <v>0</v>
      </c>
      <c r="J260" s="64">
        <f t="shared" si="2422"/>
        <v>0</v>
      </c>
      <c r="K260" s="64">
        <f t="shared" si="2422"/>
        <v>0</v>
      </c>
      <c r="L260" s="64">
        <f t="shared" si="2422"/>
        <v>0</v>
      </c>
      <c r="M260" s="64">
        <f t="shared" si="2422"/>
        <v>0</v>
      </c>
      <c r="N260" s="64">
        <f t="shared" si="2422"/>
        <v>0</v>
      </c>
      <c r="O260" s="64">
        <f t="shared" si="2422"/>
        <v>0</v>
      </c>
      <c r="P260" s="64">
        <f t="shared" si="2422"/>
        <v>0</v>
      </c>
      <c r="Q260" s="64">
        <f t="shared" si="2422"/>
        <v>0</v>
      </c>
      <c r="R260" s="64">
        <f t="shared" si="2422"/>
        <v>0</v>
      </c>
      <c r="S260" s="64">
        <f t="shared" si="2422"/>
        <v>0</v>
      </c>
      <c r="T260" s="64">
        <f t="shared" si="2422"/>
        <v>0</v>
      </c>
      <c r="U260" s="64">
        <f t="shared" si="2422"/>
        <v>0</v>
      </c>
      <c r="V260" s="64">
        <f t="shared" si="2422"/>
        <v>0</v>
      </c>
      <c r="W260" s="64">
        <f t="shared" si="2422"/>
        <v>0</v>
      </c>
      <c r="X260" s="64">
        <f t="shared" si="2422"/>
        <v>0</v>
      </c>
      <c r="Y260" s="64">
        <f t="shared" si="2422"/>
        <v>600.00000000000091</v>
      </c>
      <c r="Z260" s="64">
        <f t="shared" ref="Z260" si="2423">Z67-Z266</f>
        <v>1100.0999999999999</v>
      </c>
      <c r="AA260" s="30"/>
      <c r="AB260" s="30"/>
      <c r="AC260" s="30"/>
      <c r="AD260" s="30"/>
      <c r="AE260" s="30"/>
      <c r="AI260" s="64">
        <f t="shared" ref="AI260:BN260" si="2424">AI67-AI266</f>
        <v>0</v>
      </c>
      <c r="AJ260" s="64">
        <f t="shared" si="2424"/>
        <v>0</v>
      </c>
      <c r="AK260" s="64">
        <f t="shared" si="2424"/>
        <v>0</v>
      </c>
      <c r="AL260" s="64">
        <f t="shared" si="2424"/>
        <v>0</v>
      </c>
      <c r="AM260" s="64">
        <f t="shared" si="2424"/>
        <v>0</v>
      </c>
      <c r="AN260" s="64">
        <f t="shared" si="2424"/>
        <v>0</v>
      </c>
      <c r="AO260" s="64">
        <f t="shared" si="2424"/>
        <v>0</v>
      </c>
      <c r="AP260" s="64">
        <f t="shared" si="2424"/>
        <v>0</v>
      </c>
      <c r="AQ260" s="64">
        <f t="shared" si="2424"/>
        <v>0</v>
      </c>
      <c r="AR260" s="64">
        <f t="shared" si="2424"/>
        <v>0</v>
      </c>
      <c r="AS260" s="64">
        <f t="shared" si="2424"/>
        <v>0</v>
      </c>
      <c r="AT260" s="64">
        <f t="shared" si="2424"/>
        <v>0</v>
      </c>
      <c r="AU260" s="64">
        <f t="shared" si="2424"/>
        <v>0</v>
      </c>
      <c r="AV260" s="64">
        <f t="shared" si="2424"/>
        <v>0</v>
      </c>
      <c r="AW260" s="64">
        <f t="shared" si="2424"/>
        <v>0</v>
      </c>
      <c r="AX260" s="64">
        <f t="shared" si="2424"/>
        <v>0</v>
      </c>
      <c r="AY260" s="64">
        <f t="shared" si="2424"/>
        <v>0</v>
      </c>
      <c r="AZ260" s="64">
        <f t="shared" si="2424"/>
        <v>0</v>
      </c>
      <c r="BA260" s="64">
        <f t="shared" si="2424"/>
        <v>0</v>
      </c>
      <c r="BB260" s="64">
        <f t="shared" si="2424"/>
        <v>0</v>
      </c>
      <c r="BC260" s="64">
        <f t="shared" si="2424"/>
        <v>0</v>
      </c>
      <c r="BD260" s="64">
        <f t="shared" si="2424"/>
        <v>0</v>
      </c>
      <c r="BE260" s="64">
        <f t="shared" si="2424"/>
        <v>0</v>
      </c>
      <c r="BF260" s="64">
        <f t="shared" si="2424"/>
        <v>0</v>
      </c>
      <c r="BG260" s="64">
        <f t="shared" si="2424"/>
        <v>0</v>
      </c>
      <c r="BH260" s="64">
        <f t="shared" si="2424"/>
        <v>0</v>
      </c>
      <c r="BI260" s="64">
        <f t="shared" si="2424"/>
        <v>0</v>
      </c>
      <c r="BJ260" s="64">
        <f t="shared" si="2424"/>
        <v>0</v>
      </c>
      <c r="BK260" s="64">
        <f t="shared" si="2424"/>
        <v>0</v>
      </c>
      <c r="BL260" s="64">
        <f t="shared" si="2424"/>
        <v>0</v>
      </c>
      <c r="BM260" s="64">
        <f t="shared" si="2424"/>
        <v>0</v>
      </c>
      <c r="BN260" s="64">
        <f t="shared" si="2424"/>
        <v>0</v>
      </c>
      <c r="BO260" s="64">
        <f t="shared" ref="BO260:CT260" si="2425">BO67-BO266</f>
        <v>0</v>
      </c>
      <c r="BP260" s="64">
        <f t="shared" si="2425"/>
        <v>0</v>
      </c>
      <c r="BQ260" s="64">
        <f t="shared" si="2425"/>
        <v>0</v>
      </c>
      <c r="BR260" s="64">
        <f t="shared" si="2425"/>
        <v>0</v>
      </c>
      <c r="BS260" s="64">
        <f t="shared" si="2425"/>
        <v>0</v>
      </c>
      <c r="BT260" s="64">
        <f t="shared" si="2425"/>
        <v>0</v>
      </c>
      <c r="BU260" s="64">
        <f t="shared" si="2425"/>
        <v>0</v>
      </c>
      <c r="BV260" s="64">
        <f t="shared" si="2425"/>
        <v>0</v>
      </c>
      <c r="BW260" s="64">
        <f t="shared" si="2425"/>
        <v>0</v>
      </c>
      <c r="BX260" s="64">
        <f t="shared" si="2425"/>
        <v>0</v>
      </c>
      <c r="BY260" s="64">
        <f t="shared" si="2425"/>
        <v>0</v>
      </c>
      <c r="BZ260" s="64">
        <f t="shared" si="2425"/>
        <v>0</v>
      </c>
      <c r="CA260" s="64">
        <f t="shared" si="2425"/>
        <v>0</v>
      </c>
      <c r="CB260" s="64">
        <f t="shared" si="2425"/>
        <v>0</v>
      </c>
      <c r="CC260" s="64">
        <f t="shared" si="2425"/>
        <v>0</v>
      </c>
      <c r="CD260" s="64">
        <f t="shared" si="2425"/>
        <v>180.49999999999986</v>
      </c>
      <c r="CE260" s="64">
        <f t="shared" si="2425"/>
        <v>145.80000000000007</v>
      </c>
      <c r="CF260" s="64">
        <f t="shared" si="2425"/>
        <v>273.69999999999982</v>
      </c>
      <c r="CG260" s="64">
        <f t="shared" si="2425"/>
        <v>231.70000000000013</v>
      </c>
      <c r="CH260" s="64">
        <f t="shared" si="2425"/>
        <v>246.09999999999997</v>
      </c>
      <c r="CI260" s="64">
        <f t="shared" si="2425"/>
        <v>262.6999999999997</v>
      </c>
      <c r="CJ260" s="64">
        <f t="shared" si="2425"/>
        <v>359.60000000000019</v>
      </c>
      <c r="CK260" s="64">
        <f t="shared" si="2425"/>
        <v>364.80000000000018</v>
      </c>
      <c r="CL260" s="64">
        <f t="shared" si="2425"/>
        <v>374.59999999999991</v>
      </c>
      <c r="CM260" s="30">
        <f t="shared" si="2425"/>
        <v>337.83395833685114</v>
      </c>
      <c r="CN260" s="30">
        <f t="shared" si="2425"/>
        <v>493.76593008937004</v>
      </c>
      <c r="CO260" s="30">
        <f t="shared" si="2425"/>
        <v>404.64829469919715</v>
      </c>
      <c r="CP260" s="30">
        <f t="shared" si="2425"/>
        <v>485.8956941783382</v>
      </c>
      <c r="CQ260" s="30">
        <f t="shared" si="2425"/>
        <v>406.91592688293719</v>
      </c>
      <c r="CR260" s="30">
        <f t="shared" si="2425"/>
        <v>596.83607215740767</v>
      </c>
      <c r="CS260" s="30">
        <f t="shared" si="2425"/>
        <v>481.87515726846783</v>
      </c>
      <c r="CT260" s="30">
        <f t="shared" si="2425"/>
        <v>589.07637372508168</v>
      </c>
      <c r="CU260" s="30">
        <f t="shared" ref="CU260:DB260" si="2426">CU67-CU266</f>
        <v>499.33997748961832</v>
      </c>
      <c r="CV260" s="30">
        <f t="shared" si="2426"/>
        <v>725.79545363455304</v>
      </c>
      <c r="CW260" s="30">
        <f t="shared" si="2426"/>
        <v>578.73392735955963</v>
      </c>
      <c r="CX260" s="30">
        <f t="shared" si="2426"/>
        <v>702.91078814602088</v>
      </c>
      <c r="CY260" s="30">
        <f t="shared" si="2426"/>
        <v>592.37746923165764</v>
      </c>
      <c r="CZ260" s="30">
        <f t="shared" si="2426"/>
        <v>850.30319832806106</v>
      </c>
      <c r="DA260" s="30">
        <f t="shared" si="2426"/>
        <v>688.90401626536254</v>
      </c>
      <c r="DB260" s="30">
        <f t="shared" si="2426"/>
        <v>832.01022627270186</v>
      </c>
      <c r="DC260" s="30">
        <f t="shared" ref="DC260:DD260" si="2427">DC67-DC266</f>
        <v>701.37994803867412</v>
      </c>
      <c r="DD260" s="30">
        <f t="shared" si="2427"/>
        <v>1002.4228691417982</v>
      </c>
      <c r="DE260" s="139"/>
      <c r="DF260" s="64">
        <v>1100.0999999999999</v>
      </c>
    </row>
    <row r="261" spans="1:110" s="64" customFormat="1" hidden="1" outlineLevel="1" x14ac:dyDescent="0.2">
      <c r="AA261" s="30"/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139"/>
    </row>
    <row r="262" spans="1:110" s="64" customFormat="1" hidden="1" outlineLevel="1" x14ac:dyDescent="0.2">
      <c r="A262" s="65" t="s">
        <v>352</v>
      </c>
      <c r="AA262" s="30"/>
      <c r="AB262" s="30"/>
      <c r="AC262" s="30"/>
      <c r="AD262" s="30"/>
      <c r="AE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139"/>
    </row>
    <row r="263" spans="1:110" s="64" customFormat="1" hidden="1" outlineLevel="1" x14ac:dyDescent="0.2">
      <c r="A263" s="64" t="s">
        <v>478</v>
      </c>
      <c r="AA263" s="30"/>
      <c r="AB263" s="30"/>
      <c r="AC263" s="30"/>
      <c r="AD263" s="30"/>
      <c r="AE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139"/>
    </row>
    <row r="264" spans="1:110" s="64" customFormat="1" hidden="1" outlineLevel="1" x14ac:dyDescent="0.2">
      <c r="A264" s="64" t="s">
        <v>479</v>
      </c>
      <c r="AA264" s="30"/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139"/>
    </row>
    <row r="265" spans="1:110" s="89" customFormat="1" hidden="1" outlineLevel="1" x14ac:dyDescent="0.2">
      <c r="A265" s="86" t="s">
        <v>480</v>
      </c>
      <c r="B265" s="86" t="e">
        <f>+B264/B263</f>
        <v>#DIV/0!</v>
      </c>
      <c r="C265" s="86" t="e">
        <f t="shared" ref="C265:X265" si="2428">+C264/C263</f>
        <v>#DIV/0!</v>
      </c>
      <c r="D265" s="86" t="e">
        <f t="shared" si="2428"/>
        <v>#DIV/0!</v>
      </c>
      <c r="E265" s="86" t="e">
        <f t="shared" si="2428"/>
        <v>#DIV/0!</v>
      </c>
      <c r="F265" s="86" t="e">
        <f t="shared" si="2428"/>
        <v>#DIV/0!</v>
      </c>
      <c r="G265" s="86" t="e">
        <f t="shared" si="2428"/>
        <v>#DIV/0!</v>
      </c>
      <c r="H265" s="86" t="e">
        <f t="shared" si="2428"/>
        <v>#DIV/0!</v>
      </c>
      <c r="I265" s="86" t="e">
        <f t="shared" si="2428"/>
        <v>#DIV/0!</v>
      </c>
      <c r="J265" s="86" t="e">
        <f t="shared" si="2428"/>
        <v>#DIV/0!</v>
      </c>
      <c r="K265" s="86" t="e">
        <f t="shared" si="2428"/>
        <v>#DIV/0!</v>
      </c>
      <c r="L265" s="86" t="e">
        <f t="shared" si="2428"/>
        <v>#DIV/0!</v>
      </c>
      <c r="M265" s="86" t="e">
        <f t="shared" si="2428"/>
        <v>#DIV/0!</v>
      </c>
      <c r="N265" s="86" t="e">
        <f t="shared" si="2428"/>
        <v>#DIV/0!</v>
      </c>
      <c r="O265" s="86" t="e">
        <f t="shared" si="2428"/>
        <v>#DIV/0!</v>
      </c>
      <c r="P265" s="86" t="e">
        <f t="shared" si="2428"/>
        <v>#DIV/0!</v>
      </c>
      <c r="Q265" s="86" t="e">
        <f t="shared" si="2428"/>
        <v>#DIV/0!</v>
      </c>
      <c r="R265" s="86" t="e">
        <f t="shared" si="2428"/>
        <v>#DIV/0!</v>
      </c>
      <c r="S265" s="86" t="e">
        <f t="shared" si="2428"/>
        <v>#DIV/0!</v>
      </c>
      <c r="T265" s="86" t="e">
        <f t="shared" si="2428"/>
        <v>#DIV/0!</v>
      </c>
      <c r="U265" s="86" t="e">
        <f t="shared" si="2428"/>
        <v>#DIV/0!</v>
      </c>
      <c r="V265" s="86" t="e">
        <f t="shared" si="2428"/>
        <v>#DIV/0!</v>
      </c>
      <c r="W265" s="86" t="e">
        <f t="shared" si="2428"/>
        <v>#DIV/0!</v>
      </c>
      <c r="X265" s="86" t="e">
        <f t="shared" si="2428"/>
        <v>#DIV/0!</v>
      </c>
      <c r="Y265" s="86" t="e">
        <f t="shared" ref="Y265:Z265" si="2429">+Y264/Y263</f>
        <v>#DIV/0!</v>
      </c>
      <c r="Z265" s="86" t="e">
        <f t="shared" si="2429"/>
        <v>#DIV/0!</v>
      </c>
      <c r="AA265" s="87"/>
      <c r="AB265" s="87"/>
      <c r="AC265" s="87"/>
      <c r="AD265" s="87"/>
      <c r="AE265" s="87"/>
      <c r="AF265" s="86"/>
      <c r="AG265" s="86"/>
      <c r="AH265" s="86"/>
      <c r="AI265" s="86" t="e">
        <f t="shared" ref="AI265" si="2430">+AI264/AI263</f>
        <v>#DIV/0!</v>
      </c>
      <c r="AJ265" s="86" t="e">
        <f t="shared" ref="AJ265" si="2431">+AJ264/AJ263</f>
        <v>#DIV/0!</v>
      </c>
      <c r="AK265" s="86" t="e">
        <f t="shared" ref="AK265" si="2432">+AK264/AK263</f>
        <v>#DIV/0!</v>
      </c>
      <c r="AL265" s="86" t="e">
        <f t="shared" ref="AL265" si="2433">+AL264/AL263</f>
        <v>#DIV/0!</v>
      </c>
      <c r="AM265" s="86" t="e">
        <f t="shared" ref="AM265" si="2434">+AM264/AM263</f>
        <v>#DIV/0!</v>
      </c>
      <c r="AN265" s="86" t="e">
        <f t="shared" ref="AN265" si="2435">+AN264/AN263</f>
        <v>#DIV/0!</v>
      </c>
      <c r="AO265" s="86" t="e">
        <f t="shared" ref="AO265" si="2436">+AO264/AO263</f>
        <v>#DIV/0!</v>
      </c>
      <c r="AP265" s="86" t="e">
        <f t="shared" ref="AP265" si="2437">+AP264/AP263</f>
        <v>#DIV/0!</v>
      </c>
      <c r="AQ265" s="86" t="e">
        <f t="shared" ref="AQ265" si="2438">+AQ264/AQ263</f>
        <v>#DIV/0!</v>
      </c>
      <c r="AR265" s="86" t="e">
        <f t="shared" ref="AR265" si="2439">+AR264/AR263</f>
        <v>#DIV/0!</v>
      </c>
      <c r="AS265" s="86" t="e">
        <f t="shared" ref="AS265" si="2440">+AS264/AS263</f>
        <v>#DIV/0!</v>
      </c>
      <c r="AT265" s="86" t="e">
        <f t="shared" ref="AT265" si="2441">+AT264/AT263</f>
        <v>#DIV/0!</v>
      </c>
      <c r="AU265" s="86" t="e">
        <f t="shared" ref="AU265" si="2442">+AU264/AU263</f>
        <v>#DIV/0!</v>
      </c>
      <c r="AV265" s="86" t="e">
        <f t="shared" ref="AV265" si="2443">+AV264/AV263</f>
        <v>#DIV/0!</v>
      </c>
      <c r="AW265" s="86" t="e">
        <f t="shared" ref="AW265" si="2444">+AW264/AW263</f>
        <v>#DIV/0!</v>
      </c>
      <c r="AX265" s="86" t="e">
        <f t="shared" ref="AX265" si="2445">+AX264/AX263</f>
        <v>#DIV/0!</v>
      </c>
      <c r="AY265" s="86" t="e">
        <f t="shared" ref="AY265" si="2446">+AY264/AY263</f>
        <v>#DIV/0!</v>
      </c>
      <c r="AZ265" s="86" t="e">
        <f t="shared" ref="AZ265" si="2447">+AZ264/AZ263</f>
        <v>#DIV/0!</v>
      </c>
      <c r="BA265" s="86" t="e">
        <f t="shared" ref="BA265" si="2448">+BA264/BA263</f>
        <v>#DIV/0!</v>
      </c>
      <c r="BB265" s="86" t="e">
        <f t="shared" ref="BB265" si="2449">+BB264/BB263</f>
        <v>#DIV/0!</v>
      </c>
      <c r="BC265" s="86" t="e">
        <f t="shared" ref="BC265" si="2450">+BC264/BC263</f>
        <v>#DIV/0!</v>
      </c>
      <c r="BD265" s="86" t="e">
        <f t="shared" ref="BD265" si="2451">+BD264/BD263</f>
        <v>#DIV/0!</v>
      </c>
      <c r="BE265" s="86" t="e">
        <f t="shared" ref="BE265" si="2452">+BE264/BE263</f>
        <v>#DIV/0!</v>
      </c>
      <c r="BF265" s="86" t="e">
        <f t="shared" ref="BF265" si="2453">+BF264/BF263</f>
        <v>#DIV/0!</v>
      </c>
      <c r="BG265" s="86" t="e">
        <f t="shared" ref="BG265" si="2454">+BG264/BG263</f>
        <v>#DIV/0!</v>
      </c>
      <c r="BH265" s="86" t="e">
        <f t="shared" ref="BH265" si="2455">+BH264/BH263</f>
        <v>#DIV/0!</v>
      </c>
      <c r="BI265" s="86" t="e">
        <f t="shared" ref="BI265" si="2456">+BI264/BI263</f>
        <v>#DIV/0!</v>
      </c>
      <c r="BJ265" s="86" t="e">
        <f t="shared" ref="BJ265" si="2457">+BJ264/BJ263</f>
        <v>#DIV/0!</v>
      </c>
      <c r="BK265" s="86" t="e">
        <f t="shared" ref="BK265" si="2458">+BK264/BK263</f>
        <v>#DIV/0!</v>
      </c>
      <c r="BL265" s="86" t="e">
        <f t="shared" ref="BL265" si="2459">+BL264/BL263</f>
        <v>#DIV/0!</v>
      </c>
      <c r="BM265" s="86" t="e">
        <f t="shared" ref="BM265" si="2460">+BM264/BM263</f>
        <v>#DIV/0!</v>
      </c>
      <c r="BN265" s="86" t="e">
        <f t="shared" ref="BN265" si="2461">+BN264/BN263</f>
        <v>#DIV/0!</v>
      </c>
      <c r="BO265" s="86" t="e">
        <f t="shared" ref="BO265" si="2462">+BO264/BO263</f>
        <v>#DIV/0!</v>
      </c>
      <c r="BP265" s="86" t="e">
        <f t="shared" ref="BP265" si="2463">+BP264/BP263</f>
        <v>#DIV/0!</v>
      </c>
      <c r="BQ265" s="86" t="e">
        <f t="shared" ref="BQ265" si="2464">+BQ264/BQ263</f>
        <v>#DIV/0!</v>
      </c>
      <c r="BR265" s="86" t="e">
        <f t="shared" ref="BR265" si="2465">+BR264/BR263</f>
        <v>#DIV/0!</v>
      </c>
      <c r="BS265" s="86" t="e">
        <f t="shared" ref="BS265" si="2466">+BS264/BS263</f>
        <v>#DIV/0!</v>
      </c>
      <c r="BT265" s="86" t="e">
        <f t="shared" ref="BT265" si="2467">+BT264/BT263</f>
        <v>#DIV/0!</v>
      </c>
      <c r="BU265" s="86" t="e">
        <f t="shared" ref="BU265" si="2468">+BU264/BU263</f>
        <v>#DIV/0!</v>
      </c>
      <c r="BV265" s="86" t="e">
        <f t="shared" ref="BV265" si="2469">+BV264/BV263</f>
        <v>#DIV/0!</v>
      </c>
      <c r="BW265" s="86" t="e">
        <f t="shared" ref="BW265" si="2470">+BW264/BW263</f>
        <v>#DIV/0!</v>
      </c>
      <c r="BX265" s="86" t="e">
        <f t="shared" ref="BX265" si="2471">+BX264/BX263</f>
        <v>#DIV/0!</v>
      </c>
      <c r="BY265" s="86" t="e">
        <f t="shared" ref="BY265" si="2472">+BY264/BY263</f>
        <v>#DIV/0!</v>
      </c>
      <c r="BZ265" s="86" t="e">
        <f t="shared" ref="BZ265" si="2473">+BZ264/BZ263</f>
        <v>#DIV/0!</v>
      </c>
      <c r="CA265" s="86" t="e">
        <f t="shared" ref="CA265" si="2474">+CA264/CA263</f>
        <v>#DIV/0!</v>
      </c>
      <c r="CB265" s="86" t="e">
        <f t="shared" ref="CB265:CC265" si="2475">+CB264/CB263</f>
        <v>#DIV/0!</v>
      </c>
      <c r="CC265" s="86" t="e">
        <f t="shared" si="2475"/>
        <v>#DIV/0!</v>
      </c>
      <c r="CD265" s="86" t="e">
        <f t="shared" ref="CD265" si="2476">+CD264/CD263</f>
        <v>#DIV/0!</v>
      </c>
      <c r="CE265" s="86" t="e">
        <f t="shared" ref="CE265:CF265" si="2477">+CE264/CE263</f>
        <v>#DIV/0!</v>
      </c>
      <c r="CF265" s="86" t="e">
        <f t="shared" si="2477"/>
        <v>#DIV/0!</v>
      </c>
      <c r="CG265" s="86" t="e">
        <f t="shared" ref="CG265:CH265" si="2478">+CG264/CG263</f>
        <v>#DIV/0!</v>
      </c>
      <c r="CH265" s="86" t="e">
        <f t="shared" si="2478"/>
        <v>#DIV/0!</v>
      </c>
      <c r="CI265" s="86" t="e">
        <f t="shared" ref="CI265:CJ265" si="2479">+CI264/CI263</f>
        <v>#DIV/0!</v>
      </c>
      <c r="CJ265" s="86" t="e">
        <f t="shared" si="2479"/>
        <v>#DIV/0!</v>
      </c>
      <c r="CK265" s="86" t="e">
        <f t="shared" ref="CK265:DB265" si="2480">+CK264/CK263</f>
        <v>#DIV/0!</v>
      </c>
      <c r="CL265" s="86" t="e">
        <f t="shared" si="2480"/>
        <v>#DIV/0!</v>
      </c>
      <c r="CM265" s="47" t="e">
        <f t="shared" si="2480"/>
        <v>#DIV/0!</v>
      </c>
      <c r="CN265" s="47" t="e">
        <f t="shared" si="2480"/>
        <v>#DIV/0!</v>
      </c>
      <c r="CO265" s="47" t="e">
        <f t="shared" si="2480"/>
        <v>#DIV/0!</v>
      </c>
      <c r="CP265" s="47" t="e">
        <f t="shared" si="2480"/>
        <v>#DIV/0!</v>
      </c>
      <c r="CQ265" s="47" t="e">
        <f t="shared" si="2480"/>
        <v>#DIV/0!</v>
      </c>
      <c r="CR265" s="47" t="e">
        <f t="shared" si="2480"/>
        <v>#DIV/0!</v>
      </c>
      <c r="CS265" s="47" t="e">
        <f t="shared" si="2480"/>
        <v>#DIV/0!</v>
      </c>
      <c r="CT265" s="47" t="e">
        <f t="shared" si="2480"/>
        <v>#DIV/0!</v>
      </c>
      <c r="CU265" s="47" t="e">
        <f t="shared" si="2480"/>
        <v>#DIV/0!</v>
      </c>
      <c r="CV265" s="47" t="e">
        <f t="shared" si="2480"/>
        <v>#DIV/0!</v>
      </c>
      <c r="CW265" s="47" t="e">
        <f t="shared" si="2480"/>
        <v>#DIV/0!</v>
      </c>
      <c r="CX265" s="47" t="e">
        <f t="shared" si="2480"/>
        <v>#DIV/0!</v>
      </c>
      <c r="CY265" s="47" t="e">
        <f t="shared" si="2480"/>
        <v>#DIV/0!</v>
      </c>
      <c r="CZ265" s="47" t="e">
        <f t="shared" si="2480"/>
        <v>#DIV/0!</v>
      </c>
      <c r="DA265" s="47" t="e">
        <f t="shared" si="2480"/>
        <v>#DIV/0!</v>
      </c>
      <c r="DB265" s="47" t="e">
        <f t="shared" si="2480"/>
        <v>#DIV/0!</v>
      </c>
      <c r="DC265" s="47" t="e">
        <f t="shared" ref="DC265:DD265" si="2481">+DC264/DC263</f>
        <v>#DIV/0!</v>
      </c>
      <c r="DD265" s="47" t="e">
        <f t="shared" si="2481"/>
        <v>#DIV/0!</v>
      </c>
      <c r="DE265" s="130"/>
    </row>
    <row r="266" spans="1:110" s="64" customFormat="1" hidden="1" outlineLevel="1" x14ac:dyDescent="0.2">
      <c r="A266" s="64" t="s">
        <v>481</v>
      </c>
      <c r="AA266" s="30"/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139"/>
    </row>
    <row r="267" spans="1:110" s="62" customFormat="1" hidden="1" outlineLevel="1" x14ac:dyDescent="0.2">
      <c r="AA267" s="63"/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139"/>
      <c r="DF267" s="114"/>
    </row>
    <row r="268" spans="1:110" s="11" customFormat="1" collapsed="1" x14ac:dyDescent="0.2">
      <c r="AA268" s="63"/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139"/>
      <c r="DF268" s="217"/>
    </row>
    <row r="269" spans="1:110" s="62" customFormat="1" x14ac:dyDescent="0.2">
      <c r="A269" s="154" t="s">
        <v>497</v>
      </c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63"/>
      <c r="AB269" s="63"/>
      <c r="AC269" s="63"/>
      <c r="AD269" s="63"/>
      <c r="AE269" s="63"/>
      <c r="AL269" s="179"/>
      <c r="CF269" s="179"/>
      <c r="CG269" s="179"/>
      <c r="CH269" s="179"/>
      <c r="CI269" s="179"/>
      <c r="CJ269" s="179"/>
      <c r="CK269" s="179"/>
      <c r="CL269" s="179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139"/>
      <c r="DF269" s="114"/>
    </row>
    <row r="270" spans="1:110" s="84" customFormat="1" x14ac:dyDescent="0.2">
      <c r="A270" s="84" t="s">
        <v>512</v>
      </c>
      <c r="B270" s="84" t="e">
        <f>B34/B191</f>
        <v>#DIV/0!</v>
      </c>
      <c r="C270" s="84" t="e">
        <f>C34/C191</f>
        <v>#DIV/0!</v>
      </c>
      <c r="D270" s="84" t="e">
        <f>D34/D191</f>
        <v>#DIV/0!</v>
      </c>
      <c r="E270" s="84" t="e">
        <f t="shared" ref="E270:Y270" si="2482">E36/(E187+E174+E164)</f>
        <v>#DIV/0!</v>
      </c>
      <c r="F270" s="84" t="e">
        <f t="shared" si="2482"/>
        <v>#DIV/0!</v>
      </c>
      <c r="G270" s="84" t="e">
        <f t="shared" si="2482"/>
        <v>#DIV/0!</v>
      </c>
      <c r="H270" s="84" t="e">
        <f t="shared" si="2482"/>
        <v>#DIV/0!</v>
      </c>
      <c r="I270" s="84" t="e">
        <f t="shared" si="2482"/>
        <v>#DIV/0!</v>
      </c>
      <c r="J270" s="84" t="e">
        <f t="shared" si="2482"/>
        <v>#DIV/0!</v>
      </c>
      <c r="K270" s="84" t="e">
        <f t="shared" si="2482"/>
        <v>#DIV/0!</v>
      </c>
      <c r="L270" s="84" t="e">
        <f t="shared" si="2482"/>
        <v>#DIV/0!</v>
      </c>
      <c r="M270" s="84" t="e">
        <f t="shared" si="2482"/>
        <v>#DIV/0!</v>
      </c>
      <c r="N270" s="84" t="e">
        <f t="shared" si="2482"/>
        <v>#DIV/0!</v>
      </c>
      <c r="O270" s="84" t="e">
        <f t="shared" si="2482"/>
        <v>#DIV/0!</v>
      </c>
      <c r="P270" s="84" t="e">
        <f t="shared" si="2482"/>
        <v>#DIV/0!</v>
      </c>
      <c r="Q270" s="84" t="e">
        <f t="shared" si="2482"/>
        <v>#DIV/0!</v>
      </c>
      <c r="R270" s="84" t="e">
        <f t="shared" si="2482"/>
        <v>#DIV/0!</v>
      </c>
      <c r="S270" s="84" t="e">
        <f t="shared" si="2482"/>
        <v>#DIV/0!</v>
      </c>
      <c r="T270" s="84" t="e">
        <f t="shared" si="2482"/>
        <v>#DIV/0!</v>
      </c>
      <c r="U270" s="84" t="e">
        <f t="shared" si="2482"/>
        <v>#DIV/0!</v>
      </c>
      <c r="V270" s="84" t="e">
        <f t="shared" si="2482"/>
        <v>#DIV/0!</v>
      </c>
      <c r="W270" s="84" t="e">
        <f t="shared" si="2482"/>
        <v>#DIV/0!</v>
      </c>
      <c r="X270" s="84" t="e">
        <f t="shared" si="2482"/>
        <v>#DIV/0!</v>
      </c>
      <c r="Y270" s="84">
        <f t="shared" si="2482"/>
        <v>0.69099883855981425</v>
      </c>
      <c r="Z270" s="84">
        <f t="shared" ref="Z270" si="2483">Z36/(Z187+Z174+Z164)</f>
        <v>0.81845275442339072</v>
      </c>
      <c r="AA270" s="50">
        <f t="shared" ref="AA270:AE270" si="2484">AA36/(AA187+AA174+AA164)</f>
        <v>0.76557201814688847</v>
      </c>
      <c r="AB270" s="50">
        <f t="shared" si="2484"/>
        <v>0.75364412657137247</v>
      </c>
      <c r="AC270" s="50">
        <f t="shared" si="2484"/>
        <v>0.71565551946019046</v>
      </c>
      <c r="AD270" s="50">
        <f t="shared" si="2484"/>
        <v>0.68395144705389732</v>
      </c>
      <c r="AE270" s="50">
        <f t="shared" si="2484"/>
        <v>0.65826752670779332</v>
      </c>
      <c r="AL270" s="84" t="e">
        <f>SUM(AI36:AL36)/(AL187+AL174+AL164)</f>
        <v>#DIV/0!</v>
      </c>
      <c r="AM270" s="84" t="e">
        <f t="shared" ref="AM270:CJ270" si="2485">SUM(AJ36:AM36)/(AM187+AM174+AM164)</f>
        <v>#DIV/0!</v>
      </c>
      <c r="AN270" s="84" t="e">
        <f t="shared" si="2485"/>
        <v>#DIV/0!</v>
      </c>
      <c r="AO270" s="84" t="e">
        <f t="shared" si="2485"/>
        <v>#DIV/0!</v>
      </c>
      <c r="AP270" s="84" t="e">
        <f t="shared" si="2485"/>
        <v>#DIV/0!</v>
      </c>
      <c r="AQ270" s="84" t="e">
        <f t="shared" si="2485"/>
        <v>#DIV/0!</v>
      </c>
      <c r="AR270" s="84" t="e">
        <f t="shared" si="2485"/>
        <v>#DIV/0!</v>
      </c>
      <c r="AS270" s="84" t="e">
        <f t="shared" si="2485"/>
        <v>#DIV/0!</v>
      </c>
      <c r="AT270" s="84" t="e">
        <f t="shared" si="2485"/>
        <v>#DIV/0!</v>
      </c>
      <c r="AU270" s="84" t="e">
        <f t="shared" si="2485"/>
        <v>#DIV/0!</v>
      </c>
      <c r="AV270" s="84" t="e">
        <f t="shared" si="2485"/>
        <v>#DIV/0!</v>
      </c>
      <c r="AW270" s="84" t="e">
        <f t="shared" si="2485"/>
        <v>#DIV/0!</v>
      </c>
      <c r="AX270" s="84" t="e">
        <f t="shared" si="2485"/>
        <v>#DIV/0!</v>
      </c>
      <c r="AY270" s="84" t="e">
        <f t="shared" si="2485"/>
        <v>#DIV/0!</v>
      </c>
      <c r="AZ270" s="84" t="e">
        <f t="shared" si="2485"/>
        <v>#DIV/0!</v>
      </c>
      <c r="BA270" s="84" t="e">
        <f t="shared" si="2485"/>
        <v>#DIV/0!</v>
      </c>
      <c r="BB270" s="84" t="e">
        <f t="shared" si="2485"/>
        <v>#DIV/0!</v>
      </c>
      <c r="BC270" s="84" t="e">
        <f t="shared" si="2485"/>
        <v>#DIV/0!</v>
      </c>
      <c r="BD270" s="84" t="e">
        <f t="shared" si="2485"/>
        <v>#DIV/0!</v>
      </c>
      <c r="BE270" s="84" t="e">
        <f t="shared" si="2485"/>
        <v>#DIV/0!</v>
      </c>
      <c r="BF270" s="84" t="e">
        <f t="shared" si="2485"/>
        <v>#DIV/0!</v>
      </c>
      <c r="BG270" s="84" t="e">
        <f t="shared" si="2485"/>
        <v>#DIV/0!</v>
      </c>
      <c r="BH270" s="84" t="e">
        <f t="shared" si="2485"/>
        <v>#DIV/0!</v>
      </c>
      <c r="BI270" s="84" t="e">
        <f t="shared" si="2485"/>
        <v>#DIV/0!</v>
      </c>
      <c r="BJ270" s="84" t="e">
        <f t="shared" si="2485"/>
        <v>#DIV/0!</v>
      </c>
      <c r="BK270" s="84" t="e">
        <f t="shared" si="2485"/>
        <v>#DIV/0!</v>
      </c>
      <c r="BL270" s="84" t="e">
        <f t="shared" si="2485"/>
        <v>#DIV/0!</v>
      </c>
      <c r="BM270" s="84" t="e">
        <f t="shared" si="2485"/>
        <v>#DIV/0!</v>
      </c>
      <c r="BN270" s="84" t="e">
        <f t="shared" si="2485"/>
        <v>#DIV/0!</v>
      </c>
      <c r="BO270" s="84" t="e">
        <f t="shared" si="2485"/>
        <v>#DIV/0!</v>
      </c>
      <c r="BP270" s="84" t="e">
        <f t="shared" si="2485"/>
        <v>#DIV/0!</v>
      </c>
      <c r="BQ270" s="84" t="e">
        <f t="shared" si="2485"/>
        <v>#DIV/0!</v>
      </c>
      <c r="BR270" s="84" t="e">
        <f t="shared" si="2485"/>
        <v>#DIV/0!</v>
      </c>
      <c r="BS270" s="84" t="e">
        <f t="shared" si="2485"/>
        <v>#DIV/0!</v>
      </c>
      <c r="BT270" s="84" t="e">
        <f t="shared" si="2485"/>
        <v>#DIV/0!</v>
      </c>
      <c r="BU270" s="84" t="e">
        <f t="shared" si="2485"/>
        <v>#DIV/0!</v>
      </c>
      <c r="BV270" s="84" t="e">
        <f t="shared" si="2485"/>
        <v>#DIV/0!</v>
      </c>
      <c r="BW270" s="84" t="e">
        <f t="shared" si="2485"/>
        <v>#DIV/0!</v>
      </c>
      <c r="BX270" s="84" t="e">
        <f t="shared" si="2485"/>
        <v>#DIV/0!</v>
      </c>
      <c r="BY270" s="84" t="e">
        <f t="shared" si="2485"/>
        <v>#DIV/0!</v>
      </c>
      <c r="BZ270" s="84" t="e">
        <f t="shared" si="2485"/>
        <v>#DIV/0!</v>
      </c>
      <c r="CA270" s="84" t="e">
        <f t="shared" si="2485"/>
        <v>#DIV/0!</v>
      </c>
      <c r="CB270" s="84" t="e">
        <f t="shared" si="2485"/>
        <v>#DIV/0!</v>
      </c>
      <c r="CC270" s="84" t="e">
        <f t="shared" si="2485"/>
        <v>#DIV/0!</v>
      </c>
      <c r="CD270" s="84" t="e">
        <f t="shared" si="2485"/>
        <v>#DIV/0!</v>
      </c>
      <c r="CE270" s="84">
        <f t="shared" si="2485"/>
        <v>18.386831275720159</v>
      </c>
      <c r="CF270" s="84">
        <f t="shared" si="2485"/>
        <v>0.69099883855981414</v>
      </c>
      <c r="CG270" s="84">
        <f t="shared" si="2485"/>
        <v>0.94406874986969613</v>
      </c>
      <c r="CH270" s="84">
        <f t="shared" si="2485"/>
        <v>0.72775756054712015</v>
      </c>
      <c r="CI270" s="84">
        <f t="shared" si="2485"/>
        <v>0.75992975823987863</v>
      </c>
      <c r="CJ270" s="84">
        <f t="shared" si="2485"/>
        <v>0.83844324463298625</v>
      </c>
      <c r="CK270" s="84">
        <f t="shared" ref="CK270" si="2486">SUM(CH36:CK36)/(CK187+CK174+CK164)</f>
        <v>1.0008752597549453</v>
      </c>
      <c r="CL270" s="84">
        <f t="shared" ref="CL270:DB270" si="2487">SUM(CI36:CL36)/(CL187+CL174+CL164)</f>
        <v>0.87615847542627878</v>
      </c>
      <c r="CM270" s="50">
        <f t="shared" si="2487"/>
        <v>0.9147795918066004</v>
      </c>
      <c r="CN270" s="50">
        <f t="shared" si="2487"/>
        <v>0.76557201814688847</v>
      </c>
      <c r="CO270" s="50">
        <f t="shared" si="2487"/>
        <v>0.93074872141245391</v>
      </c>
      <c r="CP270" s="50">
        <f t="shared" si="2487"/>
        <v>0.8518466577699435</v>
      </c>
      <c r="CQ270" s="50">
        <f t="shared" si="2487"/>
        <v>0.923630273161125</v>
      </c>
      <c r="CR270" s="50">
        <f t="shared" si="2487"/>
        <v>0.75364412657137247</v>
      </c>
      <c r="CS270" s="50">
        <f t="shared" si="2487"/>
        <v>0.85740618764459176</v>
      </c>
      <c r="CT270" s="50">
        <f t="shared" si="2487"/>
        <v>0.7800294009095039</v>
      </c>
      <c r="CU270" s="50">
        <f t="shared" si="2487"/>
        <v>0.85357928794175786</v>
      </c>
      <c r="CV270" s="50">
        <f t="shared" si="2487"/>
        <v>0.71565551946019046</v>
      </c>
      <c r="CW270" s="50">
        <f t="shared" si="2487"/>
        <v>0.80517881974640693</v>
      </c>
      <c r="CX270" s="50">
        <f t="shared" si="2487"/>
        <v>0.73858418874464626</v>
      </c>
      <c r="CY270" s="50">
        <f t="shared" si="2487"/>
        <v>0.8065418694182932</v>
      </c>
      <c r="CZ270" s="50">
        <f t="shared" si="2487"/>
        <v>0.68395144705389732</v>
      </c>
      <c r="DA270" s="50">
        <f t="shared" si="2487"/>
        <v>0.76483516607850488</v>
      </c>
      <c r="DB270" s="50">
        <f t="shared" si="2487"/>
        <v>0.70632469589243896</v>
      </c>
      <c r="DC270" s="50">
        <f t="shared" ref="DC270" si="2488">SUM(CZ36:DC36)/(DC187+DC174+DC164)</f>
        <v>0.76922681977858631</v>
      </c>
      <c r="DD270" s="50">
        <f t="shared" ref="DD270" si="2489">SUM(DA36:DD36)/(DD187+DD174+DD164)</f>
        <v>0.65826752670779332</v>
      </c>
      <c r="DE270" s="138"/>
      <c r="DF270" s="84">
        <v>0.81845275442339072</v>
      </c>
    </row>
    <row r="271" spans="1:110" s="84" customFormat="1" x14ac:dyDescent="0.2">
      <c r="A271" s="84" t="s">
        <v>513</v>
      </c>
      <c r="E271" s="180" t="e">
        <f>+E68</f>
        <v>#DIV/0!</v>
      </c>
      <c r="F271" s="180" t="e">
        <f t="shared" ref="F271:AE271" si="2490">+F68</f>
        <v>#DIV/0!</v>
      </c>
      <c r="G271" s="180" t="e">
        <f t="shared" si="2490"/>
        <v>#DIV/0!</v>
      </c>
      <c r="H271" s="180" t="e">
        <f t="shared" si="2490"/>
        <v>#DIV/0!</v>
      </c>
      <c r="I271" s="180" t="e">
        <f t="shared" si="2490"/>
        <v>#DIV/0!</v>
      </c>
      <c r="J271" s="180" t="e">
        <f t="shared" si="2490"/>
        <v>#DIV/0!</v>
      </c>
      <c r="K271" s="180" t="e">
        <f t="shared" si="2490"/>
        <v>#DIV/0!</v>
      </c>
      <c r="L271" s="180" t="e">
        <f t="shared" si="2490"/>
        <v>#DIV/0!</v>
      </c>
      <c r="M271" s="180" t="e">
        <f t="shared" si="2490"/>
        <v>#DIV/0!</v>
      </c>
      <c r="N271" s="180" t="e">
        <f t="shared" si="2490"/>
        <v>#DIV/0!</v>
      </c>
      <c r="O271" s="180" t="e">
        <f t="shared" si="2490"/>
        <v>#DIV/0!</v>
      </c>
      <c r="P271" s="180" t="e">
        <f t="shared" si="2490"/>
        <v>#DIV/0!</v>
      </c>
      <c r="Q271" s="180" t="e">
        <f t="shared" si="2490"/>
        <v>#DIV/0!</v>
      </c>
      <c r="R271" s="180" t="e">
        <f t="shared" si="2490"/>
        <v>#DIV/0!</v>
      </c>
      <c r="S271" s="180" t="e">
        <f t="shared" si="2490"/>
        <v>#DIV/0!</v>
      </c>
      <c r="T271" s="180" t="e">
        <f t="shared" si="2490"/>
        <v>#DIV/0!</v>
      </c>
      <c r="U271" s="180" t="e">
        <f t="shared" si="2490"/>
        <v>#DIV/0!</v>
      </c>
      <c r="V271" s="180" t="e">
        <f t="shared" si="2490"/>
        <v>#DIV/0!</v>
      </c>
      <c r="W271" s="180" t="e">
        <f t="shared" si="2490"/>
        <v>#DIV/0!</v>
      </c>
      <c r="X271" s="180" t="e">
        <f t="shared" si="2490"/>
        <v>#DIV/0!</v>
      </c>
      <c r="Y271" s="180">
        <f t="shared" si="2490"/>
        <v>0.12606101353054897</v>
      </c>
      <c r="Z271" s="180">
        <f t="shared" ref="Z271" si="2491">+Z68</f>
        <v>0.14055732300969756</v>
      </c>
      <c r="AA271" s="181">
        <f t="shared" si="2490"/>
        <v>0.15654506809653082</v>
      </c>
      <c r="AB271" s="181">
        <f t="shared" si="2490"/>
        <v>0.15922149741090691</v>
      </c>
      <c r="AC271" s="181">
        <f t="shared" si="2490"/>
        <v>0.16434521716933295</v>
      </c>
      <c r="AD271" s="181">
        <f t="shared" si="2490"/>
        <v>0.16636878159463145</v>
      </c>
      <c r="AE271" s="181">
        <f t="shared" si="2490"/>
        <v>0.16803400539874577</v>
      </c>
      <c r="AL271" s="180" t="e">
        <f t="shared" ref="AL271:CW271" si="2492">+AL68</f>
        <v>#DIV/0!</v>
      </c>
      <c r="AM271" s="180" t="e">
        <f t="shared" si="2492"/>
        <v>#DIV/0!</v>
      </c>
      <c r="AN271" s="180" t="e">
        <f t="shared" si="2492"/>
        <v>#DIV/0!</v>
      </c>
      <c r="AO271" s="180" t="e">
        <f t="shared" si="2492"/>
        <v>#DIV/0!</v>
      </c>
      <c r="AP271" s="180" t="e">
        <f t="shared" si="2492"/>
        <v>#DIV/0!</v>
      </c>
      <c r="AQ271" s="180" t="e">
        <f t="shared" si="2492"/>
        <v>#DIV/0!</v>
      </c>
      <c r="AR271" s="180" t="e">
        <f t="shared" si="2492"/>
        <v>#DIV/0!</v>
      </c>
      <c r="AS271" s="180" t="e">
        <f t="shared" si="2492"/>
        <v>#DIV/0!</v>
      </c>
      <c r="AT271" s="180" t="e">
        <f t="shared" si="2492"/>
        <v>#DIV/0!</v>
      </c>
      <c r="AU271" s="180" t="e">
        <f t="shared" si="2492"/>
        <v>#DIV/0!</v>
      </c>
      <c r="AV271" s="180" t="e">
        <f t="shared" si="2492"/>
        <v>#DIV/0!</v>
      </c>
      <c r="AW271" s="180" t="e">
        <f t="shared" si="2492"/>
        <v>#DIV/0!</v>
      </c>
      <c r="AX271" s="180" t="e">
        <f t="shared" si="2492"/>
        <v>#DIV/0!</v>
      </c>
      <c r="AY271" s="180" t="e">
        <f t="shared" si="2492"/>
        <v>#DIV/0!</v>
      </c>
      <c r="AZ271" s="180" t="e">
        <f t="shared" si="2492"/>
        <v>#DIV/0!</v>
      </c>
      <c r="BA271" s="180" t="e">
        <f t="shared" si="2492"/>
        <v>#DIV/0!</v>
      </c>
      <c r="BB271" s="180" t="e">
        <f t="shared" si="2492"/>
        <v>#DIV/0!</v>
      </c>
      <c r="BC271" s="180" t="e">
        <f t="shared" si="2492"/>
        <v>#DIV/0!</v>
      </c>
      <c r="BD271" s="180" t="e">
        <f t="shared" si="2492"/>
        <v>#DIV/0!</v>
      </c>
      <c r="BE271" s="180" t="e">
        <f t="shared" si="2492"/>
        <v>#DIV/0!</v>
      </c>
      <c r="BF271" s="180" t="e">
        <f t="shared" si="2492"/>
        <v>#DIV/0!</v>
      </c>
      <c r="BG271" s="180" t="e">
        <f t="shared" si="2492"/>
        <v>#DIV/0!</v>
      </c>
      <c r="BH271" s="180" t="e">
        <f t="shared" si="2492"/>
        <v>#DIV/0!</v>
      </c>
      <c r="BI271" s="180" t="e">
        <f t="shared" si="2492"/>
        <v>#DIV/0!</v>
      </c>
      <c r="BJ271" s="180" t="e">
        <f t="shared" si="2492"/>
        <v>#DIV/0!</v>
      </c>
      <c r="BK271" s="180" t="e">
        <f t="shared" si="2492"/>
        <v>#DIV/0!</v>
      </c>
      <c r="BL271" s="180" t="e">
        <f t="shared" si="2492"/>
        <v>#DIV/0!</v>
      </c>
      <c r="BM271" s="180" t="e">
        <f t="shared" si="2492"/>
        <v>#DIV/0!</v>
      </c>
      <c r="BN271" s="180" t="e">
        <f t="shared" si="2492"/>
        <v>#DIV/0!</v>
      </c>
      <c r="BO271" s="180" t="e">
        <f t="shared" si="2492"/>
        <v>#DIV/0!</v>
      </c>
      <c r="BP271" s="180" t="e">
        <f t="shared" si="2492"/>
        <v>#DIV/0!</v>
      </c>
      <c r="BQ271" s="180" t="e">
        <f t="shared" si="2492"/>
        <v>#DIV/0!</v>
      </c>
      <c r="BR271" s="180" t="e">
        <f t="shared" si="2492"/>
        <v>#DIV/0!</v>
      </c>
      <c r="BS271" s="180" t="e">
        <f t="shared" si="2492"/>
        <v>#DIV/0!</v>
      </c>
      <c r="BT271" s="180" t="e">
        <f t="shared" si="2492"/>
        <v>#DIV/0!</v>
      </c>
      <c r="BU271" s="180" t="e">
        <f t="shared" si="2492"/>
        <v>#DIV/0!</v>
      </c>
      <c r="BV271" s="180" t="e">
        <f t="shared" si="2492"/>
        <v>#DIV/0!</v>
      </c>
      <c r="BW271" s="180" t="e">
        <f t="shared" si="2492"/>
        <v>#DIV/0!</v>
      </c>
      <c r="BX271" s="180" t="e">
        <f t="shared" si="2492"/>
        <v>#DIV/0!</v>
      </c>
      <c r="BY271" s="180" t="e">
        <f t="shared" si="2492"/>
        <v>#DIV/0!</v>
      </c>
      <c r="BZ271" s="180" t="e">
        <f t="shared" si="2492"/>
        <v>#DIV/0!</v>
      </c>
      <c r="CA271" s="180" t="e">
        <f t="shared" si="2492"/>
        <v>#DIV/0!</v>
      </c>
      <c r="CB271" s="180" t="e">
        <f t="shared" si="2492"/>
        <v>#DIV/0!</v>
      </c>
      <c r="CC271" s="180" t="e">
        <f t="shared" si="2492"/>
        <v>#DIV/0!</v>
      </c>
      <c r="CD271" s="180">
        <f t="shared" si="2492"/>
        <v>0.15084405816480015</v>
      </c>
      <c r="CE271" s="180">
        <f t="shared" si="2492"/>
        <v>9.8234739253469927E-2</v>
      </c>
      <c r="CF271" s="180">
        <f t="shared" si="2492"/>
        <v>0.13166249759476611</v>
      </c>
      <c r="CG271" s="180">
        <f t="shared" si="2492"/>
        <v>0.15274573142593456</v>
      </c>
      <c r="CH271" s="180">
        <f t="shared" si="2492"/>
        <v>0.13093907954243147</v>
      </c>
      <c r="CI271" s="180">
        <f t="shared" si="2492"/>
        <v>0.14720385520564816</v>
      </c>
      <c r="CJ271" s="180">
        <f t="shared" si="2492"/>
        <v>0.13591866046792916</v>
      </c>
      <c r="CK271" s="180">
        <f t="shared" si="2492"/>
        <v>0.19090480925218492</v>
      </c>
      <c r="CL271" s="180">
        <f t="shared" si="2492"/>
        <v>0.1564679837934923</v>
      </c>
      <c r="CM271" s="181">
        <f t="shared" si="2492"/>
        <v>0.14595103928893816</v>
      </c>
      <c r="CN271" s="181">
        <f t="shared" si="2492"/>
        <v>0.14455604141145542</v>
      </c>
      <c r="CO271" s="181">
        <f t="shared" si="2492"/>
        <v>0.16353460648382151</v>
      </c>
      <c r="CP271" s="181">
        <f t="shared" si="2492"/>
        <v>0.15744641823872055</v>
      </c>
      <c r="CQ271" s="181">
        <f t="shared" si="2492"/>
        <v>0.15808769725958469</v>
      </c>
      <c r="CR271" s="181">
        <f t="shared" si="2492"/>
        <v>0.15861666244806341</v>
      </c>
      <c r="CS271" s="181">
        <f t="shared" si="2492"/>
        <v>0.1634702971602765</v>
      </c>
      <c r="CT271" s="181">
        <f t="shared" si="2492"/>
        <v>0.16232595588291768</v>
      </c>
      <c r="CU271" s="181">
        <f t="shared" si="2492"/>
        <v>0.16678189203398483</v>
      </c>
      <c r="CV271" s="181">
        <f t="shared" si="2492"/>
        <v>0.16493870638527264</v>
      </c>
      <c r="CW271" s="181">
        <f t="shared" si="2492"/>
        <v>0.16677818643043285</v>
      </c>
      <c r="CX271" s="181">
        <f t="shared" ref="CX271:DB271" si="2493">+CX68</f>
        <v>0.16539544490830957</v>
      </c>
      <c r="CY271" s="181">
        <f t="shared" si="2493"/>
        <v>0.16906171686138594</v>
      </c>
      <c r="CZ271" s="181">
        <f t="shared" si="2493"/>
        <v>0.16506428484191238</v>
      </c>
      <c r="DA271" s="181">
        <f t="shared" si="2493"/>
        <v>0.16903817814692629</v>
      </c>
      <c r="DB271" s="181">
        <f t="shared" si="2493"/>
        <v>0.16713670006725956</v>
      </c>
      <c r="DC271" s="181">
        <f t="shared" ref="DC271:DD271" si="2494">+DC68</f>
        <v>0.17081185249503725</v>
      </c>
      <c r="DD271" s="181">
        <f t="shared" si="2494"/>
        <v>0.16620488066178074</v>
      </c>
      <c r="DE271" s="138"/>
      <c r="DF271" s="218">
        <v>0.14055732300969756</v>
      </c>
    </row>
    <row r="272" spans="1:110" s="84" customFormat="1" x14ac:dyDescent="0.2">
      <c r="A272" s="84" t="s">
        <v>514</v>
      </c>
      <c r="E272" s="84" t="e">
        <f>(E187+E174+E164+E166)/E146</f>
        <v>#DIV/0!</v>
      </c>
      <c r="F272" s="84" t="e">
        <f t="shared" ref="F272:AE272" si="2495">(F187+F174+F164+F166)/F146</f>
        <v>#DIV/0!</v>
      </c>
      <c r="G272" s="84" t="e">
        <f t="shared" si="2495"/>
        <v>#DIV/0!</v>
      </c>
      <c r="H272" s="84" t="e">
        <f t="shared" si="2495"/>
        <v>#DIV/0!</v>
      </c>
      <c r="I272" s="84" t="e">
        <f t="shared" si="2495"/>
        <v>#DIV/0!</v>
      </c>
      <c r="J272" s="84" t="e">
        <f t="shared" si="2495"/>
        <v>#DIV/0!</v>
      </c>
      <c r="K272" s="84" t="e">
        <f t="shared" si="2495"/>
        <v>#DIV/0!</v>
      </c>
      <c r="L272" s="84" t="e">
        <f t="shared" si="2495"/>
        <v>#DIV/0!</v>
      </c>
      <c r="M272" s="84" t="e">
        <f t="shared" si="2495"/>
        <v>#DIV/0!</v>
      </c>
      <c r="N272" s="84" t="e">
        <f t="shared" si="2495"/>
        <v>#DIV/0!</v>
      </c>
      <c r="O272" s="84" t="e">
        <f t="shared" si="2495"/>
        <v>#DIV/0!</v>
      </c>
      <c r="P272" s="84" t="e">
        <f t="shared" si="2495"/>
        <v>#DIV/0!</v>
      </c>
      <c r="Q272" s="84" t="e">
        <f t="shared" si="2495"/>
        <v>#DIV/0!</v>
      </c>
      <c r="R272" s="84" t="e">
        <f t="shared" si="2495"/>
        <v>#DIV/0!</v>
      </c>
      <c r="S272" s="84" t="e">
        <f t="shared" si="2495"/>
        <v>#DIV/0!</v>
      </c>
      <c r="T272" s="84" t="e">
        <f t="shared" si="2495"/>
        <v>#DIV/0!</v>
      </c>
      <c r="U272" s="84" t="e">
        <f t="shared" si="2495"/>
        <v>#DIV/0!</v>
      </c>
      <c r="V272" s="84" t="e">
        <f t="shared" si="2495"/>
        <v>#DIV/0!</v>
      </c>
      <c r="W272" s="84" t="e">
        <f t="shared" si="2495"/>
        <v>#DIV/0!</v>
      </c>
      <c r="X272" s="84" t="e">
        <f t="shared" si="2495"/>
        <v>#DIV/0!</v>
      </c>
      <c r="Y272" s="84">
        <f t="shared" si="2495"/>
        <v>2.1412583934344691</v>
      </c>
      <c r="Z272" s="84">
        <f t="shared" ref="Z272" si="2496">(Z187+Z174+Z164+Z166)/Z146</f>
        <v>2.1826398557505762</v>
      </c>
      <c r="AA272" s="50">
        <f t="shared" si="2495"/>
        <v>2.3227896788553952</v>
      </c>
      <c r="AB272" s="50">
        <f t="shared" si="2495"/>
        <v>2.0943111535409242</v>
      </c>
      <c r="AC272" s="50">
        <f t="shared" si="2495"/>
        <v>1.9852107779487</v>
      </c>
      <c r="AD272" s="50">
        <f t="shared" si="2495"/>
        <v>1.9065036746596309</v>
      </c>
      <c r="AE272" s="50">
        <f t="shared" si="2495"/>
        <v>1.8471716537159619</v>
      </c>
      <c r="AL272" s="84" t="e">
        <f t="shared" ref="AL272:CW272" si="2497">(AL187+AL174+AL164+AL166)/AL146</f>
        <v>#DIV/0!</v>
      </c>
      <c r="AM272" s="84" t="e">
        <f t="shared" si="2497"/>
        <v>#DIV/0!</v>
      </c>
      <c r="AN272" s="84" t="e">
        <f t="shared" si="2497"/>
        <v>#DIV/0!</v>
      </c>
      <c r="AO272" s="84" t="e">
        <f t="shared" si="2497"/>
        <v>#DIV/0!</v>
      </c>
      <c r="AP272" s="84" t="e">
        <f t="shared" si="2497"/>
        <v>#DIV/0!</v>
      </c>
      <c r="AQ272" s="84" t="e">
        <f t="shared" si="2497"/>
        <v>#DIV/0!</v>
      </c>
      <c r="AR272" s="84" t="e">
        <f t="shared" si="2497"/>
        <v>#DIV/0!</v>
      </c>
      <c r="AS272" s="84" t="e">
        <f t="shared" si="2497"/>
        <v>#DIV/0!</v>
      </c>
      <c r="AT272" s="84" t="e">
        <f t="shared" si="2497"/>
        <v>#DIV/0!</v>
      </c>
      <c r="AU272" s="84" t="e">
        <f t="shared" si="2497"/>
        <v>#DIV/0!</v>
      </c>
      <c r="AV272" s="84" t="e">
        <f t="shared" si="2497"/>
        <v>#DIV/0!</v>
      </c>
      <c r="AW272" s="84" t="e">
        <f t="shared" si="2497"/>
        <v>#DIV/0!</v>
      </c>
      <c r="AX272" s="84" t="e">
        <f t="shared" si="2497"/>
        <v>#DIV/0!</v>
      </c>
      <c r="AY272" s="84" t="e">
        <f t="shared" si="2497"/>
        <v>#DIV/0!</v>
      </c>
      <c r="AZ272" s="84" t="e">
        <f t="shared" si="2497"/>
        <v>#DIV/0!</v>
      </c>
      <c r="BA272" s="84" t="e">
        <f t="shared" si="2497"/>
        <v>#DIV/0!</v>
      </c>
      <c r="BB272" s="84" t="e">
        <f t="shared" si="2497"/>
        <v>#DIV/0!</v>
      </c>
      <c r="BC272" s="84" t="e">
        <f t="shared" si="2497"/>
        <v>#DIV/0!</v>
      </c>
      <c r="BD272" s="84" t="e">
        <f t="shared" si="2497"/>
        <v>#DIV/0!</v>
      </c>
      <c r="BE272" s="84" t="e">
        <f t="shared" si="2497"/>
        <v>#DIV/0!</v>
      </c>
      <c r="BF272" s="84" t="e">
        <f t="shared" si="2497"/>
        <v>#DIV/0!</v>
      </c>
      <c r="BG272" s="84" t="e">
        <f t="shared" si="2497"/>
        <v>#DIV/0!</v>
      </c>
      <c r="BH272" s="84" t="e">
        <f t="shared" si="2497"/>
        <v>#DIV/0!</v>
      </c>
      <c r="BI272" s="84" t="e">
        <f t="shared" si="2497"/>
        <v>#DIV/0!</v>
      </c>
      <c r="BJ272" s="84" t="e">
        <f t="shared" si="2497"/>
        <v>#DIV/0!</v>
      </c>
      <c r="BK272" s="84" t="e">
        <f t="shared" si="2497"/>
        <v>#DIV/0!</v>
      </c>
      <c r="BL272" s="84" t="e">
        <f t="shared" si="2497"/>
        <v>#DIV/0!</v>
      </c>
      <c r="BM272" s="84" t="e">
        <f t="shared" si="2497"/>
        <v>#DIV/0!</v>
      </c>
      <c r="BN272" s="84" t="e">
        <f t="shared" si="2497"/>
        <v>#DIV/0!</v>
      </c>
      <c r="BO272" s="84" t="e">
        <f t="shared" si="2497"/>
        <v>#DIV/0!</v>
      </c>
      <c r="BP272" s="84" t="e">
        <f t="shared" si="2497"/>
        <v>#DIV/0!</v>
      </c>
      <c r="BQ272" s="84" t="e">
        <f t="shared" si="2497"/>
        <v>#DIV/0!</v>
      </c>
      <c r="BR272" s="84" t="e">
        <f t="shared" si="2497"/>
        <v>#DIV/0!</v>
      </c>
      <c r="BS272" s="84" t="e">
        <f t="shared" si="2497"/>
        <v>#DIV/0!</v>
      </c>
      <c r="BT272" s="84" t="e">
        <f t="shared" si="2497"/>
        <v>#DIV/0!</v>
      </c>
      <c r="BU272" s="84" t="e">
        <f t="shared" si="2497"/>
        <v>#DIV/0!</v>
      </c>
      <c r="BV272" s="84" t="e">
        <f t="shared" si="2497"/>
        <v>#DIV/0!</v>
      </c>
      <c r="BW272" s="84" t="e">
        <f t="shared" si="2497"/>
        <v>#DIV/0!</v>
      </c>
      <c r="BX272" s="84" t="e">
        <f t="shared" si="2497"/>
        <v>#DIV/0!</v>
      </c>
      <c r="BY272" s="84" t="e">
        <f t="shared" si="2497"/>
        <v>#DIV/0!</v>
      </c>
      <c r="BZ272" s="84" t="e">
        <f t="shared" si="2497"/>
        <v>#DIV/0!</v>
      </c>
      <c r="CA272" s="84" t="e">
        <f t="shared" si="2497"/>
        <v>#DIV/0!</v>
      </c>
      <c r="CB272" s="84" t="e">
        <f t="shared" si="2497"/>
        <v>#DIV/0!</v>
      </c>
      <c r="CC272" s="84" t="e">
        <f t="shared" si="2497"/>
        <v>#DIV/0!</v>
      </c>
      <c r="CD272" s="84" t="e">
        <f t="shared" si="2497"/>
        <v>#DIV/0!</v>
      </c>
      <c r="CE272" s="84">
        <f t="shared" si="2497"/>
        <v>1</v>
      </c>
      <c r="CF272" s="84">
        <f t="shared" si="2497"/>
        <v>2.1412583934344696</v>
      </c>
      <c r="CG272" s="84">
        <f t="shared" si="2497"/>
        <v>1.9278963485614731</v>
      </c>
      <c r="CH272" s="84">
        <f t="shared" si="2497"/>
        <v>2.1826398557505762</v>
      </c>
      <c r="CI272" s="84">
        <f t="shared" si="2497"/>
        <v>2.057117003601348</v>
      </c>
      <c r="CJ272" s="84">
        <f t="shared" si="2497"/>
        <v>2.1306005066989249</v>
      </c>
      <c r="CK272" s="84">
        <f t="shared" si="2497"/>
        <v>1.7497147638226092</v>
      </c>
      <c r="CL272" s="84">
        <f t="shared" si="2497"/>
        <v>2.0719896920071492</v>
      </c>
      <c r="CM272" s="50">
        <f t="shared" si="2497"/>
        <v>1.9668520613170108</v>
      </c>
      <c r="CN272" s="50">
        <f t="shared" si="2497"/>
        <v>2.3227896788553952</v>
      </c>
      <c r="CO272" s="50">
        <f t="shared" si="2497"/>
        <v>1.8828452858115994</v>
      </c>
      <c r="CP272" s="50">
        <f t="shared" si="2497"/>
        <v>2.0285851825238788</v>
      </c>
      <c r="CQ272" s="50">
        <f t="shared" si="2497"/>
        <v>1.8016849090307805</v>
      </c>
      <c r="CR272" s="50">
        <f t="shared" si="2497"/>
        <v>2.0943111535409242</v>
      </c>
      <c r="CS272" s="50">
        <f t="shared" si="2497"/>
        <v>1.7990952231838153</v>
      </c>
      <c r="CT272" s="50">
        <f t="shared" si="2497"/>
        <v>1.923083594669788</v>
      </c>
      <c r="CU272" s="50">
        <f t="shared" si="2497"/>
        <v>1.7150522546451583</v>
      </c>
      <c r="CV272" s="50">
        <f t="shared" si="2497"/>
        <v>1.9852107779487</v>
      </c>
      <c r="CW272" s="50">
        <f t="shared" si="2497"/>
        <v>1.7287125496519777</v>
      </c>
      <c r="CX272" s="50">
        <f t="shared" ref="CX272:DB272" si="2498">(CX187+CX174+CX164+CX166)/CX146</f>
        <v>1.8410374514461838</v>
      </c>
      <c r="CY272" s="50">
        <f t="shared" si="2498"/>
        <v>1.6546163544917563</v>
      </c>
      <c r="CZ272" s="50">
        <f t="shared" si="2498"/>
        <v>1.9065036746596309</v>
      </c>
      <c r="DA272" s="50">
        <f t="shared" si="2498"/>
        <v>1.6759711859720692</v>
      </c>
      <c r="DB272" s="50">
        <f t="shared" si="2498"/>
        <v>1.7807795389562366</v>
      </c>
      <c r="DC272" s="50">
        <f t="shared" ref="DC272:DD272" si="2499">(DC187+DC174+DC164+DC166)/DC146</f>
        <v>1.6105357878581914</v>
      </c>
      <c r="DD272" s="50">
        <f t="shared" si="2499"/>
        <v>1.8471716537159619</v>
      </c>
      <c r="DE272" s="138"/>
      <c r="DF272" s="84">
        <v>2.1826398557505762</v>
      </c>
    </row>
    <row r="273" spans="1:110" s="84" customFormat="1" x14ac:dyDescent="0.2">
      <c r="A273" s="154" t="s">
        <v>498</v>
      </c>
      <c r="AA273" s="50"/>
      <c r="AB273" s="50"/>
      <c r="AC273" s="50"/>
      <c r="AD273" s="50"/>
      <c r="AE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138"/>
    </row>
    <row r="274" spans="1:110" s="88" customFormat="1" x14ac:dyDescent="0.2">
      <c r="A274" s="88" t="s">
        <v>102</v>
      </c>
      <c r="B274" s="88" t="e">
        <f t="shared" ref="B274:AE274" si="2500">B187/B146</f>
        <v>#DIV/0!</v>
      </c>
      <c r="C274" s="88" t="e">
        <f t="shared" si="2500"/>
        <v>#DIV/0!</v>
      </c>
      <c r="D274" s="88" t="e">
        <f t="shared" si="2500"/>
        <v>#DIV/0!</v>
      </c>
      <c r="F274" s="88" t="e">
        <f t="shared" si="2500"/>
        <v>#DIV/0!</v>
      </c>
      <c r="G274" s="88" t="e">
        <f t="shared" si="2500"/>
        <v>#DIV/0!</v>
      </c>
      <c r="H274" s="88" t="e">
        <f t="shared" si="2500"/>
        <v>#DIV/0!</v>
      </c>
      <c r="I274" s="88" t="e">
        <f t="shared" si="2500"/>
        <v>#DIV/0!</v>
      </c>
      <c r="J274" s="88" t="e">
        <f t="shared" si="2500"/>
        <v>#DIV/0!</v>
      </c>
      <c r="K274" s="88" t="e">
        <f t="shared" si="2500"/>
        <v>#DIV/0!</v>
      </c>
      <c r="L274" s="88" t="e">
        <f t="shared" si="2500"/>
        <v>#DIV/0!</v>
      </c>
      <c r="M274" s="88" t="e">
        <f t="shared" si="2500"/>
        <v>#DIV/0!</v>
      </c>
      <c r="N274" s="88" t="e">
        <f t="shared" si="2500"/>
        <v>#DIV/0!</v>
      </c>
      <c r="O274" s="88" t="e">
        <f t="shared" si="2500"/>
        <v>#DIV/0!</v>
      </c>
      <c r="P274" s="88" t="e">
        <f t="shared" si="2500"/>
        <v>#DIV/0!</v>
      </c>
      <c r="Q274" s="88" t="e">
        <f t="shared" si="2500"/>
        <v>#DIV/0!</v>
      </c>
      <c r="R274" s="88" t="e">
        <f t="shared" si="2500"/>
        <v>#DIV/0!</v>
      </c>
      <c r="S274" s="88" t="e">
        <f t="shared" si="2500"/>
        <v>#DIV/0!</v>
      </c>
      <c r="T274" s="88" t="e">
        <f t="shared" si="2500"/>
        <v>#DIV/0!</v>
      </c>
      <c r="U274" s="88" t="e">
        <f t="shared" si="2500"/>
        <v>#DIV/0!</v>
      </c>
      <c r="V274" s="88" t="e">
        <f t="shared" si="2500"/>
        <v>#DIV/0!</v>
      </c>
      <c r="W274" s="88" t="e">
        <f t="shared" si="2500"/>
        <v>#DIV/0!</v>
      </c>
      <c r="X274" s="88" t="e">
        <f t="shared" si="2500"/>
        <v>#DIV/0!</v>
      </c>
      <c r="Y274" s="88">
        <f t="shared" si="2500"/>
        <v>0</v>
      </c>
      <c r="Z274" s="88">
        <f t="shared" ref="Z274" si="2501">Z187/Z146</f>
        <v>0.79017643165270579</v>
      </c>
      <c r="AA274" s="42">
        <f t="shared" si="2500"/>
        <v>0.6520395391755367</v>
      </c>
      <c r="AB274" s="42">
        <f t="shared" si="2500"/>
        <v>0.68521770002871552</v>
      </c>
      <c r="AC274" s="42">
        <f t="shared" si="2500"/>
        <v>0.71661405072555839</v>
      </c>
      <c r="AD274" s="42">
        <f t="shared" si="2500"/>
        <v>0.74718867012342594</v>
      </c>
      <c r="AE274" s="42">
        <f t="shared" si="2500"/>
        <v>0.77449050756018012</v>
      </c>
      <c r="AL274" s="88" t="e">
        <f t="shared" ref="AL274:CW274" si="2502">AL187/AL146</f>
        <v>#DIV/0!</v>
      </c>
      <c r="AM274" s="88" t="e">
        <f t="shared" si="2502"/>
        <v>#DIV/0!</v>
      </c>
      <c r="AN274" s="88" t="e">
        <f t="shared" si="2502"/>
        <v>#DIV/0!</v>
      </c>
      <c r="AO274" s="88" t="e">
        <f t="shared" si="2502"/>
        <v>#DIV/0!</v>
      </c>
      <c r="AP274" s="88" t="e">
        <f t="shared" si="2502"/>
        <v>#DIV/0!</v>
      </c>
      <c r="AQ274" s="88" t="e">
        <f t="shared" si="2502"/>
        <v>#DIV/0!</v>
      </c>
      <c r="AR274" s="88" t="e">
        <f t="shared" si="2502"/>
        <v>#DIV/0!</v>
      </c>
      <c r="AS274" s="88" t="e">
        <f t="shared" si="2502"/>
        <v>#DIV/0!</v>
      </c>
      <c r="AT274" s="88" t="e">
        <f t="shared" si="2502"/>
        <v>#DIV/0!</v>
      </c>
      <c r="AU274" s="88" t="e">
        <f t="shared" si="2502"/>
        <v>#DIV/0!</v>
      </c>
      <c r="AV274" s="88" t="e">
        <f t="shared" si="2502"/>
        <v>#DIV/0!</v>
      </c>
      <c r="AW274" s="88" t="e">
        <f t="shared" si="2502"/>
        <v>#DIV/0!</v>
      </c>
      <c r="AX274" s="88" t="e">
        <f t="shared" si="2502"/>
        <v>#DIV/0!</v>
      </c>
      <c r="AY274" s="88" t="e">
        <f t="shared" si="2502"/>
        <v>#DIV/0!</v>
      </c>
      <c r="AZ274" s="88" t="e">
        <f t="shared" si="2502"/>
        <v>#DIV/0!</v>
      </c>
      <c r="BA274" s="88" t="e">
        <f t="shared" si="2502"/>
        <v>#DIV/0!</v>
      </c>
      <c r="BB274" s="88" t="e">
        <f t="shared" si="2502"/>
        <v>#DIV/0!</v>
      </c>
      <c r="BC274" s="88" t="e">
        <f t="shared" si="2502"/>
        <v>#DIV/0!</v>
      </c>
      <c r="BD274" s="88" t="e">
        <f t="shared" si="2502"/>
        <v>#DIV/0!</v>
      </c>
      <c r="BE274" s="88" t="e">
        <f t="shared" si="2502"/>
        <v>#DIV/0!</v>
      </c>
      <c r="BF274" s="88" t="e">
        <f t="shared" si="2502"/>
        <v>#DIV/0!</v>
      </c>
      <c r="BG274" s="88" t="e">
        <f t="shared" si="2502"/>
        <v>#DIV/0!</v>
      </c>
      <c r="BH274" s="88" t="e">
        <f t="shared" si="2502"/>
        <v>#DIV/0!</v>
      </c>
      <c r="BI274" s="88" t="e">
        <f t="shared" si="2502"/>
        <v>#DIV/0!</v>
      </c>
      <c r="BJ274" s="88" t="e">
        <f t="shared" si="2502"/>
        <v>#DIV/0!</v>
      </c>
      <c r="BK274" s="88" t="e">
        <f t="shared" si="2502"/>
        <v>#DIV/0!</v>
      </c>
      <c r="BL274" s="88" t="e">
        <f t="shared" si="2502"/>
        <v>#DIV/0!</v>
      </c>
      <c r="BM274" s="88" t="e">
        <f t="shared" si="2502"/>
        <v>#DIV/0!</v>
      </c>
      <c r="BN274" s="88" t="e">
        <f t="shared" si="2502"/>
        <v>#DIV/0!</v>
      </c>
      <c r="BO274" s="88" t="e">
        <f t="shared" si="2502"/>
        <v>#DIV/0!</v>
      </c>
      <c r="BP274" s="88" t="e">
        <f t="shared" si="2502"/>
        <v>#DIV/0!</v>
      </c>
      <c r="BQ274" s="88" t="e">
        <f t="shared" si="2502"/>
        <v>#DIV/0!</v>
      </c>
      <c r="BR274" s="88" t="e">
        <f t="shared" si="2502"/>
        <v>#DIV/0!</v>
      </c>
      <c r="BS274" s="88" t="e">
        <f t="shared" si="2502"/>
        <v>#DIV/0!</v>
      </c>
      <c r="BT274" s="88" t="e">
        <f t="shared" si="2502"/>
        <v>#DIV/0!</v>
      </c>
      <c r="BU274" s="88" t="e">
        <f t="shared" si="2502"/>
        <v>#DIV/0!</v>
      </c>
      <c r="BV274" s="88" t="e">
        <f t="shared" si="2502"/>
        <v>#DIV/0!</v>
      </c>
      <c r="BW274" s="88" t="e">
        <f t="shared" si="2502"/>
        <v>#DIV/0!</v>
      </c>
      <c r="BX274" s="88" t="e">
        <f t="shared" si="2502"/>
        <v>#DIV/0!</v>
      </c>
      <c r="BY274" s="88" t="e">
        <f t="shared" si="2502"/>
        <v>#DIV/0!</v>
      </c>
      <c r="BZ274" s="88" t="e">
        <f t="shared" si="2502"/>
        <v>#DIV/0!</v>
      </c>
      <c r="CA274" s="88" t="e">
        <f t="shared" si="2502"/>
        <v>#DIV/0!</v>
      </c>
      <c r="CB274" s="88" t="e">
        <f t="shared" si="2502"/>
        <v>#DIV/0!</v>
      </c>
      <c r="CC274" s="88" t="e">
        <f t="shared" si="2502"/>
        <v>#DIV/0!</v>
      </c>
      <c r="CD274" s="88" t="e">
        <f t="shared" si="2502"/>
        <v>#DIV/0!</v>
      </c>
      <c r="CE274" s="88">
        <f t="shared" si="2502"/>
        <v>1</v>
      </c>
      <c r="CF274" s="88">
        <f t="shared" si="2502"/>
        <v>0</v>
      </c>
      <c r="CG274" s="88">
        <f t="shared" si="2502"/>
        <v>0.1383045808680127</v>
      </c>
      <c r="CH274" s="88">
        <f t="shared" si="2502"/>
        <v>0.79017643165270579</v>
      </c>
      <c r="CI274" s="88">
        <f t="shared" si="2502"/>
        <v>0.80882702186586819</v>
      </c>
      <c r="CJ274" s="88">
        <f t="shared" si="2502"/>
        <v>0.79017643165270579</v>
      </c>
      <c r="CK274" s="88">
        <f t="shared" si="2502"/>
        <v>0.8032361323870888</v>
      </c>
      <c r="CL274" s="88">
        <f t="shared" si="2502"/>
        <v>0.68477492830125941</v>
      </c>
      <c r="CM274" s="42">
        <f t="shared" si="2502"/>
        <v>0.69718409324579411</v>
      </c>
      <c r="CN274" s="42">
        <f t="shared" si="2502"/>
        <v>0.6520395391755367</v>
      </c>
      <c r="CO274" s="42">
        <f t="shared" si="2502"/>
        <v>0.70967638567176394</v>
      </c>
      <c r="CP274" s="42">
        <f t="shared" si="2502"/>
        <v>0.69019211978893891</v>
      </c>
      <c r="CQ274" s="42">
        <f t="shared" si="2502"/>
        <v>0.72094061117459285</v>
      </c>
      <c r="CR274" s="42">
        <f t="shared" si="2502"/>
        <v>0.68521770002871552</v>
      </c>
      <c r="CS274" s="42">
        <f t="shared" si="2502"/>
        <v>0.72814590792332745</v>
      </c>
      <c r="CT274" s="42">
        <f t="shared" si="2502"/>
        <v>0.71563821553580342</v>
      </c>
      <c r="CU274" s="42">
        <f t="shared" si="2502"/>
        <v>0.74725379635313427</v>
      </c>
      <c r="CV274" s="42">
        <f t="shared" si="2502"/>
        <v>0.71661405072555839</v>
      </c>
      <c r="CW274" s="42">
        <f t="shared" si="2502"/>
        <v>0.75596202282069136</v>
      </c>
      <c r="CX274" s="42">
        <f t="shared" ref="CX274:DB274" si="2503">CX187/CX146</f>
        <v>0.74596985106348257</v>
      </c>
      <c r="CY274" s="42">
        <f t="shared" si="2503"/>
        <v>0.77548502078576176</v>
      </c>
      <c r="CZ274" s="42">
        <f t="shared" si="2503"/>
        <v>0.74718867012342594</v>
      </c>
      <c r="DA274" s="42">
        <f t="shared" si="2503"/>
        <v>0.78323530217535298</v>
      </c>
      <c r="DB274" s="42">
        <f t="shared" si="2503"/>
        <v>0.77406825827858894</v>
      </c>
      <c r="DC274" s="42">
        <f t="shared" ref="DC274:DD274" si="2504">DC187/DC146</f>
        <v>0.80134468039802564</v>
      </c>
      <c r="DD274" s="42">
        <f t="shared" si="2504"/>
        <v>0.77449050756018012</v>
      </c>
      <c r="DE274" s="125"/>
      <c r="DF274" s="88">
        <v>0.79017643165270579</v>
      </c>
    </row>
    <row r="275" spans="1:110" s="89" customFormat="1" x14ac:dyDescent="0.2">
      <c r="A275" s="89" t="s">
        <v>103</v>
      </c>
      <c r="C275" s="89" t="e">
        <f t="shared" ref="C275:AE275" si="2505">C154/B154-1</f>
        <v>#DIV/0!</v>
      </c>
      <c r="D275" s="89" t="e">
        <f t="shared" si="2505"/>
        <v>#DIV/0!</v>
      </c>
      <c r="F275" s="89" t="e">
        <f t="shared" si="2505"/>
        <v>#DIV/0!</v>
      </c>
      <c r="G275" s="89" t="e">
        <f t="shared" si="2505"/>
        <v>#DIV/0!</v>
      </c>
      <c r="H275" s="89" t="e">
        <f t="shared" si="2505"/>
        <v>#DIV/0!</v>
      </c>
      <c r="I275" s="89" t="e">
        <f t="shared" si="2505"/>
        <v>#DIV/0!</v>
      </c>
      <c r="J275" s="89" t="e">
        <f t="shared" si="2505"/>
        <v>#DIV/0!</v>
      </c>
      <c r="K275" s="89" t="e">
        <f>K154/J154-1</f>
        <v>#DIV/0!</v>
      </c>
      <c r="L275" s="89" t="e">
        <f t="shared" si="2505"/>
        <v>#DIV/0!</v>
      </c>
      <c r="M275" s="89" t="e">
        <f t="shared" si="2505"/>
        <v>#DIV/0!</v>
      </c>
      <c r="N275" s="89" t="e">
        <f t="shared" si="2505"/>
        <v>#DIV/0!</v>
      </c>
      <c r="O275" s="89" t="e">
        <f t="shared" si="2505"/>
        <v>#DIV/0!</v>
      </c>
      <c r="P275" s="89" t="e">
        <f t="shared" si="2505"/>
        <v>#DIV/0!</v>
      </c>
      <c r="Q275" s="89" t="e">
        <f t="shared" si="2505"/>
        <v>#DIV/0!</v>
      </c>
      <c r="R275" s="89" t="e">
        <f t="shared" si="2505"/>
        <v>#DIV/0!</v>
      </c>
      <c r="S275" s="89" t="e">
        <f t="shared" si="2505"/>
        <v>#DIV/0!</v>
      </c>
      <c r="T275" s="89" t="e">
        <f t="shared" si="2505"/>
        <v>#DIV/0!</v>
      </c>
      <c r="U275" s="89" t="e">
        <f t="shared" si="2505"/>
        <v>#DIV/0!</v>
      </c>
      <c r="V275" s="89" t="e">
        <f t="shared" si="2505"/>
        <v>#DIV/0!</v>
      </c>
      <c r="W275" s="89" t="e">
        <f t="shared" si="2505"/>
        <v>#DIV/0!</v>
      </c>
      <c r="X275" s="89" t="e">
        <f t="shared" si="2505"/>
        <v>#DIV/0!</v>
      </c>
      <c r="Y275" s="89" t="e">
        <f t="shared" si="2505"/>
        <v>#DIV/0!</v>
      </c>
      <c r="Z275" s="89" t="e">
        <f t="shared" si="2505"/>
        <v>#DIV/0!</v>
      </c>
      <c r="AA275" s="47" t="e">
        <f t="shared" si="2505"/>
        <v>#DIV/0!</v>
      </c>
      <c r="AB275" s="47" t="e">
        <f t="shared" si="2505"/>
        <v>#DIV/0!</v>
      </c>
      <c r="AC275" s="47" t="e">
        <f t="shared" si="2505"/>
        <v>#DIV/0!</v>
      </c>
      <c r="AD275" s="47" t="e">
        <f t="shared" si="2505"/>
        <v>#DIV/0!</v>
      </c>
      <c r="AE275" s="47" t="e">
        <f t="shared" si="2505"/>
        <v>#DIV/0!</v>
      </c>
      <c r="AL275" s="89" t="e">
        <f t="shared" ref="AL275:CW275" si="2506">AL154/AK154-1</f>
        <v>#DIV/0!</v>
      </c>
      <c r="AM275" s="89" t="e">
        <f t="shared" si="2506"/>
        <v>#DIV/0!</v>
      </c>
      <c r="AN275" s="89" t="e">
        <f t="shared" si="2506"/>
        <v>#DIV/0!</v>
      </c>
      <c r="AO275" s="89" t="e">
        <f t="shared" si="2506"/>
        <v>#DIV/0!</v>
      </c>
      <c r="AP275" s="89" t="e">
        <f t="shared" si="2506"/>
        <v>#DIV/0!</v>
      </c>
      <c r="AQ275" s="89" t="e">
        <f t="shared" si="2506"/>
        <v>#DIV/0!</v>
      </c>
      <c r="AR275" s="89" t="e">
        <f t="shared" si="2506"/>
        <v>#DIV/0!</v>
      </c>
      <c r="AS275" s="89" t="e">
        <f t="shared" si="2506"/>
        <v>#DIV/0!</v>
      </c>
      <c r="AT275" s="89" t="e">
        <f t="shared" si="2506"/>
        <v>#DIV/0!</v>
      </c>
      <c r="AU275" s="89" t="e">
        <f t="shared" si="2506"/>
        <v>#DIV/0!</v>
      </c>
      <c r="AV275" s="89" t="e">
        <f t="shared" si="2506"/>
        <v>#DIV/0!</v>
      </c>
      <c r="AW275" s="89" t="e">
        <f t="shared" si="2506"/>
        <v>#DIV/0!</v>
      </c>
      <c r="AX275" s="89" t="e">
        <f t="shared" si="2506"/>
        <v>#DIV/0!</v>
      </c>
      <c r="AY275" s="89" t="e">
        <f t="shared" si="2506"/>
        <v>#DIV/0!</v>
      </c>
      <c r="AZ275" s="89" t="e">
        <f t="shared" si="2506"/>
        <v>#DIV/0!</v>
      </c>
      <c r="BA275" s="89" t="e">
        <f t="shared" si="2506"/>
        <v>#DIV/0!</v>
      </c>
      <c r="BB275" s="89" t="e">
        <f t="shared" si="2506"/>
        <v>#DIV/0!</v>
      </c>
      <c r="BC275" s="89" t="e">
        <f t="shared" si="2506"/>
        <v>#DIV/0!</v>
      </c>
      <c r="BD275" s="89" t="e">
        <f t="shared" si="2506"/>
        <v>#DIV/0!</v>
      </c>
      <c r="BE275" s="89" t="e">
        <f t="shared" si="2506"/>
        <v>#DIV/0!</v>
      </c>
      <c r="BF275" s="89" t="e">
        <f t="shared" si="2506"/>
        <v>#DIV/0!</v>
      </c>
      <c r="BG275" s="89" t="e">
        <f t="shared" si="2506"/>
        <v>#DIV/0!</v>
      </c>
      <c r="BH275" s="89" t="e">
        <f t="shared" si="2506"/>
        <v>#DIV/0!</v>
      </c>
      <c r="BI275" s="89" t="e">
        <f t="shared" si="2506"/>
        <v>#DIV/0!</v>
      </c>
      <c r="BJ275" s="89" t="e">
        <f t="shared" si="2506"/>
        <v>#DIV/0!</v>
      </c>
      <c r="BK275" s="89" t="e">
        <f t="shared" si="2506"/>
        <v>#DIV/0!</v>
      </c>
      <c r="BL275" s="89" t="e">
        <f t="shared" si="2506"/>
        <v>#DIV/0!</v>
      </c>
      <c r="BM275" s="89" t="e">
        <f t="shared" si="2506"/>
        <v>#DIV/0!</v>
      </c>
      <c r="BN275" s="89" t="e">
        <f t="shared" si="2506"/>
        <v>#DIV/0!</v>
      </c>
      <c r="BO275" s="89" t="e">
        <f t="shared" si="2506"/>
        <v>#DIV/0!</v>
      </c>
      <c r="BP275" s="89" t="e">
        <f t="shared" si="2506"/>
        <v>#DIV/0!</v>
      </c>
      <c r="BQ275" s="89" t="e">
        <f t="shared" si="2506"/>
        <v>#DIV/0!</v>
      </c>
      <c r="BR275" s="89" t="e">
        <f t="shared" si="2506"/>
        <v>#DIV/0!</v>
      </c>
      <c r="BS275" s="89" t="e">
        <f t="shared" si="2506"/>
        <v>#DIV/0!</v>
      </c>
      <c r="BT275" s="89" t="e">
        <f t="shared" si="2506"/>
        <v>#DIV/0!</v>
      </c>
      <c r="BU275" s="89" t="e">
        <f t="shared" si="2506"/>
        <v>#DIV/0!</v>
      </c>
      <c r="BV275" s="89" t="e">
        <f t="shared" si="2506"/>
        <v>#DIV/0!</v>
      </c>
      <c r="BW275" s="89" t="e">
        <f t="shared" si="2506"/>
        <v>#DIV/0!</v>
      </c>
      <c r="BX275" s="89" t="e">
        <f t="shared" si="2506"/>
        <v>#DIV/0!</v>
      </c>
      <c r="BY275" s="89" t="e">
        <f t="shared" si="2506"/>
        <v>#DIV/0!</v>
      </c>
      <c r="BZ275" s="89" t="e">
        <f t="shared" si="2506"/>
        <v>#DIV/0!</v>
      </c>
      <c r="CA275" s="89" t="e">
        <f t="shared" si="2506"/>
        <v>#DIV/0!</v>
      </c>
      <c r="CB275" s="89" t="e">
        <f t="shared" si="2506"/>
        <v>#DIV/0!</v>
      </c>
      <c r="CC275" s="89" t="e">
        <f t="shared" si="2506"/>
        <v>#DIV/0!</v>
      </c>
      <c r="CD275" s="89" t="e">
        <f t="shared" si="2506"/>
        <v>#DIV/0!</v>
      </c>
      <c r="CE275" s="89" t="e">
        <f t="shared" si="2506"/>
        <v>#DIV/0!</v>
      </c>
      <c r="CF275" s="89" t="e">
        <f t="shared" si="2506"/>
        <v>#DIV/0!</v>
      </c>
      <c r="CG275" s="89" t="e">
        <f t="shared" si="2506"/>
        <v>#DIV/0!</v>
      </c>
      <c r="CH275" s="89" t="e">
        <f t="shared" si="2506"/>
        <v>#DIV/0!</v>
      </c>
      <c r="CI275" s="89" t="e">
        <f t="shared" si="2506"/>
        <v>#DIV/0!</v>
      </c>
      <c r="CJ275" s="89" t="e">
        <f t="shared" si="2506"/>
        <v>#DIV/0!</v>
      </c>
      <c r="CK275" s="89" t="e">
        <f t="shared" si="2506"/>
        <v>#DIV/0!</v>
      </c>
      <c r="CL275" s="89" t="e">
        <f t="shared" si="2506"/>
        <v>#DIV/0!</v>
      </c>
      <c r="CM275" s="47" t="e">
        <f t="shared" si="2506"/>
        <v>#DIV/0!</v>
      </c>
      <c r="CN275" s="47" t="e">
        <f t="shared" si="2506"/>
        <v>#DIV/0!</v>
      </c>
      <c r="CO275" s="47" t="e">
        <f t="shared" si="2506"/>
        <v>#DIV/0!</v>
      </c>
      <c r="CP275" s="47" t="e">
        <f t="shared" si="2506"/>
        <v>#DIV/0!</v>
      </c>
      <c r="CQ275" s="47" t="e">
        <f t="shared" si="2506"/>
        <v>#DIV/0!</v>
      </c>
      <c r="CR275" s="47" t="e">
        <f t="shared" si="2506"/>
        <v>#DIV/0!</v>
      </c>
      <c r="CS275" s="47" t="e">
        <f t="shared" si="2506"/>
        <v>#DIV/0!</v>
      </c>
      <c r="CT275" s="47" t="e">
        <f t="shared" si="2506"/>
        <v>#DIV/0!</v>
      </c>
      <c r="CU275" s="47" t="e">
        <f t="shared" si="2506"/>
        <v>#DIV/0!</v>
      </c>
      <c r="CV275" s="47" t="e">
        <f t="shared" si="2506"/>
        <v>#DIV/0!</v>
      </c>
      <c r="CW275" s="47" t="e">
        <f t="shared" si="2506"/>
        <v>#DIV/0!</v>
      </c>
      <c r="CX275" s="47" t="e">
        <f t="shared" ref="CX275:DB275" si="2507">CX154/CW154-1</f>
        <v>#DIV/0!</v>
      </c>
      <c r="CY275" s="47" t="e">
        <f t="shared" si="2507"/>
        <v>#DIV/0!</v>
      </c>
      <c r="CZ275" s="47" t="e">
        <f t="shared" si="2507"/>
        <v>#DIV/0!</v>
      </c>
      <c r="DA275" s="47" t="e">
        <f t="shared" si="2507"/>
        <v>#DIV/0!</v>
      </c>
      <c r="DB275" s="47" t="e">
        <f t="shared" si="2507"/>
        <v>#DIV/0!</v>
      </c>
      <c r="DC275" s="47" t="e">
        <f t="shared" ref="DC275" si="2508">DC154/DB154-1</f>
        <v>#DIV/0!</v>
      </c>
      <c r="DD275" s="47" t="e">
        <f t="shared" ref="DD275" si="2509">DD154/DC154-1</f>
        <v>#DIV/0!</v>
      </c>
      <c r="DE275" s="130"/>
    </row>
    <row r="276" spans="1:110" s="89" customFormat="1" x14ac:dyDescent="0.2">
      <c r="A276" s="89" t="s">
        <v>104</v>
      </c>
      <c r="C276" s="89" t="e">
        <f>C54/B54-1</f>
        <v>#DIV/0!</v>
      </c>
      <c r="D276" s="89" t="e">
        <f>D54/C54-1</f>
        <v>#DIV/0!</v>
      </c>
      <c r="F276" s="89" t="e">
        <f t="shared" ref="F276:AE276" si="2510">F54/E54-1</f>
        <v>#DIV/0!</v>
      </c>
      <c r="G276" s="89" t="e">
        <f t="shared" si="2510"/>
        <v>#DIV/0!</v>
      </c>
      <c r="H276" s="89" t="e">
        <f t="shared" si="2510"/>
        <v>#DIV/0!</v>
      </c>
      <c r="I276" s="89" t="e">
        <f t="shared" si="2510"/>
        <v>#DIV/0!</v>
      </c>
      <c r="J276" s="89" t="e">
        <f t="shared" si="2510"/>
        <v>#DIV/0!</v>
      </c>
      <c r="K276" s="89" t="e">
        <f t="shared" si="2510"/>
        <v>#DIV/0!</v>
      </c>
      <c r="L276" s="89" t="e">
        <f t="shared" si="2510"/>
        <v>#DIV/0!</v>
      </c>
      <c r="M276" s="89" t="e">
        <f t="shared" si="2510"/>
        <v>#DIV/0!</v>
      </c>
      <c r="N276" s="89" t="e">
        <f t="shared" si="2510"/>
        <v>#DIV/0!</v>
      </c>
      <c r="O276" s="89" t="e">
        <f t="shared" si="2510"/>
        <v>#DIV/0!</v>
      </c>
      <c r="P276" s="89" t="e">
        <f t="shared" si="2510"/>
        <v>#DIV/0!</v>
      </c>
      <c r="Q276" s="89" t="e">
        <f t="shared" si="2510"/>
        <v>#DIV/0!</v>
      </c>
      <c r="R276" s="89" t="e">
        <f t="shared" si="2510"/>
        <v>#DIV/0!</v>
      </c>
      <c r="S276" s="89" t="e">
        <f t="shared" si="2510"/>
        <v>#DIV/0!</v>
      </c>
      <c r="T276" s="89" t="e">
        <f t="shared" si="2510"/>
        <v>#DIV/0!</v>
      </c>
      <c r="U276" s="89" t="e">
        <f t="shared" si="2510"/>
        <v>#DIV/0!</v>
      </c>
      <c r="V276" s="89" t="e">
        <f t="shared" si="2510"/>
        <v>#DIV/0!</v>
      </c>
      <c r="W276" s="89" t="e">
        <f t="shared" si="2510"/>
        <v>#DIV/0!</v>
      </c>
      <c r="X276" s="89" t="e">
        <f t="shared" si="2510"/>
        <v>#DIV/0!</v>
      </c>
      <c r="Y276" s="89" t="e">
        <f t="shared" si="2510"/>
        <v>#DIV/0!</v>
      </c>
      <c r="Z276" s="89">
        <f t="shared" si="2510"/>
        <v>0.74167153711279776</v>
      </c>
      <c r="AA276" s="47">
        <f t="shared" si="2510"/>
        <v>0.39038786890331356</v>
      </c>
      <c r="AB276" s="47">
        <f t="shared" si="2510"/>
        <v>0.23799414245673822</v>
      </c>
      <c r="AC276" s="47">
        <f t="shared" si="2510"/>
        <v>0.22799355873787253</v>
      </c>
      <c r="AD276" s="47">
        <f t="shared" si="2510"/>
        <v>0.17860427756574215</v>
      </c>
      <c r="AE276" s="47">
        <f t="shared" si="2510"/>
        <v>0.16855933795802325</v>
      </c>
      <c r="AL276" s="89" t="e">
        <f t="shared" ref="AL276:CW276" si="2511">AL54/AK54-1</f>
        <v>#DIV/0!</v>
      </c>
      <c r="AM276" s="89" t="e">
        <f t="shared" si="2511"/>
        <v>#DIV/0!</v>
      </c>
      <c r="AN276" s="89" t="e">
        <f t="shared" si="2511"/>
        <v>#DIV/0!</v>
      </c>
      <c r="AO276" s="89" t="e">
        <f t="shared" si="2511"/>
        <v>#DIV/0!</v>
      </c>
      <c r="AP276" s="89" t="e">
        <f t="shared" si="2511"/>
        <v>#DIV/0!</v>
      </c>
      <c r="AQ276" s="89" t="e">
        <f t="shared" si="2511"/>
        <v>#DIV/0!</v>
      </c>
      <c r="AR276" s="89" t="e">
        <f t="shared" si="2511"/>
        <v>#DIV/0!</v>
      </c>
      <c r="AS276" s="89" t="e">
        <f t="shared" si="2511"/>
        <v>#DIV/0!</v>
      </c>
      <c r="AT276" s="89" t="e">
        <f t="shared" si="2511"/>
        <v>#DIV/0!</v>
      </c>
      <c r="AU276" s="89" t="e">
        <f t="shared" si="2511"/>
        <v>#DIV/0!</v>
      </c>
      <c r="AV276" s="89" t="e">
        <f t="shared" si="2511"/>
        <v>#DIV/0!</v>
      </c>
      <c r="AW276" s="89" t="e">
        <f t="shared" si="2511"/>
        <v>#DIV/0!</v>
      </c>
      <c r="AX276" s="89" t="e">
        <f t="shared" si="2511"/>
        <v>#DIV/0!</v>
      </c>
      <c r="AY276" s="89" t="e">
        <f t="shared" si="2511"/>
        <v>#DIV/0!</v>
      </c>
      <c r="AZ276" s="89" t="e">
        <f t="shared" si="2511"/>
        <v>#DIV/0!</v>
      </c>
      <c r="BA276" s="89" t="e">
        <f t="shared" si="2511"/>
        <v>#DIV/0!</v>
      </c>
      <c r="BB276" s="89" t="e">
        <f t="shared" si="2511"/>
        <v>#DIV/0!</v>
      </c>
      <c r="BC276" s="89" t="e">
        <f t="shared" si="2511"/>
        <v>#DIV/0!</v>
      </c>
      <c r="BD276" s="89" t="e">
        <f t="shared" si="2511"/>
        <v>#DIV/0!</v>
      </c>
      <c r="BE276" s="89" t="e">
        <f t="shared" si="2511"/>
        <v>#DIV/0!</v>
      </c>
      <c r="BF276" s="89" t="e">
        <f t="shared" si="2511"/>
        <v>#DIV/0!</v>
      </c>
      <c r="BG276" s="89" t="e">
        <f t="shared" si="2511"/>
        <v>#DIV/0!</v>
      </c>
      <c r="BH276" s="89" t="e">
        <f t="shared" si="2511"/>
        <v>#DIV/0!</v>
      </c>
      <c r="BI276" s="89" t="e">
        <f t="shared" si="2511"/>
        <v>#DIV/0!</v>
      </c>
      <c r="BJ276" s="89" t="e">
        <f t="shared" si="2511"/>
        <v>#DIV/0!</v>
      </c>
      <c r="BK276" s="89" t="e">
        <f t="shared" si="2511"/>
        <v>#DIV/0!</v>
      </c>
      <c r="BL276" s="89" t="e">
        <f t="shared" si="2511"/>
        <v>#DIV/0!</v>
      </c>
      <c r="BM276" s="89" t="e">
        <f t="shared" si="2511"/>
        <v>#DIV/0!</v>
      </c>
      <c r="BN276" s="89" t="e">
        <f t="shared" si="2511"/>
        <v>#DIV/0!</v>
      </c>
      <c r="BO276" s="89" t="e">
        <f t="shared" si="2511"/>
        <v>#DIV/0!</v>
      </c>
      <c r="BP276" s="89" t="e">
        <f t="shared" si="2511"/>
        <v>#DIV/0!</v>
      </c>
      <c r="BQ276" s="89" t="e">
        <f t="shared" si="2511"/>
        <v>#DIV/0!</v>
      </c>
      <c r="BR276" s="89" t="e">
        <f t="shared" si="2511"/>
        <v>#DIV/0!</v>
      </c>
      <c r="BS276" s="89" t="e">
        <f t="shared" si="2511"/>
        <v>#DIV/0!</v>
      </c>
      <c r="BT276" s="89" t="e">
        <f t="shared" si="2511"/>
        <v>#DIV/0!</v>
      </c>
      <c r="BU276" s="89" t="e">
        <f t="shared" si="2511"/>
        <v>#DIV/0!</v>
      </c>
      <c r="BV276" s="89" t="e">
        <f t="shared" si="2511"/>
        <v>#DIV/0!</v>
      </c>
      <c r="BW276" s="89" t="e">
        <f t="shared" si="2511"/>
        <v>#DIV/0!</v>
      </c>
      <c r="BX276" s="89" t="e">
        <f t="shared" si="2511"/>
        <v>#DIV/0!</v>
      </c>
      <c r="BY276" s="89" t="e">
        <f t="shared" si="2511"/>
        <v>#DIV/0!</v>
      </c>
      <c r="BZ276" s="89" t="e">
        <f t="shared" si="2511"/>
        <v>#DIV/0!</v>
      </c>
      <c r="CA276" s="89" t="e">
        <f t="shared" si="2511"/>
        <v>#DIV/0!</v>
      </c>
      <c r="CB276" s="89" t="e">
        <f t="shared" si="2511"/>
        <v>#DIV/0!</v>
      </c>
      <c r="CC276" s="89" t="e">
        <f t="shared" si="2511"/>
        <v>#DIV/0!</v>
      </c>
      <c r="CD276" s="89" t="e">
        <f t="shared" si="2511"/>
        <v>#DIV/0!</v>
      </c>
      <c r="CE276" s="89">
        <f t="shared" si="2511"/>
        <v>-0.20816326530612173</v>
      </c>
      <c r="CF276" s="89">
        <f t="shared" si="2511"/>
        <v>0.80365510777881766</v>
      </c>
      <c r="CG276" s="89">
        <f t="shared" si="2511"/>
        <v>-0.12886464016627652</v>
      </c>
      <c r="CH276" s="89">
        <f t="shared" si="2511"/>
        <v>6.9191768565463496E-2</v>
      </c>
      <c r="CI276" s="89">
        <f t="shared" si="2511"/>
        <v>-5.076708507670924E-2</v>
      </c>
      <c r="CJ276" s="89">
        <f t="shared" si="2511"/>
        <v>0.40846312077578784</v>
      </c>
      <c r="CK276" s="89">
        <f t="shared" si="2511"/>
        <v>-3.8597955351554303E-2</v>
      </c>
      <c r="CL276" s="89">
        <f t="shared" si="2511"/>
        <v>8.1380208333332815E-2</v>
      </c>
      <c r="CM276" s="47">
        <f t="shared" si="2511"/>
        <v>-9.5039724020572258E-2</v>
      </c>
      <c r="CN276" s="47">
        <f t="shared" si="2511"/>
        <v>0.46723226316275657</v>
      </c>
      <c r="CO276" s="47">
        <f t="shared" si="2511"/>
        <v>-0.18356945895278043</v>
      </c>
      <c r="CP276" s="47">
        <f t="shared" si="2511"/>
        <v>0.20714107443419283</v>
      </c>
      <c r="CQ276" s="47">
        <f t="shared" si="2511"/>
        <v>-0.14107589623852568</v>
      </c>
      <c r="CR276" s="47">
        <f t="shared" si="2511"/>
        <v>0.45048498427263817</v>
      </c>
      <c r="CS276" s="47">
        <f t="shared" si="2511"/>
        <v>-0.18179655062015265</v>
      </c>
      <c r="CT276" s="47">
        <f t="shared" si="2511"/>
        <v>0.21395925882854017</v>
      </c>
      <c r="CU276" s="47">
        <f t="shared" si="2511"/>
        <v>-0.14565255046605519</v>
      </c>
      <c r="CV276" s="47">
        <f t="shared" si="2511"/>
        <v>0.43381592469557595</v>
      </c>
      <c r="CW276" s="47">
        <f t="shared" si="2511"/>
        <v>-0.19519063072477227</v>
      </c>
      <c r="CX276" s="47">
        <f t="shared" ref="CX276:DB276" si="2512">CX54/CW54-1</f>
        <v>0.203176729137305</v>
      </c>
      <c r="CY276" s="47">
        <f t="shared" si="2512"/>
        <v>-0.15341244663108755</v>
      </c>
      <c r="CZ276" s="47">
        <f t="shared" si="2512"/>
        <v>0.41796208146809244</v>
      </c>
      <c r="DA276" s="47">
        <f t="shared" si="2512"/>
        <v>-0.18599282587979948</v>
      </c>
      <c r="DB276" s="47">
        <f t="shared" si="2512"/>
        <v>0.19709138088189659</v>
      </c>
      <c r="DC276" s="47">
        <f t="shared" ref="DC276" si="2513">DC54/DB54-1</f>
        <v>-0.15642231564820208</v>
      </c>
      <c r="DD276" s="47">
        <f t="shared" ref="DD276" si="2514">DD54/DC54-1</f>
        <v>0.41691221692123315</v>
      </c>
      <c r="DE276" s="130"/>
      <c r="DF276" s="89">
        <v>0.74167153711279776</v>
      </c>
    </row>
    <row r="277" spans="1:110" s="103" customFormat="1" x14ac:dyDescent="0.2">
      <c r="A277" s="147" t="s">
        <v>105</v>
      </c>
      <c r="C277" s="103" t="e">
        <f>IF(C275&gt;C276,"RF",0)</f>
        <v>#DIV/0!</v>
      </c>
      <c r="D277" s="103" t="e">
        <f t="shared" ref="D277:U277" si="2515">IF(D275&gt;D276,"RF",0)</f>
        <v>#DIV/0!</v>
      </c>
      <c r="F277" s="103" t="e">
        <f t="shared" si="2515"/>
        <v>#DIV/0!</v>
      </c>
      <c r="G277" s="103" t="e">
        <f t="shared" si="2515"/>
        <v>#DIV/0!</v>
      </c>
      <c r="H277" s="103" t="e">
        <f t="shared" si="2515"/>
        <v>#DIV/0!</v>
      </c>
      <c r="I277" s="103" t="e">
        <f t="shared" si="2515"/>
        <v>#DIV/0!</v>
      </c>
      <c r="J277" s="103" t="e">
        <f t="shared" si="2515"/>
        <v>#DIV/0!</v>
      </c>
      <c r="K277" s="103" t="e">
        <f t="shared" si="2515"/>
        <v>#DIV/0!</v>
      </c>
      <c r="L277" s="103" t="e">
        <f t="shared" si="2515"/>
        <v>#DIV/0!</v>
      </c>
      <c r="M277" s="103" t="e">
        <f t="shared" si="2515"/>
        <v>#DIV/0!</v>
      </c>
      <c r="N277" s="103" t="e">
        <f t="shared" si="2515"/>
        <v>#DIV/0!</v>
      </c>
      <c r="O277" s="103" t="e">
        <f t="shared" si="2515"/>
        <v>#DIV/0!</v>
      </c>
      <c r="P277" s="103" t="e">
        <f t="shared" si="2515"/>
        <v>#DIV/0!</v>
      </c>
      <c r="Q277" s="103" t="e">
        <f t="shared" si="2515"/>
        <v>#DIV/0!</v>
      </c>
      <c r="R277" s="103" t="e">
        <f t="shared" si="2515"/>
        <v>#DIV/0!</v>
      </c>
      <c r="S277" s="103" t="e">
        <f t="shared" si="2515"/>
        <v>#DIV/0!</v>
      </c>
      <c r="T277" s="103" t="e">
        <f t="shared" si="2515"/>
        <v>#DIV/0!</v>
      </c>
      <c r="U277" s="103" t="e">
        <f t="shared" si="2515"/>
        <v>#DIV/0!</v>
      </c>
      <c r="V277" s="103" t="e">
        <f>IF(V275&gt;V276,"RF",0)</f>
        <v>#DIV/0!</v>
      </c>
      <c r="W277" s="103" t="e">
        <f t="shared" ref="W277:AE277" si="2516">IF(W275&gt;W276,"RF",0)</f>
        <v>#DIV/0!</v>
      </c>
      <c r="X277" s="103" t="e">
        <f t="shared" si="2516"/>
        <v>#DIV/0!</v>
      </c>
      <c r="Y277" s="103" t="e">
        <f t="shared" si="2516"/>
        <v>#DIV/0!</v>
      </c>
      <c r="Z277" s="103" t="e">
        <f t="shared" ref="Z277" si="2517">IF(Z275&gt;Z276,"RF",0)</f>
        <v>#DIV/0!</v>
      </c>
      <c r="AA277" s="73" t="e">
        <f t="shared" si="2516"/>
        <v>#DIV/0!</v>
      </c>
      <c r="AB277" s="73" t="e">
        <f t="shared" si="2516"/>
        <v>#DIV/0!</v>
      </c>
      <c r="AC277" s="73" t="e">
        <f t="shared" si="2516"/>
        <v>#DIV/0!</v>
      </c>
      <c r="AD277" s="73" t="e">
        <f t="shared" si="2516"/>
        <v>#DIV/0!</v>
      </c>
      <c r="AE277" s="73" t="e">
        <f t="shared" si="2516"/>
        <v>#DIV/0!</v>
      </c>
      <c r="AL277" s="103" t="e">
        <f t="shared" ref="AL277:CW277" si="2518">IF(AL275&gt;AL276,"RF",0)</f>
        <v>#DIV/0!</v>
      </c>
      <c r="AM277" s="103" t="e">
        <f t="shared" si="2518"/>
        <v>#DIV/0!</v>
      </c>
      <c r="AN277" s="103" t="e">
        <f t="shared" si="2518"/>
        <v>#DIV/0!</v>
      </c>
      <c r="AO277" s="103" t="e">
        <f t="shared" si="2518"/>
        <v>#DIV/0!</v>
      </c>
      <c r="AP277" s="103" t="e">
        <f t="shared" si="2518"/>
        <v>#DIV/0!</v>
      </c>
      <c r="AQ277" s="103" t="e">
        <f t="shared" si="2518"/>
        <v>#DIV/0!</v>
      </c>
      <c r="AR277" s="103" t="e">
        <f t="shared" si="2518"/>
        <v>#DIV/0!</v>
      </c>
      <c r="AS277" s="103" t="e">
        <f t="shared" si="2518"/>
        <v>#DIV/0!</v>
      </c>
      <c r="AT277" s="103" t="e">
        <f t="shared" si="2518"/>
        <v>#DIV/0!</v>
      </c>
      <c r="AU277" s="103" t="e">
        <f t="shared" si="2518"/>
        <v>#DIV/0!</v>
      </c>
      <c r="AV277" s="103" t="e">
        <f t="shared" si="2518"/>
        <v>#DIV/0!</v>
      </c>
      <c r="AW277" s="103" t="e">
        <f t="shared" si="2518"/>
        <v>#DIV/0!</v>
      </c>
      <c r="AX277" s="103" t="e">
        <f t="shared" si="2518"/>
        <v>#DIV/0!</v>
      </c>
      <c r="AY277" s="103" t="e">
        <f t="shared" si="2518"/>
        <v>#DIV/0!</v>
      </c>
      <c r="AZ277" s="103" t="e">
        <f t="shared" si="2518"/>
        <v>#DIV/0!</v>
      </c>
      <c r="BA277" s="103" t="e">
        <f t="shared" si="2518"/>
        <v>#DIV/0!</v>
      </c>
      <c r="BB277" s="103" t="e">
        <f t="shared" si="2518"/>
        <v>#DIV/0!</v>
      </c>
      <c r="BC277" s="103" t="e">
        <f t="shared" si="2518"/>
        <v>#DIV/0!</v>
      </c>
      <c r="BD277" s="103" t="e">
        <f t="shared" si="2518"/>
        <v>#DIV/0!</v>
      </c>
      <c r="BE277" s="103" t="e">
        <f t="shared" si="2518"/>
        <v>#DIV/0!</v>
      </c>
      <c r="BF277" s="103" t="e">
        <f t="shared" si="2518"/>
        <v>#DIV/0!</v>
      </c>
      <c r="BG277" s="103" t="e">
        <f t="shared" si="2518"/>
        <v>#DIV/0!</v>
      </c>
      <c r="BH277" s="103" t="e">
        <f t="shared" si="2518"/>
        <v>#DIV/0!</v>
      </c>
      <c r="BI277" s="103" t="e">
        <f t="shared" si="2518"/>
        <v>#DIV/0!</v>
      </c>
      <c r="BJ277" s="103" t="e">
        <f t="shared" si="2518"/>
        <v>#DIV/0!</v>
      </c>
      <c r="BK277" s="103" t="e">
        <f t="shared" si="2518"/>
        <v>#DIV/0!</v>
      </c>
      <c r="BL277" s="103" t="e">
        <f t="shared" si="2518"/>
        <v>#DIV/0!</v>
      </c>
      <c r="BM277" s="103" t="e">
        <f t="shared" si="2518"/>
        <v>#DIV/0!</v>
      </c>
      <c r="BN277" s="103" t="e">
        <f t="shared" si="2518"/>
        <v>#DIV/0!</v>
      </c>
      <c r="BO277" s="103" t="e">
        <f t="shared" si="2518"/>
        <v>#DIV/0!</v>
      </c>
      <c r="BP277" s="103" t="e">
        <f t="shared" si="2518"/>
        <v>#DIV/0!</v>
      </c>
      <c r="BQ277" s="103" t="e">
        <f t="shared" si="2518"/>
        <v>#DIV/0!</v>
      </c>
      <c r="BR277" s="103" t="e">
        <f t="shared" si="2518"/>
        <v>#DIV/0!</v>
      </c>
      <c r="BS277" s="103" t="e">
        <f t="shared" si="2518"/>
        <v>#DIV/0!</v>
      </c>
      <c r="BT277" s="103" t="e">
        <f t="shared" si="2518"/>
        <v>#DIV/0!</v>
      </c>
      <c r="BU277" s="103" t="e">
        <f t="shared" si="2518"/>
        <v>#DIV/0!</v>
      </c>
      <c r="BV277" s="103" t="e">
        <f t="shared" si="2518"/>
        <v>#DIV/0!</v>
      </c>
      <c r="BW277" s="103" t="e">
        <f t="shared" si="2518"/>
        <v>#DIV/0!</v>
      </c>
      <c r="BX277" s="103" t="e">
        <f t="shared" si="2518"/>
        <v>#DIV/0!</v>
      </c>
      <c r="BY277" s="103" t="e">
        <f t="shared" si="2518"/>
        <v>#DIV/0!</v>
      </c>
      <c r="BZ277" s="103" t="e">
        <f t="shared" si="2518"/>
        <v>#DIV/0!</v>
      </c>
      <c r="CA277" s="103" t="e">
        <f t="shared" si="2518"/>
        <v>#DIV/0!</v>
      </c>
      <c r="CB277" s="103" t="e">
        <f t="shared" si="2518"/>
        <v>#DIV/0!</v>
      </c>
      <c r="CC277" s="103" t="e">
        <f t="shared" si="2518"/>
        <v>#DIV/0!</v>
      </c>
      <c r="CD277" s="103" t="e">
        <f t="shared" si="2518"/>
        <v>#DIV/0!</v>
      </c>
      <c r="CE277" s="103" t="e">
        <f t="shared" si="2518"/>
        <v>#DIV/0!</v>
      </c>
      <c r="CF277" s="103" t="e">
        <f t="shared" si="2518"/>
        <v>#DIV/0!</v>
      </c>
      <c r="CG277" s="103" t="e">
        <f t="shared" si="2518"/>
        <v>#DIV/0!</v>
      </c>
      <c r="CH277" s="103" t="e">
        <f t="shared" si="2518"/>
        <v>#DIV/0!</v>
      </c>
      <c r="CI277" s="103" t="e">
        <f t="shared" si="2518"/>
        <v>#DIV/0!</v>
      </c>
      <c r="CJ277" s="103" t="e">
        <f t="shared" si="2518"/>
        <v>#DIV/0!</v>
      </c>
      <c r="CK277" s="103" t="e">
        <f t="shared" si="2518"/>
        <v>#DIV/0!</v>
      </c>
      <c r="CL277" s="103" t="e">
        <f t="shared" si="2518"/>
        <v>#DIV/0!</v>
      </c>
      <c r="CM277" s="73" t="e">
        <f t="shared" si="2518"/>
        <v>#DIV/0!</v>
      </c>
      <c r="CN277" s="73" t="e">
        <f t="shared" si="2518"/>
        <v>#DIV/0!</v>
      </c>
      <c r="CO277" s="73" t="e">
        <f t="shared" si="2518"/>
        <v>#DIV/0!</v>
      </c>
      <c r="CP277" s="73" t="e">
        <f t="shared" si="2518"/>
        <v>#DIV/0!</v>
      </c>
      <c r="CQ277" s="73" t="e">
        <f t="shared" si="2518"/>
        <v>#DIV/0!</v>
      </c>
      <c r="CR277" s="73" t="e">
        <f t="shared" si="2518"/>
        <v>#DIV/0!</v>
      </c>
      <c r="CS277" s="73" t="e">
        <f t="shared" si="2518"/>
        <v>#DIV/0!</v>
      </c>
      <c r="CT277" s="73" t="e">
        <f t="shared" si="2518"/>
        <v>#DIV/0!</v>
      </c>
      <c r="CU277" s="73" t="e">
        <f t="shared" si="2518"/>
        <v>#DIV/0!</v>
      </c>
      <c r="CV277" s="73" t="e">
        <f t="shared" si="2518"/>
        <v>#DIV/0!</v>
      </c>
      <c r="CW277" s="73" t="e">
        <f t="shared" si="2518"/>
        <v>#DIV/0!</v>
      </c>
      <c r="CX277" s="73" t="e">
        <f t="shared" ref="CX277:DB277" si="2519">IF(CX275&gt;CX276,"RF",0)</f>
        <v>#DIV/0!</v>
      </c>
      <c r="CY277" s="73" t="e">
        <f t="shared" si="2519"/>
        <v>#DIV/0!</v>
      </c>
      <c r="CZ277" s="73" t="e">
        <f t="shared" si="2519"/>
        <v>#DIV/0!</v>
      </c>
      <c r="DA277" s="73" t="e">
        <f t="shared" si="2519"/>
        <v>#DIV/0!</v>
      </c>
      <c r="DB277" s="73" t="e">
        <f t="shared" si="2519"/>
        <v>#DIV/0!</v>
      </c>
      <c r="DC277" s="73" t="e">
        <f t="shared" ref="DC277:DD277" si="2520">IF(DC275&gt;DC276,"RF",0)</f>
        <v>#DIV/0!</v>
      </c>
      <c r="DD277" s="73" t="e">
        <f t="shared" si="2520"/>
        <v>#DIV/0!</v>
      </c>
      <c r="DE277" s="142"/>
    </row>
    <row r="278" spans="1:110" s="86" customFormat="1" x14ac:dyDescent="0.2">
      <c r="A278" s="86" t="s">
        <v>432</v>
      </c>
      <c r="B278" s="86" t="e">
        <f>B62/B34</f>
        <v>#DIV/0!</v>
      </c>
      <c r="C278" s="86" t="e">
        <f>C62/C34</f>
        <v>#DIV/0!</v>
      </c>
      <c r="D278" s="86" t="e">
        <f>D62/D34</f>
        <v>#DIV/0!</v>
      </c>
      <c r="F278" s="86" t="e">
        <f t="shared" ref="F278:AE278" si="2521">F62/F34</f>
        <v>#DIV/0!</v>
      </c>
      <c r="G278" s="86" t="e">
        <f t="shared" si="2521"/>
        <v>#DIV/0!</v>
      </c>
      <c r="H278" s="86" t="e">
        <f t="shared" si="2521"/>
        <v>#DIV/0!</v>
      </c>
      <c r="I278" s="86" t="e">
        <f t="shared" si="2521"/>
        <v>#DIV/0!</v>
      </c>
      <c r="J278" s="86" t="e">
        <f t="shared" si="2521"/>
        <v>#DIV/0!</v>
      </c>
      <c r="K278" s="86" t="e">
        <f t="shared" si="2521"/>
        <v>#DIV/0!</v>
      </c>
      <c r="L278" s="86" t="e">
        <f t="shared" si="2521"/>
        <v>#DIV/0!</v>
      </c>
      <c r="M278" s="86" t="e">
        <f t="shared" si="2521"/>
        <v>#DIV/0!</v>
      </c>
      <c r="N278" s="86" t="e">
        <f t="shared" si="2521"/>
        <v>#DIV/0!</v>
      </c>
      <c r="O278" s="86" t="e">
        <f t="shared" si="2521"/>
        <v>#DIV/0!</v>
      </c>
      <c r="P278" s="86" t="e">
        <f t="shared" si="2521"/>
        <v>#DIV/0!</v>
      </c>
      <c r="Q278" s="86" t="e">
        <f t="shared" si="2521"/>
        <v>#DIV/0!</v>
      </c>
      <c r="R278" s="86" t="e">
        <f t="shared" si="2521"/>
        <v>#DIV/0!</v>
      </c>
      <c r="S278" s="86" t="e">
        <f t="shared" si="2521"/>
        <v>#DIV/0!</v>
      </c>
      <c r="T278" s="86" t="e">
        <f t="shared" si="2521"/>
        <v>#DIV/0!</v>
      </c>
      <c r="U278" s="86" t="e">
        <f t="shared" si="2521"/>
        <v>#DIV/0!</v>
      </c>
      <c r="V278" s="86" t="e">
        <f t="shared" si="2521"/>
        <v>#DIV/0!</v>
      </c>
      <c r="W278" s="86" t="e">
        <f t="shared" si="2521"/>
        <v>#DIV/0!</v>
      </c>
      <c r="X278" s="86" t="e">
        <f t="shared" si="2521"/>
        <v>#DIV/0!</v>
      </c>
      <c r="Y278" s="86">
        <f t="shared" si="2521"/>
        <v>5.2315320615177741E-3</v>
      </c>
      <c r="Z278" s="86">
        <f t="shared" ref="Z278" si="2522">Z62/Z34</f>
        <v>5.0084965566586179E-3</v>
      </c>
      <c r="AA278" s="87">
        <f t="shared" si="2521"/>
        <v>-5.558876700849506E-3</v>
      </c>
      <c r="AB278" s="87">
        <f t="shared" si="2521"/>
        <v>-1.3256769310457679E-2</v>
      </c>
      <c r="AC278" s="87">
        <f t="shared" si="2521"/>
        <v>-1.3726048290044889E-2</v>
      </c>
      <c r="AD278" s="87">
        <f t="shared" si="2521"/>
        <v>-1.5774808837823378E-2</v>
      </c>
      <c r="AE278" s="87">
        <f t="shared" si="2521"/>
        <v>-1.7717236322469118E-2</v>
      </c>
      <c r="AL278" s="86" t="e">
        <f t="shared" ref="AL278:CW278" si="2523">AL62/AL34</f>
        <v>#DIV/0!</v>
      </c>
      <c r="AM278" s="86" t="e">
        <f t="shared" si="2523"/>
        <v>#DIV/0!</v>
      </c>
      <c r="AN278" s="86" t="e">
        <f t="shared" si="2523"/>
        <v>#DIV/0!</v>
      </c>
      <c r="AO278" s="86" t="e">
        <f t="shared" si="2523"/>
        <v>#DIV/0!</v>
      </c>
      <c r="AP278" s="86" t="e">
        <f t="shared" si="2523"/>
        <v>#DIV/0!</v>
      </c>
      <c r="AQ278" s="86" t="e">
        <f t="shared" si="2523"/>
        <v>#DIV/0!</v>
      </c>
      <c r="AR278" s="86" t="e">
        <f t="shared" si="2523"/>
        <v>#DIV/0!</v>
      </c>
      <c r="AS278" s="86" t="e">
        <f t="shared" si="2523"/>
        <v>#DIV/0!</v>
      </c>
      <c r="AT278" s="86" t="e">
        <f t="shared" si="2523"/>
        <v>#DIV/0!</v>
      </c>
      <c r="AU278" s="86" t="e">
        <f t="shared" si="2523"/>
        <v>#DIV/0!</v>
      </c>
      <c r="AV278" s="86" t="e">
        <f t="shared" si="2523"/>
        <v>#DIV/0!</v>
      </c>
      <c r="AW278" s="86" t="e">
        <f t="shared" si="2523"/>
        <v>#DIV/0!</v>
      </c>
      <c r="AX278" s="86" t="e">
        <f t="shared" si="2523"/>
        <v>#DIV/0!</v>
      </c>
      <c r="AY278" s="86" t="e">
        <f t="shared" si="2523"/>
        <v>#DIV/0!</v>
      </c>
      <c r="AZ278" s="86" t="e">
        <f t="shared" si="2523"/>
        <v>#DIV/0!</v>
      </c>
      <c r="BA278" s="86" t="e">
        <f t="shared" si="2523"/>
        <v>#DIV/0!</v>
      </c>
      <c r="BB278" s="86" t="e">
        <f t="shared" si="2523"/>
        <v>#DIV/0!</v>
      </c>
      <c r="BC278" s="86" t="e">
        <f t="shared" si="2523"/>
        <v>#DIV/0!</v>
      </c>
      <c r="BD278" s="86" t="e">
        <f t="shared" si="2523"/>
        <v>#DIV/0!</v>
      </c>
      <c r="BE278" s="86" t="e">
        <f t="shared" si="2523"/>
        <v>#DIV/0!</v>
      </c>
      <c r="BF278" s="86" t="e">
        <f t="shared" si="2523"/>
        <v>#DIV/0!</v>
      </c>
      <c r="BG278" s="86" t="e">
        <f t="shared" si="2523"/>
        <v>#DIV/0!</v>
      </c>
      <c r="BH278" s="86" t="e">
        <f t="shared" si="2523"/>
        <v>#DIV/0!</v>
      </c>
      <c r="BI278" s="86" t="e">
        <f t="shared" si="2523"/>
        <v>#DIV/0!</v>
      </c>
      <c r="BJ278" s="86" t="e">
        <f t="shared" si="2523"/>
        <v>#DIV/0!</v>
      </c>
      <c r="BK278" s="86" t="e">
        <f t="shared" si="2523"/>
        <v>#DIV/0!</v>
      </c>
      <c r="BL278" s="86" t="e">
        <f t="shared" si="2523"/>
        <v>#DIV/0!</v>
      </c>
      <c r="BM278" s="86" t="e">
        <f t="shared" si="2523"/>
        <v>#DIV/0!</v>
      </c>
      <c r="BN278" s="86" t="e">
        <f t="shared" si="2523"/>
        <v>#DIV/0!</v>
      </c>
      <c r="BO278" s="86" t="e">
        <f t="shared" si="2523"/>
        <v>#DIV/0!</v>
      </c>
      <c r="BP278" s="86" t="e">
        <f t="shared" si="2523"/>
        <v>#DIV/0!</v>
      </c>
      <c r="BQ278" s="86" t="e">
        <f t="shared" si="2523"/>
        <v>#DIV/0!</v>
      </c>
      <c r="BR278" s="86" t="e">
        <f t="shared" si="2523"/>
        <v>#DIV/0!</v>
      </c>
      <c r="BS278" s="86" t="e">
        <f t="shared" si="2523"/>
        <v>#DIV/0!</v>
      </c>
      <c r="BT278" s="86" t="e">
        <f t="shared" si="2523"/>
        <v>#DIV/0!</v>
      </c>
      <c r="BU278" s="86" t="e">
        <f t="shared" si="2523"/>
        <v>#DIV/0!</v>
      </c>
      <c r="BV278" s="86" t="e">
        <f t="shared" si="2523"/>
        <v>#DIV/0!</v>
      </c>
      <c r="BW278" s="86" t="e">
        <f t="shared" si="2523"/>
        <v>#DIV/0!</v>
      </c>
      <c r="BX278" s="86" t="e">
        <f t="shared" si="2523"/>
        <v>#DIV/0!</v>
      </c>
      <c r="BY278" s="86" t="e">
        <f t="shared" si="2523"/>
        <v>#DIV/0!</v>
      </c>
      <c r="BZ278" s="86" t="e">
        <f t="shared" si="2523"/>
        <v>#DIV/0!</v>
      </c>
      <c r="CA278" s="86" t="e">
        <f t="shared" si="2523"/>
        <v>#DIV/0!</v>
      </c>
      <c r="CB278" s="86" t="e">
        <f t="shared" si="2523"/>
        <v>#DIV/0!</v>
      </c>
      <c r="CC278" s="86" t="e">
        <f t="shared" si="2523"/>
        <v>#DIV/0!</v>
      </c>
      <c r="CD278" s="86">
        <f t="shared" si="2523"/>
        <v>1.2535517299013874E-2</v>
      </c>
      <c r="CE278" s="86">
        <f t="shared" si="2523"/>
        <v>8.758927368279208E-4</v>
      </c>
      <c r="CF278" s="86">
        <f t="shared" si="2523"/>
        <v>1.0101981912641908E-3</v>
      </c>
      <c r="CG278" s="86">
        <f t="shared" si="2523"/>
        <v>2.9006526468455403E-3</v>
      </c>
      <c r="CH278" s="86">
        <f t="shared" si="2523"/>
        <v>1.7557861133280126E-3</v>
      </c>
      <c r="CI278" s="86">
        <f t="shared" si="2523"/>
        <v>7.956965146251261E-3</v>
      </c>
      <c r="CJ278" s="86">
        <f t="shared" si="2523"/>
        <v>2.3812223608118835E-3</v>
      </c>
      <c r="CK278" s="86">
        <f t="shared" si="2523"/>
        <v>3.8725208017164688E-3</v>
      </c>
      <c r="CL278" s="86">
        <f t="shared" si="2523"/>
        <v>3.0491625245394928E-3</v>
      </c>
      <c r="CM278" s="87">
        <f t="shared" si="2523"/>
        <v>-1.4572759185448014E-2</v>
      </c>
      <c r="CN278" s="87">
        <f t="shared" si="2523"/>
        <v>-1.0760227054419808E-2</v>
      </c>
      <c r="CO278" s="87">
        <f t="shared" si="2523"/>
        <v>-1.5224014609039179E-2</v>
      </c>
      <c r="CP278" s="87">
        <f t="shared" si="2523"/>
        <v>-1.4237961387173982E-2</v>
      </c>
      <c r="CQ278" s="87">
        <f t="shared" si="2523"/>
        <v>-1.4016151014372291E-2</v>
      </c>
      <c r="CR278" s="87">
        <f t="shared" si="2523"/>
        <v>-1.0638894285942698E-2</v>
      </c>
      <c r="CS278" s="87">
        <f t="shared" si="2523"/>
        <v>-1.4017206963649238E-2</v>
      </c>
      <c r="CT278" s="87">
        <f t="shared" si="2523"/>
        <v>-1.2872885399111432E-2</v>
      </c>
      <c r="CU278" s="87">
        <f t="shared" si="2523"/>
        <v>-1.6461560044191935E-2</v>
      </c>
      <c r="CV278" s="87">
        <f t="shared" si="2523"/>
        <v>-1.2373395024176115E-2</v>
      </c>
      <c r="CW278" s="87">
        <f t="shared" si="2523"/>
        <v>-1.624636565473336E-2</v>
      </c>
      <c r="CX278" s="87">
        <f t="shared" ref="CX278:DB278" si="2524">CX62/CX34</f>
        <v>-1.4817297986500057E-2</v>
      </c>
      <c r="CY278" s="87">
        <f t="shared" si="2524"/>
        <v>-1.8931463041869268E-2</v>
      </c>
      <c r="CZ278" s="87">
        <f t="shared" si="2524"/>
        <v>-1.4099969838885935E-2</v>
      </c>
      <c r="DA278" s="87">
        <f t="shared" si="2524"/>
        <v>-1.8419191913979907E-2</v>
      </c>
      <c r="DB278" s="87">
        <f t="shared" si="2524"/>
        <v>-1.6674135920688983E-2</v>
      </c>
      <c r="DC278" s="87">
        <f t="shared" ref="DC278:DD278" si="2525">DC62/DC34</f>
        <v>-2.1232757761981493E-2</v>
      </c>
      <c r="DD278" s="87">
        <f t="shared" si="2525"/>
        <v>-1.5710442242317747E-2</v>
      </c>
      <c r="DE278" s="141"/>
      <c r="DF278" s="86">
        <v>5.0084965566586179E-3</v>
      </c>
    </row>
    <row r="279" spans="1:110" s="86" customFormat="1" x14ac:dyDescent="0.2">
      <c r="A279" s="86" t="s">
        <v>433</v>
      </c>
      <c r="B279" s="86" t="e">
        <f>B58/B34</f>
        <v>#DIV/0!</v>
      </c>
      <c r="C279" s="86" t="e">
        <f>C58/C34</f>
        <v>#DIV/0!</v>
      </c>
      <c r="D279" s="86" t="e">
        <f>D58/D34</f>
        <v>#DIV/0!</v>
      </c>
      <c r="F279" s="86" t="e">
        <f t="shared" ref="F279:AE279" si="2526">F58/F34</f>
        <v>#DIV/0!</v>
      </c>
      <c r="G279" s="86" t="e">
        <f t="shared" si="2526"/>
        <v>#DIV/0!</v>
      </c>
      <c r="H279" s="86" t="e">
        <f t="shared" si="2526"/>
        <v>#DIV/0!</v>
      </c>
      <c r="I279" s="86" t="e">
        <f t="shared" si="2526"/>
        <v>#DIV/0!</v>
      </c>
      <c r="J279" s="86" t="e">
        <f t="shared" si="2526"/>
        <v>#DIV/0!</v>
      </c>
      <c r="K279" s="86" t="e">
        <f t="shared" si="2526"/>
        <v>#DIV/0!</v>
      </c>
      <c r="L279" s="86" t="e">
        <f t="shared" si="2526"/>
        <v>#DIV/0!</v>
      </c>
      <c r="M279" s="86" t="e">
        <f t="shared" si="2526"/>
        <v>#DIV/0!</v>
      </c>
      <c r="N279" s="86" t="e">
        <f t="shared" si="2526"/>
        <v>#DIV/0!</v>
      </c>
      <c r="O279" s="86" t="e">
        <f t="shared" si="2526"/>
        <v>#DIV/0!</v>
      </c>
      <c r="P279" s="86" t="e">
        <f t="shared" si="2526"/>
        <v>#DIV/0!</v>
      </c>
      <c r="Q279" s="86" t="e">
        <f t="shared" si="2526"/>
        <v>#DIV/0!</v>
      </c>
      <c r="R279" s="86" t="e">
        <f t="shared" si="2526"/>
        <v>#DIV/0!</v>
      </c>
      <c r="S279" s="86" t="e">
        <f t="shared" si="2526"/>
        <v>#DIV/0!</v>
      </c>
      <c r="T279" s="86" t="e">
        <f t="shared" si="2526"/>
        <v>#DIV/0!</v>
      </c>
      <c r="U279" s="86" t="e">
        <f t="shared" si="2526"/>
        <v>#DIV/0!</v>
      </c>
      <c r="V279" s="86" t="e">
        <f t="shared" si="2526"/>
        <v>#DIV/0!</v>
      </c>
      <c r="W279" s="86" t="e">
        <f t="shared" si="2526"/>
        <v>#DIV/0!</v>
      </c>
      <c r="X279" s="86" t="e">
        <f t="shared" si="2526"/>
        <v>#DIV/0!</v>
      </c>
      <c r="Y279" s="86">
        <f t="shared" si="2526"/>
        <v>9.6646777040087402E-3</v>
      </c>
      <c r="Z279" s="86">
        <f t="shared" ref="Z279" si="2527">Z58/Z34</f>
        <v>1.3160080238159122E-2</v>
      </c>
      <c r="AA279" s="87">
        <f t="shared" si="2526"/>
        <v>1.3733557304603558E-2</v>
      </c>
      <c r="AB279" s="87">
        <f t="shared" si="2526"/>
        <v>1.7723416054685359E-2</v>
      </c>
      <c r="AC279" s="87">
        <f t="shared" si="2526"/>
        <v>2.1205542301879005E-2</v>
      </c>
      <c r="AD279" s="87">
        <f t="shared" si="2526"/>
        <v>2.1828660178438826E-2</v>
      </c>
      <c r="AE279" s="87">
        <f t="shared" si="2526"/>
        <v>2.0909997387397471E-2</v>
      </c>
      <c r="AL279" s="86" t="e">
        <f t="shared" ref="AL279:CW279" si="2528">AL58/AL34</f>
        <v>#DIV/0!</v>
      </c>
      <c r="AM279" s="86" t="e">
        <f t="shared" si="2528"/>
        <v>#DIV/0!</v>
      </c>
      <c r="AN279" s="86" t="e">
        <f t="shared" si="2528"/>
        <v>#DIV/0!</v>
      </c>
      <c r="AO279" s="86" t="e">
        <f t="shared" si="2528"/>
        <v>#DIV/0!</v>
      </c>
      <c r="AP279" s="86" t="e">
        <f t="shared" si="2528"/>
        <v>#DIV/0!</v>
      </c>
      <c r="AQ279" s="86" t="e">
        <f t="shared" si="2528"/>
        <v>#DIV/0!</v>
      </c>
      <c r="AR279" s="86" t="e">
        <f t="shared" si="2528"/>
        <v>#DIV/0!</v>
      </c>
      <c r="AS279" s="86" t="e">
        <f t="shared" si="2528"/>
        <v>#DIV/0!</v>
      </c>
      <c r="AT279" s="86" t="e">
        <f t="shared" si="2528"/>
        <v>#DIV/0!</v>
      </c>
      <c r="AU279" s="86" t="e">
        <f t="shared" si="2528"/>
        <v>#DIV/0!</v>
      </c>
      <c r="AV279" s="86" t="e">
        <f t="shared" si="2528"/>
        <v>#DIV/0!</v>
      </c>
      <c r="AW279" s="86" t="e">
        <f t="shared" si="2528"/>
        <v>#DIV/0!</v>
      </c>
      <c r="AX279" s="86" t="e">
        <f t="shared" si="2528"/>
        <v>#DIV/0!</v>
      </c>
      <c r="AY279" s="86" t="e">
        <f t="shared" si="2528"/>
        <v>#DIV/0!</v>
      </c>
      <c r="AZ279" s="86" t="e">
        <f t="shared" si="2528"/>
        <v>#DIV/0!</v>
      </c>
      <c r="BA279" s="86" t="e">
        <f t="shared" si="2528"/>
        <v>#DIV/0!</v>
      </c>
      <c r="BB279" s="86" t="e">
        <f t="shared" si="2528"/>
        <v>#DIV/0!</v>
      </c>
      <c r="BC279" s="86" t="e">
        <f t="shared" si="2528"/>
        <v>#DIV/0!</v>
      </c>
      <c r="BD279" s="86" t="e">
        <f t="shared" si="2528"/>
        <v>#DIV/0!</v>
      </c>
      <c r="BE279" s="86" t="e">
        <f t="shared" si="2528"/>
        <v>#DIV/0!</v>
      </c>
      <c r="BF279" s="86" t="e">
        <f t="shared" si="2528"/>
        <v>#DIV/0!</v>
      </c>
      <c r="BG279" s="86" t="e">
        <f t="shared" si="2528"/>
        <v>#DIV/0!</v>
      </c>
      <c r="BH279" s="86" t="e">
        <f t="shared" si="2528"/>
        <v>#DIV/0!</v>
      </c>
      <c r="BI279" s="86" t="e">
        <f t="shared" si="2528"/>
        <v>#DIV/0!</v>
      </c>
      <c r="BJ279" s="86" t="e">
        <f t="shared" si="2528"/>
        <v>#DIV/0!</v>
      </c>
      <c r="BK279" s="86" t="e">
        <f t="shared" si="2528"/>
        <v>#DIV/0!</v>
      </c>
      <c r="BL279" s="86" t="e">
        <f t="shared" si="2528"/>
        <v>#DIV/0!</v>
      </c>
      <c r="BM279" s="86" t="e">
        <f t="shared" si="2528"/>
        <v>#DIV/0!</v>
      </c>
      <c r="BN279" s="86" t="e">
        <f t="shared" si="2528"/>
        <v>#DIV/0!</v>
      </c>
      <c r="BO279" s="86" t="e">
        <f t="shared" si="2528"/>
        <v>#DIV/0!</v>
      </c>
      <c r="BP279" s="86" t="e">
        <f t="shared" si="2528"/>
        <v>#DIV/0!</v>
      </c>
      <c r="BQ279" s="86" t="e">
        <f t="shared" si="2528"/>
        <v>#DIV/0!</v>
      </c>
      <c r="BR279" s="86" t="e">
        <f t="shared" si="2528"/>
        <v>#DIV/0!</v>
      </c>
      <c r="BS279" s="86" t="e">
        <f t="shared" si="2528"/>
        <v>#DIV/0!</v>
      </c>
      <c r="BT279" s="86" t="e">
        <f t="shared" si="2528"/>
        <v>#DIV/0!</v>
      </c>
      <c r="BU279" s="86" t="e">
        <f t="shared" si="2528"/>
        <v>#DIV/0!</v>
      </c>
      <c r="BV279" s="86" t="e">
        <f t="shared" si="2528"/>
        <v>#DIV/0!</v>
      </c>
      <c r="BW279" s="86" t="e">
        <f t="shared" si="2528"/>
        <v>#DIV/0!</v>
      </c>
      <c r="BX279" s="86" t="e">
        <f t="shared" si="2528"/>
        <v>#DIV/0!</v>
      </c>
      <c r="BY279" s="86" t="e">
        <f t="shared" si="2528"/>
        <v>#DIV/0!</v>
      </c>
      <c r="BZ279" s="86" t="e">
        <f t="shared" si="2528"/>
        <v>#DIV/0!</v>
      </c>
      <c r="CA279" s="86" t="e">
        <f t="shared" si="2528"/>
        <v>#DIV/0!</v>
      </c>
      <c r="CB279" s="86" t="e">
        <f t="shared" si="2528"/>
        <v>#DIV/0!</v>
      </c>
      <c r="CC279" s="86" t="e">
        <f t="shared" si="2528"/>
        <v>#DIV/0!</v>
      </c>
      <c r="CD279" s="86">
        <f t="shared" si="2528"/>
        <v>8.6077218786561934E-3</v>
      </c>
      <c r="CE279" s="86">
        <f t="shared" si="2528"/>
        <v>1.0780218299420562E-2</v>
      </c>
      <c r="CF279" s="86">
        <f t="shared" si="2528"/>
        <v>9.1879930729266892E-3</v>
      </c>
      <c r="CG279" s="86">
        <f t="shared" si="2528"/>
        <v>1.3646252224932426E-2</v>
      </c>
      <c r="CH279" s="86">
        <f t="shared" si="2528"/>
        <v>1.2928970470869912E-2</v>
      </c>
      <c r="CI279" s="86">
        <f t="shared" si="2528"/>
        <v>1.4905300907766449E-2</v>
      </c>
      <c r="CJ279" s="86">
        <f t="shared" si="2528"/>
        <v>1.186831462372907E-2</v>
      </c>
      <c r="CK279" s="86">
        <f t="shared" si="2528"/>
        <v>1.6903029985870531E-2</v>
      </c>
      <c r="CL279" s="86">
        <f t="shared" si="2528"/>
        <v>1.4493964328975399E-2</v>
      </c>
      <c r="CM279" s="87">
        <f t="shared" si="2528"/>
        <v>1.4135695621138334E-2</v>
      </c>
      <c r="CN279" s="87">
        <f t="shared" si="2528"/>
        <v>1.1154945646571688E-2</v>
      </c>
      <c r="CO279" s="87">
        <f t="shared" si="2528"/>
        <v>1.7399932373338062E-2</v>
      </c>
      <c r="CP279" s="87">
        <f t="shared" si="2528"/>
        <v>1.615302170677865E-2</v>
      </c>
      <c r="CQ279" s="87">
        <f t="shared" si="2528"/>
        <v>2.1795699544391194E-2</v>
      </c>
      <c r="CR279" s="87">
        <f t="shared" si="2528"/>
        <v>1.643840385620101E-2</v>
      </c>
      <c r="CS279" s="87">
        <f t="shared" si="2528"/>
        <v>2.2778272877007493E-2</v>
      </c>
      <c r="CT279" s="87">
        <f t="shared" si="2528"/>
        <v>1.9844130781050611E-2</v>
      </c>
      <c r="CU279" s="87">
        <f t="shared" si="2528"/>
        <v>2.5548918245774731E-2</v>
      </c>
      <c r="CV279" s="87">
        <f t="shared" si="2528"/>
        <v>1.8319555227777E-2</v>
      </c>
      <c r="CW279" s="87">
        <f t="shared" si="2528"/>
        <v>2.4323409195120119E-2</v>
      </c>
      <c r="CX279" s="87">
        <f t="shared" ref="CX279:DB279" si="2529">CX58/CX34</f>
        <v>2.0681026217598316E-2</v>
      </c>
      <c r="CY279" s="87">
        <f t="shared" si="2529"/>
        <v>2.5999658313158945E-2</v>
      </c>
      <c r="CZ279" s="87">
        <f t="shared" si="2529"/>
        <v>1.8257847835326739E-2</v>
      </c>
      <c r="DA279" s="87">
        <f t="shared" si="2529"/>
        <v>2.374428750114542E-2</v>
      </c>
      <c r="DB279" s="87">
        <f t="shared" si="2529"/>
        <v>1.9941016288678188E-2</v>
      </c>
      <c r="DC279" s="87">
        <f t="shared" ref="DC279:DD279" si="2530">DC58/DC34</f>
        <v>2.4734935164255855E-2</v>
      </c>
      <c r="DD279" s="87">
        <f t="shared" si="2530"/>
        <v>1.7190511599927887E-2</v>
      </c>
      <c r="DE279" s="141"/>
      <c r="DF279" s="86">
        <v>1.3160080238159122E-2</v>
      </c>
    </row>
    <row r="280" spans="1:110" s="85" customFormat="1" x14ac:dyDescent="0.2">
      <c r="AA280" s="58"/>
      <c r="AB280" s="58"/>
      <c r="AC280" s="58"/>
      <c r="AD280" s="58"/>
      <c r="AE280" s="58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143"/>
      <c r="DF280" s="219"/>
    </row>
  </sheetData>
  <sortState xmlns:xlrd2="http://schemas.microsoft.com/office/spreadsheetml/2017/richdata2" ref="A46:DE51">
    <sortCondition ref="A46:A5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W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320028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Siemens Energy India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1196.5999999999999</v>
      </c>
      <c r="AY6">
        <f>_xll.EQNXTDZ($A$1,$B6,AY$1,$B$1)</f>
        <v>1484.2</v>
      </c>
      <c r="AZ6">
        <f>_xll.EQNXTDZ($A$1,$B6,AZ$1,$B$1)</f>
        <v>2078.8000000000002</v>
      </c>
      <c r="BA6">
        <f>_xll.EQNXTDZ($A$1,$B6,BA$1,$B$1)</f>
        <v>1516.9</v>
      </c>
      <c r="BB6">
        <f>_xll.EQNXTDZ($A$1,$B6,BB$1,$B$1)</f>
        <v>1879.5</v>
      </c>
      <c r="BC6">
        <f>_xll.EQNXTDZ($A$1,$B6,BC$1,$B$1)</f>
        <v>1784.6</v>
      </c>
      <c r="BD6">
        <f>_xll.EQNXTDZ($A$1,$B6,BD$1,$B$1)</f>
        <v>2645.7</v>
      </c>
      <c r="BE6">
        <f>_xll.EQNXTDZ($A$1,$B6,BE$1,$B$1)</f>
        <v>1910.9</v>
      </c>
      <c r="BF6">
        <f>_xll.EQNXTDZ($A$1,$B6,BF$1,$B$1)</f>
        <v>2394.1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1196.5999999999999</v>
      </c>
      <c r="AY9">
        <f>_xll.EQNXTDZ($A$1,$B9,AY$1,$B$1)</f>
        <v>1484.2</v>
      </c>
      <c r="AZ9">
        <f>_xll.EQNXTDZ($A$1,$B9,AZ$1,$B$1)</f>
        <v>2078.8000000000002</v>
      </c>
      <c r="BA9">
        <f>_xll.EQNXTDZ($A$1,$B9,BA$1,$B$1)</f>
        <v>1516.9</v>
      </c>
      <c r="BB9">
        <f>_xll.EQNXTDZ($A$1,$B9,BB$1,$B$1)</f>
        <v>1879.5</v>
      </c>
      <c r="BC9">
        <f>_xll.EQNXTDZ($A$1,$B9,BC$1,$B$1)</f>
        <v>1784.6</v>
      </c>
      <c r="BD9">
        <f>_xll.EQNXTDZ($A$1,$B9,BD$1,$B$1)</f>
        <v>2645.7</v>
      </c>
      <c r="BE9">
        <f>_xll.EQNXTDZ($A$1,$B9,BE$1,$B$1)</f>
        <v>1910.9</v>
      </c>
      <c r="BF9">
        <f>_xll.EQNXTDZ($A$1,$B9,BF$1,$B$1)</f>
        <v>2394.1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19.8</v>
      </c>
      <c r="AY10">
        <f>_xll.EQNXTDZ($A$1,$B10,AY$1,$B$1)</f>
        <v>-78.3</v>
      </c>
      <c r="AZ10">
        <f>_xll.EQNXTDZ($A$1,$B10,AZ$1,$B$1)</f>
        <v>-46.6</v>
      </c>
      <c r="BA10">
        <f>_xll.EQNXTDZ($A$1,$B10,BA$1,$B$1)</f>
        <v>100</v>
      </c>
      <c r="BB10">
        <f>_xll.EQNXTDZ($A$1,$B10,BB$1,$B$1)</f>
        <v>-18.5</v>
      </c>
      <c r="BC10">
        <f>_xll.EQNXTDZ($A$1,$B10,BC$1,$B$1)</f>
        <v>-14.6</v>
      </c>
      <c r="BD10">
        <f>_xll.EQNXTDZ($A$1,$B10,BD$1,$B$1)</f>
        <v>-17.899999999999999</v>
      </c>
      <c r="BE10">
        <f>_xll.EQNXTDZ($A$1,$B10,BE$1,$B$1)</f>
        <v>-28.2</v>
      </c>
      <c r="BF10">
        <f>_xll.EQNXTDZ($A$1,$B10,BF$1,$B$1)</f>
        <v>-55.8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244.2</v>
      </c>
      <c r="AY11">
        <f>_xll.EQNXTDZ($A$1,$B11,AY$1,$B$1)</f>
        <v>340.4</v>
      </c>
      <c r="AZ11">
        <f>_xll.EQNXTDZ($A$1,$B11,AZ$1,$B$1)</f>
        <v>389.4</v>
      </c>
      <c r="BA11">
        <f>_xll.EQNXTDZ($A$1,$B11,BA$1,$B$1)</f>
        <v>235.7</v>
      </c>
      <c r="BB11">
        <f>_xll.EQNXTDZ($A$1,$B11,BB$1,$B$1)</f>
        <v>484.3</v>
      </c>
      <c r="BC11">
        <f>_xll.EQNXTDZ($A$1,$B11,BC$1,$B$1)</f>
        <v>471.2</v>
      </c>
      <c r="BD11">
        <f>_xll.EQNXTDZ($A$1,$B11,BD$1,$B$1)</f>
        <v>489.6</v>
      </c>
      <c r="BE11">
        <f>_xll.EQNXTDZ($A$1,$B11,BE$1,$B$1)</f>
        <v>377.9</v>
      </c>
      <c r="BF11">
        <f>_xll.EQNXTDZ($A$1,$B11,BF$1,$B$1)</f>
        <v>352.5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33</v>
      </c>
      <c r="AY12">
        <f>_xll.EQNXTDZ($A$1,$B12,AY$1,$B$1)</f>
        <v>99.1</v>
      </c>
      <c r="AZ12">
        <f>_xll.EQNXTDZ($A$1,$B12,AZ$1,$B$1)</f>
        <v>198.2</v>
      </c>
      <c r="BA12">
        <f>_xll.EQNXTDZ($A$1,$B12,BA$1,$B$1)</f>
        <v>149</v>
      </c>
      <c r="BB12">
        <f>_xll.EQNXTDZ($A$1,$B12,BB$1,$B$1)</f>
        <v>97</v>
      </c>
      <c r="BC12">
        <f>_xll.EQNXTDZ($A$1,$B12,BC$1,$B$1)</f>
        <v>82.9</v>
      </c>
      <c r="BD12">
        <f>_xll.EQNXTDZ($A$1,$B12,BD$1,$B$1)</f>
        <v>122.1</v>
      </c>
      <c r="BE12">
        <f>_xll.EQNXTDZ($A$1,$B12,BE$1,$B$1)</f>
        <v>117.7</v>
      </c>
      <c r="BF12">
        <f>_xll.EQNXTDZ($A$1,$B12,BF$1,$B$1)</f>
        <v>81.2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514.20000000000005</v>
      </c>
      <c r="AY14">
        <f>_xll.EQNXTDZ($A$1,$B14,AY$1,$B$1)</f>
        <v>692.4</v>
      </c>
      <c r="AZ14">
        <f>_xll.EQNXTDZ($A$1,$B14,AZ$1,$B$1)</f>
        <v>943.2</v>
      </c>
      <c r="BA14">
        <f>_xll.EQNXTDZ($A$1,$B14,BA$1,$B$1)</f>
        <v>485.7</v>
      </c>
      <c r="BB14">
        <f>_xll.EQNXTDZ($A$1,$B14,BB$1,$B$1)</f>
        <v>733.1</v>
      </c>
      <c r="BC14">
        <f>_xll.EQNXTDZ($A$1,$B14,BC$1,$B$1)</f>
        <v>663.1</v>
      </c>
      <c r="BD14">
        <f>_xll.EQNXTDZ($A$1,$B14,BD$1,$B$1)</f>
        <v>1265.2</v>
      </c>
      <c r="BE14">
        <f>_xll.EQNXTDZ($A$1,$B14,BE$1,$B$1)</f>
        <v>731</v>
      </c>
      <c r="BF14">
        <f>_xll.EQNXTDZ($A$1,$B14,BF$1,$B$1)</f>
        <v>1258.2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115.9</v>
      </c>
      <c r="AY16">
        <f>_xll.EQNXTDZ($A$1,$B16,AY$1,$B$1)</f>
        <v>217.2</v>
      </c>
      <c r="AZ16">
        <f>_xll.EQNXTDZ($A$1,$B16,AZ$1,$B$1)</f>
        <v>209.7</v>
      </c>
      <c r="BA16">
        <f>_xll.EQNXTDZ($A$1,$B16,BA$1,$B$1)</f>
        <v>211.2</v>
      </c>
      <c r="BB16">
        <f>_xll.EQNXTDZ($A$1,$B16,BB$1,$B$1)</f>
        <v>225.1</v>
      </c>
      <c r="BC16">
        <f>_xll.EQNXTDZ($A$1,$B16,BC$1,$B$1)</f>
        <v>241.7</v>
      </c>
      <c r="BD16">
        <f>_xll.EQNXTDZ($A$1,$B16,BD$1,$B$1)</f>
        <v>307.39999999999998</v>
      </c>
      <c r="BE16">
        <f>_xll.EQNXTDZ($A$1,$B16,BE$1,$B$1)</f>
        <v>251.7</v>
      </c>
      <c r="BF16">
        <f>_xll.EQNXTDZ($A$1,$B16,BF$1,$B$1)</f>
        <v>259.7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269.5</v>
      </c>
      <c r="AY22">
        <f>_xll.EQNXTDZ($A$1,$B22,AY$1,$B$1)</f>
        <v>213.4</v>
      </c>
      <c r="AZ22">
        <f>_xll.EQNXTDZ($A$1,$B22,AZ$1,$B$1)</f>
        <v>384.9</v>
      </c>
      <c r="BA22">
        <f>_xll.EQNXTDZ($A$1,$B22,BA$1,$B$1)</f>
        <v>335.3</v>
      </c>
      <c r="BB22">
        <f>_xll.EQNXTDZ($A$1,$B22,BB$1,$B$1)</f>
        <v>358.5</v>
      </c>
      <c r="BC22">
        <f>_xll.EQNXTDZ($A$1,$B22,BC$1,$B$1)</f>
        <v>340.3</v>
      </c>
      <c r="BD22">
        <f>_xll.EQNXTDZ($A$1,$B22,BD$1,$B$1)</f>
        <v>479.3</v>
      </c>
      <c r="BE22">
        <f>_xll.EQNXTDZ($A$1,$B22,BE$1,$B$1)</f>
        <v>460.8</v>
      </c>
      <c r="BF22">
        <f>_xll.EQNXTDZ($A$1,$B22,BF$1,$B$1)</f>
        <v>498.3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0.2</v>
      </c>
      <c r="AY23">
        <f>_xll.EQNXTDZ($A$1,$B23,AY$1,$B$1)</f>
        <v>0</v>
      </c>
      <c r="AZ23">
        <f>_xll.EQNXTDZ($A$1,$B23,AZ$1,$B$1)</f>
        <v>2</v>
      </c>
      <c r="BA23">
        <f>_xll.EQNXTDZ($A$1,$B23,BA$1,$B$1)</f>
        <v>1.6</v>
      </c>
      <c r="BB23">
        <f>_xll.EQNXTDZ($A$1,$B23,BB$1,$B$1)</f>
        <v>14.4</v>
      </c>
      <c r="BC23">
        <f>_xll.EQNXTDZ($A$1,$B23,BC$1,$B$1)</f>
        <v>52.5</v>
      </c>
      <c r="BD23">
        <f>_xll.EQNXTDZ($A$1,$B23,BD$1,$B$1)</f>
        <v>36.799999999999997</v>
      </c>
      <c r="BE23">
        <f>_xll.EQNXTDZ($A$1,$B23,BE$1,$B$1)</f>
        <v>49.3</v>
      </c>
      <c r="BF23">
        <f>_xll.EQNXTDZ($A$1,$B23,BF$1,$B$1)</f>
        <v>45.9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269.7</v>
      </c>
      <c r="AY24">
        <f>_xll.EQNXTDZ($A$1,$B24,AY$1,$B$1)</f>
        <v>213.4</v>
      </c>
      <c r="AZ24">
        <f>_xll.EQNXTDZ($A$1,$B24,AZ$1,$B$1)</f>
        <v>386.9</v>
      </c>
      <c r="BA24">
        <f>_xll.EQNXTDZ($A$1,$B24,BA$1,$B$1)</f>
        <v>336.9</v>
      </c>
      <c r="BB24">
        <f>_xll.EQNXTDZ($A$1,$B24,BB$1,$B$1)</f>
        <v>372.9</v>
      </c>
      <c r="BC24">
        <f>_xll.EQNXTDZ($A$1,$B24,BC$1,$B$1)</f>
        <v>392.8</v>
      </c>
      <c r="BD24">
        <f>_xll.EQNXTDZ($A$1,$B24,BD$1,$B$1)</f>
        <v>516.1</v>
      </c>
      <c r="BE24">
        <f>_xll.EQNXTDZ($A$1,$B24,BE$1,$B$1)</f>
        <v>510.1</v>
      </c>
      <c r="BF24">
        <f>_xll.EQNXTDZ($A$1,$B24,BF$1,$B$1)</f>
        <v>544.20000000000005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15</v>
      </c>
      <c r="AY25">
        <f>_xll.EQNXTDZ($A$1,$B25,AY$1,$B$1)</f>
        <v>1.3</v>
      </c>
      <c r="AZ25">
        <f>_xll.EQNXTDZ($A$1,$B25,AZ$1,$B$1)</f>
        <v>2.1</v>
      </c>
      <c r="BA25">
        <f>_xll.EQNXTDZ($A$1,$B25,BA$1,$B$1)</f>
        <v>4.4000000000000004</v>
      </c>
      <c r="BB25">
        <f>_xll.EQNXTDZ($A$1,$B25,BB$1,$B$1)</f>
        <v>3.3</v>
      </c>
      <c r="BC25">
        <f>_xll.EQNXTDZ($A$1,$B25,BC$1,$B$1)</f>
        <v>14.2</v>
      </c>
      <c r="BD25">
        <f>_xll.EQNXTDZ($A$1,$B25,BD$1,$B$1)</f>
        <v>6.3</v>
      </c>
      <c r="BE25">
        <f>_xll.EQNXTDZ($A$1,$B25,BE$1,$B$1)</f>
        <v>7.4</v>
      </c>
      <c r="BF25">
        <f>_xll.EQNXTDZ($A$1,$B25,BF$1,$B$1)</f>
        <v>7.3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-51.9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254.7</v>
      </c>
      <c r="AY27">
        <f>_xll.EQNXTDZ($A$1,$B27,AY$1,$B$1)</f>
        <v>212.1</v>
      </c>
      <c r="AZ27">
        <f>_xll.EQNXTDZ($A$1,$B27,AZ$1,$B$1)</f>
        <v>384.8</v>
      </c>
      <c r="BA27">
        <f>_xll.EQNXTDZ($A$1,$B27,BA$1,$B$1)</f>
        <v>332.5</v>
      </c>
      <c r="BB27">
        <f>_xll.EQNXTDZ($A$1,$B27,BB$1,$B$1)</f>
        <v>369.6</v>
      </c>
      <c r="BC27">
        <f>_xll.EQNXTDZ($A$1,$B27,BC$1,$B$1)</f>
        <v>378.6</v>
      </c>
      <c r="BD27">
        <f>_xll.EQNXTDZ($A$1,$B27,BD$1,$B$1)</f>
        <v>509.8</v>
      </c>
      <c r="BE27">
        <f>_xll.EQNXTDZ($A$1,$B27,BE$1,$B$1)</f>
        <v>450.8</v>
      </c>
      <c r="BF27">
        <f>_xll.EQNXTDZ($A$1,$B27,BF$1,$B$1)</f>
        <v>536.9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10.3</v>
      </c>
      <c r="AY28">
        <f>_xll.EQNXTDZ($A$1,$B28,AY$1,$B$1)</f>
        <v>16</v>
      </c>
      <c r="AZ28">
        <f>_xll.EQNXTDZ($A$1,$B28,AZ$1,$B$1)</f>
        <v>19.100000000000001</v>
      </c>
      <c r="BA28">
        <f>_xll.EQNXTDZ($A$1,$B28,BA$1,$B$1)</f>
        <v>20.7</v>
      </c>
      <c r="BB28">
        <f>_xll.EQNXTDZ($A$1,$B28,BB$1,$B$1)</f>
        <v>24.3</v>
      </c>
      <c r="BC28">
        <f>_xll.EQNXTDZ($A$1,$B28,BC$1,$B$1)</f>
        <v>26.6</v>
      </c>
      <c r="BD28">
        <f>_xll.EQNXTDZ($A$1,$B28,BD$1,$B$1)</f>
        <v>31.4</v>
      </c>
      <c r="BE28">
        <f>_xll.EQNXTDZ($A$1,$B28,BE$1,$B$1)</f>
        <v>32.299999999999997</v>
      </c>
      <c r="BF28">
        <f>_xll.EQNXTDZ($A$1,$B28,BF$1,$B$1)</f>
        <v>34.700000000000003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63.9</v>
      </c>
      <c r="AY29">
        <f>_xll.EQNXTDZ($A$1,$B29,AY$1,$B$1)</f>
        <v>50.3</v>
      </c>
      <c r="AZ29">
        <f>_xll.EQNXTDZ($A$1,$B29,AZ$1,$B$1)</f>
        <v>92</v>
      </c>
      <c r="BA29">
        <f>_xll.EQNXTDZ($A$1,$B29,BA$1,$B$1)</f>
        <v>80.099999999999994</v>
      </c>
      <c r="BB29">
        <f>_xll.EQNXTDZ($A$1,$B29,BB$1,$B$1)</f>
        <v>99.2</v>
      </c>
      <c r="BC29">
        <f>_xll.EQNXTDZ($A$1,$B29,BC$1,$B$1)</f>
        <v>89.3</v>
      </c>
      <c r="BD29">
        <f>_xll.EQNXTDZ($A$1,$B29,BD$1,$B$1)</f>
        <v>118.8</v>
      </c>
      <c r="BE29">
        <f>_xll.EQNXTDZ($A$1,$B29,BE$1,$B$1)</f>
        <v>105.6</v>
      </c>
      <c r="BF29">
        <f>_xll.EQNXTDZ($A$1,$B29,BF$1,$B$1)</f>
        <v>127.6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180.5</v>
      </c>
      <c r="AY30">
        <f>_xll.EQNXTDZ($A$1,$B30,AY$1,$B$1)</f>
        <v>145.80000000000001</v>
      </c>
      <c r="AZ30">
        <f>_xll.EQNXTDZ($A$1,$B30,AZ$1,$B$1)</f>
        <v>273.7</v>
      </c>
      <c r="BA30">
        <f>_xll.EQNXTDZ($A$1,$B30,BA$1,$B$1)</f>
        <v>231.7</v>
      </c>
      <c r="BB30">
        <f>_xll.EQNXTDZ($A$1,$B30,BB$1,$B$1)</f>
        <v>246.1</v>
      </c>
      <c r="BC30">
        <f>_xll.EQNXTDZ($A$1,$B30,BC$1,$B$1)</f>
        <v>262.7</v>
      </c>
      <c r="BD30">
        <f>_xll.EQNXTDZ($A$1,$B30,BD$1,$B$1)</f>
        <v>359.6</v>
      </c>
      <c r="BE30">
        <f>_xll.EQNXTDZ($A$1,$B30,BE$1,$B$1)</f>
        <v>312.89999999999998</v>
      </c>
      <c r="BF30">
        <f>_xll.EQNXTDZ($A$1,$B30,BF$1,$B$1)</f>
        <v>374.6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180.5</v>
      </c>
      <c r="AY38">
        <f>_xll.EQNXTDZ($A$1,$B38,AY$1,$B$1)</f>
        <v>145.80000000000001</v>
      </c>
      <c r="AZ38">
        <f>_xll.EQNXTDZ($A$1,$B38,AZ$1,$B$1)</f>
        <v>273.7</v>
      </c>
      <c r="BA38">
        <f>_xll.EQNXTDZ($A$1,$B38,BA$1,$B$1)</f>
        <v>231.7</v>
      </c>
      <c r="BB38">
        <f>_xll.EQNXTDZ($A$1,$B38,BB$1,$B$1)</f>
        <v>246.1</v>
      </c>
      <c r="BC38">
        <f>_xll.EQNXTDZ($A$1,$B38,BC$1,$B$1)</f>
        <v>262.7</v>
      </c>
      <c r="BD38">
        <f>_xll.EQNXTDZ($A$1,$B38,BD$1,$B$1)</f>
        <v>359.6</v>
      </c>
      <c r="BE38">
        <f>_xll.EQNXTDZ($A$1,$B38,BE$1,$B$1)</f>
        <v>312.89999999999998</v>
      </c>
      <c r="BF38">
        <f>_xll.EQNXTDZ($A$1,$B38,BF$1,$B$1)</f>
        <v>374.6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-1.4</v>
      </c>
      <c r="AY40">
        <f>_xll.EQNXTDZ($A$1,$B40,AY$1,$B$1)</f>
        <v>1</v>
      </c>
      <c r="AZ40">
        <f>_xll.EQNXTDZ($A$1,$B40,AZ$1,$B$1)</f>
        <v>-37.6</v>
      </c>
      <c r="BA40">
        <f>_xll.EQNXTDZ($A$1,$B40,BA$1,$B$1)</f>
        <v>33.299999999999997</v>
      </c>
      <c r="BB40">
        <f>_xll.EQNXTDZ($A$1,$B40,BB$1,$B$1)</f>
        <v>-14.5</v>
      </c>
      <c r="BC40">
        <f>_xll.EQNXTDZ($A$1,$B40,BC$1,$B$1)</f>
        <v>-48.6</v>
      </c>
      <c r="BD40">
        <f>_xll.EQNXTDZ($A$1,$B40,BD$1,$B$1)</f>
        <v>-46.3</v>
      </c>
      <c r="BE40">
        <f>_xll.EQNXTDZ($A$1,$B40,BE$1,$B$1)</f>
        <v>-12.5</v>
      </c>
      <c r="BF40">
        <f>_xll.EQNXTDZ($A$1,$B40,BF$1,$B$1)</f>
        <v>-102.3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179.1</v>
      </c>
      <c r="AY41">
        <f>_xll.EQNXTDZ($A$1,$B41,AY$1,$B$1)</f>
        <v>146.80000000000001</v>
      </c>
      <c r="AZ41">
        <f>_xll.EQNXTDZ($A$1,$B41,AZ$1,$B$1)</f>
        <v>236.1</v>
      </c>
      <c r="BA41">
        <f>_xll.EQNXTDZ($A$1,$B41,BA$1,$B$1)</f>
        <v>265</v>
      </c>
      <c r="BB41">
        <f>_xll.EQNXTDZ($A$1,$B41,BB$1,$B$1)</f>
        <v>231.6</v>
      </c>
      <c r="BC41">
        <f>_xll.EQNXTDZ($A$1,$B41,BC$1,$B$1)</f>
        <v>214.1</v>
      </c>
      <c r="BD41">
        <f>_xll.EQNXTDZ($A$1,$B41,BD$1,$B$1)</f>
        <v>313.3</v>
      </c>
      <c r="BE41">
        <f>_xll.EQNXTDZ($A$1,$B41,BE$1,$B$1)</f>
        <v>300.39999999999998</v>
      </c>
      <c r="BF41">
        <f>_xll.EQNXTDZ($A$1,$B41,BF$1,$B$1)</f>
        <v>272.3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180.5</v>
      </c>
      <c r="AY42">
        <f>_xll.EQNXTDZ($A$1,$B42,AY$1,$B$1)</f>
        <v>145.80000000000001</v>
      </c>
      <c r="AZ42">
        <f>_xll.EQNXTDZ($A$1,$B42,AZ$1,$B$1)</f>
        <v>273.7</v>
      </c>
      <c r="BA42">
        <f>_xll.EQNXTDZ($A$1,$B42,BA$1,$B$1)</f>
        <v>231.7</v>
      </c>
      <c r="BB42">
        <f>_xll.EQNXTDZ($A$1,$B42,BB$1,$B$1)</f>
        <v>246.1</v>
      </c>
      <c r="BC42">
        <f>_xll.EQNXTDZ($A$1,$B42,BC$1,$B$1)</f>
        <v>262.7</v>
      </c>
      <c r="BD42">
        <f>_xll.EQNXTDZ($A$1,$B42,BD$1,$B$1)</f>
        <v>359.6</v>
      </c>
      <c r="BE42">
        <f>_xll.EQNXTDZ($A$1,$B42,BE$1,$B$1)</f>
        <v>312.89999999999998</v>
      </c>
      <c r="BF42">
        <f>_xll.EQNXTDZ($A$1,$B42,BF$1,$B$1)</f>
        <v>374.6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71.2</v>
      </c>
      <c r="AY45">
        <f>_xll.EQNXTDZ($A$1,$B45,AY$1,$B$1)</f>
        <v>71.2</v>
      </c>
      <c r="AZ45">
        <f>_xll.EQNXTDZ($A$1,$B45,AZ$1,$B$1)</f>
        <v>71.2</v>
      </c>
      <c r="BA45">
        <f>_xll.EQNXTDZ($A$1,$B45,BA$1,$B$1)</f>
        <v>71.2</v>
      </c>
      <c r="BB45">
        <f>_xll.EQNXTDZ($A$1,$B45,BB$1,$B$1)</f>
        <v>71.2</v>
      </c>
      <c r="BC45">
        <f>_xll.EQNXTDZ($A$1,$B45,BC$1,$B$1)</f>
        <v>71.2</v>
      </c>
      <c r="BD45">
        <f>_xll.EQNXTDZ($A$1,$B45,BD$1,$B$1)</f>
        <v>71.2</v>
      </c>
      <c r="BE45">
        <f>_xll.EQNXTDZ($A$1,$B45,BE$1,$B$1)</f>
        <v>71.2</v>
      </c>
      <c r="BF45">
        <f>_xll.EQNXTDZ($A$1,$B45,BF$1,$B$1)</f>
        <v>71.2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2982</v>
      </c>
      <c r="BD48" s="55">
        <f>_xll.EQNXTDZ($A$1,$B48,BD$5)</f>
        <v>3430.35</v>
      </c>
      <c r="BE48" s="55">
        <f>_xll.EQNXTDZ($A$1,$B48,BE$5)</f>
        <v>2560.8000000000002</v>
      </c>
      <c r="BF48" s="55">
        <f>_xll.EQNXTDZ($A$1,$B48,BF$5)</f>
        <v>2569.65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71.2</v>
      </c>
      <c r="BA56" s="55">
        <f>_xll.EQNXTDZ($A$1,$B56,BA$5,$B$1)</f>
        <v>0</v>
      </c>
      <c r="BB56" s="55">
        <f>_xll.EQNXTDZ($A$1,$B56,BB$5,$B$1)</f>
        <v>71.2</v>
      </c>
      <c r="BC56" s="55">
        <f>_xll.EQNXTDZ($A$1,$B56,BC$5,$B$1)</f>
        <v>0</v>
      </c>
      <c r="BD56" s="55">
        <f>_xll.EQNXTDZ($A$1,$B56,BD$5,$B$1)</f>
        <v>71.2</v>
      </c>
      <c r="BE56" s="55">
        <f>_xll.EQNXTDZ($A$1,$B56,BE$5,$B$1)</f>
        <v>0</v>
      </c>
      <c r="BF56" s="55">
        <f>_xll.EQNXTDZ($A$1,$B56,BF$5,$B$1)</f>
        <v>71.2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3145.6</v>
      </c>
      <c r="BA58" s="55">
        <f>_xll.EQNXTDZ($A$1,$B58,BA$5,$B$1)</f>
        <v>0</v>
      </c>
      <c r="BB58" s="55">
        <f>_xll.EQNXTDZ($A$1,$B58,BB$5,$B$1)</f>
        <v>3786.4</v>
      </c>
      <c r="BC58" s="55">
        <f>_xll.EQNXTDZ($A$1,$B58,BC$5,$B$1)</f>
        <v>0</v>
      </c>
      <c r="BD58" s="55">
        <f>_xll.EQNXTDZ($A$1,$B58,BD$5,$B$1)</f>
        <v>4310.1000000000004</v>
      </c>
      <c r="BE58" s="55">
        <f>_xll.EQNXTDZ($A$1,$B58,BE$5,$B$1)</f>
        <v>0</v>
      </c>
      <c r="BF58" s="55">
        <f>_xll.EQNXTDZ($A$1,$B58,BF$5,$B$1)</f>
        <v>4740.6000000000004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3216.8</v>
      </c>
      <c r="BA59" s="55">
        <f>_xll.EQNXTDZ($A$1,$B59,BA$5,$B$1)</f>
        <v>0</v>
      </c>
      <c r="BB59" s="55">
        <f>_xll.EQNXTDZ($A$1,$B59,BB$5,$B$1)</f>
        <v>3857.6</v>
      </c>
      <c r="BC59" s="55">
        <f>_xll.EQNXTDZ($A$1,$B59,BC$5,$B$1)</f>
        <v>0</v>
      </c>
      <c r="BD59" s="55">
        <f>_xll.EQNXTDZ($A$1,$B59,BD$5,$B$1)</f>
        <v>4381.3</v>
      </c>
      <c r="BE59" s="55">
        <f>_xll.EQNXTDZ($A$1,$B59,BE$5,$B$1)</f>
        <v>0</v>
      </c>
      <c r="BF59" s="55">
        <f>_xll.EQNXTDZ($A$1,$B59,BF$5,$B$1)</f>
        <v>4811.8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118.6</v>
      </c>
      <c r="BA64" s="55">
        <f>_xll.EQNXTDZ($A$1,$B64,BA$5,$B$1)</f>
        <v>0</v>
      </c>
      <c r="BB64" s="55">
        <f>_xll.EQNXTDZ($A$1,$B64,BB$5,$B$1)</f>
        <v>221.6</v>
      </c>
      <c r="BC64" s="55">
        <f>_xll.EQNXTDZ($A$1,$B64,BC$5,$B$1)</f>
        <v>0</v>
      </c>
      <c r="BD64" s="55">
        <f>_xll.EQNXTDZ($A$1,$B64,BD$5,$B$1)</f>
        <v>382.6</v>
      </c>
      <c r="BE64" s="55">
        <f>_xll.EQNXTDZ($A$1,$B64,BE$5,$B$1)</f>
        <v>0</v>
      </c>
      <c r="BF64" s="55">
        <f>_xll.EQNXTDZ($A$1,$B64,BF$5,$B$1)</f>
        <v>540.1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3.6</v>
      </c>
      <c r="BA65" s="55">
        <f>_xll.EQNXTDZ($A$1,$B65,BA$5,$B$1)</f>
        <v>0</v>
      </c>
      <c r="BB65" s="55">
        <f>_xll.EQNXTDZ($A$1,$B65,BB$5,$B$1)</f>
        <v>3.5</v>
      </c>
      <c r="BC65" s="55">
        <f>_xll.EQNXTDZ($A$1,$B65,BC$5,$B$1)</f>
        <v>0</v>
      </c>
      <c r="BD65" s="55">
        <f>_xll.EQNXTDZ($A$1,$B65,BD$5,$B$1)</f>
        <v>0.1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445.2</v>
      </c>
      <c r="BA66" s="55">
        <f>_xll.EQNXTDZ($A$1,$B66,BA$5,$B$1)</f>
        <v>0</v>
      </c>
      <c r="BB66" s="55">
        <f>_xll.EQNXTDZ($A$1,$B66,BB$5,$B$1)</f>
        <v>387.9</v>
      </c>
      <c r="BC66" s="55">
        <f>_xll.EQNXTDZ($A$1,$B66,BC$5,$B$1)</f>
        <v>0</v>
      </c>
      <c r="BD66" s="55">
        <f>_xll.EQNXTDZ($A$1,$B66,BD$5,$B$1)</f>
        <v>422.1</v>
      </c>
      <c r="BE66" s="55">
        <f>_xll.EQNXTDZ($A$1,$B66,BE$5,$B$1)</f>
        <v>0</v>
      </c>
      <c r="BF66" s="55">
        <f>_xll.EQNXTDZ($A$1,$B66,BF$5,$B$1)</f>
        <v>465.6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3784.2</v>
      </c>
      <c r="BA67" s="55">
        <f>_xll.EQNXTDZ($A$1,$B67,BA$5,$B$1)</f>
        <v>0</v>
      </c>
      <c r="BB67" s="55">
        <f>_xll.EQNXTDZ($A$1,$B67,BB$5,$B$1)</f>
        <v>4470.6000000000004</v>
      </c>
      <c r="BC67" s="55">
        <f>_xll.EQNXTDZ($A$1,$B67,BC$5,$B$1)</f>
        <v>0</v>
      </c>
      <c r="BD67" s="55">
        <f>_xll.EQNXTDZ($A$1,$B67,BD$5,$B$1)</f>
        <v>5186.1000000000004</v>
      </c>
      <c r="BE67" s="55">
        <f>_xll.EQNXTDZ($A$1,$B67,BE$5,$B$1)</f>
        <v>0</v>
      </c>
      <c r="BF67" s="55">
        <f>_xll.EQNXTDZ($A$1,$B67,BF$5,$B$1)</f>
        <v>5817.5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307.2</v>
      </c>
      <c r="BA68" s="55">
        <f>_xll.EQNXTDZ($A$1,$B68,BA$5,$B$1)</f>
        <v>0</v>
      </c>
      <c r="BB68" s="55">
        <f>_xll.EQNXTDZ($A$1,$B68,BB$5,$B$1)</f>
        <v>371.9</v>
      </c>
      <c r="BC68" s="55">
        <f>_xll.EQNXTDZ($A$1,$B68,BC$5,$B$1)</f>
        <v>0</v>
      </c>
      <c r="BD68" s="55">
        <f>_xll.EQNXTDZ($A$1,$B68,BD$5,$B$1)</f>
        <v>404.9</v>
      </c>
      <c r="BE68" s="55">
        <f>_xll.EQNXTDZ($A$1,$B68,BE$5,$B$1)</f>
        <v>0</v>
      </c>
      <c r="BF68" s="55">
        <f>_xll.EQNXTDZ($A$1,$B68,BF$5,$B$1)</f>
        <v>409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307.2</v>
      </c>
      <c r="BA71" s="55">
        <f>_xll.EQNXTDZ($A$1,$B71,BA$5,$B$1)</f>
        <v>0</v>
      </c>
      <c r="BB71" s="55">
        <f>_xll.EQNXTDZ($A$1,$B71,BB$5,$B$1)</f>
        <v>371.9</v>
      </c>
      <c r="BC71" s="55">
        <f>_xll.EQNXTDZ($A$1,$B71,BC$5,$B$1)</f>
        <v>0</v>
      </c>
      <c r="BD71" s="55">
        <f>_xll.EQNXTDZ($A$1,$B71,BD$5,$B$1)</f>
        <v>404.9</v>
      </c>
      <c r="BE71" s="55">
        <f>_xll.EQNXTDZ($A$1,$B71,BE$5,$B$1)</f>
        <v>0</v>
      </c>
      <c r="BF71" s="55">
        <f>_xll.EQNXTDZ($A$1,$B71,BF$5,$B$1)</f>
        <v>409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52.1</v>
      </c>
      <c r="BA74" s="55">
        <f>_xll.EQNXTDZ($A$1,$B74,BA$5,$B$1)</f>
        <v>0</v>
      </c>
      <c r="BB74" s="55">
        <f>_xll.EQNXTDZ($A$1,$B74,BB$5,$B$1)</f>
        <v>55</v>
      </c>
      <c r="BC74" s="55">
        <f>_xll.EQNXTDZ($A$1,$B74,BC$5,$B$1)</f>
        <v>0</v>
      </c>
      <c r="BD74" s="55">
        <f>_xll.EQNXTDZ($A$1,$B74,BD$5,$B$1)</f>
        <v>75.900000000000006</v>
      </c>
      <c r="BE74" s="55">
        <f>_xll.EQNXTDZ($A$1,$B74,BE$5,$B$1)</f>
        <v>0</v>
      </c>
      <c r="BF74" s="55">
        <f>_xll.EQNXTDZ($A$1,$B74,BF$5,$B$1)</f>
        <v>115.7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249.3</v>
      </c>
      <c r="BA79" s="55">
        <f>_xll.EQNXTDZ($A$1,$B79,BA$5,$B$1)</f>
        <v>0</v>
      </c>
      <c r="BB79" s="55">
        <f>_xll.EQNXTDZ($A$1,$B79,BB$5,$B$1)</f>
        <v>243.5</v>
      </c>
      <c r="BC79" s="55">
        <f>_xll.EQNXTDZ($A$1,$B79,BC$5,$B$1)</f>
        <v>0</v>
      </c>
      <c r="BD79" s="55">
        <f>_xll.EQNXTDZ($A$1,$B79,BD$5,$B$1)</f>
        <v>276.3</v>
      </c>
      <c r="BE79" s="55">
        <f>_xll.EQNXTDZ($A$1,$B79,BE$5,$B$1)</f>
        <v>0</v>
      </c>
      <c r="BF79" s="55">
        <f>_xll.EQNXTDZ($A$1,$B79,BF$5,$B$1)</f>
        <v>363.9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773.6</v>
      </c>
      <c r="BA81" s="55">
        <f>_xll.EQNXTDZ($A$1,$B81,BA$5,$B$1)</f>
        <v>0</v>
      </c>
      <c r="BB81" s="55">
        <f>_xll.EQNXTDZ($A$1,$B81,BB$5,$B$1)</f>
        <v>805.1</v>
      </c>
      <c r="BC81" s="55">
        <f>_xll.EQNXTDZ($A$1,$B81,BC$5,$B$1)</f>
        <v>0</v>
      </c>
      <c r="BD81" s="55">
        <f>_xll.EQNXTDZ($A$1,$B81,BD$5,$B$1)</f>
        <v>760.3</v>
      </c>
      <c r="BE81" s="55">
        <f>_xll.EQNXTDZ($A$1,$B81,BE$5,$B$1)</f>
        <v>0</v>
      </c>
      <c r="BF81" s="55">
        <f>_xll.EQNXTDZ($A$1,$B81,BF$5,$B$1)</f>
        <v>986.5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1877.5</v>
      </c>
      <c r="BA82" s="55">
        <f>_xll.EQNXTDZ($A$1,$B82,BA$5,$B$1)</f>
        <v>0</v>
      </c>
      <c r="BB82" s="55">
        <f>_xll.EQNXTDZ($A$1,$B82,BB$5,$B$1)</f>
        <v>1970.1</v>
      </c>
      <c r="BC82" s="55">
        <f>_xll.EQNXTDZ($A$1,$B82,BC$5,$B$1)</f>
        <v>0</v>
      </c>
      <c r="BD82" s="55">
        <f>_xll.EQNXTDZ($A$1,$B82,BD$5,$B$1)</f>
        <v>1920.5</v>
      </c>
      <c r="BE82" s="55">
        <f>_xll.EQNXTDZ($A$1,$B82,BE$5,$B$1)</f>
        <v>0</v>
      </c>
      <c r="BF82" s="55">
        <f>_xll.EQNXTDZ($A$1,$B82,BF$5,$B$1)</f>
        <v>2534.5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66.8</v>
      </c>
      <c r="BC83" s="55">
        <f>_xll.EQNXTDZ($A$1,$B83,BC$5,$B$1)</f>
        <v>0</v>
      </c>
      <c r="BD83" s="55">
        <f>_xll.EQNXTDZ($A$1,$B83,BD$5,$B$1)</f>
        <v>3462</v>
      </c>
      <c r="BE83" s="55">
        <f>_xll.EQNXTDZ($A$1,$B83,BE$5,$B$1)</f>
        <v>0</v>
      </c>
      <c r="BF83" s="55">
        <f>_xll.EQNXTDZ($A$1,$B83,BF$5,$B$1)</f>
        <v>3295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3627.7</v>
      </c>
      <c r="BA84" s="55">
        <f>_xll.EQNXTDZ($A$1,$B84,BA$5,$B$1)</f>
        <v>0</v>
      </c>
      <c r="BB84" s="55">
        <f>_xll.EQNXTDZ($A$1,$B84,BB$5,$B$1)</f>
        <v>4134.1000000000004</v>
      </c>
      <c r="BC84" s="55">
        <f>_xll.EQNXTDZ($A$1,$B84,BC$5,$B$1)</f>
        <v>0</v>
      </c>
      <c r="BD84" s="55">
        <f>_xll.EQNXTDZ($A$1,$B84,BD$5,$B$1)</f>
        <v>2434.8000000000002</v>
      </c>
      <c r="BE84" s="55">
        <f>_xll.EQNXTDZ($A$1,$B84,BE$5,$B$1)</f>
        <v>0</v>
      </c>
      <c r="BF84" s="55">
        <f>_xll.EQNXTDZ($A$1,$B84,BF$5,$B$1)</f>
        <v>2265.4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0.6</v>
      </c>
      <c r="BA85" s="55">
        <f>_xll.EQNXTDZ($A$1,$B85,BA$5,$B$1)</f>
        <v>0</v>
      </c>
      <c r="BB85" s="55">
        <f>_xll.EQNXTDZ($A$1,$B85,BB$5,$B$1)</f>
        <v>1</v>
      </c>
      <c r="BC85" s="55">
        <f>_xll.EQNXTDZ($A$1,$B85,BC$5,$B$1)</f>
        <v>0</v>
      </c>
      <c r="BD85" s="55">
        <f>_xll.EQNXTDZ($A$1,$B85,BD$5,$B$1)</f>
        <v>0.1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6279.4</v>
      </c>
      <c r="BA86" s="55">
        <f>_xll.EQNXTDZ($A$1,$B86,BA$5,$B$1)</f>
        <v>0</v>
      </c>
      <c r="BB86" s="55">
        <f>_xll.EQNXTDZ($A$1,$B86,BB$5,$B$1)</f>
        <v>6977.1</v>
      </c>
      <c r="BC86" s="55">
        <f>_xll.EQNXTDZ($A$1,$B86,BC$5,$B$1)</f>
        <v>0</v>
      </c>
      <c r="BD86" s="55">
        <f>_xll.EQNXTDZ($A$1,$B86,BD$5,$B$1)</f>
        <v>8577.7000000000007</v>
      </c>
      <c r="BE86" s="55">
        <f>_xll.EQNXTDZ($A$1,$B86,BE$5,$B$1)</f>
        <v>0</v>
      </c>
      <c r="BF86" s="55">
        <f>_xll.EQNXTDZ($A$1,$B86,BF$5,$B$1)</f>
        <v>9081.4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1743.8</v>
      </c>
      <c r="BA89" s="55">
        <f>_xll.EQNXTDZ($A$1,$B89,BA$5,$B$1)</f>
        <v>0</v>
      </c>
      <c r="BB89" s="55">
        <f>_xll.EQNXTDZ($A$1,$B89,BB$5,$B$1)</f>
        <v>1660.3</v>
      </c>
      <c r="BC89" s="55">
        <f>_xll.EQNXTDZ($A$1,$B89,BC$5,$B$1)</f>
        <v>0</v>
      </c>
      <c r="BD89" s="55">
        <f>_xll.EQNXTDZ($A$1,$B89,BD$5,$B$1)</f>
        <v>2338.9</v>
      </c>
      <c r="BE89" s="55">
        <f>_xll.EQNXTDZ($A$1,$B89,BE$5,$B$1)</f>
        <v>0</v>
      </c>
      <c r="BF89" s="55">
        <f>_xll.EQNXTDZ($A$1,$B89,BF$5,$B$1)</f>
        <v>2209.6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1114.2</v>
      </c>
      <c r="BA91" s="55">
        <f>_xll.EQNXTDZ($A$1,$B91,BA$5,$B$1)</f>
        <v>0</v>
      </c>
      <c r="BB91" s="55">
        <f>_xll.EQNXTDZ($A$1,$B91,BB$5,$B$1)</f>
        <v>1208.5</v>
      </c>
      <c r="BC91" s="55">
        <f>_xll.EQNXTDZ($A$1,$B91,BC$5,$B$1)</f>
        <v>0</v>
      </c>
      <c r="BD91" s="55">
        <f>_xll.EQNXTDZ($A$1,$B91,BD$5,$B$1)</f>
        <v>1544.7</v>
      </c>
      <c r="BE91" s="55">
        <f>_xll.EQNXTDZ($A$1,$B91,BE$5,$B$1)</f>
        <v>0</v>
      </c>
      <c r="BF91" s="55">
        <f>_xll.EQNXTDZ($A$1,$B91,BF$5,$B$1)</f>
        <v>1680.7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405.5</v>
      </c>
      <c r="BA92" s="55">
        <f>_xll.EQNXTDZ($A$1,$B92,BA$5,$B$1)</f>
        <v>0</v>
      </c>
      <c r="BB92" s="55">
        <f>_xll.EQNXTDZ($A$1,$B92,BB$5,$B$1)</f>
        <v>475.5</v>
      </c>
      <c r="BC92" s="55">
        <f>_xll.EQNXTDZ($A$1,$B92,BC$5,$B$1)</f>
        <v>0</v>
      </c>
      <c r="BD92" s="55">
        <f>_xll.EQNXTDZ($A$1,$B92,BD$5,$B$1)</f>
        <v>475.5</v>
      </c>
      <c r="BE92" s="55">
        <f>_xll.EQNXTDZ($A$1,$B92,BE$5,$B$1)</f>
        <v>0</v>
      </c>
      <c r="BF92" s="55">
        <f>_xll.EQNXTDZ($A$1,$B92,BF$5,$B$1)</f>
        <v>509.8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3263.5</v>
      </c>
      <c r="BA93" s="55">
        <f>_xll.EQNXTDZ($A$1,$B93,BA$5,$B$1)</f>
        <v>0</v>
      </c>
      <c r="BB93" s="55">
        <f>_xll.EQNXTDZ($A$1,$B93,BB$5,$B$1)</f>
        <v>3344.3</v>
      </c>
      <c r="BC93" s="55">
        <f>_xll.EQNXTDZ($A$1,$B93,BC$5,$B$1)</f>
        <v>0</v>
      </c>
      <c r="BD93" s="55">
        <f>_xll.EQNXTDZ($A$1,$B93,BD$5,$B$1)</f>
        <v>4359.1000000000004</v>
      </c>
      <c r="BE93" s="55">
        <f>_xll.EQNXTDZ($A$1,$B93,BE$5,$B$1)</f>
        <v>0</v>
      </c>
      <c r="BF93" s="55">
        <f>_xll.EQNXTDZ($A$1,$B93,BF$5,$B$1)</f>
        <v>4400.1000000000004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3015.9</v>
      </c>
      <c r="BA94" s="55">
        <f>_xll.EQNXTDZ($A$1,$B94,BA$5,$B$1)</f>
        <v>0</v>
      </c>
      <c r="BB94" s="55">
        <f>_xll.EQNXTDZ($A$1,$B94,BB$5,$B$1)</f>
        <v>3632.8</v>
      </c>
      <c r="BC94" s="55">
        <f>_xll.EQNXTDZ($A$1,$B94,BC$5,$B$1)</f>
        <v>0</v>
      </c>
      <c r="BD94" s="55">
        <f>_xll.EQNXTDZ($A$1,$B94,BD$5,$B$1)</f>
        <v>4218.6000000000004</v>
      </c>
      <c r="BE94" s="55">
        <f>_xll.EQNXTDZ($A$1,$B94,BE$5,$B$1)</f>
        <v>0</v>
      </c>
      <c r="BF94" s="55">
        <f>_xll.EQNXTDZ($A$1,$B94,BF$5,$B$1)</f>
        <v>4681.3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159.69999999999999</v>
      </c>
      <c r="BA96" s="55">
        <f>_xll.EQNXTDZ($A$1,$B96,BA$5,$B$1)</f>
        <v>0</v>
      </c>
      <c r="BB96" s="55">
        <f>_xll.EQNXTDZ($A$1,$B96,BB$5,$B$1)</f>
        <v>167.4</v>
      </c>
      <c r="BC96" s="55">
        <f>_xll.EQNXTDZ($A$1,$B96,BC$5,$B$1)</f>
        <v>0</v>
      </c>
      <c r="BD96" s="55">
        <f>_xll.EQNXTDZ($A$1,$B96,BD$5,$B$1)</f>
        <v>210.4</v>
      </c>
      <c r="BE96" s="55">
        <f>_xll.EQNXTDZ($A$1,$B96,BE$5,$B$1)</f>
        <v>0</v>
      </c>
      <c r="BF96" s="55">
        <f>_xll.EQNXTDZ($A$1,$B96,BF$5,$B$1)</f>
        <v>247.6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3784.2</v>
      </c>
      <c r="BA97" s="55">
        <f>_xll.EQNXTDZ($A$1,$B97,BA$5,$B$1)</f>
        <v>0</v>
      </c>
      <c r="BB97" s="55">
        <f>_xll.EQNXTDZ($A$1,$B97,BB$5,$B$1)</f>
        <v>4470.6000000000004</v>
      </c>
      <c r="BC97" s="55">
        <f>_xll.EQNXTDZ($A$1,$B97,BC$5,$B$1)</f>
        <v>0</v>
      </c>
      <c r="BD97" s="55">
        <f>_xll.EQNXTDZ($A$1,$B97,BD$5,$B$1)</f>
        <v>5186.1000000000004</v>
      </c>
      <c r="BE97" s="55">
        <f>_xll.EQNXTDZ($A$1,$B97,BE$5,$B$1)</f>
        <v>0</v>
      </c>
      <c r="BF97" s="55">
        <f>_xll.EQNXTDZ($A$1,$B97,BF$5,$B$1)</f>
        <v>5817.5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Y5" sqref="Y5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320028</v>
      </c>
      <c r="B1" t="s">
        <v>222</v>
      </c>
      <c r="C1">
        <v>200109</v>
      </c>
      <c r="D1">
        <v>200209</v>
      </c>
      <c r="E1">
        <v>200909</v>
      </c>
      <c r="F1">
        <v>200409</v>
      </c>
      <c r="G1">
        <v>200509</v>
      </c>
      <c r="H1">
        <v>200609</v>
      </c>
      <c r="I1">
        <v>200709</v>
      </c>
      <c r="J1">
        <v>200809</v>
      </c>
      <c r="K1">
        <v>200909</v>
      </c>
      <c r="L1">
        <v>201009</v>
      </c>
      <c r="M1">
        <v>201109</v>
      </c>
      <c r="N1">
        <v>201209</v>
      </c>
      <c r="O1">
        <v>201309</v>
      </c>
      <c r="P1">
        <v>201409</v>
      </c>
      <c r="Q1">
        <v>201509</v>
      </c>
      <c r="R1">
        <v>201609</v>
      </c>
      <c r="S1">
        <v>201709</v>
      </c>
      <c r="T1">
        <v>201809</v>
      </c>
      <c r="U1">
        <v>201909</v>
      </c>
      <c r="V1">
        <v>202009</v>
      </c>
      <c r="W1">
        <v>202109</v>
      </c>
      <c r="X1">
        <v>202209</v>
      </c>
      <c r="Y1">
        <v>202309</v>
      </c>
      <c r="Z1">
        <v>202409</v>
      </c>
      <c r="AA1">
        <v>202509</v>
      </c>
      <c r="AB1">
        <v>202609</v>
      </c>
      <c r="AC1">
        <v>202709</v>
      </c>
      <c r="AD1">
        <v>202809</v>
      </c>
      <c r="AE1">
        <v>202909</v>
      </c>
      <c r="AF1">
        <v>209009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Siemens Energy India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202409</v>
      </c>
      <c r="AA5">
        <f>_xll.EQNXTDZ($A$1,$B5,AA$1,$B$1)</f>
        <v>202509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4759.6000000000004</v>
      </c>
      <c r="AA6" s="100">
        <f>_xll.EQNXTDZ($A$1,$B6,AA$1,$B$1)</f>
        <v>7826.7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4759.6000000000004</v>
      </c>
      <c r="AA10" s="100">
        <f>_xll.EQNXTDZ($A$1,$B10,AA$1,$B$1)</f>
        <v>7826.7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-105.1</v>
      </c>
      <c r="AA11" s="100">
        <f>_xll.EQNXTDZ($A$1,$B11,AA$1,$B$1)</f>
        <v>49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1304.3</v>
      </c>
      <c r="AA12" s="100">
        <f>_xll.EQNXTDZ($A$1,$B12,AA$1,$B$1)</f>
        <v>2131.8000000000002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8.3000000000000007</v>
      </c>
      <c r="AA13" s="100">
        <f>_xll.EQNXTDZ($A$1,$B13,AA$1,$B$1)</f>
        <v>22.1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542.79999999999995</v>
      </c>
      <c r="AA14" s="100">
        <f>_xll.EQNXTDZ($A$1,$B14,AA$1,$B$1)</f>
        <v>985.4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1742.8</v>
      </c>
      <c r="AA15" s="100">
        <f>_xll.EQNXTDZ($A$1,$B15,AA$1,$B$1)</f>
        <v>2416.3000000000002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280.5</v>
      </c>
      <c r="AA17" s="100">
        <f>_xll.EQNXTDZ($A$1,$B17,AA$1,$B$1)</f>
        <v>538.1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59.7</v>
      </c>
      <c r="AA18" s="100">
        <f>_xll.EQNXTDZ($A$1,$B18,AA$1,$B$1)</f>
        <v>111.5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</v>
      </c>
      <c r="Z19" s="100">
        <f>_xll.EQNXTDZ($A$1,$B19,Z$1,$B$1)</f>
        <v>70.8</v>
      </c>
      <c r="AA19" s="100">
        <f>_xll.EQNXTDZ($A$1,$B19,AA$1,$B$1)</f>
        <v>82.5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3904.1</v>
      </c>
      <c r="AA21" s="100">
        <f>_xll.EQNXTDZ($A$1,$B21,AA$1,$B$1)</f>
        <v>6336.7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855.5</v>
      </c>
      <c r="AA22" s="100">
        <f>_xll.EQNXTDZ($A$1,$B22,AA$1,$B$1)</f>
        <v>1490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21.6</v>
      </c>
      <c r="AA23" s="100">
        <f>_xll.EQNXTDZ($A$1,$B23,AA$1,$B$1)</f>
        <v>139.69999999999999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877.1</v>
      </c>
      <c r="AA24" s="100">
        <f>_xll.EQNXTDZ($A$1,$B24,AA$1,$B$1)</f>
        <v>1629.7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24.9</v>
      </c>
      <c r="AA25" s="100">
        <f>_xll.EQNXTDZ($A$1,$B25,AA$1,$B$1)</f>
        <v>39.200000000000003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852.2</v>
      </c>
      <c r="AA26" s="100">
        <f>_xll.EQNXTDZ($A$1,$B26,AA$1,$B$1)</f>
        <v>1590.5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46</v>
      </c>
      <c r="AA27" s="100">
        <f>_xll.EQNXTDZ($A$1,$B27,AA$1,$B$1)</f>
        <v>103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206.2</v>
      </c>
      <c r="AA30" s="100">
        <f>_xll.EQNXTDZ($A$1,$B30,AA$1,$B$1)</f>
        <v>387.4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600</v>
      </c>
      <c r="AA35" s="100">
        <f>_xll.EQNXTDZ($A$1,$B35,AA$1,$B$1)</f>
        <v>1100.0999999999999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202409</v>
      </c>
      <c r="AA40">
        <f>_xll.EQNXTDZ($A$1,$B40,AA$1,$B$1)</f>
        <v>202509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71.2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71.2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3145.6</v>
      </c>
      <c r="AA43" s="55">
        <f>_xll.EQNXTDZ($A$1,$B43,AA$1,$B$1)</f>
        <v>4310.1000000000004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3216.8</v>
      </c>
      <c r="AA44" s="55">
        <f>_xll.EQNXTDZ($A$1,$B44,AA$1,$B$1)</f>
        <v>4381.3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-159.69999999999999</v>
      </c>
      <c r="AA49" s="55">
        <f>_xll.EQNXTDZ($A$1,$B49,AA$1,$B$1)</f>
        <v>-210.4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118.6</v>
      </c>
      <c r="AA50" s="55">
        <f>_xll.EQNXTDZ($A$1,$B50,AA$1,$B$1)</f>
        <v>382.6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3.6</v>
      </c>
      <c r="AA51" s="55">
        <f>_xll.EQNXTDZ($A$1,$B51,AA$1,$B$1)</f>
        <v>0.1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445.2</v>
      </c>
      <c r="AA52" s="55">
        <f>_xll.EQNXTDZ($A$1,$B52,AA$1,$B$1)</f>
        <v>422.1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407.7</v>
      </c>
      <c r="AA53" s="55">
        <f>_xll.EQNXTDZ($A$1,$B53,AA$1,$B$1)</f>
        <v>594.4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1743.8</v>
      </c>
      <c r="AA54" s="55">
        <f>_xll.EQNXTDZ($A$1,$B54,AA$1,$B$1)</f>
        <v>2338.9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1114.2</v>
      </c>
      <c r="AA55" s="55">
        <f>_xll.EQNXTDZ($A$1,$B55,AA$1,$B$1)</f>
        <v>1507.9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405.5</v>
      </c>
      <c r="AA57" s="55">
        <f>_xll.EQNXTDZ($A$1,$B57,AA$1,$B$1)</f>
        <v>740.3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3263.5</v>
      </c>
      <c r="AA59" s="55">
        <f>_xll.EQNXTDZ($A$1,$B59,AA$1,$B$1)</f>
        <v>4587.1000000000004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6888</v>
      </c>
      <c r="AA60" s="55">
        <f>_xll.EQNXTDZ($A$1,$B60,AA$1,$B$1)</f>
        <v>9562.7999999999993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916.1</v>
      </c>
      <c r="AA62" s="55">
        <f>_xll.EQNXTDZ($A$1,$B62,AA$1,$B$1)</f>
        <v>1118.8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486.8</v>
      </c>
      <c r="AA63" s="55">
        <f>_xll.EQNXTDZ($A$1,$B63,AA$1,$B$1)</f>
        <v>582.70000000000005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429.3</v>
      </c>
      <c r="AA65" s="55">
        <f>_xll.EQNXTDZ($A$1,$B65,AA$1,$B$1)</f>
        <v>536.1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52.1</v>
      </c>
      <c r="AA67" s="55">
        <f>_xll.EQNXTDZ($A$1,$B67,AA$1,$B$1)</f>
        <v>75.900000000000006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123.9</v>
      </c>
      <c r="AA72" s="55">
        <f>_xll.EQNXTDZ($A$1,$B72,AA$1,$B$1)</f>
        <v>140.9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3.3</v>
      </c>
      <c r="AA73" s="55">
        <f>_xll.EQNXTDZ($A$1,$B73,AA$1,$B$1)</f>
        <v>4.2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608.6</v>
      </c>
      <c r="AA74" s="55">
        <f>_xll.EQNXTDZ($A$1,$B74,AA$1,$B$1)</f>
        <v>757.1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773.6</v>
      </c>
      <c r="AA76" s="55">
        <f>_xll.EQNXTDZ($A$1,$B76,AA$1,$B$1)</f>
        <v>760.3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1877.5</v>
      </c>
      <c r="AA77" s="55">
        <f>_xll.EQNXTDZ($A$1,$B77,AA$1,$B$1)</f>
        <v>1920.5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3462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2312.3000000000002</v>
      </c>
      <c r="AA79" s="55">
        <f>_xll.EQNXTDZ($A$1,$B79,AA$1,$B$1)</f>
        <v>375.7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1316</v>
      </c>
      <c r="AA80" s="55">
        <f>_xll.EQNXTDZ($A$1,$B80,AA$1,$B$1)</f>
        <v>2287.1999999999998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6279.4</v>
      </c>
      <c r="AA82" s="55">
        <f>_xll.EQNXTDZ($A$1,$B82,AA$1,$B$1)</f>
        <v>8805.7000000000007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6888</v>
      </c>
      <c r="AA84" s="55">
        <f>_xll.EQNXTDZ($A$1,$B84,AA$1,$B$1)</f>
        <v>9562.7999999999993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0.7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0.7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71.2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2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3430.35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3624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2529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122120.46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4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202509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75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320028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2840</v>
      </c>
      <c r="FD6" cm="1">
        <f t="array" ref="FD6">_xll.EQNXTDZ($A$1,$B6,FD$1)</f>
        <v>3000</v>
      </c>
      <c r="FE6" cm="1">
        <f t="array" ref="FE6">_xll.EQNXTDZ($A$1,$B6,FE$1)</f>
        <v>3232</v>
      </c>
      <c r="FF6" cm="1">
        <f t="array" ref="FF6">_xll.EQNXTDZ($A$1,$B6,FF$1)</f>
        <v>3375</v>
      </c>
      <c r="FG6" cm="1">
        <f t="array" ref="FG6">_xll.EQNXTDZ($A$1,$B6,FG$1)</f>
        <v>3430</v>
      </c>
      <c r="FH6" cm="1">
        <f t="array" ref="FH6">_xll.EQNXTDZ($A$1,$B6,FH$1)</f>
        <v>3198.7</v>
      </c>
      <c r="FI6" cm="1">
        <f t="array" ref="FI6">_xll.EQNXTDZ($A$1,$B6,FI$1)</f>
        <v>3170</v>
      </c>
      <c r="FJ6" cm="1">
        <f t="array" ref="FJ6">_xll.EQNXTDZ($A$1,$B6,FJ$1)</f>
        <v>2561.1</v>
      </c>
      <c r="FK6" cm="1">
        <f t="array" ref="FK6">_xll.EQNXTDZ($A$1,$B6,FK$1)</f>
        <v>2494</v>
      </c>
      <c r="FL6" cm="1">
        <f t="array" ref="FL6">_xll.EQNXTDZ($A$1,$B6,FL$1)</f>
        <v>2840</v>
      </c>
      <c r="FM6" cm="1">
        <f t="array" ref="FM6">_xll.EQNXTDZ($A$1,$B6,FM$1)</f>
        <v>2640</v>
      </c>
      <c r="FN6" cm="1">
        <f t="array" ref="FN6">_xll.EQNXTDZ($A$1,$B6,FN$1)</f>
        <v>3310</v>
      </c>
      <c r="FO6" cm="1">
        <f t="array" ref="FO6">_xll.EQNXTDZ($A$1,$B6,FO$1)</f>
        <v>3900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2994</v>
      </c>
      <c r="FD7" s="116" cm="1">
        <f t="array" ref="FD7">_xll.EQNXTDZ($A$1,$B7,FD$1)</f>
        <v>3277.1</v>
      </c>
      <c r="FE7" s="116" cm="1">
        <f t="array" ref="FE7">_xll.EQNXTDZ($A$1,$B7,FE$1)</f>
        <v>3439.9</v>
      </c>
      <c r="FF7" s="116" cm="1">
        <f t="array" ref="FF7">_xll.EQNXTDZ($A$1,$B7,FF$1)</f>
        <v>3625</v>
      </c>
      <c r="FG7" s="116" cm="1">
        <f t="array" ref="FG7">_xll.EQNXTDZ($A$1,$B7,FG$1)</f>
        <v>3446.9</v>
      </c>
      <c r="FH7" s="116" cm="1">
        <f t="array" ref="FH7">_xll.EQNXTDZ($A$1,$B7,FH$1)</f>
        <v>3392</v>
      </c>
      <c r="FI7" s="116" cm="1">
        <f t="array" ref="FI7">_xll.EQNXTDZ($A$1,$B7,FI$1)</f>
        <v>3214</v>
      </c>
      <c r="FJ7" s="116" cm="1">
        <f t="array" ref="FJ7">_xll.EQNXTDZ($A$1,$B7,FJ$1)</f>
        <v>2641.2</v>
      </c>
      <c r="FK7" s="116" cm="1">
        <f t="array" ref="FK7">_xll.EQNXTDZ($A$1,$B7,FK$1)</f>
        <v>3020.6</v>
      </c>
      <c r="FL7" s="116" cm="1">
        <f t="array" ref="FL7">_xll.EQNXTDZ($A$1,$B7,FL$1)</f>
        <v>3015</v>
      </c>
      <c r="FM7" s="116" cm="1">
        <f t="array" ref="FM7">_xll.EQNXTDZ($A$1,$B7,FM$1)</f>
        <v>3368</v>
      </c>
      <c r="FN7" s="116" cm="1">
        <f t="array" ref="FN7">_xll.EQNXTDZ($A$1,$B7,FN$1)</f>
        <v>3968</v>
      </c>
      <c r="FO7" s="116" cm="1">
        <f t="array" ref="FO7">_xll.EQNXTDZ($A$1,$B7,FO$1)</f>
        <v>3932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2994</v>
      </c>
      <c r="JP7" s="116">
        <f>MAX(FD7:FF7)</f>
        <v>3625</v>
      </c>
      <c r="JQ7" s="116">
        <f>MAX(FG7:FI7)</f>
        <v>3446.9</v>
      </c>
      <c r="JR7" s="116">
        <f>MAX(FJ7:FL7)</f>
        <v>3020.6</v>
      </c>
      <c r="JS7" s="116">
        <f>MAX(FM7:FO7)</f>
        <v>3968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2508.8000000000002</v>
      </c>
      <c r="FD8" s="116" cm="1">
        <f t="array" ref="FD8">_xll.EQNXTDZ($A$1,$B8,FD$1)</f>
        <v>2876.7</v>
      </c>
      <c r="FE8" s="116" cm="1">
        <f t="array" ref="FE8">_xll.EQNXTDZ($A$1,$B8,FE$1)</f>
        <v>3040.8</v>
      </c>
      <c r="FF8" s="116" cm="1">
        <f t="array" ref="FF8">_xll.EQNXTDZ($A$1,$B8,FF$1)</f>
        <v>3335</v>
      </c>
      <c r="FG8" s="116" cm="1">
        <f t="array" ref="FG8">_xll.EQNXTDZ($A$1,$B8,FG$1)</f>
        <v>3044.5</v>
      </c>
      <c r="FH8" s="116" cm="1">
        <f t="array" ref="FH8">_xll.EQNXTDZ($A$1,$B8,FH$1)</f>
        <v>3022.1</v>
      </c>
      <c r="FI8" s="116" cm="1">
        <f t="array" ref="FI8">_xll.EQNXTDZ($A$1,$B8,FI$1)</f>
        <v>2540.1</v>
      </c>
      <c r="FJ8" s="116" cm="1">
        <f t="array" ref="FJ8">_xll.EQNXTDZ($A$1,$B8,FJ$1)</f>
        <v>2115</v>
      </c>
      <c r="FK8" s="116" cm="1">
        <f t="array" ref="FK8">_xll.EQNXTDZ($A$1,$B8,FK$1)</f>
        <v>2360</v>
      </c>
      <c r="FL8" s="116" cm="1">
        <f t="array" ref="FL8">_xll.EQNXTDZ($A$1,$B8,FL$1)</f>
        <v>2551.1999999999998</v>
      </c>
      <c r="FM8" s="116" cm="1">
        <f t="array" ref="FM8">_xll.EQNXTDZ($A$1,$B8,FM$1)</f>
        <v>2521.6999999999998</v>
      </c>
      <c r="FN8" s="116" cm="1">
        <f t="array" ref="FN8">_xll.EQNXTDZ($A$1,$B8,FN$1)</f>
        <v>3013.6</v>
      </c>
      <c r="FO8" s="116" cm="1">
        <f t="array" ref="FO8">_xll.EQNXTDZ($A$1,$B8,FO$1)</f>
        <v>3373.7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2876.7</v>
      </c>
      <c r="JQ8" s="116">
        <f>MIN(FG8:FI8)</f>
        <v>2540.1</v>
      </c>
      <c r="JR8" s="116">
        <f>MIN(FJ8:FL8)</f>
        <v>2115</v>
      </c>
      <c r="JS8" s="116">
        <f>MIN(FM8:FO8)</f>
        <v>2521.6999999999998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2975.9</v>
      </c>
      <c r="FD9" s="116" cm="1">
        <f t="array" ref="FD9">_xll.EQNXTDZ($A$1,$B9,FD$1)</f>
        <v>3237.9</v>
      </c>
      <c r="FE9" s="116" cm="1">
        <f t="array" ref="FE9">_xll.EQNXTDZ($A$1,$B9,FE$1)</f>
        <v>3374.9</v>
      </c>
      <c r="FF9" s="116" cm="1">
        <f t="array" ref="FF9">_xll.EQNXTDZ($A$1,$B9,FF$1)</f>
        <v>3432.8</v>
      </c>
      <c r="FG9" s="116" cm="1">
        <f t="array" ref="FG9">_xll.EQNXTDZ($A$1,$B9,FG$1)</f>
        <v>3185.6</v>
      </c>
      <c r="FH9" s="116" cm="1">
        <f t="array" ref="FH9">_xll.EQNXTDZ($A$1,$B9,FH$1)</f>
        <v>3159.6</v>
      </c>
      <c r="FI9" s="116" cm="1">
        <f t="array" ref="FI9">_xll.EQNXTDZ($A$1,$B9,FI$1)</f>
        <v>2560.1</v>
      </c>
      <c r="FJ9" s="116" cm="1">
        <f t="array" ref="FJ9">_xll.EQNXTDZ($A$1,$B9,FJ$1)</f>
        <v>2487.1999999999998</v>
      </c>
      <c r="FK9" s="116" cm="1">
        <f t="array" ref="FK9">_xll.EQNXTDZ($A$1,$B9,FK$1)</f>
        <v>2930.9</v>
      </c>
      <c r="FL9" s="116" cm="1">
        <f t="array" ref="FL9">_xll.EQNXTDZ($A$1,$B9,FL$1)</f>
        <v>2565.5</v>
      </c>
      <c r="FM9" s="116" cm="1">
        <f t="array" ref="FM9">_xll.EQNXTDZ($A$1,$B9,FM$1)</f>
        <v>3278.8</v>
      </c>
      <c r="FN9" s="116" cm="1">
        <f t="array" ref="FN9">_xll.EQNXTDZ($A$1,$B9,FN$1)</f>
        <v>3872.1</v>
      </c>
      <c r="FO9" s="116" cm="1">
        <f t="array" ref="FO9">_xll.EQNXTDZ($A$1,$B9,FO$1)</f>
        <v>3608.9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2975.9</v>
      </c>
      <c r="JP9" s="116">
        <f>FF9</f>
        <v>3432.8</v>
      </c>
      <c r="JQ9" s="116">
        <f>FI9</f>
        <v>2560.1</v>
      </c>
      <c r="JR9" s="116">
        <f>FL9</f>
        <v>2565.5</v>
      </c>
      <c r="JS9" s="116">
        <f>FO9</f>
        <v>3608.9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2850</v>
      </c>
      <c r="FD13" cm="1">
        <f t="array" ref="FD13">_xll.EQNXTDZ($A$1,$B13,FD$1)</f>
        <v>2999</v>
      </c>
      <c r="FE13" cm="1">
        <f t="array" ref="FE13">_xll.EQNXTDZ($A$1,$B13,FE$1)</f>
        <v>3220.15</v>
      </c>
      <c r="FF13" cm="1">
        <f t="array" ref="FF13">_xll.EQNXTDZ($A$1,$B13,FF$1)</f>
        <v>3375.1</v>
      </c>
      <c r="FG13" cm="1">
        <f t="array" ref="FG13">_xll.EQNXTDZ($A$1,$B13,FG$1)</f>
        <v>3429</v>
      </c>
      <c r="FH13" cm="1">
        <f t="array" ref="FH13">_xll.EQNXTDZ($A$1,$B13,FH$1)</f>
        <v>3180.85</v>
      </c>
      <c r="FI13" cm="1">
        <f t="array" ref="FI13">_xll.EQNXTDZ($A$1,$B13,FI$1)</f>
        <v>3188.95</v>
      </c>
      <c r="FJ13" cm="1">
        <f t="array" ref="FJ13">_xll.EQNXTDZ($A$1,$B13,FJ$1)</f>
        <v>2560.8000000000002</v>
      </c>
      <c r="FK13" cm="1">
        <f t="array" ref="FK13">_xll.EQNXTDZ($A$1,$B13,FK$1)</f>
        <v>2491.4</v>
      </c>
      <c r="FL13" cm="1">
        <f t="array" ref="FL13">_xll.EQNXTDZ($A$1,$B13,FL$1)</f>
        <v>2805.15</v>
      </c>
      <c r="FM13" cm="1">
        <f t="array" ref="FM13">_xll.EQNXTDZ($A$1,$B13,FM$1)</f>
        <v>2620.15</v>
      </c>
      <c r="FN13" cm="1">
        <f t="array" ref="FN13">_xll.EQNXTDZ($A$1,$B13,FN$1)</f>
        <v>3301.6</v>
      </c>
      <c r="FO13" cm="1">
        <f t="array" ref="FO13">_xll.EQNXTDZ($A$1,$B13,FO$1)</f>
        <v>3934.2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2998</v>
      </c>
      <c r="FD14" s="116" cm="1">
        <f t="array" ref="FD14">_xll.EQNXTDZ($A$1,$B14,FD$1)</f>
        <v>3276</v>
      </c>
      <c r="FE14" s="116" cm="1">
        <f t="array" ref="FE14">_xll.EQNXTDZ($A$1,$B14,FE$1)</f>
        <v>3435</v>
      </c>
      <c r="FF14" s="116" cm="1">
        <f t="array" ref="FF14">_xll.EQNXTDZ($A$1,$B14,FF$1)</f>
        <v>3624</v>
      </c>
      <c r="FG14" s="116" cm="1">
        <f t="array" ref="FG14">_xll.EQNXTDZ($A$1,$B14,FG$1)</f>
        <v>3447.35</v>
      </c>
      <c r="FH14" s="116" cm="1">
        <f t="array" ref="FH14">_xll.EQNXTDZ($A$1,$B14,FH$1)</f>
        <v>3390.85</v>
      </c>
      <c r="FI14" s="116" cm="1">
        <f t="array" ref="FI14">_xll.EQNXTDZ($A$1,$B14,FI$1)</f>
        <v>3209.55</v>
      </c>
      <c r="FJ14" s="116" cm="1">
        <f t="array" ref="FJ14">_xll.EQNXTDZ($A$1,$B14,FJ$1)</f>
        <v>2641.95</v>
      </c>
      <c r="FK14" s="116" cm="1">
        <f t="array" ref="FK14">_xll.EQNXTDZ($A$1,$B14,FK$1)</f>
        <v>3021.45</v>
      </c>
      <c r="FL14" s="116" cm="1">
        <f t="array" ref="FL14">_xll.EQNXTDZ($A$1,$B14,FL$1)</f>
        <v>3012.25</v>
      </c>
      <c r="FM14" s="116" cm="1">
        <f t="array" ref="FM14">_xll.EQNXTDZ($A$1,$B14,FM$1)</f>
        <v>3366.8</v>
      </c>
      <c r="FN14" s="116" cm="1">
        <f t="array" ref="FN14">_xll.EQNXTDZ($A$1,$B14,FN$1)</f>
        <v>3966.8</v>
      </c>
      <c r="FO14" s="116" cm="1">
        <f t="array" ref="FO14">_xll.EQNXTDZ($A$1,$B14,FO$1)</f>
        <v>3934.2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2998</v>
      </c>
      <c r="JP14" s="116">
        <f>MAX(FD14:FF14)</f>
        <v>3624</v>
      </c>
      <c r="JQ14" s="116">
        <f>MAX(FG14:FI14)</f>
        <v>3447.35</v>
      </c>
      <c r="JR14" s="116">
        <f>MAX(FJ14:FL14)</f>
        <v>3021.45</v>
      </c>
      <c r="JS14" s="116">
        <f>MAX(FM14:FO14)</f>
        <v>3966.8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2529</v>
      </c>
      <c r="FD15" s="116" cm="1">
        <f t="array" ref="FD15">_xll.EQNXTDZ($A$1,$B15,FD$1)</f>
        <v>2875</v>
      </c>
      <c r="FE15" s="116" cm="1">
        <f t="array" ref="FE15">_xll.EQNXTDZ($A$1,$B15,FE$1)</f>
        <v>3040.1</v>
      </c>
      <c r="FF15" s="116" cm="1">
        <f t="array" ref="FF15">_xll.EQNXTDZ($A$1,$B15,FF$1)</f>
        <v>3338.3</v>
      </c>
      <c r="FG15" s="116" cm="1">
        <f t="array" ref="FG15">_xll.EQNXTDZ($A$1,$B15,FG$1)</f>
        <v>3042.25</v>
      </c>
      <c r="FH15" s="116" cm="1">
        <f t="array" ref="FH15">_xll.EQNXTDZ($A$1,$B15,FH$1)</f>
        <v>3023</v>
      </c>
      <c r="FI15" s="116" cm="1">
        <f t="array" ref="FI15">_xll.EQNXTDZ($A$1,$B15,FI$1)</f>
        <v>2535.8000000000002</v>
      </c>
      <c r="FJ15" s="116" cm="1">
        <f t="array" ref="FJ15">_xll.EQNXTDZ($A$1,$B15,FJ$1)</f>
        <v>2105.15</v>
      </c>
      <c r="FK15" s="116" cm="1">
        <f t="array" ref="FK15">_xll.EQNXTDZ($A$1,$B15,FK$1)</f>
        <v>2365.0500000000002</v>
      </c>
      <c r="FL15" s="116" cm="1">
        <f t="array" ref="FL15">_xll.EQNXTDZ($A$1,$B15,FL$1)</f>
        <v>2551</v>
      </c>
      <c r="FM15" s="116" cm="1">
        <f t="array" ref="FM15">_xll.EQNXTDZ($A$1,$B15,FM$1)</f>
        <v>2523</v>
      </c>
      <c r="FN15" s="116" cm="1">
        <f t="array" ref="FN15">_xll.EQNXTDZ($A$1,$B15,FN$1)</f>
        <v>3015</v>
      </c>
      <c r="FO15" s="116" cm="1">
        <f t="array" ref="FO15">_xll.EQNXTDZ($A$1,$B15,FO$1)</f>
        <v>3375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2875</v>
      </c>
      <c r="JQ15" s="116">
        <f>MIN(FG15:FI15)</f>
        <v>2535.8000000000002</v>
      </c>
      <c r="JR15" s="116">
        <f>MIN(FJ15:FL15)</f>
        <v>2105.15</v>
      </c>
      <c r="JS15" s="116">
        <f>MIN(FM15:FO15)</f>
        <v>2523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2982</v>
      </c>
      <c r="FD16" s="116" cm="1">
        <f t="array" ref="FD16">_xll.EQNXTDZ($A$1,$B16,FD$1)</f>
        <v>3237.55</v>
      </c>
      <c r="FE16" s="116" cm="1">
        <f t="array" ref="FE16">_xll.EQNXTDZ($A$1,$B16,FE$1)</f>
        <v>3375.1</v>
      </c>
      <c r="FF16" s="116" cm="1">
        <f t="array" ref="FF16">_xll.EQNXTDZ($A$1,$B16,FF$1)</f>
        <v>3430.35</v>
      </c>
      <c r="FG16" s="116" cm="1">
        <f t="array" ref="FG16">_xll.EQNXTDZ($A$1,$B16,FG$1)</f>
        <v>3185.05</v>
      </c>
      <c r="FH16" s="116" cm="1">
        <f t="array" ref="FH16">_xll.EQNXTDZ($A$1,$B16,FH$1)</f>
        <v>3159.45</v>
      </c>
      <c r="FI16" s="116" cm="1">
        <f t="array" ref="FI16">_xll.EQNXTDZ($A$1,$B16,FI$1)</f>
        <v>2560.8000000000002</v>
      </c>
      <c r="FJ16" s="116" cm="1">
        <f t="array" ref="FJ16">_xll.EQNXTDZ($A$1,$B16,FJ$1)</f>
        <v>2491.3000000000002</v>
      </c>
      <c r="FK16" s="116" cm="1">
        <f t="array" ref="FK16">_xll.EQNXTDZ($A$1,$B16,FK$1)</f>
        <v>2930.55</v>
      </c>
      <c r="FL16" s="116" cm="1">
        <f t="array" ref="FL16">_xll.EQNXTDZ($A$1,$B16,FL$1)</f>
        <v>2569.65</v>
      </c>
      <c r="FM16" s="116" cm="1">
        <f t="array" ref="FM16">_xll.EQNXTDZ($A$1,$B16,FM$1)</f>
        <v>3282.3</v>
      </c>
      <c r="FN16" s="116" cm="1">
        <f t="array" ref="FN16">_xll.EQNXTDZ($A$1,$B16,FN$1)</f>
        <v>3866.95</v>
      </c>
      <c r="FO16" s="116" cm="1">
        <f t="array" ref="FO16">_xll.EQNXTDZ($A$1,$B16,FO$1)</f>
        <v>3606.65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2982</v>
      </c>
      <c r="JP16" s="116">
        <f>FF16</f>
        <v>3430.35</v>
      </c>
      <c r="JQ16" s="116">
        <f>FI16</f>
        <v>2560.8000000000002</v>
      </c>
      <c r="JR16" s="116">
        <f>FL16</f>
        <v>2569.65</v>
      </c>
      <c r="JS16" s="116">
        <f>FO16</f>
        <v>3606.65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2998</v>
      </c>
      <c r="JP19" s="116">
        <f t="shared" ref="JP19" si="6">+IF(JP14=0,JP7,JP14)</f>
        <v>3624</v>
      </c>
      <c r="JQ19" s="116">
        <f t="shared" ref="JQ19:KH19" si="7">+IF(JQ14=0,JQ7,JQ14)</f>
        <v>3447.35</v>
      </c>
      <c r="JR19" s="116">
        <f t="shared" si="7"/>
        <v>3021.45</v>
      </c>
      <c r="JS19" s="116">
        <f t="shared" si="7"/>
        <v>3966.8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2875</v>
      </c>
      <c r="JQ20" s="116">
        <f t="shared" ref="JQ20:KH20" si="13">+IF(JQ15=0,JQ8,JQ15)</f>
        <v>2535.8000000000002</v>
      </c>
      <c r="JR20" s="116">
        <f t="shared" si="13"/>
        <v>2105.15</v>
      </c>
      <c r="JS20" s="116">
        <f t="shared" si="13"/>
        <v>2523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2982</v>
      </c>
      <c r="JP21" s="116">
        <f t="shared" ref="JP21" si="17">+IF(JP16=0,JP9,JP16)</f>
        <v>3430.35</v>
      </c>
      <c r="JQ21" s="116">
        <f t="shared" ref="JQ21:KH21" si="18">+IF(JQ16=0,JQ9,JQ16)</f>
        <v>2560.8000000000002</v>
      </c>
      <c r="JR21" s="116">
        <f t="shared" si="18"/>
        <v>2569.65</v>
      </c>
      <c r="JS21" s="116">
        <f t="shared" si="18"/>
        <v>3606.65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320028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320028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45827</v>
      </c>
      <c r="B4" s="116">
        <v>2992.45</v>
      </c>
      <c r="C4" s="116">
        <v>2738.35</v>
      </c>
      <c r="D4" s="116">
        <v>2707.5</v>
      </c>
      <c r="E4" s="116">
        <v>2850</v>
      </c>
      <c r="F4" s="116">
        <v>2738.35</v>
      </c>
      <c r="G4">
        <v>175923</v>
      </c>
      <c r="H4" s="116"/>
      <c r="I4" s="116"/>
      <c r="L4" s="169">
        <v>45827</v>
      </c>
      <c r="M4" s="116">
        <v>2735</v>
      </c>
      <c r="N4" s="116">
        <v>2982</v>
      </c>
      <c r="O4" s="116">
        <v>2698</v>
      </c>
      <c r="P4" s="116">
        <v>2840</v>
      </c>
      <c r="Q4" s="116">
        <v>2735</v>
      </c>
      <c r="R4">
        <v>4080416</v>
      </c>
    </row>
    <row r="5" spans="1:18" x14ac:dyDescent="0.25">
      <c r="A5" s="169">
        <v>45828</v>
      </c>
      <c r="B5" s="116">
        <v>2856</v>
      </c>
      <c r="C5" s="116">
        <v>2666.2</v>
      </c>
      <c r="D5" s="116">
        <v>2602.4</v>
      </c>
      <c r="E5" s="116">
        <v>2620</v>
      </c>
      <c r="F5" s="116">
        <v>2666.2</v>
      </c>
      <c r="G5">
        <v>66338</v>
      </c>
      <c r="H5" s="116"/>
      <c r="I5" s="116"/>
      <c r="L5" s="169">
        <v>45828</v>
      </c>
      <c r="M5" s="116">
        <v>2640.8</v>
      </c>
      <c r="N5" s="116">
        <v>2869</v>
      </c>
      <c r="O5" s="116">
        <v>2610</v>
      </c>
      <c r="P5" s="116">
        <v>2635</v>
      </c>
      <c r="Q5" s="116">
        <v>2640.8</v>
      </c>
      <c r="R5">
        <v>10030400</v>
      </c>
    </row>
    <row r="6" spans="1:18" x14ac:dyDescent="0.25">
      <c r="A6" s="169">
        <v>45831</v>
      </c>
      <c r="B6" s="116">
        <v>2720</v>
      </c>
      <c r="C6" s="116">
        <v>2623.8</v>
      </c>
      <c r="D6" s="116">
        <v>2532.9</v>
      </c>
      <c r="E6" s="116">
        <v>2534</v>
      </c>
      <c r="F6" s="116">
        <v>2623.8</v>
      </c>
      <c r="G6">
        <v>64424</v>
      </c>
      <c r="H6" s="116"/>
      <c r="I6" s="116"/>
      <c r="L6" s="169">
        <v>45831</v>
      </c>
      <c r="M6" s="116">
        <v>2615.8000000000002</v>
      </c>
      <c r="N6" s="116">
        <v>2721</v>
      </c>
      <c r="O6" s="116">
        <v>2508.8000000000002</v>
      </c>
      <c r="P6" s="116">
        <v>2508.8000000000002</v>
      </c>
      <c r="Q6" s="116">
        <v>2615.8000000000002</v>
      </c>
      <c r="R6">
        <v>3288612</v>
      </c>
    </row>
    <row r="7" spans="1:18" x14ac:dyDescent="0.25">
      <c r="A7" s="169">
        <v>45832</v>
      </c>
      <c r="B7" s="116">
        <v>2725</v>
      </c>
      <c r="C7" s="116">
        <v>2699.65</v>
      </c>
      <c r="D7" s="116">
        <v>2529</v>
      </c>
      <c r="E7" s="116">
        <v>2615</v>
      </c>
      <c r="F7" s="116">
        <v>2699.65</v>
      </c>
      <c r="G7">
        <v>42963</v>
      </c>
      <c r="H7" s="116"/>
      <c r="I7" s="116"/>
      <c r="L7" s="169">
        <v>45832</v>
      </c>
      <c r="M7" s="116">
        <v>2706.4</v>
      </c>
      <c r="N7" s="116">
        <v>2744</v>
      </c>
      <c r="O7" s="116">
        <v>2526.1999999999998</v>
      </c>
      <c r="P7" s="116">
        <v>2611</v>
      </c>
      <c r="Q7" s="116">
        <v>2706.4</v>
      </c>
      <c r="R7">
        <v>2439573</v>
      </c>
    </row>
    <row r="8" spans="1:18" x14ac:dyDescent="0.25">
      <c r="A8" s="169">
        <v>45833</v>
      </c>
      <c r="B8" s="116">
        <v>2824</v>
      </c>
      <c r="C8" s="116">
        <v>2800.15</v>
      </c>
      <c r="D8" s="116">
        <v>2641</v>
      </c>
      <c r="E8" s="116">
        <v>2688</v>
      </c>
      <c r="F8" s="116">
        <v>2800.15</v>
      </c>
      <c r="G8">
        <v>30088</v>
      </c>
      <c r="H8" s="116"/>
      <c r="I8" s="116"/>
      <c r="L8" s="169">
        <v>45833</v>
      </c>
      <c r="M8" s="116">
        <v>2802.1</v>
      </c>
      <c r="N8" s="116">
        <v>2835.9</v>
      </c>
      <c r="O8" s="116">
        <v>2670</v>
      </c>
      <c r="P8" s="116">
        <v>2670</v>
      </c>
      <c r="Q8" s="116">
        <v>2802.1</v>
      </c>
      <c r="R8">
        <v>1348714</v>
      </c>
    </row>
    <row r="9" spans="1:18" x14ac:dyDescent="0.25">
      <c r="A9" s="169">
        <v>45834</v>
      </c>
      <c r="B9" s="116">
        <v>2891</v>
      </c>
      <c r="C9" s="116">
        <v>2834.8</v>
      </c>
      <c r="D9" s="116">
        <v>2750</v>
      </c>
      <c r="E9" s="116">
        <v>2780</v>
      </c>
      <c r="F9" s="116">
        <v>2834.8</v>
      </c>
      <c r="G9">
        <v>22783</v>
      </c>
      <c r="H9" s="116"/>
      <c r="I9" s="116"/>
      <c r="L9" s="169">
        <v>45834</v>
      </c>
      <c r="M9" s="116">
        <v>2827.6</v>
      </c>
      <c r="N9" s="116">
        <v>2889</v>
      </c>
      <c r="O9" s="116">
        <v>2753</v>
      </c>
      <c r="P9" s="116">
        <v>2753</v>
      </c>
      <c r="Q9" s="116">
        <v>2827.6</v>
      </c>
      <c r="R9">
        <v>3328114</v>
      </c>
    </row>
    <row r="10" spans="1:18" x14ac:dyDescent="0.25">
      <c r="A10" s="169">
        <v>45835</v>
      </c>
      <c r="B10" s="116">
        <v>2927</v>
      </c>
      <c r="C10" s="116">
        <v>2901.5</v>
      </c>
      <c r="D10" s="116">
        <v>2825</v>
      </c>
      <c r="E10" s="116">
        <v>2890</v>
      </c>
      <c r="F10" s="116">
        <v>2901.5</v>
      </c>
      <c r="G10">
        <v>44845</v>
      </c>
      <c r="H10" s="116"/>
      <c r="I10" s="116"/>
      <c r="L10" s="169">
        <v>45835</v>
      </c>
      <c r="M10" s="116">
        <v>2901.2</v>
      </c>
      <c r="N10" s="116">
        <v>2934</v>
      </c>
      <c r="O10" s="116">
        <v>2840</v>
      </c>
      <c r="P10" s="116">
        <v>2860</v>
      </c>
      <c r="Q10" s="116">
        <v>2901.2</v>
      </c>
      <c r="R10">
        <v>663663</v>
      </c>
    </row>
    <row r="11" spans="1:18" x14ac:dyDescent="0.25">
      <c r="A11" s="169">
        <v>45838</v>
      </c>
      <c r="B11" s="116">
        <v>2998</v>
      </c>
      <c r="C11" s="116">
        <v>2982</v>
      </c>
      <c r="D11" s="116">
        <v>2860</v>
      </c>
      <c r="E11" s="116">
        <v>2925</v>
      </c>
      <c r="F11" s="116">
        <v>2982</v>
      </c>
      <c r="G11">
        <v>23577</v>
      </c>
      <c r="H11" s="116"/>
      <c r="I11" s="116"/>
      <c r="L11" s="169">
        <v>45838</v>
      </c>
      <c r="M11" s="116">
        <v>2975.9</v>
      </c>
      <c r="N11" s="116">
        <v>2994</v>
      </c>
      <c r="O11" s="116">
        <v>2892.2</v>
      </c>
      <c r="P11" s="116">
        <v>2924.9</v>
      </c>
      <c r="Q11" s="116">
        <v>2975.9</v>
      </c>
      <c r="R11">
        <v>601274</v>
      </c>
    </row>
    <row r="12" spans="1:18" x14ac:dyDescent="0.25">
      <c r="A12" s="169">
        <v>45839</v>
      </c>
      <c r="B12" s="116">
        <v>3020</v>
      </c>
      <c r="C12" s="116">
        <v>2950.25</v>
      </c>
      <c r="D12" s="116">
        <v>2900.05</v>
      </c>
      <c r="E12" s="116">
        <v>2999</v>
      </c>
      <c r="F12" s="116">
        <v>2950.25</v>
      </c>
      <c r="G12">
        <v>36297</v>
      </c>
      <c r="H12" s="116"/>
      <c r="I12" s="116"/>
      <c r="L12" s="169">
        <v>45839</v>
      </c>
      <c r="M12" s="116">
        <v>2971.5</v>
      </c>
      <c r="N12" s="116">
        <v>3024</v>
      </c>
      <c r="O12" s="116">
        <v>2916</v>
      </c>
      <c r="P12" s="116">
        <v>3000</v>
      </c>
      <c r="Q12" s="116">
        <v>2971.5</v>
      </c>
      <c r="R12">
        <v>536577</v>
      </c>
    </row>
    <row r="13" spans="1:18" x14ac:dyDescent="0.25">
      <c r="A13" s="169">
        <v>45840</v>
      </c>
      <c r="B13" s="116">
        <v>2987</v>
      </c>
      <c r="C13" s="116">
        <v>2946.65</v>
      </c>
      <c r="D13" s="116">
        <v>2876.6</v>
      </c>
      <c r="E13" s="116">
        <v>2950</v>
      </c>
      <c r="F13" s="116">
        <v>2946.65</v>
      </c>
      <c r="G13">
        <v>50519</v>
      </c>
      <c r="H13" s="116"/>
      <c r="I13" s="116"/>
      <c r="L13" s="169">
        <v>45840</v>
      </c>
      <c r="M13" s="116">
        <v>2951.1</v>
      </c>
      <c r="N13" s="116">
        <v>2971.5</v>
      </c>
      <c r="O13" s="116">
        <v>2876.7</v>
      </c>
      <c r="P13" s="116">
        <v>2960</v>
      </c>
      <c r="Q13" s="116">
        <v>2951.1</v>
      </c>
      <c r="R13">
        <v>568584</v>
      </c>
    </row>
    <row r="14" spans="1:18" x14ac:dyDescent="0.25">
      <c r="A14" s="169">
        <v>45841</v>
      </c>
      <c r="B14" s="116">
        <v>2970.1</v>
      </c>
      <c r="C14" s="116">
        <v>2922.45</v>
      </c>
      <c r="D14" s="116">
        <v>2886</v>
      </c>
      <c r="E14" s="116">
        <v>2949.7</v>
      </c>
      <c r="F14" s="116">
        <v>2922.45</v>
      </c>
      <c r="G14">
        <v>23766</v>
      </c>
      <c r="H14" s="116"/>
      <c r="I14" s="116"/>
      <c r="L14" s="169">
        <v>45841</v>
      </c>
      <c r="M14" s="116">
        <v>2922.3</v>
      </c>
      <c r="N14" s="116">
        <v>2971.7</v>
      </c>
      <c r="O14" s="116">
        <v>2881</v>
      </c>
      <c r="P14" s="116">
        <v>2948</v>
      </c>
      <c r="Q14" s="116">
        <v>2922.3</v>
      </c>
      <c r="R14">
        <v>650654</v>
      </c>
    </row>
    <row r="15" spans="1:18" x14ac:dyDescent="0.25">
      <c r="A15" s="169">
        <v>45842</v>
      </c>
      <c r="B15" s="116">
        <v>2977.4</v>
      </c>
      <c r="C15" s="116">
        <v>2891.85</v>
      </c>
      <c r="D15" s="116">
        <v>2875</v>
      </c>
      <c r="E15" s="116">
        <v>2948.95</v>
      </c>
      <c r="F15" s="116">
        <v>2891.85</v>
      </c>
      <c r="G15">
        <v>34729</v>
      </c>
      <c r="H15" s="116"/>
      <c r="I15" s="116"/>
      <c r="L15" s="169">
        <v>45842</v>
      </c>
      <c r="M15" s="116">
        <v>2894</v>
      </c>
      <c r="N15" s="116">
        <v>2978.8</v>
      </c>
      <c r="O15" s="116">
        <v>2880</v>
      </c>
      <c r="P15" s="116">
        <v>2935</v>
      </c>
      <c r="Q15" s="116">
        <v>2894</v>
      </c>
      <c r="R15">
        <v>654426</v>
      </c>
    </row>
    <row r="16" spans="1:18" x14ac:dyDescent="0.25">
      <c r="A16" s="169">
        <v>45845</v>
      </c>
      <c r="B16" s="116">
        <v>3070</v>
      </c>
      <c r="C16" s="116">
        <v>3000.05</v>
      </c>
      <c r="D16" s="116">
        <v>2900</v>
      </c>
      <c r="E16" s="116">
        <v>2900.45</v>
      </c>
      <c r="F16" s="116">
        <v>3000.05</v>
      </c>
      <c r="G16">
        <v>63742</v>
      </c>
      <c r="H16" s="116"/>
      <c r="I16" s="116"/>
      <c r="L16" s="169">
        <v>45845</v>
      </c>
      <c r="M16" s="116">
        <v>3000.1</v>
      </c>
      <c r="N16" s="116">
        <v>3068.7</v>
      </c>
      <c r="O16" s="116">
        <v>2892.3</v>
      </c>
      <c r="P16" s="116">
        <v>2908</v>
      </c>
      <c r="Q16" s="116">
        <v>3000.1</v>
      </c>
      <c r="R16">
        <v>1958335</v>
      </c>
    </row>
    <row r="17" spans="1:18" x14ac:dyDescent="0.25">
      <c r="A17" s="169">
        <v>45846</v>
      </c>
      <c r="B17" s="116">
        <v>3105.95</v>
      </c>
      <c r="C17" s="116">
        <v>3042.8</v>
      </c>
      <c r="D17" s="116">
        <v>3014.3</v>
      </c>
      <c r="E17" s="116">
        <v>3035</v>
      </c>
      <c r="F17" s="116">
        <v>3042.8</v>
      </c>
      <c r="G17">
        <v>50301</v>
      </c>
      <c r="H17" s="116"/>
      <c r="I17" s="116"/>
      <c r="L17" s="169">
        <v>45846</v>
      </c>
      <c r="M17" s="116">
        <v>3046.9</v>
      </c>
      <c r="N17" s="116">
        <v>3106.5</v>
      </c>
      <c r="O17" s="116">
        <v>3022.1</v>
      </c>
      <c r="P17" s="116">
        <v>3030</v>
      </c>
      <c r="Q17" s="116">
        <v>3046.9</v>
      </c>
      <c r="R17">
        <v>1519432</v>
      </c>
    </row>
    <row r="18" spans="1:18" x14ac:dyDescent="0.25">
      <c r="A18" s="169">
        <v>45847</v>
      </c>
      <c r="B18" s="116">
        <v>3159.9</v>
      </c>
      <c r="C18" s="116">
        <v>3127.75</v>
      </c>
      <c r="D18" s="116">
        <v>3058.4</v>
      </c>
      <c r="E18" s="116">
        <v>3073.75</v>
      </c>
      <c r="F18" s="116">
        <v>3127.75</v>
      </c>
      <c r="G18">
        <v>33736</v>
      </c>
      <c r="H18" s="116"/>
      <c r="I18" s="116"/>
      <c r="L18" s="169">
        <v>45847</v>
      </c>
      <c r="M18" s="116">
        <v>3126.5</v>
      </c>
      <c r="N18" s="116">
        <v>3160</v>
      </c>
      <c r="O18" s="116">
        <v>3055.6</v>
      </c>
      <c r="P18" s="116">
        <v>3068.7</v>
      </c>
      <c r="Q18" s="116">
        <v>3126.5</v>
      </c>
      <c r="R18">
        <v>1519442</v>
      </c>
    </row>
    <row r="19" spans="1:18" x14ac:dyDescent="0.25">
      <c r="A19" s="169">
        <v>45848</v>
      </c>
      <c r="B19" s="116">
        <v>3235.2</v>
      </c>
      <c r="C19" s="116">
        <v>3142.3</v>
      </c>
      <c r="D19" s="116">
        <v>3103.6</v>
      </c>
      <c r="E19" s="116">
        <v>3132.05</v>
      </c>
      <c r="F19" s="116">
        <v>3142.3</v>
      </c>
      <c r="G19">
        <v>68057</v>
      </c>
      <c r="H19" s="116"/>
      <c r="I19" s="116"/>
      <c r="L19" s="169">
        <v>45848</v>
      </c>
      <c r="M19" s="116">
        <v>3140.3</v>
      </c>
      <c r="N19" s="116">
        <v>3230</v>
      </c>
      <c r="O19" s="116">
        <v>3099.8</v>
      </c>
      <c r="P19" s="116">
        <v>3145</v>
      </c>
      <c r="Q19" s="116">
        <v>3140.3</v>
      </c>
      <c r="R19">
        <v>821004</v>
      </c>
    </row>
    <row r="20" spans="1:18" x14ac:dyDescent="0.25">
      <c r="A20" s="169">
        <v>45849</v>
      </c>
      <c r="B20" s="116">
        <v>3197.55</v>
      </c>
      <c r="C20" s="116">
        <v>3176.15</v>
      </c>
      <c r="D20" s="116">
        <v>3099.25</v>
      </c>
      <c r="E20" s="116">
        <v>3156.15</v>
      </c>
      <c r="F20" s="116">
        <v>3176.15</v>
      </c>
      <c r="G20">
        <v>66343</v>
      </c>
      <c r="H20" s="116"/>
      <c r="I20" s="116"/>
      <c r="L20" s="169">
        <v>45849</v>
      </c>
      <c r="M20" s="116">
        <v>3176.7</v>
      </c>
      <c r="N20" s="116">
        <v>3197</v>
      </c>
      <c r="O20" s="116">
        <v>3099</v>
      </c>
      <c r="P20" s="116">
        <v>3144.7</v>
      </c>
      <c r="Q20" s="116">
        <v>3176.7</v>
      </c>
      <c r="R20">
        <v>1046411</v>
      </c>
    </row>
    <row r="21" spans="1:18" x14ac:dyDescent="0.25">
      <c r="A21" s="169">
        <v>45852</v>
      </c>
      <c r="B21" s="116">
        <v>3185.95</v>
      </c>
      <c r="C21" s="116">
        <v>3078.6</v>
      </c>
      <c r="D21" s="116">
        <v>3043.05</v>
      </c>
      <c r="E21" s="116">
        <v>3176.7</v>
      </c>
      <c r="F21" s="116">
        <v>3078.6</v>
      </c>
      <c r="G21">
        <v>45410</v>
      </c>
      <c r="H21" s="116"/>
      <c r="I21" s="116"/>
      <c r="L21" s="169">
        <v>45852</v>
      </c>
      <c r="M21" s="116">
        <v>3076.1</v>
      </c>
      <c r="N21" s="116">
        <v>3183</v>
      </c>
      <c r="O21" s="116">
        <v>3043.5</v>
      </c>
      <c r="P21" s="116">
        <v>3176.7</v>
      </c>
      <c r="Q21" s="116">
        <v>3076.1</v>
      </c>
      <c r="R21">
        <v>894477</v>
      </c>
    </row>
    <row r="22" spans="1:18" x14ac:dyDescent="0.25">
      <c r="A22" s="169">
        <v>45853</v>
      </c>
      <c r="B22" s="116">
        <v>3073.7</v>
      </c>
      <c r="C22" s="116">
        <v>3052.8</v>
      </c>
      <c r="D22" s="116">
        <v>2966.15</v>
      </c>
      <c r="E22" s="116">
        <v>3050.15</v>
      </c>
      <c r="F22" s="116">
        <v>3052.8</v>
      </c>
      <c r="G22">
        <v>64966</v>
      </c>
      <c r="H22" s="116"/>
      <c r="I22" s="116"/>
      <c r="L22" s="169">
        <v>45853</v>
      </c>
      <c r="M22" s="116">
        <v>3053.7</v>
      </c>
      <c r="N22" s="116">
        <v>3073.1</v>
      </c>
      <c r="O22" s="116">
        <v>2966.1</v>
      </c>
      <c r="P22" s="116">
        <v>3072</v>
      </c>
      <c r="Q22" s="116">
        <v>3053.7</v>
      </c>
      <c r="R22">
        <v>884299</v>
      </c>
    </row>
    <row r="23" spans="1:18" x14ac:dyDescent="0.25">
      <c r="A23" s="169">
        <v>45854</v>
      </c>
      <c r="B23" s="116">
        <v>3130</v>
      </c>
      <c r="C23" s="116">
        <v>3107</v>
      </c>
      <c r="D23" s="116">
        <v>3005.15</v>
      </c>
      <c r="E23" s="116">
        <v>3058.25</v>
      </c>
      <c r="F23" s="116">
        <v>3107</v>
      </c>
      <c r="G23">
        <v>22380</v>
      </c>
      <c r="H23" s="116"/>
      <c r="I23" s="116"/>
      <c r="L23" s="169">
        <v>45854</v>
      </c>
      <c r="M23" s="116">
        <v>3086.3</v>
      </c>
      <c r="N23" s="116">
        <v>3130</v>
      </c>
      <c r="O23" s="116">
        <v>3005</v>
      </c>
      <c r="P23" s="116">
        <v>3051.9</v>
      </c>
      <c r="Q23" s="116">
        <v>3086.3</v>
      </c>
      <c r="R23">
        <v>767166</v>
      </c>
    </row>
    <row r="24" spans="1:18" x14ac:dyDescent="0.25">
      <c r="A24" s="169">
        <v>45855</v>
      </c>
      <c r="B24" s="116">
        <v>3182.4</v>
      </c>
      <c r="C24" s="116">
        <v>3053.35</v>
      </c>
      <c r="D24" s="116">
        <v>3030.25</v>
      </c>
      <c r="E24" s="116">
        <v>3125.15</v>
      </c>
      <c r="F24" s="116">
        <v>3053.35</v>
      </c>
      <c r="G24">
        <v>63153</v>
      </c>
      <c r="H24" s="116"/>
      <c r="I24" s="116"/>
      <c r="L24" s="169">
        <v>45855</v>
      </c>
      <c r="M24" s="116">
        <v>3054.2</v>
      </c>
      <c r="N24" s="116">
        <v>3184</v>
      </c>
      <c r="O24" s="116">
        <v>3030.4</v>
      </c>
      <c r="P24" s="116">
        <v>3130</v>
      </c>
      <c r="Q24" s="116">
        <v>3054.2</v>
      </c>
      <c r="R24">
        <v>758679</v>
      </c>
    </row>
    <row r="25" spans="1:18" x14ac:dyDescent="0.25">
      <c r="A25" s="169">
        <v>45856</v>
      </c>
      <c r="B25" s="116">
        <v>3080.5</v>
      </c>
      <c r="C25" s="116">
        <v>3036.4</v>
      </c>
      <c r="D25" s="116">
        <v>2990</v>
      </c>
      <c r="E25" s="116">
        <v>3070.95</v>
      </c>
      <c r="F25" s="116">
        <v>3036.4</v>
      </c>
      <c r="G25">
        <v>21645</v>
      </c>
      <c r="H25" s="116"/>
      <c r="I25" s="116"/>
      <c r="L25" s="169">
        <v>45856</v>
      </c>
      <c r="M25" s="116">
        <v>3037.5</v>
      </c>
      <c r="N25" s="116">
        <v>3082.8</v>
      </c>
      <c r="O25" s="116">
        <v>2990</v>
      </c>
      <c r="P25" s="116">
        <v>3060.4</v>
      </c>
      <c r="Q25" s="116">
        <v>3037.5</v>
      </c>
      <c r="R25">
        <v>505495</v>
      </c>
    </row>
    <row r="26" spans="1:18" x14ac:dyDescent="0.25">
      <c r="A26" s="169">
        <v>45859</v>
      </c>
      <c r="B26" s="116">
        <v>3085</v>
      </c>
      <c r="C26" s="116">
        <v>3056.8</v>
      </c>
      <c r="D26" s="116">
        <v>2999</v>
      </c>
      <c r="E26" s="116">
        <v>3044.75</v>
      </c>
      <c r="F26" s="116">
        <v>3056.8</v>
      </c>
      <c r="G26">
        <v>16701</v>
      </c>
      <c r="H26" s="116"/>
      <c r="I26" s="116"/>
      <c r="L26" s="169">
        <v>45859</v>
      </c>
      <c r="M26" s="116">
        <v>3057.9</v>
      </c>
      <c r="N26" s="116">
        <v>3088</v>
      </c>
      <c r="O26" s="116">
        <v>2995.6</v>
      </c>
      <c r="P26" s="116">
        <v>3034</v>
      </c>
      <c r="Q26" s="116">
        <v>3057.9</v>
      </c>
      <c r="R26">
        <v>364458</v>
      </c>
    </row>
    <row r="27" spans="1:18" x14ac:dyDescent="0.25">
      <c r="A27" s="169">
        <v>45860</v>
      </c>
      <c r="B27" s="116">
        <v>3130.95</v>
      </c>
      <c r="C27" s="116">
        <v>3048</v>
      </c>
      <c r="D27" s="116">
        <v>3031.2</v>
      </c>
      <c r="E27" s="116">
        <v>3057.35</v>
      </c>
      <c r="F27" s="116">
        <v>3048</v>
      </c>
      <c r="G27">
        <v>18281</v>
      </c>
      <c r="H27" s="116"/>
      <c r="I27" s="116"/>
      <c r="L27" s="169">
        <v>45860</v>
      </c>
      <c r="M27" s="116">
        <v>3042.4</v>
      </c>
      <c r="N27" s="116">
        <v>3131.9</v>
      </c>
      <c r="O27" s="116">
        <v>3030</v>
      </c>
      <c r="P27" s="116">
        <v>3064</v>
      </c>
      <c r="Q27" s="116">
        <v>3042.4</v>
      </c>
      <c r="R27">
        <v>401792</v>
      </c>
    </row>
    <row r="28" spans="1:18" x14ac:dyDescent="0.25">
      <c r="A28" s="169">
        <v>45861</v>
      </c>
      <c r="B28" s="116">
        <v>3075</v>
      </c>
      <c r="C28" s="116">
        <v>2999.1</v>
      </c>
      <c r="D28" s="116">
        <v>2976.15</v>
      </c>
      <c r="E28" s="116">
        <v>3036.95</v>
      </c>
      <c r="F28" s="116">
        <v>2999.1</v>
      </c>
      <c r="G28">
        <v>47433</v>
      </c>
      <c r="H28" s="116"/>
      <c r="I28" s="116"/>
      <c r="L28" s="169">
        <v>45861</v>
      </c>
      <c r="M28" s="116">
        <v>3010.6</v>
      </c>
      <c r="N28" s="116">
        <v>3074.1</v>
      </c>
      <c r="O28" s="116">
        <v>2976</v>
      </c>
      <c r="P28" s="116">
        <v>3045</v>
      </c>
      <c r="Q28" s="116">
        <v>3010.6</v>
      </c>
      <c r="R28">
        <v>461601</v>
      </c>
    </row>
    <row r="29" spans="1:18" x14ac:dyDescent="0.25">
      <c r="A29" s="169">
        <v>45862</v>
      </c>
      <c r="B29" s="116">
        <v>3029.9</v>
      </c>
      <c r="C29" s="116">
        <v>3005.25</v>
      </c>
      <c r="D29" s="116">
        <v>2981</v>
      </c>
      <c r="E29" s="116">
        <v>3014.3</v>
      </c>
      <c r="F29" s="116">
        <v>3005.25</v>
      </c>
      <c r="G29">
        <v>38975</v>
      </c>
      <c r="H29" s="116"/>
      <c r="I29" s="116"/>
      <c r="L29" s="169">
        <v>45862</v>
      </c>
      <c r="M29" s="116">
        <v>3005.3</v>
      </c>
      <c r="N29" s="116">
        <v>3030</v>
      </c>
      <c r="O29" s="116">
        <v>2980</v>
      </c>
      <c r="P29" s="116">
        <v>3012</v>
      </c>
      <c r="Q29" s="116">
        <v>3005.3</v>
      </c>
      <c r="R29">
        <v>485288</v>
      </c>
    </row>
    <row r="30" spans="1:18" x14ac:dyDescent="0.25">
      <c r="A30" s="169">
        <v>45863</v>
      </c>
      <c r="B30" s="116">
        <v>3014.05</v>
      </c>
      <c r="C30" s="116">
        <v>2981.8</v>
      </c>
      <c r="D30" s="116">
        <v>2956.4</v>
      </c>
      <c r="E30" s="116">
        <v>3014.05</v>
      </c>
      <c r="F30" s="116">
        <v>2981.8</v>
      </c>
      <c r="G30">
        <v>11309</v>
      </c>
      <c r="H30" s="116"/>
      <c r="I30" s="116"/>
      <c r="L30" s="169">
        <v>45863</v>
      </c>
      <c r="M30" s="116">
        <v>2977.5</v>
      </c>
      <c r="N30" s="116">
        <v>3015.5</v>
      </c>
      <c r="O30" s="116">
        <v>2958</v>
      </c>
      <c r="P30" s="116">
        <v>3003</v>
      </c>
      <c r="Q30" s="116">
        <v>2977.5</v>
      </c>
      <c r="R30">
        <v>343613</v>
      </c>
    </row>
    <row r="31" spans="1:18" x14ac:dyDescent="0.25">
      <c r="A31" s="169">
        <v>45866</v>
      </c>
      <c r="B31" s="116">
        <v>3068.15</v>
      </c>
      <c r="C31" s="116">
        <v>3006.7</v>
      </c>
      <c r="D31" s="116">
        <v>2930</v>
      </c>
      <c r="E31" s="116">
        <v>3000.8</v>
      </c>
      <c r="F31" s="116">
        <v>3006.7</v>
      </c>
      <c r="G31">
        <v>52471</v>
      </c>
      <c r="H31" s="116"/>
      <c r="I31" s="116"/>
      <c r="L31" s="169">
        <v>45866</v>
      </c>
      <c r="M31" s="116">
        <v>3017.2</v>
      </c>
      <c r="N31" s="116">
        <v>3050</v>
      </c>
      <c r="O31" s="116">
        <v>2930</v>
      </c>
      <c r="P31" s="116">
        <v>2976.8</v>
      </c>
      <c r="Q31" s="116">
        <v>3017.2</v>
      </c>
      <c r="R31">
        <v>753781</v>
      </c>
    </row>
    <row r="32" spans="1:18" x14ac:dyDescent="0.25">
      <c r="A32" s="169">
        <v>45867</v>
      </c>
      <c r="B32" s="116">
        <v>3045.8</v>
      </c>
      <c r="C32" s="116">
        <v>3035.9</v>
      </c>
      <c r="D32" s="116">
        <v>2962.3</v>
      </c>
      <c r="E32" s="116">
        <v>2984.05</v>
      </c>
      <c r="F32" s="116">
        <v>3035.9</v>
      </c>
      <c r="G32">
        <v>39235</v>
      </c>
      <c r="H32" s="116"/>
      <c r="I32" s="116"/>
      <c r="L32" s="169">
        <v>45867</v>
      </c>
      <c r="M32" s="116">
        <v>3034.5</v>
      </c>
      <c r="N32" s="116">
        <v>3045</v>
      </c>
      <c r="O32" s="116">
        <v>2962</v>
      </c>
      <c r="P32" s="116">
        <v>2991</v>
      </c>
      <c r="Q32" s="116">
        <v>3034.5</v>
      </c>
      <c r="R32">
        <v>623985</v>
      </c>
    </row>
    <row r="33" spans="1:18" x14ac:dyDescent="0.25">
      <c r="A33" s="169">
        <v>45868</v>
      </c>
      <c r="B33" s="116">
        <v>3273.55</v>
      </c>
      <c r="C33" s="116">
        <v>3227.05</v>
      </c>
      <c r="D33" s="116">
        <v>3025.55</v>
      </c>
      <c r="E33" s="116">
        <v>3025.55</v>
      </c>
      <c r="F33" s="116">
        <v>3227.05</v>
      </c>
      <c r="G33">
        <v>101816</v>
      </c>
      <c r="H33" s="116"/>
      <c r="I33" s="116"/>
      <c r="L33" s="169">
        <v>45868</v>
      </c>
      <c r="M33" s="116">
        <v>3226.9</v>
      </c>
      <c r="N33" s="116">
        <v>3275</v>
      </c>
      <c r="O33" s="116">
        <v>3036.9</v>
      </c>
      <c r="P33" s="116">
        <v>3036.9</v>
      </c>
      <c r="Q33" s="116">
        <v>3226.9</v>
      </c>
      <c r="R33">
        <v>1303514</v>
      </c>
    </row>
    <row r="34" spans="1:18" x14ac:dyDescent="0.25">
      <c r="A34" s="169">
        <v>45869</v>
      </c>
      <c r="B34" s="116">
        <v>3276</v>
      </c>
      <c r="C34" s="116">
        <v>3237.55</v>
      </c>
      <c r="D34" s="116">
        <v>3163.3</v>
      </c>
      <c r="E34" s="116">
        <v>3168.5</v>
      </c>
      <c r="F34" s="116">
        <v>3237.55</v>
      </c>
      <c r="G34">
        <v>46361</v>
      </c>
      <c r="H34" s="116"/>
      <c r="I34" s="116"/>
      <c r="L34" s="169">
        <v>45869</v>
      </c>
      <c r="M34" s="116">
        <v>3237.9</v>
      </c>
      <c r="N34" s="116">
        <v>3277.1</v>
      </c>
      <c r="O34" s="116">
        <v>3180</v>
      </c>
      <c r="P34" s="116">
        <v>3193</v>
      </c>
      <c r="Q34" s="116">
        <v>3237.9</v>
      </c>
      <c r="R34">
        <v>566282</v>
      </c>
    </row>
    <row r="35" spans="1:18" x14ac:dyDescent="0.25">
      <c r="A35" s="169">
        <v>45870</v>
      </c>
      <c r="B35" s="116">
        <v>3250</v>
      </c>
      <c r="C35" s="116">
        <v>3167.8</v>
      </c>
      <c r="D35" s="116">
        <v>3143</v>
      </c>
      <c r="E35" s="116">
        <v>3220.15</v>
      </c>
      <c r="F35" s="116">
        <v>3167.8</v>
      </c>
      <c r="G35">
        <v>30267</v>
      </c>
      <c r="H35" s="116"/>
      <c r="I35" s="116"/>
      <c r="L35" s="169">
        <v>45870</v>
      </c>
      <c r="M35" s="116">
        <v>3168.8</v>
      </c>
      <c r="N35" s="116">
        <v>3247.9</v>
      </c>
      <c r="O35" s="116">
        <v>3145</v>
      </c>
      <c r="P35" s="116">
        <v>3232</v>
      </c>
      <c r="Q35" s="116">
        <v>3168.8</v>
      </c>
      <c r="R35">
        <v>439298</v>
      </c>
    </row>
    <row r="36" spans="1:18" x14ac:dyDescent="0.25">
      <c r="A36" s="169">
        <v>45873</v>
      </c>
      <c r="B36" s="116">
        <v>3250</v>
      </c>
      <c r="C36" s="116">
        <v>3237.4</v>
      </c>
      <c r="D36" s="116">
        <v>3118.3</v>
      </c>
      <c r="E36" s="116">
        <v>3141.35</v>
      </c>
      <c r="F36" s="116">
        <v>3237.4</v>
      </c>
      <c r="G36">
        <v>29970</v>
      </c>
      <c r="H36" s="116"/>
      <c r="I36" s="116"/>
      <c r="L36" s="169">
        <v>45873</v>
      </c>
      <c r="M36" s="116">
        <v>3233.6</v>
      </c>
      <c r="N36" s="116">
        <v>3249.8</v>
      </c>
      <c r="O36" s="116">
        <v>3116.6</v>
      </c>
      <c r="P36" s="116">
        <v>3170</v>
      </c>
      <c r="Q36" s="116">
        <v>3233.6</v>
      </c>
      <c r="R36">
        <v>861099</v>
      </c>
    </row>
    <row r="37" spans="1:18" x14ac:dyDescent="0.25">
      <c r="A37" s="169">
        <v>45874</v>
      </c>
      <c r="B37" s="116">
        <v>3407.95</v>
      </c>
      <c r="C37" s="116">
        <v>3258.7</v>
      </c>
      <c r="D37" s="116">
        <v>3241</v>
      </c>
      <c r="E37" s="116">
        <v>3355</v>
      </c>
      <c r="F37" s="116">
        <v>3258.7</v>
      </c>
      <c r="G37">
        <v>122638</v>
      </c>
      <c r="H37" s="116"/>
      <c r="I37" s="116"/>
      <c r="L37" s="169">
        <v>45874</v>
      </c>
      <c r="M37" s="116">
        <v>3259.9</v>
      </c>
      <c r="N37" s="116">
        <v>3419</v>
      </c>
      <c r="O37" s="116">
        <v>3240.1</v>
      </c>
      <c r="P37" s="116">
        <v>3370</v>
      </c>
      <c r="Q37" s="116">
        <v>3259.9</v>
      </c>
      <c r="R37">
        <v>1643505</v>
      </c>
    </row>
    <row r="38" spans="1:18" x14ac:dyDescent="0.25">
      <c r="A38" s="169">
        <v>45875</v>
      </c>
      <c r="B38" s="116">
        <v>3339.95</v>
      </c>
      <c r="C38" s="116">
        <v>3164.1</v>
      </c>
      <c r="D38" s="116">
        <v>3135</v>
      </c>
      <c r="E38" s="116">
        <v>3339.95</v>
      </c>
      <c r="F38" s="116">
        <v>3164.1</v>
      </c>
      <c r="G38">
        <v>41071</v>
      </c>
      <c r="H38" s="116"/>
      <c r="I38" s="116"/>
      <c r="L38" s="169">
        <v>45875</v>
      </c>
      <c r="M38" s="116">
        <v>3161.8</v>
      </c>
      <c r="N38" s="116">
        <v>3289</v>
      </c>
      <c r="O38" s="116">
        <v>3141</v>
      </c>
      <c r="P38" s="116">
        <v>3275</v>
      </c>
      <c r="Q38" s="116">
        <v>3161.8</v>
      </c>
      <c r="R38">
        <v>628232</v>
      </c>
    </row>
    <row r="39" spans="1:18" x14ac:dyDescent="0.25">
      <c r="A39" s="169">
        <v>45876</v>
      </c>
      <c r="B39" s="116">
        <v>3199.95</v>
      </c>
      <c r="C39" s="116">
        <v>3180.85</v>
      </c>
      <c r="D39" s="116">
        <v>3120</v>
      </c>
      <c r="E39" s="116">
        <v>3160</v>
      </c>
      <c r="F39" s="116">
        <v>3180.85</v>
      </c>
      <c r="G39">
        <v>46392</v>
      </c>
      <c r="H39" s="116"/>
      <c r="I39" s="116"/>
      <c r="L39" s="169">
        <v>45876</v>
      </c>
      <c r="M39" s="116">
        <v>3175.3</v>
      </c>
      <c r="N39" s="116">
        <v>3199</v>
      </c>
      <c r="O39" s="116">
        <v>3117.5</v>
      </c>
      <c r="P39" s="116">
        <v>3161.8</v>
      </c>
      <c r="Q39" s="116">
        <v>3175.3</v>
      </c>
      <c r="R39">
        <v>576167</v>
      </c>
    </row>
    <row r="40" spans="1:18" x14ac:dyDescent="0.25">
      <c r="A40" s="169">
        <v>45877</v>
      </c>
      <c r="B40" s="116">
        <v>3215</v>
      </c>
      <c r="C40" s="116">
        <v>3084.7</v>
      </c>
      <c r="D40" s="116">
        <v>3070</v>
      </c>
      <c r="E40" s="116">
        <v>3176</v>
      </c>
      <c r="F40" s="116">
        <v>3084.7</v>
      </c>
      <c r="G40">
        <v>38081</v>
      </c>
      <c r="H40" s="116"/>
      <c r="I40" s="116"/>
      <c r="L40" s="169">
        <v>45877</v>
      </c>
      <c r="M40" s="116">
        <v>3083.9</v>
      </c>
      <c r="N40" s="116">
        <v>3209.5</v>
      </c>
      <c r="O40" s="116">
        <v>3074.7</v>
      </c>
      <c r="P40" s="116">
        <v>3200</v>
      </c>
      <c r="Q40" s="116">
        <v>3083.9</v>
      </c>
      <c r="R40">
        <v>569835</v>
      </c>
    </row>
    <row r="41" spans="1:18" x14ac:dyDescent="0.25">
      <c r="A41" s="169">
        <v>45880</v>
      </c>
      <c r="B41" s="116">
        <v>3163</v>
      </c>
      <c r="C41" s="116">
        <v>3112.85</v>
      </c>
      <c r="D41" s="116">
        <v>3040.1</v>
      </c>
      <c r="E41" s="116">
        <v>3054.4</v>
      </c>
      <c r="F41" s="116">
        <v>3112.85</v>
      </c>
      <c r="G41">
        <v>76540</v>
      </c>
      <c r="H41" s="116"/>
      <c r="I41" s="116"/>
      <c r="L41" s="169">
        <v>45880</v>
      </c>
      <c r="M41" s="116">
        <v>3112.6</v>
      </c>
      <c r="N41" s="116">
        <v>3164.9</v>
      </c>
      <c r="O41" s="116">
        <v>3040.8</v>
      </c>
      <c r="P41" s="116">
        <v>3090</v>
      </c>
      <c r="Q41" s="116">
        <v>3112.6</v>
      </c>
      <c r="R41">
        <v>1120311</v>
      </c>
    </row>
    <row r="42" spans="1:18" x14ac:dyDescent="0.25">
      <c r="A42" s="169">
        <v>45881</v>
      </c>
      <c r="B42" s="116">
        <v>3215</v>
      </c>
      <c r="C42" s="116">
        <v>3150.45</v>
      </c>
      <c r="D42" s="116">
        <v>3112.9</v>
      </c>
      <c r="E42" s="116">
        <v>3112.9</v>
      </c>
      <c r="F42" s="116">
        <v>3150.45</v>
      </c>
      <c r="G42">
        <v>33131</v>
      </c>
      <c r="H42" s="116"/>
      <c r="I42" s="116"/>
      <c r="L42" s="169">
        <v>45881</v>
      </c>
      <c r="M42" s="116">
        <v>3147.1</v>
      </c>
      <c r="N42" s="116">
        <v>3218.1</v>
      </c>
      <c r="O42" s="116">
        <v>3116</v>
      </c>
      <c r="P42" s="116">
        <v>3124</v>
      </c>
      <c r="Q42" s="116">
        <v>3147.1</v>
      </c>
      <c r="R42">
        <v>676128</v>
      </c>
    </row>
    <row r="43" spans="1:18" x14ac:dyDescent="0.25">
      <c r="A43" s="169">
        <v>45882</v>
      </c>
      <c r="B43" s="116">
        <v>3204</v>
      </c>
      <c r="C43" s="116">
        <v>3163.4</v>
      </c>
      <c r="D43" s="116">
        <v>3130</v>
      </c>
      <c r="E43" s="116">
        <v>3179.45</v>
      </c>
      <c r="F43" s="116">
        <v>3163.4</v>
      </c>
      <c r="G43">
        <v>22594</v>
      </c>
      <c r="H43" s="116"/>
      <c r="I43" s="116"/>
      <c r="L43" s="169">
        <v>45882</v>
      </c>
      <c r="M43" s="116">
        <v>3162.4</v>
      </c>
      <c r="N43" s="116">
        <v>3203.1</v>
      </c>
      <c r="O43" s="116">
        <v>3145.5</v>
      </c>
      <c r="P43" s="116">
        <v>3190</v>
      </c>
      <c r="Q43" s="116">
        <v>3162.4</v>
      </c>
      <c r="R43">
        <v>435126</v>
      </c>
    </row>
    <row r="44" spans="1:18" x14ac:dyDescent="0.25">
      <c r="A44" s="169">
        <v>45883</v>
      </c>
      <c r="B44" s="116">
        <v>3204.3</v>
      </c>
      <c r="C44" s="116">
        <v>3172.5</v>
      </c>
      <c r="D44" s="116">
        <v>3159.6</v>
      </c>
      <c r="E44" s="116">
        <v>3187.95</v>
      </c>
      <c r="F44" s="116">
        <v>3172.5</v>
      </c>
      <c r="G44">
        <v>15319</v>
      </c>
      <c r="H44" s="116"/>
      <c r="I44" s="116"/>
      <c r="L44" s="169">
        <v>45883</v>
      </c>
      <c r="M44" s="116">
        <v>3173.3</v>
      </c>
      <c r="N44" s="116">
        <v>3207</v>
      </c>
      <c r="O44" s="116">
        <v>3155.8</v>
      </c>
      <c r="P44" s="116">
        <v>3173.9</v>
      </c>
      <c r="Q44" s="116">
        <v>3173.3</v>
      </c>
      <c r="R44">
        <v>291868</v>
      </c>
    </row>
    <row r="45" spans="1:18" x14ac:dyDescent="0.25">
      <c r="A45" s="169">
        <v>45887</v>
      </c>
      <c r="B45" s="116">
        <v>3256</v>
      </c>
      <c r="C45" s="116">
        <v>3167.2</v>
      </c>
      <c r="D45" s="116">
        <v>3140.2</v>
      </c>
      <c r="E45" s="116">
        <v>3140.2</v>
      </c>
      <c r="F45" s="116">
        <v>3167.2</v>
      </c>
      <c r="G45">
        <v>17424</v>
      </c>
      <c r="H45" s="116"/>
      <c r="I45" s="116"/>
      <c r="L45" s="169">
        <v>45887</v>
      </c>
      <c r="M45" s="116">
        <v>3168.1</v>
      </c>
      <c r="N45" s="116">
        <v>3258</v>
      </c>
      <c r="O45" s="116">
        <v>3142.5</v>
      </c>
      <c r="P45" s="116">
        <v>3151</v>
      </c>
      <c r="Q45" s="116">
        <v>3168.1</v>
      </c>
      <c r="R45">
        <v>1013198</v>
      </c>
    </row>
    <row r="46" spans="1:18" x14ac:dyDescent="0.25">
      <c r="A46" s="169">
        <v>45888</v>
      </c>
      <c r="B46" s="116">
        <v>3205.6</v>
      </c>
      <c r="C46" s="116">
        <v>3194.6</v>
      </c>
      <c r="D46" s="116">
        <v>3159.05</v>
      </c>
      <c r="E46" s="116">
        <v>3189.05</v>
      </c>
      <c r="F46" s="116">
        <v>3194.6</v>
      </c>
      <c r="G46">
        <v>14234</v>
      </c>
      <c r="H46" s="116"/>
      <c r="I46" s="116"/>
      <c r="L46" s="169">
        <v>45888</v>
      </c>
      <c r="M46" s="116">
        <v>3195.2</v>
      </c>
      <c r="N46" s="116">
        <v>3209.1</v>
      </c>
      <c r="O46" s="116">
        <v>3156</v>
      </c>
      <c r="P46" s="116">
        <v>3175</v>
      </c>
      <c r="Q46" s="116">
        <v>3195.2</v>
      </c>
      <c r="R46">
        <v>316378</v>
      </c>
    </row>
    <row r="47" spans="1:18" x14ac:dyDescent="0.25">
      <c r="A47" s="169">
        <v>45889</v>
      </c>
      <c r="B47" s="116">
        <v>3330</v>
      </c>
      <c r="C47" s="116">
        <v>3295.5</v>
      </c>
      <c r="D47" s="116">
        <v>3191</v>
      </c>
      <c r="E47" s="116">
        <v>3206</v>
      </c>
      <c r="F47" s="116">
        <v>3295.5</v>
      </c>
      <c r="G47">
        <v>34713</v>
      </c>
      <c r="H47" s="116"/>
      <c r="I47" s="116"/>
      <c r="L47" s="169">
        <v>45889</v>
      </c>
      <c r="M47" s="116">
        <v>3295</v>
      </c>
      <c r="N47" s="116">
        <v>3330.7</v>
      </c>
      <c r="O47" s="116">
        <v>3190</v>
      </c>
      <c r="P47" s="116">
        <v>3205</v>
      </c>
      <c r="Q47" s="116">
        <v>3295</v>
      </c>
      <c r="R47">
        <v>824347</v>
      </c>
    </row>
    <row r="48" spans="1:18" x14ac:dyDescent="0.25">
      <c r="A48" s="169">
        <v>45890</v>
      </c>
      <c r="B48" s="116">
        <v>3386.85</v>
      </c>
      <c r="C48" s="116">
        <v>3299.55</v>
      </c>
      <c r="D48" s="116">
        <v>3279.05</v>
      </c>
      <c r="E48" s="116">
        <v>3298.05</v>
      </c>
      <c r="F48" s="116">
        <v>3299.55</v>
      </c>
      <c r="G48">
        <v>48282</v>
      </c>
      <c r="H48" s="116"/>
      <c r="I48" s="116"/>
      <c r="L48" s="169">
        <v>45890</v>
      </c>
      <c r="M48" s="116">
        <v>3297.5</v>
      </c>
      <c r="N48" s="116">
        <v>3388</v>
      </c>
      <c r="O48" s="116">
        <v>3280</v>
      </c>
      <c r="P48" s="116">
        <v>3305</v>
      </c>
      <c r="Q48" s="116">
        <v>3297.5</v>
      </c>
      <c r="R48">
        <v>618164</v>
      </c>
    </row>
    <row r="49" spans="1:18" x14ac:dyDescent="0.25">
      <c r="A49" s="169">
        <v>45891</v>
      </c>
      <c r="B49" s="116">
        <v>3395</v>
      </c>
      <c r="C49" s="116">
        <v>3374.05</v>
      </c>
      <c r="D49" s="116">
        <v>3283.2</v>
      </c>
      <c r="E49" s="116">
        <v>3283.2</v>
      </c>
      <c r="F49" s="116">
        <v>3374.05</v>
      </c>
      <c r="G49">
        <v>45821</v>
      </c>
      <c r="H49" s="116"/>
      <c r="I49" s="116"/>
      <c r="L49" s="169">
        <v>45891</v>
      </c>
      <c r="M49" s="116">
        <v>3374</v>
      </c>
      <c r="N49" s="116">
        <v>3394</v>
      </c>
      <c r="O49" s="116">
        <v>3304.1</v>
      </c>
      <c r="P49" s="116">
        <v>3305.5</v>
      </c>
      <c r="Q49" s="116">
        <v>3374</v>
      </c>
      <c r="R49">
        <v>572409</v>
      </c>
    </row>
    <row r="50" spans="1:18" x14ac:dyDescent="0.25">
      <c r="A50" s="169">
        <v>45894</v>
      </c>
      <c r="B50" s="116">
        <v>3414</v>
      </c>
      <c r="C50" s="116">
        <v>3389.6</v>
      </c>
      <c r="D50" s="116">
        <v>3356.3</v>
      </c>
      <c r="E50" s="116">
        <v>3390</v>
      </c>
      <c r="F50" s="116">
        <v>3389.6</v>
      </c>
      <c r="G50">
        <v>100811</v>
      </c>
      <c r="H50" s="116"/>
      <c r="I50" s="116"/>
      <c r="L50" s="169">
        <v>45894</v>
      </c>
      <c r="M50" s="116">
        <v>3382.7</v>
      </c>
      <c r="N50" s="116">
        <v>3415.5</v>
      </c>
      <c r="O50" s="116">
        <v>3356.7</v>
      </c>
      <c r="P50" s="116">
        <v>3399</v>
      </c>
      <c r="Q50" s="116">
        <v>3382.7</v>
      </c>
      <c r="R50">
        <v>417287</v>
      </c>
    </row>
    <row r="51" spans="1:18" x14ac:dyDescent="0.25">
      <c r="A51" s="169">
        <v>45895</v>
      </c>
      <c r="B51" s="116">
        <v>3408</v>
      </c>
      <c r="C51" s="116">
        <v>3333.6</v>
      </c>
      <c r="D51" s="116">
        <v>3323.5</v>
      </c>
      <c r="E51" s="116">
        <v>3399.35</v>
      </c>
      <c r="F51" s="116">
        <v>3333.6</v>
      </c>
      <c r="G51">
        <v>15502</v>
      </c>
      <c r="H51" s="116"/>
      <c r="I51" s="116"/>
      <c r="L51" s="169">
        <v>45895</v>
      </c>
      <c r="M51" s="116">
        <v>3337</v>
      </c>
      <c r="N51" s="116">
        <v>3409.4</v>
      </c>
      <c r="O51" s="116">
        <v>3325</v>
      </c>
      <c r="P51" s="116">
        <v>3378.9</v>
      </c>
      <c r="Q51" s="116">
        <v>3337</v>
      </c>
      <c r="R51">
        <v>323462</v>
      </c>
    </row>
    <row r="52" spans="1:18" x14ac:dyDescent="0.25">
      <c r="A52" s="169">
        <v>45897</v>
      </c>
      <c r="B52" s="116">
        <v>3435</v>
      </c>
      <c r="C52" s="116">
        <v>3384.15</v>
      </c>
      <c r="D52" s="116">
        <v>3320.35</v>
      </c>
      <c r="E52" s="116">
        <v>3320.35</v>
      </c>
      <c r="F52" s="116">
        <v>3384.15</v>
      </c>
      <c r="G52">
        <v>35988</v>
      </c>
      <c r="H52" s="116"/>
      <c r="I52" s="116"/>
      <c r="L52" s="169">
        <v>45897</v>
      </c>
      <c r="M52" s="116">
        <v>3379</v>
      </c>
      <c r="N52" s="116">
        <v>3437.9</v>
      </c>
      <c r="O52" s="116">
        <v>3321.1</v>
      </c>
      <c r="P52" s="116">
        <v>3339.9</v>
      </c>
      <c r="Q52" s="116">
        <v>3379</v>
      </c>
      <c r="R52">
        <v>736641</v>
      </c>
    </row>
    <row r="53" spans="1:18" x14ac:dyDescent="0.25">
      <c r="A53" s="169">
        <v>45898</v>
      </c>
      <c r="B53" s="116">
        <v>3425</v>
      </c>
      <c r="C53" s="116">
        <v>3375.1</v>
      </c>
      <c r="D53" s="116">
        <v>3356</v>
      </c>
      <c r="E53" s="116">
        <v>3425</v>
      </c>
      <c r="F53" s="116">
        <v>3375.1</v>
      </c>
      <c r="G53">
        <v>10025</v>
      </c>
      <c r="H53" s="116"/>
      <c r="I53" s="116"/>
      <c r="L53" s="169">
        <v>45898</v>
      </c>
      <c r="M53" s="116">
        <v>3374.9</v>
      </c>
      <c r="N53" s="116">
        <v>3439.9</v>
      </c>
      <c r="O53" s="116">
        <v>3356.5</v>
      </c>
      <c r="P53" s="116">
        <v>3439.9</v>
      </c>
      <c r="Q53" s="116">
        <v>3374.9</v>
      </c>
      <c r="R53">
        <v>265904</v>
      </c>
    </row>
    <row r="54" spans="1:18" x14ac:dyDescent="0.25">
      <c r="A54" s="169">
        <v>45901</v>
      </c>
      <c r="B54" s="116">
        <v>3577.5</v>
      </c>
      <c r="C54" s="116">
        <v>3493.25</v>
      </c>
      <c r="D54" s="116">
        <v>3375.1</v>
      </c>
      <c r="E54" s="116">
        <v>3375.1</v>
      </c>
      <c r="F54" s="116">
        <v>3493.25</v>
      </c>
      <c r="G54">
        <v>65554</v>
      </c>
      <c r="H54" s="116"/>
      <c r="I54" s="116"/>
      <c r="L54" s="169">
        <v>45901</v>
      </c>
      <c r="M54" s="116">
        <v>3492.3</v>
      </c>
      <c r="N54" s="116">
        <v>3580</v>
      </c>
      <c r="O54" s="116">
        <v>3375</v>
      </c>
      <c r="P54" s="116">
        <v>3375</v>
      </c>
      <c r="Q54" s="116">
        <v>3492.3</v>
      </c>
      <c r="R54">
        <v>720880</v>
      </c>
    </row>
    <row r="55" spans="1:18" x14ac:dyDescent="0.25">
      <c r="A55" s="169">
        <v>45902</v>
      </c>
      <c r="B55" s="116">
        <v>3597.25</v>
      </c>
      <c r="C55" s="116">
        <v>3525.9</v>
      </c>
      <c r="D55" s="116">
        <v>3501.05</v>
      </c>
      <c r="E55" s="116">
        <v>3501.05</v>
      </c>
      <c r="F55" s="116">
        <v>3525.9</v>
      </c>
      <c r="G55">
        <v>39937</v>
      </c>
      <c r="H55" s="116"/>
      <c r="I55" s="116"/>
      <c r="L55" s="169">
        <v>45902</v>
      </c>
      <c r="M55" s="116">
        <v>3525.5</v>
      </c>
      <c r="N55" s="116">
        <v>3595.5</v>
      </c>
      <c r="O55" s="116">
        <v>3510</v>
      </c>
      <c r="P55" s="116">
        <v>3510</v>
      </c>
      <c r="Q55" s="116">
        <v>3525.5</v>
      </c>
      <c r="R55">
        <v>446967</v>
      </c>
    </row>
    <row r="56" spans="1:18" x14ac:dyDescent="0.25">
      <c r="A56" s="169">
        <v>45903</v>
      </c>
      <c r="B56" s="116">
        <v>3587.85</v>
      </c>
      <c r="C56" s="116">
        <v>3435.2</v>
      </c>
      <c r="D56" s="116">
        <v>3423.65</v>
      </c>
      <c r="E56" s="116">
        <v>3502.95</v>
      </c>
      <c r="F56" s="116">
        <v>3435.2</v>
      </c>
      <c r="G56">
        <v>31432</v>
      </c>
      <c r="H56" s="116"/>
      <c r="I56" s="116"/>
      <c r="L56" s="169">
        <v>45903</v>
      </c>
      <c r="M56" s="116">
        <v>3437.1</v>
      </c>
      <c r="N56" s="116">
        <v>3588</v>
      </c>
      <c r="O56" s="116">
        <v>3425</v>
      </c>
      <c r="P56" s="116">
        <v>3531</v>
      </c>
      <c r="Q56" s="116">
        <v>3437.1</v>
      </c>
      <c r="R56">
        <v>319732</v>
      </c>
    </row>
    <row r="57" spans="1:18" x14ac:dyDescent="0.25">
      <c r="A57" s="169">
        <v>45904</v>
      </c>
      <c r="B57" s="116">
        <v>3476.85</v>
      </c>
      <c r="C57" s="116">
        <v>3389.55</v>
      </c>
      <c r="D57" s="116">
        <v>3361.15</v>
      </c>
      <c r="E57" s="116">
        <v>3476.85</v>
      </c>
      <c r="F57" s="116">
        <v>3389.55</v>
      </c>
      <c r="G57">
        <v>20532</v>
      </c>
      <c r="H57" s="116"/>
      <c r="I57" s="116"/>
      <c r="L57" s="169">
        <v>45904</v>
      </c>
      <c r="M57" s="116">
        <v>3389.3</v>
      </c>
      <c r="N57" s="116">
        <v>3470.9</v>
      </c>
      <c r="O57" s="116">
        <v>3361.2</v>
      </c>
      <c r="P57" s="116">
        <v>3470</v>
      </c>
      <c r="Q57" s="116">
        <v>3389.3</v>
      </c>
      <c r="R57">
        <v>314128</v>
      </c>
    </row>
    <row r="58" spans="1:18" x14ac:dyDescent="0.25">
      <c r="A58" s="169">
        <v>45905</v>
      </c>
      <c r="B58" s="116">
        <v>3478.95</v>
      </c>
      <c r="C58" s="116">
        <v>3425.3</v>
      </c>
      <c r="D58" s="116">
        <v>3385.05</v>
      </c>
      <c r="E58" s="116">
        <v>3405.6</v>
      </c>
      <c r="F58" s="116">
        <v>3425.3</v>
      </c>
      <c r="G58">
        <v>17368</v>
      </c>
      <c r="H58" s="116"/>
      <c r="I58" s="116"/>
      <c r="L58" s="169">
        <v>45905</v>
      </c>
      <c r="M58" s="116">
        <v>3425.8</v>
      </c>
      <c r="N58" s="116">
        <v>3475.9</v>
      </c>
      <c r="O58" s="116">
        <v>3385.3</v>
      </c>
      <c r="P58" s="116">
        <v>3399</v>
      </c>
      <c r="Q58" s="116">
        <v>3425.8</v>
      </c>
      <c r="R58">
        <v>194795</v>
      </c>
    </row>
    <row r="59" spans="1:18" x14ac:dyDescent="0.25">
      <c r="A59" s="169">
        <v>45908</v>
      </c>
      <c r="B59" s="116">
        <v>3529.5</v>
      </c>
      <c r="C59" s="116">
        <v>3515.55</v>
      </c>
      <c r="D59" s="116">
        <v>3417.05</v>
      </c>
      <c r="E59" s="116">
        <v>3474.85</v>
      </c>
      <c r="F59" s="116">
        <v>3515.55</v>
      </c>
      <c r="G59">
        <v>11358</v>
      </c>
      <c r="H59" s="116"/>
      <c r="I59" s="116"/>
      <c r="L59" s="169">
        <v>45908</v>
      </c>
      <c r="M59" s="116">
        <v>3501.9</v>
      </c>
      <c r="N59" s="116">
        <v>3529</v>
      </c>
      <c r="O59" s="116">
        <v>3418</v>
      </c>
      <c r="P59" s="116">
        <v>3425.8</v>
      </c>
      <c r="Q59" s="116">
        <v>3501.9</v>
      </c>
      <c r="R59">
        <v>220861</v>
      </c>
    </row>
    <row r="60" spans="1:18" x14ac:dyDescent="0.25">
      <c r="A60" s="169">
        <v>45909</v>
      </c>
      <c r="B60" s="116">
        <v>3516</v>
      </c>
      <c r="C60" s="116">
        <v>3457.05</v>
      </c>
      <c r="D60" s="116">
        <v>3430.8</v>
      </c>
      <c r="E60" s="116">
        <v>3509.8</v>
      </c>
      <c r="F60" s="116">
        <v>3457.05</v>
      </c>
      <c r="G60">
        <v>16649</v>
      </c>
      <c r="H60" s="116"/>
      <c r="I60" s="116"/>
      <c r="L60" s="169">
        <v>45909</v>
      </c>
      <c r="M60" s="116">
        <v>3458.2</v>
      </c>
      <c r="N60" s="116">
        <v>3517</v>
      </c>
      <c r="O60" s="116">
        <v>3430</v>
      </c>
      <c r="P60" s="116">
        <v>3499.1</v>
      </c>
      <c r="Q60" s="116">
        <v>3458.2</v>
      </c>
      <c r="R60">
        <v>284896</v>
      </c>
    </row>
    <row r="61" spans="1:18" x14ac:dyDescent="0.25">
      <c r="A61" s="169">
        <v>45910</v>
      </c>
      <c r="B61" s="116">
        <v>3478.4</v>
      </c>
      <c r="C61" s="116">
        <v>3379.85</v>
      </c>
      <c r="D61" s="116">
        <v>3338.3</v>
      </c>
      <c r="E61" s="116">
        <v>3475</v>
      </c>
      <c r="F61" s="116">
        <v>3379.85</v>
      </c>
      <c r="G61">
        <v>49157</v>
      </c>
      <c r="H61" s="116"/>
      <c r="I61" s="116"/>
      <c r="L61" s="169">
        <v>45910</v>
      </c>
      <c r="M61" s="116">
        <v>3383.1</v>
      </c>
      <c r="N61" s="116">
        <v>3482.5</v>
      </c>
      <c r="O61" s="116">
        <v>3335</v>
      </c>
      <c r="P61" s="116">
        <v>3470</v>
      </c>
      <c r="Q61" s="116">
        <v>3383.1</v>
      </c>
      <c r="R61">
        <v>706150</v>
      </c>
    </row>
    <row r="62" spans="1:18" x14ac:dyDescent="0.25">
      <c r="A62" s="169">
        <v>45911</v>
      </c>
      <c r="B62" s="116">
        <v>3464</v>
      </c>
      <c r="C62" s="116">
        <v>3358.4</v>
      </c>
      <c r="D62" s="116">
        <v>3343</v>
      </c>
      <c r="E62" s="116">
        <v>3371.05</v>
      </c>
      <c r="F62" s="116">
        <v>3358.4</v>
      </c>
      <c r="G62">
        <v>26572</v>
      </c>
      <c r="H62" s="116"/>
      <c r="I62" s="116"/>
      <c r="L62" s="169">
        <v>45911</v>
      </c>
      <c r="M62" s="116">
        <v>3358.1</v>
      </c>
      <c r="N62" s="116">
        <v>3464.5</v>
      </c>
      <c r="O62" s="116">
        <v>3340.6</v>
      </c>
      <c r="P62" s="116">
        <v>3391.7</v>
      </c>
      <c r="Q62" s="116">
        <v>3358.1</v>
      </c>
      <c r="R62">
        <v>418414</v>
      </c>
    </row>
    <row r="63" spans="1:18" x14ac:dyDescent="0.25">
      <c r="A63" s="169">
        <v>45912</v>
      </c>
      <c r="B63" s="116">
        <v>3428.95</v>
      </c>
      <c r="C63" s="116">
        <v>3392.1</v>
      </c>
      <c r="D63" s="116">
        <v>3356.15</v>
      </c>
      <c r="E63" s="116">
        <v>3361.15</v>
      </c>
      <c r="F63" s="116">
        <v>3392.1</v>
      </c>
      <c r="G63">
        <v>17459</v>
      </c>
      <c r="H63" s="116"/>
      <c r="I63" s="116"/>
      <c r="L63" s="169">
        <v>45912</v>
      </c>
      <c r="M63" s="116">
        <v>3386.4</v>
      </c>
      <c r="N63" s="116">
        <v>3429</v>
      </c>
      <c r="O63" s="116">
        <v>3352.1</v>
      </c>
      <c r="P63" s="116">
        <v>3375</v>
      </c>
      <c r="Q63" s="116">
        <v>3386.4</v>
      </c>
      <c r="R63">
        <v>381267</v>
      </c>
    </row>
    <row r="64" spans="1:18" x14ac:dyDescent="0.25">
      <c r="A64" s="169">
        <v>45915</v>
      </c>
      <c r="B64" s="116">
        <v>3448.05</v>
      </c>
      <c r="C64" s="116">
        <v>3406.65</v>
      </c>
      <c r="D64" s="116">
        <v>3395</v>
      </c>
      <c r="E64" s="116">
        <v>3403.95</v>
      </c>
      <c r="F64" s="116">
        <v>3406.65</v>
      </c>
      <c r="G64">
        <v>12030</v>
      </c>
      <c r="H64" s="116"/>
      <c r="I64" s="116"/>
      <c r="L64" s="169">
        <v>45915</v>
      </c>
      <c r="M64" s="116">
        <v>3402.4</v>
      </c>
      <c r="N64" s="116">
        <v>3449</v>
      </c>
      <c r="O64" s="116">
        <v>3393</v>
      </c>
      <c r="P64" s="116">
        <v>3400</v>
      </c>
      <c r="Q64" s="116">
        <v>3402.4</v>
      </c>
      <c r="R64">
        <v>440197</v>
      </c>
    </row>
    <row r="65" spans="1:18" x14ac:dyDescent="0.25">
      <c r="A65" s="169">
        <v>45916</v>
      </c>
      <c r="B65" s="116">
        <v>3483</v>
      </c>
      <c r="C65" s="116">
        <v>3460.2</v>
      </c>
      <c r="D65" s="116">
        <v>3411.6</v>
      </c>
      <c r="E65" s="116">
        <v>3411.6</v>
      </c>
      <c r="F65" s="116">
        <v>3460.2</v>
      </c>
      <c r="G65">
        <v>14106</v>
      </c>
      <c r="H65" s="116"/>
      <c r="I65" s="116"/>
      <c r="L65" s="169">
        <v>45916</v>
      </c>
      <c r="M65" s="116">
        <v>3460.9</v>
      </c>
      <c r="N65" s="116">
        <v>3483.9</v>
      </c>
      <c r="O65" s="116">
        <v>3414.9</v>
      </c>
      <c r="P65" s="116">
        <v>3415</v>
      </c>
      <c r="Q65" s="116">
        <v>3460.9</v>
      </c>
      <c r="R65">
        <v>294625</v>
      </c>
    </row>
    <row r="66" spans="1:18" x14ac:dyDescent="0.25">
      <c r="A66" s="169">
        <v>45917</v>
      </c>
      <c r="B66" s="116">
        <v>3528</v>
      </c>
      <c r="C66" s="116">
        <v>3500.65</v>
      </c>
      <c r="D66" s="116">
        <v>3430</v>
      </c>
      <c r="E66" s="116">
        <v>3440.45</v>
      </c>
      <c r="F66" s="116">
        <v>3500.65</v>
      </c>
      <c r="G66">
        <v>20135</v>
      </c>
      <c r="H66" s="116"/>
      <c r="I66" s="116"/>
      <c r="L66" s="169">
        <v>45917</v>
      </c>
      <c r="M66" s="116">
        <v>3499.6</v>
      </c>
      <c r="N66" s="116">
        <v>3526</v>
      </c>
      <c r="O66" s="116">
        <v>3425</v>
      </c>
      <c r="P66" s="116">
        <v>3462.9</v>
      </c>
      <c r="Q66" s="116">
        <v>3499.6</v>
      </c>
      <c r="R66">
        <v>551483</v>
      </c>
    </row>
    <row r="67" spans="1:18" x14ac:dyDescent="0.25">
      <c r="A67" s="169">
        <v>45918</v>
      </c>
      <c r="B67" s="116">
        <v>3541.9</v>
      </c>
      <c r="C67" s="116">
        <v>3473.8</v>
      </c>
      <c r="D67" s="116">
        <v>3468.35</v>
      </c>
      <c r="E67" s="116">
        <v>3506.95</v>
      </c>
      <c r="F67" s="116">
        <v>3473.8</v>
      </c>
      <c r="G67">
        <v>11030</v>
      </c>
      <c r="H67" s="116"/>
      <c r="I67" s="116"/>
      <c r="L67" s="169">
        <v>45918</v>
      </c>
      <c r="M67" s="116">
        <v>3474.8</v>
      </c>
      <c r="N67" s="116">
        <v>3540</v>
      </c>
      <c r="O67" s="116">
        <v>3468.7</v>
      </c>
      <c r="P67" s="116">
        <v>3509.9</v>
      </c>
      <c r="Q67" s="116">
        <v>3474.8</v>
      </c>
      <c r="R67">
        <v>435534</v>
      </c>
    </row>
    <row r="68" spans="1:18" x14ac:dyDescent="0.25">
      <c r="A68" s="169">
        <v>45919</v>
      </c>
      <c r="B68" s="116">
        <v>3475</v>
      </c>
      <c r="C68" s="116">
        <v>3438.65</v>
      </c>
      <c r="D68" s="116">
        <v>3413</v>
      </c>
      <c r="E68" s="116">
        <v>3461</v>
      </c>
      <c r="F68" s="116">
        <v>3438.65</v>
      </c>
      <c r="G68">
        <v>12640</v>
      </c>
      <c r="H68" s="116"/>
      <c r="I68" s="116"/>
      <c r="L68" s="169">
        <v>45919</v>
      </c>
      <c r="M68" s="116">
        <v>3435.6</v>
      </c>
      <c r="N68" s="116">
        <v>3475.1</v>
      </c>
      <c r="O68" s="116">
        <v>3411</v>
      </c>
      <c r="P68" s="116">
        <v>3470</v>
      </c>
      <c r="Q68" s="116">
        <v>3435.6</v>
      </c>
      <c r="R68">
        <v>584304</v>
      </c>
    </row>
    <row r="69" spans="1:18" x14ac:dyDescent="0.25">
      <c r="A69" s="169">
        <v>45922</v>
      </c>
      <c r="B69" s="116">
        <v>3561.45</v>
      </c>
      <c r="C69" s="116">
        <v>3537.45</v>
      </c>
      <c r="D69" s="116">
        <v>3432.5</v>
      </c>
      <c r="E69" s="116">
        <v>3432.5</v>
      </c>
      <c r="F69" s="116">
        <v>3537.45</v>
      </c>
      <c r="G69">
        <v>24807</v>
      </c>
      <c r="H69" s="116"/>
      <c r="I69" s="116"/>
      <c r="L69" s="169">
        <v>45922</v>
      </c>
      <c r="M69" s="116">
        <v>3528.6</v>
      </c>
      <c r="N69" s="116">
        <v>3566.5</v>
      </c>
      <c r="O69" s="116">
        <v>3432.9</v>
      </c>
      <c r="P69" s="116">
        <v>3433</v>
      </c>
      <c r="Q69" s="116">
        <v>3528.6</v>
      </c>
      <c r="R69">
        <v>792460</v>
      </c>
    </row>
    <row r="70" spans="1:18" x14ac:dyDescent="0.25">
      <c r="A70" s="169">
        <v>45923</v>
      </c>
      <c r="B70" s="116">
        <v>3624</v>
      </c>
      <c r="C70" s="116">
        <v>3606.45</v>
      </c>
      <c r="D70" s="116">
        <v>3515.55</v>
      </c>
      <c r="E70" s="116">
        <v>3577.95</v>
      </c>
      <c r="F70" s="116">
        <v>3606.45</v>
      </c>
      <c r="G70">
        <v>27153</v>
      </c>
      <c r="H70" s="116"/>
      <c r="I70" s="116"/>
      <c r="L70" s="169">
        <v>45923</v>
      </c>
      <c r="M70" s="116">
        <v>3606.5</v>
      </c>
      <c r="N70" s="116">
        <v>3625</v>
      </c>
      <c r="O70" s="116">
        <v>3515.9</v>
      </c>
      <c r="P70" s="116">
        <v>3566</v>
      </c>
      <c r="Q70" s="116">
        <v>3606.5</v>
      </c>
      <c r="R70">
        <v>839211</v>
      </c>
    </row>
    <row r="71" spans="1:18" x14ac:dyDescent="0.25">
      <c r="A71" s="169">
        <v>45924</v>
      </c>
      <c r="B71" s="116">
        <v>3596.25</v>
      </c>
      <c r="C71" s="116">
        <v>3510.15</v>
      </c>
      <c r="D71" s="116">
        <v>3470</v>
      </c>
      <c r="E71" s="116">
        <v>3590.2</v>
      </c>
      <c r="F71" s="116">
        <v>3510.15</v>
      </c>
      <c r="G71">
        <v>63055</v>
      </c>
      <c r="H71" s="116"/>
      <c r="I71" s="116"/>
      <c r="L71" s="169">
        <v>45924</v>
      </c>
      <c r="M71" s="116">
        <v>3510.2</v>
      </c>
      <c r="N71" s="116">
        <v>3610.1</v>
      </c>
      <c r="O71" s="116">
        <v>3469.9</v>
      </c>
      <c r="P71" s="116">
        <v>3610</v>
      </c>
      <c r="Q71" s="116">
        <v>3510.2</v>
      </c>
      <c r="R71">
        <v>698304</v>
      </c>
    </row>
    <row r="72" spans="1:18" x14ac:dyDescent="0.25">
      <c r="A72" s="169">
        <v>45925</v>
      </c>
      <c r="B72" s="116">
        <v>3555</v>
      </c>
      <c r="C72" s="116">
        <v>3526.1</v>
      </c>
      <c r="D72" s="116">
        <v>3469.25</v>
      </c>
      <c r="E72" s="116">
        <v>3510</v>
      </c>
      <c r="F72" s="116">
        <v>3526.1</v>
      </c>
      <c r="G72">
        <v>31774</v>
      </c>
      <c r="H72" s="116"/>
      <c r="I72" s="116"/>
      <c r="L72" s="169">
        <v>45925</v>
      </c>
      <c r="M72" s="116">
        <v>3527.8</v>
      </c>
      <c r="N72" s="116">
        <v>3557</v>
      </c>
      <c r="O72" s="116">
        <v>3472</v>
      </c>
      <c r="P72" s="116">
        <v>3499.1</v>
      </c>
      <c r="Q72" s="116">
        <v>3527.8</v>
      </c>
      <c r="R72">
        <v>487362</v>
      </c>
    </row>
    <row r="73" spans="1:18" x14ac:dyDescent="0.25">
      <c r="A73" s="169">
        <v>45926</v>
      </c>
      <c r="B73" s="116">
        <v>3606.15</v>
      </c>
      <c r="C73" s="116">
        <v>3516.3</v>
      </c>
      <c r="D73" s="116">
        <v>3475</v>
      </c>
      <c r="E73" s="116">
        <v>3525.7</v>
      </c>
      <c r="F73" s="116">
        <v>3516.3</v>
      </c>
      <c r="G73">
        <v>53823</v>
      </c>
      <c r="H73" s="116"/>
      <c r="I73" s="116"/>
      <c r="L73" s="169">
        <v>45926</v>
      </c>
      <c r="M73" s="116">
        <v>3516.2</v>
      </c>
      <c r="N73" s="116">
        <v>3608.1</v>
      </c>
      <c r="O73" s="116">
        <v>3476</v>
      </c>
      <c r="P73" s="116">
        <v>3516</v>
      </c>
      <c r="Q73" s="116">
        <v>3516.2</v>
      </c>
      <c r="R73">
        <v>616010</v>
      </c>
    </row>
    <row r="74" spans="1:18" x14ac:dyDescent="0.25">
      <c r="A74" s="169">
        <v>45929</v>
      </c>
      <c r="B74" s="116">
        <v>3571</v>
      </c>
      <c r="C74" s="116">
        <v>3518.35</v>
      </c>
      <c r="D74" s="116">
        <v>3460</v>
      </c>
      <c r="E74" s="116">
        <v>3518</v>
      </c>
      <c r="F74" s="116">
        <v>3518.35</v>
      </c>
      <c r="G74">
        <v>54238</v>
      </c>
      <c r="H74" s="116"/>
      <c r="I74" s="116"/>
      <c r="L74" s="169">
        <v>45929</v>
      </c>
      <c r="M74" s="116">
        <v>3510.6</v>
      </c>
      <c r="N74" s="116">
        <v>3573.7</v>
      </c>
      <c r="O74" s="116">
        <v>3460.8</v>
      </c>
      <c r="P74" s="116">
        <v>3515.5</v>
      </c>
      <c r="Q74" s="116">
        <v>3510.6</v>
      </c>
      <c r="R74">
        <v>2644655</v>
      </c>
    </row>
    <row r="75" spans="1:18" x14ac:dyDescent="0.25">
      <c r="A75" s="169">
        <v>45930</v>
      </c>
      <c r="B75" s="116">
        <v>3504.8</v>
      </c>
      <c r="C75" s="116">
        <v>3430.35</v>
      </c>
      <c r="D75" s="116">
        <v>3402.8</v>
      </c>
      <c r="E75" s="116">
        <v>3488.95</v>
      </c>
      <c r="F75" s="116">
        <v>3430.35</v>
      </c>
      <c r="G75">
        <v>85012</v>
      </c>
      <c r="H75" s="116"/>
      <c r="I75" s="116"/>
      <c r="L75" s="169">
        <v>45930</v>
      </c>
      <c r="M75" s="116">
        <v>3432.8</v>
      </c>
      <c r="N75" s="116">
        <v>3514.8</v>
      </c>
      <c r="O75" s="116">
        <v>3403</v>
      </c>
      <c r="P75" s="116">
        <v>3485.1</v>
      </c>
      <c r="Q75" s="116">
        <v>3432.8</v>
      </c>
      <c r="R75">
        <v>432263</v>
      </c>
    </row>
    <row r="76" spans="1:18" x14ac:dyDescent="0.25">
      <c r="A76" s="169">
        <v>45931</v>
      </c>
      <c r="B76" s="116">
        <v>3447.35</v>
      </c>
      <c r="C76" s="116">
        <v>3399.9</v>
      </c>
      <c r="D76" s="116">
        <v>3387.4</v>
      </c>
      <c r="E76" s="116">
        <v>3429</v>
      </c>
      <c r="F76" s="116">
        <v>3399.9</v>
      </c>
      <c r="G76">
        <v>22481</v>
      </c>
      <c r="H76" s="116"/>
      <c r="I76" s="116"/>
      <c r="L76" s="169">
        <v>45931</v>
      </c>
      <c r="M76" s="116">
        <v>3399.2</v>
      </c>
      <c r="N76" s="116">
        <v>3446.9</v>
      </c>
      <c r="O76" s="116">
        <v>3384.9</v>
      </c>
      <c r="P76" s="116">
        <v>3430</v>
      </c>
      <c r="Q76" s="116">
        <v>3399.2</v>
      </c>
      <c r="R76">
        <v>271735</v>
      </c>
    </row>
    <row r="77" spans="1:18" x14ac:dyDescent="0.25">
      <c r="A77" s="169">
        <v>45933</v>
      </c>
      <c r="B77" s="116">
        <v>3434.8</v>
      </c>
      <c r="C77" s="116">
        <v>3358.95</v>
      </c>
      <c r="D77" s="116">
        <v>3345.75</v>
      </c>
      <c r="E77" s="116">
        <v>3390.55</v>
      </c>
      <c r="F77" s="116">
        <v>3358.95</v>
      </c>
      <c r="G77">
        <v>15178</v>
      </c>
      <c r="H77" s="116"/>
      <c r="I77" s="116"/>
      <c r="L77" s="169">
        <v>45933</v>
      </c>
      <c r="M77" s="116">
        <v>3357.7</v>
      </c>
      <c r="N77" s="116">
        <v>3435</v>
      </c>
      <c r="O77" s="116">
        <v>3345.1</v>
      </c>
      <c r="P77" s="116">
        <v>3398</v>
      </c>
      <c r="Q77" s="116">
        <v>3357.7</v>
      </c>
      <c r="R77">
        <v>363956</v>
      </c>
    </row>
    <row r="78" spans="1:18" x14ac:dyDescent="0.25">
      <c r="A78" s="169">
        <v>45936</v>
      </c>
      <c r="B78" s="116">
        <v>3372.35</v>
      </c>
      <c r="C78" s="116">
        <v>3238.5</v>
      </c>
      <c r="D78" s="116">
        <v>3230</v>
      </c>
      <c r="E78" s="116">
        <v>3321.2</v>
      </c>
      <c r="F78" s="116">
        <v>3238.5</v>
      </c>
      <c r="G78">
        <v>51363</v>
      </c>
      <c r="H78" s="116"/>
      <c r="I78" s="116"/>
      <c r="L78" s="169">
        <v>45936</v>
      </c>
      <c r="M78" s="116">
        <v>3236.4</v>
      </c>
      <c r="N78" s="116">
        <v>3369.8</v>
      </c>
      <c r="O78" s="116">
        <v>3227</v>
      </c>
      <c r="P78" s="116">
        <v>3351.7</v>
      </c>
      <c r="Q78" s="116">
        <v>3236.4</v>
      </c>
      <c r="R78">
        <v>682384</v>
      </c>
    </row>
    <row r="79" spans="1:18" x14ac:dyDescent="0.25">
      <c r="A79" s="169">
        <v>45937</v>
      </c>
      <c r="B79" s="116">
        <v>3355</v>
      </c>
      <c r="C79" s="116">
        <v>3275.2</v>
      </c>
      <c r="D79" s="116">
        <v>3235.55</v>
      </c>
      <c r="E79" s="116">
        <v>3235.55</v>
      </c>
      <c r="F79" s="116">
        <v>3275.2</v>
      </c>
      <c r="G79">
        <v>195521</v>
      </c>
      <c r="H79" s="116"/>
      <c r="I79" s="116"/>
      <c r="L79" s="169">
        <v>45937</v>
      </c>
      <c r="M79" s="116">
        <v>3282.3</v>
      </c>
      <c r="N79" s="116">
        <v>3356</v>
      </c>
      <c r="O79" s="116">
        <v>3245.7</v>
      </c>
      <c r="P79" s="116">
        <v>3251</v>
      </c>
      <c r="Q79" s="116">
        <v>3282.3</v>
      </c>
      <c r="R79">
        <v>425040</v>
      </c>
    </row>
    <row r="80" spans="1:18" x14ac:dyDescent="0.25">
      <c r="A80" s="169">
        <v>45938</v>
      </c>
      <c r="B80" s="116">
        <v>3353.75</v>
      </c>
      <c r="C80" s="116">
        <v>3343.3</v>
      </c>
      <c r="D80" s="116">
        <v>3260.5</v>
      </c>
      <c r="E80" s="116">
        <v>3275.75</v>
      </c>
      <c r="F80" s="116">
        <v>3343.3</v>
      </c>
      <c r="G80">
        <v>18382</v>
      </c>
      <c r="H80" s="116"/>
      <c r="I80" s="116"/>
      <c r="L80" s="169">
        <v>45938</v>
      </c>
      <c r="M80" s="116">
        <v>3342.2</v>
      </c>
      <c r="N80" s="116">
        <v>3353</v>
      </c>
      <c r="O80" s="116">
        <v>3260</v>
      </c>
      <c r="P80" s="116">
        <v>3285</v>
      </c>
      <c r="Q80" s="116">
        <v>3342.2</v>
      </c>
      <c r="R80">
        <v>517546</v>
      </c>
    </row>
    <row r="81" spans="1:18" x14ac:dyDescent="0.25">
      <c r="A81" s="169">
        <v>45939</v>
      </c>
      <c r="B81" s="116">
        <v>3350</v>
      </c>
      <c r="C81" s="116">
        <v>3241.3</v>
      </c>
      <c r="D81" s="116">
        <v>3232</v>
      </c>
      <c r="E81" s="116">
        <v>3331.15</v>
      </c>
      <c r="F81" s="116">
        <v>3241.3</v>
      </c>
      <c r="G81">
        <v>23922</v>
      </c>
      <c r="H81" s="116"/>
      <c r="I81" s="116"/>
      <c r="L81" s="169">
        <v>45939</v>
      </c>
      <c r="M81" s="116">
        <v>3241.1</v>
      </c>
      <c r="N81" s="116">
        <v>3350</v>
      </c>
      <c r="O81" s="116">
        <v>3232</v>
      </c>
      <c r="P81" s="116">
        <v>3350</v>
      </c>
      <c r="Q81" s="116">
        <v>3241.1</v>
      </c>
      <c r="R81">
        <v>469760</v>
      </c>
    </row>
    <row r="82" spans="1:18" x14ac:dyDescent="0.25">
      <c r="A82" s="169">
        <v>45940</v>
      </c>
      <c r="B82" s="116">
        <v>3259.55</v>
      </c>
      <c r="C82" s="116">
        <v>3236.95</v>
      </c>
      <c r="D82" s="116">
        <v>3211.05</v>
      </c>
      <c r="E82" s="116">
        <v>3227.45</v>
      </c>
      <c r="F82" s="116">
        <v>3236.95</v>
      </c>
      <c r="G82">
        <v>12474</v>
      </c>
      <c r="H82" s="116"/>
      <c r="I82" s="116"/>
      <c r="L82" s="169">
        <v>45940</v>
      </c>
      <c r="M82" s="116">
        <v>3235.5</v>
      </c>
      <c r="N82" s="116">
        <v>3260</v>
      </c>
      <c r="O82" s="116">
        <v>3211.1</v>
      </c>
      <c r="P82" s="116">
        <v>3241.1</v>
      </c>
      <c r="Q82" s="116">
        <v>3235.5</v>
      </c>
      <c r="R82">
        <v>267763</v>
      </c>
    </row>
    <row r="83" spans="1:18" x14ac:dyDescent="0.25">
      <c r="A83" s="169">
        <v>45943</v>
      </c>
      <c r="B83" s="116">
        <v>3244.6</v>
      </c>
      <c r="C83" s="116">
        <v>3179.1</v>
      </c>
      <c r="D83" s="116">
        <v>3175</v>
      </c>
      <c r="E83" s="116">
        <v>3205.2</v>
      </c>
      <c r="F83" s="116">
        <v>3179.1</v>
      </c>
      <c r="G83">
        <v>18684</v>
      </c>
      <c r="H83" s="116"/>
      <c r="I83" s="116"/>
      <c r="L83" s="169">
        <v>45943</v>
      </c>
      <c r="M83" s="116">
        <v>3183.4</v>
      </c>
      <c r="N83" s="116">
        <v>3246</v>
      </c>
      <c r="O83" s="116">
        <v>3171.2</v>
      </c>
      <c r="P83" s="116">
        <v>3227.6</v>
      </c>
      <c r="Q83" s="116">
        <v>3183.4</v>
      </c>
      <c r="R83">
        <v>193664</v>
      </c>
    </row>
    <row r="84" spans="1:18" x14ac:dyDescent="0.25">
      <c r="A84" s="169">
        <v>45944</v>
      </c>
      <c r="B84" s="116">
        <v>3209.8</v>
      </c>
      <c r="C84" s="116">
        <v>3197.55</v>
      </c>
      <c r="D84" s="116">
        <v>3135.25</v>
      </c>
      <c r="E84" s="116">
        <v>3176.05</v>
      </c>
      <c r="F84" s="116">
        <v>3197.55</v>
      </c>
      <c r="G84">
        <v>22191</v>
      </c>
      <c r="H84" s="116"/>
      <c r="I84" s="116"/>
      <c r="L84" s="169">
        <v>45944</v>
      </c>
      <c r="M84" s="116">
        <v>3197.3</v>
      </c>
      <c r="N84" s="116">
        <v>3210</v>
      </c>
      <c r="O84" s="116">
        <v>3135</v>
      </c>
      <c r="P84" s="116">
        <v>3183.3</v>
      </c>
      <c r="Q84" s="116">
        <v>3197.3</v>
      </c>
      <c r="R84">
        <v>335064</v>
      </c>
    </row>
    <row r="85" spans="1:18" x14ac:dyDescent="0.25">
      <c r="A85" s="169">
        <v>45945</v>
      </c>
      <c r="B85" s="116">
        <v>3190.9</v>
      </c>
      <c r="C85" s="116">
        <v>3143.45</v>
      </c>
      <c r="D85" s="116">
        <v>3129.05</v>
      </c>
      <c r="E85" s="116">
        <v>3161.35</v>
      </c>
      <c r="F85" s="116">
        <v>3143.45</v>
      </c>
      <c r="G85">
        <v>28779</v>
      </c>
      <c r="H85" s="116"/>
      <c r="I85" s="116"/>
      <c r="L85" s="169">
        <v>45945</v>
      </c>
      <c r="M85" s="116">
        <v>3144.2</v>
      </c>
      <c r="N85" s="116">
        <v>3204</v>
      </c>
      <c r="O85" s="116">
        <v>3130</v>
      </c>
      <c r="P85" s="116">
        <v>3204</v>
      </c>
      <c r="Q85" s="116">
        <v>3144.2</v>
      </c>
      <c r="R85">
        <v>347219</v>
      </c>
    </row>
    <row r="86" spans="1:18" x14ac:dyDescent="0.25">
      <c r="A86" s="169">
        <v>45946</v>
      </c>
      <c r="B86" s="116">
        <v>3181.3</v>
      </c>
      <c r="C86" s="116">
        <v>3138.15</v>
      </c>
      <c r="D86" s="116">
        <v>3110.95</v>
      </c>
      <c r="E86" s="116">
        <v>3144.2</v>
      </c>
      <c r="F86" s="116">
        <v>3138.15</v>
      </c>
      <c r="G86">
        <v>14703</v>
      </c>
      <c r="H86" s="116"/>
      <c r="I86" s="116"/>
      <c r="L86" s="169">
        <v>45946</v>
      </c>
      <c r="M86" s="116">
        <v>3139.9</v>
      </c>
      <c r="N86" s="116">
        <v>3181.7</v>
      </c>
      <c r="O86" s="116">
        <v>3110.2</v>
      </c>
      <c r="P86" s="116">
        <v>3154</v>
      </c>
      <c r="Q86" s="116">
        <v>3139.9</v>
      </c>
      <c r="R86">
        <v>324000</v>
      </c>
    </row>
    <row r="87" spans="1:18" x14ac:dyDescent="0.25">
      <c r="A87" s="169">
        <v>45947</v>
      </c>
      <c r="B87" s="116">
        <v>3155.15</v>
      </c>
      <c r="C87" s="116">
        <v>3113.55</v>
      </c>
      <c r="D87" s="116">
        <v>3105</v>
      </c>
      <c r="E87" s="116">
        <v>3138.9</v>
      </c>
      <c r="F87" s="116">
        <v>3113.55</v>
      </c>
      <c r="G87">
        <v>15898</v>
      </c>
      <c r="H87" s="116"/>
      <c r="I87" s="116"/>
      <c r="L87" s="169">
        <v>45947</v>
      </c>
      <c r="M87" s="116">
        <v>3116.7</v>
      </c>
      <c r="N87" s="116">
        <v>3158.8</v>
      </c>
      <c r="O87" s="116">
        <v>3108.3</v>
      </c>
      <c r="P87" s="116">
        <v>3145.8</v>
      </c>
      <c r="Q87" s="116">
        <v>3116.7</v>
      </c>
      <c r="R87">
        <v>208531</v>
      </c>
    </row>
    <row r="88" spans="1:18" x14ac:dyDescent="0.25">
      <c r="A88" s="169">
        <v>45950</v>
      </c>
      <c r="B88" s="116">
        <v>3148.35</v>
      </c>
      <c r="C88" s="116">
        <v>3101.35</v>
      </c>
      <c r="D88" s="116">
        <v>3097</v>
      </c>
      <c r="E88" s="116">
        <v>3129.85</v>
      </c>
      <c r="F88" s="116">
        <v>3101.35</v>
      </c>
      <c r="G88">
        <v>12070</v>
      </c>
      <c r="H88" s="116"/>
      <c r="I88" s="116"/>
      <c r="L88" s="169">
        <v>45950</v>
      </c>
      <c r="M88" s="116">
        <v>3100.8</v>
      </c>
      <c r="N88" s="116">
        <v>3148</v>
      </c>
      <c r="O88" s="116">
        <v>3095</v>
      </c>
      <c r="P88" s="116">
        <v>3116.9</v>
      </c>
      <c r="Q88" s="116">
        <v>3100.8</v>
      </c>
      <c r="R88">
        <v>196576</v>
      </c>
    </row>
    <row r="89" spans="1:18" x14ac:dyDescent="0.25">
      <c r="A89" s="169">
        <v>45951</v>
      </c>
      <c r="B89" s="116">
        <v>3160.5</v>
      </c>
      <c r="C89" s="116">
        <v>3145.3</v>
      </c>
      <c r="D89" s="116">
        <v>3102.05</v>
      </c>
      <c r="E89" s="116">
        <v>3102.05</v>
      </c>
      <c r="F89" s="116">
        <v>3145.3</v>
      </c>
      <c r="G89">
        <v>5152</v>
      </c>
      <c r="H89" s="116"/>
      <c r="I89" s="116"/>
      <c r="L89" s="169">
        <v>45951</v>
      </c>
      <c r="M89" s="116">
        <v>3144.7</v>
      </c>
      <c r="N89" s="116">
        <v>3159</v>
      </c>
      <c r="O89" s="116">
        <v>3105</v>
      </c>
      <c r="P89" s="116">
        <v>3124</v>
      </c>
      <c r="Q89" s="116">
        <v>3144.7</v>
      </c>
      <c r="R89">
        <v>34372</v>
      </c>
    </row>
    <row r="90" spans="1:18" x14ac:dyDescent="0.25">
      <c r="A90" s="169">
        <v>45953</v>
      </c>
      <c r="B90" s="116">
        <v>3201.5</v>
      </c>
      <c r="C90" s="116">
        <v>3136.65</v>
      </c>
      <c r="D90" s="116">
        <v>3122.1</v>
      </c>
      <c r="E90" s="116">
        <v>3157.2</v>
      </c>
      <c r="F90" s="116">
        <v>3136.65</v>
      </c>
      <c r="G90">
        <v>25615</v>
      </c>
      <c r="H90" s="116"/>
      <c r="I90" s="116"/>
      <c r="L90" s="169">
        <v>45953</v>
      </c>
      <c r="M90" s="116">
        <v>3141.9</v>
      </c>
      <c r="N90" s="116">
        <v>3200</v>
      </c>
      <c r="O90" s="116">
        <v>3125.3</v>
      </c>
      <c r="P90" s="116">
        <v>3165</v>
      </c>
      <c r="Q90" s="116">
        <v>3141.9</v>
      </c>
      <c r="R90">
        <v>286511</v>
      </c>
    </row>
    <row r="91" spans="1:18" x14ac:dyDescent="0.25">
      <c r="A91" s="169">
        <v>45954</v>
      </c>
      <c r="B91" s="116">
        <v>3189</v>
      </c>
      <c r="C91" s="116">
        <v>3138.35</v>
      </c>
      <c r="D91" s="116">
        <v>3119.65</v>
      </c>
      <c r="E91" s="116">
        <v>3154.75</v>
      </c>
      <c r="F91" s="116">
        <v>3138.35</v>
      </c>
      <c r="G91">
        <v>13487</v>
      </c>
      <c r="H91" s="116"/>
      <c r="I91" s="116"/>
      <c r="L91" s="169">
        <v>45954</v>
      </c>
      <c r="M91" s="116">
        <v>3138.4</v>
      </c>
      <c r="N91" s="116">
        <v>3185</v>
      </c>
      <c r="O91" s="116">
        <v>3115</v>
      </c>
      <c r="P91" s="116">
        <v>3150</v>
      </c>
      <c r="Q91" s="116">
        <v>3138.4</v>
      </c>
      <c r="R91">
        <v>327942</v>
      </c>
    </row>
    <row r="92" spans="1:18" x14ac:dyDescent="0.25">
      <c r="A92" s="169">
        <v>45957</v>
      </c>
      <c r="B92" s="116">
        <v>3169.35</v>
      </c>
      <c r="C92" s="116">
        <v>3155.2</v>
      </c>
      <c r="D92" s="116">
        <v>3095</v>
      </c>
      <c r="E92" s="116">
        <v>3169.35</v>
      </c>
      <c r="F92" s="116">
        <v>3155.2</v>
      </c>
      <c r="G92">
        <v>13405</v>
      </c>
      <c r="H92" s="116"/>
      <c r="I92" s="116"/>
      <c r="L92" s="169">
        <v>45957</v>
      </c>
      <c r="M92" s="116">
        <v>3153.4</v>
      </c>
      <c r="N92" s="116">
        <v>3165.2</v>
      </c>
      <c r="O92" s="116">
        <v>3093.9</v>
      </c>
      <c r="P92" s="116">
        <v>3140</v>
      </c>
      <c r="Q92" s="116">
        <v>3153.4</v>
      </c>
      <c r="R92">
        <v>365706</v>
      </c>
    </row>
    <row r="93" spans="1:18" x14ac:dyDescent="0.25">
      <c r="A93" s="169">
        <v>45958</v>
      </c>
      <c r="B93" s="116">
        <v>3168.95</v>
      </c>
      <c r="C93" s="116">
        <v>3101.85</v>
      </c>
      <c r="D93" s="116">
        <v>3050.05</v>
      </c>
      <c r="E93" s="116">
        <v>3168.95</v>
      </c>
      <c r="F93" s="116">
        <v>3101.85</v>
      </c>
      <c r="G93">
        <v>23340</v>
      </c>
      <c r="H93" s="116"/>
      <c r="I93" s="116"/>
      <c r="L93" s="169">
        <v>45958</v>
      </c>
      <c r="M93" s="116">
        <v>3101.3</v>
      </c>
      <c r="N93" s="116">
        <v>3155</v>
      </c>
      <c r="O93" s="116">
        <v>3087.6</v>
      </c>
      <c r="P93" s="116">
        <v>3153.1</v>
      </c>
      <c r="Q93" s="116">
        <v>3101.3</v>
      </c>
      <c r="R93">
        <v>334524</v>
      </c>
    </row>
    <row r="94" spans="1:18" x14ac:dyDescent="0.25">
      <c r="A94" s="169">
        <v>45959</v>
      </c>
      <c r="B94" s="116">
        <v>3149.35</v>
      </c>
      <c r="C94" s="116">
        <v>3135.45</v>
      </c>
      <c r="D94" s="116">
        <v>3042.25</v>
      </c>
      <c r="E94" s="116">
        <v>3101.85</v>
      </c>
      <c r="F94" s="116">
        <v>3135.45</v>
      </c>
      <c r="G94">
        <v>29061</v>
      </c>
      <c r="H94" s="116"/>
      <c r="I94" s="116"/>
      <c r="L94" s="169">
        <v>45959</v>
      </c>
      <c r="M94" s="116">
        <v>3134.3</v>
      </c>
      <c r="N94" s="116">
        <v>3149.9</v>
      </c>
      <c r="O94" s="116">
        <v>3044.5</v>
      </c>
      <c r="P94" s="116">
        <v>3102</v>
      </c>
      <c r="Q94" s="116">
        <v>3134.3</v>
      </c>
      <c r="R94">
        <v>747722</v>
      </c>
    </row>
    <row r="95" spans="1:18" x14ac:dyDescent="0.25">
      <c r="A95" s="169">
        <v>45960</v>
      </c>
      <c r="B95" s="116">
        <v>3220</v>
      </c>
      <c r="C95" s="116">
        <v>3208.15</v>
      </c>
      <c r="D95" s="116">
        <v>3127</v>
      </c>
      <c r="E95" s="116">
        <v>3139.1</v>
      </c>
      <c r="F95" s="116">
        <v>3208.15</v>
      </c>
      <c r="G95">
        <v>40122</v>
      </c>
      <c r="H95" s="116"/>
      <c r="I95" s="116"/>
      <c r="L95" s="169">
        <v>45960</v>
      </c>
      <c r="M95" s="116">
        <v>3206.5</v>
      </c>
      <c r="N95" s="116">
        <v>3216</v>
      </c>
      <c r="O95" s="116">
        <v>3121.9</v>
      </c>
      <c r="P95" s="116">
        <v>3150</v>
      </c>
      <c r="Q95" s="116">
        <v>3206.5</v>
      </c>
      <c r="R95">
        <v>736839</v>
      </c>
    </row>
    <row r="96" spans="1:18" x14ac:dyDescent="0.25">
      <c r="A96" s="169">
        <v>45961</v>
      </c>
      <c r="B96" s="116">
        <v>3248.7</v>
      </c>
      <c r="C96" s="116">
        <v>3185.05</v>
      </c>
      <c r="D96" s="116">
        <v>3168.8</v>
      </c>
      <c r="E96" s="116">
        <v>3208</v>
      </c>
      <c r="F96" s="116">
        <v>3185.05</v>
      </c>
      <c r="G96">
        <v>16760</v>
      </c>
      <c r="H96" s="116"/>
      <c r="I96" s="116"/>
      <c r="L96" s="169">
        <v>45961</v>
      </c>
      <c r="M96" s="116">
        <v>3185.6</v>
      </c>
      <c r="N96" s="116">
        <v>3248</v>
      </c>
      <c r="O96" s="116">
        <v>3173.1</v>
      </c>
      <c r="P96" s="116">
        <v>3211</v>
      </c>
      <c r="Q96" s="116">
        <v>3185.6</v>
      </c>
      <c r="R96">
        <v>323249</v>
      </c>
    </row>
    <row r="97" spans="1:18" x14ac:dyDescent="0.25">
      <c r="A97" s="169">
        <v>45964</v>
      </c>
      <c r="B97" s="116">
        <v>3234</v>
      </c>
      <c r="C97" s="116">
        <v>3205.05</v>
      </c>
      <c r="D97" s="116">
        <v>3179</v>
      </c>
      <c r="E97" s="116">
        <v>3180.85</v>
      </c>
      <c r="F97" s="116">
        <v>3205.05</v>
      </c>
      <c r="G97">
        <v>13126</v>
      </c>
      <c r="H97" s="116"/>
      <c r="I97" s="116"/>
      <c r="L97" s="169">
        <v>45964</v>
      </c>
      <c r="M97" s="116">
        <v>3206.3</v>
      </c>
      <c r="N97" s="116">
        <v>3237</v>
      </c>
      <c r="O97" s="116">
        <v>3178</v>
      </c>
      <c r="P97" s="116">
        <v>3198.7</v>
      </c>
      <c r="Q97" s="116">
        <v>3206.3</v>
      </c>
      <c r="R97">
        <v>211143</v>
      </c>
    </row>
    <row r="98" spans="1:18" x14ac:dyDescent="0.25">
      <c r="A98" s="169">
        <v>45965</v>
      </c>
      <c r="B98" s="116">
        <v>3298</v>
      </c>
      <c r="C98" s="116">
        <v>3241.65</v>
      </c>
      <c r="D98" s="116">
        <v>3188.85</v>
      </c>
      <c r="E98" s="116">
        <v>3233.3</v>
      </c>
      <c r="F98" s="116">
        <v>3241.65</v>
      </c>
      <c r="G98">
        <v>23437</v>
      </c>
      <c r="H98" s="116"/>
      <c r="I98" s="116"/>
      <c r="L98" s="169">
        <v>45965</v>
      </c>
      <c r="M98" s="116">
        <v>3245.4</v>
      </c>
      <c r="N98" s="116">
        <v>3298</v>
      </c>
      <c r="O98" s="116">
        <v>3187.2</v>
      </c>
      <c r="P98" s="116">
        <v>3225</v>
      </c>
      <c r="Q98" s="116">
        <v>3245.4</v>
      </c>
      <c r="R98">
        <v>551946</v>
      </c>
    </row>
    <row r="99" spans="1:18" x14ac:dyDescent="0.25">
      <c r="A99" s="169">
        <v>45967</v>
      </c>
      <c r="B99" s="116">
        <v>3300.3</v>
      </c>
      <c r="C99" s="116">
        <v>3186.4</v>
      </c>
      <c r="D99" s="116">
        <v>3150.05</v>
      </c>
      <c r="E99" s="116">
        <v>3270.1</v>
      </c>
      <c r="F99" s="116">
        <v>3186.4</v>
      </c>
      <c r="G99">
        <v>18559</v>
      </c>
      <c r="H99" s="116"/>
      <c r="I99" s="116"/>
      <c r="L99" s="169">
        <v>45967</v>
      </c>
      <c r="M99" s="116">
        <v>3185.6</v>
      </c>
      <c r="N99" s="116">
        <v>3304</v>
      </c>
      <c r="O99" s="116">
        <v>3150.4</v>
      </c>
      <c r="P99" s="116">
        <v>3280</v>
      </c>
      <c r="Q99" s="116">
        <v>3185.6</v>
      </c>
      <c r="R99">
        <v>697833</v>
      </c>
    </row>
    <row r="100" spans="1:18" x14ac:dyDescent="0.25">
      <c r="A100" s="169">
        <v>45968</v>
      </c>
      <c r="B100" s="116">
        <v>3243.3</v>
      </c>
      <c r="C100" s="116">
        <v>3228.75</v>
      </c>
      <c r="D100" s="116">
        <v>3094.2</v>
      </c>
      <c r="E100" s="116">
        <v>3179.45</v>
      </c>
      <c r="F100" s="116">
        <v>3228.75</v>
      </c>
      <c r="G100">
        <v>26158</v>
      </c>
      <c r="H100" s="116"/>
      <c r="I100" s="116"/>
      <c r="L100" s="169">
        <v>45968</v>
      </c>
      <c r="M100" s="116">
        <v>3228.2</v>
      </c>
      <c r="N100" s="116">
        <v>3243.2</v>
      </c>
      <c r="O100" s="116">
        <v>3095</v>
      </c>
      <c r="P100" s="116">
        <v>3175</v>
      </c>
      <c r="Q100" s="116">
        <v>3228.2</v>
      </c>
      <c r="R100">
        <v>464412</v>
      </c>
    </row>
    <row r="101" spans="1:18" x14ac:dyDescent="0.25">
      <c r="A101" s="169">
        <v>45971</v>
      </c>
      <c r="B101" s="116">
        <v>3309</v>
      </c>
      <c r="C101" s="116">
        <v>3277.15</v>
      </c>
      <c r="D101" s="116">
        <v>3230.05</v>
      </c>
      <c r="E101" s="116">
        <v>3230.05</v>
      </c>
      <c r="F101" s="116">
        <v>3277.15</v>
      </c>
      <c r="G101">
        <v>37717</v>
      </c>
      <c r="H101" s="116"/>
      <c r="I101" s="116"/>
      <c r="L101" s="169">
        <v>45971</v>
      </c>
      <c r="M101" s="116">
        <v>3282.1</v>
      </c>
      <c r="N101" s="116">
        <v>3309.9</v>
      </c>
      <c r="O101" s="116">
        <v>3237.9</v>
      </c>
      <c r="P101" s="116">
        <v>3248.9</v>
      </c>
      <c r="Q101" s="116">
        <v>3282.1</v>
      </c>
      <c r="R101">
        <v>357564</v>
      </c>
    </row>
    <row r="102" spans="1:18" x14ac:dyDescent="0.25">
      <c r="A102" s="169">
        <v>45972</v>
      </c>
      <c r="B102" s="116">
        <v>3325</v>
      </c>
      <c r="C102" s="116">
        <v>3245.15</v>
      </c>
      <c r="D102" s="116">
        <v>3224.55</v>
      </c>
      <c r="E102" s="116">
        <v>3305.1</v>
      </c>
      <c r="F102" s="116">
        <v>3245.15</v>
      </c>
      <c r="G102">
        <v>17343</v>
      </c>
      <c r="H102" s="116"/>
      <c r="I102" s="116"/>
      <c r="L102" s="169">
        <v>45972</v>
      </c>
      <c r="M102" s="116">
        <v>3248.2</v>
      </c>
      <c r="N102" s="116">
        <v>3328.6</v>
      </c>
      <c r="O102" s="116">
        <v>3225</v>
      </c>
      <c r="P102" s="116">
        <v>3311.6</v>
      </c>
      <c r="Q102" s="116">
        <v>3248.2</v>
      </c>
      <c r="R102">
        <v>297925</v>
      </c>
    </row>
    <row r="103" spans="1:18" x14ac:dyDescent="0.25">
      <c r="A103" s="169">
        <v>45973</v>
      </c>
      <c r="B103" s="116">
        <v>3301</v>
      </c>
      <c r="C103" s="116">
        <v>3281.5</v>
      </c>
      <c r="D103" s="116">
        <v>3245.35</v>
      </c>
      <c r="E103" s="116">
        <v>3245.35</v>
      </c>
      <c r="F103" s="116">
        <v>3281.5</v>
      </c>
      <c r="G103">
        <v>8989</v>
      </c>
      <c r="H103" s="116"/>
      <c r="I103" s="116"/>
      <c r="L103" s="169">
        <v>45973</v>
      </c>
      <c r="M103" s="116">
        <v>3283.6</v>
      </c>
      <c r="N103" s="116">
        <v>3300</v>
      </c>
      <c r="O103" s="116">
        <v>3250.5</v>
      </c>
      <c r="P103" s="116">
        <v>3278</v>
      </c>
      <c r="Q103" s="116">
        <v>3283.6</v>
      </c>
      <c r="R103">
        <v>324320</v>
      </c>
    </row>
    <row r="104" spans="1:18" x14ac:dyDescent="0.25">
      <c r="A104" s="169">
        <v>45974</v>
      </c>
      <c r="B104" s="116">
        <v>3318.5</v>
      </c>
      <c r="C104" s="116">
        <v>3297.5</v>
      </c>
      <c r="D104" s="116">
        <v>3270.75</v>
      </c>
      <c r="E104" s="116">
        <v>3303.25</v>
      </c>
      <c r="F104" s="116">
        <v>3297.5</v>
      </c>
      <c r="G104">
        <v>10892</v>
      </c>
      <c r="H104" s="116"/>
      <c r="I104" s="116"/>
      <c r="L104" s="169">
        <v>45974</v>
      </c>
      <c r="M104" s="116">
        <v>3298.5</v>
      </c>
      <c r="N104" s="116">
        <v>3318</v>
      </c>
      <c r="O104" s="116">
        <v>3269.8</v>
      </c>
      <c r="P104" s="116">
        <v>3283.6</v>
      </c>
      <c r="Q104" s="116">
        <v>3298.5</v>
      </c>
      <c r="R104">
        <v>285944</v>
      </c>
    </row>
    <row r="105" spans="1:18" x14ac:dyDescent="0.25">
      <c r="A105" s="169">
        <v>45975</v>
      </c>
      <c r="B105" s="116">
        <v>3319.05</v>
      </c>
      <c r="C105" s="116">
        <v>3259.85</v>
      </c>
      <c r="D105" s="116">
        <v>3230.4</v>
      </c>
      <c r="E105" s="116">
        <v>3319.05</v>
      </c>
      <c r="F105" s="116">
        <v>3259.85</v>
      </c>
      <c r="G105">
        <v>6277</v>
      </c>
      <c r="H105" s="116"/>
      <c r="I105" s="116"/>
      <c r="L105" s="169">
        <v>45975</v>
      </c>
      <c r="M105" s="116">
        <v>3257.6</v>
      </c>
      <c r="N105" s="116">
        <v>3303</v>
      </c>
      <c r="O105" s="116">
        <v>3231</v>
      </c>
      <c r="P105" s="116">
        <v>3280.5</v>
      </c>
      <c r="Q105" s="116">
        <v>3257.6</v>
      </c>
      <c r="R105">
        <v>284739</v>
      </c>
    </row>
    <row r="106" spans="1:18" x14ac:dyDescent="0.25">
      <c r="A106" s="169">
        <v>45978</v>
      </c>
      <c r="B106" s="116">
        <v>3311</v>
      </c>
      <c r="C106" s="116">
        <v>3296.9</v>
      </c>
      <c r="D106" s="116">
        <v>3259.25</v>
      </c>
      <c r="E106" s="116">
        <v>3259.25</v>
      </c>
      <c r="F106" s="116">
        <v>3296.9</v>
      </c>
      <c r="G106">
        <v>10478</v>
      </c>
      <c r="H106" s="116"/>
      <c r="I106" s="116"/>
      <c r="L106" s="169">
        <v>45978</v>
      </c>
      <c r="M106" s="116">
        <v>3296.1</v>
      </c>
      <c r="N106" s="116">
        <v>3312.6</v>
      </c>
      <c r="O106" s="116">
        <v>3274</v>
      </c>
      <c r="P106" s="116">
        <v>3274</v>
      </c>
      <c r="Q106" s="116">
        <v>3296.1</v>
      </c>
      <c r="R106">
        <v>217701</v>
      </c>
    </row>
    <row r="107" spans="1:18" x14ac:dyDescent="0.25">
      <c r="A107" s="169">
        <v>45979</v>
      </c>
      <c r="B107" s="116">
        <v>3379</v>
      </c>
      <c r="C107" s="116">
        <v>3347.65</v>
      </c>
      <c r="D107" s="116">
        <v>3300.15</v>
      </c>
      <c r="E107" s="116">
        <v>3300.15</v>
      </c>
      <c r="F107" s="116">
        <v>3347.65</v>
      </c>
      <c r="G107">
        <v>33248</v>
      </c>
      <c r="H107" s="116"/>
      <c r="I107" s="116"/>
      <c r="L107" s="169">
        <v>45979</v>
      </c>
      <c r="M107" s="116">
        <v>3348.9</v>
      </c>
      <c r="N107" s="116">
        <v>3380</v>
      </c>
      <c r="O107" s="116">
        <v>3312.5</v>
      </c>
      <c r="P107" s="116">
        <v>3317</v>
      </c>
      <c r="Q107" s="116">
        <v>3348.9</v>
      </c>
      <c r="R107">
        <v>539522</v>
      </c>
    </row>
    <row r="108" spans="1:18" x14ac:dyDescent="0.25">
      <c r="A108" s="169">
        <v>45980</v>
      </c>
      <c r="B108" s="116">
        <v>3390.85</v>
      </c>
      <c r="C108" s="116">
        <v>3313.55</v>
      </c>
      <c r="D108" s="116">
        <v>3302.2</v>
      </c>
      <c r="E108" s="116">
        <v>3330</v>
      </c>
      <c r="F108" s="116">
        <v>3313.55</v>
      </c>
      <c r="G108">
        <v>13026</v>
      </c>
      <c r="H108" s="116"/>
      <c r="I108" s="116"/>
      <c r="L108" s="169">
        <v>45980</v>
      </c>
      <c r="M108" s="116">
        <v>3314.9</v>
      </c>
      <c r="N108" s="116">
        <v>3392</v>
      </c>
      <c r="O108" s="116">
        <v>3304.4</v>
      </c>
      <c r="P108" s="116">
        <v>3333</v>
      </c>
      <c r="Q108" s="116">
        <v>3314.9</v>
      </c>
      <c r="R108">
        <v>412298</v>
      </c>
    </row>
    <row r="109" spans="1:18" x14ac:dyDescent="0.25">
      <c r="A109" s="169">
        <v>45981</v>
      </c>
      <c r="B109" s="116">
        <v>3389</v>
      </c>
      <c r="C109" s="116">
        <v>3345.9</v>
      </c>
      <c r="D109" s="116">
        <v>3320.95</v>
      </c>
      <c r="E109" s="116">
        <v>3320.95</v>
      </c>
      <c r="F109" s="116">
        <v>3345.9</v>
      </c>
      <c r="G109">
        <v>12944</v>
      </c>
      <c r="H109" s="116"/>
      <c r="I109" s="116"/>
      <c r="L109" s="169">
        <v>45981</v>
      </c>
      <c r="M109" s="116">
        <v>3346</v>
      </c>
      <c r="N109" s="116">
        <v>3388.1</v>
      </c>
      <c r="O109" s="116">
        <v>3315</v>
      </c>
      <c r="P109" s="116">
        <v>3334</v>
      </c>
      <c r="Q109" s="116">
        <v>3346</v>
      </c>
      <c r="R109">
        <v>493812</v>
      </c>
    </row>
    <row r="110" spans="1:18" x14ac:dyDescent="0.25">
      <c r="A110" s="169">
        <v>45982</v>
      </c>
      <c r="B110" s="116">
        <v>3383</v>
      </c>
      <c r="C110" s="116">
        <v>3335.3</v>
      </c>
      <c r="D110" s="116">
        <v>3273</v>
      </c>
      <c r="E110" s="116">
        <v>3376.55</v>
      </c>
      <c r="F110" s="116">
        <v>3335.3</v>
      </c>
      <c r="G110">
        <v>12328</v>
      </c>
      <c r="H110" s="116"/>
      <c r="I110" s="116"/>
      <c r="L110" s="169">
        <v>45982</v>
      </c>
      <c r="M110" s="116">
        <v>3332.9</v>
      </c>
      <c r="N110" s="116">
        <v>3384</v>
      </c>
      <c r="O110" s="116">
        <v>3270</v>
      </c>
      <c r="P110" s="116">
        <v>3358.5</v>
      </c>
      <c r="Q110" s="116">
        <v>3332.9</v>
      </c>
      <c r="R110">
        <v>362284</v>
      </c>
    </row>
    <row r="111" spans="1:18" x14ac:dyDescent="0.25">
      <c r="A111" s="169">
        <v>45985</v>
      </c>
      <c r="B111" s="116">
        <v>3375.85</v>
      </c>
      <c r="C111" s="116">
        <v>3159.4</v>
      </c>
      <c r="D111" s="116">
        <v>3075</v>
      </c>
      <c r="E111" s="116">
        <v>3342.35</v>
      </c>
      <c r="F111" s="116">
        <v>3159.4</v>
      </c>
      <c r="G111">
        <v>161160</v>
      </c>
      <c r="H111" s="116"/>
      <c r="I111" s="116"/>
      <c r="L111" s="169">
        <v>45985</v>
      </c>
      <c r="M111" s="116">
        <v>3162.9</v>
      </c>
      <c r="N111" s="116">
        <v>3376.8</v>
      </c>
      <c r="O111" s="116">
        <v>3073.6</v>
      </c>
      <c r="P111" s="116">
        <v>3348</v>
      </c>
      <c r="Q111" s="116">
        <v>3162.9</v>
      </c>
      <c r="R111">
        <v>14975777</v>
      </c>
    </row>
    <row r="112" spans="1:18" x14ac:dyDescent="0.25">
      <c r="A112" s="169">
        <v>45986</v>
      </c>
      <c r="B112" s="116">
        <v>3303</v>
      </c>
      <c r="C112" s="116">
        <v>3097.95</v>
      </c>
      <c r="D112" s="116">
        <v>3023</v>
      </c>
      <c r="E112" s="116">
        <v>3249</v>
      </c>
      <c r="F112" s="116">
        <v>3097.95</v>
      </c>
      <c r="G112">
        <v>435253</v>
      </c>
      <c r="H112" s="116"/>
      <c r="I112" s="116"/>
      <c r="L112" s="169">
        <v>45986</v>
      </c>
      <c r="M112" s="116">
        <v>3097.5</v>
      </c>
      <c r="N112" s="116">
        <v>3294</v>
      </c>
      <c r="O112" s="116">
        <v>3022.1</v>
      </c>
      <c r="P112" s="116">
        <v>3250</v>
      </c>
      <c r="Q112" s="116">
        <v>3097.5</v>
      </c>
      <c r="R112">
        <v>2473410</v>
      </c>
    </row>
    <row r="113" spans="1:18" x14ac:dyDescent="0.25">
      <c r="A113" s="169">
        <v>45987</v>
      </c>
      <c r="B113" s="116">
        <v>3154.9</v>
      </c>
      <c r="C113" s="116">
        <v>3113.55</v>
      </c>
      <c r="D113" s="116">
        <v>3099.9</v>
      </c>
      <c r="E113" s="116">
        <v>3130</v>
      </c>
      <c r="F113" s="116">
        <v>3113.55</v>
      </c>
      <c r="G113">
        <v>82368</v>
      </c>
      <c r="H113" s="116"/>
      <c r="I113" s="116"/>
      <c r="L113" s="169">
        <v>45987</v>
      </c>
      <c r="M113" s="116">
        <v>3113.7</v>
      </c>
      <c r="N113" s="116">
        <v>3156.9</v>
      </c>
      <c r="O113" s="116">
        <v>3097.8</v>
      </c>
      <c r="P113" s="116">
        <v>3130</v>
      </c>
      <c r="Q113" s="116">
        <v>3113.7</v>
      </c>
      <c r="R113">
        <v>934038</v>
      </c>
    </row>
    <row r="114" spans="1:18" x14ac:dyDescent="0.25">
      <c r="A114" s="169">
        <v>45988</v>
      </c>
      <c r="B114" s="116">
        <v>3152.2</v>
      </c>
      <c r="C114" s="116">
        <v>3111.15</v>
      </c>
      <c r="D114" s="116">
        <v>3091</v>
      </c>
      <c r="E114" s="116">
        <v>3129.3</v>
      </c>
      <c r="F114" s="116">
        <v>3111.15</v>
      </c>
      <c r="G114">
        <v>15978</v>
      </c>
      <c r="H114" s="116"/>
      <c r="I114" s="116"/>
      <c r="L114" s="169">
        <v>45988</v>
      </c>
      <c r="M114" s="116">
        <v>3111.6</v>
      </c>
      <c r="N114" s="116">
        <v>3152.1</v>
      </c>
      <c r="O114" s="116">
        <v>3088.3</v>
      </c>
      <c r="P114" s="116">
        <v>3133</v>
      </c>
      <c r="Q114" s="116">
        <v>3111.6</v>
      </c>
      <c r="R114">
        <v>724788</v>
      </c>
    </row>
    <row r="115" spans="1:18" x14ac:dyDescent="0.25">
      <c r="A115" s="169">
        <v>45989</v>
      </c>
      <c r="B115" s="116">
        <v>3241</v>
      </c>
      <c r="C115" s="116">
        <v>3159.45</v>
      </c>
      <c r="D115" s="116">
        <v>3129.6</v>
      </c>
      <c r="E115" s="116">
        <v>3139.65</v>
      </c>
      <c r="F115" s="116">
        <v>3159.45</v>
      </c>
      <c r="G115">
        <v>34283</v>
      </c>
      <c r="H115" s="116"/>
      <c r="I115" s="116"/>
      <c r="L115" s="169">
        <v>45989</v>
      </c>
      <c r="M115" s="116">
        <v>3159.6</v>
      </c>
      <c r="N115" s="116">
        <v>3239</v>
      </c>
      <c r="O115" s="116">
        <v>3118</v>
      </c>
      <c r="P115" s="116">
        <v>3134.8</v>
      </c>
      <c r="Q115" s="116">
        <v>3159.6</v>
      </c>
      <c r="R115">
        <v>961631</v>
      </c>
    </row>
    <row r="116" spans="1:18" x14ac:dyDescent="0.25">
      <c r="A116" s="169">
        <v>45992</v>
      </c>
      <c r="B116" s="116">
        <v>3188.95</v>
      </c>
      <c r="C116" s="116">
        <v>3141.55</v>
      </c>
      <c r="D116" s="116">
        <v>3115.05</v>
      </c>
      <c r="E116" s="116">
        <v>3188.95</v>
      </c>
      <c r="F116" s="116">
        <v>3141.55</v>
      </c>
      <c r="G116">
        <v>8578</v>
      </c>
      <c r="H116" s="116"/>
      <c r="I116" s="116"/>
      <c r="L116" s="169">
        <v>45992</v>
      </c>
      <c r="M116" s="116">
        <v>3140.9</v>
      </c>
      <c r="N116" s="116">
        <v>3174.5</v>
      </c>
      <c r="O116" s="116">
        <v>3114</v>
      </c>
      <c r="P116" s="116">
        <v>3170</v>
      </c>
      <c r="Q116" s="116">
        <v>3140.9</v>
      </c>
      <c r="R116">
        <v>258130</v>
      </c>
    </row>
    <row r="117" spans="1:18" x14ac:dyDescent="0.25">
      <c r="A117" s="169">
        <v>45993</v>
      </c>
      <c r="B117" s="116">
        <v>3196.5</v>
      </c>
      <c r="C117" s="116">
        <v>3192.75</v>
      </c>
      <c r="D117" s="116">
        <v>3139</v>
      </c>
      <c r="E117" s="116">
        <v>3168.85</v>
      </c>
      <c r="F117" s="116">
        <v>3192.75</v>
      </c>
      <c r="G117">
        <v>11744</v>
      </c>
      <c r="H117" s="116"/>
      <c r="I117" s="116"/>
      <c r="L117" s="169">
        <v>45993</v>
      </c>
      <c r="M117" s="116">
        <v>3194.3</v>
      </c>
      <c r="N117" s="116">
        <v>3197.7</v>
      </c>
      <c r="O117" s="116">
        <v>3139.4</v>
      </c>
      <c r="P117" s="116">
        <v>3145</v>
      </c>
      <c r="Q117" s="116">
        <v>3194.3</v>
      </c>
      <c r="R117">
        <v>443633</v>
      </c>
    </row>
    <row r="118" spans="1:18" x14ac:dyDescent="0.25">
      <c r="A118" s="169">
        <v>45994</v>
      </c>
      <c r="B118" s="116">
        <v>3209.55</v>
      </c>
      <c r="C118" s="116">
        <v>3152.4</v>
      </c>
      <c r="D118" s="116">
        <v>3125</v>
      </c>
      <c r="E118" s="116">
        <v>3195.95</v>
      </c>
      <c r="F118" s="116">
        <v>3152.4</v>
      </c>
      <c r="G118">
        <v>8277</v>
      </c>
      <c r="H118" s="116"/>
      <c r="I118" s="116"/>
      <c r="L118" s="169">
        <v>45994</v>
      </c>
      <c r="M118" s="116">
        <v>3150.5</v>
      </c>
      <c r="N118" s="116">
        <v>3214</v>
      </c>
      <c r="O118" s="116">
        <v>3123.5</v>
      </c>
      <c r="P118" s="116">
        <v>3200</v>
      </c>
      <c r="Q118" s="116">
        <v>3150.5</v>
      </c>
      <c r="R118">
        <v>274280</v>
      </c>
    </row>
    <row r="119" spans="1:18" x14ac:dyDescent="0.25">
      <c r="A119" s="169">
        <v>45995</v>
      </c>
      <c r="B119" s="116">
        <v>3190</v>
      </c>
      <c r="C119" s="116">
        <v>3099.5</v>
      </c>
      <c r="D119" s="116">
        <v>3091</v>
      </c>
      <c r="E119" s="116">
        <v>3126.85</v>
      </c>
      <c r="F119" s="116">
        <v>3099.5</v>
      </c>
      <c r="G119">
        <v>12331</v>
      </c>
      <c r="H119" s="116"/>
      <c r="I119" s="116"/>
      <c r="L119" s="169">
        <v>45995</v>
      </c>
      <c r="M119" s="116">
        <v>3100.7</v>
      </c>
      <c r="N119" s="116">
        <v>3190</v>
      </c>
      <c r="O119" s="116">
        <v>3090</v>
      </c>
      <c r="P119" s="116">
        <v>3150</v>
      </c>
      <c r="Q119" s="116">
        <v>3100.7</v>
      </c>
      <c r="R119">
        <v>305254</v>
      </c>
    </row>
    <row r="120" spans="1:18" x14ac:dyDescent="0.25">
      <c r="A120" s="169">
        <v>45996</v>
      </c>
      <c r="B120" s="116">
        <v>3134.9</v>
      </c>
      <c r="C120" s="116">
        <v>3099.15</v>
      </c>
      <c r="D120" s="116">
        <v>3076.7</v>
      </c>
      <c r="E120" s="116">
        <v>3110.3</v>
      </c>
      <c r="F120" s="116">
        <v>3099.15</v>
      </c>
      <c r="G120">
        <v>6331</v>
      </c>
      <c r="H120" s="116"/>
      <c r="I120" s="116"/>
      <c r="L120" s="169">
        <v>45996</v>
      </c>
      <c r="M120" s="116">
        <v>3098.2</v>
      </c>
      <c r="N120" s="116">
        <v>3138</v>
      </c>
      <c r="O120" s="116">
        <v>3075</v>
      </c>
      <c r="P120" s="116">
        <v>3118</v>
      </c>
      <c r="Q120" s="116">
        <v>3098.2</v>
      </c>
      <c r="R120">
        <v>372926</v>
      </c>
    </row>
    <row r="121" spans="1:18" x14ac:dyDescent="0.25">
      <c r="A121" s="169">
        <v>45999</v>
      </c>
      <c r="B121" s="116">
        <v>3118</v>
      </c>
      <c r="C121" s="116">
        <v>2954.45</v>
      </c>
      <c r="D121" s="116">
        <v>2932</v>
      </c>
      <c r="E121" s="116">
        <v>3078.05</v>
      </c>
      <c r="F121" s="116">
        <v>2954.45</v>
      </c>
      <c r="G121">
        <v>23972</v>
      </c>
      <c r="H121" s="116"/>
      <c r="I121" s="116"/>
      <c r="L121" s="169">
        <v>45999</v>
      </c>
      <c r="M121" s="116">
        <v>2953.8</v>
      </c>
      <c r="N121" s="116">
        <v>3119.8</v>
      </c>
      <c r="O121" s="116">
        <v>2931.6</v>
      </c>
      <c r="P121" s="116">
        <v>3100</v>
      </c>
      <c r="Q121" s="116">
        <v>2953.8</v>
      </c>
      <c r="R121">
        <v>518818</v>
      </c>
    </row>
    <row r="122" spans="1:18" x14ac:dyDescent="0.25">
      <c r="A122" s="169">
        <v>46000</v>
      </c>
      <c r="B122" s="116">
        <v>3042.8</v>
      </c>
      <c r="C122" s="116">
        <v>3032.4</v>
      </c>
      <c r="D122" s="116">
        <v>2933.65</v>
      </c>
      <c r="E122" s="116">
        <v>2950</v>
      </c>
      <c r="F122" s="116">
        <v>3032.4</v>
      </c>
      <c r="G122">
        <v>17139</v>
      </c>
      <c r="H122" s="116"/>
      <c r="I122" s="116"/>
      <c r="L122" s="169">
        <v>46000</v>
      </c>
      <c r="M122" s="116">
        <v>3032.8</v>
      </c>
      <c r="N122" s="116">
        <v>3042.7</v>
      </c>
      <c r="O122" s="116">
        <v>2933</v>
      </c>
      <c r="P122" s="116">
        <v>2952</v>
      </c>
      <c r="Q122" s="116">
        <v>3032.8</v>
      </c>
      <c r="R122">
        <v>563954</v>
      </c>
    </row>
    <row r="123" spans="1:18" x14ac:dyDescent="0.25">
      <c r="A123" s="169">
        <v>46001</v>
      </c>
      <c r="B123" s="116">
        <v>3077.1</v>
      </c>
      <c r="C123" s="116">
        <v>2995</v>
      </c>
      <c r="D123" s="116">
        <v>2982.45</v>
      </c>
      <c r="E123" s="116">
        <v>3035</v>
      </c>
      <c r="F123" s="116">
        <v>2995</v>
      </c>
      <c r="G123">
        <v>10732</v>
      </c>
      <c r="H123" s="116"/>
      <c r="I123" s="116"/>
      <c r="L123" s="169">
        <v>46001</v>
      </c>
      <c r="M123" s="116">
        <v>2996.3</v>
      </c>
      <c r="N123" s="116">
        <v>3078.9</v>
      </c>
      <c r="O123" s="116">
        <v>2981.7</v>
      </c>
      <c r="P123" s="116">
        <v>3042</v>
      </c>
      <c r="Q123" s="116">
        <v>2996.3</v>
      </c>
      <c r="R123">
        <v>409895</v>
      </c>
    </row>
    <row r="124" spans="1:18" x14ac:dyDescent="0.25">
      <c r="A124" s="169">
        <v>46002</v>
      </c>
      <c r="B124" s="116">
        <v>2984.6</v>
      </c>
      <c r="C124" s="116">
        <v>2907.7</v>
      </c>
      <c r="D124" s="116">
        <v>2895.45</v>
      </c>
      <c r="E124" s="116">
        <v>2984.6</v>
      </c>
      <c r="F124" s="116">
        <v>2907.7</v>
      </c>
      <c r="G124">
        <v>16572</v>
      </c>
      <c r="H124" s="116"/>
      <c r="I124" s="116"/>
      <c r="L124" s="169">
        <v>46002</v>
      </c>
      <c r="M124" s="116">
        <v>2905.4</v>
      </c>
      <c r="N124" s="116">
        <v>2975</v>
      </c>
      <c r="O124" s="116">
        <v>2896</v>
      </c>
      <c r="P124" s="116">
        <v>2975</v>
      </c>
      <c r="Q124" s="116">
        <v>2905.4</v>
      </c>
      <c r="R124">
        <v>653327</v>
      </c>
    </row>
    <row r="125" spans="1:18" x14ac:dyDescent="0.25">
      <c r="A125" s="169">
        <v>46003</v>
      </c>
      <c r="B125" s="116">
        <v>2955.35</v>
      </c>
      <c r="C125" s="116">
        <v>2895.9</v>
      </c>
      <c r="D125" s="116">
        <v>2885.6</v>
      </c>
      <c r="E125" s="116">
        <v>2917.55</v>
      </c>
      <c r="F125" s="116">
        <v>2895.9</v>
      </c>
      <c r="G125">
        <v>15319</v>
      </c>
      <c r="H125" s="116"/>
      <c r="I125" s="116"/>
      <c r="L125" s="169">
        <v>46003</v>
      </c>
      <c r="M125" s="116">
        <v>2893.6</v>
      </c>
      <c r="N125" s="116">
        <v>2954.3</v>
      </c>
      <c r="O125" s="116">
        <v>2888</v>
      </c>
      <c r="P125" s="116">
        <v>2920.1</v>
      </c>
      <c r="Q125" s="116">
        <v>2893.6</v>
      </c>
      <c r="R125">
        <v>380471</v>
      </c>
    </row>
    <row r="126" spans="1:18" x14ac:dyDescent="0.25">
      <c r="A126" s="169">
        <v>46006</v>
      </c>
      <c r="B126" s="116">
        <v>2999</v>
      </c>
      <c r="C126" s="116">
        <v>2946.75</v>
      </c>
      <c r="D126" s="116">
        <v>2900.05</v>
      </c>
      <c r="E126" s="116">
        <v>2900.05</v>
      </c>
      <c r="F126" s="116">
        <v>2946.75</v>
      </c>
      <c r="G126">
        <v>23460</v>
      </c>
      <c r="H126" s="116"/>
      <c r="I126" s="116"/>
      <c r="L126" s="169">
        <v>46006</v>
      </c>
      <c r="M126" s="116">
        <v>2945.6</v>
      </c>
      <c r="N126" s="116">
        <v>2999</v>
      </c>
      <c r="O126" s="116">
        <v>2903.6</v>
      </c>
      <c r="P126" s="116">
        <v>2905</v>
      </c>
      <c r="Q126" s="116">
        <v>2945.6</v>
      </c>
      <c r="R126">
        <v>456360</v>
      </c>
    </row>
    <row r="127" spans="1:18" x14ac:dyDescent="0.25">
      <c r="A127" s="169">
        <v>46007</v>
      </c>
      <c r="B127" s="116">
        <v>3025</v>
      </c>
      <c r="C127" s="116">
        <v>2979.3</v>
      </c>
      <c r="D127" s="116">
        <v>2945.15</v>
      </c>
      <c r="E127" s="116">
        <v>2959.95</v>
      </c>
      <c r="F127" s="116">
        <v>2979.3</v>
      </c>
      <c r="G127">
        <v>18692</v>
      </c>
      <c r="H127" s="116"/>
      <c r="I127" s="116"/>
      <c r="L127" s="169">
        <v>46007</v>
      </c>
      <c r="M127" s="116">
        <v>2979.8</v>
      </c>
      <c r="N127" s="116">
        <v>3024.2</v>
      </c>
      <c r="O127" s="116">
        <v>2942.1</v>
      </c>
      <c r="P127" s="116">
        <v>2957.9</v>
      </c>
      <c r="Q127" s="116">
        <v>2979.8</v>
      </c>
      <c r="R127">
        <v>612192</v>
      </c>
    </row>
    <row r="128" spans="1:18" x14ac:dyDescent="0.25">
      <c r="A128" s="169">
        <v>46008</v>
      </c>
      <c r="B128" s="116">
        <v>3010.75</v>
      </c>
      <c r="C128" s="116">
        <v>2975.45</v>
      </c>
      <c r="D128" s="116">
        <v>2936</v>
      </c>
      <c r="E128" s="116">
        <v>2979.35</v>
      </c>
      <c r="F128" s="116">
        <v>2975.45</v>
      </c>
      <c r="G128">
        <v>8218</v>
      </c>
      <c r="H128" s="116"/>
      <c r="I128" s="116"/>
      <c r="L128" s="169">
        <v>46008</v>
      </c>
      <c r="M128" s="116">
        <v>2971.7</v>
      </c>
      <c r="N128" s="116">
        <v>3012.4</v>
      </c>
      <c r="O128" s="116">
        <v>2934.4</v>
      </c>
      <c r="P128" s="116">
        <v>2982</v>
      </c>
      <c r="Q128" s="116">
        <v>2971.7</v>
      </c>
      <c r="R128">
        <v>356990</v>
      </c>
    </row>
    <row r="129" spans="1:18" x14ac:dyDescent="0.25">
      <c r="A129" s="169">
        <v>46009</v>
      </c>
      <c r="B129" s="116">
        <v>2970.2</v>
      </c>
      <c r="C129" s="116">
        <v>2837.7</v>
      </c>
      <c r="D129" s="116">
        <v>2830.1</v>
      </c>
      <c r="E129" s="116">
        <v>2970.2</v>
      </c>
      <c r="F129" s="116">
        <v>2837.7</v>
      </c>
      <c r="G129">
        <v>27652</v>
      </c>
      <c r="H129" s="116"/>
      <c r="I129" s="116"/>
      <c r="L129" s="169">
        <v>46009</v>
      </c>
      <c r="M129" s="116">
        <v>2839.4</v>
      </c>
      <c r="N129" s="116">
        <v>2964.4</v>
      </c>
      <c r="O129" s="116">
        <v>2828</v>
      </c>
      <c r="P129" s="116">
        <v>2962</v>
      </c>
      <c r="Q129" s="116">
        <v>2839.4</v>
      </c>
      <c r="R129">
        <v>768526</v>
      </c>
    </row>
    <row r="130" spans="1:18" x14ac:dyDescent="0.25">
      <c r="A130" s="169">
        <v>46010</v>
      </c>
      <c r="B130" s="116">
        <v>2872.35</v>
      </c>
      <c r="C130" s="116">
        <v>2748.45</v>
      </c>
      <c r="D130" s="116">
        <v>2703.3</v>
      </c>
      <c r="E130" s="116">
        <v>2851.9</v>
      </c>
      <c r="F130" s="116">
        <v>2748.45</v>
      </c>
      <c r="G130">
        <v>54403</v>
      </c>
      <c r="H130" s="116"/>
      <c r="I130" s="116"/>
      <c r="L130" s="169">
        <v>46010</v>
      </c>
      <c r="M130" s="116">
        <v>2747</v>
      </c>
      <c r="N130" s="116">
        <v>2875</v>
      </c>
      <c r="O130" s="116">
        <v>2702</v>
      </c>
      <c r="P130" s="116">
        <v>2860</v>
      </c>
      <c r="Q130" s="116">
        <v>2747</v>
      </c>
      <c r="R130">
        <v>4395833</v>
      </c>
    </row>
    <row r="131" spans="1:18" x14ac:dyDescent="0.25">
      <c r="A131" s="169">
        <v>46013</v>
      </c>
      <c r="B131" s="116">
        <v>2719</v>
      </c>
      <c r="C131" s="116">
        <v>2616.5500000000002</v>
      </c>
      <c r="D131" s="116">
        <v>2577.15</v>
      </c>
      <c r="E131" s="116">
        <v>2719</v>
      </c>
      <c r="F131" s="116">
        <v>2616.5500000000002</v>
      </c>
      <c r="G131">
        <v>178741</v>
      </c>
      <c r="H131" s="116"/>
      <c r="I131" s="116"/>
      <c r="L131" s="169">
        <v>46013</v>
      </c>
      <c r="M131" s="116">
        <v>2616.5</v>
      </c>
      <c r="N131" s="116">
        <v>2722</v>
      </c>
      <c r="O131" s="116">
        <v>2576.5</v>
      </c>
      <c r="P131" s="116">
        <v>2722</v>
      </c>
      <c r="Q131" s="116">
        <v>2616.5</v>
      </c>
      <c r="R131">
        <v>4675842</v>
      </c>
    </row>
    <row r="132" spans="1:18" x14ac:dyDescent="0.25">
      <c r="A132" s="169">
        <v>46014</v>
      </c>
      <c r="B132" s="116">
        <v>2655</v>
      </c>
      <c r="C132" s="116">
        <v>2595.15</v>
      </c>
      <c r="D132" s="116">
        <v>2563.25</v>
      </c>
      <c r="E132" s="116">
        <v>2636.85</v>
      </c>
      <c r="F132" s="116">
        <v>2595.15</v>
      </c>
      <c r="G132">
        <v>69395</v>
      </c>
      <c r="H132" s="116"/>
      <c r="I132" s="116"/>
      <c r="L132" s="169">
        <v>46014</v>
      </c>
      <c r="M132" s="116">
        <v>2593.4</v>
      </c>
      <c r="N132" s="116">
        <v>2654.9</v>
      </c>
      <c r="O132" s="116">
        <v>2564.1</v>
      </c>
      <c r="P132" s="116">
        <v>2630</v>
      </c>
      <c r="Q132" s="116">
        <v>2593.4</v>
      </c>
      <c r="R132">
        <v>1736147</v>
      </c>
    </row>
    <row r="133" spans="1:18" x14ac:dyDescent="0.25">
      <c r="A133" s="169">
        <v>46015</v>
      </c>
      <c r="B133" s="116">
        <v>2610</v>
      </c>
      <c r="C133" s="116">
        <v>2596.25</v>
      </c>
      <c r="D133" s="116">
        <v>2580</v>
      </c>
      <c r="E133" s="116">
        <v>2603.75</v>
      </c>
      <c r="F133" s="116">
        <v>2596.25</v>
      </c>
      <c r="G133">
        <v>33456</v>
      </c>
      <c r="H133" s="116"/>
      <c r="I133" s="116"/>
      <c r="L133" s="169">
        <v>46015</v>
      </c>
      <c r="M133" s="116">
        <v>2595.5</v>
      </c>
      <c r="N133" s="116">
        <v>2611</v>
      </c>
      <c r="O133" s="116">
        <v>2580.8000000000002</v>
      </c>
      <c r="P133" s="116">
        <v>2596.8000000000002</v>
      </c>
      <c r="Q133" s="116">
        <v>2595.5</v>
      </c>
      <c r="R133">
        <v>573553</v>
      </c>
    </row>
    <row r="134" spans="1:18" x14ac:dyDescent="0.25">
      <c r="A134" s="169">
        <v>46017</v>
      </c>
      <c r="B134" s="116">
        <v>2645.95</v>
      </c>
      <c r="C134" s="116">
        <v>2623.55</v>
      </c>
      <c r="D134" s="116">
        <v>2597.8000000000002</v>
      </c>
      <c r="E134" s="116">
        <v>2605</v>
      </c>
      <c r="F134" s="116">
        <v>2623.55</v>
      </c>
      <c r="G134">
        <v>30558</v>
      </c>
      <c r="H134" s="116"/>
      <c r="I134" s="116"/>
      <c r="L134" s="169">
        <v>46017</v>
      </c>
      <c r="M134" s="116">
        <v>2625.1</v>
      </c>
      <c r="N134" s="116">
        <v>2644</v>
      </c>
      <c r="O134" s="116">
        <v>2598.9</v>
      </c>
      <c r="P134" s="116">
        <v>2605</v>
      </c>
      <c r="Q134" s="116">
        <v>2625.1</v>
      </c>
      <c r="R134">
        <v>488094</v>
      </c>
    </row>
    <row r="135" spans="1:18" x14ac:dyDescent="0.25">
      <c r="A135" s="169">
        <v>46020</v>
      </c>
      <c r="B135" s="116">
        <v>2649.75</v>
      </c>
      <c r="C135" s="116">
        <v>2577.75</v>
      </c>
      <c r="D135" s="116">
        <v>2573</v>
      </c>
      <c r="E135" s="116">
        <v>2649.75</v>
      </c>
      <c r="F135" s="116">
        <v>2577.75</v>
      </c>
      <c r="G135">
        <v>16302</v>
      </c>
      <c r="H135" s="116"/>
      <c r="I135" s="116"/>
      <c r="L135" s="169">
        <v>46020</v>
      </c>
      <c r="M135" s="116">
        <v>2578.5</v>
      </c>
      <c r="N135" s="116">
        <v>2646.5</v>
      </c>
      <c r="O135" s="116">
        <v>2572</v>
      </c>
      <c r="P135" s="116">
        <v>2639</v>
      </c>
      <c r="Q135" s="116">
        <v>2578.5</v>
      </c>
      <c r="R135">
        <v>390571</v>
      </c>
    </row>
    <row r="136" spans="1:18" x14ac:dyDescent="0.25">
      <c r="A136" s="169">
        <v>46021</v>
      </c>
      <c r="B136" s="116">
        <v>2580.85</v>
      </c>
      <c r="C136" s="116">
        <v>2574.9</v>
      </c>
      <c r="D136" s="116">
        <v>2535.8000000000002</v>
      </c>
      <c r="E136" s="116">
        <v>2577.75</v>
      </c>
      <c r="F136" s="116">
        <v>2574.9</v>
      </c>
      <c r="G136">
        <v>10872</v>
      </c>
      <c r="H136" s="116"/>
      <c r="I136" s="116"/>
      <c r="L136" s="169">
        <v>46021</v>
      </c>
      <c r="M136" s="116">
        <v>2574.5</v>
      </c>
      <c r="N136" s="116">
        <v>2582.5</v>
      </c>
      <c r="O136" s="116">
        <v>2540.1</v>
      </c>
      <c r="P136" s="116">
        <v>2578.1</v>
      </c>
      <c r="Q136" s="116">
        <v>2574.5</v>
      </c>
      <c r="R136">
        <v>300101</v>
      </c>
    </row>
    <row r="137" spans="1:18" x14ac:dyDescent="0.25">
      <c r="A137" s="169">
        <v>46022</v>
      </c>
      <c r="B137" s="116">
        <v>2594.1999999999998</v>
      </c>
      <c r="C137" s="116">
        <v>2560.8000000000002</v>
      </c>
      <c r="D137" s="116">
        <v>2551.75</v>
      </c>
      <c r="E137" s="116">
        <v>2551.75</v>
      </c>
      <c r="F137" s="116">
        <v>2560.8000000000002</v>
      </c>
      <c r="G137">
        <v>23435</v>
      </c>
      <c r="H137" s="116"/>
      <c r="I137" s="116"/>
      <c r="L137" s="169">
        <v>46022</v>
      </c>
      <c r="M137" s="116">
        <v>2560.1</v>
      </c>
      <c r="N137" s="116">
        <v>2594</v>
      </c>
      <c r="O137" s="116">
        <v>2556.1</v>
      </c>
      <c r="P137" s="116">
        <v>2574</v>
      </c>
      <c r="Q137" s="116">
        <v>2560.1</v>
      </c>
      <c r="R137">
        <v>215819</v>
      </c>
    </row>
    <row r="138" spans="1:18" x14ac:dyDescent="0.25">
      <c r="A138" s="169">
        <v>46023</v>
      </c>
      <c r="B138" s="116">
        <v>2566.5</v>
      </c>
      <c r="C138" s="116">
        <v>2539.3000000000002</v>
      </c>
      <c r="D138" s="116">
        <v>2526.9</v>
      </c>
      <c r="E138" s="116">
        <v>2560.8000000000002</v>
      </c>
      <c r="F138" s="116">
        <v>2539.3000000000002</v>
      </c>
      <c r="G138">
        <v>16160</v>
      </c>
      <c r="H138" s="116"/>
      <c r="I138" s="116"/>
      <c r="L138" s="169">
        <v>46023</v>
      </c>
      <c r="M138" s="116">
        <v>2539</v>
      </c>
      <c r="N138" s="116">
        <v>2566.6999999999998</v>
      </c>
      <c r="O138" s="116">
        <v>2526.1</v>
      </c>
      <c r="P138" s="116">
        <v>2561.1</v>
      </c>
      <c r="Q138" s="116">
        <v>2539</v>
      </c>
      <c r="R138">
        <v>203170</v>
      </c>
    </row>
    <row r="139" spans="1:18" x14ac:dyDescent="0.25">
      <c r="A139" s="169">
        <v>46024</v>
      </c>
      <c r="B139" s="116">
        <v>2559.85</v>
      </c>
      <c r="C139" s="116">
        <v>2546</v>
      </c>
      <c r="D139" s="116">
        <v>2522.0500000000002</v>
      </c>
      <c r="E139" s="116">
        <v>2539</v>
      </c>
      <c r="F139" s="116">
        <v>2546</v>
      </c>
      <c r="G139">
        <v>27982</v>
      </c>
      <c r="H139" s="116"/>
      <c r="I139" s="116"/>
      <c r="L139" s="169">
        <v>46024</v>
      </c>
      <c r="M139" s="116">
        <v>2546.6999999999998</v>
      </c>
      <c r="N139" s="116">
        <v>2557.5</v>
      </c>
      <c r="O139" s="116">
        <v>2521.9</v>
      </c>
      <c r="P139" s="116">
        <v>2541</v>
      </c>
      <c r="Q139" s="116">
        <v>2546.6999999999998</v>
      </c>
      <c r="R139">
        <v>181253</v>
      </c>
    </row>
    <row r="140" spans="1:18" x14ac:dyDescent="0.25">
      <c r="A140" s="169">
        <v>46027</v>
      </c>
      <c r="B140" s="116">
        <v>2585</v>
      </c>
      <c r="C140" s="116">
        <v>2565.15</v>
      </c>
      <c r="D140" s="116">
        <v>2544.1</v>
      </c>
      <c r="E140" s="116">
        <v>2544.1</v>
      </c>
      <c r="F140" s="116">
        <v>2565.15</v>
      </c>
      <c r="G140">
        <v>12449</v>
      </c>
      <c r="H140" s="116"/>
      <c r="I140" s="116"/>
      <c r="L140" s="169">
        <v>46027</v>
      </c>
      <c r="M140" s="116">
        <v>2564.5</v>
      </c>
      <c r="N140" s="116">
        <v>2586.9</v>
      </c>
      <c r="O140" s="116">
        <v>2545.6</v>
      </c>
      <c r="P140" s="116">
        <v>2547</v>
      </c>
      <c r="Q140" s="116">
        <v>2564.5</v>
      </c>
      <c r="R140">
        <v>383932</v>
      </c>
    </row>
    <row r="141" spans="1:18" x14ac:dyDescent="0.25">
      <c r="A141" s="169">
        <v>46028</v>
      </c>
      <c r="B141" s="116">
        <v>2628</v>
      </c>
      <c r="C141" s="116">
        <v>2622.15</v>
      </c>
      <c r="D141" s="116">
        <v>2569</v>
      </c>
      <c r="E141" s="116">
        <v>2578.65</v>
      </c>
      <c r="F141" s="116">
        <v>2622.15</v>
      </c>
      <c r="G141">
        <v>33975</v>
      </c>
      <c r="H141" s="116"/>
      <c r="I141" s="116"/>
      <c r="L141" s="169">
        <v>46028</v>
      </c>
      <c r="M141" s="116">
        <v>2622</v>
      </c>
      <c r="N141" s="116">
        <v>2628</v>
      </c>
      <c r="O141" s="116">
        <v>2567.5</v>
      </c>
      <c r="P141" s="116">
        <v>2573.8000000000002</v>
      </c>
      <c r="Q141" s="116">
        <v>2622</v>
      </c>
      <c r="R141">
        <v>424253</v>
      </c>
    </row>
    <row r="142" spans="1:18" x14ac:dyDescent="0.25">
      <c r="A142" s="169">
        <v>46029</v>
      </c>
      <c r="B142" s="116">
        <v>2621.95</v>
      </c>
      <c r="C142" s="116">
        <v>2603.5500000000002</v>
      </c>
      <c r="D142" s="116">
        <v>2574.9</v>
      </c>
      <c r="E142" s="116">
        <v>2621.95</v>
      </c>
      <c r="F142" s="116">
        <v>2603.5500000000002</v>
      </c>
      <c r="G142">
        <v>12834</v>
      </c>
      <c r="H142" s="116"/>
      <c r="I142" s="116"/>
      <c r="L142" s="169">
        <v>46029</v>
      </c>
      <c r="M142" s="116">
        <v>2603.3000000000002</v>
      </c>
      <c r="N142" s="116">
        <v>2621</v>
      </c>
      <c r="O142" s="116">
        <v>2574</v>
      </c>
      <c r="P142" s="116">
        <v>2619.1</v>
      </c>
      <c r="Q142" s="116">
        <v>2603.3000000000002</v>
      </c>
      <c r="R142">
        <v>162918</v>
      </c>
    </row>
    <row r="143" spans="1:18" x14ac:dyDescent="0.25">
      <c r="A143" s="169">
        <v>46030</v>
      </c>
      <c r="B143" s="116">
        <v>2641.95</v>
      </c>
      <c r="C143" s="116">
        <v>2528.9499999999998</v>
      </c>
      <c r="D143" s="116">
        <v>2514.15</v>
      </c>
      <c r="E143" s="116">
        <v>2602.25</v>
      </c>
      <c r="F143" s="116">
        <v>2528.9499999999998</v>
      </c>
      <c r="G143">
        <v>26545</v>
      </c>
      <c r="H143" s="116"/>
      <c r="I143" s="116"/>
      <c r="L143" s="169">
        <v>46030</v>
      </c>
      <c r="M143" s="116">
        <v>2527.8000000000002</v>
      </c>
      <c r="N143" s="116">
        <v>2641.2</v>
      </c>
      <c r="O143" s="116">
        <v>2513.8000000000002</v>
      </c>
      <c r="P143" s="116">
        <v>2598.1</v>
      </c>
      <c r="Q143" s="116">
        <v>2527.8000000000002</v>
      </c>
      <c r="R143">
        <v>419780</v>
      </c>
    </row>
    <row r="144" spans="1:18" x14ac:dyDescent="0.25">
      <c r="A144" s="169">
        <v>46031</v>
      </c>
      <c r="B144" s="116">
        <v>2530</v>
      </c>
      <c r="C144" s="116">
        <v>2406.5500000000002</v>
      </c>
      <c r="D144" s="116">
        <v>2387</v>
      </c>
      <c r="E144" s="116">
        <v>2514.65</v>
      </c>
      <c r="F144" s="116">
        <v>2406.5500000000002</v>
      </c>
      <c r="G144">
        <v>71656</v>
      </c>
      <c r="H144" s="116"/>
      <c r="I144" s="116"/>
      <c r="L144" s="169">
        <v>46031</v>
      </c>
      <c r="M144" s="116">
        <v>2403.8000000000002</v>
      </c>
      <c r="N144" s="116">
        <v>2532.6</v>
      </c>
      <c r="O144" s="116">
        <v>2385.1999999999998</v>
      </c>
      <c r="P144" s="116">
        <v>2519.8000000000002</v>
      </c>
      <c r="Q144" s="116">
        <v>2403.8000000000002</v>
      </c>
      <c r="R144">
        <v>860998</v>
      </c>
    </row>
    <row r="145" spans="1:18" x14ac:dyDescent="0.25">
      <c r="A145" s="169">
        <v>46034</v>
      </c>
      <c r="B145" s="116">
        <v>2408</v>
      </c>
      <c r="C145" s="116">
        <v>2375.1999999999998</v>
      </c>
      <c r="D145" s="116">
        <v>2321.8000000000002</v>
      </c>
      <c r="E145" s="116">
        <v>2407.4</v>
      </c>
      <c r="F145" s="116">
        <v>2375.1999999999998</v>
      </c>
      <c r="G145">
        <v>49199</v>
      </c>
      <c r="H145" s="116"/>
      <c r="I145" s="116"/>
      <c r="L145" s="169">
        <v>46034</v>
      </c>
      <c r="M145" s="116">
        <v>2373.6999999999998</v>
      </c>
      <c r="N145" s="116">
        <v>2407.8000000000002</v>
      </c>
      <c r="O145" s="116">
        <v>2321.1999999999998</v>
      </c>
      <c r="P145" s="116">
        <v>2404</v>
      </c>
      <c r="Q145" s="116">
        <v>2373.6999999999998</v>
      </c>
      <c r="R145">
        <v>859118</v>
      </c>
    </row>
    <row r="146" spans="1:18" x14ac:dyDescent="0.25">
      <c r="A146" s="169">
        <v>46035</v>
      </c>
      <c r="B146" s="116">
        <v>2423.9</v>
      </c>
      <c r="C146" s="116">
        <v>2402.6</v>
      </c>
      <c r="D146" s="116">
        <v>2369.5</v>
      </c>
      <c r="E146" s="116">
        <v>2375.5</v>
      </c>
      <c r="F146" s="116">
        <v>2402.6</v>
      </c>
      <c r="G146">
        <v>23314</v>
      </c>
      <c r="H146" s="116"/>
      <c r="I146" s="116"/>
      <c r="L146" s="169">
        <v>46035</v>
      </c>
      <c r="M146" s="116">
        <v>2404.4</v>
      </c>
      <c r="N146" s="116">
        <v>2423.8000000000002</v>
      </c>
      <c r="O146" s="116">
        <v>2368.1999999999998</v>
      </c>
      <c r="P146" s="116">
        <v>2383</v>
      </c>
      <c r="Q146" s="116">
        <v>2404.4</v>
      </c>
      <c r="R146">
        <v>426428</v>
      </c>
    </row>
    <row r="147" spans="1:18" x14ac:dyDescent="0.25">
      <c r="A147" s="169">
        <v>46036</v>
      </c>
      <c r="B147" s="116">
        <v>2420.6</v>
      </c>
      <c r="C147" s="116">
        <v>2363.9</v>
      </c>
      <c r="D147" s="116">
        <v>2339.15</v>
      </c>
      <c r="E147" s="116">
        <v>2400.6</v>
      </c>
      <c r="F147" s="116">
        <v>2363.9</v>
      </c>
      <c r="G147">
        <v>19952</v>
      </c>
      <c r="H147" s="116"/>
      <c r="I147" s="116"/>
      <c r="L147" s="169">
        <v>46036</v>
      </c>
      <c r="M147" s="116">
        <v>2363.5</v>
      </c>
      <c r="N147" s="116">
        <v>2424.5</v>
      </c>
      <c r="O147" s="116">
        <v>2339</v>
      </c>
      <c r="P147" s="116">
        <v>2404</v>
      </c>
      <c r="Q147" s="116">
        <v>2363.5</v>
      </c>
      <c r="R147">
        <v>729905</v>
      </c>
    </row>
    <row r="148" spans="1:18" x14ac:dyDescent="0.25">
      <c r="A148" s="169">
        <v>46038</v>
      </c>
      <c r="B148" s="116">
        <v>2386</v>
      </c>
      <c r="C148" s="116">
        <v>2327.0500000000002</v>
      </c>
      <c r="D148" s="116">
        <v>2316</v>
      </c>
      <c r="E148" s="116">
        <v>2372</v>
      </c>
      <c r="F148" s="116">
        <v>2327.0500000000002</v>
      </c>
      <c r="G148">
        <v>19067</v>
      </c>
      <c r="H148" s="116"/>
      <c r="I148" s="116"/>
      <c r="L148" s="169">
        <v>46038</v>
      </c>
      <c r="M148" s="116">
        <v>2327</v>
      </c>
      <c r="N148" s="116">
        <v>2386.1</v>
      </c>
      <c r="O148" s="116">
        <v>2315.9</v>
      </c>
      <c r="P148" s="116">
        <v>2369</v>
      </c>
      <c r="Q148" s="116">
        <v>2327</v>
      </c>
      <c r="R148">
        <v>520655</v>
      </c>
    </row>
    <row r="149" spans="1:18" x14ac:dyDescent="0.25">
      <c r="A149" s="169">
        <v>46041</v>
      </c>
      <c r="B149" s="116">
        <v>2371</v>
      </c>
      <c r="C149" s="116">
        <v>2317.4499999999998</v>
      </c>
      <c r="D149" s="116">
        <v>2299</v>
      </c>
      <c r="E149" s="116">
        <v>2306.4</v>
      </c>
      <c r="F149" s="116">
        <v>2317.4499999999998</v>
      </c>
      <c r="G149">
        <v>14674</v>
      </c>
      <c r="H149" s="116"/>
      <c r="I149" s="116"/>
      <c r="L149" s="169">
        <v>46041</v>
      </c>
      <c r="M149" s="116">
        <v>2316.9</v>
      </c>
      <c r="N149" s="116">
        <v>2373.4</v>
      </c>
      <c r="O149" s="116">
        <v>2297.6</v>
      </c>
      <c r="P149" s="116">
        <v>2328</v>
      </c>
      <c r="Q149" s="116">
        <v>2316.9</v>
      </c>
      <c r="R149">
        <v>348821</v>
      </c>
    </row>
    <row r="150" spans="1:18" x14ac:dyDescent="0.25">
      <c r="A150" s="169">
        <v>46042</v>
      </c>
      <c r="B150" s="116">
        <v>2342</v>
      </c>
      <c r="C150" s="116">
        <v>2268.9499999999998</v>
      </c>
      <c r="D150" s="116">
        <v>2228.9499999999998</v>
      </c>
      <c r="E150" s="116">
        <v>2305.5500000000002</v>
      </c>
      <c r="F150" s="116">
        <v>2268.9499999999998</v>
      </c>
      <c r="G150">
        <v>47999</v>
      </c>
      <c r="H150" s="116"/>
      <c r="I150" s="116"/>
      <c r="L150" s="169">
        <v>46042</v>
      </c>
      <c r="M150" s="116">
        <v>2269.4</v>
      </c>
      <c r="N150" s="116">
        <v>2342</v>
      </c>
      <c r="O150" s="116">
        <v>2229.8000000000002</v>
      </c>
      <c r="P150" s="116">
        <v>2319</v>
      </c>
      <c r="Q150" s="116">
        <v>2269.4</v>
      </c>
      <c r="R150">
        <v>422879</v>
      </c>
    </row>
    <row r="151" spans="1:18" x14ac:dyDescent="0.25">
      <c r="A151" s="169">
        <v>46043</v>
      </c>
      <c r="B151" s="116">
        <v>2280.5500000000002</v>
      </c>
      <c r="C151" s="116">
        <v>2251.8000000000002</v>
      </c>
      <c r="D151" s="116">
        <v>2219</v>
      </c>
      <c r="E151" s="116">
        <v>2264.9499999999998</v>
      </c>
      <c r="F151" s="116">
        <v>2251.8000000000002</v>
      </c>
      <c r="G151">
        <v>24617</v>
      </c>
      <c r="H151" s="116"/>
      <c r="I151" s="116"/>
      <c r="L151" s="169">
        <v>46043</v>
      </c>
      <c r="M151" s="116">
        <v>2250.9</v>
      </c>
      <c r="N151" s="116">
        <v>2281.6999999999998</v>
      </c>
      <c r="O151" s="116">
        <v>2216.6999999999998</v>
      </c>
      <c r="P151" s="116">
        <v>2259</v>
      </c>
      <c r="Q151" s="116">
        <v>2250.9</v>
      </c>
      <c r="R151">
        <v>474791</v>
      </c>
    </row>
    <row r="152" spans="1:18" x14ac:dyDescent="0.25">
      <c r="A152" s="169">
        <v>46044</v>
      </c>
      <c r="B152" s="116">
        <v>2291.8000000000002</v>
      </c>
      <c r="C152" s="116">
        <v>2205.8000000000002</v>
      </c>
      <c r="D152" s="116">
        <v>2193</v>
      </c>
      <c r="E152" s="116">
        <v>2261.85</v>
      </c>
      <c r="F152" s="116">
        <v>2205.8000000000002</v>
      </c>
      <c r="G152">
        <v>142663</v>
      </c>
      <c r="H152" s="116"/>
      <c r="I152" s="116"/>
      <c r="L152" s="169">
        <v>46044</v>
      </c>
      <c r="M152" s="116">
        <v>2202.8000000000002</v>
      </c>
      <c r="N152" s="116">
        <v>2293</v>
      </c>
      <c r="O152" s="116">
        <v>2192</v>
      </c>
      <c r="P152" s="116">
        <v>2290</v>
      </c>
      <c r="Q152" s="116">
        <v>2202.8000000000002</v>
      </c>
      <c r="R152">
        <v>706731</v>
      </c>
    </row>
    <row r="153" spans="1:18" x14ac:dyDescent="0.25">
      <c r="A153" s="169">
        <v>46045</v>
      </c>
      <c r="B153" s="116">
        <v>2219.85</v>
      </c>
      <c r="C153" s="116">
        <v>2123.15</v>
      </c>
      <c r="D153" s="116">
        <v>2105.15</v>
      </c>
      <c r="E153" s="116">
        <v>2219.85</v>
      </c>
      <c r="F153" s="116">
        <v>2123.15</v>
      </c>
      <c r="G153">
        <v>34844</v>
      </c>
      <c r="H153" s="116"/>
      <c r="I153" s="116"/>
      <c r="L153" s="169">
        <v>46045</v>
      </c>
      <c r="M153" s="116">
        <v>2125.4</v>
      </c>
      <c r="N153" s="116">
        <v>2216.4</v>
      </c>
      <c r="O153" s="116">
        <v>2115</v>
      </c>
      <c r="P153" s="116">
        <v>2211</v>
      </c>
      <c r="Q153" s="116">
        <v>2125.4</v>
      </c>
      <c r="R153">
        <v>771845</v>
      </c>
    </row>
    <row r="154" spans="1:18" x14ac:dyDescent="0.25">
      <c r="A154" s="169">
        <v>46049</v>
      </c>
      <c r="B154" s="116">
        <v>2203</v>
      </c>
      <c r="C154" s="116">
        <v>2184.5</v>
      </c>
      <c r="D154" s="116">
        <v>2120</v>
      </c>
      <c r="E154" s="116">
        <v>2123.15</v>
      </c>
      <c r="F154" s="116">
        <v>2184.5</v>
      </c>
      <c r="G154">
        <v>227097</v>
      </c>
      <c r="H154" s="116"/>
      <c r="I154" s="116"/>
      <c r="L154" s="169">
        <v>46049</v>
      </c>
      <c r="M154" s="116">
        <v>2184</v>
      </c>
      <c r="N154" s="116">
        <v>2204</v>
      </c>
      <c r="O154" s="116">
        <v>2120.1999999999998</v>
      </c>
      <c r="P154" s="116">
        <v>2125.3000000000002</v>
      </c>
      <c r="Q154" s="116">
        <v>2184</v>
      </c>
      <c r="R154">
        <v>427689</v>
      </c>
    </row>
    <row r="155" spans="1:18" x14ac:dyDescent="0.25">
      <c r="A155" s="169">
        <v>46050</v>
      </c>
      <c r="B155" s="116">
        <v>2365.6999999999998</v>
      </c>
      <c r="C155" s="116">
        <v>2360.4</v>
      </c>
      <c r="D155" s="116">
        <v>2189</v>
      </c>
      <c r="E155" s="116">
        <v>2189</v>
      </c>
      <c r="F155" s="116">
        <v>2360.4</v>
      </c>
      <c r="G155">
        <v>92097</v>
      </c>
      <c r="H155" s="116"/>
      <c r="I155" s="116"/>
      <c r="L155" s="169">
        <v>46050</v>
      </c>
      <c r="M155" s="116">
        <v>2356.9</v>
      </c>
      <c r="N155" s="116">
        <v>2367.5</v>
      </c>
      <c r="O155" s="116">
        <v>2200</v>
      </c>
      <c r="P155" s="116">
        <v>2205</v>
      </c>
      <c r="Q155" s="116">
        <v>2356.9</v>
      </c>
      <c r="R155">
        <v>1001172</v>
      </c>
    </row>
    <row r="156" spans="1:18" x14ac:dyDescent="0.25">
      <c r="A156" s="169">
        <v>46051</v>
      </c>
      <c r="B156" s="116">
        <v>2545</v>
      </c>
      <c r="C156" s="116">
        <v>2489.1999999999998</v>
      </c>
      <c r="D156" s="116">
        <v>2360</v>
      </c>
      <c r="E156" s="116">
        <v>2369.6999999999998</v>
      </c>
      <c r="F156" s="116">
        <v>2489.1999999999998</v>
      </c>
      <c r="G156">
        <v>460995</v>
      </c>
      <c r="H156" s="116"/>
      <c r="I156" s="116"/>
      <c r="L156" s="169">
        <v>46051</v>
      </c>
      <c r="M156" s="116">
        <v>2481.5</v>
      </c>
      <c r="N156" s="116">
        <v>2546</v>
      </c>
      <c r="O156" s="116">
        <v>2350.4</v>
      </c>
      <c r="P156" s="116">
        <v>2360</v>
      </c>
      <c r="Q156" s="116">
        <v>2481.5</v>
      </c>
      <c r="R156">
        <v>1013095</v>
      </c>
    </row>
    <row r="157" spans="1:18" x14ac:dyDescent="0.25">
      <c r="A157" s="169">
        <v>46052</v>
      </c>
      <c r="B157" s="116">
        <v>2526</v>
      </c>
      <c r="C157" s="116">
        <v>2491.3000000000002</v>
      </c>
      <c r="D157" s="116">
        <v>2430</v>
      </c>
      <c r="E157" s="116">
        <v>2493.6999999999998</v>
      </c>
      <c r="F157" s="116">
        <v>2491.3000000000002</v>
      </c>
      <c r="G157">
        <v>34730</v>
      </c>
      <c r="H157" s="116"/>
      <c r="I157" s="116"/>
      <c r="L157" s="169">
        <v>46052</v>
      </c>
      <c r="M157" s="116">
        <v>2487.1999999999998</v>
      </c>
      <c r="N157" s="116">
        <v>2538.6</v>
      </c>
      <c r="O157" s="116">
        <v>2430</v>
      </c>
      <c r="P157" s="116">
        <v>2483.1</v>
      </c>
      <c r="Q157" s="116">
        <v>2487.1999999999998</v>
      </c>
      <c r="R157">
        <v>509717</v>
      </c>
    </row>
    <row r="158" spans="1:18" x14ac:dyDescent="0.25">
      <c r="A158" s="169">
        <v>46054</v>
      </c>
      <c r="B158" s="116">
        <v>2529.4</v>
      </c>
      <c r="C158" s="116">
        <v>2474.35</v>
      </c>
      <c r="D158" s="116">
        <v>2403.75</v>
      </c>
      <c r="E158" s="116">
        <v>2491.4</v>
      </c>
      <c r="F158" s="116">
        <v>2474.35</v>
      </c>
      <c r="G158">
        <v>24773</v>
      </c>
      <c r="H158" s="116"/>
      <c r="I158" s="116"/>
      <c r="L158" s="169">
        <v>46054</v>
      </c>
      <c r="M158" s="116">
        <v>2473</v>
      </c>
      <c r="N158" s="116">
        <v>2532</v>
      </c>
      <c r="O158" s="116">
        <v>2403.9</v>
      </c>
      <c r="P158" s="116">
        <v>2494</v>
      </c>
      <c r="Q158" s="116">
        <v>2473</v>
      </c>
      <c r="R158">
        <v>126631</v>
      </c>
    </row>
    <row r="159" spans="1:18" x14ac:dyDescent="0.25">
      <c r="A159" s="169">
        <v>46055</v>
      </c>
      <c r="B159" s="116">
        <v>2476.6999999999998</v>
      </c>
      <c r="C159" s="116">
        <v>2436.85</v>
      </c>
      <c r="D159" s="116">
        <v>2365.0500000000002</v>
      </c>
      <c r="E159" s="116">
        <v>2466.75</v>
      </c>
      <c r="F159" s="116">
        <v>2436.85</v>
      </c>
      <c r="G159">
        <v>24886</v>
      </c>
      <c r="H159" s="116"/>
      <c r="I159" s="116"/>
      <c r="L159" s="169">
        <v>46055</v>
      </c>
      <c r="M159" s="116">
        <v>2438.8000000000002</v>
      </c>
      <c r="N159" s="116">
        <v>2482.3000000000002</v>
      </c>
      <c r="O159" s="116">
        <v>2360</v>
      </c>
      <c r="P159" s="116">
        <v>2474</v>
      </c>
      <c r="Q159" s="116">
        <v>2438.8000000000002</v>
      </c>
      <c r="R159">
        <v>284642</v>
      </c>
    </row>
    <row r="160" spans="1:18" x14ac:dyDescent="0.25">
      <c r="A160" s="169">
        <v>46056</v>
      </c>
      <c r="B160" s="116">
        <v>2590.1</v>
      </c>
      <c r="C160" s="116">
        <v>2531.85</v>
      </c>
      <c r="D160" s="116">
        <v>2490</v>
      </c>
      <c r="E160" s="116">
        <v>2590.1</v>
      </c>
      <c r="F160" s="116">
        <v>2531.85</v>
      </c>
      <c r="G160">
        <v>34278</v>
      </c>
      <c r="H160" s="116"/>
      <c r="I160" s="116"/>
      <c r="L160" s="169">
        <v>46056</v>
      </c>
      <c r="M160" s="116">
        <v>2529.8000000000002</v>
      </c>
      <c r="N160" s="116">
        <v>2585.6999999999998</v>
      </c>
      <c r="O160" s="116">
        <v>2490</v>
      </c>
      <c r="P160" s="116">
        <v>2555</v>
      </c>
      <c r="Q160" s="116">
        <v>2529.8000000000002</v>
      </c>
      <c r="R160">
        <v>576969</v>
      </c>
    </row>
    <row r="161" spans="1:18" x14ac:dyDescent="0.25">
      <c r="A161" s="169">
        <v>46057</v>
      </c>
      <c r="B161" s="116">
        <v>2664</v>
      </c>
      <c r="C161" s="116">
        <v>2605.8000000000002</v>
      </c>
      <c r="D161" s="116">
        <v>2551.0500000000002</v>
      </c>
      <c r="E161" s="116">
        <v>2559.8000000000002</v>
      </c>
      <c r="F161" s="116">
        <v>2605.8000000000002</v>
      </c>
      <c r="G161">
        <v>61080</v>
      </c>
      <c r="H161" s="116"/>
      <c r="I161" s="116"/>
      <c r="L161" s="169">
        <v>46057</v>
      </c>
      <c r="M161" s="116">
        <v>2604.6</v>
      </c>
      <c r="N161" s="116">
        <v>2665</v>
      </c>
      <c r="O161" s="116">
        <v>2533</v>
      </c>
      <c r="P161" s="116">
        <v>2535</v>
      </c>
      <c r="Q161" s="116">
        <v>2604.6</v>
      </c>
      <c r="R161">
        <v>948600</v>
      </c>
    </row>
    <row r="162" spans="1:18" x14ac:dyDescent="0.25">
      <c r="A162" s="169">
        <v>46058</v>
      </c>
      <c r="B162" s="116">
        <v>2615</v>
      </c>
      <c r="C162" s="116">
        <v>2596.1999999999998</v>
      </c>
      <c r="D162" s="116">
        <v>2556.4499999999998</v>
      </c>
      <c r="E162" s="116">
        <v>2561.4499999999998</v>
      </c>
      <c r="F162" s="116">
        <v>2596.1999999999998</v>
      </c>
      <c r="G162">
        <v>10851</v>
      </c>
      <c r="H162" s="116"/>
      <c r="I162" s="116"/>
      <c r="L162" s="169">
        <v>46058</v>
      </c>
      <c r="M162" s="116">
        <v>2598.9</v>
      </c>
      <c r="N162" s="116">
        <v>2616.1999999999998</v>
      </c>
      <c r="O162" s="116">
        <v>2557.6</v>
      </c>
      <c r="P162" s="116">
        <v>2571</v>
      </c>
      <c r="Q162" s="116">
        <v>2598.9</v>
      </c>
      <c r="R162">
        <v>194559</v>
      </c>
    </row>
    <row r="163" spans="1:18" x14ac:dyDescent="0.25">
      <c r="A163" s="169">
        <v>46059</v>
      </c>
      <c r="B163" s="116">
        <v>2750</v>
      </c>
      <c r="C163" s="116">
        <v>2740.1</v>
      </c>
      <c r="D163" s="116">
        <v>2585.4499999999998</v>
      </c>
      <c r="E163" s="116">
        <v>2585.4499999999998</v>
      </c>
      <c r="F163" s="116">
        <v>2740.1</v>
      </c>
      <c r="G163">
        <v>70451</v>
      </c>
      <c r="H163" s="116"/>
      <c r="I163" s="116"/>
      <c r="L163" s="169">
        <v>46059</v>
      </c>
      <c r="M163" s="116">
        <v>2740.6</v>
      </c>
      <c r="N163" s="116">
        <v>2749.9</v>
      </c>
      <c r="O163" s="116">
        <v>2591.6</v>
      </c>
      <c r="P163" s="116">
        <v>2601.9</v>
      </c>
      <c r="Q163" s="116">
        <v>2740.6</v>
      </c>
      <c r="R163">
        <v>1091498</v>
      </c>
    </row>
    <row r="164" spans="1:18" x14ac:dyDescent="0.25">
      <c r="A164" s="169">
        <v>46062</v>
      </c>
      <c r="B164" s="116">
        <v>2755</v>
      </c>
      <c r="C164" s="116">
        <v>2696.05</v>
      </c>
      <c r="D164" s="116">
        <v>2646.7</v>
      </c>
      <c r="E164" s="116">
        <v>2750</v>
      </c>
      <c r="F164" s="116">
        <v>2696.05</v>
      </c>
      <c r="G164">
        <v>25647</v>
      </c>
      <c r="H164" s="116"/>
      <c r="I164" s="116"/>
      <c r="L164" s="169">
        <v>46062</v>
      </c>
      <c r="M164" s="116">
        <v>2691.3</v>
      </c>
      <c r="N164" s="116">
        <v>2755.2</v>
      </c>
      <c r="O164" s="116">
        <v>2645</v>
      </c>
      <c r="P164" s="116">
        <v>2750</v>
      </c>
      <c r="Q164" s="116">
        <v>2691.3</v>
      </c>
      <c r="R164">
        <v>462672</v>
      </c>
    </row>
    <row r="165" spans="1:18" x14ac:dyDescent="0.25">
      <c r="A165" s="169">
        <v>46063</v>
      </c>
      <c r="B165" s="116">
        <v>2725.8</v>
      </c>
      <c r="C165" s="116">
        <v>2682.8</v>
      </c>
      <c r="D165" s="116">
        <v>2675.45</v>
      </c>
      <c r="E165" s="116">
        <v>2711</v>
      </c>
      <c r="F165" s="116">
        <v>2682.8</v>
      </c>
      <c r="G165">
        <v>16624</v>
      </c>
      <c r="H165" s="116"/>
      <c r="I165" s="116"/>
      <c r="L165" s="169">
        <v>46063</v>
      </c>
      <c r="M165" s="116">
        <v>2683.4</v>
      </c>
      <c r="N165" s="116">
        <v>2726</v>
      </c>
      <c r="O165" s="116">
        <v>2675</v>
      </c>
      <c r="P165" s="116">
        <v>2700.1</v>
      </c>
      <c r="Q165" s="116">
        <v>2683.4</v>
      </c>
      <c r="R165">
        <v>174431</v>
      </c>
    </row>
    <row r="166" spans="1:18" x14ac:dyDescent="0.25">
      <c r="A166" s="169">
        <v>46064</v>
      </c>
      <c r="B166" s="116">
        <v>2685.5</v>
      </c>
      <c r="C166" s="116">
        <v>2663.9</v>
      </c>
      <c r="D166" s="116">
        <v>2633.55</v>
      </c>
      <c r="E166" s="116">
        <v>2680.55</v>
      </c>
      <c r="F166" s="116">
        <v>2663.9</v>
      </c>
      <c r="G166">
        <v>10531</v>
      </c>
      <c r="H166" s="116"/>
      <c r="I166" s="116"/>
      <c r="L166" s="169">
        <v>46064</v>
      </c>
      <c r="M166" s="116">
        <v>2666</v>
      </c>
      <c r="N166" s="116">
        <v>2689.3</v>
      </c>
      <c r="O166" s="116">
        <v>2633.4</v>
      </c>
      <c r="P166" s="116">
        <v>2683.4</v>
      </c>
      <c r="Q166" s="116">
        <v>2666</v>
      </c>
      <c r="R166">
        <v>242002</v>
      </c>
    </row>
    <row r="167" spans="1:18" x14ac:dyDescent="0.25">
      <c r="A167" s="169">
        <v>46065</v>
      </c>
      <c r="B167" s="116">
        <v>2755</v>
      </c>
      <c r="C167" s="116">
        <v>2730.9</v>
      </c>
      <c r="D167" s="116">
        <v>2670.05</v>
      </c>
      <c r="E167" s="116">
        <v>2670.05</v>
      </c>
      <c r="F167" s="116">
        <v>2730.9</v>
      </c>
      <c r="G167">
        <v>39047</v>
      </c>
      <c r="H167" s="116"/>
      <c r="I167" s="116"/>
      <c r="L167" s="169">
        <v>46065</v>
      </c>
      <c r="M167" s="116">
        <v>2731.3</v>
      </c>
      <c r="N167" s="116">
        <v>2760</v>
      </c>
      <c r="O167" s="116">
        <v>2681.1</v>
      </c>
      <c r="P167" s="116">
        <v>2690</v>
      </c>
      <c r="Q167" s="116">
        <v>2731.3</v>
      </c>
      <c r="R167">
        <v>520833</v>
      </c>
    </row>
    <row r="168" spans="1:18" x14ac:dyDescent="0.25">
      <c r="A168" s="169">
        <v>46066</v>
      </c>
      <c r="B168" s="116">
        <v>2850</v>
      </c>
      <c r="C168" s="116">
        <v>2738.9</v>
      </c>
      <c r="D168" s="116">
        <v>2683.6</v>
      </c>
      <c r="E168" s="116">
        <v>2732.85</v>
      </c>
      <c r="F168" s="116">
        <v>2738.9</v>
      </c>
      <c r="G168">
        <v>59788</v>
      </c>
      <c r="H168" s="116"/>
      <c r="I168" s="116"/>
      <c r="L168" s="169">
        <v>46066</v>
      </c>
      <c r="M168" s="116">
        <v>2740.1</v>
      </c>
      <c r="N168" s="116">
        <v>2849.9</v>
      </c>
      <c r="O168" s="116">
        <v>2682.6</v>
      </c>
      <c r="P168" s="116">
        <v>2725</v>
      </c>
      <c r="Q168" s="116">
        <v>2740.1</v>
      </c>
      <c r="R168">
        <v>1006399</v>
      </c>
    </row>
    <row r="169" spans="1:18" x14ac:dyDescent="0.25">
      <c r="A169" s="169">
        <v>46069</v>
      </c>
      <c r="B169" s="116">
        <v>2870</v>
      </c>
      <c r="C169" s="116">
        <v>2807.8</v>
      </c>
      <c r="D169" s="116">
        <v>2768.3</v>
      </c>
      <c r="E169" s="116">
        <v>2768.3</v>
      </c>
      <c r="F169" s="116">
        <v>2807.8</v>
      </c>
      <c r="G169">
        <v>63745</v>
      </c>
      <c r="H169" s="116"/>
      <c r="I169" s="116"/>
      <c r="L169" s="169">
        <v>46069</v>
      </c>
      <c r="M169" s="116">
        <v>2809.3</v>
      </c>
      <c r="N169" s="116">
        <v>2870</v>
      </c>
      <c r="O169" s="116">
        <v>2773.1</v>
      </c>
      <c r="P169" s="116">
        <v>2798</v>
      </c>
      <c r="Q169" s="116">
        <v>2809.3</v>
      </c>
      <c r="R169">
        <v>971754</v>
      </c>
    </row>
    <row r="170" spans="1:18" x14ac:dyDescent="0.25">
      <c r="A170" s="169">
        <v>46070</v>
      </c>
      <c r="B170" s="116">
        <v>2844.7</v>
      </c>
      <c r="C170" s="116">
        <v>2798.3</v>
      </c>
      <c r="D170" s="116">
        <v>2750</v>
      </c>
      <c r="E170" s="116">
        <v>2844.7</v>
      </c>
      <c r="F170" s="116">
        <v>2798.3</v>
      </c>
      <c r="G170">
        <v>20110</v>
      </c>
      <c r="H170" s="116"/>
      <c r="I170" s="116"/>
      <c r="L170" s="169">
        <v>46070</v>
      </c>
      <c r="M170" s="116">
        <v>2797.2</v>
      </c>
      <c r="N170" s="116">
        <v>2844.7</v>
      </c>
      <c r="O170" s="116">
        <v>2749.8</v>
      </c>
      <c r="P170" s="116">
        <v>2828</v>
      </c>
      <c r="Q170" s="116">
        <v>2797.2</v>
      </c>
      <c r="R170">
        <v>347636</v>
      </c>
    </row>
    <row r="171" spans="1:18" x14ac:dyDescent="0.25">
      <c r="A171" s="169">
        <v>46071</v>
      </c>
      <c r="B171" s="116">
        <v>2839.15</v>
      </c>
      <c r="C171" s="116">
        <v>2794</v>
      </c>
      <c r="D171" s="116">
        <v>2774.8</v>
      </c>
      <c r="E171" s="116">
        <v>2802.95</v>
      </c>
      <c r="F171" s="116">
        <v>2794</v>
      </c>
      <c r="G171">
        <v>20820</v>
      </c>
      <c r="H171" s="116"/>
      <c r="I171" s="116"/>
      <c r="L171" s="169">
        <v>46071</v>
      </c>
      <c r="M171" s="116">
        <v>2798.5</v>
      </c>
      <c r="N171" s="116">
        <v>2838</v>
      </c>
      <c r="O171" s="116">
        <v>2780</v>
      </c>
      <c r="P171" s="116">
        <v>2797.2</v>
      </c>
      <c r="Q171" s="116">
        <v>2798.5</v>
      </c>
      <c r="R171">
        <v>216116</v>
      </c>
    </row>
    <row r="172" spans="1:18" x14ac:dyDescent="0.25">
      <c r="A172" s="169">
        <v>46072</v>
      </c>
      <c r="B172" s="116">
        <v>2794.1</v>
      </c>
      <c r="C172" s="116">
        <v>2758.9</v>
      </c>
      <c r="D172" s="116">
        <v>2721.7</v>
      </c>
      <c r="E172" s="116">
        <v>2794.1</v>
      </c>
      <c r="F172" s="116">
        <v>2758.9</v>
      </c>
      <c r="G172">
        <v>15905</v>
      </c>
      <c r="H172" s="116"/>
      <c r="I172" s="116"/>
      <c r="L172" s="169">
        <v>46072</v>
      </c>
      <c r="M172" s="116">
        <v>2757.7</v>
      </c>
      <c r="N172" s="116">
        <v>2806.6</v>
      </c>
      <c r="O172" s="116">
        <v>2720</v>
      </c>
      <c r="P172" s="116">
        <v>2799.9</v>
      </c>
      <c r="Q172" s="116">
        <v>2757.7</v>
      </c>
      <c r="R172">
        <v>311037</v>
      </c>
    </row>
    <row r="173" spans="1:18" x14ac:dyDescent="0.25">
      <c r="A173" s="169">
        <v>46073</v>
      </c>
      <c r="B173" s="116">
        <v>2817.45</v>
      </c>
      <c r="C173" s="116">
        <v>2774.1</v>
      </c>
      <c r="D173" s="116">
        <v>2728.05</v>
      </c>
      <c r="E173" s="116">
        <v>2728.05</v>
      </c>
      <c r="F173" s="116">
        <v>2774.1</v>
      </c>
      <c r="G173">
        <v>17736</v>
      </c>
      <c r="H173" s="116"/>
      <c r="I173" s="116"/>
      <c r="L173" s="169">
        <v>46073</v>
      </c>
      <c r="M173" s="116">
        <v>2774.6</v>
      </c>
      <c r="N173" s="116">
        <v>2818</v>
      </c>
      <c r="O173" s="116">
        <v>2730.4</v>
      </c>
      <c r="P173" s="116">
        <v>2745</v>
      </c>
      <c r="Q173" s="116">
        <v>2774.6</v>
      </c>
      <c r="R173">
        <v>341881</v>
      </c>
    </row>
    <row r="174" spans="1:18" x14ac:dyDescent="0.25">
      <c r="A174" s="169">
        <v>46076</v>
      </c>
      <c r="B174" s="116">
        <v>2835</v>
      </c>
      <c r="C174" s="116">
        <v>2816.3</v>
      </c>
      <c r="D174" s="116">
        <v>2774</v>
      </c>
      <c r="E174" s="116">
        <v>2818.75</v>
      </c>
      <c r="F174" s="116">
        <v>2816.3</v>
      </c>
      <c r="G174">
        <v>11639</v>
      </c>
      <c r="H174" s="116"/>
      <c r="I174" s="116"/>
      <c r="L174" s="169">
        <v>46076</v>
      </c>
      <c r="M174" s="116">
        <v>2815.7</v>
      </c>
      <c r="N174" s="116">
        <v>2834.6</v>
      </c>
      <c r="O174" s="116">
        <v>2771.3</v>
      </c>
      <c r="P174" s="116">
        <v>2805</v>
      </c>
      <c r="Q174" s="116">
        <v>2815.7</v>
      </c>
      <c r="R174">
        <v>163658</v>
      </c>
    </row>
    <row r="175" spans="1:18" x14ac:dyDescent="0.25">
      <c r="A175" s="169">
        <v>46077</v>
      </c>
      <c r="B175" s="116">
        <v>2928</v>
      </c>
      <c r="C175" s="116">
        <v>2907.05</v>
      </c>
      <c r="D175" s="116">
        <v>2809.1</v>
      </c>
      <c r="E175" s="116">
        <v>2817</v>
      </c>
      <c r="F175" s="116">
        <v>2907.05</v>
      </c>
      <c r="G175">
        <v>45625</v>
      </c>
      <c r="H175" s="116"/>
      <c r="I175" s="116"/>
      <c r="L175" s="169">
        <v>46077</v>
      </c>
      <c r="M175" s="116">
        <v>2906.8</v>
      </c>
      <c r="N175" s="116">
        <v>2928</v>
      </c>
      <c r="O175" s="116">
        <v>2809.6</v>
      </c>
      <c r="P175" s="116">
        <v>2829.3</v>
      </c>
      <c r="Q175" s="116">
        <v>2906.8</v>
      </c>
      <c r="R175">
        <v>520502</v>
      </c>
    </row>
    <row r="176" spans="1:18" x14ac:dyDescent="0.25">
      <c r="A176" s="169">
        <v>46078</v>
      </c>
      <c r="B176" s="116">
        <v>3006.6</v>
      </c>
      <c r="C176" s="116">
        <v>2998.25</v>
      </c>
      <c r="D176" s="116">
        <v>2895.15</v>
      </c>
      <c r="E176" s="116">
        <v>2920.95</v>
      </c>
      <c r="F176" s="116">
        <v>2998.25</v>
      </c>
      <c r="G176">
        <v>39744</v>
      </c>
      <c r="H176" s="116"/>
      <c r="I176" s="116"/>
      <c r="L176" s="169">
        <v>46078</v>
      </c>
      <c r="M176" s="116">
        <v>2997.8</v>
      </c>
      <c r="N176" s="116">
        <v>3011</v>
      </c>
      <c r="O176" s="116">
        <v>2885</v>
      </c>
      <c r="P176" s="116">
        <v>2920</v>
      </c>
      <c r="Q176" s="116">
        <v>2997.8</v>
      </c>
      <c r="R176">
        <v>695808</v>
      </c>
    </row>
    <row r="177" spans="1:18" x14ac:dyDescent="0.25">
      <c r="A177" s="169">
        <v>46079</v>
      </c>
      <c r="B177" s="116">
        <v>3021.45</v>
      </c>
      <c r="C177" s="116">
        <v>2922.3</v>
      </c>
      <c r="D177" s="116">
        <v>2876.15</v>
      </c>
      <c r="E177" s="116">
        <v>3007.95</v>
      </c>
      <c r="F177" s="116">
        <v>2922.3</v>
      </c>
      <c r="G177">
        <v>37357</v>
      </c>
      <c r="H177" s="116"/>
      <c r="I177" s="116"/>
      <c r="L177" s="169">
        <v>46079</v>
      </c>
      <c r="M177" s="116">
        <v>2920.3</v>
      </c>
      <c r="N177" s="116">
        <v>3020.6</v>
      </c>
      <c r="O177" s="116">
        <v>2875</v>
      </c>
      <c r="P177" s="116">
        <v>2999.9</v>
      </c>
      <c r="Q177" s="116">
        <v>2920.3</v>
      </c>
      <c r="R177">
        <v>530900</v>
      </c>
    </row>
    <row r="178" spans="1:18" x14ac:dyDescent="0.25">
      <c r="A178" s="169">
        <v>46080</v>
      </c>
      <c r="B178" s="116">
        <v>2996.65</v>
      </c>
      <c r="C178" s="116">
        <v>2930.55</v>
      </c>
      <c r="D178" s="116">
        <v>2897.05</v>
      </c>
      <c r="E178" s="116">
        <v>2958.9</v>
      </c>
      <c r="F178" s="116">
        <v>2930.55</v>
      </c>
      <c r="G178">
        <v>38133</v>
      </c>
      <c r="H178" s="116"/>
      <c r="I178" s="116"/>
      <c r="L178" s="169">
        <v>46080</v>
      </c>
      <c r="M178" s="116">
        <v>2930.9</v>
      </c>
      <c r="N178" s="116">
        <v>2994.9</v>
      </c>
      <c r="O178" s="116">
        <v>2897.4</v>
      </c>
      <c r="P178" s="116">
        <v>2926</v>
      </c>
      <c r="Q178" s="116">
        <v>2930.9</v>
      </c>
      <c r="R178">
        <v>680155</v>
      </c>
    </row>
    <row r="179" spans="1:18" x14ac:dyDescent="0.25">
      <c r="A179" s="169">
        <v>46083</v>
      </c>
      <c r="B179" s="116">
        <v>3012.25</v>
      </c>
      <c r="C179" s="116">
        <v>2971.5</v>
      </c>
      <c r="D179" s="116">
        <v>2805.15</v>
      </c>
      <c r="E179" s="116">
        <v>2805.15</v>
      </c>
      <c r="F179" s="116">
        <v>2971.5</v>
      </c>
      <c r="G179">
        <v>39955</v>
      </c>
      <c r="H179" s="116"/>
      <c r="I179" s="116"/>
      <c r="L179" s="169">
        <v>46083</v>
      </c>
      <c r="M179" s="116">
        <v>2972.7</v>
      </c>
      <c r="N179" s="116">
        <v>3015</v>
      </c>
      <c r="O179" s="116">
        <v>2840</v>
      </c>
      <c r="P179" s="116">
        <v>2840</v>
      </c>
      <c r="Q179" s="116">
        <v>2972.7</v>
      </c>
      <c r="R179">
        <v>706747</v>
      </c>
    </row>
    <row r="180" spans="1:18" x14ac:dyDescent="0.25">
      <c r="A180" s="169">
        <v>46085</v>
      </c>
      <c r="B180" s="116">
        <v>2998.8</v>
      </c>
      <c r="C180" s="116">
        <v>2941.75</v>
      </c>
      <c r="D180" s="116">
        <v>2911</v>
      </c>
      <c r="E180" s="116">
        <v>2925.8</v>
      </c>
      <c r="F180" s="116">
        <v>2941.75</v>
      </c>
      <c r="G180">
        <v>43815</v>
      </c>
      <c r="H180" s="116"/>
      <c r="I180" s="116"/>
      <c r="L180" s="169">
        <v>46085</v>
      </c>
      <c r="M180" s="116">
        <v>2942</v>
      </c>
      <c r="N180" s="116">
        <v>2998</v>
      </c>
      <c r="O180" s="116">
        <v>2910.1</v>
      </c>
      <c r="P180" s="116">
        <v>2924.7</v>
      </c>
      <c r="Q180" s="116">
        <v>2942</v>
      </c>
      <c r="R180">
        <v>500244</v>
      </c>
    </row>
    <row r="181" spans="1:18" x14ac:dyDescent="0.25">
      <c r="A181" s="169">
        <v>46086</v>
      </c>
      <c r="B181" s="116">
        <v>2980</v>
      </c>
      <c r="C181" s="116">
        <v>2864.8</v>
      </c>
      <c r="D181" s="116">
        <v>2830.2</v>
      </c>
      <c r="E181" s="116">
        <v>2921.15</v>
      </c>
      <c r="F181" s="116">
        <v>2864.8</v>
      </c>
      <c r="G181">
        <v>25196</v>
      </c>
      <c r="H181" s="116"/>
      <c r="I181" s="116"/>
      <c r="L181" s="169">
        <v>46086</v>
      </c>
      <c r="M181" s="116">
        <v>2863.9</v>
      </c>
      <c r="N181" s="116">
        <v>2987.9</v>
      </c>
      <c r="O181" s="116">
        <v>2830.5</v>
      </c>
      <c r="P181" s="116">
        <v>2942</v>
      </c>
      <c r="Q181" s="116">
        <v>2863.9</v>
      </c>
      <c r="R181">
        <v>474634</v>
      </c>
    </row>
    <row r="182" spans="1:18" x14ac:dyDescent="0.25">
      <c r="A182" s="169">
        <v>46087</v>
      </c>
      <c r="B182" s="116">
        <v>2928.75</v>
      </c>
      <c r="C182" s="116">
        <v>2920.1</v>
      </c>
      <c r="D182" s="116">
        <v>2850</v>
      </c>
      <c r="E182" s="116">
        <v>2852</v>
      </c>
      <c r="F182" s="116">
        <v>2920.1</v>
      </c>
      <c r="G182">
        <v>12890</v>
      </c>
      <c r="H182" s="116"/>
      <c r="I182" s="116"/>
      <c r="L182" s="169">
        <v>46087</v>
      </c>
      <c r="M182" s="116">
        <v>2920.6</v>
      </c>
      <c r="N182" s="116">
        <v>2927.9</v>
      </c>
      <c r="O182" s="116">
        <v>2847.7</v>
      </c>
      <c r="P182" s="116">
        <v>2864</v>
      </c>
      <c r="Q182" s="116">
        <v>2920.6</v>
      </c>
      <c r="R182">
        <v>186334</v>
      </c>
    </row>
    <row r="183" spans="1:18" x14ac:dyDescent="0.25">
      <c r="A183" s="169">
        <v>46090</v>
      </c>
      <c r="B183" s="116">
        <v>2937.75</v>
      </c>
      <c r="C183" s="116">
        <v>2883.7</v>
      </c>
      <c r="D183" s="116">
        <v>2823.3</v>
      </c>
      <c r="E183" s="116">
        <v>2879.85</v>
      </c>
      <c r="F183" s="116">
        <v>2883.7</v>
      </c>
      <c r="G183">
        <v>21531</v>
      </c>
      <c r="H183" s="116"/>
      <c r="I183" s="116"/>
      <c r="L183" s="169">
        <v>46090</v>
      </c>
      <c r="M183" s="116">
        <v>2883.2</v>
      </c>
      <c r="N183" s="116">
        <v>2940</v>
      </c>
      <c r="O183" s="116">
        <v>2819</v>
      </c>
      <c r="P183" s="116">
        <v>2885</v>
      </c>
      <c r="Q183" s="116">
        <v>2883.2</v>
      </c>
      <c r="R183">
        <v>297164</v>
      </c>
    </row>
    <row r="184" spans="1:18" x14ac:dyDescent="0.25">
      <c r="A184" s="169">
        <v>46091</v>
      </c>
      <c r="B184" s="116">
        <v>2980</v>
      </c>
      <c r="C184" s="116">
        <v>2954.85</v>
      </c>
      <c r="D184" s="116">
        <v>2919.95</v>
      </c>
      <c r="E184" s="116">
        <v>2929.1</v>
      </c>
      <c r="F184" s="116">
        <v>2954.85</v>
      </c>
      <c r="G184">
        <v>23674</v>
      </c>
      <c r="H184" s="116"/>
      <c r="I184" s="116"/>
      <c r="L184" s="169">
        <v>46091</v>
      </c>
      <c r="M184" s="116">
        <v>2957.6</v>
      </c>
      <c r="N184" s="116">
        <v>2980</v>
      </c>
      <c r="O184" s="116">
        <v>2915.1</v>
      </c>
      <c r="P184" s="116">
        <v>2934</v>
      </c>
      <c r="Q184" s="116">
        <v>2957.6</v>
      </c>
      <c r="R184">
        <v>221907</v>
      </c>
    </row>
    <row r="185" spans="1:18" x14ac:dyDescent="0.25">
      <c r="A185" s="169">
        <v>46092</v>
      </c>
      <c r="B185" s="116">
        <v>2990</v>
      </c>
      <c r="C185" s="116">
        <v>2943.85</v>
      </c>
      <c r="D185" s="116">
        <v>2925.05</v>
      </c>
      <c r="E185" s="116">
        <v>2954.95</v>
      </c>
      <c r="F185" s="116">
        <v>2943.85</v>
      </c>
      <c r="G185">
        <v>11505</v>
      </c>
      <c r="H185" s="116"/>
      <c r="I185" s="116"/>
      <c r="L185" s="169">
        <v>46092</v>
      </c>
      <c r="M185" s="116">
        <v>2942.8</v>
      </c>
      <c r="N185" s="116">
        <v>2990</v>
      </c>
      <c r="O185" s="116">
        <v>2915.8</v>
      </c>
      <c r="P185" s="116">
        <v>2960</v>
      </c>
      <c r="Q185" s="116">
        <v>2942.8</v>
      </c>
      <c r="R185">
        <v>135817</v>
      </c>
    </row>
    <row r="186" spans="1:18" x14ac:dyDescent="0.25">
      <c r="A186" s="169">
        <v>46093</v>
      </c>
      <c r="B186" s="116">
        <v>2940</v>
      </c>
      <c r="C186" s="116">
        <v>2866.25</v>
      </c>
      <c r="D186" s="116">
        <v>2860.6</v>
      </c>
      <c r="E186" s="116">
        <v>2940</v>
      </c>
      <c r="F186" s="116">
        <v>2866.25</v>
      </c>
      <c r="G186">
        <v>10962</v>
      </c>
      <c r="H186" s="116"/>
      <c r="I186" s="116"/>
      <c r="L186" s="169">
        <v>46093</v>
      </c>
      <c r="M186" s="116">
        <v>2866.9</v>
      </c>
      <c r="N186" s="116">
        <v>2925</v>
      </c>
      <c r="O186" s="116">
        <v>2861.3</v>
      </c>
      <c r="P186" s="116">
        <v>2925</v>
      </c>
      <c r="Q186" s="116">
        <v>2866.9</v>
      </c>
      <c r="R186">
        <v>119153</v>
      </c>
    </row>
    <row r="187" spans="1:18" x14ac:dyDescent="0.25">
      <c r="A187" s="169">
        <v>46094</v>
      </c>
      <c r="B187" s="116">
        <v>2929.9</v>
      </c>
      <c r="C187" s="116">
        <v>2797.75</v>
      </c>
      <c r="D187" s="116">
        <v>2780</v>
      </c>
      <c r="E187" s="116">
        <v>2878.15</v>
      </c>
      <c r="F187" s="116">
        <v>2797.75</v>
      </c>
      <c r="G187">
        <v>14332</v>
      </c>
      <c r="H187" s="116"/>
      <c r="I187" s="116"/>
      <c r="L187" s="169">
        <v>46094</v>
      </c>
      <c r="M187" s="116">
        <v>2796.9</v>
      </c>
      <c r="N187" s="116">
        <v>2930</v>
      </c>
      <c r="O187" s="116">
        <v>2776</v>
      </c>
      <c r="P187" s="116">
        <v>2866.9</v>
      </c>
      <c r="Q187" s="116">
        <v>2796.9</v>
      </c>
      <c r="R187">
        <v>230108</v>
      </c>
    </row>
    <row r="188" spans="1:18" x14ac:dyDescent="0.25">
      <c r="A188" s="169">
        <v>46097</v>
      </c>
      <c r="B188" s="116">
        <v>2843</v>
      </c>
      <c r="C188" s="116">
        <v>2784</v>
      </c>
      <c r="D188" s="116">
        <v>2710.05</v>
      </c>
      <c r="E188" s="116">
        <v>2805.15</v>
      </c>
      <c r="F188" s="116">
        <v>2784</v>
      </c>
      <c r="G188">
        <v>18086</v>
      </c>
      <c r="H188" s="116"/>
      <c r="I188" s="116"/>
      <c r="L188" s="169">
        <v>46097</v>
      </c>
      <c r="M188" s="116">
        <v>2787.7</v>
      </c>
      <c r="N188" s="116">
        <v>2843.5</v>
      </c>
      <c r="O188" s="116">
        <v>2711</v>
      </c>
      <c r="P188" s="116">
        <v>2821</v>
      </c>
      <c r="Q188" s="116">
        <v>2787.7</v>
      </c>
      <c r="R188">
        <v>321631</v>
      </c>
    </row>
    <row r="189" spans="1:18" x14ac:dyDescent="0.25">
      <c r="A189" s="169">
        <v>46098</v>
      </c>
      <c r="B189" s="116">
        <v>2818</v>
      </c>
      <c r="C189" s="116">
        <v>2771</v>
      </c>
      <c r="D189" s="116">
        <v>2730.8</v>
      </c>
      <c r="E189" s="116">
        <v>2785.8</v>
      </c>
      <c r="F189" s="116">
        <v>2771</v>
      </c>
      <c r="G189">
        <v>8070</v>
      </c>
      <c r="H189" s="116"/>
      <c r="I189" s="116"/>
      <c r="L189" s="169">
        <v>46098</v>
      </c>
      <c r="M189" s="116">
        <v>2768.9</v>
      </c>
      <c r="N189" s="116">
        <v>2798</v>
      </c>
      <c r="O189" s="116">
        <v>2730.1</v>
      </c>
      <c r="P189" s="116">
        <v>2791</v>
      </c>
      <c r="Q189" s="116">
        <v>2768.9</v>
      </c>
      <c r="R189">
        <v>198077</v>
      </c>
    </row>
    <row r="190" spans="1:18" x14ac:dyDescent="0.25">
      <c r="A190" s="169">
        <v>46099</v>
      </c>
      <c r="B190" s="116">
        <v>2906.15</v>
      </c>
      <c r="C190" s="116">
        <v>2841</v>
      </c>
      <c r="D190" s="116">
        <v>2771</v>
      </c>
      <c r="E190" s="116">
        <v>2775.6</v>
      </c>
      <c r="F190" s="116">
        <v>2841</v>
      </c>
      <c r="G190">
        <v>30249</v>
      </c>
      <c r="H190" s="116"/>
      <c r="I190" s="116"/>
      <c r="L190" s="169">
        <v>46099</v>
      </c>
      <c r="M190" s="116">
        <v>2840.6</v>
      </c>
      <c r="N190" s="116">
        <v>2907.7</v>
      </c>
      <c r="O190" s="116">
        <v>2766.8</v>
      </c>
      <c r="P190" s="116">
        <v>2779.8</v>
      </c>
      <c r="Q190" s="116">
        <v>2840.6</v>
      </c>
      <c r="R190">
        <v>442560</v>
      </c>
    </row>
    <row r="191" spans="1:18" x14ac:dyDescent="0.25">
      <c r="A191" s="169">
        <v>46100</v>
      </c>
      <c r="B191" s="116">
        <v>2815.8</v>
      </c>
      <c r="C191" s="116">
        <v>2756.45</v>
      </c>
      <c r="D191" s="116">
        <v>2750</v>
      </c>
      <c r="E191" s="116">
        <v>2789.45</v>
      </c>
      <c r="F191" s="116">
        <v>2756.45</v>
      </c>
      <c r="G191">
        <v>15626</v>
      </c>
      <c r="H191" s="116"/>
      <c r="I191" s="116"/>
      <c r="L191" s="169">
        <v>46100</v>
      </c>
      <c r="M191" s="116">
        <v>2755.2</v>
      </c>
      <c r="N191" s="116">
        <v>2812.1</v>
      </c>
      <c r="O191" s="116">
        <v>2750</v>
      </c>
      <c r="P191" s="116">
        <v>2770</v>
      </c>
      <c r="Q191" s="116">
        <v>2755.2</v>
      </c>
      <c r="R191">
        <v>192926</v>
      </c>
    </row>
    <row r="192" spans="1:18" x14ac:dyDescent="0.25">
      <c r="A192" s="169">
        <v>46101</v>
      </c>
      <c r="B192" s="116">
        <v>2841.5</v>
      </c>
      <c r="C192" s="116">
        <v>2791.1</v>
      </c>
      <c r="D192" s="116">
        <v>2758.1</v>
      </c>
      <c r="E192" s="116">
        <v>2758.1</v>
      </c>
      <c r="F192" s="116">
        <v>2791.1</v>
      </c>
      <c r="G192">
        <v>114587</v>
      </c>
      <c r="H192" s="116"/>
      <c r="I192" s="116"/>
      <c r="L192" s="169">
        <v>46101</v>
      </c>
      <c r="M192" s="116">
        <v>2791.2</v>
      </c>
      <c r="N192" s="116">
        <v>2842</v>
      </c>
      <c r="O192" s="116">
        <v>2775</v>
      </c>
      <c r="P192" s="116">
        <v>2775</v>
      </c>
      <c r="Q192" s="116">
        <v>2791.2</v>
      </c>
      <c r="R192">
        <v>288016</v>
      </c>
    </row>
    <row r="193" spans="1:18" x14ac:dyDescent="0.25">
      <c r="A193" s="169">
        <v>46104</v>
      </c>
      <c r="B193" s="116">
        <v>2753.5</v>
      </c>
      <c r="C193" s="116">
        <v>2699.75</v>
      </c>
      <c r="D193" s="116">
        <v>2666.6</v>
      </c>
      <c r="E193" s="116">
        <v>2722.75</v>
      </c>
      <c r="F193" s="116">
        <v>2699.75</v>
      </c>
      <c r="G193">
        <v>14339</v>
      </c>
      <c r="H193" s="116"/>
      <c r="I193" s="116"/>
      <c r="L193" s="169">
        <v>46104</v>
      </c>
      <c r="M193" s="116">
        <v>2696.1</v>
      </c>
      <c r="N193" s="116">
        <v>2758.5</v>
      </c>
      <c r="O193" s="116">
        <v>2666.1</v>
      </c>
      <c r="P193" s="116">
        <v>2751.2</v>
      </c>
      <c r="Q193" s="116">
        <v>2696.1</v>
      </c>
      <c r="R193">
        <v>221627</v>
      </c>
    </row>
    <row r="194" spans="1:18" x14ac:dyDescent="0.25">
      <c r="A194" s="169">
        <v>46105</v>
      </c>
      <c r="B194" s="116">
        <v>2757.8</v>
      </c>
      <c r="C194" s="116">
        <v>2686.2</v>
      </c>
      <c r="D194" s="116">
        <v>2675</v>
      </c>
      <c r="E194" s="116">
        <v>2757.05</v>
      </c>
      <c r="F194" s="116">
        <v>2686.2</v>
      </c>
      <c r="G194">
        <v>14865</v>
      </c>
      <c r="H194" s="116"/>
      <c r="I194" s="116"/>
      <c r="L194" s="169">
        <v>46105</v>
      </c>
      <c r="M194" s="116">
        <v>2688</v>
      </c>
      <c r="N194" s="116">
        <v>2752.3</v>
      </c>
      <c r="O194" s="116">
        <v>2671.9</v>
      </c>
      <c r="P194" s="116">
        <v>2742</v>
      </c>
      <c r="Q194" s="116">
        <v>2688</v>
      </c>
      <c r="R194">
        <v>221897</v>
      </c>
    </row>
    <row r="195" spans="1:18" x14ac:dyDescent="0.25">
      <c r="A195" s="169">
        <v>46106</v>
      </c>
      <c r="B195" s="116">
        <v>2780.2</v>
      </c>
      <c r="C195" s="116">
        <v>2773.1</v>
      </c>
      <c r="D195" s="116">
        <v>2688</v>
      </c>
      <c r="E195" s="116">
        <v>2738.85</v>
      </c>
      <c r="F195" s="116">
        <v>2773.1</v>
      </c>
      <c r="G195">
        <v>14951</v>
      </c>
      <c r="H195" s="116"/>
      <c r="I195" s="116"/>
      <c r="L195" s="169">
        <v>46106</v>
      </c>
      <c r="M195" s="116">
        <v>2771.4</v>
      </c>
      <c r="N195" s="116">
        <v>2781</v>
      </c>
      <c r="O195" s="116">
        <v>2695.1</v>
      </c>
      <c r="P195" s="116">
        <v>2715</v>
      </c>
      <c r="Q195" s="116">
        <v>2771.4</v>
      </c>
      <c r="R195">
        <v>357865</v>
      </c>
    </row>
    <row r="196" spans="1:18" x14ac:dyDescent="0.25">
      <c r="A196" s="169">
        <v>46108</v>
      </c>
      <c r="B196" s="116">
        <v>2758.85</v>
      </c>
      <c r="C196" s="116">
        <v>2629.2</v>
      </c>
      <c r="D196" s="116">
        <v>2594.9499999999998</v>
      </c>
      <c r="E196" s="116">
        <v>2758.85</v>
      </c>
      <c r="F196" s="116">
        <v>2629.2</v>
      </c>
      <c r="G196">
        <v>45213</v>
      </c>
      <c r="H196" s="116"/>
      <c r="I196" s="116"/>
      <c r="L196" s="169">
        <v>46108</v>
      </c>
      <c r="M196" s="116">
        <v>2629.4</v>
      </c>
      <c r="N196" s="116">
        <v>2749.1</v>
      </c>
      <c r="O196" s="116">
        <v>2596</v>
      </c>
      <c r="P196" s="116">
        <v>2749.1</v>
      </c>
      <c r="Q196" s="116">
        <v>2629.4</v>
      </c>
      <c r="R196">
        <v>559312</v>
      </c>
    </row>
    <row r="197" spans="1:18" x14ac:dyDescent="0.25">
      <c r="A197" s="169">
        <v>46111</v>
      </c>
      <c r="B197" s="116">
        <v>2660.85</v>
      </c>
      <c r="C197" s="116">
        <v>2569.65</v>
      </c>
      <c r="D197" s="116">
        <v>2551</v>
      </c>
      <c r="E197" s="116">
        <v>2629.2</v>
      </c>
      <c r="F197" s="116">
        <v>2569.65</v>
      </c>
      <c r="G197">
        <v>190546</v>
      </c>
      <c r="H197" s="116"/>
      <c r="I197" s="116"/>
      <c r="L197" s="169">
        <v>46111</v>
      </c>
      <c r="M197" s="116">
        <v>2565.5</v>
      </c>
      <c r="N197" s="116">
        <v>2661</v>
      </c>
      <c r="O197" s="116">
        <v>2551.1999999999998</v>
      </c>
      <c r="P197" s="116">
        <v>2619.1999999999998</v>
      </c>
      <c r="Q197" s="116">
        <v>2565.5</v>
      </c>
      <c r="R197">
        <v>357797</v>
      </c>
    </row>
    <row r="198" spans="1:18" x14ac:dyDescent="0.25">
      <c r="A198" s="169">
        <v>46113</v>
      </c>
      <c r="B198" s="116">
        <v>2650</v>
      </c>
      <c r="C198" s="116">
        <v>2615.5500000000002</v>
      </c>
      <c r="D198" s="116">
        <v>2586.1</v>
      </c>
      <c r="E198" s="116">
        <v>2620.15</v>
      </c>
      <c r="F198" s="116">
        <v>2615.5500000000002</v>
      </c>
      <c r="G198">
        <v>23434</v>
      </c>
      <c r="H198" s="116"/>
      <c r="I198" s="116"/>
      <c r="L198" s="169">
        <v>46113</v>
      </c>
      <c r="M198" s="116">
        <v>2613.9</v>
      </c>
      <c r="N198" s="116">
        <v>2652.8</v>
      </c>
      <c r="O198" s="116">
        <v>2585</v>
      </c>
      <c r="P198" s="116">
        <v>2640</v>
      </c>
      <c r="Q198" s="116">
        <v>2613.9</v>
      </c>
      <c r="R198">
        <v>438974</v>
      </c>
    </row>
    <row r="199" spans="1:18" x14ac:dyDescent="0.25">
      <c r="A199" s="169">
        <v>46114</v>
      </c>
      <c r="B199" s="116">
        <v>2633.95</v>
      </c>
      <c r="C199" s="116">
        <v>2612.5500000000002</v>
      </c>
      <c r="D199" s="116">
        <v>2523</v>
      </c>
      <c r="E199" s="116">
        <v>2537.75</v>
      </c>
      <c r="F199" s="116">
        <v>2612.5500000000002</v>
      </c>
      <c r="G199">
        <v>13250</v>
      </c>
      <c r="H199" s="116"/>
      <c r="I199" s="116"/>
      <c r="L199" s="169">
        <v>46114</v>
      </c>
      <c r="M199" s="116">
        <v>2612</v>
      </c>
      <c r="N199" s="116">
        <v>2633.5</v>
      </c>
      <c r="O199" s="116">
        <v>2521.6999999999998</v>
      </c>
      <c r="P199" s="116">
        <v>2570</v>
      </c>
      <c r="Q199" s="116">
        <v>2612</v>
      </c>
      <c r="R199">
        <v>255030</v>
      </c>
    </row>
    <row r="200" spans="1:18" x14ac:dyDescent="0.25">
      <c r="A200" s="169">
        <v>46118</v>
      </c>
      <c r="B200" s="116">
        <v>2645.75</v>
      </c>
      <c r="C200" s="116">
        <v>2622.8</v>
      </c>
      <c r="D200" s="116">
        <v>2595.6</v>
      </c>
      <c r="E200" s="116">
        <v>2625.95</v>
      </c>
      <c r="F200" s="116">
        <v>2622.8</v>
      </c>
      <c r="G200">
        <v>17110</v>
      </c>
      <c r="H200" s="116"/>
      <c r="I200" s="116"/>
      <c r="L200" s="169">
        <v>46118</v>
      </c>
      <c r="M200" s="116">
        <v>2620.1999999999998</v>
      </c>
      <c r="N200" s="116">
        <v>2644.9</v>
      </c>
      <c r="O200" s="116">
        <v>2595.1</v>
      </c>
      <c r="P200" s="116">
        <v>2622</v>
      </c>
      <c r="Q200" s="116">
        <v>2620.1999999999998</v>
      </c>
      <c r="R200">
        <v>294424</v>
      </c>
    </row>
    <row r="201" spans="1:18" x14ac:dyDescent="0.25">
      <c r="A201" s="169">
        <v>46119</v>
      </c>
      <c r="B201" s="116">
        <v>2645</v>
      </c>
      <c r="C201" s="116">
        <v>2630.85</v>
      </c>
      <c r="D201" s="116">
        <v>2579.1999999999998</v>
      </c>
      <c r="E201" s="116">
        <v>2625.05</v>
      </c>
      <c r="F201" s="116">
        <v>2630.85</v>
      </c>
      <c r="G201">
        <v>146930</v>
      </c>
      <c r="H201" s="116"/>
      <c r="I201" s="116"/>
      <c r="L201" s="169">
        <v>46119</v>
      </c>
      <c r="M201" s="116">
        <v>2629</v>
      </c>
      <c r="N201" s="116">
        <v>2646.3</v>
      </c>
      <c r="O201" s="116">
        <v>2578.1</v>
      </c>
      <c r="P201" s="116">
        <v>2614.9</v>
      </c>
      <c r="Q201" s="116">
        <v>2629</v>
      </c>
      <c r="R201">
        <v>203769</v>
      </c>
    </row>
    <row r="202" spans="1:18" x14ac:dyDescent="0.25">
      <c r="A202" s="169">
        <v>46120</v>
      </c>
      <c r="B202" s="116">
        <v>2719.9</v>
      </c>
      <c r="C202" s="116">
        <v>2702.2</v>
      </c>
      <c r="D202" s="116">
        <v>2657.25</v>
      </c>
      <c r="E202" s="116">
        <v>2719.9</v>
      </c>
      <c r="F202" s="116">
        <v>2702.2</v>
      </c>
      <c r="G202">
        <v>360833</v>
      </c>
      <c r="H202" s="116"/>
      <c r="I202" s="116"/>
      <c r="L202" s="169">
        <v>46120</v>
      </c>
      <c r="M202" s="116">
        <v>2701.7</v>
      </c>
      <c r="N202" s="116">
        <v>2719</v>
      </c>
      <c r="O202" s="116">
        <v>2656.7</v>
      </c>
      <c r="P202" s="116">
        <v>2690</v>
      </c>
      <c r="Q202" s="116">
        <v>2701.7</v>
      </c>
      <c r="R202">
        <v>438157</v>
      </c>
    </row>
    <row r="203" spans="1:18" x14ac:dyDescent="0.25">
      <c r="A203" s="169">
        <v>46121</v>
      </c>
      <c r="B203" s="116">
        <v>2775</v>
      </c>
      <c r="C203" s="116">
        <v>2767.55</v>
      </c>
      <c r="D203" s="116">
        <v>2657</v>
      </c>
      <c r="E203" s="116">
        <v>2689.7</v>
      </c>
      <c r="F203" s="116">
        <v>2767.55</v>
      </c>
      <c r="G203">
        <v>99688</v>
      </c>
      <c r="H203" s="116"/>
      <c r="I203" s="116"/>
      <c r="L203" s="169">
        <v>46121</v>
      </c>
      <c r="M203" s="116">
        <v>2767.7</v>
      </c>
      <c r="N203" s="116">
        <v>2774.4</v>
      </c>
      <c r="O203" s="116">
        <v>2656.8</v>
      </c>
      <c r="P203" s="116">
        <v>2703.2</v>
      </c>
      <c r="Q203" s="116">
        <v>2767.7</v>
      </c>
      <c r="R203">
        <v>412862</v>
      </c>
    </row>
    <row r="204" spans="1:18" x14ac:dyDescent="0.25">
      <c r="A204" s="169">
        <v>46122</v>
      </c>
      <c r="B204" s="116">
        <v>2853.45</v>
      </c>
      <c r="C204" s="116">
        <v>2811.7</v>
      </c>
      <c r="D204" s="116">
        <v>2780.05</v>
      </c>
      <c r="E204" s="116">
        <v>2798.45</v>
      </c>
      <c r="F204" s="116">
        <v>2811.7</v>
      </c>
      <c r="G204">
        <v>21706</v>
      </c>
      <c r="H204" s="116"/>
      <c r="I204" s="116"/>
      <c r="L204" s="169">
        <v>46122</v>
      </c>
      <c r="M204" s="116">
        <v>2813.5</v>
      </c>
      <c r="N204" s="116">
        <v>2855.4</v>
      </c>
      <c r="O204" s="116">
        <v>2780</v>
      </c>
      <c r="P204" s="116">
        <v>2789.7</v>
      </c>
      <c r="Q204" s="116">
        <v>2813.5</v>
      </c>
      <c r="R204">
        <v>294848</v>
      </c>
    </row>
    <row r="205" spans="1:18" x14ac:dyDescent="0.25">
      <c r="A205" s="169">
        <v>46125</v>
      </c>
      <c r="B205" s="116">
        <v>2880</v>
      </c>
      <c r="C205" s="116">
        <v>2846.4</v>
      </c>
      <c r="D205" s="116">
        <v>2764.45</v>
      </c>
      <c r="E205" s="116">
        <v>2797.4</v>
      </c>
      <c r="F205" s="116">
        <v>2846.4</v>
      </c>
      <c r="G205">
        <v>15913</v>
      </c>
      <c r="H205" s="116"/>
      <c r="I205" s="116"/>
      <c r="L205" s="169">
        <v>46125</v>
      </c>
      <c r="M205" s="116">
        <v>2849.2</v>
      </c>
      <c r="N205" s="116">
        <v>2885</v>
      </c>
      <c r="O205" s="116">
        <v>2762.5</v>
      </c>
      <c r="P205" s="116">
        <v>2762.5</v>
      </c>
      <c r="Q205" s="116">
        <v>2849.2</v>
      </c>
      <c r="R205">
        <v>316390</v>
      </c>
    </row>
    <row r="206" spans="1:18" x14ac:dyDescent="0.25">
      <c r="A206" s="169">
        <v>46127</v>
      </c>
      <c r="B206" s="116">
        <v>2938.5</v>
      </c>
      <c r="C206" s="116">
        <v>2916.75</v>
      </c>
      <c r="D206" s="116">
        <v>2872</v>
      </c>
      <c r="E206" s="116">
        <v>2894.95</v>
      </c>
      <c r="F206" s="116">
        <v>2916.75</v>
      </c>
      <c r="G206">
        <v>14231</v>
      </c>
      <c r="H206" s="116"/>
      <c r="I206" s="116"/>
      <c r="L206" s="169">
        <v>46127</v>
      </c>
      <c r="M206" s="116">
        <v>2918.3</v>
      </c>
      <c r="N206" s="116">
        <v>2939</v>
      </c>
      <c r="O206" s="116">
        <v>2871</v>
      </c>
      <c r="P206" s="116">
        <v>2885</v>
      </c>
      <c r="Q206" s="116">
        <v>2918.3</v>
      </c>
      <c r="R206">
        <v>392171</v>
      </c>
    </row>
    <row r="207" spans="1:18" x14ac:dyDescent="0.25">
      <c r="A207" s="169">
        <v>46128</v>
      </c>
      <c r="B207" s="116">
        <v>2980</v>
      </c>
      <c r="C207" s="116">
        <v>2903.65</v>
      </c>
      <c r="D207" s="116">
        <v>2889.8</v>
      </c>
      <c r="E207" s="116">
        <v>2948</v>
      </c>
      <c r="F207" s="116">
        <v>2903.65</v>
      </c>
      <c r="G207">
        <v>12032</v>
      </c>
      <c r="H207" s="116"/>
      <c r="I207" s="116"/>
      <c r="L207" s="169">
        <v>46128</v>
      </c>
      <c r="M207" s="116">
        <v>2901.3</v>
      </c>
      <c r="N207" s="116">
        <v>2982</v>
      </c>
      <c r="O207" s="116">
        <v>2888.1</v>
      </c>
      <c r="P207" s="116">
        <v>2935</v>
      </c>
      <c r="Q207" s="116">
        <v>2901.3</v>
      </c>
      <c r="R207">
        <v>301522</v>
      </c>
    </row>
    <row r="208" spans="1:18" x14ac:dyDescent="0.25">
      <c r="A208" s="169">
        <v>46129</v>
      </c>
      <c r="B208" s="116">
        <v>3056.1</v>
      </c>
      <c r="C208" s="116">
        <v>3019.3</v>
      </c>
      <c r="D208" s="116">
        <v>2888.5</v>
      </c>
      <c r="E208" s="116">
        <v>2888.5</v>
      </c>
      <c r="F208" s="116">
        <v>3019.3</v>
      </c>
      <c r="G208">
        <v>35419</v>
      </c>
      <c r="H208" s="116"/>
      <c r="I208" s="116"/>
      <c r="L208" s="169">
        <v>46129</v>
      </c>
      <c r="M208" s="116">
        <v>3019.6</v>
      </c>
      <c r="N208" s="116">
        <v>3056</v>
      </c>
      <c r="O208" s="116">
        <v>2888</v>
      </c>
      <c r="P208" s="116">
        <v>2906</v>
      </c>
      <c r="Q208" s="116">
        <v>3019.6</v>
      </c>
      <c r="R208">
        <v>505945</v>
      </c>
    </row>
    <row r="209" spans="1:18" x14ac:dyDescent="0.25">
      <c r="A209" s="169">
        <v>46132</v>
      </c>
      <c r="B209" s="116">
        <v>3169.8</v>
      </c>
      <c r="C209" s="116">
        <v>3138.4</v>
      </c>
      <c r="D209" s="116">
        <v>3015.15</v>
      </c>
      <c r="E209" s="116">
        <v>3072.05</v>
      </c>
      <c r="F209" s="116">
        <v>3138.4</v>
      </c>
      <c r="G209">
        <v>47282</v>
      </c>
      <c r="H209" s="116"/>
      <c r="I209" s="116"/>
      <c r="L209" s="169">
        <v>46132</v>
      </c>
      <c r="M209" s="116">
        <v>3138.4</v>
      </c>
      <c r="N209" s="116">
        <v>3171</v>
      </c>
      <c r="O209" s="116">
        <v>3019.6</v>
      </c>
      <c r="P209" s="116">
        <v>3040</v>
      </c>
      <c r="Q209" s="116">
        <v>3138.4</v>
      </c>
      <c r="R209">
        <v>830674</v>
      </c>
    </row>
    <row r="210" spans="1:18" x14ac:dyDescent="0.25">
      <c r="A210" s="169">
        <v>46133</v>
      </c>
      <c r="B210" s="116">
        <v>3268.65</v>
      </c>
      <c r="C210" s="116">
        <v>3204.7</v>
      </c>
      <c r="D210" s="116">
        <v>3163.8</v>
      </c>
      <c r="E210" s="116">
        <v>3190</v>
      </c>
      <c r="F210" s="116">
        <v>3204.7</v>
      </c>
      <c r="G210">
        <v>54444</v>
      </c>
      <c r="H210" s="116"/>
      <c r="I210" s="116"/>
      <c r="L210" s="169">
        <v>46133</v>
      </c>
      <c r="M210" s="116">
        <v>3208.2</v>
      </c>
      <c r="N210" s="116">
        <v>3268.4</v>
      </c>
      <c r="O210" s="116">
        <v>3166</v>
      </c>
      <c r="P210" s="116">
        <v>3187.3</v>
      </c>
      <c r="Q210" s="116">
        <v>3208.2</v>
      </c>
      <c r="R210">
        <v>964136</v>
      </c>
    </row>
    <row r="211" spans="1:18" x14ac:dyDescent="0.25">
      <c r="A211" s="169">
        <v>46134</v>
      </c>
      <c r="B211" s="116">
        <v>3255</v>
      </c>
      <c r="C211" s="116">
        <v>3188.65</v>
      </c>
      <c r="D211" s="116">
        <v>3160.4</v>
      </c>
      <c r="E211" s="116">
        <v>3194</v>
      </c>
      <c r="F211" s="116">
        <v>3188.65</v>
      </c>
      <c r="G211">
        <v>23338</v>
      </c>
      <c r="H211" s="116"/>
      <c r="I211" s="116"/>
      <c r="L211" s="169">
        <v>46134</v>
      </c>
      <c r="M211" s="116">
        <v>3188.2</v>
      </c>
      <c r="N211" s="116">
        <v>3255.9</v>
      </c>
      <c r="O211" s="116">
        <v>3158.1</v>
      </c>
      <c r="P211" s="116">
        <v>3190</v>
      </c>
      <c r="Q211" s="116">
        <v>3188.2</v>
      </c>
      <c r="R211">
        <v>477291</v>
      </c>
    </row>
    <row r="212" spans="1:18" x14ac:dyDescent="0.25">
      <c r="A212" s="169">
        <v>46135</v>
      </c>
      <c r="B212" s="116">
        <v>3294.35</v>
      </c>
      <c r="C212" s="116">
        <v>3222.55</v>
      </c>
      <c r="D212" s="116">
        <v>3180</v>
      </c>
      <c r="E212" s="116">
        <v>3190</v>
      </c>
      <c r="F212" s="116">
        <v>3222.55</v>
      </c>
      <c r="G212">
        <v>42635</v>
      </c>
      <c r="H212" s="116"/>
      <c r="I212" s="116"/>
      <c r="L212" s="169">
        <v>46135</v>
      </c>
      <c r="M212" s="116">
        <v>3221.6</v>
      </c>
      <c r="N212" s="116">
        <v>3294.4</v>
      </c>
      <c r="O212" s="116">
        <v>3175.4</v>
      </c>
      <c r="P212" s="116">
        <v>3198.9</v>
      </c>
      <c r="Q212" s="116">
        <v>3221.6</v>
      </c>
      <c r="R212">
        <v>606693</v>
      </c>
    </row>
    <row r="213" spans="1:18" x14ac:dyDescent="0.25">
      <c r="A213" s="169">
        <v>46136</v>
      </c>
      <c r="B213" s="116">
        <v>3288</v>
      </c>
      <c r="C213" s="116">
        <v>3206.05</v>
      </c>
      <c r="D213" s="116">
        <v>3140</v>
      </c>
      <c r="E213" s="116">
        <v>3213.05</v>
      </c>
      <c r="F213" s="116">
        <v>3206.05</v>
      </c>
      <c r="G213">
        <v>44594</v>
      </c>
      <c r="H213" s="116"/>
      <c r="I213" s="116"/>
      <c r="L213" s="169">
        <v>46136</v>
      </c>
      <c r="M213" s="116">
        <v>3205.1</v>
      </c>
      <c r="N213" s="116">
        <v>3289</v>
      </c>
      <c r="O213" s="116">
        <v>3140</v>
      </c>
      <c r="P213" s="116">
        <v>3221.6</v>
      </c>
      <c r="Q213" s="116">
        <v>3205.1</v>
      </c>
      <c r="R213">
        <v>530820</v>
      </c>
    </row>
    <row r="214" spans="1:18" x14ac:dyDescent="0.25">
      <c r="A214" s="169">
        <v>46139</v>
      </c>
      <c r="B214" s="116">
        <v>3261.45</v>
      </c>
      <c r="C214" s="116">
        <v>3186.9</v>
      </c>
      <c r="D214" s="116">
        <v>3173.2</v>
      </c>
      <c r="E214" s="116">
        <v>3217.15</v>
      </c>
      <c r="F214" s="116">
        <v>3186.9</v>
      </c>
      <c r="G214">
        <v>28479</v>
      </c>
      <c r="H214" s="116"/>
      <c r="I214" s="116"/>
      <c r="L214" s="169">
        <v>46139</v>
      </c>
      <c r="M214" s="116">
        <v>3192.4</v>
      </c>
      <c r="N214" s="116">
        <v>3261.2</v>
      </c>
      <c r="O214" s="116">
        <v>3171.6</v>
      </c>
      <c r="P214" s="116">
        <v>3245</v>
      </c>
      <c r="Q214" s="116">
        <v>3192.4</v>
      </c>
      <c r="R214">
        <v>395529</v>
      </c>
    </row>
    <row r="215" spans="1:18" x14ac:dyDescent="0.25">
      <c r="A215" s="169">
        <v>46140</v>
      </c>
      <c r="B215" s="116">
        <v>3283.9</v>
      </c>
      <c r="C215" s="116">
        <v>3233.55</v>
      </c>
      <c r="D215" s="116">
        <v>3210</v>
      </c>
      <c r="E215" s="116">
        <v>3223.3</v>
      </c>
      <c r="F215" s="116">
        <v>3233.55</v>
      </c>
      <c r="G215">
        <v>20406</v>
      </c>
      <c r="H215" s="116"/>
      <c r="I215" s="116"/>
      <c r="L215" s="169">
        <v>46140</v>
      </c>
      <c r="M215" s="116">
        <v>3233.7</v>
      </c>
      <c r="N215" s="116">
        <v>3284</v>
      </c>
      <c r="O215" s="116">
        <v>3199.5</v>
      </c>
      <c r="P215" s="116">
        <v>3206</v>
      </c>
      <c r="Q215" s="116">
        <v>3233.7</v>
      </c>
      <c r="R215">
        <v>601045</v>
      </c>
    </row>
    <row r="216" spans="1:18" x14ac:dyDescent="0.25">
      <c r="A216" s="169">
        <v>46141</v>
      </c>
      <c r="B216" s="116">
        <v>3366.8</v>
      </c>
      <c r="C216" s="116">
        <v>3311.75</v>
      </c>
      <c r="D216" s="116">
        <v>3260.5</v>
      </c>
      <c r="E216" s="116">
        <v>3278.35</v>
      </c>
      <c r="F216" s="116">
        <v>3311.75</v>
      </c>
      <c r="G216">
        <v>38500</v>
      </c>
      <c r="H216" s="116"/>
      <c r="I216" s="116"/>
      <c r="L216" s="169">
        <v>46141</v>
      </c>
      <c r="M216" s="116">
        <v>3310</v>
      </c>
      <c r="N216" s="116">
        <v>3368</v>
      </c>
      <c r="O216" s="116">
        <v>3250.9</v>
      </c>
      <c r="P216" s="116">
        <v>3264</v>
      </c>
      <c r="Q216" s="116">
        <v>3310</v>
      </c>
      <c r="R216">
        <v>922444</v>
      </c>
    </row>
    <row r="217" spans="1:18" x14ac:dyDescent="0.25">
      <c r="A217" s="169">
        <v>46142</v>
      </c>
      <c r="B217" s="116">
        <v>3315.95</v>
      </c>
      <c r="C217" s="116">
        <v>3282.3</v>
      </c>
      <c r="D217" s="116">
        <v>3249.65</v>
      </c>
      <c r="E217" s="116">
        <v>3311.8</v>
      </c>
      <c r="F217" s="116">
        <v>3282.3</v>
      </c>
      <c r="G217">
        <v>26471</v>
      </c>
      <c r="H217" s="116"/>
      <c r="I217" s="116"/>
      <c r="L217" s="169">
        <v>46142</v>
      </c>
      <c r="M217" s="116">
        <v>3278.8</v>
      </c>
      <c r="N217" s="116">
        <v>3319</v>
      </c>
      <c r="O217" s="116">
        <v>3250.1</v>
      </c>
      <c r="P217" s="116">
        <v>3319</v>
      </c>
      <c r="Q217" s="116">
        <v>3278.8</v>
      </c>
      <c r="R217">
        <v>378229</v>
      </c>
    </row>
    <row r="218" spans="1:18" x14ac:dyDescent="0.25">
      <c r="A218" s="169">
        <v>46146</v>
      </c>
      <c r="B218" s="116">
        <v>3339.85</v>
      </c>
      <c r="C218" s="116">
        <v>3320.35</v>
      </c>
      <c r="D218" s="116">
        <v>3266.65</v>
      </c>
      <c r="E218" s="116">
        <v>3301.6</v>
      </c>
      <c r="F218" s="116">
        <v>3320.35</v>
      </c>
      <c r="G218">
        <v>112922</v>
      </c>
      <c r="H218" s="116"/>
      <c r="I218" s="116"/>
      <c r="L218" s="169">
        <v>46146</v>
      </c>
      <c r="M218" s="116">
        <v>3320.7</v>
      </c>
      <c r="N218" s="116">
        <v>3340</v>
      </c>
      <c r="O218" s="116">
        <v>3265.9</v>
      </c>
      <c r="P218" s="116">
        <v>3310</v>
      </c>
      <c r="Q218" s="116">
        <v>3320.7</v>
      </c>
      <c r="R218">
        <v>271242</v>
      </c>
    </row>
    <row r="219" spans="1:18" x14ac:dyDescent="0.25">
      <c r="A219" s="169">
        <v>46147</v>
      </c>
      <c r="B219" s="116">
        <v>3335.45</v>
      </c>
      <c r="C219" s="116">
        <v>3302.05</v>
      </c>
      <c r="D219" s="116">
        <v>3276.9</v>
      </c>
      <c r="E219" s="116">
        <v>3325.2</v>
      </c>
      <c r="F219" s="116">
        <v>3302.05</v>
      </c>
      <c r="G219">
        <v>13453</v>
      </c>
      <c r="H219" s="116"/>
      <c r="I219" s="116"/>
      <c r="L219" s="169">
        <v>46147</v>
      </c>
      <c r="M219" s="116">
        <v>3297.4</v>
      </c>
      <c r="N219" s="116">
        <v>3337</v>
      </c>
      <c r="O219" s="116">
        <v>3275.2</v>
      </c>
      <c r="P219" s="116">
        <v>3312.1</v>
      </c>
      <c r="Q219" s="116">
        <v>3297.4</v>
      </c>
      <c r="R219">
        <v>293941</v>
      </c>
    </row>
    <row r="220" spans="1:18" x14ac:dyDescent="0.25">
      <c r="A220" s="169">
        <v>46148</v>
      </c>
      <c r="B220" s="116">
        <v>3313.75</v>
      </c>
      <c r="C220" s="116">
        <v>3186.35</v>
      </c>
      <c r="D220" s="116">
        <v>3146.8</v>
      </c>
      <c r="E220" s="116">
        <v>3300.15</v>
      </c>
      <c r="F220" s="116">
        <v>3186.35</v>
      </c>
      <c r="G220">
        <v>42390</v>
      </c>
      <c r="H220" s="116"/>
      <c r="I220" s="116"/>
      <c r="L220" s="169">
        <v>46148</v>
      </c>
      <c r="M220" s="116">
        <v>3185.8</v>
      </c>
      <c r="N220" s="116">
        <v>3323.7</v>
      </c>
      <c r="O220" s="116">
        <v>3146</v>
      </c>
      <c r="P220" s="116">
        <v>3311</v>
      </c>
      <c r="Q220" s="116">
        <v>3185.8</v>
      </c>
      <c r="R220">
        <v>597663</v>
      </c>
    </row>
    <row r="221" spans="1:18" x14ac:dyDescent="0.25">
      <c r="A221" s="169">
        <v>46149</v>
      </c>
      <c r="B221" s="116">
        <v>3204.7</v>
      </c>
      <c r="C221" s="116">
        <v>3138.85</v>
      </c>
      <c r="D221" s="116">
        <v>3130</v>
      </c>
      <c r="E221" s="116">
        <v>3198.95</v>
      </c>
      <c r="F221" s="116">
        <v>3138.85</v>
      </c>
      <c r="G221">
        <v>87642</v>
      </c>
      <c r="H221" s="116"/>
      <c r="I221" s="116"/>
      <c r="L221" s="169">
        <v>46149</v>
      </c>
      <c r="M221" s="116">
        <v>3139.5</v>
      </c>
      <c r="N221" s="116">
        <v>3201.8</v>
      </c>
      <c r="O221" s="116">
        <v>3130</v>
      </c>
      <c r="P221" s="116">
        <v>3190.1</v>
      </c>
      <c r="Q221" s="116">
        <v>3139.5</v>
      </c>
      <c r="R221">
        <v>527947</v>
      </c>
    </row>
    <row r="222" spans="1:18" x14ac:dyDescent="0.25">
      <c r="A222" s="169">
        <v>46150</v>
      </c>
      <c r="B222" s="116">
        <v>3260</v>
      </c>
      <c r="C222" s="116">
        <v>3185.9</v>
      </c>
      <c r="D222" s="116">
        <v>3167.5</v>
      </c>
      <c r="E222" s="116">
        <v>3169.9</v>
      </c>
      <c r="F222" s="116">
        <v>3185.9</v>
      </c>
      <c r="G222">
        <v>19046</v>
      </c>
      <c r="H222" s="116"/>
      <c r="I222" s="116"/>
      <c r="L222" s="169">
        <v>46150</v>
      </c>
      <c r="M222" s="116">
        <v>3183.2</v>
      </c>
      <c r="N222" s="116">
        <v>3260.7</v>
      </c>
      <c r="O222" s="116">
        <v>3152.2</v>
      </c>
      <c r="P222" s="116">
        <v>3152.2</v>
      </c>
      <c r="Q222" s="116">
        <v>3183.2</v>
      </c>
      <c r="R222">
        <v>513010</v>
      </c>
    </row>
    <row r="223" spans="1:18" x14ac:dyDescent="0.25">
      <c r="A223" s="169">
        <v>46153</v>
      </c>
      <c r="B223" s="116">
        <v>3208</v>
      </c>
      <c r="C223" s="116">
        <v>3156.95</v>
      </c>
      <c r="D223" s="116">
        <v>3090</v>
      </c>
      <c r="E223" s="116">
        <v>3160</v>
      </c>
      <c r="F223" s="116">
        <v>3156.95</v>
      </c>
      <c r="G223">
        <v>20503</v>
      </c>
      <c r="H223" s="116"/>
      <c r="I223" s="116"/>
      <c r="L223" s="169">
        <v>46153</v>
      </c>
      <c r="M223" s="116">
        <v>3157.8</v>
      </c>
      <c r="N223" s="116">
        <v>3210.1</v>
      </c>
      <c r="O223" s="116">
        <v>3089.8</v>
      </c>
      <c r="P223" s="116">
        <v>3174.9</v>
      </c>
      <c r="Q223" s="116">
        <v>3157.8</v>
      </c>
      <c r="R223">
        <v>261700</v>
      </c>
    </row>
    <row r="224" spans="1:18" x14ac:dyDescent="0.25">
      <c r="A224" s="169">
        <v>46154</v>
      </c>
      <c r="B224" s="116">
        <v>3202.25</v>
      </c>
      <c r="C224" s="116">
        <v>3054.85</v>
      </c>
      <c r="D224" s="116">
        <v>3026</v>
      </c>
      <c r="E224" s="116">
        <v>3188.5</v>
      </c>
      <c r="F224" s="116">
        <v>3054.85</v>
      </c>
      <c r="G224">
        <v>10979</v>
      </c>
      <c r="H224" s="116"/>
      <c r="I224" s="116"/>
      <c r="L224" s="169">
        <v>46154</v>
      </c>
      <c r="M224" s="116">
        <v>3055.6</v>
      </c>
      <c r="N224" s="116">
        <v>3207</v>
      </c>
      <c r="O224" s="116">
        <v>3024.8</v>
      </c>
      <c r="P224" s="116">
        <v>3160.6</v>
      </c>
      <c r="Q224" s="116">
        <v>3055.6</v>
      </c>
      <c r="R224">
        <v>235592</v>
      </c>
    </row>
    <row r="225" spans="1:18" x14ac:dyDescent="0.25">
      <c r="A225" s="169">
        <v>46155</v>
      </c>
      <c r="B225" s="116">
        <v>3130.25</v>
      </c>
      <c r="C225" s="116">
        <v>3111.55</v>
      </c>
      <c r="D225" s="116">
        <v>3047</v>
      </c>
      <c r="E225" s="116">
        <v>3059</v>
      </c>
      <c r="F225" s="116">
        <v>3111.55</v>
      </c>
      <c r="G225">
        <v>13373</v>
      </c>
      <c r="H225" s="116"/>
      <c r="I225" s="116"/>
      <c r="L225" s="169">
        <v>46155</v>
      </c>
      <c r="M225" s="116">
        <v>3112.6</v>
      </c>
      <c r="N225" s="116">
        <v>3132.9</v>
      </c>
      <c r="O225" s="116">
        <v>3045</v>
      </c>
      <c r="P225" s="116">
        <v>3050.5</v>
      </c>
      <c r="Q225" s="116">
        <v>3112.6</v>
      </c>
      <c r="R225">
        <v>281115</v>
      </c>
    </row>
    <row r="226" spans="1:18" x14ac:dyDescent="0.25">
      <c r="A226" s="169">
        <v>46156</v>
      </c>
      <c r="B226" s="116">
        <v>3144.4</v>
      </c>
      <c r="C226" s="116">
        <v>3108.25</v>
      </c>
      <c r="D226" s="116">
        <v>3074.5</v>
      </c>
      <c r="E226" s="116">
        <v>3139.8</v>
      </c>
      <c r="F226" s="116">
        <v>3108.25</v>
      </c>
      <c r="G226">
        <v>8437</v>
      </c>
      <c r="H226" s="116"/>
      <c r="I226" s="116"/>
      <c r="L226" s="169">
        <v>46156</v>
      </c>
      <c r="M226" s="116">
        <v>3104.8</v>
      </c>
      <c r="N226" s="116">
        <v>3149.6</v>
      </c>
      <c r="O226" s="116">
        <v>3076.7</v>
      </c>
      <c r="P226" s="116">
        <v>3121</v>
      </c>
      <c r="Q226" s="116">
        <v>3104.8</v>
      </c>
      <c r="R226">
        <v>235112</v>
      </c>
    </row>
    <row r="227" spans="1:18" x14ac:dyDescent="0.25">
      <c r="A227" s="169">
        <v>46157</v>
      </c>
      <c r="B227" s="116">
        <v>3180.35</v>
      </c>
      <c r="C227" s="116">
        <v>3088.5</v>
      </c>
      <c r="D227" s="116">
        <v>3025.6</v>
      </c>
      <c r="E227" s="116">
        <v>3174.95</v>
      </c>
      <c r="F227" s="116">
        <v>3088.5</v>
      </c>
      <c r="G227">
        <v>20989</v>
      </c>
      <c r="H227" s="116"/>
      <c r="I227" s="116"/>
      <c r="L227" s="169">
        <v>46157</v>
      </c>
      <c r="M227" s="116">
        <v>3086.1</v>
      </c>
      <c r="N227" s="116">
        <v>3180</v>
      </c>
      <c r="O227" s="116">
        <v>3024.1</v>
      </c>
      <c r="P227" s="116">
        <v>3175</v>
      </c>
      <c r="Q227" s="116">
        <v>3086.1</v>
      </c>
      <c r="R227">
        <v>662110</v>
      </c>
    </row>
    <row r="228" spans="1:18" x14ac:dyDescent="0.25">
      <c r="A228" s="169">
        <v>46160</v>
      </c>
      <c r="B228" s="116">
        <v>3107.45</v>
      </c>
      <c r="C228" s="116">
        <v>3059.45</v>
      </c>
      <c r="D228" s="116">
        <v>3015</v>
      </c>
      <c r="E228" s="116">
        <v>3076.85</v>
      </c>
      <c r="F228" s="116">
        <v>3059.45</v>
      </c>
      <c r="G228">
        <v>21556</v>
      </c>
      <c r="H228" s="116"/>
      <c r="I228" s="116"/>
      <c r="L228" s="169">
        <v>46160</v>
      </c>
      <c r="M228" s="116">
        <v>3060.7</v>
      </c>
      <c r="N228" s="116">
        <v>3099.9</v>
      </c>
      <c r="O228" s="116">
        <v>3013.6</v>
      </c>
      <c r="P228" s="116">
        <v>3086.1</v>
      </c>
      <c r="Q228" s="116">
        <v>3060.7</v>
      </c>
      <c r="R228">
        <v>204190</v>
      </c>
    </row>
    <row r="229" spans="1:18" x14ac:dyDescent="0.25">
      <c r="A229" s="169">
        <v>46161</v>
      </c>
      <c r="B229" s="116">
        <v>3173.05</v>
      </c>
      <c r="C229" s="116">
        <v>3164.15</v>
      </c>
      <c r="D229" s="116">
        <v>3081.05</v>
      </c>
      <c r="E229" s="116">
        <v>3119.9</v>
      </c>
      <c r="F229" s="116">
        <v>3164.15</v>
      </c>
      <c r="G229">
        <v>17573</v>
      </c>
      <c r="H229" s="116"/>
      <c r="I229" s="116"/>
      <c r="L229" s="169">
        <v>46161</v>
      </c>
      <c r="M229" s="116">
        <v>3163.5</v>
      </c>
      <c r="N229" s="116">
        <v>3174</v>
      </c>
      <c r="O229" s="116">
        <v>3077.8</v>
      </c>
      <c r="P229" s="116">
        <v>3100</v>
      </c>
      <c r="Q229" s="116">
        <v>3163.5</v>
      </c>
      <c r="R229">
        <v>495921</v>
      </c>
    </row>
    <row r="230" spans="1:18" x14ac:dyDescent="0.25">
      <c r="A230" s="169">
        <v>46162</v>
      </c>
      <c r="B230" s="116">
        <v>3491</v>
      </c>
      <c r="C230" s="116">
        <v>3459.4</v>
      </c>
      <c r="D230" s="116">
        <v>3132.4</v>
      </c>
      <c r="E230" s="116">
        <v>3132.4</v>
      </c>
      <c r="F230" s="116">
        <v>3459.4</v>
      </c>
      <c r="G230">
        <v>228085</v>
      </c>
      <c r="H230" s="116"/>
      <c r="I230" s="116"/>
      <c r="L230" s="169">
        <v>46162</v>
      </c>
      <c r="M230" s="116">
        <v>3459.6</v>
      </c>
      <c r="N230" s="116">
        <v>3494</v>
      </c>
      <c r="O230" s="116">
        <v>3139.9</v>
      </c>
      <c r="P230" s="116">
        <v>3149.7</v>
      </c>
      <c r="Q230" s="116">
        <v>3459.6</v>
      </c>
      <c r="R230">
        <v>3683159</v>
      </c>
    </row>
    <row r="231" spans="1:18" x14ac:dyDescent="0.25">
      <c r="A231" s="169">
        <v>46163</v>
      </c>
      <c r="B231" s="116">
        <v>3684.5</v>
      </c>
      <c r="C231" s="116">
        <v>3575.7</v>
      </c>
      <c r="D231" s="116">
        <v>3485</v>
      </c>
      <c r="E231" s="116">
        <v>3523.8</v>
      </c>
      <c r="F231" s="116">
        <v>3575.7</v>
      </c>
      <c r="G231">
        <v>104822</v>
      </c>
      <c r="H231" s="116"/>
      <c r="I231" s="116"/>
      <c r="L231" s="169">
        <v>46163</v>
      </c>
      <c r="M231" s="116">
        <v>3574.5</v>
      </c>
      <c r="N231" s="116">
        <v>3684.6</v>
      </c>
      <c r="O231" s="116">
        <v>3480</v>
      </c>
      <c r="P231" s="116">
        <v>3485</v>
      </c>
      <c r="Q231" s="116">
        <v>3574.5</v>
      </c>
      <c r="R231">
        <v>2115768</v>
      </c>
    </row>
    <row r="232" spans="1:18" x14ac:dyDescent="0.25">
      <c r="A232" s="169">
        <v>46164</v>
      </c>
      <c r="B232" s="116">
        <v>3587.4</v>
      </c>
      <c r="C232" s="116">
        <v>3508.1</v>
      </c>
      <c r="D232" s="116">
        <v>3481</v>
      </c>
      <c r="E232" s="116">
        <v>3573.65</v>
      </c>
      <c r="F232" s="116">
        <v>3508.1</v>
      </c>
      <c r="G232">
        <v>27135</v>
      </c>
      <c r="H232" s="116"/>
      <c r="I232" s="116"/>
      <c r="L232" s="169">
        <v>46164</v>
      </c>
      <c r="M232" s="116">
        <v>3508.3</v>
      </c>
      <c r="N232" s="116">
        <v>3585</v>
      </c>
      <c r="O232" s="116">
        <v>3479.3</v>
      </c>
      <c r="P232" s="116">
        <v>3570</v>
      </c>
      <c r="Q232" s="116">
        <v>3508.3</v>
      </c>
      <c r="R232">
        <v>421025</v>
      </c>
    </row>
    <row r="233" spans="1:18" x14ac:dyDescent="0.25">
      <c r="A233" s="169">
        <v>46167</v>
      </c>
      <c r="B233" s="116">
        <v>3620</v>
      </c>
      <c r="C233" s="116">
        <v>3552.45</v>
      </c>
      <c r="D233" s="116">
        <v>3425</v>
      </c>
      <c r="E233" s="116">
        <v>3553.25</v>
      </c>
      <c r="F233" s="116">
        <v>3552.45</v>
      </c>
      <c r="G233">
        <v>24967</v>
      </c>
      <c r="H233" s="116"/>
      <c r="I233" s="116"/>
      <c r="L233" s="169">
        <v>46167</v>
      </c>
      <c r="M233" s="116">
        <v>3559.6</v>
      </c>
      <c r="N233" s="116">
        <v>3640</v>
      </c>
      <c r="O233" s="116">
        <v>3425</v>
      </c>
      <c r="P233" s="116">
        <v>3534</v>
      </c>
      <c r="Q233" s="116">
        <v>3559.6</v>
      </c>
      <c r="R233">
        <v>519128</v>
      </c>
    </row>
    <row r="234" spans="1:18" x14ac:dyDescent="0.25">
      <c r="A234" s="169">
        <v>46168</v>
      </c>
      <c r="B234" s="116">
        <v>3599.8</v>
      </c>
      <c r="C234" s="116">
        <v>3463</v>
      </c>
      <c r="D234" s="116">
        <v>3455</v>
      </c>
      <c r="E234" s="116">
        <v>3599.8</v>
      </c>
      <c r="F234" s="116">
        <v>3463</v>
      </c>
      <c r="G234">
        <v>34421</v>
      </c>
      <c r="H234" s="116"/>
      <c r="I234" s="116"/>
      <c r="L234" s="169">
        <v>46168</v>
      </c>
      <c r="M234" s="116">
        <v>3462.6</v>
      </c>
      <c r="N234" s="116">
        <v>3593</v>
      </c>
      <c r="O234" s="116">
        <v>3452</v>
      </c>
      <c r="P234" s="116">
        <v>3589.9</v>
      </c>
      <c r="Q234" s="116">
        <v>3462.6</v>
      </c>
      <c r="R234">
        <v>876471</v>
      </c>
    </row>
    <row r="235" spans="1:18" x14ac:dyDescent="0.25">
      <c r="A235" s="169">
        <v>46169</v>
      </c>
      <c r="B235" s="116">
        <v>3815</v>
      </c>
      <c r="C235" s="116">
        <v>3772.95</v>
      </c>
      <c r="D235" s="116">
        <v>3454.1</v>
      </c>
      <c r="E235" s="116">
        <v>3454.1</v>
      </c>
      <c r="F235" s="116">
        <v>3772.95</v>
      </c>
      <c r="G235">
        <v>104900</v>
      </c>
      <c r="H235" s="116"/>
      <c r="I235" s="116"/>
      <c r="L235" s="169">
        <v>46169</v>
      </c>
      <c r="M235" s="116">
        <v>3766.1</v>
      </c>
      <c r="N235" s="116">
        <v>3821</v>
      </c>
      <c r="O235" s="116">
        <v>3470</v>
      </c>
      <c r="P235" s="116">
        <v>3470.7</v>
      </c>
      <c r="Q235" s="116">
        <v>3766.1</v>
      </c>
      <c r="R235">
        <v>1961116</v>
      </c>
    </row>
    <row r="236" spans="1:18" x14ac:dyDescent="0.25">
      <c r="A236" s="169">
        <v>46171</v>
      </c>
      <c r="B236" s="116">
        <v>3966.8</v>
      </c>
      <c r="C236" s="116">
        <v>3866.95</v>
      </c>
      <c r="D236" s="116">
        <v>3807.15</v>
      </c>
      <c r="E236" s="116">
        <v>3807.15</v>
      </c>
      <c r="F236" s="116">
        <v>3866.95</v>
      </c>
      <c r="G236">
        <v>133878</v>
      </c>
      <c r="H236" s="116"/>
      <c r="I236" s="116"/>
      <c r="L236" s="169">
        <v>46171</v>
      </c>
      <c r="M236" s="116">
        <v>3872.1</v>
      </c>
      <c r="N236" s="116">
        <v>3968</v>
      </c>
      <c r="O236" s="116">
        <v>3809</v>
      </c>
      <c r="P236" s="116">
        <v>3814.9</v>
      </c>
      <c r="Q236" s="116">
        <v>3872.1</v>
      </c>
      <c r="R236">
        <v>2387595</v>
      </c>
    </row>
    <row r="237" spans="1:18" x14ac:dyDescent="0.25">
      <c r="A237" s="169">
        <v>46174</v>
      </c>
      <c r="B237" s="116">
        <v>3934.2</v>
      </c>
      <c r="C237" s="116">
        <v>3718.2</v>
      </c>
      <c r="D237" s="116">
        <v>3704.75</v>
      </c>
      <c r="E237" s="116">
        <v>3934.2</v>
      </c>
      <c r="F237" s="116">
        <v>3718.2</v>
      </c>
      <c r="G237">
        <v>48068</v>
      </c>
      <c r="H237" s="116"/>
      <c r="I237" s="116"/>
      <c r="L237" s="169">
        <v>46174</v>
      </c>
      <c r="M237" s="116">
        <v>3717.4</v>
      </c>
      <c r="N237" s="116">
        <v>3932</v>
      </c>
      <c r="O237" s="116">
        <v>3702.7</v>
      </c>
      <c r="P237" s="116">
        <v>3900</v>
      </c>
      <c r="Q237" s="116">
        <v>3717.4</v>
      </c>
      <c r="R237">
        <v>691126</v>
      </c>
    </row>
    <row r="238" spans="1:18" x14ac:dyDescent="0.25">
      <c r="A238" s="169">
        <v>46175</v>
      </c>
      <c r="B238" s="116">
        <v>3717</v>
      </c>
      <c r="C238" s="116">
        <v>3622.15</v>
      </c>
      <c r="D238" s="116">
        <v>3596</v>
      </c>
      <c r="E238" s="116">
        <v>3717</v>
      </c>
      <c r="F238" s="116">
        <v>3622.15</v>
      </c>
      <c r="G238">
        <v>40805</v>
      </c>
      <c r="H238" s="116"/>
      <c r="I238" s="116"/>
      <c r="L238" s="169">
        <v>46175</v>
      </c>
      <c r="M238" s="116">
        <v>3623.3</v>
      </c>
      <c r="N238" s="116">
        <v>3713.1</v>
      </c>
      <c r="O238" s="116">
        <v>3591.3</v>
      </c>
      <c r="P238" s="116">
        <v>3713.1</v>
      </c>
      <c r="Q238" s="116">
        <v>3623.3</v>
      </c>
      <c r="R238">
        <v>496729</v>
      </c>
    </row>
    <row r="239" spans="1:18" x14ac:dyDescent="0.25">
      <c r="A239" s="169">
        <v>46176</v>
      </c>
      <c r="B239" s="116">
        <v>3788.65</v>
      </c>
      <c r="C239" s="116">
        <v>3685.55</v>
      </c>
      <c r="D239" s="116">
        <v>3625.3</v>
      </c>
      <c r="E239" s="116">
        <v>3649.4</v>
      </c>
      <c r="F239" s="116">
        <v>3685.55</v>
      </c>
      <c r="G239">
        <v>65606</v>
      </c>
      <c r="H239" s="116"/>
      <c r="I239" s="116"/>
      <c r="L239" s="169">
        <v>46176</v>
      </c>
      <c r="M239" s="116">
        <v>3686.6</v>
      </c>
      <c r="N239" s="116">
        <v>3789.9</v>
      </c>
      <c r="O239" s="116">
        <v>3623.3</v>
      </c>
      <c r="P239" s="116">
        <v>3641.4</v>
      </c>
      <c r="Q239" s="116">
        <v>3686.6</v>
      </c>
      <c r="R239">
        <v>1027266</v>
      </c>
    </row>
    <row r="240" spans="1:18" x14ac:dyDescent="0.25">
      <c r="A240" s="169">
        <v>46177</v>
      </c>
      <c r="B240" s="116">
        <v>3815</v>
      </c>
      <c r="C240" s="116">
        <v>3699.6</v>
      </c>
      <c r="D240" s="116">
        <v>3687.3</v>
      </c>
      <c r="E240" s="116">
        <v>3718.8</v>
      </c>
      <c r="F240" s="116">
        <v>3699.6</v>
      </c>
      <c r="G240">
        <v>50063</v>
      </c>
      <c r="H240" s="116"/>
      <c r="I240" s="116"/>
      <c r="L240" s="169">
        <v>46177</v>
      </c>
      <c r="M240" s="116">
        <v>3700.9</v>
      </c>
      <c r="N240" s="116">
        <v>3818.9</v>
      </c>
      <c r="O240" s="116">
        <v>3690</v>
      </c>
      <c r="P240" s="116">
        <v>3697.6</v>
      </c>
      <c r="Q240" s="116">
        <v>3700.9</v>
      </c>
      <c r="R240">
        <v>627759</v>
      </c>
    </row>
    <row r="241" spans="1:18" x14ac:dyDescent="0.25">
      <c r="A241" s="169">
        <v>46178</v>
      </c>
      <c r="B241" s="116">
        <v>3773.55</v>
      </c>
      <c r="C241" s="116">
        <v>3644.5</v>
      </c>
      <c r="D241" s="116">
        <v>3628.55</v>
      </c>
      <c r="E241" s="116">
        <v>3749.1</v>
      </c>
      <c r="F241" s="116">
        <v>3644.5</v>
      </c>
      <c r="G241">
        <v>20624</v>
      </c>
      <c r="H241" s="116"/>
      <c r="I241" s="116"/>
      <c r="L241" s="169">
        <v>46178</v>
      </c>
      <c r="M241" s="116">
        <v>3647.9</v>
      </c>
      <c r="N241" s="116">
        <v>3775</v>
      </c>
      <c r="O241" s="116">
        <v>3631</v>
      </c>
      <c r="P241" s="116">
        <v>3730.1</v>
      </c>
      <c r="Q241" s="116">
        <v>3647.9</v>
      </c>
      <c r="R241">
        <v>356760</v>
      </c>
    </row>
    <row r="242" spans="1:18" x14ac:dyDescent="0.25">
      <c r="A242" s="169">
        <v>46181</v>
      </c>
      <c r="B242" s="116">
        <v>3634.9</v>
      </c>
      <c r="C242" s="116">
        <v>3501</v>
      </c>
      <c r="D242" s="116">
        <v>3466.25</v>
      </c>
      <c r="E242" s="116">
        <v>3634.9</v>
      </c>
      <c r="F242" s="116">
        <v>3501</v>
      </c>
      <c r="G242">
        <v>16887</v>
      </c>
      <c r="H242" s="116"/>
      <c r="I242" s="116"/>
      <c r="L242" s="169">
        <v>46181</v>
      </c>
      <c r="M242" s="116">
        <v>3501</v>
      </c>
      <c r="N242" s="116">
        <v>3614.9</v>
      </c>
      <c r="O242" s="116">
        <v>3450</v>
      </c>
      <c r="P242" s="116">
        <v>3610.1</v>
      </c>
      <c r="Q242" s="116">
        <v>3501</v>
      </c>
      <c r="R242">
        <v>271939</v>
      </c>
    </row>
    <row r="243" spans="1:18" x14ac:dyDescent="0.25">
      <c r="A243" s="169">
        <v>46182</v>
      </c>
      <c r="B243" s="116">
        <v>3576</v>
      </c>
      <c r="C243" s="116">
        <v>3547.45</v>
      </c>
      <c r="D243" s="116">
        <v>3481.3</v>
      </c>
      <c r="E243" s="116">
        <v>3481.3</v>
      </c>
      <c r="F243" s="116">
        <v>3547.45</v>
      </c>
      <c r="G243">
        <v>16850</v>
      </c>
      <c r="H243" s="116"/>
      <c r="I243" s="116"/>
      <c r="L243" s="169">
        <v>46182</v>
      </c>
      <c r="M243" s="116">
        <v>3547.5</v>
      </c>
      <c r="N243" s="116">
        <v>3577.7</v>
      </c>
      <c r="O243" s="116">
        <v>3501</v>
      </c>
      <c r="P243" s="116">
        <v>3501</v>
      </c>
      <c r="Q243" s="116">
        <v>3547.5</v>
      </c>
      <c r="R243">
        <v>231456</v>
      </c>
    </row>
    <row r="244" spans="1:18" x14ac:dyDescent="0.25">
      <c r="A244" s="169">
        <v>46183</v>
      </c>
      <c r="B244" s="116">
        <v>3577.5</v>
      </c>
      <c r="C244" s="116">
        <v>3425.3</v>
      </c>
      <c r="D244" s="116">
        <v>3416.15</v>
      </c>
      <c r="E244" s="116">
        <v>3555.25</v>
      </c>
      <c r="F244" s="116">
        <v>3425.3</v>
      </c>
      <c r="G244">
        <v>18842</v>
      </c>
      <c r="H244" s="116"/>
      <c r="I244" s="116"/>
      <c r="L244" s="169">
        <v>46183</v>
      </c>
      <c r="M244" s="116">
        <v>3424.8</v>
      </c>
      <c r="N244" s="116">
        <v>3576.1</v>
      </c>
      <c r="O244" s="116">
        <v>3415.2</v>
      </c>
      <c r="P244" s="116">
        <v>3559</v>
      </c>
      <c r="Q244" s="116">
        <v>3424.8</v>
      </c>
      <c r="R244">
        <v>394299</v>
      </c>
    </row>
    <row r="245" spans="1:18" x14ac:dyDescent="0.25">
      <c r="A245" s="169">
        <v>46184</v>
      </c>
      <c r="B245" s="116">
        <v>3496.3</v>
      </c>
      <c r="C245" s="116">
        <v>3409.6</v>
      </c>
      <c r="D245" s="116">
        <v>3375</v>
      </c>
      <c r="E245" s="116">
        <v>3403.6</v>
      </c>
      <c r="F245" s="116">
        <v>3409.6</v>
      </c>
      <c r="G245">
        <v>32249</v>
      </c>
      <c r="H245" s="116"/>
      <c r="I245" s="116"/>
      <c r="L245" s="169">
        <v>46184</v>
      </c>
      <c r="M245" s="116">
        <v>3412.5</v>
      </c>
      <c r="N245" s="116">
        <v>3498.5</v>
      </c>
      <c r="O245" s="116">
        <v>3373.7</v>
      </c>
      <c r="P245" s="116">
        <v>3424.8</v>
      </c>
      <c r="Q245" s="116">
        <v>3412.5</v>
      </c>
      <c r="R245">
        <v>353133</v>
      </c>
    </row>
    <row r="246" spans="1:18" x14ac:dyDescent="0.25">
      <c r="A246" s="169">
        <v>46185</v>
      </c>
      <c r="B246" s="116">
        <v>3648.4</v>
      </c>
      <c r="C246" s="116">
        <v>3611.3</v>
      </c>
      <c r="D246" s="116">
        <v>3428.05</v>
      </c>
      <c r="E246" s="116">
        <v>3428.05</v>
      </c>
      <c r="F246" s="116">
        <v>3611.3</v>
      </c>
      <c r="G246">
        <v>36099</v>
      </c>
      <c r="H246" s="116"/>
      <c r="I246" s="116"/>
      <c r="L246" s="169">
        <v>46185</v>
      </c>
      <c r="M246" s="116">
        <v>3606.9</v>
      </c>
      <c r="N246" s="116">
        <v>3650</v>
      </c>
      <c r="O246" s="116">
        <v>3431.2</v>
      </c>
      <c r="P246" s="116">
        <v>3459</v>
      </c>
      <c r="Q246" s="116">
        <v>3606.9</v>
      </c>
      <c r="R246">
        <v>676476</v>
      </c>
    </row>
    <row r="247" spans="1:18" x14ac:dyDescent="0.25">
      <c r="A247" s="169">
        <v>46188</v>
      </c>
      <c r="B247" s="116">
        <v>3689.2</v>
      </c>
      <c r="C247" s="116">
        <v>3554.9</v>
      </c>
      <c r="D247" s="116">
        <v>3535.65</v>
      </c>
      <c r="E247" s="116">
        <v>3689.2</v>
      </c>
      <c r="F247" s="116">
        <v>3554.9</v>
      </c>
      <c r="G247">
        <v>27362</v>
      </c>
      <c r="H247" s="116"/>
      <c r="I247" s="116"/>
      <c r="L247" s="169">
        <v>46188</v>
      </c>
      <c r="M247" s="116">
        <v>3550.9</v>
      </c>
      <c r="N247" s="116">
        <v>3687.4</v>
      </c>
      <c r="O247" s="116">
        <v>3535</v>
      </c>
      <c r="P247" s="116">
        <v>3660</v>
      </c>
      <c r="Q247" s="116">
        <v>3550.9</v>
      </c>
      <c r="R247">
        <v>324101</v>
      </c>
    </row>
    <row r="248" spans="1:18" x14ac:dyDescent="0.25">
      <c r="A248" s="169">
        <v>46189</v>
      </c>
      <c r="B248" s="116">
        <v>3649.9</v>
      </c>
      <c r="C248" s="116">
        <v>3606.65</v>
      </c>
      <c r="D248" s="116">
        <v>3542.8</v>
      </c>
      <c r="E248" s="116">
        <v>3555.65</v>
      </c>
      <c r="F248" s="116">
        <v>3606.65</v>
      </c>
      <c r="G248">
        <v>28689</v>
      </c>
      <c r="H248" s="116"/>
      <c r="I248" s="116"/>
      <c r="L248" s="169">
        <v>46189</v>
      </c>
      <c r="M248" s="116">
        <v>3608.9</v>
      </c>
      <c r="N248" s="116">
        <v>3649</v>
      </c>
      <c r="O248" s="116">
        <v>3543</v>
      </c>
      <c r="P248" s="116">
        <v>3572</v>
      </c>
      <c r="Q248" s="116">
        <v>3608.9</v>
      </c>
      <c r="R248">
        <v>420274</v>
      </c>
    </row>
    <row r="249" spans="1:18" x14ac:dyDescent="0.25">
      <c r="A249" s="169">
        <v>46190</v>
      </c>
      <c r="B249" s="116">
        <v>3799.8</v>
      </c>
      <c r="C249" s="116">
        <v>3783.8</v>
      </c>
      <c r="D249" s="116">
        <v>3612.4</v>
      </c>
      <c r="E249" s="116">
        <v>3639.4</v>
      </c>
      <c r="F249" s="116">
        <v>3783.8</v>
      </c>
      <c r="G249">
        <v>35479</v>
      </c>
      <c r="H249" s="116"/>
      <c r="I249" s="116"/>
      <c r="L249" s="169">
        <v>46190</v>
      </c>
      <c r="M249" s="116">
        <v>3785.2</v>
      </c>
      <c r="N249" s="116">
        <v>3797.9</v>
      </c>
      <c r="O249" s="116">
        <v>3610</v>
      </c>
      <c r="P249" s="116">
        <v>3615</v>
      </c>
      <c r="Q249" s="116">
        <v>3785.2</v>
      </c>
      <c r="R249">
        <v>797487</v>
      </c>
    </row>
    <row r="250" spans="1:18" x14ac:dyDescent="0.25">
      <c r="A250" s="169"/>
      <c r="B250" s="116"/>
      <c r="C250" s="116"/>
      <c r="D250" s="116"/>
      <c r="E250" s="116"/>
      <c r="F250" s="116"/>
      <c r="H250" s="116"/>
      <c r="I250" s="116"/>
      <c r="L250" s="169"/>
    </row>
    <row r="251" spans="1:18" x14ac:dyDescent="0.25">
      <c r="A251" s="169"/>
      <c r="B251" s="116"/>
      <c r="C251" s="116"/>
      <c r="D251" s="116"/>
      <c r="E251" s="116"/>
      <c r="F251" s="116"/>
      <c r="H251" s="116"/>
      <c r="I251" s="116"/>
      <c r="L251" s="169"/>
    </row>
    <row r="252" spans="1:18" x14ac:dyDescent="0.25">
      <c r="A252" s="169"/>
      <c r="B252" s="116"/>
      <c r="C252" s="116"/>
      <c r="D252" s="116"/>
      <c r="E252" s="116"/>
      <c r="F252" s="116"/>
      <c r="H252" s="116"/>
      <c r="I252" s="116"/>
      <c r="L252" s="169"/>
    </row>
    <row r="253" spans="1:18" x14ac:dyDescent="0.25">
      <c r="A253" s="169"/>
      <c r="B253" s="116"/>
      <c r="C253" s="116"/>
      <c r="D253" s="116"/>
      <c r="E253" s="116"/>
      <c r="F253" s="116"/>
      <c r="H253" s="116"/>
      <c r="I253" s="116"/>
      <c r="L253" s="169"/>
    </row>
    <row r="254" spans="1:18" x14ac:dyDescent="0.25">
      <c r="A254" s="169"/>
      <c r="B254" s="116"/>
      <c r="C254" s="116"/>
      <c r="D254" s="116"/>
      <c r="E254" s="116"/>
      <c r="F254" s="116"/>
      <c r="H254" s="116"/>
      <c r="I254" s="116"/>
      <c r="L254" s="169"/>
    </row>
    <row r="255" spans="1:18" x14ac:dyDescent="0.25">
      <c r="A255" s="169"/>
      <c r="B255" s="116"/>
      <c r="C255" s="116"/>
      <c r="D255" s="116"/>
      <c r="E255" s="116"/>
      <c r="F255" s="116"/>
      <c r="H255" s="116"/>
      <c r="I255" s="116"/>
      <c r="L255" s="169"/>
    </row>
    <row r="256" spans="1:18" x14ac:dyDescent="0.25">
      <c r="A256" s="169"/>
      <c r="B256" s="116"/>
      <c r="C256" s="116"/>
      <c r="D256" s="116"/>
      <c r="E256" s="116"/>
      <c r="F256" s="116"/>
      <c r="H256" s="116"/>
      <c r="I256" s="116"/>
      <c r="L256" s="169"/>
    </row>
    <row r="257" spans="1:12" x14ac:dyDescent="0.25">
      <c r="A257" s="169"/>
      <c r="B257" s="116"/>
      <c r="C257" s="116"/>
      <c r="D257" s="116"/>
      <c r="E257" s="116"/>
      <c r="F257" s="116"/>
      <c r="H257" s="116"/>
      <c r="I257" s="116"/>
      <c r="L257" s="169"/>
    </row>
    <row r="258" spans="1:12" x14ac:dyDescent="0.25">
      <c r="A258" s="169"/>
      <c r="B258" s="116"/>
      <c r="C258" s="116"/>
      <c r="D258" s="116"/>
      <c r="E258" s="116"/>
      <c r="F258" s="116"/>
      <c r="H258" s="116"/>
      <c r="I258" s="116"/>
      <c r="L258" s="169"/>
    </row>
    <row r="259" spans="1:12" x14ac:dyDescent="0.25">
      <c r="A259" s="169"/>
      <c r="B259" s="116"/>
      <c r="C259" s="116"/>
      <c r="D259" s="116"/>
      <c r="E259" s="116"/>
      <c r="F259" s="116"/>
      <c r="H259" s="116"/>
      <c r="I259" s="116"/>
      <c r="L259" s="169"/>
    </row>
    <row r="260" spans="1:12" x14ac:dyDescent="0.25">
      <c r="A260" s="169"/>
      <c r="B260" s="116"/>
      <c r="C260" s="116"/>
      <c r="D260" s="116"/>
      <c r="E260" s="116"/>
      <c r="F260" s="116"/>
      <c r="H260" s="116"/>
      <c r="I260" s="116"/>
      <c r="L260" s="169"/>
    </row>
    <row r="261" spans="1:12" x14ac:dyDescent="0.25">
      <c r="A261" s="169"/>
      <c r="B261" s="116"/>
      <c r="C261" s="116"/>
      <c r="D261" s="116"/>
      <c r="E261" s="116"/>
      <c r="F261" s="116"/>
      <c r="H261" s="116"/>
      <c r="I261" s="116"/>
      <c r="L261" s="169"/>
    </row>
    <row r="262" spans="1:12" x14ac:dyDescent="0.25">
      <c r="A262" s="169"/>
      <c r="B262" s="116"/>
      <c r="C262" s="116"/>
      <c r="D262" s="116"/>
      <c r="E262" s="116"/>
      <c r="F262" s="116"/>
      <c r="H262" s="116"/>
      <c r="I262" s="116"/>
      <c r="L262" s="169"/>
    </row>
    <row r="263" spans="1:12" x14ac:dyDescent="0.25">
      <c r="A263" s="169"/>
      <c r="B263" s="116"/>
      <c r="C263" s="116"/>
      <c r="D263" s="116"/>
      <c r="E263" s="116"/>
      <c r="F263" s="116"/>
      <c r="H263" s="116"/>
      <c r="I263" s="116"/>
      <c r="L263" s="169"/>
    </row>
    <row r="264" spans="1:12" x14ac:dyDescent="0.25">
      <c r="A264" s="169"/>
      <c r="B264" s="116"/>
      <c r="C264" s="116"/>
      <c r="D264" s="116"/>
      <c r="E264" s="116"/>
      <c r="F264" s="116"/>
      <c r="H264" s="116"/>
      <c r="I264" s="116"/>
      <c r="L264" s="169"/>
    </row>
    <row r="265" spans="1:12" x14ac:dyDescent="0.25">
      <c r="A265" s="169"/>
      <c r="B265" s="116"/>
      <c r="C265" s="116"/>
      <c r="D265" s="116"/>
      <c r="E265" s="116"/>
      <c r="F265" s="116"/>
      <c r="H265" s="116"/>
      <c r="I265" s="116"/>
      <c r="L265" s="169"/>
    </row>
    <row r="266" spans="1:12" x14ac:dyDescent="0.25">
      <c r="A266" s="169"/>
      <c r="B266" s="116"/>
      <c r="C266" s="116"/>
      <c r="D266" s="116"/>
      <c r="E266" s="116"/>
      <c r="F266" s="116"/>
      <c r="H266" s="116"/>
      <c r="I266" s="116"/>
      <c r="L266" s="169"/>
    </row>
    <row r="267" spans="1:12" x14ac:dyDescent="0.25">
      <c r="A267" s="169"/>
      <c r="B267" s="116"/>
      <c r="C267" s="116"/>
      <c r="D267" s="116"/>
      <c r="E267" s="116"/>
      <c r="F267" s="116"/>
      <c r="H267" s="116"/>
      <c r="I267" s="116"/>
      <c r="L267" s="169"/>
    </row>
    <row r="268" spans="1:12" x14ac:dyDescent="0.25">
      <c r="A268" s="169"/>
      <c r="B268" s="116"/>
      <c r="C268" s="116"/>
      <c r="D268" s="116"/>
      <c r="E268" s="116"/>
      <c r="F268" s="116"/>
      <c r="H268" s="116"/>
      <c r="I268" s="116"/>
      <c r="L268" s="169"/>
    </row>
    <row r="269" spans="1:12" x14ac:dyDescent="0.25">
      <c r="A269" s="169"/>
      <c r="B269" s="116"/>
      <c r="C269" s="116"/>
      <c r="D269" s="116"/>
      <c r="E269" s="116"/>
      <c r="F269" s="116"/>
      <c r="H269" s="116"/>
      <c r="I269" s="116"/>
      <c r="L269" s="169"/>
    </row>
    <row r="270" spans="1:12" x14ac:dyDescent="0.25">
      <c r="A270" s="169"/>
      <c r="B270" s="116"/>
      <c r="C270" s="116"/>
      <c r="D270" s="116"/>
      <c r="E270" s="116"/>
      <c r="F270" s="116"/>
      <c r="H270" s="116"/>
      <c r="I270" s="116"/>
      <c r="L270" s="169"/>
    </row>
    <row r="271" spans="1:12" x14ac:dyDescent="0.25">
      <c r="A271" s="169"/>
      <c r="B271" s="116"/>
      <c r="C271" s="116"/>
      <c r="D271" s="116"/>
      <c r="E271" s="116"/>
      <c r="F271" s="116"/>
      <c r="H271" s="116"/>
      <c r="I271" s="116"/>
      <c r="L271" s="169"/>
    </row>
    <row r="272" spans="1:12" x14ac:dyDescent="0.25">
      <c r="A272" s="169"/>
      <c r="B272" s="116"/>
      <c r="C272" s="116"/>
      <c r="D272" s="116"/>
      <c r="E272" s="116"/>
      <c r="F272" s="116"/>
      <c r="H272" s="116"/>
      <c r="I272" s="116"/>
      <c r="L272" s="169"/>
    </row>
    <row r="273" spans="1:12" x14ac:dyDescent="0.25">
      <c r="A273" s="169"/>
      <c r="B273" s="116"/>
      <c r="C273" s="116"/>
      <c r="D273" s="116"/>
      <c r="E273" s="116"/>
      <c r="F273" s="116"/>
      <c r="H273" s="116"/>
      <c r="I273" s="116"/>
      <c r="L273" s="169"/>
    </row>
    <row r="274" spans="1:12" x14ac:dyDescent="0.25">
      <c r="A274" s="169"/>
      <c r="B274" s="116"/>
      <c r="C274" s="116"/>
      <c r="D274" s="116"/>
      <c r="E274" s="116"/>
      <c r="F274" s="116"/>
      <c r="H274" s="116"/>
      <c r="I274" s="116"/>
      <c r="L274" s="169"/>
    </row>
    <row r="275" spans="1:12" x14ac:dyDescent="0.25">
      <c r="A275" s="169"/>
      <c r="B275" s="116"/>
      <c r="C275" s="116"/>
      <c r="D275" s="116"/>
      <c r="E275" s="116"/>
      <c r="F275" s="116"/>
      <c r="H275" s="116"/>
      <c r="I275" s="116"/>
      <c r="L275" s="169"/>
    </row>
    <row r="276" spans="1:12" x14ac:dyDescent="0.25">
      <c r="A276" s="169"/>
      <c r="B276" s="116"/>
      <c r="C276" s="116"/>
      <c r="D276" s="116"/>
      <c r="E276" s="116"/>
      <c r="F276" s="116"/>
      <c r="H276" s="116"/>
      <c r="I276" s="116"/>
      <c r="L276" s="169"/>
    </row>
    <row r="277" spans="1:12" x14ac:dyDescent="0.25">
      <c r="A277" s="169"/>
      <c r="B277" s="116"/>
      <c r="C277" s="116"/>
      <c r="D277" s="116"/>
      <c r="E277" s="116"/>
      <c r="F277" s="116"/>
      <c r="H277" s="116"/>
      <c r="I277" s="116"/>
      <c r="L277" s="169"/>
    </row>
    <row r="278" spans="1:12" x14ac:dyDescent="0.25">
      <c r="A278" s="169"/>
      <c r="B278" s="116"/>
      <c r="C278" s="116"/>
      <c r="D278" s="116"/>
      <c r="E278" s="116"/>
      <c r="F278" s="116"/>
      <c r="H278" s="116"/>
      <c r="I278" s="116"/>
      <c r="L278" s="169"/>
    </row>
    <row r="279" spans="1:12" x14ac:dyDescent="0.25">
      <c r="A279" s="169"/>
      <c r="B279" s="116"/>
      <c r="C279" s="116"/>
      <c r="D279" s="116"/>
      <c r="E279" s="116"/>
      <c r="F279" s="116"/>
      <c r="H279" s="116"/>
      <c r="I279" s="116"/>
      <c r="L279" s="169"/>
    </row>
    <row r="280" spans="1:12" x14ac:dyDescent="0.25">
      <c r="A280" s="169"/>
      <c r="B280" s="116"/>
      <c r="C280" s="116"/>
      <c r="D280" s="116"/>
      <c r="E280" s="116"/>
      <c r="F280" s="116"/>
      <c r="H280" s="116"/>
      <c r="I280" s="116"/>
      <c r="L280" s="169"/>
    </row>
    <row r="281" spans="1:12" x14ac:dyDescent="0.25">
      <c r="A281" s="169"/>
      <c r="B281" s="116"/>
      <c r="C281" s="116"/>
      <c r="D281" s="116"/>
      <c r="E281" s="116"/>
      <c r="F281" s="116"/>
      <c r="H281" s="116"/>
      <c r="I281" s="116"/>
      <c r="L281" s="169"/>
    </row>
    <row r="282" spans="1:12" x14ac:dyDescent="0.25">
      <c r="A282" s="169"/>
      <c r="B282" s="116"/>
      <c r="C282" s="116"/>
      <c r="D282" s="116"/>
      <c r="E282" s="116"/>
      <c r="F282" s="116"/>
      <c r="H282" s="116"/>
      <c r="I282" s="116"/>
      <c r="L282" s="169"/>
    </row>
    <row r="283" spans="1:12" x14ac:dyDescent="0.25">
      <c r="A283" s="169"/>
      <c r="B283" s="116"/>
      <c r="C283" s="116"/>
      <c r="D283" s="116"/>
      <c r="E283" s="116"/>
      <c r="F283" s="116"/>
      <c r="H283" s="116"/>
      <c r="I283" s="116"/>
      <c r="L283" s="169"/>
    </row>
    <row r="284" spans="1:12" x14ac:dyDescent="0.25">
      <c r="A284" s="169"/>
      <c r="B284" s="116"/>
      <c r="C284" s="116"/>
      <c r="D284" s="116"/>
      <c r="E284" s="116"/>
      <c r="F284" s="116"/>
      <c r="H284" s="116"/>
      <c r="I284" s="116"/>
      <c r="L284" s="169"/>
    </row>
    <row r="285" spans="1:12" x14ac:dyDescent="0.25">
      <c r="A285" s="169"/>
      <c r="B285" s="116"/>
      <c r="C285" s="116"/>
      <c r="D285" s="116"/>
      <c r="E285" s="116"/>
      <c r="F285" s="116"/>
      <c r="H285" s="116"/>
      <c r="I285" s="116"/>
      <c r="L285" s="169"/>
    </row>
    <row r="286" spans="1:12" x14ac:dyDescent="0.25">
      <c r="A286" s="169"/>
      <c r="B286" s="116"/>
      <c r="C286" s="116"/>
      <c r="D286" s="116"/>
      <c r="E286" s="116"/>
      <c r="F286" s="116"/>
      <c r="H286" s="116"/>
      <c r="I286" s="116"/>
      <c r="L286" s="169"/>
    </row>
    <row r="287" spans="1:12" x14ac:dyDescent="0.25">
      <c r="A287" s="169"/>
      <c r="B287" s="116"/>
      <c r="C287" s="116"/>
      <c r="D287" s="116"/>
      <c r="E287" s="116"/>
      <c r="F287" s="116"/>
      <c r="H287" s="116"/>
      <c r="I287" s="116"/>
      <c r="L287" s="169"/>
    </row>
    <row r="288" spans="1:12" x14ac:dyDescent="0.25">
      <c r="A288" s="169"/>
      <c r="B288" s="116"/>
      <c r="C288" s="116"/>
      <c r="D288" s="116"/>
      <c r="E288" s="116"/>
      <c r="F288" s="116"/>
      <c r="H288" s="116"/>
      <c r="I288" s="116"/>
      <c r="L288" s="169"/>
    </row>
    <row r="289" spans="1:12" x14ac:dyDescent="0.25">
      <c r="A289" s="169"/>
      <c r="B289" s="116"/>
      <c r="C289" s="116"/>
      <c r="D289" s="116"/>
      <c r="E289" s="116"/>
      <c r="F289" s="116"/>
      <c r="H289" s="116"/>
      <c r="I289" s="116"/>
      <c r="L289" s="169"/>
    </row>
    <row r="290" spans="1:12" x14ac:dyDescent="0.25">
      <c r="A290" s="169"/>
      <c r="B290" s="116"/>
      <c r="C290" s="116"/>
      <c r="D290" s="116"/>
      <c r="E290" s="116"/>
      <c r="F290" s="116"/>
      <c r="H290" s="116"/>
      <c r="I290" s="116"/>
      <c r="L290" s="169"/>
    </row>
    <row r="291" spans="1:12" x14ac:dyDescent="0.25">
      <c r="A291" s="169"/>
      <c r="B291" s="116"/>
      <c r="C291" s="116"/>
      <c r="D291" s="116"/>
      <c r="E291" s="116"/>
      <c r="F291" s="116"/>
      <c r="H291" s="116"/>
      <c r="I291" s="116"/>
      <c r="L291" s="169"/>
    </row>
    <row r="292" spans="1:12" x14ac:dyDescent="0.25">
      <c r="A292" s="169"/>
      <c r="B292" s="116"/>
      <c r="C292" s="116"/>
      <c r="D292" s="116"/>
      <c r="E292" s="116"/>
      <c r="F292" s="116"/>
      <c r="H292" s="116"/>
      <c r="I292" s="116"/>
      <c r="L292" s="169"/>
    </row>
    <row r="293" spans="1:12" x14ac:dyDescent="0.25">
      <c r="A293" s="169"/>
      <c r="B293" s="116"/>
      <c r="C293" s="116"/>
      <c r="D293" s="116"/>
      <c r="E293" s="116"/>
      <c r="F293" s="116"/>
      <c r="H293" s="116"/>
      <c r="I293" s="116"/>
      <c r="L293" s="169"/>
    </row>
    <row r="294" spans="1:12" x14ac:dyDescent="0.25">
      <c r="A294" s="169"/>
      <c r="B294" s="116"/>
      <c r="C294" s="116"/>
      <c r="D294" s="116"/>
      <c r="E294" s="116"/>
      <c r="F294" s="116"/>
      <c r="H294" s="116"/>
      <c r="I294" s="116"/>
      <c r="L294" s="169"/>
    </row>
    <row r="295" spans="1:12" x14ac:dyDescent="0.25">
      <c r="A295" s="169"/>
      <c r="B295" s="116"/>
      <c r="C295" s="116"/>
      <c r="D295" s="116"/>
      <c r="E295" s="116"/>
      <c r="F295" s="116"/>
      <c r="H295" s="116"/>
      <c r="I295" s="116"/>
      <c r="L295" s="169"/>
    </row>
    <row r="296" spans="1:12" x14ac:dyDescent="0.25">
      <c r="A296" s="169"/>
      <c r="B296" s="116"/>
      <c r="C296" s="116"/>
      <c r="D296" s="116"/>
      <c r="E296" s="116"/>
      <c r="F296" s="116"/>
      <c r="H296" s="116"/>
      <c r="I296" s="116"/>
      <c r="L296" s="169"/>
    </row>
    <row r="297" spans="1:12" x14ac:dyDescent="0.25">
      <c r="A297" s="169"/>
      <c r="B297" s="116"/>
      <c r="C297" s="116"/>
      <c r="D297" s="116"/>
      <c r="E297" s="116"/>
      <c r="F297" s="116"/>
      <c r="H297" s="116"/>
      <c r="I297" s="116"/>
      <c r="L297" s="169"/>
    </row>
    <row r="298" spans="1:12" x14ac:dyDescent="0.25">
      <c r="A298" s="169"/>
      <c r="B298" s="116"/>
      <c r="C298" s="116"/>
      <c r="D298" s="116"/>
      <c r="E298" s="116"/>
      <c r="F298" s="116"/>
      <c r="H298" s="116"/>
      <c r="I298" s="116"/>
      <c r="L298" s="169"/>
    </row>
    <row r="299" spans="1:12" x14ac:dyDescent="0.25">
      <c r="A299" s="169"/>
      <c r="B299" s="116"/>
      <c r="C299" s="116"/>
      <c r="D299" s="116"/>
      <c r="E299" s="116"/>
      <c r="F299" s="116"/>
      <c r="H299" s="116"/>
      <c r="I299" s="116"/>
      <c r="L299" s="169"/>
    </row>
    <row r="300" spans="1:12" x14ac:dyDescent="0.25">
      <c r="A300" s="169"/>
      <c r="B300" s="116"/>
      <c r="C300" s="116"/>
      <c r="D300" s="116"/>
      <c r="E300" s="116"/>
      <c r="F300" s="116"/>
      <c r="H300" s="116"/>
      <c r="I300" s="116"/>
      <c r="L300" s="169"/>
    </row>
    <row r="301" spans="1:12" x14ac:dyDescent="0.25">
      <c r="A301" s="169"/>
      <c r="B301" s="116"/>
      <c r="C301" s="116"/>
      <c r="D301" s="116"/>
      <c r="E301" s="116"/>
      <c r="F301" s="116"/>
      <c r="H301" s="116"/>
      <c r="I301" s="116"/>
      <c r="L301" s="169"/>
    </row>
    <row r="302" spans="1:12" x14ac:dyDescent="0.25">
      <c r="A302" s="169"/>
      <c r="B302" s="116"/>
      <c r="C302" s="116"/>
      <c r="D302" s="116"/>
      <c r="E302" s="116"/>
      <c r="F302" s="116"/>
      <c r="H302" s="116"/>
      <c r="I302" s="116"/>
      <c r="L302" s="169"/>
    </row>
    <row r="303" spans="1:12" x14ac:dyDescent="0.25">
      <c r="A303" s="169"/>
      <c r="B303" s="116"/>
      <c r="C303" s="116"/>
      <c r="D303" s="116"/>
      <c r="E303" s="116"/>
      <c r="F303" s="116"/>
      <c r="H303" s="116"/>
      <c r="I303" s="116"/>
      <c r="L303" s="169"/>
    </row>
    <row r="304" spans="1:12" x14ac:dyDescent="0.25">
      <c r="A304" s="169"/>
      <c r="B304" s="116"/>
      <c r="C304" s="116"/>
      <c r="D304" s="116"/>
      <c r="E304" s="116"/>
      <c r="F304" s="116"/>
      <c r="H304" s="116"/>
      <c r="I304" s="116"/>
      <c r="L304" s="169"/>
    </row>
    <row r="305" spans="1:12" x14ac:dyDescent="0.25">
      <c r="A305" s="169"/>
      <c r="B305" s="116"/>
      <c r="C305" s="116"/>
      <c r="D305" s="116"/>
      <c r="E305" s="116"/>
      <c r="F305" s="116"/>
      <c r="H305" s="116"/>
      <c r="I305" s="116"/>
      <c r="L305" s="169"/>
    </row>
    <row r="306" spans="1:12" x14ac:dyDescent="0.25">
      <c r="A306" s="169"/>
      <c r="B306" s="116"/>
      <c r="C306" s="116"/>
      <c r="D306" s="116"/>
      <c r="E306" s="116"/>
      <c r="F306" s="116"/>
      <c r="H306" s="116"/>
      <c r="I306" s="116"/>
      <c r="L306" s="169"/>
    </row>
    <row r="307" spans="1:12" x14ac:dyDescent="0.25">
      <c r="A307" s="169"/>
      <c r="B307" s="116"/>
      <c r="C307" s="116"/>
      <c r="D307" s="116"/>
      <c r="E307" s="116"/>
      <c r="F307" s="116"/>
      <c r="H307" s="116"/>
      <c r="I307" s="116"/>
      <c r="L307" s="169"/>
    </row>
    <row r="308" spans="1:12" x14ac:dyDescent="0.25">
      <c r="A308" s="169"/>
      <c r="B308" s="116"/>
      <c r="C308" s="116"/>
      <c r="D308" s="116"/>
      <c r="E308" s="116"/>
      <c r="F308" s="116"/>
      <c r="H308" s="116"/>
      <c r="I308" s="116"/>
      <c r="L308" s="169"/>
    </row>
    <row r="309" spans="1:12" x14ac:dyDescent="0.25">
      <c r="A309" s="169"/>
      <c r="B309" s="116"/>
      <c r="C309" s="116"/>
      <c r="D309" s="116"/>
      <c r="E309" s="116"/>
      <c r="F309" s="116"/>
      <c r="H309" s="116"/>
      <c r="I309" s="116"/>
      <c r="L309" s="169"/>
    </row>
    <row r="310" spans="1:12" x14ac:dyDescent="0.25">
      <c r="A310" s="169"/>
      <c r="B310" s="116"/>
      <c r="C310" s="116"/>
      <c r="D310" s="116"/>
      <c r="E310" s="116"/>
      <c r="F310" s="116"/>
      <c r="H310" s="116"/>
      <c r="I310" s="116"/>
      <c r="L310" s="169"/>
    </row>
    <row r="311" spans="1:12" x14ac:dyDescent="0.25">
      <c r="A311" s="169"/>
      <c r="B311" s="116"/>
      <c r="C311" s="116"/>
      <c r="D311" s="116"/>
      <c r="E311" s="116"/>
      <c r="F311" s="116"/>
      <c r="H311" s="116"/>
      <c r="I311" s="116"/>
      <c r="L311" s="169"/>
    </row>
    <row r="312" spans="1:12" x14ac:dyDescent="0.25">
      <c r="A312" s="169"/>
      <c r="B312" s="116"/>
      <c r="C312" s="116"/>
      <c r="D312" s="116"/>
      <c r="E312" s="116"/>
      <c r="F312" s="116"/>
      <c r="H312" s="116"/>
      <c r="I312" s="116"/>
      <c r="L312" s="169"/>
    </row>
    <row r="313" spans="1:12" x14ac:dyDescent="0.25">
      <c r="A313" s="169"/>
      <c r="B313" s="116"/>
      <c r="C313" s="116"/>
      <c r="D313" s="116"/>
      <c r="E313" s="116"/>
      <c r="F313" s="116"/>
      <c r="H313" s="116"/>
      <c r="I313" s="116"/>
      <c r="L313" s="169"/>
    </row>
    <row r="314" spans="1:12" x14ac:dyDescent="0.25">
      <c r="A314" s="169"/>
      <c r="B314" s="116"/>
      <c r="C314" s="116"/>
      <c r="D314" s="116"/>
      <c r="E314" s="116"/>
      <c r="F314" s="116"/>
      <c r="H314" s="116"/>
      <c r="I314" s="116"/>
      <c r="L314" s="169"/>
    </row>
    <row r="315" spans="1:12" x14ac:dyDescent="0.25">
      <c r="A315" s="169"/>
      <c r="B315" s="116"/>
      <c r="C315" s="116"/>
      <c r="D315" s="116"/>
      <c r="E315" s="116"/>
      <c r="F315" s="116"/>
      <c r="H315" s="116"/>
      <c r="I315" s="116"/>
      <c r="L315" s="169"/>
    </row>
    <row r="316" spans="1:12" x14ac:dyDescent="0.25">
      <c r="A316" s="169"/>
      <c r="B316" s="116"/>
      <c r="C316" s="116"/>
      <c r="D316" s="116"/>
      <c r="E316" s="116"/>
      <c r="F316" s="116"/>
      <c r="H316" s="116"/>
      <c r="I316" s="116"/>
      <c r="L316" s="169"/>
    </row>
    <row r="317" spans="1:12" x14ac:dyDescent="0.25">
      <c r="A317" s="169"/>
      <c r="B317" s="116"/>
      <c r="C317" s="116"/>
      <c r="D317" s="116"/>
      <c r="E317" s="116"/>
      <c r="F317" s="116"/>
      <c r="H317" s="116"/>
      <c r="I317" s="116"/>
      <c r="L317" s="169"/>
    </row>
    <row r="318" spans="1:12" x14ac:dyDescent="0.25">
      <c r="A318" s="169"/>
      <c r="B318" s="116"/>
      <c r="C318" s="116"/>
      <c r="D318" s="116"/>
      <c r="E318" s="116"/>
      <c r="F318" s="116"/>
      <c r="H318" s="116"/>
      <c r="I318" s="116"/>
      <c r="L318" s="169"/>
    </row>
    <row r="319" spans="1:12" x14ac:dyDescent="0.25">
      <c r="A319" s="169"/>
      <c r="B319" s="116"/>
      <c r="C319" s="116"/>
      <c r="D319" s="116"/>
      <c r="E319" s="116"/>
      <c r="F319" s="116"/>
      <c r="H319" s="116"/>
      <c r="I319" s="116"/>
      <c r="L319" s="169"/>
    </row>
    <row r="320" spans="1:12" x14ac:dyDescent="0.25">
      <c r="A320" s="169"/>
      <c r="B320" s="116"/>
      <c r="C320" s="116"/>
      <c r="D320" s="116"/>
      <c r="E320" s="116"/>
      <c r="F320" s="116"/>
      <c r="H320" s="116"/>
      <c r="I320" s="116"/>
      <c r="L320" s="169"/>
    </row>
    <row r="321" spans="1:12" x14ac:dyDescent="0.25">
      <c r="A321" s="169"/>
      <c r="B321" s="116"/>
      <c r="C321" s="116"/>
      <c r="D321" s="116"/>
      <c r="E321" s="116"/>
      <c r="F321" s="116"/>
      <c r="H321" s="116"/>
      <c r="I321" s="116"/>
      <c r="L321" s="169"/>
    </row>
    <row r="322" spans="1:12" x14ac:dyDescent="0.25">
      <c r="A322" s="169"/>
      <c r="B322" s="116"/>
      <c r="C322" s="116"/>
      <c r="D322" s="116"/>
      <c r="E322" s="116"/>
      <c r="F322" s="116"/>
      <c r="H322" s="116"/>
      <c r="I322" s="116"/>
      <c r="L322" s="169"/>
    </row>
    <row r="323" spans="1:12" x14ac:dyDescent="0.25">
      <c r="A323" s="169"/>
      <c r="B323" s="116"/>
      <c r="C323" s="116"/>
      <c r="D323" s="116"/>
      <c r="E323" s="116"/>
      <c r="F323" s="116"/>
      <c r="H323" s="116"/>
      <c r="I323" s="116"/>
      <c r="L323" s="169"/>
    </row>
    <row r="324" spans="1:12" x14ac:dyDescent="0.25">
      <c r="A324" s="169"/>
      <c r="B324" s="116"/>
      <c r="C324" s="116"/>
      <c r="D324" s="116"/>
      <c r="E324" s="116"/>
      <c r="F324" s="116"/>
      <c r="H324" s="116"/>
      <c r="I324" s="116"/>
      <c r="L324" s="169"/>
    </row>
    <row r="325" spans="1:12" x14ac:dyDescent="0.25">
      <c r="A325" s="169"/>
      <c r="B325" s="116"/>
      <c r="C325" s="116"/>
      <c r="D325" s="116"/>
      <c r="E325" s="116"/>
      <c r="F325" s="116"/>
      <c r="H325" s="116"/>
      <c r="I325" s="116"/>
      <c r="L325" s="169"/>
    </row>
    <row r="326" spans="1:12" x14ac:dyDescent="0.25">
      <c r="A326" s="169"/>
      <c r="B326" s="116"/>
      <c r="C326" s="116"/>
      <c r="D326" s="116"/>
      <c r="E326" s="116"/>
      <c r="F326" s="116"/>
      <c r="H326" s="116"/>
      <c r="I326" s="116"/>
      <c r="L326" s="169"/>
    </row>
    <row r="327" spans="1:12" x14ac:dyDescent="0.25">
      <c r="A327" s="169"/>
      <c r="B327" s="116"/>
      <c r="C327" s="116"/>
      <c r="D327" s="116"/>
      <c r="E327" s="116"/>
      <c r="F327" s="116"/>
      <c r="H327" s="116"/>
      <c r="I327" s="116"/>
      <c r="L327" s="169"/>
    </row>
    <row r="328" spans="1:12" x14ac:dyDescent="0.25">
      <c r="A328" s="169"/>
      <c r="B328" s="116"/>
      <c r="C328" s="116"/>
      <c r="D328" s="116"/>
      <c r="E328" s="116"/>
      <c r="F328" s="116"/>
      <c r="H328" s="116"/>
      <c r="I328" s="116"/>
      <c r="L328" s="169"/>
    </row>
    <row r="329" spans="1:12" x14ac:dyDescent="0.25">
      <c r="A329" s="169"/>
      <c r="B329" s="116"/>
      <c r="C329" s="116"/>
      <c r="D329" s="116"/>
      <c r="E329" s="116"/>
      <c r="F329" s="116"/>
      <c r="H329" s="116"/>
      <c r="I329" s="116"/>
      <c r="L329" s="169"/>
    </row>
    <row r="330" spans="1:12" x14ac:dyDescent="0.25">
      <c r="A330" s="169"/>
      <c r="B330" s="116"/>
      <c r="C330" s="116"/>
      <c r="D330" s="116"/>
      <c r="E330" s="116"/>
      <c r="F330" s="116"/>
      <c r="H330" s="116"/>
      <c r="I330" s="116"/>
      <c r="L330" s="169"/>
    </row>
    <row r="331" spans="1:12" x14ac:dyDescent="0.25">
      <c r="A331" s="169"/>
      <c r="B331" s="116"/>
      <c r="C331" s="116"/>
      <c r="D331" s="116"/>
      <c r="E331" s="116"/>
      <c r="F331" s="116"/>
      <c r="H331" s="116"/>
      <c r="I331" s="116"/>
      <c r="L331" s="169"/>
    </row>
    <row r="332" spans="1:12" x14ac:dyDescent="0.25">
      <c r="A332" s="169"/>
      <c r="B332" s="116"/>
      <c r="C332" s="116"/>
      <c r="D332" s="116"/>
      <c r="E332" s="116"/>
      <c r="F332" s="116"/>
      <c r="H332" s="116"/>
      <c r="I332" s="116"/>
      <c r="L332" s="169"/>
    </row>
    <row r="333" spans="1:12" x14ac:dyDescent="0.25">
      <c r="A333" s="169"/>
      <c r="B333" s="116"/>
      <c r="C333" s="116"/>
      <c r="D333" s="116"/>
      <c r="E333" s="116"/>
      <c r="F333" s="116"/>
      <c r="H333" s="116"/>
      <c r="I333" s="116"/>
      <c r="L333" s="169"/>
    </row>
    <row r="334" spans="1:12" x14ac:dyDescent="0.25">
      <c r="A334" s="169"/>
      <c r="B334" s="116"/>
      <c r="C334" s="116"/>
      <c r="D334" s="116"/>
      <c r="E334" s="116"/>
      <c r="F334" s="116"/>
      <c r="H334" s="116"/>
      <c r="I334" s="116"/>
      <c r="L334" s="169"/>
    </row>
    <row r="335" spans="1:12" x14ac:dyDescent="0.25">
      <c r="A335" s="169"/>
      <c r="B335" s="116"/>
      <c r="C335" s="116"/>
      <c r="D335" s="116"/>
      <c r="E335" s="116"/>
      <c r="F335" s="116"/>
      <c r="H335" s="116"/>
      <c r="I335" s="116"/>
      <c r="L335" s="169"/>
    </row>
    <row r="336" spans="1:12" x14ac:dyDescent="0.25">
      <c r="A336" s="169"/>
      <c r="B336" s="116"/>
      <c r="C336" s="116"/>
      <c r="D336" s="116"/>
      <c r="E336" s="116"/>
      <c r="F336" s="116"/>
      <c r="H336" s="116"/>
      <c r="I336" s="116"/>
      <c r="L336" s="169"/>
    </row>
    <row r="337" spans="1:12" x14ac:dyDescent="0.25">
      <c r="A337" s="169"/>
      <c r="B337" s="116"/>
      <c r="C337" s="116"/>
      <c r="D337" s="116"/>
      <c r="E337" s="116"/>
      <c r="F337" s="116"/>
      <c r="H337" s="116"/>
      <c r="I337" s="116"/>
      <c r="L337" s="169"/>
    </row>
    <row r="338" spans="1:12" x14ac:dyDescent="0.25">
      <c r="A338" s="169"/>
      <c r="B338" s="116"/>
      <c r="C338" s="116"/>
      <c r="D338" s="116"/>
      <c r="E338" s="116"/>
      <c r="F338" s="116"/>
      <c r="H338" s="116"/>
      <c r="I338" s="116"/>
      <c r="L338" s="169"/>
    </row>
    <row r="339" spans="1:12" x14ac:dyDescent="0.25">
      <c r="A339" s="169"/>
      <c r="B339" s="116"/>
      <c r="C339" s="116"/>
      <c r="D339" s="116"/>
      <c r="E339" s="116"/>
      <c r="F339" s="116"/>
      <c r="H339" s="116"/>
      <c r="I339" s="116"/>
      <c r="L339" s="169"/>
    </row>
    <row r="340" spans="1:12" x14ac:dyDescent="0.25">
      <c r="A340" s="169"/>
      <c r="B340" s="116"/>
      <c r="C340" s="116"/>
      <c r="D340" s="116"/>
      <c r="E340" s="116"/>
      <c r="F340" s="116"/>
      <c r="H340" s="116"/>
      <c r="I340" s="116"/>
      <c r="L340" s="169"/>
    </row>
    <row r="341" spans="1:12" x14ac:dyDescent="0.25">
      <c r="A341" s="169"/>
      <c r="B341" s="116"/>
      <c r="C341" s="116"/>
      <c r="D341" s="116"/>
      <c r="E341" s="116"/>
      <c r="F341" s="116"/>
      <c r="H341" s="116"/>
      <c r="I341" s="116"/>
      <c r="L341" s="169"/>
    </row>
    <row r="342" spans="1:12" x14ac:dyDescent="0.25">
      <c r="A342" s="169"/>
      <c r="B342" s="116"/>
      <c r="C342" s="116"/>
      <c r="D342" s="116"/>
      <c r="E342" s="116"/>
      <c r="F342" s="116"/>
      <c r="H342" s="116"/>
      <c r="I342" s="116"/>
      <c r="L342" s="169"/>
    </row>
    <row r="343" spans="1:12" x14ac:dyDescent="0.25">
      <c r="A343" s="169"/>
      <c r="B343" s="116"/>
      <c r="C343" s="116"/>
      <c r="D343" s="116"/>
      <c r="E343" s="116"/>
      <c r="F343" s="116"/>
      <c r="H343" s="116"/>
      <c r="I343" s="116"/>
      <c r="L343" s="169"/>
    </row>
    <row r="344" spans="1:12" x14ac:dyDescent="0.25">
      <c r="A344" s="169"/>
      <c r="B344" s="116"/>
      <c r="C344" s="116"/>
      <c r="D344" s="116"/>
      <c r="E344" s="116"/>
      <c r="F344" s="116"/>
      <c r="H344" s="116"/>
      <c r="I344" s="116"/>
      <c r="L344" s="169"/>
    </row>
    <row r="345" spans="1:12" x14ac:dyDescent="0.25">
      <c r="A345" s="169"/>
      <c r="B345" s="116"/>
      <c r="C345" s="116"/>
      <c r="D345" s="116"/>
      <c r="E345" s="116"/>
      <c r="F345" s="116"/>
      <c r="H345" s="116"/>
      <c r="I345" s="116"/>
      <c r="L345" s="169"/>
    </row>
    <row r="346" spans="1:12" x14ac:dyDescent="0.25">
      <c r="A346" s="169"/>
      <c r="B346" s="116"/>
      <c r="C346" s="116"/>
      <c r="D346" s="116"/>
      <c r="E346" s="116"/>
      <c r="F346" s="116"/>
      <c r="H346" s="116"/>
      <c r="I346" s="116"/>
      <c r="L346" s="169"/>
    </row>
    <row r="347" spans="1:12" x14ac:dyDescent="0.25">
      <c r="A347" s="169"/>
      <c r="B347" s="116"/>
      <c r="C347" s="116"/>
      <c r="D347" s="116"/>
      <c r="E347" s="116"/>
      <c r="F347" s="116"/>
      <c r="H347" s="116"/>
      <c r="I347" s="116"/>
      <c r="L347" s="169"/>
    </row>
    <row r="348" spans="1:12" x14ac:dyDescent="0.25">
      <c r="A348" s="169"/>
      <c r="B348" s="116"/>
      <c r="C348" s="116"/>
      <c r="D348" s="116"/>
      <c r="E348" s="116"/>
      <c r="F348" s="116"/>
      <c r="H348" s="116"/>
      <c r="I348" s="116"/>
      <c r="L348" s="169"/>
    </row>
    <row r="349" spans="1:12" x14ac:dyDescent="0.25">
      <c r="A349" s="169"/>
      <c r="B349" s="116"/>
      <c r="C349" s="116"/>
      <c r="D349" s="116"/>
      <c r="E349" s="116"/>
      <c r="F349" s="116"/>
      <c r="H349" s="116"/>
      <c r="I349" s="116"/>
      <c r="L349" s="169"/>
    </row>
    <row r="350" spans="1:12" x14ac:dyDescent="0.25">
      <c r="A350" s="169"/>
      <c r="B350" s="116"/>
      <c r="C350" s="116"/>
      <c r="D350" s="116"/>
      <c r="E350" s="116"/>
      <c r="F350" s="116"/>
      <c r="H350" s="116"/>
      <c r="I350" s="116"/>
      <c r="L350" s="169"/>
    </row>
    <row r="351" spans="1:12" x14ac:dyDescent="0.25">
      <c r="A351" s="169"/>
      <c r="B351" s="116"/>
      <c r="C351" s="116"/>
      <c r="D351" s="116"/>
      <c r="E351" s="116"/>
      <c r="F351" s="116"/>
      <c r="H351" s="116"/>
      <c r="I351" s="116"/>
      <c r="L351" s="169"/>
    </row>
    <row r="352" spans="1:12" x14ac:dyDescent="0.25">
      <c r="A352" s="169"/>
      <c r="B352" s="116"/>
      <c r="C352" s="116"/>
      <c r="D352" s="116"/>
      <c r="E352" s="116"/>
      <c r="F352" s="116"/>
      <c r="H352" s="116"/>
      <c r="I352" s="116"/>
      <c r="L352" s="169"/>
    </row>
    <row r="353" spans="1:12" x14ac:dyDescent="0.25">
      <c r="A353" s="169"/>
      <c r="B353" s="116"/>
      <c r="C353" s="116"/>
      <c r="D353" s="116"/>
      <c r="E353" s="116"/>
      <c r="F353" s="116"/>
      <c r="H353" s="116"/>
      <c r="I353" s="116"/>
      <c r="L353" s="169"/>
    </row>
    <row r="354" spans="1:12" x14ac:dyDescent="0.25">
      <c r="A354" s="169"/>
      <c r="B354" s="116"/>
      <c r="C354" s="116"/>
      <c r="D354" s="116"/>
      <c r="E354" s="116"/>
      <c r="F354" s="116"/>
      <c r="H354" s="116"/>
      <c r="I354" s="116"/>
      <c r="L354" s="169"/>
    </row>
    <row r="355" spans="1:12" x14ac:dyDescent="0.25">
      <c r="A355" s="169"/>
      <c r="B355" s="116"/>
      <c r="C355" s="116"/>
      <c r="D355" s="116"/>
      <c r="E355" s="116"/>
      <c r="F355" s="116"/>
      <c r="H355" s="116"/>
      <c r="I355" s="116"/>
      <c r="L355" s="169"/>
    </row>
    <row r="356" spans="1:12" x14ac:dyDescent="0.25">
      <c r="A356" s="169"/>
      <c r="B356" s="116"/>
      <c r="C356" s="116"/>
      <c r="D356" s="116"/>
      <c r="E356" s="116"/>
      <c r="F356" s="116"/>
      <c r="H356" s="116"/>
      <c r="I356" s="116"/>
      <c r="L356" s="169"/>
    </row>
    <row r="357" spans="1:12" x14ac:dyDescent="0.25">
      <c r="A357" s="169"/>
      <c r="B357" s="116"/>
      <c r="C357" s="116"/>
      <c r="D357" s="116"/>
      <c r="E357" s="116"/>
      <c r="F357" s="116"/>
      <c r="H357" s="116"/>
      <c r="I357" s="116"/>
      <c r="L357" s="169"/>
    </row>
    <row r="358" spans="1:12" x14ac:dyDescent="0.25">
      <c r="A358" s="169"/>
      <c r="B358" s="116"/>
      <c r="C358" s="116"/>
      <c r="D358" s="116"/>
      <c r="E358" s="116"/>
      <c r="F358" s="116"/>
      <c r="H358" s="116"/>
      <c r="I358" s="116"/>
      <c r="L358" s="169"/>
    </row>
    <row r="359" spans="1:12" x14ac:dyDescent="0.25">
      <c r="A359" s="169"/>
      <c r="B359" s="116"/>
      <c r="C359" s="116"/>
      <c r="D359" s="116"/>
      <c r="E359" s="116"/>
      <c r="F359" s="116"/>
      <c r="H359" s="116"/>
      <c r="I359" s="116"/>
      <c r="L359" s="169"/>
    </row>
    <row r="360" spans="1:12" x14ac:dyDescent="0.25">
      <c r="A360" s="169"/>
      <c r="B360" s="116"/>
      <c r="C360" s="116"/>
      <c r="D360" s="116"/>
      <c r="E360" s="116"/>
      <c r="F360" s="116"/>
      <c r="H360" s="116"/>
      <c r="I360" s="116"/>
      <c r="L360" s="169"/>
    </row>
    <row r="361" spans="1:12" x14ac:dyDescent="0.25">
      <c r="A361" s="169"/>
      <c r="B361" s="116"/>
      <c r="C361" s="116"/>
      <c r="D361" s="116"/>
      <c r="E361" s="116"/>
      <c r="F361" s="116"/>
      <c r="H361" s="116"/>
      <c r="I361" s="116"/>
      <c r="L361" s="169"/>
    </row>
    <row r="362" spans="1:12" x14ac:dyDescent="0.25">
      <c r="A362" s="169"/>
      <c r="B362" s="116"/>
      <c r="C362" s="116"/>
      <c r="D362" s="116"/>
      <c r="E362" s="116"/>
      <c r="F362" s="116"/>
      <c r="H362" s="116"/>
      <c r="I362" s="116"/>
      <c r="L362" s="169"/>
    </row>
    <row r="363" spans="1:12" x14ac:dyDescent="0.25">
      <c r="A363" s="169"/>
      <c r="B363" s="116"/>
      <c r="C363" s="116"/>
      <c r="D363" s="116"/>
      <c r="E363" s="116"/>
      <c r="F363" s="116"/>
      <c r="H363" s="116"/>
      <c r="I363" s="116"/>
      <c r="L363" s="169"/>
    </row>
    <row r="364" spans="1:12" x14ac:dyDescent="0.25">
      <c r="A364" s="169"/>
      <c r="B364" s="116"/>
      <c r="C364" s="116"/>
      <c r="D364" s="116"/>
      <c r="E364" s="116"/>
      <c r="F364" s="116"/>
      <c r="H364" s="116"/>
      <c r="I364" s="116"/>
      <c r="L364" s="169"/>
    </row>
    <row r="365" spans="1:12" x14ac:dyDescent="0.25">
      <c r="A365" s="169"/>
      <c r="B365" s="116"/>
      <c r="C365" s="116"/>
      <c r="D365" s="116"/>
      <c r="E365" s="116"/>
      <c r="F365" s="116"/>
      <c r="H365" s="116"/>
      <c r="I365" s="116"/>
      <c r="L365" s="169"/>
    </row>
    <row r="366" spans="1:12" x14ac:dyDescent="0.25">
      <c r="A366" s="169"/>
      <c r="B366" s="116"/>
      <c r="C366" s="116"/>
      <c r="D366" s="116"/>
      <c r="E366" s="116"/>
      <c r="F366" s="116"/>
      <c r="H366" s="116"/>
      <c r="I366" s="116"/>
      <c r="L366" s="169"/>
    </row>
    <row r="367" spans="1:12" x14ac:dyDescent="0.25">
      <c r="A367" s="169"/>
      <c r="B367" s="116"/>
      <c r="C367" s="116"/>
      <c r="D367" s="116"/>
      <c r="E367" s="116"/>
      <c r="F367" s="116"/>
      <c r="H367" s="116"/>
      <c r="I367" s="116"/>
      <c r="L367" s="169"/>
    </row>
    <row r="368" spans="1:12" x14ac:dyDescent="0.25">
      <c r="A368" s="169"/>
      <c r="B368" s="116"/>
      <c r="C368" s="116"/>
      <c r="D368" s="116"/>
      <c r="E368" s="116"/>
      <c r="F368" s="116"/>
      <c r="H368" s="116"/>
      <c r="I368" s="116"/>
      <c r="L368" s="169"/>
    </row>
    <row r="369" spans="1:12" x14ac:dyDescent="0.25">
      <c r="A369" s="169"/>
      <c r="B369" s="116"/>
      <c r="C369" s="116"/>
      <c r="D369" s="116"/>
      <c r="E369" s="116"/>
      <c r="F369" s="116"/>
      <c r="H369" s="116"/>
      <c r="I369" s="116"/>
      <c r="L369" s="169"/>
    </row>
    <row r="370" spans="1:12" x14ac:dyDescent="0.25">
      <c r="A370" s="169"/>
      <c r="B370" s="116"/>
      <c r="C370" s="116"/>
      <c r="D370" s="116"/>
      <c r="E370" s="116"/>
      <c r="F370" s="116"/>
      <c r="H370" s="116"/>
      <c r="I370" s="116"/>
      <c r="L370" s="169"/>
    </row>
    <row r="371" spans="1:12" x14ac:dyDescent="0.25">
      <c r="A371" s="169"/>
      <c r="B371" s="116"/>
      <c r="C371" s="116"/>
      <c r="D371" s="116"/>
      <c r="E371" s="116"/>
      <c r="F371" s="116"/>
      <c r="H371" s="116"/>
      <c r="I371" s="116"/>
      <c r="L371" s="169"/>
    </row>
    <row r="372" spans="1:12" x14ac:dyDescent="0.25">
      <c r="A372" s="169"/>
      <c r="B372" s="116"/>
      <c r="C372" s="116"/>
      <c r="D372" s="116"/>
      <c r="E372" s="116"/>
      <c r="F372" s="116"/>
      <c r="H372" s="116"/>
      <c r="I372" s="116"/>
      <c r="L372" s="169"/>
    </row>
    <row r="373" spans="1:12" x14ac:dyDescent="0.25">
      <c r="A373" s="169"/>
      <c r="B373" s="116"/>
      <c r="C373" s="116"/>
      <c r="D373" s="116"/>
      <c r="E373" s="116"/>
      <c r="F373" s="116"/>
      <c r="H373" s="116"/>
      <c r="I373" s="116"/>
      <c r="L373" s="169"/>
    </row>
    <row r="374" spans="1:12" x14ac:dyDescent="0.25">
      <c r="A374" s="169"/>
      <c r="B374" s="116"/>
      <c r="C374" s="116"/>
      <c r="D374" s="116"/>
      <c r="E374" s="116"/>
      <c r="F374" s="116"/>
      <c r="H374" s="116"/>
      <c r="I374" s="116"/>
      <c r="L374" s="169"/>
    </row>
    <row r="375" spans="1:12" x14ac:dyDescent="0.25">
      <c r="A375" s="169"/>
      <c r="B375" s="116"/>
      <c r="C375" s="116"/>
      <c r="D375" s="116"/>
      <c r="E375" s="116"/>
      <c r="F375" s="116"/>
      <c r="H375" s="116"/>
      <c r="I375" s="116"/>
      <c r="L375" s="169"/>
    </row>
    <row r="376" spans="1:12" x14ac:dyDescent="0.25">
      <c r="A376" s="169"/>
      <c r="B376" s="116"/>
      <c r="C376" s="116"/>
      <c r="D376" s="116"/>
      <c r="E376" s="116"/>
      <c r="F376" s="116"/>
      <c r="H376" s="116"/>
      <c r="I376" s="116"/>
      <c r="L376" s="169"/>
    </row>
    <row r="377" spans="1:12" x14ac:dyDescent="0.25">
      <c r="A377" s="169"/>
      <c r="B377" s="116"/>
      <c r="C377" s="116"/>
      <c r="D377" s="116"/>
      <c r="E377" s="116"/>
      <c r="F377" s="116"/>
      <c r="H377" s="116"/>
      <c r="I377" s="116"/>
      <c r="L377" s="169"/>
    </row>
    <row r="378" spans="1:12" x14ac:dyDescent="0.25">
      <c r="A378" s="169"/>
      <c r="B378" s="116"/>
      <c r="C378" s="116"/>
      <c r="D378" s="116"/>
      <c r="E378" s="116"/>
      <c r="F378" s="116"/>
      <c r="H378" s="116"/>
      <c r="I378" s="116"/>
      <c r="L378" s="169"/>
    </row>
    <row r="379" spans="1:12" x14ac:dyDescent="0.25">
      <c r="A379" s="169"/>
      <c r="B379" s="116"/>
      <c r="C379" s="116"/>
      <c r="D379" s="116"/>
      <c r="E379" s="116"/>
      <c r="F379" s="116"/>
      <c r="H379" s="116"/>
      <c r="I379" s="116"/>
      <c r="L379" s="169"/>
    </row>
    <row r="380" spans="1:12" x14ac:dyDescent="0.25">
      <c r="A380" s="169"/>
      <c r="B380" s="116"/>
      <c r="C380" s="116"/>
      <c r="D380" s="116"/>
      <c r="E380" s="116"/>
      <c r="F380" s="116"/>
      <c r="H380" s="116"/>
      <c r="I380" s="116"/>
      <c r="L380" s="169"/>
    </row>
    <row r="381" spans="1:12" x14ac:dyDescent="0.25">
      <c r="A381" s="169"/>
      <c r="B381" s="116"/>
      <c r="C381" s="116"/>
      <c r="D381" s="116"/>
      <c r="E381" s="116"/>
      <c r="F381" s="116"/>
      <c r="H381" s="116"/>
      <c r="I381" s="116"/>
      <c r="L381" s="169"/>
    </row>
    <row r="382" spans="1:12" x14ac:dyDescent="0.25">
      <c r="A382" s="169"/>
      <c r="B382" s="116"/>
      <c r="C382" s="116"/>
      <c r="D382" s="116"/>
      <c r="E382" s="116"/>
      <c r="F382" s="116"/>
      <c r="H382" s="116"/>
      <c r="I382" s="116"/>
      <c r="L382" s="169"/>
    </row>
    <row r="383" spans="1:12" x14ac:dyDescent="0.25">
      <c r="A383" s="169"/>
      <c r="B383" s="116"/>
      <c r="C383" s="116"/>
      <c r="D383" s="116"/>
      <c r="E383" s="116"/>
      <c r="F383" s="116"/>
      <c r="H383" s="116"/>
      <c r="I383" s="116"/>
      <c r="L383" s="169"/>
    </row>
    <row r="384" spans="1:12" x14ac:dyDescent="0.25">
      <c r="A384" s="169"/>
      <c r="B384" s="116"/>
      <c r="C384" s="116"/>
      <c r="D384" s="116"/>
      <c r="E384" s="116"/>
      <c r="F384" s="116"/>
      <c r="H384" s="116"/>
      <c r="I384" s="116"/>
      <c r="L384" s="169"/>
    </row>
    <row r="385" spans="1:18" x14ac:dyDescent="0.25">
      <c r="A385" s="169"/>
      <c r="B385" s="116"/>
      <c r="C385" s="116"/>
      <c r="D385" s="116"/>
      <c r="E385" s="116"/>
      <c r="F385" s="116"/>
      <c r="H385" s="116"/>
      <c r="I385" s="116"/>
      <c r="L385" s="169"/>
    </row>
    <row r="386" spans="1:18" x14ac:dyDescent="0.25">
      <c r="A386" s="169"/>
      <c r="B386" s="116"/>
      <c r="C386" s="116"/>
      <c r="D386" s="116"/>
      <c r="E386" s="116"/>
      <c r="F386" s="116"/>
      <c r="H386" s="116"/>
      <c r="I386" s="116"/>
      <c r="L386" s="169"/>
    </row>
    <row r="387" spans="1:18" x14ac:dyDescent="0.25">
      <c r="A387" s="169"/>
      <c r="B387" s="116"/>
      <c r="C387" s="116"/>
      <c r="D387" s="116"/>
      <c r="E387" s="116"/>
      <c r="F387" s="116"/>
      <c r="H387" s="116"/>
      <c r="I387" s="116"/>
      <c r="L387" s="169"/>
    </row>
    <row r="388" spans="1:18" x14ac:dyDescent="0.25">
      <c r="A388" s="169"/>
      <c r="B388" s="116"/>
      <c r="C388" s="116"/>
      <c r="D388" s="116"/>
      <c r="E388" s="116"/>
      <c r="F388" s="116"/>
      <c r="H388" s="116"/>
      <c r="I388" s="116"/>
      <c r="L388" s="169"/>
    </row>
    <row r="389" spans="1:18" x14ac:dyDescent="0.25">
      <c r="A389" s="169"/>
      <c r="B389" s="116"/>
      <c r="C389" s="116"/>
      <c r="D389" s="116"/>
      <c r="E389" s="116"/>
      <c r="F389" s="116"/>
      <c r="H389" s="116"/>
      <c r="I389" s="116"/>
      <c r="L389" s="169"/>
    </row>
    <row r="390" spans="1:18" x14ac:dyDescent="0.25">
      <c r="A390" s="169"/>
      <c r="B390" s="116"/>
      <c r="C390" s="116"/>
      <c r="D390" s="116"/>
      <c r="E390" s="116"/>
      <c r="F390" s="116"/>
      <c r="H390" s="116"/>
      <c r="I390" s="116"/>
      <c r="L390" s="169"/>
    </row>
    <row r="391" spans="1:18" x14ac:dyDescent="0.25">
      <c r="A391" s="169"/>
      <c r="B391" s="116"/>
      <c r="C391" s="116"/>
      <c r="D391" s="116"/>
      <c r="E391" s="116"/>
      <c r="F391" s="116"/>
      <c r="H391" s="116"/>
      <c r="I391" s="116"/>
      <c r="L391" s="169"/>
    </row>
    <row r="392" spans="1:18" x14ac:dyDescent="0.25">
      <c r="A392" s="169"/>
      <c r="B392" s="116"/>
      <c r="C392" s="116"/>
      <c r="D392" s="116"/>
      <c r="E392" s="116"/>
      <c r="F392" s="116"/>
      <c r="H392" s="116"/>
      <c r="I392" s="116"/>
      <c r="L392" s="169"/>
    </row>
    <row r="393" spans="1:18" x14ac:dyDescent="0.25">
      <c r="A393" s="169"/>
      <c r="B393" s="116"/>
      <c r="C393" s="116"/>
      <c r="D393" s="116"/>
      <c r="E393" s="116"/>
      <c r="F393" s="116"/>
      <c r="H393" s="116"/>
      <c r="I393" s="116"/>
      <c r="L393" s="169"/>
    </row>
    <row r="394" spans="1:18" x14ac:dyDescent="0.25">
      <c r="A394" s="169"/>
      <c r="B394" s="116"/>
      <c r="C394" s="116"/>
      <c r="D394" s="116"/>
      <c r="E394" s="116"/>
      <c r="F394" s="116"/>
      <c r="H394" s="116"/>
      <c r="I394" s="116"/>
      <c r="L394" s="169"/>
    </row>
    <row r="395" spans="1:18" x14ac:dyDescent="0.25">
      <c r="A395" s="169"/>
      <c r="B395" s="116"/>
      <c r="C395" s="116"/>
      <c r="D395" s="116"/>
      <c r="E395" s="116"/>
      <c r="F395" s="116"/>
      <c r="H395" s="116"/>
      <c r="I395" s="116"/>
      <c r="L395" s="169"/>
    </row>
    <row r="396" spans="1:18" x14ac:dyDescent="0.25">
      <c r="A396" s="169"/>
      <c r="B396" s="116"/>
      <c r="C396" s="116"/>
      <c r="D396" s="116"/>
      <c r="E396" s="116"/>
      <c r="F396" s="116"/>
      <c r="H396" s="116"/>
      <c r="I396" s="116"/>
      <c r="L396" s="169"/>
    </row>
    <row r="397" spans="1:18" x14ac:dyDescent="0.25">
      <c r="A397" s="169"/>
      <c r="B397" s="116"/>
      <c r="C397" s="116"/>
      <c r="D397" s="116"/>
      <c r="E397" s="116"/>
      <c r="F397" s="116"/>
      <c r="H397" s="116"/>
      <c r="I397" s="116"/>
      <c r="L397" s="169"/>
    </row>
    <row r="398" spans="1:18" x14ac:dyDescent="0.25">
      <c r="A398" s="169"/>
      <c r="B398" s="116"/>
      <c r="C398" s="116"/>
      <c r="D398" s="116"/>
      <c r="E398" s="116"/>
      <c r="F398" s="116"/>
      <c r="H398" s="116"/>
      <c r="I398" s="116"/>
      <c r="L398" s="169"/>
    </row>
    <row r="399" spans="1:18" x14ac:dyDescent="0.25">
      <c r="A399" s="169"/>
      <c r="B399" s="116"/>
      <c r="C399" s="116"/>
      <c r="D399" s="116"/>
      <c r="E399" s="116"/>
      <c r="F399" s="116"/>
      <c r="H399" s="116"/>
      <c r="I399" s="116"/>
      <c r="L399" s="169"/>
    </row>
    <row r="400" spans="1:18" x14ac:dyDescent="0.25">
      <c r="A400" s="169">
        <v>42590</v>
      </c>
      <c r="B400" s="116">
        <v>290</v>
      </c>
      <c r="C400" s="116">
        <v>287.57</v>
      </c>
      <c r="D400" s="116">
        <v>284.28000000000003</v>
      </c>
      <c r="E400" s="116">
        <v>286</v>
      </c>
      <c r="F400" s="116">
        <v>1437.85</v>
      </c>
      <c r="G400">
        <v>4853</v>
      </c>
      <c r="H400" s="116"/>
      <c r="I400" s="116"/>
      <c r="L400" s="169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69">
        <v>42591</v>
      </c>
      <c r="B401" s="116">
        <v>288.39</v>
      </c>
      <c r="C401" s="116">
        <v>286.7</v>
      </c>
      <c r="D401" s="116">
        <v>281</v>
      </c>
      <c r="E401" s="116">
        <v>287.2</v>
      </c>
      <c r="F401" s="116">
        <v>1433.5</v>
      </c>
      <c r="G401">
        <v>5028</v>
      </c>
      <c r="H401" s="116"/>
      <c r="I401" s="116"/>
      <c r="L401" s="169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69">
        <v>42592</v>
      </c>
      <c r="B402" s="116">
        <v>287.68</v>
      </c>
      <c r="C402" s="116">
        <v>279.81</v>
      </c>
      <c r="D402" s="116">
        <v>274.39999999999998</v>
      </c>
      <c r="E402" s="116">
        <v>287.68</v>
      </c>
      <c r="F402" s="116">
        <v>1399.05</v>
      </c>
      <c r="G402">
        <v>3976</v>
      </c>
      <c r="H402" s="116"/>
      <c r="I402" s="116"/>
      <c r="L402" s="169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69">
        <v>42593</v>
      </c>
      <c r="B403" s="116">
        <v>283.93</v>
      </c>
      <c r="C403" s="116">
        <v>279.94</v>
      </c>
      <c r="D403" s="116">
        <v>276.63</v>
      </c>
      <c r="E403" s="116">
        <v>279.31</v>
      </c>
      <c r="F403" s="116">
        <v>1399.7</v>
      </c>
      <c r="G403">
        <v>2580</v>
      </c>
      <c r="H403" s="116"/>
      <c r="I403" s="116"/>
      <c r="L403" s="169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69">
        <v>42594</v>
      </c>
      <c r="B404" s="116">
        <v>289.25</v>
      </c>
      <c r="C404" s="116">
        <v>284.39</v>
      </c>
      <c r="D404" s="116">
        <v>280.66999999999996</v>
      </c>
      <c r="E404" s="116">
        <v>282.29000000000002</v>
      </c>
      <c r="F404" s="116">
        <v>1421.95</v>
      </c>
      <c r="G404">
        <v>9160</v>
      </c>
      <c r="H404" s="116"/>
      <c r="I404" s="116"/>
      <c r="L404" s="169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69">
        <v>42598</v>
      </c>
      <c r="B405" s="116">
        <v>288.89999999999998</v>
      </c>
      <c r="C405" s="116">
        <v>287.75</v>
      </c>
      <c r="D405" s="116">
        <v>285.39999999999998</v>
      </c>
      <c r="E405" s="116">
        <v>288.89999999999998</v>
      </c>
      <c r="F405" s="116">
        <v>1438.75</v>
      </c>
      <c r="G405">
        <v>2277</v>
      </c>
      <c r="H405" s="116"/>
      <c r="I405" s="116"/>
      <c r="L405" s="169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69">
        <v>42599</v>
      </c>
      <c r="B406" s="116">
        <v>289</v>
      </c>
      <c r="C406" s="116">
        <v>285.73</v>
      </c>
      <c r="D406" s="116">
        <v>283.7</v>
      </c>
      <c r="E406" s="116">
        <v>289</v>
      </c>
      <c r="F406" s="116">
        <v>1428.65</v>
      </c>
      <c r="G406">
        <v>3430</v>
      </c>
      <c r="H406" s="116"/>
      <c r="I406" s="116"/>
      <c r="L406" s="169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69">
        <v>42600</v>
      </c>
      <c r="B407" s="116">
        <v>288.82</v>
      </c>
      <c r="C407" s="116">
        <v>287.49</v>
      </c>
      <c r="D407" s="116">
        <v>285.2</v>
      </c>
      <c r="E407" s="116">
        <v>287.99</v>
      </c>
      <c r="F407" s="116">
        <v>1437.45</v>
      </c>
      <c r="G407">
        <v>1503</v>
      </c>
      <c r="H407" s="116"/>
      <c r="I407" s="116"/>
      <c r="L407" s="169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69">
        <v>42601</v>
      </c>
      <c r="B408" s="116">
        <v>287.75</v>
      </c>
      <c r="C408" s="116">
        <v>284.96999999999997</v>
      </c>
      <c r="D408" s="116">
        <v>283.39999999999998</v>
      </c>
      <c r="E408" s="116">
        <v>287.60000000000002</v>
      </c>
      <c r="F408" s="116">
        <v>1424.85</v>
      </c>
      <c r="G408">
        <v>4830</v>
      </c>
      <c r="H408" s="116"/>
      <c r="I408" s="116"/>
      <c r="L408" s="169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69">
        <v>42604</v>
      </c>
      <c r="B409" s="116">
        <v>288.93</v>
      </c>
      <c r="C409" s="116">
        <v>286.21999999999997</v>
      </c>
      <c r="D409" s="116">
        <v>281.49</v>
      </c>
      <c r="E409" s="116">
        <v>286</v>
      </c>
      <c r="F409" s="116">
        <v>1431.1</v>
      </c>
      <c r="G409">
        <v>1416</v>
      </c>
      <c r="H409" s="116"/>
      <c r="I409" s="116"/>
      <c r="L409" s="169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69">
        <v>42605</v>
      </c>
      <c r="B410" s="116">
        <v>299.95</v>
      </c>
      <c r="C410" s="116">
        <v>288.12</v>
      </c>
      <c r="D410" s="116">
        <v>284.39999999999998</v>
      </c>
      <c r="E410" s="116">
        <v>286.7</v>
      </c>
      <c r="F410" s="116">
        <v>1440.6</v>
      </c>
      <c r="G410">
        <v>9960</v>
      </c>
      <c r="H410" s="116"/>
      <c r="I410" s="116"/>
      <c r="L410" s="169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69">
        <v>42606</v>
      </c>
      <c r="B411" s="116">
        <v>298</v>
      </c>
      <c r="C411" s="116">
        <v>291.86</v>
      </c>
      <c r="D411" s="116">
        <v>288.81</v>
      </c>
      <c r="E411" s="116">
        <v>290</v>
      </c>
      <c r="F411" s="116">
        <v>1459.3</v>
      </c>
      <c r="G411">
        <v>13142</v>
      </c>
      <c r="H411" s="116"/>
      <c r="I411" s="116"/>
      <c r="L411" s="169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69">
        <v>42607</v>
      </c>
      <c r="B412" s="116">
        <v>299.8</v>
      </c>
      <c r="C412" s="116">
        <v>297.15999999999997</v>
      </c>
      <c r="D412" s="116">
        <v>293.48</v>
      </c>
      <c r="E412" s="116">
        <v>295.79000000000002</v>
      </c>
      <c r="F412" s="116">
        <v>1485.8</v>
      </c>
      <c r="G412">
        <v>8218</v>
      </c>
      <c r="H412" s="116"/>
      <c r="I412" s="116"/>
      <c r="L412" s="169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69">
        <v>42608</v>
      </c>
      <c r="B413" s="116">
        <v>301.91999999999996</v>
      </c>
      <c r="C413" s="116">
        <v>296.39999999999998</v>
      </c>
      <c r="D413" s="116">
        <v>293.60000000000002</v>
      </c>
      <c r="E413" s="116">
        <v>299.36</v>
      </c>
      <c r="F413" s="116">
        <v>1482</v>
      </c>
      <c r="G413">
        <v>5360</v>
      </c>
      <c r="H413" s="116"/>
      <c r="I413" s="116"/>
      <c r="L413" s="169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69">
        <v>42611</v>
      </c>
      <c r="B414" s="116">
        <v>300</v>
      </c>
      <c r="C414" s="116">
        <v>299.14999999999998</v>
      </c>
      <c r="D414" s="116">
        <v>287</v>
      </c>
      <c r="E414" s="116">
        <v>296.8</v>
      </c>
      <c r="F414" s="116">
        <v>1495.75</v>
      </c>
      <c r="G414">
        <v>5477</v>
      </c>
      <c r="H414" s="116"/>
      <c r="I414" s="116"/>
      <c r="L414" s="169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69">
        <v>42612</v>
      </c>
      <c r="B415" s="116">
        <v>300.45</v>
      </c>
      <c r="C415" s="116">
        <v>299.28000000000003</v>
      </c>
      <c r="D415" s="116">
        <v>296.61</v>
      </c>
      <c r="E415" s="116">
        <v>300.34000000000003</v>
      </c>
      <c r="F415" s="116">
        <v>1496.4</v>
      </c>
      <c r="G415">
        <v>2601</v>
      </c>
      <c r="H415" s="116"/>
      <c r="I415" s="116"/>
      <c r="L415" s="169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69">
        <v>42613</v>
      </c>
      <c r="B416" s="116">
        <v>301</v>
      </c>
      <c r="C416" s="116">
        <v>298.2</v>
      </c>
      <c r="D416" s="116">
        <v>296.8</v>
      </c>
      <c r="E416" s="116">
        <v>300.8</v>
      </c>
      <c r="F416" s="116">
        <v>1491</v>
      </c>
      <c r="G416">
        <v>4696</v>
      </c>
      <c r="H416" s="116"/>
      <c r="I416" s="116"/>
      <c r="L416" s="169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69">
        <v>42614</v>
      </c>
      <c r="B417" s="116">
        <v>304</v>
      </c>
      <c r="C417" s="116">
        <v>301.60000000000002</v>
      </c>
      <c r="D417" s="116">
        <v>298.2</v>
      </c>
      <c r="E417" s="116">
        <v>298.2</v>
      </c>
      <c r="F417" s="116">
        <v>1508</v>
      </c>
      <c r="G417">
        <v>18628</v>
      </c>
      <c r="H417" s="116"/>
      <c r="I417" s="116"/>
      <c r="L417" s="169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69">
        <v>42615</v>
      </c>
      <c r="B418" s="116">
        <v>308.88</v>
      </c>
      <c r="C418" s="116">
        <v>307.64999999999998</v>
      </c>
      <c r="D418" s="116">
        <v>302.01</v>
      </c>
      <c r="E418" s="116">
        <v>302.99</v>
      </c>
      <c r="F418" s="116">
        <v>1538.25</v>
      </c>
      <c r="G418">
        <v>6655</v>
      </c>
      <c r="H418" s="116"/>
      <c r="I418" s="116"/>
      <c r="L418" s="169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69">
        <v>42619</v>
      </c>
      <c r="B419" s="116">
        <v>357.27</v>
      </c>
      <c r="C419" s="116">
        <v>332.99</v>
      </c>
      <c r="D419" s="116">
        <v>307.60000000000002</v>
      </c>
      <c r="E419" s="116">
        <v>307.60000000000002</v>
      </c>
      <c r="F419" s="116">
        <v>1664.95</v>
      </c>
      <c r="G419">
        <v>51024</v>
      </c>
      <c r="H419" s="116"/>
      <c r="I419" s="116"/>
      <c r="L419" s="169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69">
        <v>42620</v>
      </c>
      <c r="B420" s="116">
        <v>335.96</v>
      </c>
      <c r="C420" s="116">
        <v>329.66999999999996</v>
      </c>
      <c r="D420" s="116">
        <v>322</v>
      </c>
      <c r="E420" s="116">
        <v>335.96</v>
      </c>
      <c r="F420" s="116">
        <v>1648.35</v>
      </c>
      <c r="G420">
        <v>14191</v>
      </c>
      <c r="H420" s="116"/>
      <c r="I420" s="116"/>
      <c r="L420" s="169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69">
        <v>42621</v>
      </c>
      <c r="B421" s="116">
        <v>340</v>
      </c>
      <c r="C421" s="116">
        <v>333.27</v>
      </c>
      <c r="D421" s="116">
        <v>329.49</v>
      </c>
      <c r="E421" s="116">
        <v>330.23</v>
      </c>
      <c r="F421" s="116">
        <v>1666.35</v>
      </c>
      <c r="G421">
        <v>9552</v>
      </c>
      <c r="H421" s="116"/>
      <c r="I421" s="116"/>
      <c r="L421" s="169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69">
        <v>42622</v>
      </c>
      <c r="B422" s="116">
        <v>339.37</v>
      </c>
      <c r="C422" s="116">
        <v>330.76</v>
      </c>
      <c r="D422" s="116">
        <v>329</v>
      </c>
      <c r="E422" s="116">
        <v>333.77</v>
      </c>
      <c r="F422" s="116">
        <v>1653.8</v>
      </c>
      <c r="G422">
        <v>7020</v>
      </c>
      <c r="H422" s="116"/>
      <c r="I422" s="116"/>
      <c r="L422" s="169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69">
        <v>42625</v>
      </c>
      <c r="B423" s="116">
        <v>334.77</v>
      </c>
      <c r="C423" s="116">
        <v>331.13</v>
      </c>
      <c r="D423" s="116">
        <v>318.66999999999996</v>
      </c>
      <c r="E423" s="116">
        <v>326</v>
      </c>
      <c r="F423" s="116">
        <v>1655.65</v>
      </c>
      <c r="G423">
        <v>5128</v>
      </c>
      <c r="H423" s="116"/>
      <c r="I423" s="116"/>
      <c r="L423" s="169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69">
        <v>42627</v>
      </c>
      <c r="B424" s="116">
        <v>334.18</v>
      </c>
      <c r="C424" s="116">
        <v>331.85</v>
      </c>
      <c r="D424" s="116">
        <v>325</v>
      </c>
      <c r="E424" s="116">
        <v>332</v>
      </c>
      <c r="F424" s="116">
        <v>1659.25</v>
      </c>
      <c r="G424">
        <v>8478</v>
      </c>
      <c r="H424" s="116"/>
      <c r="I424" s="116"/>
      <c r="L424" s="169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69">
        <v>42628</v>
      </c>
      <c r="B425" s="116">
        <v>336.1</v>
      </c>
      <c r="C425" s="116">
        <v>332.53000000000003</v>
      </c>
      <c r="D425" s="116">
        <v>330.21</v>
      </c>
      <c r="E425" s="116">
        <v>334</v>
      </c>
      <c r="F425" s="116">
        <v>1662.65</v>
      </c>
      <c r="G425">
        <v>3602</v>
      </c>
      <c r="H425" s="116"/>
      <c r="I425" s="116"/>
      <c r="L425" s="169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69">
        <v>42629</v>
      </c>
      <c r="B426" s="116">
        <v>339.96</v>
      </c>
      <c r="C426" s="116">
        <v>334.26</v>
      </c>
      <c r="D426" s="116">
        <v>330.13</v>
      </c>
      <c r="E426" s="116">
        <v>337.6</v>
      </c>
      <c r="F426" s="116">
        <v>1671.3</v>
      </c>
      <c r="G426">
        <v>4997</v>
      </c>
      <c r="H426" s="116"/>
      <c r="I426" s="116"/>
      <c r="L426" s="169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69">
        <v>42632</v>
      </c>
      <c r="B427" s="116">
        <v>338.8</v>
      </c>
      <c r="C427" s="116">
        <v>329.87</v>
      </c>
      <c r="D427" s="116">
        <v>327.20999999999998</v>
      </c>
      <c r="E427" s="116">
        <v>330.2</v>
      </c>
      <c r="F427" s="116">
        <v>1649.35</v>
      </c>
      <c r="G427">
        <v>4912</v>
      </c>
      <c r="H427" s="116"/>
      <c r="I427" s="116"/>
      <c r="L427" s="169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69">
        <v>42633</v>
      </c>
      <c r="B428" s="116">
        <v>334</v>
      </c>
      <c r="C428" s="116">
        <v>326.03000000000003</v>
      </c>
      <c r="D428" s="116">
        <v>325</v>
      </c>
      <c r="E428" s="116">
        <v>331.96999999999997</v>
      </c>
      <c r="F428" s="116">
        <v>1630.15</v>
      </c>
      <c r="G428">
        <v>10425</v>
      </c>
      <c r="H428" s="116"/>
      <c r="I428" s="116"/>
      <c r="L428" s="169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69">
        <v>42634</v>
      </c>
      <c r="B429" s="116">
        <v>329.8</v>
      </c>
      <c r="C429" s="116">
        <v>327.49</v>
      </c>
      <c r="D429" s="116">
        <v>325.10000000000002</v>
      </c>
      <c r="E429" s="116">
        <v>327.19</v>
      </c>
      <c r="F429" s="116">
        <v>1637.45</v>
      </c>
      <c r="G429">
        <v>4799</v>
      </c>
      <c r="H429" s="116"/>
      <c r="I429" s="116"/>
      <c r="L429" s="169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69">
        <v>42635</v>
      </c>
      <c r="B430" s="116">
        <v>336</v>
      </c>
      <c r="C430" s="116">
        <v>331.27</v>
      </c>
      <c r="D430" s="116">
        <v>328.68</v>
      </c>
      <c r="E430" s="116">
        <v>329.96999999999997</v>
      </c>
      <c r="F430" s="116">
        <v>1656.35</v>
      </c>
      <c r="G430">
        <v>3697</v>
      </c>
      <c r="H430" s="116"/>
      <c r="I430" s="116"/>
      <c r="L430" s="169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69">
        <v>42636</v>
      </c>
      <c r="B431" s="116">
        <v>336.2</v>
      </c>
      <c r="C431" s="116">
        <v>333.51</v>
      </c>
      <c r="D431" s="116">
        <v>330.4</v>
      </c>
      <c r="E431" s="116">
        <v>330.4</v>
      </c>
      <c r="F431" s="116">
        <v>1667.55</v>
      </c>
      <c r="G431">
        <v>5807</v>
      </c>
      <c r="H431" s="116"/>
      <c r="I431" s="116"/>
      <c r="L431" s="169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69">
        <v>42639</v>
      </c>
      <c r="B432" s="116">
        <v>332.15</v>
      </c>
      <c r="C432" s="116">
        <v>328.65999999999997</v>
      </c>
      <c r="D432" s="116">
        <v>323.8</v>
      </c>
      <c r="E432" s="116">
        <v>331.21</v>
      </c>
      <c r="F432" s="116">
        <v>1643.3</v>
      </c>
      <c r="G432">
        <v>3389</v>
      </c>
      <c r="H432" s="116"/>
      <c r="I432" s="116"/>
      <c r="L432" s="169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69">
        <v>42640</v>
      </c>
      <c r="B433" s="116">
        <v>330.71</v>
      </c>
      <c r="C433" s="116">
        <v>327.52</v>
      </c>
      <c r="D433" s="116">
        <v>324.8</v>
      </c>
      <c r="E433" s="116">
        <v>330.71</v>
      </c>
      <c r="F433" s="116">
        <v>1637.6</v>
      </c>
      <c r="G433">
        <v>2604</v>
      </c>
      <c r="H433" s="116"/>
      <c r="I433" s="116"/>
      <c r="L433" s="169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69">
        <v>42641</v>
      </c>
      <c r="B434" s="116">
        <v>330</v>
      </c>
      <c r="C434" s="116">
        <v>329</v>
      </c>
      <c r="D434" s="116">
        <v>327.85</v>
      </c>
      <c r="E434" s="116">
        <v>328.99</v>
      </c>
      <c r="F434" s="116">
        <v>1645</v>
      </c>
      <c r="G434">
        <v>1718</v>
      </c>
      <c r="H434" s="116"/>
      <c r="I434" s="116"/>
      <c r="L434" s="169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69">
        <v>42642</v>
      </c>
      <c r="B435" s="116">
        <v>339.8</v>
      </c>
      <c r="C435" s="116">
        <v>325.34000000000003</v>
      </c>
      <c r="D435" s="116">
        <v>319.10000000000002</v>
      </c>
      <c r="E435" s="116">
        <v>331</v>
      </c>
      <c r="F435" s="116">
        <v>1626.7</v>
      </c>
      <c r="G435">
        <v>9128</v>
      </c>
      <c r="H435" s="116"/>
      <c r="I435" s="116"/>
      <c r="L435" s="169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69">
        <v>42643</v>
      </c>
      <c r="B436" s="116">
        <v>330</v>
      </c>
      <c r="C436" s="116">
        <v>326.87</v>
      </c>
      <c r="D436" s="116">
        <v>320.60000000000002</v>
      </c>
      <c r="E436" s="116">
        <v>327</v>
      </c>
      <c r="F436" s="116">
        <v>1634.35</v>
      </c>
      <c r="G436">
        <v>6240</v>
      </c>
      <c r="H436" s="116"/>
      <c r="I436" s="116"/>
      <c r="L436" s="169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69">
        <v>42646</v>
      </c>
      <c r="B437" s="116">
        <v>338.88</v>
      </c>
      <c r="C437" s="116">
        <v>336.26</v>
      </c>
      <c r="D437" s="116">
        <v>328</v>
      </c>
      <c r="E437" s="116">
        <v>330.96</v>
      </c>
      <c r="F437" s="116">
        <v>1681.3</v>
      </c>
      <c r="G437">
        <v>6776</v>
      </c>
      <c r="H437" s="116"/>
      <c r="I437" s="116"/>
      <c r="L437" s="169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69">
        <v>42647</v>
      </c>
      <c r="B438" s="116">
        <v>347.2</v>
      </c>
      <c r="C438" s="116">
        <v>345.24</v>
      </c>
      <c r="D438" s="116">
        <v>338.01</v>
      </c>
      <c r="E438" s="116">
        <v>339.8</v>
      </c>
      <c r="F438" s="116">
        <v>1726.2</v>
      </c>
      <c r="G438">
        <v>6579</v>
      </c>
      <c r="H438" s="116"/>
      <c r="I438" s="116"/>
      <c r="L438" s="169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69">
        <v>42648</v>
      </c>
      <c r="B439" s="116">
        <v>351.52</v>
      </c>
      <c r="C439" s="116">
        <v>346.45</v>
      </c>
      <c r="D439" s="116">
        <v>342</v>
      </c>
      <c r="E439" s="116">
        <v>349.59000000000003</v>
      </c>
      <c r="F439" s="116">
        <v>1732.25</v>
      </c>
      <c r="G439">
        <v>13502</v>
      </c>
      <c r="H439" s="116"/>
      <c r="I439" s="116"/>
      <c r="L439" s="169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69">
        <v>42649</v>
      </c>
      <c r="B440" s="116">
        <v>348.4</v>
      </c>
      <c r="C440" s="116">
        <v>345.41999999999996</v>
      </c>
      <c r="D440" s="116">
        <v>342</v>
      </c>
      <c r="E440" s="116">
        <v>347.36</v>
      </c>
      <c r="F440" s="116">
        <v>1727.1</v>
      </c>
      <c r="G440">
        <v>7934</v>
      </c>
      <c r="H440" s="116"/>
      <c r="I440" s="116"/>
      <c r="L440" s="169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69">
        <v>42650</v>
      </c>
      <c r="B441" s="116">
        <v>349</v>
      </c>
      <c r="C441" s="116">
        <v>348.18</v>
      </c>
      <c r="D441" s="116">
        <v>340.6</v>
      </c>
      <c r="E441" s="116">
        <v>347</v>
      </c>
      <c r="F441" s="116">
        <v>1740.9</v>
      </c>
      <c r="G441">
        <v>3362</v>
      </c>
      <c r="H441" s="116"/>
      <c r="I441" s="116"/>
      <c r="L441" s="169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69">
        <v>42653</v>
      </c>
      <c r="B442" s="116">
        <v>351.33000000000004</v>
      </c>
      <c r="C442" s="116">
        <v>349.94</v>
      </c>
      <c r="D442" s="116">
        <v>347</v>
      </c>
      <c r="E442" s="116">
        <v>349.45</v>
      </c>
      <c r="F442" s="116">
        <v>1749.7</v>
      </c>
      <c r="G442">
        <v>3424</v>
      </c>
      <c r="H442" s="116"/>
      <c r="I442" s="116"/>
      <c r="L442" s="169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69">
        <v>42656</v>
      </c>
      <c r="B443" s="116">
        <v>351.6</v>
      </c>
      <c r="C443" s="116">
        <v>347.78000000000003</v>
      </c>
      <c r="D443" s="116">
        <v>340.73</v>
      </c>
      <c r="E443" s="116">
        <v>350.48</v>
      </c>
      <c r="F443" s="116">
        <v>1738.9</v>
      </c>
      <c r="G443">
        <v>4169</v>
      </c>
      <c r="H443" s="116"/>
      <c r="I443" s="116"/>
      <c r="L443" s="169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69">
        <v>42657</v>
      </c>
      <c r="B444" s="116">
        <v>372.84000000000003</v>
      </c>
      <c r="C444" s="116">
        <v>365.29</v>
      </c>
      <c r="D444" s="116">
        <v>349.21999999999997</v>
      </c>
      <c r="E444" s="116">
        <v>350</v>
      </c>
      <c r="F444" s="116">
        <v>1826.45</v>
      </c>
      <c r="G444">
        <v>18532</v>
      </c>
      <c r="H444" s="116"/>
      <c r="I444" s="116"/>
      <c r="L444" s="169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69">
        <v>42660</v>
      </c>
      <c r="B445" s="116">
        <v>375.8</v>
      </c>
      <c r="C445" s="116">
        <v>369.39</v>
      </c>
      <c r="D445" s="116">
        <v>367.6</v>
      </c>
      <c r="E445" s="116">
        <v>368</v>
      </c>
      <c r="F445" s="116">
        <v>1846.95</v>
      </c>
      <c r="G445">
        <v>13695</v>
      </c>
      <c r="H445" s="116"/>
      <c r="I445" s="116"/>
      <c r="L445" s="169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69">
        <v>42661</v>
      </c>
      <c r="B446" s="116">
        <v>377.4</v>
      </c>
      <c r="C446" s="116">
        <v>365.12</v>
      </c>
      <c r="D446" s="116">
        <v>352.3</v>
      </c>
      <c r="E446" s="116">
        <v>373.4</v>
      </c>
      <c r="F446" s="116">
        <v>1825.6</v>
      </c>
      <c r="G446">
        <v>58790</v>
      </c>
      <c r="H446" s="116"/>
      <c r="I446" s="116"/>
      <c r="L446" s="169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69">
        <v>42662</v>
      </c>
      <c r="B447" s="116">
        <v>370.6</v>
      </c>
      <c r="C447" s="116">
        <v>365.27</v>
      </c>
      <c r="D447" s="116">
        <v>361.01</v>
      </c>
      <c r="E447" s="116">
        <v>369.96</v>
      </c>
      <c r="F447" s="116">
        <v>1826.35</v>
      </c>
      <c r="G447">
        <v>17902</v>
      </c>
      <c r="H447" s="116"/>
      <c r="I447" s="116"/>
      <c r="L447" s="169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69">
        <v>42663</v>
      </c>
      <c r="B448" s="116">
        <v>368.6</v>
      </c>
      <c r="C448" s="116">
        <v>366.88</v>
      </c>
      <c r="D448" s="116">
        <v>363</v>
      </c>
      <c r="E448" s="116">
        <v>367.23</v>
      </c>
      <c r="F448" s="116">
        <v>1834.4</v>
      </c>
      <c r="G448">
        <v>5729</v>
      </c>
      <c r="H448" s="116"/>
      <c r="I448" s="116"/>
      <c r="L448" s="169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69">
        <v>42664</v>
      </c>
      <c r="B449" s="116">
        <v>368</v>
      </c>
      <c r="C449" s="116">
        <v>366.06</v>
      </c>
      <c r="D449" s="116">
        <v>362.2</v>
      </c>
      <c r="E449" s="116">
        <v>367</v>
      </c>
      <c r="F449" s="116">
        <v>1830.3</v>
      </c>
      <c r="G449">
        <v>4455</v>
      </c>
      <c r="H449" s="116"/>
      <c r="I449" s="116"/>
      <c r="L449" s="169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69">
        <v>42667</v>
      </c>
      <c r="B450" s="116">
        <v>370.6</v>
      </c>
      <c r="C450" s="116">
        <v>369.21999999999997</v>
      </c>
      <c r="D450" s="116">
        <v>363</v>
      </c>
      <c r="E450" s="116">
        <v>366.2</v>
      </c>
      <c r="F450" s="116">
        <v>1846.1</v>
      </c>
      <c r="G450">
        <v>8434</v>
      </c>
      <c r="H450" s="116"/>
      <c r="I450" s="116"/>
      <c r="L450" s="169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69">
        <v>42668</v>
      </c>
      <c r="B451" s="116">
        <v>370</v>
      </c>
      <c r="C451" s="116">
        <v>367.8</v>
      </c>
      <c r="D451" s="116">
        <v>364</v>
      </c>
      <c r="E451" s="116">
        <v>369.28000000000003</v>
      </c>
      <c r="F451" s="116">
        <v>1839</v>
      </c>
      <c r="G451">
        <v>4996</v>
      </c>
      <c r="H451" s="116"/>
      <c r="I451" s="116"/>
      <c r="L451" s="169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69">
        <v>42669</v>
      </c>
      <c r="B452" s="116">
        <v>368.98</v>
      </c>
      <c r="C452" s="116">
        <v>363.75</v>
      </c>
      <c r="D452" s="116">
        <v>362</v>
      </c>
      <c r="E452" s="116">
        <v>368.98</v>
      </c>
      <c r="F452" s="116">
        <v>1818.75</v>
      </c>
      <c r="G452">
        <v>4134</v>
      </c>
      <c r="H452" s="116"/>
      <c r="I452" s="116"/>
      <c r="L452" s="169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69">
        <v>42670</v>
      </c>
      <c r="B453" s="116">
        <v>366.79</v>
      </c>
      <c r="C453" s="116">
        <v>358.79</v>
      </c>
      <c r="D453" s="116">
        <v>347.35</v>
      </c>
      <c r="E453" s="116">
        <v>363.04</v>
      </c>
      <c r="F453" s="116">
        <v>1793.95</v>
      </c>
      <c r="G453">
        <v>4010</v>
      </c>
      <c r="H453" s="116"/>
      <c r="I453" s="116"/>
      <c r="L453" s="169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69">
        <v>42671</v>
      </c>
      <c r="B454" s="116">
        <v>366.59000000000003</v>
      </c>
      <c r="C454" s="116">
        <v>364.68</v>
      </c>
      <c r="D454" s="116">
        <v>355.4</v>
      </c>
      <c r="E454" s="116">
        <v>355.4</v>
      </c>
      <c r="F454" s="116">
        <v>1823.4</v>
      </c>
      <c r="G454">
        <v>4257</v>
      </c>
      <c r="H454" s="116"/>
      <c r="I454" s="116"/>
      <c r="L454" s="169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69">
        <v>42673</v>
      </c>
      <c r="B455" s="116">
        <v>373.2</v>
      </c>
      <c r="C455" s="116">
        <v>372.4</v>
      </c>
      <c r="D455" s="116">
        <v>367</v>
      </c>
      <c r="E455" s="116">
        <v>368</v>
      </c>
      <c r="F455" s="116">
        <v>1862</v>
      </c>
      <c r="G455">
        <v>2389</v>
      </c>
      <c r="H455" s="116"/>
      <c r="I455" s="116"/>
      <c r="L455" s="169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69">
        <v>42675</v>
      </c>
      <c r="B456" s="116">
        <v>374.4</v>
      </c>
      <c r="C456" s="116">
        <v>371.85</v>
      </c>
      <c r="D456" s="116">
        <v>367</v>
      </c>
      <c r="E456" s="116">
        <v>371</v>
      </c>
      <c r="F456" s="116">
        <v>1859.25</v>
      </c>
      <c r="G456">
        <v>3102</v>
      </c>
      <c r="H456" s="116"/>
      <c r="I456" s="116"/>
      <c r="L456" s="169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69">
        <v>42676</v>
      </c>
      <c r="B457" s="116">
        <v>371.79</v>
      </c>
      <c r="C457" s="116">
        <v>367.52</v>
      </c>
      <c r="D457" s="116">
        <v>366</v>
      </c>
      <c r="E457" s="116">
        <v>371.79</v>
      </c>
      <c r="F457" s="116">
        <v>1837.6</v>
      </c>
      <c r="G457">
        <v>3530</v>
      </c>
      <c r="H457" s="116"/>
      <c r="I457" s="116"/>
      <c r="L457" s="169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69">
        <v>42677</v>
      </c>
      <c r="B458" s="116">
        <v>371</v>
      </c>
      <c r="C458" s="116">
        <v>361.03000000000003</v>
      </c>
      <c r="D458" s="116">
        <v>360</v>
      </c>
      <c r="E458" s="116">
        <v>366</v>
      </c>
      <c r="F458" s="116">
        <v>1805.15</v>
      </c>
      <c r="G458">
        <v>3351</v>
      </c>
      <c r="H458" s="116"/>
      <c r="I458" s="116"/>
      <c r="L458" s="169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69">
        <v>42678</v>
      </c>
      <c r="B459" s="116">
        <v>360.62</v>
      </c>
      <c r="C459" s="116">
        <v>347.62</v>
      </c>
      <c r="D459" s="116">
        <v>343.6</v>
      </c>
      <c r="E459" s="116">
        <v>360.02</v>
      </c>
      <c r="F459" s="116">
        <v>1738.1</v>
      </c>
      <c r="G459">
        <v>7019</v>
      </c>
      <c r="H459" s="116"/>
      <c r="I459" s="116"/>
      <c r="L459" s="169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69">
        <v>42681</v>
      </c>
      <c r="B460" s="116">
        <v>360.1</v>
      </c>
      <c r="C460" s="116">
        <v>345.55</v>
      </c>
      <c r="D460" s="116">
        <v>342</v>
      </c>
      <c r="E460" s="116">
        <v>348</v>
      </c>
      <c r="F460" s="116">
        <v>1727.75</v>
      </c>
      <c r="G460">
        <v>6511</v>
      </c>
      <c r="H460" s="116"/>
      <c r="I460" s="116"/>
      <c r="L460" s="169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69">
        <v>42682</v>
      </c>
      <c r="B461" s="116">
        <v>349</v>
      </c>
      <c r="C461" s="116">
        <v>343.11</v>
      </c>
      <c r="D461" s="116">
        <v>341</v>
      </c>
      <c r="E461" s="116">
        <v>346.58000000000004</v>
      </c>
      <c r="F461" s="116">
        <v>1715.55</v>
      </c>
      <c r="G461">
        <v>2752</v>
      </c>
      <c r="H461" s="116"/>
      <c r="I461" s="116"/>
      <c r="L461" s="169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69">
        <v>42683</v>
      </c>
      <c r="B462" s="116">
        <v>339</v>
      </c>
      <c r="C462" s="116">
        <v>334.43</v>
      </c>
      <c r="D462" s="116">
        <v>282.91999999999996</v>
      </c>
      <c r="E462" s="116">
        <v>334</v>
      </c>
      <c r="F462" s="116">
        <v>1672.15</v>
      </c>
      <c r="G462">
        <v>11798</v>
      </c>
      <c r="H462" s="116"/>
      <c r="I462" s="116"/>
      <c r="L462" s="169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69">
        <v>42684</v>
      </c>
      <c r="B463" s="116">
        <v>344.99</v>
      </c>
      <c r="C463" s="116">
        <v>337.88</v>
      </c>
      <c r="D463" s="116">
        <v>334.71999999999997</v>
      </c>
      <c r="E463" s="116">
        <v>338</v>
      </c>
      <c r="F463" s="116">
        <v>1689.4</v>
      </c>
      <c r="G463">
        <v>5252</v>
      </c>
      <c r="H463" s="116"/>
      <c r="I463" s="116"/>
      <c r="L463" s="169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69">
        <v>42685</v>
      </c>
      <c r="B464" s="116">
        <v>338</v>
      </c>
      <c r="C464" s="116">
        <v>313.01</v>
      </c>
      <c r="D464" s="116">
        <v>305.79000000000002</v>
      </c>
      <c r="E464" s="116">
        <v>338</v>
      </c>
      <c r="F464" s="116">
        <v>1565.05</v>
      </c>
      <c r="G464">
        <v>10710</v>
      </c>
      <c r="H464" s="116"/>
      <c r="I464" s="116"/>
      <c r="L464" s="169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69">
        <v>42689</v>
      </c>
      <c r="B465" s="116">
        <v>311.98</v>
      </c>
      <c r="C465" s="116">
        <v>250.41</v>
      </c>
      <c r="D465" s="116">
        <v>250.41</v>
      </c>
      <c r="E465" s="116">
        <v>311.98</v>
      </c>
      <c r="F465" s="116">
        <v>1252.05</v>
      </c>
      <c r="G465">
        <v>99530</v>
      </c>
      <c r="H465" s="116"/>
      <c r="I465" s="116"/>
      <c r="L465" s="169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69">
        <v>42690</v>
      </c>
      <c r="B466" s="116">
        <v>291.8</v>
      </c>
      <c r="C466" s="116">
        <v>277.61</v>
      </c>
      <c r="D466" s="116">
        <v>251.8</v>
      </c>
      <c r="E466" s="116">
        <v>251.8</v>
      </c>
      <c r="F466" s="116">
        <v>1388.05</v>
      </c>
      <c r="G466">
        <v>80960</v>
      </c>
      <c r="H466" s="116"/>
      <c r="I466" s="116"/>
      <c r="L466" s="169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69">
        <v>42691</v>
      </c>
      <c r="B467" s="116">
        <v>291.8</v>
      </c>
      <c r="C467" s="116">
        <v>274.02</v>
      </c>
      <c r="D467" s="116">
        <v>268.61</v>
      </c>
      <c r="E467" s="116">
        <v>279</v>
      </c>
      <c r="F467" s="116">
        <v>1370.1</v>
      </c>
      <c r="G467">
        <v>16502</v>
      </c>
      <c r="H467" s="116"/>
      <c r="I467" s="116"/>
      <c r="L467" s="169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69">
        <v>42692</v>
      </c>
      <c r="B468" s="116">
        <v>309</v>
      </c>
      <c r="C468" s="116">
        <v>301.57</v>
      </c>
      <c r="D468" s="116">
        <v>275.07</v>
      </c>
      <c r="E468" s="116">
        <v>280.82</v>
      </c>
      <c r="F468" s="116">
        <v>1507.85</v>
      </c>
      <c r="G468">
        <v>26512</v>
      </c>
      <c r="H468" s="116"/>
      <c r="I468" s="116"/>
      <c r="L468" s="169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69">
        <v>42695</v>
      </c>
      <c r="B469" s="116">
        <v>315.63</v>
      </c>
      <c r="C469" s="116">
        <v>304.34000000000003</v>
      </c>
      <c r="D469" s="116">
        <v>295.32</v>
      </c>
      <c r="E469" s="116">
        <v>304.78000000000003</v>
      </c>
      <c r="F469" s="116">
        <v>1521.7</v>
      </c>
      <c r="G469">
        <v>27819</v>
      </c>
      <c r="H469" s="116"/>
      <c r="I469" s="116"/>
      <c r="L469" s="169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69">
        <v>42696</v>
      </c>
      <c r="B470" s="116">
        <v>313.36</v>
      </c>
      <c r="C470" s="116">
        <v>305.89999999999998</v>
      </c>
      <c r="D470" s="116">
        <v>296</v>
      </c>
      <c r="E470" s="116">
        <v>304.78000000000003</v>
      </c>
      <c r="F470" s="116">
        <v>1529.5</v>
      </c>
      <c r="G470">
        <v>18098</v>
      </c>
      <c r="H470" s="116"/>
      <c r="I470" s="116"/>
      <c r="L470" s="169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69">
        <v>42697</v>
      </c>
      <c r="B471" s="116">
        <v>312</v>
      </c>
      <c r="C471" s="116">
        <v>302.44</v>
      </c>
      <c r="D471" s="116">
        <v>295.99</v>
      </c>
      <c r="E471" s="116">
        <v>312</v>
      </c>
      <c r="F471" s="116">
        <v>1512.2</v>
      </c>
      <c r="G471">
        <v>16620</v>
      </c>
      <c r="H471" s="116"/>
      <c r="I471" s="116"/>
      <c r="L471" s="169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69">
        <v>42698</v>
      </c>
      <c r="B472" s="116">
        <v>306.2</v>
      </c>
      <c r="C472" s="116">
        <v>300.93</v>
      </c>
      <c r="D472" s="116">
        <v>296</v>
      </c>
      <c r="E472" s="116">
        <v>300</v>
      </c>
      <c r="F472" s="116">
        <v>1504.65</v>
      </c>
      <c r="G472">
        <v>10780</v>
      </c>
      <c r="H472" s="116"/>
      <c r="I472" s="116"/>
      <c r="L472" s="169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69">
        <v>42699</v>
      </c>
      <c r="B473" s="116">
        <v>307.01</v>
      </c>
      <c r="C473" s="116">
        <v>304.20999999999998</v>
      </c>
      <c r="D473" s="116">
        <v>303.2</v>
      </c>
      <c r="E473" s="116">
        <v>304.70999999999998</v>
      </c>
      <c r="F473" s="116">
        <v>1521.05</v>
      </c>
      <c r="G473">
        <v>3066</v>
      </c>
      <c r="H473" s="116"/>
      <c r="I473" s="116"/>
      <c r="L473" s="169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69">
        <v>42702</v>
      </c>
      <c r="B474" s="116">
        <v>308.71999999999997</v>
      </c>
      <c r="C474" s="116">
        <v>304.5</v>
      </c>
      <c r="D474" s="116">
        <v>302.21999999999997</v>
      </c>
      <c r="E474" s="116">
        <v>304</v>
      </c>
      <c r="F474" s="116">
        <v>1522.5</v>
      </c>
      <c r="G474">
        <v>4023</v>
      </c>
      <c r="H474" s="116"/>
      <c r="I474" s="116"/>
      <c r="L474" s="169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69">
        <v>42703</v>
      </c>
      <c r="B475" s="116">
        <v>348.86</v>
      </c>
      <c r="C475" s="116">
        <v>331.59000000000003</v>
      </c>
      <c r="D475" s="116">
        <v>307.20999999999998</v>
      </c>
      <c r="E475" s="116">
        <v>307.20999999999998</v>
      </c>
      <c r="F475" s="116">
        <v>1657.95</v>
      </c>
      <c r="G475">
        <v>59680</v>
      </c>
      <c r="H475" s="116"/>
      <c r="I475" s="116"/>
      <c r="L475" s="169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69">
        <v>42704</v>
      </c>
      <c r="B476" s="116">
        <v>345.28000000000003</v>
      </c>
      <c r="C476" s="116">
        <v>337.41999999999996</v>
      </c>
      <c r="D476" s="116">
        <v>330.04</v>
      </c>
      <c r="E476" s="116">
        <v>335.7</v>
      </c>
      <c r="F476" s="116">
        <v>1687.1</v>
      </c>
      <c r="G476">
        <v>18180</v>
      </c>
      <c r="H476" s="116"/>
      <c r="I476" s="116"/>
      <c r="L476" s="169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69">
        <v>42705</v>
      </c>
      <c r="B477" s="116">
        <v>342.76</v>
      </c>
      <c r="C477" s="116">
        <v>338.66999999999996</v>
      </c>
      <c r="D477" s="116">
        <v>329.03000000000003</v>
      </c>
      <c r="E477" s="116">
        <v>340</v>
      </c>
      <c r="F477" s="116">
        <v>1693.35</v>
      </c>
      <c r="G477">
        <v>7592</v>
      </c>
      <c r="H477" s="116"/>
      <c r="I477" s="116"/>
      <c r="L477" s="169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69">
        <v>42706</v>
      </c>
      <c r="B478" s="116">
        <v>337.6</v>
      </c>
      <c r="C478" s="116">
        <v>326</v>
      </c>
      <c r="D478" s="116">
        <v>325</v>
      </c>
      <c r="E478" s="116">
        <v>336.8</v>
      </c>
      <c r="F478" s="116">
        <v>1630</v>
      </c>
      <c r="G478">
        <v>7582</v>
      </c>
      <c r="H478" s="116"/>
      <c r="I478" s="116"/>
      <c r="L478" s="169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69">
        <v>42709</v>
      </c>
      <c r="B479" s="116">
        <v>330</v>
      </c>
      <c r="C479" s="116">
        <v>328.07</v>
      </c>
      <c r="D479" s="116">
        <v>325</v>
      </c>
      <c r="E479" s="116">
        <v>327.65999999999997</v>
      </c>
      <c r="F479" s="116">
        <v>1640.35</v>
      </c>
      <c r="G479">
        <v>2763</v>
      </c>
      <c r="H479" s="116"/>
      <c r="I479" s="116"/>
      <c r="L479" s="169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69">
        <v>42710</v>
      </c>
      <c r="B480" s="116">
        <v>344</v>
      </c>
      <c r="C480" s="116">
        <v>333.01</v>
      </c>
      <c r="D480" s="116">
        <v>330.2</v>
      </c>
      <c r="E480" s="116">
        <v>336.79</v>
      </c>
      <c r="F480" s="116">
        <v>1665.05</v>
      </c>
      <c r="G480">
        <v>17361</v>
      </c>
      <c r="H480" s="116"/>
      <c r="I480" s="116"/>
      <c r="L480" s="169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69">
        <v>42711</v>
      </c>
      <c r="B481" s="116">
        <v>339.82</v>
      </c>
      <c r="C481" s="116">
        <v>332.52</v>
      </c>
      <c r="D481" s="116">
        <v>329.4</v>
      </c>
      <c r="E481" s="116">
        <v>339</v>
      </c>
      <c r="F481" s="116">
        <v>1662.6</v>
      </c>
      <c r="G481">
        <v>4303</v>
      </c>
      <c r="H481" s="116"/>
      <c r="I481" s="116"/>
      <c r="L481" s="169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69">
        <v>42712</v>
      </c>
      <c r="B482" s="116">
        <v>339.8</v>
      </c>
      <c r="C482" s="116">
        <v>336.73</v>
      </c>
      <c r="D482" s="116">
        <v>335.01</v>
      </c>
      <c r="E482" s="116">
        <v>336.99</v>
      </c>
      <c r="F482" s="116">
        <v>1683.65</v>
      </c>
      <c r="G482">
        <v>2306</v>
      </c>
      <c r="H482" s="116"/>
      <c r="I482" s="116"/>
      <c r="L482" s="169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69">
        <v>42713</v>
      </c>
      <c r="B483" s="116">
        <v>339</v>
      </c>
      <c r="C483" s="116">
        <v>337.7</v>
      </c>
      <c r="D483" s="116">
        <v>334.93</v>
      </c>
      <c r="E483" s="116">
        <v>338.07</v>
      </c>
      <c r="F483" s="116">
        <v>1688.5</v>
      </c>
      <c r="G483">
        <v>2568</v>
      </c>
      <c r="H483" s="116"/>
      <c r="I483" s="116"/>
      <c r="L483" s="169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69">
        <v>42716</v>
      </c>
      <c r="B484" s="116">
        <v>338</v>
      </c>
      <c r="C484" s="116">
        <v>328.25</v>
      </c>
      <c r="D484" s="116">
        <v>327.01</v>
      </c>
      <c r="E484" s="116">
        <v>336.8</v>
      </c>
      <c r="F484" s="116">
        <v>1641.25</v>
      </c>
      <c r="G484">
        <v>4115</v>
      </c>
      <c r="H484" s="116"/>
      <c r="I484" s="116"/>
      <c r="L484" s="169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69">
        <v>42717</v>
      </c>
      <c r="B485" s="116">
        <v>327.83000000000004</v>
      </c>
      <c r="C485" s="116">
        <v>322.33000000000004</v>
      </c>
      <c r="D485" s="116">
        <v>321.39999999999998</v>
      </c>
      <c r="E485" s="116">
        <v>327</v>
      </c>
      <c r="F485" s="116">
        <v>1611.65</v>
      </c>
      <c r="G485">
        <v>2516</v>
      </c>
      <c r="H485" s="116"/>
      <c r="I485" s="116"/>
      <c r="L485" s="169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69">
        <v>42718</v>
      </c>
      <c r="B486" s="116">
        <v>325.2</v>
      </c>
      <c r="C486" s="116">
        <v>318.46999999999997</v>
      </c>
      <c r="D486" s="116">
        <v>315.39999999999998</v>
      </c>
      <c r="E486" s="116">
        <v>324</v>
      </c>
      <c r="F486" s="116">
        <v>1592.35</v>
      </c>
      <c r="G486">
        <v>2992</v>
      </c>
      <c r="H486" s="116"/>
      <c r="I486" s="116"/>
      <c r="L486" s="169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69">
        <v>42719</v>
      </c>
      <c r="B487" s="116">
        <v>334</v>
      </c>
      <c r="C487" s="116">
        <v>330.66999999999996</v>
      </c>
      <c r="D487" s="116">
        <v>310.99</v>
      </c>
      <c r="E487" s="116">
        <v>316</v>
      </c>
      <c r="F487" s="116">
        <v>1653.35</v>
      </c>
      <c r="G487">
        <v>14093</v>
      </c>
      <c r="H487" s="116"/>
      <c r="I487" s="116"/>
      <c r="L487" s="169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69">
        <v>42720</v>
      </c>
      <c r="B488" s="116">
        <v>339</v>
      </c>
      <c r="C488" s="116">
        <v>337.74</v>
      </c>
      <c r="D488" s="116">
        <v>328</v>
      </c>
      <c r="E488" s="116">
        <v>331.85</v>
      </c>
      <c r="F488" s="116">
        <v>1688.7</v>
      </c>
      <c r="G488">
        <v>9200</v>
      </c>
      <c r="H488" s="116"/>
      <c r="I488" s="116"/>
      <c r="L488" s="169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69">
        <v>42723</v>
      </c>
      <c r="B489" s="116">
        <v>343</v>
      </c>
      <c r="C489" s="116">
        <v>338.64</v>
      </c>
      <c r="D489" s="116">
        <v>331.2</v>
      </c>
      <c r="E489" s="116">
        <v>333.6</v>
      </c>
      <c r="F489" s="116">
        <v>1693.2</v>
      </c>
      <c r="G489">
        <v>3383</v>
      </c>
      <c r="H489" s="116"/>
      <c r="I489" s="116"/>
      <c r="L489" s="169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69">
        <v>42724</v>
      </c>
      <c r="B490" s="116">
        <v>340.4</v>
      </c>
      <c r="C490" s="116">
        <v>333.54</v>
      </c>
      <c r="D490" s="116">
        <v>331.04</v>
      </c>
      <c r="E490" s="116">
        <v>339.6</v>
      </c>
      <c r="F490" s="116">
        <v>1667.7</v>
      </c>
      <c r="G490">
        <v>4559</v>
      </c>
      <c r="H490" s="116"/>
      <c r="I490" s="116"/>
      <c r="L490" s="169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69">
        <v>42725</v>
      </c>
      <c r="B491" s="116">
        <v>337.15999999999997</v>
      </c>
      <c r="C491" s="116">
        <v>329.32</v>
      </c>
      <c r="D491" s="116">
        <v>326.24</v>
      </c>
      <c r="E491" s="116">
        <v>337</v>
      </c>
      <c r="F491" s="116">
        <v>1646.6</v>
      </c>
      <c r="G491">
        <v>2204</v>
      </c>
      <c r="H491" s="116"/>
      <c r="I491" s="116"/>
      <c r="L491" s="169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69">
        <v>42726</v>
      </c>
      <c r="B492" s="116">
        <v>328.74</v>
      </c>
      <c r="C492" s="116">
        <v>321.73</v>
      </c>
      <c r="D492" s="116">
        <v>311.37</v>
      </c>
      <c r="E492" s="116">
        <v>328.74</v>
      </c>
      <c r="F492" s="116">
        <v>1608.65</v>
      </c>
      <c r="G492">
        <v>5019</v>
      </c>
      <c r="H492" s="116"/>
      <c r="I492" s="116"/>
      <c r="L492" s="169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69">
        <v>42727</v>
      </c>
      <c r="B493" s="116">
        <v>325</v>
      </c>
      <c r="C493" s="116">
        <v>319.23</v>
      </c>
      <c r="D493" s="116">
        <v>315.32</v>
      </c>
      <c r="E493" s="116">
        <v>323.52</v>
      </c>
      <c r="F493" s="116">
        <v>1596.15</v>
      </c>
      <c r="G493">
        <v>1194</v>
      </c>
      <c r="H493" s="116"/>
      <c r="I493" s="116"/>
      <c r="L493" s="169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69">
        <v>42730</v>
      </c>
      <c r="B494" s="116">
        <v>314</v>
      </c>
      <c r="C494" s="116">
        <v>291.12</v>
      </c>
      <c r="D494" s="116">
        <v>285</v>
      </c>
      <c r="E494" s="116">
        <v>314</v>
      </c>
      <c r="F494" s="116">
        <v>1455.6</v>
      </c>
      <c r="G494">
        <v>16118</v>
      </c>
      <c r="H494" s="116"/>
      <c r="I494" s="116"/>
      <c r="L494" s="169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69">
        <v>42731</v>
      </c>
      <c r="B495" s="116">
        <v>304.88</v>
      </c>
      <c r="C495" s="116">
        <v>291.83000000000004</v>
      </c>
      <c r="D495" s="116">
        <v>278</v>
      </c>
      <c r="E495" s="116">
        <v>291.12</v>
      </c>
      <c r="F495" s="116">
        <v>1459.15</v>
      </c>
      <c r="G495">
        <v>11633</v>
      </c>
      <c r="H495" s="116"/>
      <c r="I495" s="116"/>
      <c r="L495" s="169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69">
        <v>42732</v>
      </c>
      <c r="B496" s="116">
        <v>303.19</v>
      </c>
      <c r="C496" s="116">
        <v>298.16999999999996</v>
      </c>
      <c r="D496" s="116">
        <v>296</v>
      </c>
      <c r="E496" s="116">
        <v>296</v>
      </c>
      <c r="F496" s="116">
        <v>1490.85</v>
      </c>
      <c r="G496">
        <v>8867</v>
      </c>
      <c r="H496" s="116"/>
      <c r="I496" s="116"/>
      <c r="L496" s="169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69">
        <v>42733</v>
      </c>
      <c r="B497" s="116">
        <v>300.86</v>
      </c>
      <c r="C497" s="116">
        <v>295.44</v>
      </c>
      <c r="D497" s="116">
        <v>293.20999999999998</v>
      </c>
      <c r="E497" s="116">
        <v>298.2</v>
      </c>
      <c r="F497" s="116">
        <v>1477.2</v>
      </c>
      <c r="G497">
        <v>3463</v>
      </c>
      <c r="H497" s="116"/>
      <c r="I497" s="116"/>
      <c r="L497" s="169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69">
        <v>42734</v>
      </c>
      <c r="B498" s="116">
        <v>318.78000000000003</v>
      </c>
      <c r="C498" s="116">
        <v>316.28000000000003</v>
      </c>
      <c r="D498" s="116">
        <v>296.91999999999996</v>
      </c>
      <c r="E498" s="116">
        <v>296.91999999999996</v>
      </c>
      <c r="F498" s="116">
        <v>1581.4</v>
      </c>
      <c r="G498">
        <v>15782</v>
      </c>
      <c r="H498" s="116"/>
      <c r="I498" s="116"/>
      <c r="L498" s="169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69">
        <v>42737</v>
      </c>
      <c r="B499" s="116">
        <v>346</v>
      </c>
      <c r="C499" s="116">
        <v>329.96999999999997</v>
      </c>
      <c r="D499" s="116">
        <v>321.5</v>
      </c>
      <c r="E499" s="116">
        <v>321.5</v>
      </c>
      <c r="F499" s="116">
        <v>1649.85</v>
      </c>
      <c r="G499">
        <v>24039</v>
      </c>
      <c r="H499" s="116"/>
      <c r="I499" s="116"/>
      <c r="L499" s="169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69">
        <v>42738</v>
      </c>
      <c r="B500" s="116">
        <v>338</v>
      </c>
      <c r="C500" s="116">
        <v>331.27</v>
      </c>
      <c r="D500" s="116">
        <v>330</v>
      </c>
      <c r="E500" s="116">
        <v>332</v>
      </c>
      <c r="F500" s="116">
        <v>1656.35</v>
      </c>
      <c r="G500">
        <v>5284</v>
      </c>
      <c r="H500" s="116"/>
      <c r="I500" s="116"/>
      <c r="L500" s="169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69">
        <v>42739</v>
      </c>
      <c r="B501" s="116">
        <v>336.52</v>
      </c>
      <c r="C501" s="116">
        <v>333.25</v>
      </c>
      <c r="D501" s="116">
        <v>331</v>
      </c>
      <c r="E501" s="116">
        <v>332.99</v>
      </c>
      <c r="F501" s="116">
        <v>1666.25</v>
      </c>
      <c r="G501">
        <v>4877</v>
      </c>
      <c r="H501" s="116"/>
      <c r="I501" s="116"/>
      <c r="L501" s="169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69">
        <v>42740</v>
      </c>
      <c r="B502" s="116">
        <v>339.2</v>
      </c>
      <c r="C502" s="116">
        <v>336.71</v>
      </c>
      <c r="D502" s="116">
        <v>334.06</v>
      </c>
      <c r="E502" s="116">
        <v>335</v>
      </c>
      <c r="F502" s="116">
        <v>1683.55</v>
      </c>
      <c r="G502">
        <v>5105</v>
      </c>
      <c r="H502" s="116"/>
      <c r="I502" s="116"/>
      <c r="L502" s="169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69">
        <v>42741</v>
      </c>
      <c r="B503" s="116">
        <v>349.83000000000004</v>
      </c>
      <c r="C503" s="116">
        <v>342.37</v>
      </c>
      <c r="D503" s="116">
        <v>338.4</v>
      </c>
      <c r="E503" s="116">
        <v>339</v>
      </c>
      <c r="F503" s="116">
        <v>1711.85</v>
      </c>
      <c r="G503">
        <v>12711</v>
      </c>
      <c r="H503" s="116"/>
      <c r="I503" s="116"/>
      <c r="L503" s="169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69">
        <v>42744</v>
      </c>
      <c r="B504" s="116">
        <v>350.4</v>
      </c>
      <c r="C504" s="116">
        <v>344</v>
      </c>
      <c r="D504" s="116">
        <v>342.4</v>
      </c>
      <c r="E504" s="116">
        <v>343.94</v>
      </c>
      <c r="F504" s="116">
        <v>1720</v>
      </c>
      <c r="G504">
        <v>8341</v>
      </c>
      <c r="H504" s="116"/>
      <c r="I504" s="116"/>
      <c r="L504" s="169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69">
        <v>42745</v>
      </c>
      <c r="B505" s="116">
        <v>344.2</v>
      </c>
      <c r="C505" s="116">
        <v>339.28000000000003</v>
      </c>
      <c r="D505" s="116">
        <v>338.04</v>
      </c>
      <c r="E505" s="116">
        <v>344.2</v>
      </c>
      <c r="F505" s="116">
        <v>1696.4</v>
      </c>
      <c r="G505">
        <v>4248</v>
      </c>
      <c r="H505" s="116"/>
      <c r="I505" s="116"/>
      <c r="L505" s="169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69">
        <v>42746</v>
      </c>
      <c r="B506" s="116">
        <v>342.39</v>
      </c>
      <c r="C506" s="116">
        <v>339.37</v>
      </c>
      <c r="D506" s="116">
        <v>338.1</v>
      </c>
      <c r="E506" s="116">
        <v>341.4</v>
      </c>
      <c r="F506" s="116">
        <v>1696.85</v>
      </c>
      <c r="G506">
        <v>3601</v>
      </c>
      <c r="H506" s="116"/>
      <c r="I506" s="116"/>
      <c r="L506" s="169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69">
        <v>42747</v>
      </c>
      <c r="B507" s="116">
        <v>345.03000000000003</v>
      </c>
      <c r="C507" s="116">
        <v>339.51</v>
      </c>
      <c r="D507" s="116">
        <v>338.49</v>
      </c>
      <c r="E507" s="116">
        <v>341</v>
      </c>
      <c r="F507" s="116">
        <v>1697.55</v>
      </c>
      <c r="G507">
        <v>2780</v>
      </c>
      <c r="H507" s="116"/>
      <c r="I507" s="116"/>
      <c r="L507" s="169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69">
        <v>42748</v>
      </c>
      <c r="B508" s="116">
        <v>343.53000000000003</v>
      </c>
      <c r="C508" s="116">
        <v>335.45</v>
      </c>
      <c r="D508" s="116">
        <v>330</v>
      </c>
      <c r="E508" s="116">
        <v>340</v>
      </c>
      <c r="F508" s="116">
        <v>1677.25</v>
      </c>
      <c r="G508">
        <v>5989</v>
      </c>
      <c r="H508" s="116"/>
      <c r="I508" s="116"/>
      <c r="L508" s="169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69">
        <v>42751</v>
      </c>
      <c r="B509" s="116">
        <v>349.38</v>
      </c>
      <c r="C509" s="116">
        <v>346.83000000000004</v>
      </c>
      <c r="D509" s="116">
        <v>335.1</v>
      </c>
      <c r="E509" s="116">
        <v>342</v>
      </c>
      <c r="F509" s="116">
        <v>1734.15</v>
      </c>
      <c r="G509">
        <v>10157</v>
      </c>
      <c r="H509" s="116"/>
      <c r="I509" s="116"/>
      <c r="L509" s="169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69">
        <v>42752</v>
      </c>
      <c r="B510" s="116">
        <v>357</v>
      </c>
      <c r="C510" s="116">
        <v>343.77</v>
      </c>
      <c r="D510" s="116">
        <v>340.1</v>
      </c>
      <c r="E510" s="116">
        <v>350</v>
      </c>
      <c r="F510" s="116">
        <v>1718.85</v>
      </c>
      <c r="G510">
        <v>41624</v>
      </c>
      <c r="H510" s="116"/>
      <c r="I510" s="116"/>
      <c r="L510" s="169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69">
        <v>42753</v>
      </c>
      <c r="B511" s="116">
        <v>351.38</v>
      </c>
      <c r="C511" s="116">
        <v>343.02</v>
      </c>
      <c r="D511" s="116">
        <v>340.31</v>
      </c>
      <c r="E511" s="116">
        <v>350.8</v>
      </c>
      <c r="F511" s="116">
        <v>1715.1</v>
      </c>
      <c r="G511">
        <v>13135</v>
      </c>
      <c r="H511" s="116"/>
      <c r="I511" s="116"/>
      <c r="L511" s="169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69">
        <v>42754</v>
      </c>
      <c r="B512" s="116">
        <v>343.4</v>
      </c>
      <c r="C512" s="116">
        <v>338.74</v>
      </c>
      <c r="D512" s="116">
        <v>337.4</v>
      </c>
      <c r="E512" s="116">
        <v>343.4</v>
      </c>
      <c r="F512" s="116">
        <v>1693.7</v>
      </c>
      <c r="G512">
        <v>3763</v>
      </c>
      <c r="H512" s="116"/>
      <c r="I512" s="116"/>
      <c r="L512" s="169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69">
        <v>42755</v>
      </c>
      <c r="B513" s="116">
        <v>341.2</v>
      </c>
      <c r="C513" s="116">
        <v>336.25</v>
      </c>
      <c r="D513" s="116">
        <v>335.01</v>
      </c>
      <c r="E513" s="116">
        <v>338</v>
      </c>
      <c r="F513" s="116">
        <v>1681.25</v>
      </c>
      <c r="G513">
        <v>2401</v>
      </c>
      <c r="H513" s="116"/>
      <c r="I513" s="116"/>
      <c r="L513" s="169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69">
        <v>42758</v>
      </c>
      <c r="B514" s="116">
        <v>346</v>
      </c>
      <c r="C514" s="116">
        <v>340.99</v>
      </c>
      <c r="D514" s="116">
        <v>334.41999999999996</v>
      </c>
      <c r="E514" s="116">
        <v>338.96</v>
      </c>
      <c r="F514" s="116">
        <v>1704.95</v>
      </c>
      <c r="G514">
        <v>8651</v>
      </c>
      <c r="H514" s="116"/>
      <c r="I514" s="116"/>
      <c r="L514" s="169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69">
        <v>42759</v>
      </c>
      <c r="B515" s="116">
        <v>346.98</v>
      </c>
      <c r="C515" s="116">
        <v>345.86</v>
      </c>
      <c r="D515" s="116">
        <v>340.54</v>
      </c>
      <c r="E515" s="116">
        <v>342</v>
      </c>
      <c r="F515" s="116">
        <v>1729.3</v>
      </c>
      <c r="G515">
        <v>3084</v>
      </c>
      <c r="H515" s="116"/>
      <c r="I515" s="116"/>
      <c r="L515" s="169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69">
        <v>42760</v>
      </c>
      <c r="B516" s="116">
        <v>349.4</v>
      </c>
      <c r="C516" s="116">
        <v>345.5</v>
      </c>
      <c r="D516" s="116">
        <v>341</v>
      </c>
      <c r="E516" s="116">
        <v>349.4</v>
      </c>
      <c r="F516" s="116">
        <v>1727.5</v>
      </c>
      <c r="G516">
        <v>13876</v>
      </c>
      <c r="H516" s="116"/>
      <c r="I516" s="116"/>
      <c r="L516" s="169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69">
        <v>42762</v>
      </c>
      <c r="B517" s="116">
        <v>354.16999999999996</v>
      </c>
      <c r="C517" s="116">
        <v>352.61</v>
      </c>
      <c r="D517" s="116">
        <v>347</v>
      </c>
      <c r="E517" s="116">
        <v>347</v>
      </c>
      <c r="F517" s="116">
        <v>1763.05</v>
      </c>
      <c r="G517">
        <v>11593</v>
      </c>
      <c r="H517" s="116"/>
      <c r="I517" s="116"/>
      <c r="L517" s="169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69">
        <v>42765</v>
      </c>
      <c r="B518" s="116">
        <v>368.4</v>
      </c>
      <c r="C518" s="116">
        <v>366.29</v>
      </c>
      <c r="D518" s="116">
        <v>350</v>
      </c>
      <c r="E518" s="116">
        <v>353</v>
      </c>
      <c r="F518" s="116">
        <v>1831.45</v>
      </c>
      <c r="G518">
        <v>12598</v>
      </c>
      <c r="H518" s="116"/>
      <c r="I518" s="116"/>
      <c r="L518" s="169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69">
        <v>42766</v>
      </c>
      <c r="B519" s="116">
        <v>376.87</v>
      </c>
      <c r="C519" s="116">
        <v>371.08000000000004</v>
      </c>
      <c r="D519" s="116">
        <v>367.59000000000003</v>
      </c>
      <c r="E519" s="116">
        <v>369</v>
      </c>
      <c r="F519" s="116">
        <v>1855.4</v>
      </c>
      <c r="G519">
        <v>17957</v>
      </c>
      <c r="H519" s="116"/>
      <c r="I519" s="116"/>
      <c r="L519" s="169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69">
        <v>42767</v>
      </c>
      <c r="B520" s="116">
        <v>384.96</v>
      </c>
      <c r="C520" s="116">
        <v>379.26</v>
      </c>
      <c r="D520" s="116">
        <v>373.2</v>
      </c>
      <c r="E520" s="116">
        <v>373.2</v>
      </c>
      <c r="F520" s="116">
        <v>1896.3</v>
      </c>
      <c r="G520">
        <v>24830</v>
      </c>
      <c r="H520" s="116"/>
      <c r="I520" s="116"/>
      <c r="L520" s="169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69">
        <v>42768</v>
      </c>
      <c r="B521" s="116">
        <v>403.94</v>
      </c>
      <c r="C521" s="116">
        <v>398.63</v>
      </c>
      <c r="D521" s="116">
        <v>380</v>
      </c>
      <c r="E521" s="116">
        <v>383.2</v>
      </c>
      <c r="F521" s="116">
        <v>1993.15</v>
      </c>
      <c r="G521">
        <v>25557</v>
      </c>
      <c r="H521" s="116"/>
      <c r="I521" s="116"/>
      <c r="L521" s="169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69">
        <v>42769</v>
      </c>
      <c r="B522" s="116">
        <v>402.8</v>
      </c>
      <c r="C522" s="116">
        <v>399.69</v>
      </c>
      <c r="D522" s="116">
        <v>397.71</v>
      </c>
      <c r="E522" s="116">
        <v>399.6</v>
      </c>
      <c r="F522" s="116">
        <v>1998.45</v>
      </c>
      <c r="G522">
        <v>6360</v>
      </c>
      <c r="H522" s="116"/>
      <c r="I522" s="116"/>
      <c r="L522" s="169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69">
        <v>42772</v>
      </c>
      <c r="B523" s="116">
        <v>410.8</v>
      </c>
      <c r="C523" s="116">
        <v>408.31</v>
      </c>
      <c r="D523" s="116">
        <v>399.31</v>
      </c>
      <c r="E523" s="116">
        <v>401.01</v>
      </c>
      <c r="F523" s="116">
        <v>2041.55</v>
      </c>
      <c r="G523">
        <v>9778</v>
      </c>
      <c r="H523" s="116"/>
      <c r="I523" s="116"/>
      <c r="L523" s="169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69">
        <v>42773</v>
      </c>
      <c r="B524" s="116">
        <v>415.8</v>
      </c>
      <c r="C524" s="116">
        <v>408.02</v>
      </c>
      <c r="D524" s="116">
        <v>403.4</v>
      </c>
      <c r="E524" s="116">
        <v>408.39</v>
      </c>
      <c r="F524" s="116">
        <v>2040.1</v>
      </c>
      <c r="G524">
        <v>6918</v>
      </c>
      <c r="H524" s="116"/>
      <c r="I524" s="116"/>
      <c r="L524" s="169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69">
        <v>42774</v>
      </c>
      <c r="B525" s="116">
        <v>411.18999999999994</v>
      </c>
      <c r="C525" s="116">
        <v>402.03000000000003</v>
      </c>
      <c r="D525" s="116">
        <v>400.27</v>
      </c>
      <c r="E525" s="116">
        <v>406.2</v>
      </c>
      <c r="F525" s="116">
        <v>2010.15</v>
      </c>
      <c r="G525">
        <v>5958</v>
      </c>
      <c r="H525" s="116"/>
      <c r="I525" s="116"/>
      <c r="L525" s="169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69">
        <v>42775</v>
      </c>
      <c r="B526" s="116">
        <v>403.2</v>
      </c>
      <c r="C526" s="116">
        <v>398.1</v>
      </c>
      <c r="D526" s="116">
        <v>394.51</v>
      </c>
      <c r="E526" s="116">
        <v>400.2</v>
      </c>
      <c r="F526" s="116">
        <v>1990.5</v>
      </c>
      <c r="G526">
        <v>4109</v>
      </c>
      <c r="H526" s="116"/>
      <c r="I526" s="116"/>
      <c r="L526" s="169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69">
        <v>42776</v>
      </c>
      <c r="B527" s="116">
        <v>399.4</v>
      </c>
      <c r="C527" s="116">
        <v>394.96999999999997</v>
      </c>
      <c r="D527" s="116">
        <v>393.99</v>
      </c>
      <c r="E527" s="116">
        <v>397.19</v>
      </c>
      <c r="F527" s="116">
        <v>1974.85</v>
      </c>
      <c r="G527">
        <v>1778</v>
      </c>
      <c r="H527" s="116"/>
      <c r="I527" s="116"/>
      <c r="L527" s="169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69">
        <v>42779</v>
      </c>
      <c r="B528" s="116">
        <v>396</v>
      </c>
      <c r="C528" s="116">
        <v>385.86</v>
      </c>
      <c r="D528" s="116">
        <v>384.02</v>
      </c>
      <c r="E528" s="116">
        <v>395.98</v>
      </c>
      <c r="F528" s="116">
        <v>1929.3</v>
      </c>
      <c r="G528">
        <v>2831</v>
      </c>
      <c r="H528" s="116"/>
      <c r="I528" s="116"/>
      <c r="L528" s="169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69">
        <v>42780</v>
      </c>
      <c r="B529" s="116">
        <v>386.8</v>
      </c>
      <c r="C529" s="116">
        <v>381.89</v>
      </c>
      <c r="D529" s="116">
        <v>379.96999999999997</v>
      </c>
      <c r="E529" s="116">
        <v>386.8</v>
      </c>
      <c r="F529" s="116">
        <v>1909.45</v>
      </c>
      <c r="G529">
        <v>3990</v>
      </c>
      <c r="H529" s="116"/>
      <c r="I529" s="116"/>
      <c r="L529" s="169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69">
        <v>42781</v>
      </c>
      <c r="B530" s="116">
        <v>405.28000000000003</v>
      </c>
      <c r="C530" s="116">
        <v>397.82</v>
      </c>
      <c r="D530" s="116">
        <v>380</v>
      </c>
      <c r="E530" s="116">
        <v>381.1</v>
      </c>
      <c r="F530" s="116">
        <v>1989.1</v>
      </c>
      <c r="G530">
        <v>21136</v>
      </c>
      <c r="H530" s="116"/>
      <c r="I530" s="116"/>
      <c r="L530" s="169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69">
        <v>42782</v>
      </c>
      <c r="B531" s="116">
        <v>404.65999999999997</v>
      </c>
      <c r="C531" s="116">
        <v>401.78000000000003</v>
      </c>
      <c r="D531" s="116">
        <v>400</v>
      </c>
      <c r="E531" s="116">
        <v>401.79</v>
      </c>
      <c r="F531" s="116">
        <v>2008.9</v>
      </c>
      <c r="G531">
        <v>6979</v>
      </c>
      <c r="H531" s="116"/>
      <c r="I531" s="116"/>
      <c r="L531" s="169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69">
        <v>42783</v>
      </c>
      <c r="B532" s="116">
        <v>403.9</v>
      </c>
      <c r="C532" s="116">
        <v>395.71999999999997</v>
      </c>
      <c r="D532" s="116">
        <v>392.54</v>
      </c>
      <c r="E532" s="116">
        <v>402.8</v>
      </c>
      <c r="F532" s="116">
        <v>1978.6</v>
      </c>
      <c r="G532">
        <v>2541</v>
      </c>
      <c r="H532" s="116"/>
      <c r="I532" s="116"/>
      <c r="L532" s="169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69">
        <v>42786</v>
      </c>
      <c r="B533" s="116">
        <v>397.6</v>
      </c>
      <c r="C533" s="116">
        <v>395.82</v>
      </c>
      <c r="D533" s="116">
        <v>390.74</v>
      </c>
      <c r="E533" s="116">
        <v>396.16999999999996</v>
      </c>
      <c r="F533" s="116">
        <v>1979.1</v>
      </c>
      <c r="G533">
        <v>2682</v>
      </c>
      <c r="H533" s="116"/>
      <c r="I533" s="116"/>
      <c r="L533" s="169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69">
        <v>42787</v>
      </c>
      <c r="B534" s="116">
        <v>404</v>
      </c>
      <c r="C534" s="116">
        <v>397.96999999999997</v>
      </c>
      <c r="D534" s="116">
        <v>394.40999999999997</v>
      </c>
      <c r="E534" s="116">
        <v>394.75</v>
      </c>
      <c r="F534" s="116">
        <v>1989.85</v>
      </c>
      <c r="G534">
        <v>2828</v>
      </c>
      <c r="H534" s="116"/>
      <c r="I534" s="116"/>
      <c r="L534" s="169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69">
        <v>42788</v>
      </c>
      <c r="B535" s="116">
        <v>403.8</v>
      </c>
      <c r="C535" s="116">
        <v>402.85</v>
      </c>
      <c r="D535" s="116">
        <v>397</v>
      </c>
      <c r="E535" s="116">
        <v>401.74</v>
      </c>
      <c r="F535" s="116">
        <v>2014.25</v>
      </c>
      <c r="G535">
        <v>3044</v>
      </c>
      <c r="H535" s="116"/>
      <c r="I535" s="116"/>
      <c r="L535" s="169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69">
        <v>42789</v>
      </c>
      <c r="B536" s="116">
        <v>404.8</v>
      </c>
      <c r="C536" s="116">
        <v>398.61</v>
      </c>
      <c r="D536" s="116">
        <v>398.03000000000003</v>
      </c>
      <c r="E536" s="116">
        <v>400.4</v>
      </c>
      <c r="F536" s="116">
        <v>1993.05</v>
      </c>
      <c r="G536">
        <v>7275</v>
      </c>
      <c r="H536" s="116"/>
      <c r="I536" s="116"/>
      <c r="L536" s="169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69">
        <v>42793</v>
      </c>
      <c r="B537" s="116">
        <v>399.74</v>
      </c>
      <c r="C537" s="116">
        <v>385.99</v>
      </c>
      <c r="D537" s="116">
        <v>384.4</v>
      </c>
      <c r="E537" s="116">
        <v>398.83000000000004</v>
      </c>
      <c r="F537" s="116">
        <v>1929.95</v>
      </c>
      <c r="G537">
        <v>12051</v>
      </c>
      <c r="H537" s="116"/>
      <c r="I537" s="116"/>
      <c r="L537" s="169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69">
        <v>42794</v>
      </c>
      <c r="B538" s="116">
        <v>392.6</v>
      </c>
      <c r="C538" s="116">
        <v>387.59000000000003</v>
      </c>
      <c r="D538" s="116">
        <v>386.6</v>
      </c>
      <c r="E538" s="116">
        <v>388</v>
      </c>
      <c r="F538" s="116">
        <v>1937.95</v>
      </c>
      <c r="G538">
        <v>7515</v>
      </c>
      <c r="H538" s="116"/>
      <c r="I538" s="116"/>
      <c r="L538" s="169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69">
        <v>42795</v>
      </c>
      <c r="B539" s="116">
        <v>400.76</v>
      </c>
      <c r="C539" s="116">
        <v>396.91999999999996</v>
      </c>
      <c r="D539" s="116">
        <v>390</v>
      </c>
      <c r="E539" s="116">
        <v>390</v>
      </c>
      <c r="F539" s="116">
        <v>1984.6</v>
      </c>
      <c r="G539">
        <v>6546</v>
      </c>
      <c r="H539" s="116"/>
      <c r="I539" s="116"/>
      <c r="L539" s="169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69">
        <v>42796</v>
      </c>
      <c r="B540" s="116">
        <v>407.79</v>
      </c>
      <c r="C540" s="116">
        <v>392.83000000000004</v>
      </c>
      <c r="D540" s="116">
        <v>392.05</v>
      </c>
      <c r="E540" s="116">
        <v>399</v>
      </c>
      <c r="F540" s="116">
        <v>1964.15</v>
      </c>
      <c r="G540">
        <v>7877</v>
      </c>
      <c r="H540" s="116"/>
      <c r="I540" s="116"/>
      <c r="L540" s="169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69">
        <v>42797</v>
      </c>
      <c r="B541" s="116">
        <v>396.34000000000003</v>
      </c>
      <c r="C541" s="116">
        <v>389.84000000000003</v>
      </c>
      <c r="D541" s="116">
        <v>387</v>
      </c>
      <c r="E541" s="116">
        <v>391.98</v>
      </c>
      <c r="F541" s="116">
        <v>1949.2</v>
      </c>
      <c r="G541">
        <v>3896</v>
      </c>
      <c r="H541" s="116"/>
      <c r="I541" s="116"/>
      <c r="L541" s="169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69">
        <v>42800</v>
      </c>
      <c r="B542" s="116">
        <v>394.52</v>
      </c>
      <c r="C542" s="116">
        <v>379</v>
      </c>
      <c r="D542" s="116">
        <v>376</v>
      </c>
      <c r="E542" s="116">
        <v>390.98</v>
      </c>
      <c r="F542" s="116">
        <v>1895</v>
      </c>
      <c r="G542">
        <v>7726</v>
      </c>
      <c r="H542" s="116"/>
      <c r="I542" s="116"/>
      <c r="L542" s="169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69">
        <v>42801</v>
      </c>
      <c r="B543" s="116">
        <v>393.2</v>
      </c>
      <c r="C543" s="116">
        <v>390.63</v>
      </c>
      <c r="D543" s="116">
        <v>379.8</v>
      </c>
      <c r="E543" s="116">
        <v>381.8</v>
      </c>
      <c r="F543" s="116">
        <v>1953.15</v>
      </c>
      <c r="G543">
        <v>6585</v>
      </c>
      <c r="H543" s="116"/>
      <c r="I543" s="116"/>
      <c r="L543" s="169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69">
        <v>42802</v>
      </c>
      <c r="B544" s="116">
        <v>392.88</v>
      </c>
      <c r="C544" s="116">
        <v>386.05</v>
      </c>
      <c r="D544" s="116">
        <v>382</v>
      </c>
      <c r="E544" s="116">
        <v>392.88</v>
      </c>
      <c r="F544" s="116">
        <v>1930.25</v>
      </c>
      <c r="G544">
        <v>3015</v>
      </c>
      <c r="H544" s="116"/>
      <c r="I544" s="116"/>
      <c r="L544" s="169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69">
        <v>42803</v>
      </c>
      <c r="B545" s="116">
        <v>390.16999999999996</v>
      </c>
      <c r="C545" s="116">
        <v>387.36</v>
      </c>
      <c r="D545" s="116">
        <v>382</v>
      </c>
      <c r="E545" s="116">
        <v>384</v>
      </c>
      <c r="F545" s="116">
        <v>1936.8</v>
      </c>
      <c r="G545">
        <v>1142</v>
      </c>
      <c r="H545" s="116"/>
      <c r="I545" s="116"/>
      <c r="L545" s="169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69">
        <v>42804</v>
      </c>
      <c r="B546" s="116">
        <v>397.4</v>
      </c>
      <c r="C546" s="116">
        <v>395.53000000000003</v>
      </c>
      <c r="D546" s="116">
        <v>387.36</v>
      </c>
      <c r="E546" s="116">
        <v>390.4</v>
      </c>
      <c r="F546" s="116">
        <v>1977.65</v>
      </c>
      <c r="G546">
        <v>9985</v>
      </c>
      <c r="H546" s="116"/>
      <c r="I546" s="116"/>
      <c r="L546" s="169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69">
        <v>42808</v>
      </c>
      <c r="B547" s="116">
        <v>421.77</v>
      </c>
      <c r="C547" s="116">
        <v>415.75</v>
      </c>
      <c r="D547" s="116">
        <v>398.2</v>
      </c>
      <c r="E547" s="116">
        <v>398.2</v>
      </c>
      <c r="F547" s="116">
        <v>2078.75</v>
      </c>
      <c r="G547">
        <v>39700</v>
      </c>
      <c r="H547" s="116"/>
      <c r="I547" s="116"/>
      <c r="L547" s="169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69">
        <v>42809</v>
      </c>
      <c r="B548" s="116">
        <v>424.48</v>
      </c>
      <c r="C548" s="116">
        <v>419.28000000000003</v>
      </c>
      <c r="D548" s="116">
        <v>413.82</v>
      </c>
      <c r="E548" s="116">
        <v>416</v>
      </c>
      <c r="F548" s="116">
        <v>2096.4</v>
      </c>
      <c r="G548">
        <v>15246</v>
      </c>
      <c r="H548" s="116"/>
      <c r="I548" s="116"/>
      <c r="L548" s="169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69">
        <v>42810</v>
      </c>
      <c r="B549" s="116">
        <v>424.2</v>
      </c>
      <c r="C549" s="116">
        <v>421.84</v>
      </c>
      <c r="D549" s="116">
        <v>419.01000000000005</v>
      </c>
      <c r="E549" s="116">
        <v>419.55</v>
      </c>
      <c r="F549" s="116">
        <v>2109.1999999999998</v>
      </c>
      <c r="G549">
        <v>12775</v>
      </c>
      <c r="H549" s="116"/>
      <c r="I549" s="116"/>
      <c r="L549" s="169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69">
        <v>42811</v>
      </c>
      <c r="B550" s="116">
        <v>423.8</v>
      </c>
      <c r="C550" s="116">
        <v>419.08000000000004</v>
      </c>
      <c r="D550" s="116">
        <v>415</v>
      </c>
      <c r="E550" s="116">
        <v>421.78999999999996</v>
      </c>
      <c r="F550" s="116">
        <v>2095.4</v>
      </c>
      <c r="G550">
        <v>4926</v>
      </c>
      <c r="H550" s="116"/>
      <c r="I550" s="116"/>
      <c r="L550" s="169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69">
        <v>42814</v>
      </c>
      <c r="B551" s="116">
        <v>431.4</v>
      </c>
      <c r="C551" s="116">
        <v>417.93999999999994</v>
      </c>
      <c r="D551" s="116">
        <v>415.03000000000003</v>
      </c>
      <c r="E551" s="116">
        <v>420</v>
      </c>
      <c r="F551" s="116">
        <v>2089.6999999999998</v>
      </c>
      <c r="G551">
        <v>9463</v>
      </c>
      <c r="H551" s="116"/>
      <c r="I551" s="116"/>
      <c r="L551" s="169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69">
        <v>42815</v>
      </c>
      <c r="B552" s="116">
        <v>421.98999999999995</v>
      </c>
      <c r="C552" s="116">
        <v>420.06000000000006</v>
      </c>
      <c r="D552" s="116">
        <v>407.55</v>
      </c>
      <c r="E552" s="116">
        <v>417.95</v>
      </c>
      <c r="F552" s="116">
        <v>2100.3000000000002</v>
      </c>
      <c r="G552">
        <v>12813</v>
      </c>
      <c r="H552" s="116"/>
      <c r="I552" s="116"/>
      <c r="L552" s="169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69">
        <v>42816</v>
      </c>
      <c r="B553" s="116">
        <v>421.2</v>
      </c>
      <c r="C553" s="116">
        <v>416.03000000000003</v>
      </c>
      <c r="D553" s="116">
        <v>414.2</v>
      </c>
      <c r="E553" s="116">
        <v>415.46999999999997</v>
      </c>
      <c r="F553" s="116">
        <v>2080.15</v>
      </c>
      <c r="G553">
        <v>21593</v>
      </c>
      <c r="H553" s="116"/>
      <c r="I553" s="116"/>
      <c r="L553" s="169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69">
        <v>42817</v>
      </c>
      <c r="B554" s="116">
        <v>421.8</v>
      </c>
      <c r="C554" s="116">
        <v>414.18</v>
      </c>
      <c r="D554" s="116">
        <v>412.2</v>
      </c>
      <c r="E554" s="116">
        <v>419.05</v>
      </c>
      <c r="F554" s="116">
        <v>2070.9</v>
      </c>
      <c r="G554">
        <v>26513</v>
      </c>
      <c r="H554" s="116"/>
      <c r="I554" s="116"/>
      <c r="L554" s="169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69">
        <v>42818</v>
      </c>
      <c r="B555" s="116">
        <v>421.31000000000006</v>
      </c>
      <c r="C555" s="116">
        <v>412.91999999999996</v>
      </c>
      <c r="D555" s="116">
        <v>410</v>
      </c>
      <c r="E555" s="116">
        <v>416.32</v>
      </c>
      <c r="F555" s="116">
        <v>2064.6</v>
      </c>
      <c r="G555">
        <v>29723</v>
      </c>
      <c r="H555" s="116"/>
      <c r="I555" s="116"/>
      <c r="L555" s="169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69">
        <v>42821</v>
      </c>
      <c r="B556" s="116">
        <v>418.8</v>
      </c>
      <c r="C556" s="116">
        <v>413.93</v>
      </c>
      <c r="D556" s="116">
        <v>408.88</v>
      </c>
      <c r="E556" s="116">
        <v>417.83000000000004</v>
      </c>
      <c r="F556" s="116">
        <v>2069.65</v>
      </c>
      <c r="G556">
        <v>2288</v>
      </c>
      <c r="H556" s="116"/>
      <c r="I556" s="116"/>
      <c r="L556" s="169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69">
        <v>42822</v>
      </c>
      <c r="B557" s="116">
        <v>418.6</v>
      </c>
      <c r="C557" s="116">
        <v>414.16</v>
      </c>
      <c r="D557" s="116">
        <v>412.46000000000004</v>
      </c>
      <c r="E557" s="116">
        <v>416.39</v>
      </c>
      <c r="F557" s="116">
        <v>2070.8000000000002</v>
      </c>
      <c r="G557">
        <v>2888</v>
      </c>
      <c r="H557" s="116"/>
      <c r="I557" s="116"/>
      <c r="L557" s="169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69">
        <v>42823</v>
      </c>
      <c r="B558" s="116">
        <v>417.06000000000006</v>
      </c>
      <c r="C558" s="116">
        <v>412.8</v>
      </c>
      <c r="D558" s="116">
        <v>410.91</v>
      </c>
      <c r="E558" s="116">
        <v>416.45</v>
      </c>
      <c r="F558" s="116">
        <v>2064</v>
      </c>
      <c r="G558">
        <v>1584</v>
      </c>
      <c r="H558" s="116"/>
      <c r="I558" s="116"/>
      <c r="L558" s="169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69">
        <v>42824</v>
      </c>
      <c r="B559" s="116">
        <v>419.78999999999996</v>
      </c>
      <c r="C559" s="116">
        <v>417.98999999999995</v>
      </c>
      <c r="D559" s="116">
        <v>413.87</v>
      </c>
      <c r="E559" s="116">
        <v>414.28000000000003</v>
      </c>
      <c r="F559" s="116">
        <v>2089.9499999999998</v>
      </c>
      <c r="G559">
        <v>2091</v>
      </c>
      <c r="H559" s="116"/>
      <c r="I559" s="116"/>
      <c r="L559" s="169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69">
        <v>42825</v>
      </c>
      <c r="B560" s="116">
        <v>424.98999999999995</v>
      </c>
      <c r="C560" s="116">
        <v>423.25</v>
      </c>
      <c r="D560" s="116">
        <v>413.21000000000004</v>
      </c>
      <c r="E560" s="116">
        <v>417.98999999999995</v>
      </c>
      <c r="F560" s="116">
        <v>2116.25</v>
      </c>
      <c r="G560">
        <v>3040</v>
      </c>
      <c r="H560" s="116"/>
      <c r="I560" s="116"/>
      <c r="L560" s="169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69">
        <v>42828</v>
      </c>
      <c r="B561" s="116">
        <v>474</v>
      </c>
      <c r="C561" s="116">
        <v>464.31000000000006</v>
      </c>
      <c r="D561" s="116">
        <v>422.4</v>
      </c>
      <c r="E561" s="116">
        <v>424</v>
      </c>
      <c r="F561" s="116">
        <v>2321.5500000000002</v>
      </c>
      <c r="G561">
        <v>28313</v>
      </c>
      <c r="H561" s="116"/>
      <c r="I561" s="116"/>
      <c r="L561" s="169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69">
        <v>42830</v>
      </c>
      <c r="B562" s="116">
        <v>470.8</v>
      </c>
      <c r="C562" s="116">
        <v>465.4</v>
      </c>
      <c r="D562" s="116">
        <v>462</v>
      </c>
      <c r="E562" s="116">
        <v>465</v>
      </c>
      <c r="F562" s="116">
        <v>2327</v>
      </c>
      <c r="G562">
        <v>6992</v>
      </c>
      <c r="H562" s="116"/>
      <c r="I562" s="116"/>
      <c r="L562" s="169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69">
        <v>42831</v>
      </c>
      <c r="B563" s="116">
        <v>479.91999999999996</v>
      </c>
      <c r="C563" s="116">
        <v>468.41</v>
      </c>
      <c r="D563" s="116">
        <v>463.46999999999997</v>
      </c>
      <c r="E563" s="116">
        <v>463.46999999999997</v>
      </c>
      <c r="F563" s="116">
        <v>2342.0500000000002</v>
      </c>
      <c r="G563">
        <v>15946</v>
      </c>
      <c r="H563" s="116"/>
      <c r="I563" s="116"/>
      <c r="L563" s="169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69">
        <v>42832</v>
      </c>
      <c r="B564" s="116">
        <v>477.4</v>
      </c>
      <c r="C564" s="116">
        <v>466.33000000000004</v>
      </c>
      <c r="D564" s="116">
        <v>460.2</v>
      </c>
      <c r="E564" s="116">
        <v>466.56000000000006</v>
      </c>
      <c r="F564" s="116">
        <v>2331.65</v>
      </c>
      <c r="G564">
        <v>7249</v>
      </c>
      <c r="H564" s="116"/>
      <c r="I564" s="116"/>
      <c r="L564" s="169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69">
        <v>42835</v>
      </c>
      <c r="B565" s="116">
        <v>470.2</v>
      </c>
      <c r="C565" s="116">
        <v>467.93</v>
      </c>
      <c r="D565" s="116">
        <v>464</v>
      </c>
      <c r="E565" s="116">
        <v>468</v>
      </c>
      <c r="F565" s="116">
        <v>2339.65</v>
      </c>
      <c r="G565">
        <v>2142</v>
      </c>
      <c r="H565" s="116"/>
      <c r="I565" s="116"/>
      <c r="L565" s="169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69">
        <v>42836</v>
      </c>
      <c r="B566" s="116">
        <v>477.6</v>
      </c>
      <c r="C566" s="116">
        <v>473.96999999999997</v>
      </c>
      <c r="D566" s="116">
        <v>466.4</v>
      </c>
      <c r="E566" s="116">
        <v>468.01000000000005</v>
      </c>
      <c r="F566" s="116">
        <v>2369.85</v>
      </c>
      <c r="G566">
        <v>13728</v>
      </c>
      <c r="H566" s="116"/>
      <c r="I566" s="116"/>
      <c r="L566" s="169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69">
        <v>42837</v>
      </c>
      <c r="B567" s="116">
        <v>525.6</v>
      </c>
      <c r="C567" s="116">
        <v>512.58999999999992</v>
      </c>
      <c r="D567" s="116">
        <v>476.96000000000004</v>
      </c>
      <c r="E567" s="116">
        <v>477.01000000000005</v>
      </c>
      <c r="F567" s="116">
        <v>2562.9499999999998</v>
      </c>
      <c r="G567">
        <v>51330</v>
      </c>
      <c r="H567" s="116"/>
      <c r="I567" s="116"/>
      <c r="L567" s="169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69">
        <v>42838</v>
      </c>
      <c r="B568" s="116">
        <v>533.91000000000008</v>
      </c>
      <c r="C568" s="116">
        <v>517.22</v>
      </c>
      <c r="D568" s="116">
        <v>510</v>
      </c>
      <c r="E568" s="116">
        <v>514</v>
      </c>
      <c r="F568" s="116">
        <v>2586.1</v>
      </c>
      <c r="G568">
        <v>25185</v>
      </c>
      <c r="H568" s="116"/>
      <c r="I568" s="116"/>
      <c r="L568" s="169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69">
        <v>42842</v>
      </c>
      <c r="B569" s="116">
        <v>515</v>
      </c>
      <c r="C569" s="116">
        <v>500.06000000000006</v>
      </c>
      <c r="D569" s="116">
        <v>497.2</v>
      </c>
      <c r="E569" s="116">
        <v>512.01</v>
      </c>
      <c r="F569" s="116">
        <v>2500.3000000000002</v>
      </c>
      <c r="G569">
        <v>11475</v>
      </c>
      <c r="H569" s="116"/>
      <c r="I569" s="116"/>
      <c r="L569" s="169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69">
        <v>42843</v>
      </c>
      <c r="B570" s="116">
        <v>517.15</v>
      </c>
      <c r="C570" s="116">
        <v>487.11</v>
      </c>
      <c r="D570" s="116">
        <v>480.46999999999997</v>
      </c>
      <c r="E570" s="116">
        <v>508.98999999999995</v>
      </c>
      <c r="F570" s="116">
        <v>2435.5500000000002</v>
      </c>
      <c r="G570">
        <v>7082</v>
      </c>
      <c r="H570" s="116"/>
      <c r="I570" s="116"/>
      <c r="L570" s="169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69">
        <v>42844</v>
      </c>
      <c r="B571" s="116">
        <v>501.2</v>
      </c>
      <c r="C571" s="116">
        <v>496.78000000000003</v>
      </c>
      <c r="D571" s="116">
        <v>482</v>
      </c>
      <c r="E571" s="116">
        <v>488.95</v>
      </c>
      <c r="F571" s="116">
        <v>2483.9</v>
      </c>
      <c r="G571">
        <v>13769</v>
      </c>
      <c r="H571" s="116"/>
      <c r="I571" s="116"/>
      <c r="L571" s="169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69">
        <v>42845</v>
      </c>
      <c r="B572" s="116">
        <v>509.75</v>
      </c>
      <c r="C572" s="116">
        <v>503.28000000000003</v>
      </c>
      <c r="D572" s="116">
        <v>501.31000000000006</v>
      </c>
      <c r="E572" s="116">
        <v>507.6</v>
      </c>
      <c r="F572" s="116">
        <v>2516.4</v>
      </c>
      <c r="G572">
        <v>10646</v>
      </c>
      <c r="H572" s="116"/>
      <c r="I572" s="116"/>
      <c r="L572" s="169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69">
        <v>42846</v>
      </c>
      <c r="B573" s="116">
        <v>514</v>
      </c>
      <c r="C573" s="116">
        <v>508.91</v>
      </c>
      <c r="D573" s="116">
        <v>499</v>
      </c>
      <c r="E573" s="116">
        <v>507.78999999999996</v>
      </c>
      <c r="F573" s="116">
        <v>2544.5500000000002</v>
      </c>
      <c r="G573">
        <v>9357</v>
      </c>
      <c r="H573" s="116"/>
      <c r="I573" s="116"/>
      <c r="L573" s="169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69">
        <v>42849</v>
      </c>
      <c r="B574" s="116">
        <v>520</v>
      </c>
      <c r="C574" s="116">
        <v>516.29</v>
      </c>
      <c r="D574" s="116">
        <v>511.02</v>
      </c>
      <c r="E574" s="116">
        <v>515</v>
      </c>
      <c r="F574" s="116">
        <v>2581.4499999999998</v>
      </c>
      <c r="G574">
        <v>8614</v>
      </c>
      <c r="H574" s="116"/>
      <c r="I574" s="116"/>
      <c r="L574" s="169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69">
        <v>42850</v>
      </c>
      <c r="B575" s="116">
        <v>530.79999999999995</v>
      </c>
      <c r="C575" s="116">
        <v>516.81000000000006</v>
      </c>
      <c r="D575" s="116">
        <v>511.05</v>
      </c>
      <c r="E575" s="116">
        <v>520</v>
      </c>
      <c r="F575" s="116">
        <v>2584.0500000000002</v>
      </c>
      <c r="G575">
        <v>44126</v>
      </c>
      <c r="H575" s="116"/>
      <c r="I575" s="116"/>
      <c r="L575" s="169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69">
        <v>42851</v>
      </c>
      <c r="B576" s="116">
        <v>523.93000000000006</v>
      </c>
      <c r="C576" s="116">
        <v>508.93</v>
      </c>
      <c r="D576" s="116">
        <v>500.31000000000006</v>
      </c>
      <c r="E576" s="116">
        <v>520</v>
      </c>
      <c r="F576" s="116">
        <v>2544.65</v>
      </c>
      <c r="G576">
        <v>14350</v>
      </c>
      <c r="H576" s="116"/>
      <c r="I576" s="116"/>
      <c r="L576" s="169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69">
        <v>42852</v>
      </c>
      <c r="B577" s="116">
        <v>523</v>
      </c>
      <c r="C577" s="116">
        <v>519.25</v>
      </c>
      <c r="D577" s="116">
        <v>506.41999999999996</v>
      </c>
      <c r="E577" s="116">
        <v>510.55</v>
      </c>
      <c r="F577" s="116">
        <v>2596.25</v>
      </c>
      <c r="G577">
        <v>11127</v>
      </c>
      <c r="H577" s="116"/>
      <c r="I577" s="116"/>
      <c r="L577" s="169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69">
        <v>42853</v>
      </c>
      <c r="B578" s="116">
        <v>532.77</v>
      </c>
      <c r="C578" s="116">
        <v>523.15</v>
      </c>
      <c r="D578" s="116">
        <v>520</v>
      </c>
      <c r="E578" s="116">
        <v>522</v>
      </c>
      <c r="F578" s="116">
        <v>2615.75</v>
      </c>
      <c r="G578">
        <v>20485</v>
      </c>
      <c r="H578" s="116"/>
      <c r="I578" s="116"/>
      <c r="L578" s="169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69">
        <v>42857</v>
      </c>
      <c r="B579" s="116">
        <v>571</v>
      </c>
      <c r="C579" s="116">
        <v>566.58999999999992</v>
      </c>
      <c r="D579" s="116">
        <v>521.47</v>
      </c>
      <c r="E579" s="116">
        <v>525</v>
      </c>
      <c r="F579" s="116">
        <v>2832.95</v>
      </c>
      <c r="G579">
        <v>59246</v>
      </c>
      <c r="H579" s="116"/>
      <c r="I579" s="116"/>
      <c r="L579" s="169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69">
        <v>42858</v>
      </c>
      <c r="B580" s="116">
        <v>574.79</v>
      </c>
      <c r="C580" s="116">
        <v>559.98</v>
      </c>
      <c r="D580" s="116">
        <v>554.83999999999992</v>
      </c>
      <c r="E580" s="116">
        <v>574.77</v>
      </c>
      <c r="F580" s="116">
        <v>2799.9</v>
      </c>
      <c r="G580">
        <v>19284</v>
      </c>
      <c r="H580" s="116"/>
      <c r="I580" s="116"/>
      <c r="L580" s="169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69">
        <v>42859</v>
      </c>
      <c r="B581" s="116">
        <v>579.4</v>
      </c>
      <c r="C581" s="116">
        <v>568.36</v>
      </c>
      <c r="D581" s="116">
        <v>562.31999999999994</v>
      </c>
      <c r="E581" s="116">
        <v>567.98</v>
      </c>
      <c r="F581" s="116">
        <v>2841.8</v>
      </c>
      <c r="G581">
        <v>20672</v>
      </c>
      <c r="H581" s="116"/>
      <c r="I581" s="116"/>
      <c r="L581" s="169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69">
        <v>42860</v>
      </c>
      <c r="B582" s="116">
        <v>574.43999999999994</v>
      </c>
      <c r="C582" s="116">
        <v>566.12</v>
      </c>
      <c r="D582" s="116">
        <v>558.45000000000005</v>
      </c>
      <c r="E582" s="116">
        <v>569.93999999999994</v>
      </c>
      <c r="F582" s="116">
        <v>2830.6</v>
      </c>
      <c r="G582">
        <v>11536</v>
      </c>
      <c r="H582" s="116"/>
      <c r="I582" s="116"/>
      <c r="L582" s="169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69">
        <v>42863</v>
      </c>
      <c r="B583" s="116">
        <v>574.20000000000005</v>
      </c>
      <c r="C583" s="116">
        <v>568.04</v>
      </c>
      <c r="D583" s="116">
        <v>565.08000000000004</v>
      </c>
      <c r="E583" s="116">
        <v>569.98</v>
      </c>
      <c r="F583" s="116">
        <v>2840.2</v>
      </c>
      <c r="G583">
        <v>5881</v>
      </c>
      <c r="H583" s="116"/>
      <c r="I583" s="116"/>
      <c r="L583" s="169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69">
        <v>42864</v>
      </c>
      <c r="B584" s="116">
        <v>569.98</v>
      </c>
      <c r="C584" s="116">
        <v>559.75</v>
      </c>
      <c r="D584" s="116">
        <v>556</v>
      </c>
      <c r="E584" s="116">
        <v>569</v>
      </c>
      <c r="F584" s="116">
        <v>2798.75</v>
      </c>
      <c r="G584">
        <v>22063</v>
      </c>
      <c r="H584" s="116"/>
      <c r="I584" s="116"/>
      <c r="L584" s="169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69">
        <v>42865</v>
      </c>
      <c r="B585" s="116">
        <v>574.18999999999994</v>
      </c>
      <c r="C585" s="116">
        <v>561.72</v>
      </c>
      <c r="D585" s="116">
        <v>557.08999999999992</v>
      </c>
      <c r="E585" s="116">
        <v>558.20000000000005</v>
      </c>
      <c r="F585" s="116">
        <v>2808.6</v>
      </c>
      <c r="G585">
        <v>10624</v>
      </c>
      <c r="H585" s="116"/>
      <c r="I585" s="116"/>
      <c r="L585" s="169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69">
        <v>42866</v>
      </c>
      <c r="B586" s="116">
        <v>566</v>
      </c>
      <c r="C586" s="116">
        <v>548.58000000000004</v>
      </c>
      <c r="D586" s="116">
        <v>544.79999999999995</v>
      </c>
      <c r="E586" s="116">
        <v>561.72</v>
      </c>
      <c r="F586" s="116">
        <v>2742.9</v>
      </c>
      <c r="G586">
        <v>8426</v>
      </c>
      <c r="H586" s="116"/>
      <c r="I586" s="116"/>
      <c r="L586" s="169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69">
        <v>42867</v>
      </c>
      <c r="B587" s="116">
        <v>550.61</v>
      </c>
      <c r="C587" s="116">
        <v>532.25</v>
      </c>
      <c r="D587" s="116">
        <v>527.49</v>
      </c>
      <c r="E587" s="116">
        <v>550</v>
      </c>
      <c r="F587" s="116">
        <v>2661.25</v>
      </c>
      <c r="G587">
        <v>12356</v>
      </c>
      <c r="H587" s="116"/>
      <c r="I587" s="116"/>
      <c r="L587" s="169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69">
        <v>42870</v>
      </c>
      <c r="B588" s="116">
        <v>560.70000000000005</v>
      </c>
      <c r="C588" s="116">
        <v>556.48</v>
      </c>
      <c r="D588" s="116">
        <v>538.1</v>
      </c>
      <c r="E588" s="116">
        <v>539.79999999999995</v>
      </c>
      <c r="F588" s="116">
        <v>2782.4</v>
      </c>
      <c r="G588">
        <v>12166</v>
      </c>
      <c r="H588" s="116"/>
      <c r="I588" s="116"/>
      <c r="L588" s="169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69">
        <v>42871</v>
      </c>
      <c r="B589" s="116">
        <v>560.36</v>
      </c>
      <c r="C589" s="116">
        <v>551.81999999999994</v>
      </c>
      <c r="D589" s="116">
        <v>547.49</v>
      </c>
      <c r="E589" s="116">
        <v>560.08999999999992</v>
      </c>
      <c r="F589" s="116">
        <v>2759.1</v>
      </c>
      <c r="G589">
        <v>5049</v>
      </c>
      <c r="H589" s="116"/>
      <c r="I589" s="116"/>
      <c r="L589" s="169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69">
        <v>42872</v>
      </c>
      <c r="B590" s="116">
        <v>558.58000000000004</v>
      </c>
      <c r="C590" s="116">
        <v>551.74</v>
      </c>
      <c r="D590" s="116">
        <v>534.79</v>
      </c>
      <c r="E590" s="116">
        <v>555.11</v>
      </c>
      <c r="F590" s="116">
        <v>2758.7</v>
      </c>
      <c r="G590">
        <v>9840</v>
      </c>
      <c r="H590" s="116"/>
      <c r="I590" s="116"/>
      <c r="L590" s="169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69">
        <v>42873</v>
      </c>
      <c r="B591" s="116">
        <v>552.87</v>
      </c>
      <c r="C591" s="116">
        <v>534.72</v>
      </c>
      <c r="D591" s="116">
        <v>530</v>
      </c>
      <c r="E591" s="116">
        <v>545.79999999999995</v>
      </c>
      <c r="F591" s="116">
        <v>2673.6</v>
      </c>
      <c r="G591">
        <v>7782</v>
      </c>
      <c r="H591" s="116"/>
      <c r="I591" s="116"/>
      <c r="L591" s="169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69">
        <v>42874</v>
      </c>
      <c r="B592" s="116">
        <v>542.20000000000005</v>
      </c>
      <c r="C592" s="116">
        <v>522.48</v>
      </c>
      <c r="D592" s="116">
        <v>514.79</v>
      </c>
      <c r="E592" s="116">
        <v>534.79999999999995</v>
      </c>
      <c r="F592" s="116">
        <v>2612.4</v>
      </c>
      <c r="G592">
        <v>13584</v>
      </c>
      <c r="H592" s="116"/>
      <c r="I592" s="116"/>
      <c r="L592" s="169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69">
        <v>42877</v>
      </c>
      <c r="B593" s="116">
        <v>529.06999999999994</v>
      </c>
      <c r="C593" s="116">
        <v>505.63</v>
      </c>
      <c r="D593" s="116">
        <v>501.77</v>
      </c>
      <c r="E593" s="116">
        <v>528.35</v>
      </c>
      <c r="F593" s="116">
        <v>2528.15</v>
      </c>
      <c r="G593">
        <v>12369</v>
      </c>
      <c r="H593" s="116"/>
      <c r="I593" s="116"/>
      <c r="L593" s="169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69">
        <v>42878</v>
      </c>
      <c r="B594" s="116">
        <v>534.16999999999996</v>
      </c>
      <c r="C594" s="116">
        <v>516.64</v>
      </c>
      <c r="D594" s="116">
        <v>489.4</v>
      </c>
      <c r="E594" s="116">
        <v>512</v>
      </c>
      <c r="F594" s="116">
        <v>2583.1999999999998</v>
      </c>
      <c r="G594">
        <v>27501</v>
      </c>
      <c r="H594" s="116"/>
      <c r="I594" s="116"/>
      <c r="L594" s="169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69">
        <v>42879</v>
      </c>
      <c r="B595" s="116">
        <v>528.29</v>
      </c>
      <c r="C595" s="116">
        <v>513.22</v>
      </c>
      <c r="D595" s="116">
        <v>506</v>
      </c>
      <c r="E595" s="116">
        <v>520.1</v>
      </c>
      <c r="F595" s="116">
        <v>2566.1</v>
      </c>
      <c r="G595">
        <v>17684</v>
      </c>
      <c r="H595" s="116"/>
      <c r="I595" s="116"/>
      <c r="L595" s="169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69">
        <v>42880</v>
      </c>
      <c r="B596" s="116">
        <v>531.54999999999995</v>
      </c>
      <c r="C596" s="116">
        <v>527.76</v>
      </c>
      <c r="D596" s="116">
        <v>516.91000000000008</v>
      </c>
      <c r="E596" s="116">
        <v>517.81000000000006</v>
      </c>
      <c r="F596" s="116">
        <v>2638.8</v>
      </c>
      <c r="G596">
        <v>9951</v>
      </c>
      <c r="H596" s="116"/>
      <c r="I596" s="116"/>
      <c r="L596" s="169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69">
        <v>42881</v>
      </c>
      <c r="B597" s="116">
        <v>533.66000000000008</v>
      </c>
      <c r="C597" s="116">
        <v>525.9</v>
      </c>
      <c r="D597" s="116">
        <v>513.74</v>
      </c>
      <c r="E597" s="116">
        <v>528</v>
      </c>
      <c r="F597" s="116">
        <v>2629.5</v>
      </c>
      <c r="G597">
        <v>11683</v>
      </c>
      <c r="H597" s="116"/>
      <c r="I597" s="116"/>
      <c r="L597" s="169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69">
        <v>42884</v>
      </c>
      <c r="B598" s="116">
        <v>532.15</v>
      </c>
      <c r="C598" s="116">
        <v>524.24</v>
      </c>
      <c r="D598" s="116">
        <v>518.31999999999994</v>
      </c>
      <c r="E598" s="116">
        <v>529.79999999999995</v>
      </c>
      <c r="F598" s="116">
        <v>2621.1999999999998</v>
      </c>
      <c r="G598">
        <v>4685</v>
      </c>
      <c r="H598" s="116"/>
      <c r="I598" s="116"/>
      <c r="L598" s="169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69">
        <v>42885</v>
      </c>
      <c r="B599" s="116">
        <v>547.20000000000005</v>
      </c>
      <c r="C599" s="116">
        <v>545.5</v>
      </c>
      <c r="D599" s="116">
        <v>521.18999999999994</v>
      </c>
      <c r="E599" s="116">
        <v>521.18999999999994</v>
      </c>
      <c r="F599" s="116">
        <v>2727.5</v>
      </c>
      <c r="G599">
        <v>11759</v>
      </c>
      <c r="H599" s="116"/>
      <c r="I599" s="116"/>
      <c r="L599" s="169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69">
        <v>42886</v>
      </c>
      <c r="B600" s="116">
        <v>550.4</v>
      </c>
      <c r="C600" s="116">
        <v>542.54999999999995</v>
      </c>
      <c r="D600" s="116">
        <v>534</v>
      </c>
      <c r="E600" s="116">
        <v>548</v>
      </c>
      <c r="F600" s="116">
        <v>2712.75</v>
      </c>
      <c r="G600">
        <v>15162</v>
      </c>
      <c r="H600" s="116"/>
      <c r="I600" s="116"/>
      <c r="L600" s="169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69">
        <v>42887</v>
      </c>
      <c r="B601" s="116">
        <v>551.41000000000008</v>
      </c>
      <c r="C601" s="116">
        <v>547.65</v>
      </c>
      <c r="D601" s="116">
        <v>542.58000000000004</v>
      </c>
      <c r="E601" s="116">
        <v>542.79999999999995</v>
      </c>
      <c r="F601" s="116">
        <v>2738.25</v>
      </c>
      <c r="G601">
        <v>19088</v>
      </c>
      <c r="H601" s="116"/>
      <c r="I601" s="116"/>
      <c r="L601" s="169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69">
        <v>42888</v>
      </c>
      <c r="B602" s="116">
        <v>551.79999999999995</v>
      </c>
      <c r="C602" s="116">
        <v>544.66000000000008</v>
      </c>
      <c r="D602" s="116">
        <v>543</v>
      </c>
      <c r="E602" s="116">
        <v>551.20000000000005</v>
      </c>
      <c r="F602" s="116">
        <v>2723.3</v>
      </c>
      <c r="G602">
        <v>4396</v>
      </c>
      <c r="H602" s="116"/>
      <c r="I602" s="116"/>
      <c r="L602" s="169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69">
        <v>42891</v>
      </c>
      <c r="B603" s="116">
        <v>560.06000000000006</v>
      </c>
      <c r="C603" s="116">
        <v>555.22</v>
      </c>
      <c r="D603" s="116">
        <v>547.16999999999996</v>
      </c>
      <c r="E603" s="116">
        <v>550</v>
      </c>
      <c r="F603" s="116">
        <v>2776.1</v>
      </c>
      <c r="G603">
        <v>13894</v>
      </c>
      <c r="H603" s="116"/>
      <c r="I603" s="116"/>
      <c r="L603" s="169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69">
        <v>42892</v>
      </c>
      <c r="B604" s="116">
        <v>559.46</v>
      </c>
      <c r="C604" s="116">
        <v>553.26</v>
      </c>
      <c r="D604" s="116">
        <v>547</v>
      </c>
      <c r="E604" s="116">
        <v>558.6</v>
      </c>
      <c r="F604" s="116">
        <v>2766.3</v>
      </c>
      <c r="G604">
        <v>5628</v>
      </c>
      <c r="H604" s="116"/>
      <c r="I604" s="116"/>
      <c r="L604" s="169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69">
        <v>42893</v>
      </c>
      <c r="B605" s="116">
        <v>589</v>
      </c>
      <c r="C605" s="116">
        <v>582.18000000000006</v>
      </c>
      <c r="D605" s="116">
        <v>553.18999999999994</v>
      </c>
      <c r="E605" s="116">
        <v>553.9</v>
      </c>
      <c r="F605" s="116">
        <v>2910.9</v>
      </c>
      <c r="G605">
        <v>33964</v>
      </c>
      <c r="H605" s="116"/>
      <c r="I605" s="116"/>
      <c r="L605" s="169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69">
        <v>42894</v>
      </c>
      <c r="B606" s="116">
        <v>588.79999999999995</v>
      </c>
      <c r="C606" s="116">
        <v>578.81000000000006</v>
      </c>
      <c r="D606" s="116">
        <v>575.20000000000005</v>
      </c>
      <c r="E606" s="116">
        <v>588.79999999999995</v>
      </c>
      <c r="F606" s="116">
        <v>2894.05</v>
      </c>
      <c r="G606">
        <v>13315</v>
      </c>
      <c r="H606" s="116"/>
      <c r="I606" s="116"/>
      <c r="L606" s="169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69">
        <v>42895</v>
      </c>
      <c r="B607" s="116">
        <v>601.5</v>
      </c>
      <c r="C607" s="116">
        <v>597.65</v>
      </c>
      <c r="D607" s="116">
        <v>574.53</v>
      </c>
      <c r="E607" s="116">
        <v>578</v>
      </c>
      <c r="F607" s="116">
        <v>2988.25</v>
      </c>
      <c r="G607">
        <v>23335</v>
      </c>
      <c r="H607" s="116"/>
      <c r="I607" s="116"/>
      <c r="L607" s="169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69">
        <v>42898</v>
      </c>
      <c r="B608" s="116">
        <v>615.6</v>
      </c>
      <c r="C608" s="116">
        <v>605.21</v>
      </c>
      <c r="D608" s="116">
        <v>597.81999999999994</v>
      </c>
      <c r="E608" s="116">
        <v>599</v>
      </c>
      <c r="F608" s="116">
        <v>3026.05</v>
      </c>
      <c r="G608">
        <v>39194</v>
      </c>
      <c r="H608" s="116"/>
      <c r="I608" s="116"/>
      <c r="L608" s="169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69">
        <v>42899</v>
      </c>
      <c r="B609" s="116">
        <v>618.73</v>
      </c>
      <c r="C609" s="116">
        <v>610.47</v>
      </c>
      <c r="D609" s="116">
        <v>605</v>
      </c>
      <c r="E609" s="116">
        <v>616</v>
      </c>
      <c r="F609" s="116">
        <v>3052.35</v>
      </c>
      <c r="G609">
        <v>26627</v>
      </c>
      <c r="H609" s="116"/>
      <c r="I609" s="116"/>
      <c r="L609" s="169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69">
        <v>42900</v>
      </c>
      <c r="B610" s="116">
        <v>616.99</v>
      </c>
      <c r="C610" s="116">
        <v>612.25</v>
      </c>
      <c r="D610" s="116">
        <v>605.33999999999992</v>
      </c>
      <c r="E610" s="116">
        <v>614.76</v>
      </c>
      <c r="F610" s="116">
        <v>3061.25</v>
      </c>
      <c r="G610">
        <v>7836</v>
      </c>
      <c r="H610" s="116"/>
      <c r="I610" s="116"/>
      <c r="L610" s="169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69">
        <v>42901</v>
      </c>
      <c r="B611" s="116">
        <v>629.37</v>
      </c>
      <c r="C611" s="116">
        <v>625.88</v>
      </c>
      <c r="D611" s="116">
        <v>613</v>
      </c>
      <c r="E611" s="116">
        <v>613.56000000000006</v>
      </c>
      <c r="F611" s="116">
        <v>3129.4</v>
      </c>
      <c r="G611">
        <v>12937</v>
      </c>
      <c r="H611" s="116"/>
      <c r="I611" s="116"/>
      <c r="L611" s="169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69">
        <v>42902</v>
      </c>
      <c r="B612" s="116">
        <v>632.89</v>
      </c>
      <c r="C612" s="116">
        <v>628.74</v>
      </c>
      <c r="D612" s="116">
        <v>623.73</v>
      </c>
      <c r="E612" s="116">
        <v>627</v>
      </c>
      <c r="F612" s="116">
        <v>3143.7</v>
      </c>
      <c r="G612">
        <v>13144</v>
      </c>
      <c r="H612" s="116"/>
      <c r="I612" s="116"/>
      <c r="L612" s="169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69">
        <v>42905</v>
      </c>
      <c r="B613" s="116">
        <v>639</v>
      </c>
      <c r="C613" s="116">
        <v>626.54999999999995</v>
      </c>
      <c r="D613" s="116">
        <v>624.01</v>
      </c>
      <c r="E613" s="116">
        <v>639</v>
      </c>
      <c r="F613" s="116">
        <v>3132.75</v>
      </c>
      <c r="G613">
        <v>7931</v>
      </c>
      <c r="H613" s="116"/>
      <c r="I613" s="116"/>
      <c r="L613" s="169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69">
        <v>42906</v>
      </c>
      <c r="B614" s="116">
        <v>643.53</v>
      </c>
      <c r="C614" s="116">
        <v>640.51</v>
      </c>
      <c r="D614" s="116">
        <v>624.47</v>
      </c>
      <c r="E614" s="116">
        <v>628.21</v>
      </c>
      <c r="F614" s="116">
        <v>3202.55</v>
      </c>
      <c r="G614">
        <v>14062</v>
      </c>
      <c r="H614" s="116"/>
      <c r="I614" s="116"/>
      <c r="L614" s="169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69">
        <v>42907</v>
      </c>
      <c r="B615" s="116">
        <v>659.97</v>
      </c>
      <c r="C615" s="116">
        <v>651.91000000000008</v>
      </c>
      <c r="D615" s="116">
        <v>638.37</v>
      </c>
      <c r="E615" s="116">
        <v>645</v>
      </c>
      <c r="F615" s="116">
        <v>3259.55</v>
      </c>
      <c r="G615">
        <v>21855</v>
      </c>
      <c r="H615" s="116"/>
      <c r="I615" s="116"/>
      <c r="L615" s="169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69">
        <v>42908</v>
      </c>
      <c r="B616" s="116">
        <v>666.6</v>
      </c>
      <c r="C616" s="116">
        <v>649.97</v>
      </c>
      <c r="D616" s="116">
        <v>645.81000000000006</v>
      </c>
      <c r="E616" s="116">
        <v>656.61</v>
      </c>
      <c r="F616" s="116">
        <v>3249.85</v>
      </c>
      <c r="G616">
        <v>19634</v>
      </c>
      <c r="H616" s="116"/>
      <c r="I616" s="116"/>
      <c r="L616" s="169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69">
        <v>42909</v>
      </c>
      <c r="B617" s="116">
        <v>656.7</v>
      </c>
      <c r="C617" s="116">
        <v>636.46</v>
      </c>
      <c r="D617" s="116">
        <v>619.06000000000006</v>
      </c>
      <c r="E617" s="116">
        <v>656</v>
      </c>
      <c r="F617" s="116">
        <v>3182.3</v>
      </c>
      <c r="G617">
        <v>35376</v>
      </c>
      <c r="H617" s="116"/>
      <c r="I617" s="116"/>
      <c r="L617" s="169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69">
        <v>42913</v>
      </c>
      <c r="B618" s="116">
        <v>642</v>
      </c>
      <c r="C618" s="116">
        <v>613.37</v>
      </c>
      <c r="D618" s="116">
        <v>609.31000000000006</v>
      </c>
      <c r="E618" s="116">
        <v>641.79999999999995</v>
      </c>
      <c r="F618" s="116">
        <v>3066.85</v>
      </c>
      <c r="G618">
        <v>18155</v>
      </c>
      <c r="H618" s="116"/>
      <c r="I618" s="116"/>
      <c r="L618" s="169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69">
        <v>42914</v>
      </c>
      <c r="B619" s="116">
        <v>626.41000000000008</v>
      </c>
      <c r="C619" s="116">
        <v>621.65</v>
      </c>
      <c r="D619" s="116">
        <v>601.13</v>
      </c>
      <c r="E619" s="116">
        <v>610.20000000000005</v>
      </c>
      <c r="F619" s="116">
        <v>3108.25</v>
      </c>
      <c r="G619">
        <v>23715</v>
      </c>
      <c r="H619" s="116"/>
      <c r="I619" s="116"/>
      <c r="L619" s="169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69">
        <v>42915</v>
      </c>
      <c r="B620" s="116">
        <v>640</v>
      </c>
      <c r="C620" s="116">
        <v>637.91999999999996</v>
      </c>
      <c r="D620" s="116">
        <v>625.83000000000004</v>
      </c>
      <c r="E620" s="116">
        <v>627</v>
      </c>
      <c r="F620" s="116">
        <v>3189.6</v>
      </c>
      <c r="G620">
        <v>16931</v>
      </c>
      <c r="H620" s="116"/>
      <c r="I620" s="116"/>
      <c r="L620" s="169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69">
        <v>42916</v>
      </c>
      <c r="B621" s="116">
        <v>647.24</v>
      </c>
      <c r="C621" s="116">
        <v>644.85</v>
      </c>
      <c r="D621" s="116">
        <v>628.41999999999996</v>
      </c>
      <c r="E621" s="116">
        <v>633.47</v>
      </c>
      <c r="F621" s="116">
        <v>3224.25</v>
      </c>
      <c r="G621">
        <v>14830</v>
      </c>
      <c r="H621" s="116"/>
      <c r="I621" s="116"/>
      <c r="L621" s="169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69">
        <v>42919</v>
      </c>
      <c r="B622" s="116">
        <v>649.33999999999992</v>
      </c>
      <c r="C622" s="116">
        <v>642.41999999999996</v>
      </c>
      <c r="D622" s="116">
        <v>640.12</v>
      </c>
      <c r="E622" s="116">
        <v>646.51</v>
      </c>
      <c r="F622" s="116">
        <v>3212.1</v>
      </c>
      <c r="G622">
        <v>13116</v>
      </c>
      <c r="H622" s="116"/>
      <c r="I622" s="116"/>
      <c r="L622" s="169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69">
        <v>42920</v>
      </c>
      <c r="B623" s="116">
        <v>651.38</v>
      </c>
      <c r="C623" s="116">
        <v>638.62</v>
      </c>
      <c r="D623" s="116">
        <v>636.6</v>
      </c>
      <c r="E623" s="116">
        <v>643.01</v>
      </c>
      <c r="F623" s="116">
        <v>3193.1</v>
      </c>
      <c r="G623">
        <v>11814</v>
      </c>
      <c r="H623" s="116"/>
      <c r="I623" s="116"/>
      <c r="L623" s="169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69">
        <v>42921</v>
      </c>
      <c r="B624" s="116">
        <v>655</v>
      </c>
      <c r="C624" s="116">
        <v>646.41999999999996</v>
      </c>
      <c r="D624" s="116">
        <v>637.31000000000006</v>
      </c>
      <c r="E624" s="116">
        <v>640.23</v>
      </c>
      <c r="F624" s="116">
        <v>3232.1</v>
      </c>
      <c r="G624">
        <v>10582</v>
      </c>
      <c r="H624" s="116"/>
      <c r="I624" s="116"/>
      <c r="L624" s="169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69">
        <v>42922</v>
      </c>
      <c r="B625" s="116">
        <v>653.5</v>
      </c>
      <c r="C625" s="116">
        <v>643.83000000000004</v>
      </c>
      <c r="D625" s="116">
        <v>641.99</v>
      </c>
      <c r="E625" s="116">
        <v>647.79</v>
      </c>
      <c r="F625" s="116">
        <v>3219.15</v>
      </c>
      <c r="G625">
        <v>9130</v>
      </c>
      <c r="H625" s="116"/>
      <c r="I625" s="116"/>
      <c r="L625" s="169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69">
        <v>42923</v>
      </c>
      <c r="B626" s="116">
        <v>656.01</v>
      </c>
      <c r="C626" s="116">
        <v>650.33000000000004</v>
      </c>
      <c r="D626" s="116">
        <v>645.76</v>
      </c>
      <c r="E626" s="116">
        <v>645.81999999999994</v>
      </c>
      <c r="F626" s="116">
        <v>3251.65</v>
      </c>
      <c r="G626">
        <v>16865</v>
      </c>
      <c r="H626" s="116"/>
      <c r="I626" s="116"/>
      <c r="L626" s="169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69">
        <v>42926</v>
      </c>
      <c r="B627" s="116">
        <v>665</v>
      </c>
      <c r="C627" s="116">
        <v>646.04</v>
      </c>
      <c r="D627" s="116">
        <v>634</v>
      </c>
      <c r="E627" s="116">
        <v>660</v>
      </c>
      <c r="F627" s="116">
        <v>3230.2</v>
      </c>
      <c r="G627">
        <v>29779</v>
      </c>
      <c r="H627" s="116"/>
      <c r="I627" s="116"/>
      <c r="L627" s="169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69">
        <v>42927</v>
      </c>
      <c r="B628" s="116">
        <v>653.52</v>
      </c>
      <c r="C628" s="116">
        <v>640.41999999999996</v>
      </c>
      <c r="D628" s="116">
        <v>638.51</v>
      </c>
      <c r="E628" s="116">
        <v>651.1</v>
      </c>
      <c r="F628" s="116">
        <v>3202.1</v>
      </c>
      <c r="G628">
        <v>8496</v>
      </c>
      <c r="H628" s="116"/>
      <c r="I628" s="116"/>
      <c r="L628" s="169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69">
        <v>42928</v>
      </c>
      <c r="B629" s="116">
        <v>647.20000000000005</v>
      </c>
      <c r="C629" s="116">
        <v>641.03</v>
      </c>
      <c r="D629" s="116">
        <v>638.01</v>
      </c>
      <c r="E629" s="116">
        <v>638.01</v>
      </c>
      <c r="F629" s="116">
        <v>3205.15</v>
      </c>
      <c r="G629">
        <v>6488</v>
      </c>
      <c r="H629" s="116"/>
      <c r="I629" s="116"/>
      <c r="L629" s="169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69">
        <v>42929</v>
      </c>
      <c r="B630" s="116">
        <v>647.52</v>
      </c>
      <c r="C630" s="116">
        <v>640.21</v>
      </c>
      <c r="D630" s="116">
        <v>637.75</v>
      </c>
      <c r="E630" s="116">
        <v>643.93000000000006</v>
      </c>
      <c r="F630" s="116">
        <v>3201.05</v>
      </c>
      <c r="G630">
        <v>5399</v>
      </c>
      <c r="H630" s="116"/>
      <c r="I630" s="116"/>
      <c r="L630" s="169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69">
        <v>42930</v>
      </c>
      <c r="B631" s="116">
        <v>649</v>
      </c>
      <c r="C631" s="116">
        <v>640</v>
      </c>
      <c r="D631" s="116">
        <v>637</v>
      </c>
      <c r="E631" s="116">
        <v>640.81999999999994</v>
      </c>
      <c r="F631" s="116">
        <v>3200</v>
      </c>
      <c r="G631">
        <v>5406</v>
      </c>
      <c r="H631" s="116"/>
      <c r="I631" s="116"/>
      <c r="L631" s="169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69">
        <v>42933</v>
      </c>
      <c r="B632" s="116">
        <v>645</v>
      </c>
      <c r="C632" s="116">
        <v>638.16000000000008</v>
      </c>
      <c r="D632" s="116">
        <v>636.5</v>
      </c>
      <c r="E632" s="116">
        <v>644</v>
      </c>
      <c r="F632" s="116">
        <v>3190.8</v>
      </c>
      <c r="G632">
        <v>8773</v>
      </c>
      <c r="H632" s="116"/>
      <c r="I632" s="116"/>
      <c r="L632" s="169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69">
        <v>42934</v>
      </c>
      <c r="B633" s="116">
        <v>649.79999999999995</v>
      </c>
      <c r="C633" s="116">
        <v>632.43999999999994</v>
      </c>
      <c r="D633" s="116">
        <v>629.11</v>
      </c>
      <c r="E633" s="116">
        <v>638.51</v>
      </c>
      <c r="F633" s="116">
        <v>3162.2</v>
      </c>
      <c r="G633">
        <v>11758</v>
      </c>
      <c r="H633" s="116"/>
      <c r="I633" s="116"/>
      <c r="L633" s="169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69">
        <v>42935</v>
      </c>
      <c r="B634" s="116">
        <v>638.6</v>
      </c>
      <c r="C634" s="116">
        <v>636.61</v>
      </c>
      <c r="D634" s="116">
        <v>624.4</v>
      </c>
      <c r="E634" s="116">
        <v>634.93999999999994</v>
      </c>
      <c r="F634" s="116">
        <v>3183.05</v>
      </c>
      <c r="G634">
        <v>6568</v>
      </c>
      <c r="H634" s="116"/>
      <c r="I634" s="116"/>
      <c r="L634" s="169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69">
        <v>42936</v>
      </c>
      <c r="B635" s="116">
        <v>645.79999999999995</v>
      </c>
      <c r="C635" s="116">
        <v>643.51</v>
      </c>
      <c r="D635" s="116">
        <v>636</v>
      </c>
      <c r="E635" s="116">
        <v>637.31999999999994</v>
      </c>
      <c r="F635" s="116">
        <v>3217.55</v>
      </c>
      <c r="G635">
        <v>6543</v>
      </c>
      <c r="H635" s="116"/>
      <c r="I635" s="116"/>
      <c r="L635" s="169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69">
        <v>42937</v>
      </c>
      <c r="B636" s="116">
        <v>648.79999999999995</v>
      </c>
      <c r="C636" s="116">
        <v>629.20000000000005</v>
      </c>
      <c r="D636" s="116">
        <v>625</v>
      </c>
      <c r="E636" s="116">
        <v>648.79999999999995</v>
      </c>
      <c r="F636" s="116">
        <v>3146</v>
      </c>
      <c r="G636">
        <v>33250</v>
      </c>
      <c r="H636" s="116"/>
      <c r="I636" s="116"/>
      <c r="L636" s="169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69">
        <v>42940</v>
      </c>
      <c r="B637" s="116">
        <v>647.99</v>
      </c>
      <c r="C637" s="116">
        <v>612.28</v>
      </c>
      <c r="D637" s="116">
        <v>607.6</v>
      </c>
      <c r="E637" s="116">
        <v>631</v>
      </c>
      <c r="F637" s="116">
        <v>3061.4</v>
      </c>
      <c r="G637">
        <v>25265</v>
      </c>
      <c r="H637" s="116"/>
      <c r="I637" s="116"/>
      <c r="L637" s="169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69">
        <v>42941</v>
      </c>
      <c r="B638" s="116">
        <v>620.20000000000005</v>
      </c>
      <c r="C638" s="116">
        <v>617.41000000000008</v>
      </c>
      <c r="D638" s="116">
        <v>609.6</v>
      </c>
      <c r="E638" s="116">
        <v>609.6</v>
      </c>
      <c r="F638" s="116">
        <v>3087.05</v>
      </c>
      <c r="G638">
        <v>10055</v>
      </c>
      <c r="H638" s="116"/>
      <c r="I638" s="116"/>
      <c r="L638" s="169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69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69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69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69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69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69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69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69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69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69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69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69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69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69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69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69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69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69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69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69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69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69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69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69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69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69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69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69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69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69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69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69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69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69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69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69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69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69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69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69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69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69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69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69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69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69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69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69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69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69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69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69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69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69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69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69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69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69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69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69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69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69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69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69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69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69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69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69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69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69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69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69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69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69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69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69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69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69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69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69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69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69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69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69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69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69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69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69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69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69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69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69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69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69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69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69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69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69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69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69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69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69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69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69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69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69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69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69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69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69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69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69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69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69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69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69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69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69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69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69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69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69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69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69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69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69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69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69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69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69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69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69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69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69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69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69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69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69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69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69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69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69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69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69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69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69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69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69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69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69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69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69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69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69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69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69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69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69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69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69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69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69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69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69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69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69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69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69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69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69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69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69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69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69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69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69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69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69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69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69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69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69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69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69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69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69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69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69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69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69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69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69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69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69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69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69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69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69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69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69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69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69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69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69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69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69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69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69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69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69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69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69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69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69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69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69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69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69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69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69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69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69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69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69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69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69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69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69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69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69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69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69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69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69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69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69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69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69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69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69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69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69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69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69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69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69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69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69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69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69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69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69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69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69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69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69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69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69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69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69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69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69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69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69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69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69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69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69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69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69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69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69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69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69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69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69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69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69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69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69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69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69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69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69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69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69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69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69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69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69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69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69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69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69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69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69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69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69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69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69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69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69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69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69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69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69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69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69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69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69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69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69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69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69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69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69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69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69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69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69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69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69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69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69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69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69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69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69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69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69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69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69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69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69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69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69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69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69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69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69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69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69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69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69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69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69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69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69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69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69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69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69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69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69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69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69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69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69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69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69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69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69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69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69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69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69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69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69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69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69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69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69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69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69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69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69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69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69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69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69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69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69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69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69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69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69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69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69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69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69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69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69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69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69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69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69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69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69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69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69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69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69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69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69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69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69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69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69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69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69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69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69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69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69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69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69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69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69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69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69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69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69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69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69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69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69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69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69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69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69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69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69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69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69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69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69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69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69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69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69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69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69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69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69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69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69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69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69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69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69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69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69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69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69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69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69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69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69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69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69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69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69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69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69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69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69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69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69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69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69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69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69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69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69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69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69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69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69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69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69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69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69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69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69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69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69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69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69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69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69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69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69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69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69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69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69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69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69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69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69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69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69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69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69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69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69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69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69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69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69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69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69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69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69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69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69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69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69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69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69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69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69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69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69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69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69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69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69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69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69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69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69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69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69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69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69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69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69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69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69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69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69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69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69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69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69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69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69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69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69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69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69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69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69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69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69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69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69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69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69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69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69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69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69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69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69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69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69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69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69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69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69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69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69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69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69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69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69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69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69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69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69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69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69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69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69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69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69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69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69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69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69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69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69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69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69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69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69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69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69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69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69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69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69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69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69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69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69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69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69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69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69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69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69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69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69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69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69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69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69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69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69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69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69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69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69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69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69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69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69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69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69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69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69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69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69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69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69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69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69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69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69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69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69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69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69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69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69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69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69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69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69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69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69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69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69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69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69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69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69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69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69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69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69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69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69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69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69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69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69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69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69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69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69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69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69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69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69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69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69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69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69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69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69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69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69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69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69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69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69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69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69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69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69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69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69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69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69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69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69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69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69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69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69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69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69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69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69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69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69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69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69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69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69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69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69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69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69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69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69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69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69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69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69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69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69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69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69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69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69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69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69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69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69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69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69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69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69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69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69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69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69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69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69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69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69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69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69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69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69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69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69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69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69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69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69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69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69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69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69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69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69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69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69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69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69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69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69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69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69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69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69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69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69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69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69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69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69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69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69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69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69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69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69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69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69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69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69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69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69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69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69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69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69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69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69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69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69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69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69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69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69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69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69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69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69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69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69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69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69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69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69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69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69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69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69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69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69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69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69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69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69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69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69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69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69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69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69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69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69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69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69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69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69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69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69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69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69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69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69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69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69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69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69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69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69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69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69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69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69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69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69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69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69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69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69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69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69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69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69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69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69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69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69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69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69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69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69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69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69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69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69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69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69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69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69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69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69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69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69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69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69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69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69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69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69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69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69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69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69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69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69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69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69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69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69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69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69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69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69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69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69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69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69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69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69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69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69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69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69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69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69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69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69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69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69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69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69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69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69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69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69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69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69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69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69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69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69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69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69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69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69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69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69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69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69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69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69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69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69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69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69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69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69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69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69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69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69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69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69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69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69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69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69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69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69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69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69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69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69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69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69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69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69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69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69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69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69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69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69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69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69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69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69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69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69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69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69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69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69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69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69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69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69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69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69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69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69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69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69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69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69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69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69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69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69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69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69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69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69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69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69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69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69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69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69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69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69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69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69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69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69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69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69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69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69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69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69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69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69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69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69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69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69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69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69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69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69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69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69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69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69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69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69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69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69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69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69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69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69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69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69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69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69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69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69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69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69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69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69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69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69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69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69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69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69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69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69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69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69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69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69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69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69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69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69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69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69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69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69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69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69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69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69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69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69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69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69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69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69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69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69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69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69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69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69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69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69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69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69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69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69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69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69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69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69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69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69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69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69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69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69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69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69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69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69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69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69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69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69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69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69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69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69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69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69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69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69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69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69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69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69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69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69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69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69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69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69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69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69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69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69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69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69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69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69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69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69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69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69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69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69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69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69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69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69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69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69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69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69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69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69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69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69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69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69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69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69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69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69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69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69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69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69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69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69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69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69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69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69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69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69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69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69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69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69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69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69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69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69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69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69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69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69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69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69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69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69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69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69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69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69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69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69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69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69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69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69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69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69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69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69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69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69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69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69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69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69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69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69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69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69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69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69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69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69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69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69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69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69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69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69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69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69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69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69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69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69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69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69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69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69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69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69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69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69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69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69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69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69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69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69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69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69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69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69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69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69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69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69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69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69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69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69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69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69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69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69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69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69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69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69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69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69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69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69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69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69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69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69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69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69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69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69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69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69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69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69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69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69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69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69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69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69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69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69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69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69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69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69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69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69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69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69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69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69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69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69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69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69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69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69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69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69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69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69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69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69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69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69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69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69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69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69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69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69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69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69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69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69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69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69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69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69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69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69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69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69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69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69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69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69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69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69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69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69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69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69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69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69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69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69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69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69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69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69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69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69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69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69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69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69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69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69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69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69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69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69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69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69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69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69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69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69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69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69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69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69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69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69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69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69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69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69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69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69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69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69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69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69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69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69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69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69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69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69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69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69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69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69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69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69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69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69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69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69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69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69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69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69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69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69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69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69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69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69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69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69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69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69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69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69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69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69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69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69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69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69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69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69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69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69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69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69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69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9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9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9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9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9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9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9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9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9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9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9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9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9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9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9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9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9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9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9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9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9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9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9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9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9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9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9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9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9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9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9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9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9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9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9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9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9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9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9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9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9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9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9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9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9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9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9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9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9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9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9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9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9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9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9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9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9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9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9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9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9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9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9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9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9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9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9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9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9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9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9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9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9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9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9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9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9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9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9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9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9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9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9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9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9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9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9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9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9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9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9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9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9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9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9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9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9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9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9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9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9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9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9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9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9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9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9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9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9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9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9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9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9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9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9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9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9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9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9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9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9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9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9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9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9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9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9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9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9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9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9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9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9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9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9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9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9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9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9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9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9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9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9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9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9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9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9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9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9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9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9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9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9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9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9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9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9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9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9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9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9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9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9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9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9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9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9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9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9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9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9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9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9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9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9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9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9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9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9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9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9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9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9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9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9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9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9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9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9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9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9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9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9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9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9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9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9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9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9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9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9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9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9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9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9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9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9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9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9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9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9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9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9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9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9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9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9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9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9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9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9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9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9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9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9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9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9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9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9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9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9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9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9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9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9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9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9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9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9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9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9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9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9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9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9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9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9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9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9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9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9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9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9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9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9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9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9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9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9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9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9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9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9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9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9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9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9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9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9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9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9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9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9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9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9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9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9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9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9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9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9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9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9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9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9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9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9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9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9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9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9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9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9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9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9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9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9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9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9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9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9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9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9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9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9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9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9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9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9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9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9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9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9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9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9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9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9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9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9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9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9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9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9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9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9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9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9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9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9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9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9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9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9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9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9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9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9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9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9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9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9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9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9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9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9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9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9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9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9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9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9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9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9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9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9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9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9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9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9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9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9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9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9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9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9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9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9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9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9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9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9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9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9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9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9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9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9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9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9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9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9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9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9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9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9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9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9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9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9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9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9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9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9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9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9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9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9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9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9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9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9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9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9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9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9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9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9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9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9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9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9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9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9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9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9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9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9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9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9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9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9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9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9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9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9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9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9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9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9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9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9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9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9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9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9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9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9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9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9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9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9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9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9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9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9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9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9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9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9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9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9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9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9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9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9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9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9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9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9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9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9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9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9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9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9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9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9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9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9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9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9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9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9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9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9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9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9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9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9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9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9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9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9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9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9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9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9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9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9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9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9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9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9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9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9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9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9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9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9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9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9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9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9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9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9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9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9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9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9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9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9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9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9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9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9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9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9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9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9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9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9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9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9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9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9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9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9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9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9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9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9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9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9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9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9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9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9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9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9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9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9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9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9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9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9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9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9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9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9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9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9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9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9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9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9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9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9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9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9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9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9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9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9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9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9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9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9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9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9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9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9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9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9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9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9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9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9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9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9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9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9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9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9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9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9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9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9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9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9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9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9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9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9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9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9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9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9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9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9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9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9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9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9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9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9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9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9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9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9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9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9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9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9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9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9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9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9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9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9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9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9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9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9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9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9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9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9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9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9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9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9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9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9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9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9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9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9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9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9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9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9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9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9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9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9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9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9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9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9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9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9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9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9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9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9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9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9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9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9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9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9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9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9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9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9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9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9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9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9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9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9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9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9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9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9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9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9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9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9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9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9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9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9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9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9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9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9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9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9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9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9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9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9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9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9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9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9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9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9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9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9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9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9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9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9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9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9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9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9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9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9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9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9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9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9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9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9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9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9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9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9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9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9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9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9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9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9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9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9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9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9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9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9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9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9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9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9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9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9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9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9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9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9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9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9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9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9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9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9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9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9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9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9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9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9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9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9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9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9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9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9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9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9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9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9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9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9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9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9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9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9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9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9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9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9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9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9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9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9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9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9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9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9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9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9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9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9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9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9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9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9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9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9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9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9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9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9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9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9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9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9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9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9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9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9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9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9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9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9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9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9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9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9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9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9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9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9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9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9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9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9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9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9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9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9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9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9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9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9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9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9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9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9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9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9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9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9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9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9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9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9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9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9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9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9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9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9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9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9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9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9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9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9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9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9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9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9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9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9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9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9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9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9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9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9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9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9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9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9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9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9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9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9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9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9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9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9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9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9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9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9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9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9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9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9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9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9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9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9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9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9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9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9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9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9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9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9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9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9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9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9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9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9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9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9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9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9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9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9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9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9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9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9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9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9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9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9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9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9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9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9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9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9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9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9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9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9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9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9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9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9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9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9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9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9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9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9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9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9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9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9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9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9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9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9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9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9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9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9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9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9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9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9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9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9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9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9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9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9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9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9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9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9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9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9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9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9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9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9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9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9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9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9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9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9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9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9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9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9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9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9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9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9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9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9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9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9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9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9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9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9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9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9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9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9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9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9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9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9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9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9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9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9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9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9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9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9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9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9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9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9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9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9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9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9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9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9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9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9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9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9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9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9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9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9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9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9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9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9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9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9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9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9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9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9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9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9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9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9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9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9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9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9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9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9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9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9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9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9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9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9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9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9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9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9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9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9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9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9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9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9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9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9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9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9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9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9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9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9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9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9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9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9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9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9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9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9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9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9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9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9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9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9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9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9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9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9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9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9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9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9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9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9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9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9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9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9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9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9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9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9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9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9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9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9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9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9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9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9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9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9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9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9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9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9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9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9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9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9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9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9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9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9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9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9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9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9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9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9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9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9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9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9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9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9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9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9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9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9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9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9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9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9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9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9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9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9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9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9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9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9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9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9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9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9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9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9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9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9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9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9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9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9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9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9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9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9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9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9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9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9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9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9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9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9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9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9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9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9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9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9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9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9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9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9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9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9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9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9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9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9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9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9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9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9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9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9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9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9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9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9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9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9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9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9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9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9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9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9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9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9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9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9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9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9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9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9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9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9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9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9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9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9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9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9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9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9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9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9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9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9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9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9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9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9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9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9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9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9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9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9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9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9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9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9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9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9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9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9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9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9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9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9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9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9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9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9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9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9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9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9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9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9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9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9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9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9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9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9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9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9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9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9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9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9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9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9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9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9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9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9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9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9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9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9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9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9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9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9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9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9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9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9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9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9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9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9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9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9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9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9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9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9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9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9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9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9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9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9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9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9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9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9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9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9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9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9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9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9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9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9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9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9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9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9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9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9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9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9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9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9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9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9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9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9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9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9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9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9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9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9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9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9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9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9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9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9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9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9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9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9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9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9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9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9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9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9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9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9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9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9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9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9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9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9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9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9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9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9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9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9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9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9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9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9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9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9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9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9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9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9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9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9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9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9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9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9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9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9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9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9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9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9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9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9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9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9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9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9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9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9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9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9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9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9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9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9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9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9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9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9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9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9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9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9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9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9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9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9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9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9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9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9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9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9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9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9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9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9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9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9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9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9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9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9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9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9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9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9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9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9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9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9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9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9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9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9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9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9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9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9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9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9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9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9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9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9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9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9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9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9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9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9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9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9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9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9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9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9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9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9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9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9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9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9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9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9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9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9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9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9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9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9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9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9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9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9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9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9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9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9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9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9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9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9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2026-06-17T16:29:11Z</dcterms:modified>
  <cp:category/>
  <cp:contentStatus/>
</cp:coreProperties>
</file>